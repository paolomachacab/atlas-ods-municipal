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VULNERABILIDAD\1_Limpio\"/>
    </mc:Choice>
  </mc:AlternateContent>
  <xr:revisionPtr revIDLastSave="0" documentId="8_{B52406A9-8B32-4962-B6DC-A1399D102E4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tos intermedios 2012" sheetId="11" r:id="rId1"/>
    <sheet name="Datos intermedios 2024" sheetId="10" r:id="rId2"/>
    <sheet name="Datos Procesados" sheetId="13" r:id="rId3"/>
    <sheet name="Indicador_MUN" sheetId="4" r:id="rId4"/>
    <sheet name="Absoluto_MUN" sheetId="5" r:id="rId5"/>
    <sheet name="Indicador_DEP" sheetId="6" r:id="rId6"/>
    <sheet name="Absoluto_DEP" sheetId="7" r:id="rId7"/>
    <sheet name="Umbral" sheetId="8" r:id="rId8"/>
    <sheet name="Mapa" sheetId="9" r:id="rId9"/>
  </sheets>
  <definedNames>
    <definedName name="_xlnm._FilterDatabase" localSheetId="0" hidden="1">'Datos intermedios 2012'!$A$1:$F$345</definedName>
    <definedName name="_xlnm._FilterDatabase" localSheetId="1" hidden="1">'Datos intermedios 2024'!$A$1:$F$345</definedName>
    <definedName name="_xlnm._FilterDatabase" localSheetId="5" hidden="1">Indicador_DEP!$A$1:$D$1</definedName>
    <definedName name="_xlnm._FilterDatabase" localSheetId="3" hidden="1">Indicador_MUN!$A$1:$E$344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61" i="13" l="1"/>
  <c r="F361" i="13"/>
  <c r="N358" i="13"/>
  <c r="F358" i="13"/>
  <c r="N355" i="13"/>
  <c r="N354" i="13"/>
  <c r="N353" i="13"/>
  <c r="N352" i="13"/>
  <c r="N351" i="13"/>
  <c r="N350" i="13"/>
  <c r="N349" i="13"/>
  <c r="N348" i="13"/>
  <c r="N347" i="13"/>
  <c r="F355" i="13"/>
  <c r="F354" i="13"/>
  <c r="F353" i="13"/>
  <c r="F352" i="13"/>
  <c r="F351" i="13"/>
  <c r="F350" i="13"/>
  <c r="F349" i="13"/>
  <c r="F348" i="13"/>
  <c r="F347" i="13"/>
  <c r="O344" i="13"/>
  <c r="O343" i="13"/>
  <c r="O342" i="13"/>
  <c r="O341" i="13"/>
  <c r="O340" i="13"/>
  <c r="O339" i="13"/>
  <c r="O338" i="13"/>
  <c r="O337" i="13"/>
  <c r="O336" i="13"/>
  <c r="O335" i="13"/>
  <c r="O334" i="13"/>
  <c r="O333" i="13"/>
  <c r="O332" i="13"/>
  <c r="O331" i="13"/>
  <c r="O330" i="13"/>
  <c r="O329" i="13"/>
  <c r="O328" i="13"/>
  <c r="O327" i="13"/>
  <c r="O326" i="13"/>
  <c r="O325" i="13"/>
  <c r="O324" i="13"/>
  <c r="O323" i="13"/>
  <c r="O322" i="13"/>
  <c r="O321" i="13"/>
  <c r="O320" i="13"/>
  <c r="O319" i="13"/>
  <c r="O318" i="13"/>
  <c r="O317" i="13"/>
  <c r="O316" i="13"/>
  <c r="O315" i="13"/>
  <c r="O314" i="13"/>
  <c r="O313" i="13"/>
  <c r="O312" i="13"/>
  <c r="O311" i="13"/>
  <c r="O310" i="13"/>
  <c r="O309" i="13"/>
  <c r="O308" i="13"/>
  <c r="O307" i="13"/>
  <c r="O306" i="13"/>
  <c r="O305" i="13"/>
  <c r="O304" i="13"/>
  <c r="O303" i="13"/>
  <c r="O302" i="13"/>
  <c r="O301" i="13"/>
  <c r="O300" i="13"/>
  <c r="O299" i="13"/>
  <c r="O298" i="13"/>
  <c r="O297" i="13"/>
  <c r="O296" i="13"/>
  <c r="O295" i="13"/>
  <c r="O294" i="13"/>
  <c r="O293" i="13"/>
  <c r="O292" i="13"/>
  <c r="O291" i="13"/>
  <c r="O290" i="13"/>
  <c r="O289" i="13"/>
  <c r="O288" i="13"/>
  <c r="O287" i="13"/>
  <c r="O286" i="13"/>
  <c r="O285" i="13"/>
  <c r="O284" i="13"/>
  <c r="O283" i="13"/>
  <c r="O282" i="13"/>
  <c r="O281" i="13"/>
  <c r="O280" i="13"/>
  <c r="O279" i="13"/>
  <c r="O278" i="13"/>
  <c r="O277" i="13"/>
  <c r="O276" i="13"/>
  <c r="O275" i="13"/>
  <c r="O274" i="13"/>
  <c r="O273" i="13"/>
  <c r="O272" i="13"/>
  <c r="O271" i="13"/>
  <c r="O270" i="13"/>
  <c r="O269" i="13"/>
  <c r="O268" i="13"/>
  <c r="O267" i="13"/>
  <c r="O266" i="13"/>
  <c r="O265" i="13"/>
  <c r="O264" i="13"/>
  <c r="O263" i="13"/>
  <c r="O262" i="13"/>
  <c r="O261" i="13"/>
  <c r="O260" i="13"/>
  <c r="O259" i="13"/>
  <c r="O258" i="13"/>
  <c r="O257" i="13"/>
  <c r="O256" i="13"/>
  <c r="O255" i="13"/>
  <c r="O254" i="13"/>
  <c r="O253" i="13"/>
  <c r="O252" i="13"/>
  <c r="O251" i="13"/>
  <c r="O250" i="13"/>
  <c r="O249" i="13"/>
  <c r="O248" i="13"/>
  <c r="O247" i="13"/>
  <c r="O246" i="13"/>
  <c r="O245" i="13"/>
  <c r="O244" i="13"/>
  <c r="O243" i="13"/>
  <c r="O242" i="13"/>
  <c r="O241" i="13"/>
  <c r="O240" i="13"/>
  <c r="O239" i="13"/>
  <c r="O238" i="13"/>
  <c r="O237" i="13"/>
  <c r="O236" i="13"/>
  <c r="O235" i="13"/>
  <c r="O234" i="13"/>
  <c r="O233" i="13"/>
  <c r="O232" i="13"/>
  <c r="O231" i="13"/>
  <c r="O230" i="13"/>
  <c r="O229" i="13"/>
  <c r="O228" i="13"/>
  <c r="O227" i="13"/>
  <c r="O226" i="13"/>
  <c r="O225" i="13"/>
  <c r="O224" i="13"/>
  <c r="O223" i="13"/>
  <c r="O222" i="13"/>
  <c r="O221" i="13"/>
  <c r="O220" i="13"/>
  <c r="O219" i="13"/>
  <c r="O218" i="13"/>
  <c r="O217" i="13"/>
  <c r="O216" i="13"/>
  <c r="O215" i="13"/>
  <c r="O214" i="13"/>
  <c r="O213" i="13"/>
  <c r="O212" i="13"/>
  <c r="O211" i="13"/>
  <c r="O210" i="13"/>
  <c r="O209" i="13"/>
  <c r="O208" i="13"/>
  <c r="O207" i="13"/>
  <c r="O206" i="13"/>
  <c r="O205" i="13"/>
  <c r="O204" i="13"/>
  <c r="O203" i="13"/>
  <c r="O202" i="13"/>
  <c r="O201" i="13"/>
  <c r="O200" i="13"/>
  <c r="O199" i="13"/>
  <c r="O198" i="13"/>
  <c r="O197" i="13"/>
  <c r="O196" i="13"/>
  <c r="O195" i="13"/>
  <c r="O194" i="13"/>
  <c r="O193" i="13"/>
  <c r="O192" i="13"/>
  <c r="O191" i="13"/>
  <c r="O190" i="13"/>
  <c r="O189" i="13"/>
  <c r="O188" i="13"/>
  <c r="O187" i="13"/>
  <c r="O186" i="13"/>
  <c r="O185" i="13"/>
  <c r="O184" i="13"/>
  <c r="O183" i="13"/>
  <c r="O182" i="13"/>
  <c r="O181" i="13"/>
  <c r="O180" i="13"/>
  <c r="O179" i="13"/>
  <c r="O178" i="13"/>
  <c r="O177" i="13"/>
  <c r="O176" i="13"/>
  <c r="O175" i="13"/>
  <c r="O174" i="13"/>
  <c r="O173" i="13"/>
  <c r="O172" i="13"/>
  <c r="O171" i="13"/>
  <c r="O170" i="13"/>
  <c r="O169" i="13"/>
  <c r="O168" i="13"/>
  <c r="O167" i="13"/>
  <c r="O166" i="13"/>
  <c r="O165" i="13"/>
  <c r="O164" i="13"/>
  <c r="O163" i="13"/>
  <c r="O162" i="13"/>
  <c r="O161" i="13"/>
  <c r="O160" i="13"/>
  <c r="O159" i="13"/>
  <c r="O158" i="13"/>
  <c r="O157" i="13"/>
  <c r="O156" i="13"/>
  <c r="O155" i="13"/>
  <c r="O154" i="13"/>
  <c r="O153" i="13"/>
  <c r="O152" i="13"/>
  <c r="O151" i="13"/>
  <c r="O150" i="13"/>
  <c r="O149" i="13"/>
  <c r="O148" i="13"/>
  <c r="O147" i="13"/>
  <c r="O146" i="13"/>
  <c r="O145" i="13"/>
  <c r="O144" i="13"/>
  <c r="O143" i="13"/>
  <c r="O142" i="13"/>
  <c r="O141" i="13"/>
  <c r="O140" i="13"/>
  <c r="O139" i="13"/>
  <c r="O138" i="13"/>
  <c r="O137" i="13"/>
  <c r="O136" i="13"/>
  <c r="O135" i="13"/>
  <c r="O134" i="13"/>
  <c r="O133" i="13"/>
  <c r="O132" i="13"/>
  <c r="O131" i="13"/>
  <c r="O130" i="13"/>
  <c r="O129" i="13"/>
  <c r="O128" i="13"/>
  <c r="O127" i="13"/>
  <c r="O126" i="13"/>
  <c r="O125" i="13"/>
  <c r="O124" i="13"/>
  <c r="O123" i="13"/>
  <c r="O122" i="13"/>
  <c r="O121" i="13"/>
  <c r="O120" i="13"/>
  <c r="O119" i="13"/>
  <c r="O118" i="13"/>
  <c r="O117" i="13"/>
  <c r="O116" i="13"/>
  <c r="O115" i="13"/>
  <c r="O114" i="13"/>
  <c r="O113" i="13"/>
  <c r="O112" i="13"/>
  <c r="O111" i="13"/>
  <c r="O110" i="13"/>
  <c r="O109" i="13"/>
  <c r="O108" i="13"/>
  <c r="O107" i="13"/>
  <c r="O106" i="13"/>
  <c r="O105" i="13"/>
  <c r="O104" i="13"/>
  <c r="O103" i="13"/>
  <c r="O102" i="13"/>
  <c r="O101" i="13"/>
  <c r="O100" i="13"/>
  <c r="O99" i="13"/>
  <c r="O98" i="13"/>
  <c r="O97" i="13"/>
  <c r="O96" i="13"/>
  <c r="O95" i="13"/>
  <c r="O94" i="13"/>
  <c r="O93" i="13"/>
  <c r="O92" i="13"/>
  <c r="O91" i="13"/>
  <c r="O90" i="13"/>
  <c r="O89" i="13"/>
  <c r="O88" i="13"/>
  <c r="O87" i="13"/>
  <c r="O86" i="13"/>
  <c r="O85" i="13"/>
  <c r="O84" i="13"/>
  <c r="O83" i="13"/>
  <c r="O82" i="13"/>
  <c r="O81" i="13"/>
  <c r="O80" i="13"/>
  <c r="O79" i="13"/>
  <c r="O78" i="13"/>
  <c r="O77" i="13"/>
  <c r="O76" i="13"/>
  <c r="O75" i="13"/>
  <c r="O74" i="13"/>
  <c r="O73" i="13"/>
  <c r="O72" i="13"/>
  <c r="O71" i="13"/>
  <c r="O70" i="13"/>
  <c r="O69" i="13"/>
  <c r="O68" i="13"/>
  <c r="O67" i="13"/>
  <c r="O66" i="13"/>
  <c r="O65" i="13"/>
  <c r="O64" i="13"/>
  <c r="O63" i="13"/>
  <c r="O62" i="13"/>
  <c r="O61" i="13"/>
  <c r="O60" i="13"/>
  <c r="O59" i="13"/>
  <c r="O58" i="13"/>
  <c r="O57" i="13"/>
  <c r="O56" i="13"/>
  <c r="O55" i="13"/>
  <c r="O54" i="13"/>
  <c r="O53" i="13"/>
  <c r="O52" i="13"/>
  <c r="O51" i="13"/>
  <c r="O50" i="13"/>
  <c r="O49" i="13"/>
  <c r="O48" i="13"/>
  <c r="O47" i="13"/>
  <c r="O46" i="13"/>
  <c r="O45" i="13"/>
  <c r="O44" i="13"/>
  <c r="O43" i="13"/>
  <c r="O42" i="13"/>
  <c r="O41" i="13"/>
  <c r="O40" i="13"/>
  <c r="O39" i="13"/>
  <c r="O38" i="13"/>
  <c r="O37" i="13"/>
  <c r="O36" i="13"/>
  <c r="O35" i="13"/>
  <c r="O34" i="13"/>
  <c r="O33" i="13"/>
  <c r="O32" i="13"/>
  <c r="O31" i="13"/>
  <c r="O30" i="13"/>
  <c r="O29" i="13"/>
  <c r="O28" i="13"/>
  <c r="O27" i="13"/>
  <c r="O26" i="13"/>
  <c r="O25" i="13"/>
  <c r="O24" i="13"/>
  <c r="O23" i="13"/>
  <c r="O22" i="13"/>
  <c r="O21" i="13"/>
  <c r="O20" i="13"/>
  <c r="O19" i="13"/>
  <c r="O18" i="13"/>
  <c r="O17" i="13"/>
  <c r="O16" i="13"/>
  <c r="O15" i="13"/>
  <c r="O14" i="13"/>
  <c r="O13" i="13"/>
  <c r="O12" i="13"/>
  <c r="O11" i="13"/>
  <c r="O10" i="13"/>
  <c r="O9" i="13"/>
  <c r="O8" i="13"/>
  <c r="O7" i="13"/>
  <c r="O6" i="13"/>
  <c r="O5" i="13"/>
  <c r="O4" i="13"/>
  <c r="O3" i="13"/>
  <c r="O2" i="13"/>
  <c r="G344" i="13"/>
  <c r="G343" i="13"/>
  <c r="G342" i="13"/>
  <c r="G341" i="13"/>
  <c r="G340" i="13"/>
  <c r="G339" i="13"/>
  <c r="G338" i="13"/>
  <c r="G337" i="13"/>
  <c r="G336" i="13"/>
  <c r="G335" i="13"/>
  <c r="G334" i="13"/>
  <c r="G333" i="13"/>
  <c r="G332" i="13"/>
  <c r="G331" i="13"/>
  <c r="G330" i="13"/>
  <c r="G329" i="13"/>
  <c r="G328" i="13"/>
  <c r="G327" i="13"/>
  <c r="G326" i="13"/>
  <c r="G325" i="13"/>
  <c r="G324" i="13"/>
  <c r="G323" i="13"/>
  <c r="G322" i="13"/>
  <c r="G321" i="13"/>
  <c r="G320" i="13"/>
  <c r="G319" i="13"/>
  <c r="G318" i="13"/>
  <c r="G317" i="13"/>
  <c r="G316" i="13"/>
  <c r="G315" i="13"/>
  <c r="G314" i="13"/>
  <c r="G313" i="13"/>
  <c r="G312" i="13"/>
  <c r="G311" i="13"/>
  <c r="G310" i="13"/>
  <c r="G309" i="13"/>
  <c r="G308" i="13"/>
  <c r="G307" i="13"/>
  <c r="G306" i="13"/>
  <c r="G305" i="13"/>
  <c r="G304" i="13"/>
  <c r="G303" i="13"/>
  <c r="G302" i="13"/>
  <c r="G301" i="13"/>
  <c r="G300" i="13"/>
  <c r="G299" i="13"/>
  <c r="G298" i="13"/>
  <c r="G297" i="13"/>
  <c r="G296" i="13"/>
  <c r="G295" i="13"/>
  <c r="G294" i="13"/>
  <c r="G293" i="13"/>
  <c r="G292" i="13"/>
  <c r="G291" i="13"/>
  <c r="G290" i="13"/>
  <c r="G289" i="13"/>
  <c r="G288" i="13"/>
  <c r="G287" i="13"/>
  <c r="G286" i="13"/>
  <c r="G285" i="13"/>
  <c r="G284" i="13"/>
  <c r="G283" i="13"/>
  <c r="G282" i="13"/>
  <c r="G281" i="13"/>
  <c r="G280" i="13"/>
  <c r="G279" i="13"/>
  <c r="G278" i="13"/>
  <c r="G277" i="13"/>
  <c r="G276" i="13"/>
  <c r="G275" i="13"/>
  <c r="G274" i="13"/>
  <c r="G273" i="13"/>
  <c r="G272" i="13"/>
  <c r="G271" i="13"/>
  <c r="G270" i="13"/>
  <c r="G269" i="13"/>
  <c r="G268" i="13"/>
  <c r="G267" i="13"/>
  <c r="G266" i="13"/>
  <c r="G265" i="13"/>
  <c r="G264" i="13"/>
  <c r="G263" i="13"/>
  <c r="G262" i="13"/>
  <c r="G261" i="13"/>
  <c r="G260" i="13"/>
  <c r="G259" i="13"/>
  <c r="G258" i="13"/>
  <c r="G257" i="13"/>
  <c r="G256" i="13"/>
  <c r="G255" i="13"/>
  <c r="G254" i="13"/>
  <c r="G253" i="13"/>
  <c r="G252" i="13"/>
  <c r="G251" i="13"/>
  <c r="G250" i="13"/>
  <c r="G249" i="13"/>
  <c r="G248" i="13"/>
  <c r="G247" i="13"/>
  <c r="G246" i="13"/>
  <c r="G245" i="13"/>
  <c r="G244" i="13"/>
  <c r="G243" i="13"/>
  <c r="G242" i="13"/>
  <c r="G241" i="13"/>
  <c r="G240" i="13"/>
  <c r="G239" i="13"/>
  <c r="G238" i="13"/>
  <c r="G237" i="13"/>
  <c r="G236" i="13"/>
  <c r="G235" i="13"/>
  <c r="G234" i="13"/>
  <c r="G233" i="13"/>
  <c r="G232" i="13"/>
  <c r="G231" i="13"/>
  <c r="G230" i="13"/>
  <c r="G229" i="13"/>
  <c r="G228" i="13"/>
  <c r="G227" i="13"/>
  <c r="G226" i="13"/>
  <c r="G225" i="13"/>
  <c r="G224" i="13"/>
  <c r="G223" i="13"/>
  <c r="G222" i="13"/>
  <c r="G221" i="13"/>
  <c r="G220" i="13"/>
  <c r="G219" i="13"/>
  <c r="G218" i="13"/>
  <c r="G217" i="13"/>
  <c r="G216" i="13"/>
  <c r="G215" i="13"/>
  <c r="G214" i="13"/>
  <c r="G213" i="13"/>
  <c r="G212" i="13"/>
  <c r="G211" i="13"/>
  <c r="G210" i="13"/>
  <c r="G209" i="13"/>
  <c r="G208" i="13"/>
  <c r="G207" i="13"/>
  <c r="G206" i="13"/>
  <c r="G205" i="13"/>
  <c r="G204" i="13"/>
  <c r="G203" i="13"/>
  <c r="G202" i="13"/>
  <c r="G201" i="13"/>
  <c r="G200" i="13"/>
  <c r="G199" i="13"/>
  <c r="G198" i="13"/>
  <c r="G197" i="13"/>
  <c r="G196" i="13"/>
  <c r="G195" i="13"/>
  <c r="G194" i="13"/>
  <c r="G193" i="13"/>
  <c r="G192" i="13"/>
  <c r="G191" i="13"/>
  <c r="G190" i="13"/>
  <c r="G189" i="13"/>
  <c r="G188" i="13"/>
  <c r="G187" i="13"/>
  <c r="G186" i="13"/>
  <c r="G185" i="13"/>
  <c r="G184" i="13"/>
  <c r="G183" i="13"/>
  <c r="G182" i="13"/>
  <c r="G181" i="13"/>
  <c r="G180" i="13"/>
  <c r="G179" i="13"/>
  <c r="G178" i="13"/>
  <c r="G177" i="13"/>
  <c r="G176" i="13"/>
  <c r="G175" i="13"/>
  <c r="G174" i="13"/>
  <c r="G173" i="13"/>
  <c r="G172" i="13"/>
  <c r="G171" i="13"/>
  <c r="G170" i="13"/>
  <c r="G169" i="13"/>
  <c r="G168" i="13"/>
  <c r="G167" i="13"/>
  <c r="G166" i="13"/>
  <c r="G165" i="13"/>
  <c r="G164" i="13"/>
  <c r="G163" i="13"/>
  <c r="G162" i="13"/>
  <c r="G161" i="13"/>
  <c r="G160" i="13"/>
  <c r="G159" i="13"/>
  <c r="G158" i="13"/>
  <c r="G157" i="13"/>
  <c r="G156" i="13"/>
  <c r="G155" i="13"/>
  <c r="G154" i="13"/>
  <c r="G153" i="13"/>
  <c r="G152" i="13"/>
  <c r="G151" i="13"/>
  <c r="G150" i="13"/>
  <c r="G149" i="13"/>
  <c r="G148" i="13"/>
  <c r="G147" i="13"/>
  <c r="G146" i="13"/>
  <c r="G145" i="13"/>
  <c r="G144" i="13"/>
  <c r="G143" i="13"/>
  <c r="G142" i="13"/>
  <c r="G141" i="13"/>
  <c r="G140" i="13"/>
  <c r="G139" i="13"/>
  <c r="G138" i="13"/>
  <c r="G137" i="13"/>
  <c r="G136" i="13"/>
  <c r="G135" i="13"/>
  <c r="G134" i="13"/>
  <c r="G133" i="13"/>
  <c r="G132" i="13"/>
  <c r="G131" i="13"/>
  <c r="G130" i="13"/>
  <c r="G129" i="13"/>
  <c r="G128" i="13"/>
  <c r="G127" i="13"/>
  <c r="G126" i="13"/>
  <c r="G125" i="13"/>
  <c r="G124" i="13"/>
  <c r="G123" i="13"/>
  <c r="G122" i="13"/>
  <c r="G121" i="13"/>
  <c r="G120" i="13"/>
  <c r="G119" i="13"/>
  <c r="G118" i="13"/>
  <c r="G117" i="13"/>
  <c r="G116" i="13"/>
  <c r="G115" i="13"/>
  <c r="G114" i="13"/>
  <c r="G113" i="13"/>
  <c r="G112" i="13"/>
  <c r="G111" i="13"/>
  <c r="G110" i="13"/>
  <c r="G109" i="13"/>
  <c r="G108" i="13"/>
  <c r="G107" i="13"/>
  <c r="G106" i="13"/>
  <c r="G105" i="13"/>
  <c r="G104" i="13"/>
  <c r="G103" i="13"/>
  <c r="G102" i="13"/>
  <c r="G101" i="13"/>
  <c r="G100" i="13"/>
  <c r="G99" i="13"/>
  <c r="G98" i="13"/>
  <c r="G97" i="13"/>
  <c r="G96" i="13"/>
  <c r="G95" i="13"/>
  <c r="G94" i="13"/>
  <c r="G93" i="13"/>
  <c r="G92" i="13"/>
  <c r="G91" i="13"/>
  <c r="G90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57" i="13"/>
  <c r="G56" i="13"/>
  <c r="G55" i="13"/>
  <c r="G54" i="13"/>
  <c r="G53" i="13"/>
  <c r="G52" i="13"/>
  <c r="G51" i="13"/>
  <c r="G50" i="13"/>
  <c r="G49" i="13"/>
  <c r="G48" i="13"/>
  <c r="G47" i="13"/>
  <c r="G46" i="13"/>
  <c r="G45" i="13"/>
  <c r="G44" i="13"/>
  <c r="G43" i="13"/>
  <c r="G42" i="13"/>
  <c r="G41" i="13"/>
  <c r="G40" i="13"/>
  <c r="G39" i="13"/>
  <c r="G38" i="13"/>
  <c r="G37" i="13"/>
  <c r="G36" i="13"/>
  <c r="G35" i="13"/>
  <c r="G34" i="13"/>
  <c r="G33" i="13"/>
  <c r="G32" i="13"/>
  <c r="G31" i="13"/>
  <c r="G30" i="13"/>
  <c r="G29" i="13"/>
  <c r="G28" i="13"/>
  <c r="G27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F345" i="11"/>
  <c r="E345" i="11"/>
  <c r="D345" i="11"/>
  <c r="C345" i="11"/>
  <c r="F345" i="10"/>
  <c r="E345" i="10"/>
  <c r="D345" i="10"/>
  <c r="C345" i="10"/>
</calcChain>
</file>

<file path=xl/sharedStrings.xml><?xml version="1.0" encoding="utf-8"?>
<sst xmlns="http://schemas.openxmlformats.org/spreadsheetml/2006/main" count="3610" uniqueCount="774">
  <si>
    <t>Codigo</t>
  </si>
  <si>
    <t>Municipio</t>
  </si>
  <si>
    <t>Sucre</t>
  </si>
  <si>
    <t>Yotala</t>
  </si>
  <si>
    <t>Poroma</t>
  </si>
  <si>
    <t>Azurduy</t>
  </si>
  <si>
    <t>Tarvita</t>
  </si>
  <si>
    <t>Zudáñez</t>
  </si>
  <si>
    <t>Presto</t>
  </si>
  <si>
    <t>Mojocoya</t>
  </si>
  <si>
    <t>Icla</t>
  </si>
  <si>
    <t>Padilla</t>
  </si>
  <si>
    <t>Tomina</t>
  </si>
  <si>
    <t>Sopachuy</t>
  </si>
  <si>
    <t>Villa Alcalá</t>
  </si>
  <si>
    <t>El Villar</t>
  </si>
  <si>
    <t>Monteagudo</t>
  </si>
  <si>
    <t>Huacareta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</si>
  <si>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</si>
  <si>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</si>
  <si>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</si>
  <si>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</si>
  <si>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</si>
  <si>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</si>
  <si>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</si>
  <si>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 (Camataqui)</t>
  </si>
  <si>
    <t>Culpina</t>
  </si>
  <si>
    <t>Las Carreras</t>
  </si>
  <si>
    <t>Muyupampa (Villa Vaca Gúzman)</t>
  </si>
  <si>
    <t>Huacaya</t>
  </si>
  <si>
    <t>Macharéti</t>
  </si>
  <si>
    <t>La Paz</t>
  </si>
  <si>
    <t>Palca</t>
  </si>
  <si>
    <t>Mecapaca</t>
  </si>
  <si>
    <t>Achocalla</t>
  </si>
  <si>
    <t>El Alto</t>
  </si>
  <si>
    <t>Achacachi</t>
  </si>
  <si>
    <t>Ancoraimes</t>
  </si>
  <si>
    <t>Chua Cocani</t>
  </si>
  <si>
    <t>Huarina</t>
  </si>
  <si>
    <t>Santiago de Huata</t>
  </si>
  <si>
    <t>Huatajata</t>
  </si>
  <si>
    <t>Corocoro</t>
  </si>
  <si>
    <t>Caquiaviri</t>
  </si>
  <si>
    <t>Calacoto</t>
  </si>
  <si>
    <t>Comanche</t>
  </si>
  <si>
    <t>Charaña</t>
  </si>
  <si>
    <t>Waldo Ballivián</t>
  </si>
  <si>
    <t>Nazacara de Pacajes</t>
  </si>
  <si>
    <t>Callapa</t>
  </si>
  <si>
    <t>Puerto Acosta</t>
  </si>
  <si>
    <t>Mocomoco</t>
  </si>
  <si>
    <t>Pto.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</si>
  <si>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</si>
  <si>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</si>
  <si>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</si>
  <si>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</si>
  <si>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</si>
  <si>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</si>
  <si>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</si>
  <si>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</si>
  <si>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</si>
  <si>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</si>
  <si>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</si>
  <si>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</si>
  <si>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</si>
  <si>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</si>
  <si>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</si>
  <si>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</si>
  <si>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Guaqui</t>
  </si>
  <si>
    <t>Tiawanacu</t>
  </si>
  <si>
    <t>Desaguadero</t>
  </si>
  <si>
    <t>San Andres de Machaca</t>
  </si>
  <si>
    <t>Jesús de Machaca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</si>
  <si>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</si>
  <si>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</si>
  <si>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</si>
  <si>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</si>
  <si>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</si>
  <si>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</si>
  <si>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</si>
  <si>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</si>
  <si>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</si>
  <si>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</si>
  <si>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</si>
  <si>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</si>
  <si>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</si>
  <si>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</si>
  <si>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</si>
  <si>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</si>
  <si>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</si>
  <si>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</si>
  <si>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</si>
  <si>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</si>
  <si>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</si>
  <si>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 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</si>
  <si>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</si>
  <si>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</si>
  <si>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</si>
  <si>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</si>
  <si>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</si>
  <si>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</si>
  <si>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</si>
  <si>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</si>
  <si>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 xml:space="preserve">Ixiamas </t>
  </si>
  <si>
    <t>San Buenaventura</t>
  </si>
  <si>
    <t>Charazani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</si>
  <si>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</si>
  <si>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</si>
  <si>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</si>
  <si>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</si>
  <si>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</si>
  <si>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</si>
  <si>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</si>
  <si>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</si>
  <si>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</si>
  <si>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</si>
  <si>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</si>
  <si>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 xml:space="preserve">Cochabamba </t>
  </si>
  <si>
    <t>Aiquile</t>
  </si>
  <si>
    <t>Pasorapa</t>
  </si>
  <si>
    <t>Omereque</t>
  </si>
  <si>
    <t>Independencia</t>
  </si>
  <si>
    <t>Morochata</t>
  </si>
  <si>
    <t>Cocapata</t>
  </si>
  <si>
    <t xml:space="preserve">Tarata </t>
  </si>
  <si>
    <t>Anzaldo</t>
  </si>
  <si>
    <t>Arbieto</t>
  </si>
  <si>
    <t>Sacabamba</t>
  </si>
  <si>
    <t>Arani</t>
  </si>
  <si>
    <t>Vacas</t>
  </si>
  <si>
    <t xml:space="preserve">Arque </t>
  </si>
  <si>
    <t>Tacopaya</t>
  </si>
  <si>
    <t>Capinota</t>
  </si>
  <si>
    <t>Santivañez</t>
  </si>
  <si>
    <t>Sicaya</t>
  </si>
  <si>
    <t>Cliza</t>
  </si>
  <si>
    <t>Toko</t>
  </si>
  <si>
    <t>Tolata</t>
  </si>
  <si>
    <t>Quillacollo</t>
  </si>
  <si>
    <t>Sipesipe</t>
  </si>
  <si>
    <t>Tiquipaya</t>
  </si>
  <si>
    <t xml:space="preserve">Vinto </t>
  </si>
  <si>
    <t>Colcapirhua</t>
  </si>
  <si>
    <t>Sacaba</t>
  </si>
  <si>
    <t>Colomi</t>
  </si>
  <si>
    <t>Villa Tunari</t>
  </si>
  <si>
    <t>Tapacarí</t>
  </si>
  <si>
    <t xml:space="preserve">Totora 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</si>
  <si>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</si>
  <si>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</si>
  <si>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</si>
  <si>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</si>
  <si>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</si>
  <si>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</si>
  <si>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</si>
  <si>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</si>
  <si>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</si>
  <si>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</si>
  <si>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</si>
  <si>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</si>
  <si>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</si>
  <si>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</t>
  </si>
  <si>
    <t>Bolivar</t>
  </si>
  <si>
    <t>Tiraque</t>
  </si>
  <si>
    <t>Shinahota</t>
  </si>
  <si>
    <t>Oruro</t>
  </si>
  <si>
    <t>Caracollo</t>
  </si>
  <si>
    <t>El Choro</t>
  </si>
  <si>
    <t>Pari - Paría - Soracachi</t>
  </si>
  <si>
    <t>Challapata</t>
  </si>
  <si>
    <t>Quillacas</t>
  </si>
  <si>
    <t>Corque</t>
  </si>
  <si>
    <t>Choque Cota</t>
  </si>
  <si>
    <t>Curahuara de Carangas</t>
  </si>
  <si>
    <t>Turco</t>
  </si>
  <si>
    <t>Huachacalla</t>
  </si>
  <si>
    <t>Escara</t>
  </si>
  <si>
    <t>Cruz de Machacamarca</t>
  </si>
  <si>
    <t>Yunguyo de Litoral</t>
  </si>
  <si>
    <t>Esmeralda</t>
  </si>
  <si>
    <t>Poopó</t>
  </si>
  <si>
    <t>Pazña</t>
  </si>
  <si>
    <t>Antequera</t>
  </si>
  <si>
    <t>Huanuni</t>
  </si>
  <si>
    <t>Machacamarca</t>
  </si>
  <si>
    <t>Salinas de García Mendoza</t>
  </si>
  <si>
    <t>Pampa Aullagas</t>
  </si>
  <si>
    <t>Sabaya</t>
  </si>
  <si>
    <t>Coipasa</t>
  </si>
  <si>
    <t>Chipaya</t>
  </si>
  <si>
    <t>Toledo</t>
  </si>
  <si>
    <t>Eucaliptus</t>
  </si>
  <si>
    <t>Santiago de Andamarca</t>
  </si>
  <si>
    <t>Belén de Andamarca</t>
  </si>
  <si>
    <t>San Pedro de Totora</t>
  </si>
  <si>
    <t>Huari</t>
  </si>
  <si>
    <t>La Rivera</t>
  </si>
  <si>
    <t>Todos Santos</t>
  </si>
  <si>
    <t>Carangas</t>
  </si>
  <si>
    <t>Huayllamarca</t>
  </si>
  <si>
    <t>Potosí</t>
  </si>
  <si>
    <t>Tinguipaya</t>
  </si>
  <si>
    <t>Yocalla</t>
  </si>
  <si>
    <t>Urmiri</t>
  </si>
  <si>
    <t xml:space="preserve">Uncía </t>
  </si>
  <si>
    <t>Chayanta</t>
  </si>
  <si>
    <t>Llallagua</t>
  </si>
  <si>
    <t>Chuquiuta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</si>
  <si>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</si>
  <si>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</si>
  <si>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</si>
  <si>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</si>
  <si>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</si>
  <si>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</si>
  <si>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</si>
  <si>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</si>
  <si>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S. P. de Buena Vista</t>
  </si>
  <si>
    <t>Toro Toro</t>
  </si>
  <si>
    <t>Cotagaita</t>
  </si>
  <si>
    <t>Vitichi</t>
  </si>
  <si>
    <t>Villa de Sacaca</t>
  </si>
  <si>
    <t>Caripuyo</t>
  </si>
  <si>
    <t>Tupiza</t>
  </si>
  <si>
    <t>Atocha</t>
  </si>
  <si>
    <t>Colcha "K"</t>
  </si>
  <si>
    <t>San Pedro de Quemes</t>
  </si>
  <si>
    <t>San Pablo de Lipez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</si>
  <si>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</si>
  <si>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</si>
  <si>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</si>
  <si>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</si>
  <si>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</si>
  <si>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</si>
  <si>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</si>
  <si>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</si>
  <si>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TIOC-Jatun Ayllu Yura</t>
  </si>
  <si>
    <t>Arampampa</t>
  </si>
  <si>
    <t>Acasio</t>
  </si>
  <si>
    <t>Llica</t>
  </si>
  <si>
    <t>Tahua</t>
  </si>
  <si>
    <t>Villazón</t>
  </si>
  <si>
    <t>San Agustín</t>
  </si>
  <si>
    <t>Tarija</t>
  </si>
  <si>
    <t>Padcaya</t>
  </si>
  <si>
    <t>Bermejo</t>
  </si>
  <si>
    <t>Yacuiba</t>
  </si>
  <si>
    <t>Caraparí</t>
  </si>
  <si>
    <t>Villamontes</t>
  </si>
  <si>
    <t>Uriondo</t>
  </si>
  <si>
    <t>Yunchará</t>
  </si>
  <si>
    <t>Villa 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</si>
  <si>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</si>
  <si>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</si>
  <si>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</si>
  <si>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</si>
  <si>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</si>
  <si>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</si>
  <si>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</si>
  <si>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</si>
  <si>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 de Velazco</t>
  </si>
  <si>
    <t>San Miguel de Velazco</t>
  </si>
  <si>
    <t>San Rafael</t>
  </si>
  <si>
    <t>Buena Vista</t>
  </si>
  <si>
    <t>San Carlos</t>
  </si>
  <si>
    <t>Yapacaní</t>
  </si>
  <si>
    <t>San Juan de Yapacaní</t>
  </si>
  <si>
    <t>San José de Chiquitos</t>
  </si>
  <si>
    <t>Pailón</t>
  </si>
  <si>
    <t>Roboré</t>
  </si>
  <si>
    <t>Portachuelo</t>
  </si>
  <si>
    <t>Santa Rosa del Sara</t>
  </si>
  <si>
    <t>Colpa Belgica</t>
  </si>
  <si>
    <t>Lagunillas</t>
  </si>
  <si>
    <t>Charagua</t>
  </si>
  <si>
    <t>Cabezas</t>
  </si>
  <si>
    <t xml:space="preserve">Cuevo </t>
  </si>
  <si>
    <t>Gutiérrez</t>
  </si>
  <si>
    <t>Camiri</t>
  </si>
  <si>
    <t>Boyuibe</t>
  </si>
  <si>
    <t>Vallegrande</t>
  </si>
  <si>
    <t xml:space="preserve">Trigal </t>
  </si>
  <si>
    <t>Moro Moro</t>
  </si>
  <si>
    <t>Postrer Valle</t>
  </si>
  <si>
    <t>Pucará</t>
  </si>
  <si>
    <t>Samaipata</t>
  </si>
  <si>
    <t>Pampa Grande</t>
  </si>
  <si>
    <t>Mairana</t>
  </si>
  <si>
    <t>Quirusillas</t>
  </si>
  <si>
    <t>Montero</t>
  </si>
  <si>
    <t>Gral. Saavedra</t>
  </si>
  <si>
    <t>Mineros</t>
  </si>
  <si>
    <t>Fernández Alonzo</t>
  </si>
  <si>
    <t>San Pedro</t>
  </si>
  <si>
    <t>Concepción</t>
  </si>
  <si>
    <t>San Javier</t>
  </si>
  <si>
    <t>San Ramón</t>
  </si>
  <si>
    <t>San Julián</t>
  </si>
  <si>
    <t>San Antonio de Lomerío</t>
  </si>
  <si>
    <t>Cuatro Cañadas</t>
  </si>
  <si>
    <t>San Matías</t>
  </si>
  <si>
    <t>Comarapa</t>
  </si>
  <si>
    <t>Saipina</t>
  </si>
  <si>
    <t>Puerto Suárez</t>
  </si>
  <si>
    <t>Puerto Quijarro</t>
  </si>
  <si>
    <t>Carmen Rivero Tórrez</t>
  </si>
  <si>
    <t>Ascensión de Guarayos</t>
  </si>
  <si>
    <t>Urubichá</t>
  </si>
  <si>
    <t>Trinidad</t>
  </si>
  <si>
    <t>Riberalta</t>
  </si>
  <si>
    <t>Guayaramerín</t>
  </si>
  <si>
    <t>Reyes</t>
  </si>
  <si>
    <t>San Borja</t>
  </si>
  <si>
    <t>Santa Rosa</t>
  </si>
  <si>
    <t>Rurrenabaque</t>
  </si>
  <si>
    <t>Santa Ana de Yacuma</t>
  </si>
  <si>
    <t>Exaltación</t>
  </si>
  <si>
    <t>San Ignacio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</si>
  <si>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</si>
  <si>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</si>
  <si>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</si>
  <si>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</si>
  <si>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</si>
  <si>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</si>
  <si>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</si>
  <si>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TIOC-Territorio Indígena Multiétnico</t>
  </si>
  <si>
    <t xml:space="preserve">Cobija </t>
  </si>
  <si>
    <t>Porvenir</t>
  </si>
  <si>
    <t>Bolpebra</t>
  </si>
  <si>
    <t>Bella Flor</t>
  </si>
  <si>
    <t xml:space="preserve">Puerto Rico </t>
  </si>
  <si>
    <t>Filadelfia</t>
  </si>
  <si>
    <t>Puerto Gonzalez Moreno</t>
  </si>
  <si>
    <t>San Lorenzo</t>
  </si>
  <si>
    <t>Sena</t>
  </si>
  <si>
    <t xml:space="preserve">Santa Rosa </t>
  </si>
  <si>
    <t>Ingavi</t>
  </si>
  <si>
    <t>Nueva Esperanza</t>
  </si>
  <si>
    <t>Villa Nueva (Loma Alta)</t>
  </si>
  <si>
    <t>Santos Mercado</t>
  </si>
  <si>
    <t>id</t>
  </si>
  <si>
    <t>Departamento</t>
  </si>
  <si>
    <t>Chuquisaca</t>
  </si>
  <si>
    <t>Beni</t>
  </si>
  <si>
    <t>Bolivia</t>
  </si>
  <si>
    <t>Cochabamba</t>
  </si>
  <si>
    <t>Gran Chaco</t>
  </si>
  <si>
    <t>Pando</t>
  </si>
  <si>
    <t>Santa Cruz</t>
  </si>
  <si>
    <t>id_departamento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</si>
  <si>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</si>
  <si>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</si>
  <si>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</si>
  <si>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</si>
  <si>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</si>
  <si>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</si>
  <si>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</si>
  <si>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</si>
  <si>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</si>
  <si>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</si>
  <si>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Indice de Vulnerabilidad al Cambio Climatico</t>
  </si>
  <si>
    <t>IVCC 2024</t>
  </si>
  <si>
    <t>IVCC 2012</t>
  </si>
  <si>
    <t>Nombre</t>
  </si>
  <si>
    <t>Valor_0</t>
  </si>
  <si>
    <t>Valor_1</t>
  </si>
  <si>
    <t>Valor_2</t>
  </si>
  <si>
    <t>Valor_3</t>
  </si>
  <si>
    <t>TOTAL</t>
  </si>
  <si>
    <t>71402</t>
  </si>
  <si>
    <t>90101</t>
  </si>
  <si>
    <t>Cobija</t>
  </si>
  <si>
    <t>20105</t>
  </si>
  <si>
    <t>60202</t>
  </si>
  <si>
    <t>71201</t>
  </si>
  <si>
    <t>60301</t>
  </si>
  <si>
    <t>60303</t>
  </si>
  <si>
    <t>Villa Montes</t>
  </si>
  <si>
    <t>10502</t>
  </si>
  <si>
    <t>20104</t>
  </si>
  <si>
    <t>30101</t>
  </si>
  <si>
    <t>70501</t>
  </si>
  <si>
    <t>70503</t>
  </si>
  <si>
    <t>70303</t>
  </si>
  <si>
    <t>80401</t>
  </si>
  <si>
    <t>Santa Ana</t>
  </si>
  <si>
    <t>21202</t>
  </si>
  <si>
    <t>31001</t>
  </si>
  <si>
    <t>70102</t>
  </si>
  <si>
    <t>31205</t>
  </si>
  <si>
    <t>30905</t>
  </si>
  <si>
    <t>40702</t>
  </si>
  <si>
    <t>71004</t>
  </si>
  <si>
    <t>Fernández Alonso</t>
  </si>
  <si>
    <t>60601</t>
  </si>
  <si>
    <t>21702</t>
  </si>
  <si>
    <t>20801</t>
  </si>
  <si>
    <t>30903</t>
  </si>
  <si>
    <t>20202</t>
  </si>
  <si>
    <t>Villa Ancoraimes</t>
  </si>
  <si>
    <t>20804</t>
  </si>
  <si>
    <t>21104</t>
  </si>
  <si>
    <t>20101</t>
  </si>
  <si>
    <t>Nuestra Señora de La Paz</t>
  </si>
  <si>
    <t>80304</t>
  </si>
  <si>
    <t>Puerto Menor de Rurrenabaque</t>
  </si>
  <si>
    <t>11001</t>
  </si>
  <si>
    <t>Villa Vaca Guzmán</t>
  </si>
  <si>
    <t>71104</t>
  </si>
  <si>
    <t>21201</t>
  </si>
  <si>
    <t>51501</t>
  </si>
  <si>
    <t>30904</t>
  </si>
  <si>
    <t>Vinto</t>
  </si>
  <si>
    <t>20805</t>
  </si>
  <si>
    <t>La (Marka) San Andrés de Machaca</t>
  </si>
  <si>
    <t>71403</t>
  </si>
  <si>
    <t>El Carmen Rivero Tórrez</t>
  </si>
  <si>
    <t>40301</t>
  </si>
  <si>
    <t>21902</t>
  </si>
  <si>
    <t>31403</t>
  </si>
  <si>
    <t>21301</t>
  </si>
  <si>
    <t>Sicasica</t>
  </si>
  <si>
    <t>50201</t>
  </si>
  <si>
    <t>Uncía</t>
  </si>
  <si>
    <t>70404</t>
  </si>
  <si>
    <t>San Juan</t>
  </si>
  <si>
    <t>70101</t>
  </si>
  <si>
    <t>40602</t>
  </si>
  <si>
    <t>80303</t>
  </si>
  <si>
    <t>71003</t>
  </si>
  <si>
    <t>40201</t>
  </si>
  <si>
    <t>31602</t>
  </si>
  <si>
    <t>70801</t>
  </si>
  <si>
    <t>21003</t>
  </si>
  <si>
    <t>90102</t>
  </si>
  <si>
    <t>60101</t>
  </si>
  <si>
    <t>21305</t>
  </si>
  <si>
    <t>70402</t>
  </si>
  <si>
    <t>50203</t>
  </si>
  <si>
    <t>10801</t>
  </si>
  <si>
    <t>70706</t>
  </si>
  <si>
    <t>21703</t>
  </si>
  <si>
    <t>20405</t>
  </si>
  <si>
    <t>40101</t>
  </si>
  <si>
    <t>21306</t>
  </si>
  <si>
    <t>70104</t>
  </si>
  <si>
    <t>20607</t>
  </si>
  <si>
    <t>31401</t>
  </si>
  <si>
    <t>10901</t>
  </si>
  <si>
    <t>Villa Abecia</t>
  </si>
  <si>
    <t>30201</t>
  </si>
  <si>
    <t>20103</t>
  </si>
  <si>
    <t>30801</t>
  </si>
  <si>
    <t>31002</t>
  </si>
  <si>
    <t>20902</t>
  </si>
  <si>
    <t>40701</t>
  </si>
  <si>
    <t>30403</t>
  </si>
  <si>
    <t>30902</t>
  </si>
  <si>
    <t>40601</t>
  </si>
  <si>
    <t>20306</t>
  </si>
  <si>
    <t>20403</t>
  </si>
  <si>
    <t>Puerto Mayor de Carabuco</t>
  </si>
  <si>
    <t>10101</t>
  </si>
  <si>
    <t>20606</t>
  </si>
  <si>
    <t>10501</t>
  </si>
  <si>
    <t>21103</t>
  </si>
  <si>
    <t>80302</t>
  </si>
  <si>
    <t>21601</t>
  </si>
  <si>
    <t>10702</t>
  </si>
  <si>
    <t>20602</t>
  </si>
  <si>
    <t>70602</t>
  </si>
  <si>
    <t>10201</t>
  </si>
  <si>
    <t>70603</t>
  </si>
  <si>
    <t>Colpa Bélgica</t>
  </si>
  <si>
    <t>71002</t>
  </si>
  <si>
    <t>General Saavedra</t>
  </si>
  <si>
    <t>20206</t>
  </si>
  <si>
    <t>10704</t>
  </si>
  <si>
    <t>31204</t>
  </si>
  <si>
    <t>21307</t>
  </si>
  <si>
    <t>10202</t>
  </si>
  <si>
    <t>10701</t>
  </si>
  <si>
    <t>20601</t>
  </si>
  <si>
    <t>31302</t>
  </si>
  <si>
    <t>50101</t>
  </si>
  <si>
    <t>51101</t>
  </si>
  <si>
    <t>71401</t>
  </si>
  <si>
    <t>10401</t>
  </si>
  <si>
    <t>20605</t>
  </si>
  <si>
    <t>10304</t>
  </si>
  <si>
    <t>21006</t>
  </si>
  <si>
    <t>10402</t>
  </si>
  <si>
    <t>20904</t>
  </si>
  <si>
    <t>51302</t>
  </si>
  <si>
    <t>71301</t>
  </si>
  <si>
    <t>30901</t>
  </si>
  <si>
    <t>31301</t>
  </si>
  <si>
    <t>20901</t>
  </si>
  <si>
    <t>21004</t>
  </si>
  <si>
    <t>31003</t>
  </si>
  <si>
    <t>21105</t>
  </si>
  <si>
    <t>10303</t>
  </si>
  <si>
    <t>10301</t>
  </si>
  <si>
    <t>70802</t>
  </si>
  <si>
    <t>Trigal</t>
  </si>
  <si>
    <t>70403</t>
  </si>
  <si>
    <t>22002</t>
  </si>
  <si>
    <t>21502</t>
  </si>
  <si>
    <t>70301</t>
  </si>
  <si>
    <t>San Ignacio de Velasco</t>
  </si>
  <si>
    <t>20303</t>
  </si>
  <si>
    <t>50602</t>
  </si>
  <si>
    <t>Vitiche</t>
  </si>
  <si>
    <t>80501</t>
  </si>
  <si>
    <t>60302</t>
  </si>
  <si>
    <t>30702</t>
  </si>
  <si>
    <t>40501</t>
  </si>
  <si>
    <t>70202</t>
  </si>
  <si>
    <t>40401</t>
  </si>
  <si>
    <t>40902</t>
  </si>
  <si>
    <t>50801</t>
  </si>
  <si>
    <t>10404</t>
  </si>
  <si>
    <t>Alcalá</t>
  </si>
  <si>
    <t>30803</t>
  </si>
  <si>
    <t>40104</t>
  </si>
  <si>
    <t>Paria</t>
  </si>
  <si>
    <t>70704</t>
  </si>
  <si>
    <t>Cuevo</t>
  </si>
  <si>
    <t>21204</t>
  </si>
  <si>
    <t>40102</t>
  </si>
  <si>
    <t>31202</t>
  </si>
  <si>
    <t>21302</t>
  </si>
  <si>
    <t>51301</t>
  </si>
  <si>
    <t>31402</t>
  </si>
  <si>
    <t>41601</t>
  </si>
  <si>
    <t>Santiago de Huayllamarca</t>
  </si>
  <si>
    <t>31206</t>
  </si>
  <si>
    <t>30402</t>
  </si>
  <si>
    <t>31501</t>
  </si>
  <si>
    <t>Bolívar</t>
  </si>
  <si>
    <t>30802</t>
  </si>
  <si>
    <t>Toco</t>
  </si>
  <si>
    <t>30401</t>
  </si>
  <si>
    <t>Tarata</t>
  </si>
  <si>
    <t>30404</t>
  </si>
  <si>
    <t>30202</t>
  </si>
  <si>
    <t>30501</t>
  </si>
  <si>
    <t>51001</t>
  </si>
  <si>
    <t>San Pablo</t>
  </si>
  <si>
    <t>70703</t>
  </si>
  <si>
    <t>51203</t>
  </si>
  <si>
    <t>20307</t>
  </si>
  <si>
    <t>71302</t>
  </si>
  <si>
    <t>71103</t>
  </si>
  <si>
    <t>51003</t>
  </si>
  <si>
    <t>21304</t>
  </si>
  <si>
    <t>20803</t>
  </si>
  <si>
    <t>Tiahuanacu</t>
  </si>
  <si>
    <t>21602</t>
  </si>
  <si>
    <t>70705</t>
  </si>
  <si>
    <t>Gutierrez (Autonomía Indígena Kereimba Iyaambae)</t>
  </si>
  <si>
    <t>70901</t>
  </si>
  <si>
    <t>10602</t>
  </si>
  <si>
    <t>40302</t>
  </si>
  <si>
    <t>Choquecota</t>
  </si>
  <si>
    <t>21203</t>
  </si>
  <si>
    <t>70105</t>
  </si>
  <si>
    <t>20806</t>
  </si>
  <si>
    <t>20401</t>
  </si>
  <si>
    <t>22001</t>
  </si>
  <si>
    <t>20802</t>
  </si>
  <si>
    <t>Puerto Mayor de Guaqui</t>
  </si>
  <si>
    <t>71001</t>
  </si>
  <si>
    <t>21401</t>
  </si>
  <si>
    <t>31404</t>
  </si>
  <si>
    <t>41101</t>
  </si>
  <si>
    <t>50301</t>
  </si>
  <si>
    <t>71005</t>
  </si>
  <si>
    <t>80901</t>
  </si>
  <si>
    <t>21402</t>
  </si>
  <si>
    <t>20203</t>
  </si>
  <si>
    <t>21701</t>
  </si>
  <si>
    <t>20201</t>
  </si>
  <si>
    <t>70903</t>
  </si>
  <si>
    <t>70601</t>
  </si>
  <si>
    <t>70707</t>
  </si>
  <si>
    <t>20204</t>
  </si>
  <si>
    <t>20301</t>
  </si>
  <si>
    <t>40502</t>
  </si>
  <si>
    <t>60201</t>
  </si>
  <si>
    <t>21102</t>
  </si>
  <si>
    <t>80802</t>
  </si>
  <si>
    <t>90301</t>
  </si>
  <si>
    <t>Puerto Gonzalo Moreno</t>
  </si>
  <si>
    <t>20404</t>
  </si>
  <si>
    <t>20807</t>
  </si>
  <si>
    <t>11003</t>
  </si>
  <si>
    <t>Macharetí</t>
  </si>
  <si>
    <t>80202</t>
  </si>
  <si>
    <t>80201</t>
  </si>
  <si>
    <t>21002</t>
  </si>
  <si>
    <t>21001</t>
  </si>
  <si>
    <t>90203</t>
  </si>
  <si>
    <t>20102</t>
  </si>
  <si>
    <t>80801</t>
  </si>
  <si>
    <t>71502</t>
  </si>
  <si>
    <t>90503</t>
  </si>
  <si>
    <t>41001</t>
  </si>
  <si>
    <t>41301</t>
  </si>
  <si>
    <t>Totora</t>
  </si>
  <si>
    <t>20308</t>
  </si>
  <si>
    <t>Santiago de Callapa</t>
  </si>
  <si>
    <t>90502</t>
  </si>
  <si>
    <t>Villa Nueva</t>
  </si>
  <si>
    <t>20701</t>
  </si>
  <si>
    <t>71501</t>
  </si>
  <si>
    <t>80803</t>
  </si>
  <si>
    <t>51201</t>
  </si>
  <si>
    <t>80701</t>
  </si>
  <si>
    <t>30303</t>
  </si>
  <si>
    <t>70701</t>
  </si>
  <si>
    <t>71102</t>
  </si>
  <si>
    <t>90302</t>
  </si>
  <si>
    <t>20205</t>
  </si>
  <si>
    <t>20905</t>
  </si>
  <si>
    <t>90104</t>
  </si>
  <si>
    <t>80703</t>
  </si>
  <si>
    <t>21005</t>
  </si>
  <si>
    <t>41202</t>
  </si>
  <si>
    <t>60501</t>
  </si>
  <si>
    <t>90202</t>
  </si>
  <si>
    <t>40802</t>
  </si>
  <si>
    <t>70201</t>
  </si>
  <si>
    <t>80101</t>
  </si>
  <si>
    <t>40505</t>
  </si>
  <si>
    <t>41401</t>
  </si>
  <si>
    <t>Santiago de Huari</t>
  </si>
  <si>
    <t>20702</t>
  </si>
  <si>
    <t>20402</t>
  </si>
  <si>
    <t>31303</t>
  </si>
  <si>
    <t>10903</t>
  </si>
  <si>
    <t>50104</t>
  </si>
  <si>
    <t>10902</t>
  </si>
  <si>
    <t>10403</t>
  </si>
  <si>
    <t>20503</t>
  </si>
  <si>
    <t>31101</t>
  </si>
  <si>
    <t>40504</t>
  </si>
  <si>
    <t>Yunguyo del Litoral</t>
  </si>
  <si>
    <t>20302</t>
  </si>
  <si>
    <t>10703</t>
  </si>
  <si>
    <t>21901</t>
  </si>
  <si>
    <t>20603</t>
  </si>
  <si>
    <t>30301</t>
  </si>
  <si>
    <t>Ayopaya</t>
  </si>
  <si>
    <t>20502</t>
  </si>
  <si>
    <t>30302</t>
  </si>
  <si>
    <t>50103</t>
  </si>
  <si>
    <t>20304</t>
  </si>
  <si>
    <t>30701</t>
  </si>
  <si>
    <t>20903</t>
  </si>
  <si>
    <t>51102</t>
  </si>
  <si>
    <t>10405</t>
  </si>
  <si>
    <t>20501</t>
  </si>
  <si>
    <t>60401</t>
  </si>
  <si>
    <t>21303</t>
  </si>
  <si>
    <t>70805</t>
  </si>
  <si>
    <t>20305</t>
  </si>
  <si>
    <t>30703</t>
  </si>
  <si>
    <t>70502</t>
  </si>
  <si>
    <t>71105</t>
  </si>
  <si>
    <t>21101</t>
  </si>
  <si>
    <t>10102</t>
  </si>
  <si>
    <t>51002</t>
  </si>
  <si>
    <t>20604</t>
  </si>
  <si>
    <t>10302</t>
  </si>
  <si>
    <t>50401</t>
  </si>
  <si>
    <t>71101</t>
  </si>
  <si>
    <t>20608</t>
  </si>
  <si>
    <t>51202</t>
  </si>
  <si>
    <t>70902</t>
  </si>
  <si>
    <t>Pampagrande</t>
  </si>
  <si>
    <t>40603</t>
  </si>
  <si>
    <t>90201</t>
  </si>
  <si>
    <t>Puerto Rico</t>
  </si>
  <si>
    <t>31405</t>
  </si>
  <si>
    <t>Villa Gualberto Villarroel</t>
  </si>
  <si>
    <t>30601</t>
  </si>
  <si>
    <t>Arque</t>
  </si>
  <si>
    <t>60402</t>
  </si>
  <si>
    <t>60502</t>
  </si>
  <si>
    <t>80301</t>
  </si>
  <si>
    <t>11002</t>
  </si>
  <si>
    <t>Huacaya (Autonomía Guarani Chaqueño de Huacaya)</t>
  </si>
  <si>
    <t>41501</t>
  </si>
  <si>
    <t>50702</t>
  </si>
  <si>
    <t>41503</t>
  </si>
  <si>
    <t>30502</t>
  </si>
  <si>
    <t>70401</t>
  </si>
  <si>
    <t>31601</t>
  </si>
  <si>
    <t>21501</t>
  </si>
  <si>
    <t>Ixiamas</t>
  </si>
  <si>
    <t>70904</t>
  </si>
  <si>
    <t>41502</t>
  </si>
  <si>
    <t>70804</t>
  </si>
  <si>
    <t>Postrervalle</t>
  </si>
  <si>
    <t>70803</t>
  </si>
  <si>
    <t>Moromoro</t>
  </si>
  <si>
    <t>50204</t>
  </si>
  <si>
    <t>Chuquihuta Ayllu Jucumani</t>
  </si>
  <si>
    <t>31201</t>
  </si>
  <si>
    <t>31203</t>
  </si>
  <si>
    <t>40402</t>
  </si>
  <si>
    <t>50403</t>
  </si>
  <si>
    <t>40901</t>
  </si>
  <si>
    <t>10103</t>
  </si>
  <si>
    <t>30203</t>
  </si>
  <si>
    <t>70702</t>
  </si>
  <si>
    <t>Charagua (Autonomía Guarani Charagua Iyambae)</t>
  </si>
  <si>
    <t>50302</t>
  </si>
  <si>
    <t>50701</t>
  </si>
  <si>
    <t>Sacaca</t>
  </si>
  <si>
    <t>21803</t>
  </si>
  <si>
    <t>70103</t>
  </si>
  <si>
    <t>50402</t>
  </si>
  <si>
    <t>50802</t>
  </si>
  <si>
    <t>51401</t>
  </si>
  <si>
    <t>50502</t>
  </si>
  <si>
    <t>40202</t>
  </si>
  <si>
    <t>Santuario de Quillacas</t>
  </si>
  <si>
    <t>51204</t>
  </si>
  <si>
    <t>50601</t>
  </si>
  <si>
    <t>40503</t>
  </si>
  <si>
    <t>40103</t>
  </si>
  <si>
    <t>71503</t>
  </si>
  <si>
    <t>50902</t>
  </si>
  <si>
    <t>21802</t>
  </si>
  <si>
    <t>40903</t>
  </si>
  <si>
    <t>Uru Chipaya (Nación Originaria Uru Chipaya)</t>
  </si>
  <si>
    <t>51402</t>
  </si>
  <si>
    <t>41201</t>
  </si>
  <si>
    <t>Andamarca</t>
  </si>
  <si>
    <t>21801</t>
  </si>
  <si>
    <t>40801</t>
  </si>
  <si>
    <t>Salinas de Garci Mendoza (Autonomía Indígena Originario Campesina de Salinas)</t>
  </si>
  <si>
    <t>51601</t>
  </si>
  <si>
    <t>50901</t>
  </si>
  <si>
    <t>80702</t>
  </si>
  <si>
    <t>70302</t>
  </si>
  <si>
    <t>San Miguel de Velasco</t>
  </si>
  <si>
    <t>71106</t>
  </si>
  <si>
    <t>80601</t>
  </si>
  <si>
    <t>80102</t>
  </si>
  <si>
    <t>80602</t>
  </si>
  <si>
    <t>80402</t>
  </si>
  <si>
    <t>90303</t>
  </si>
  <si>
    <t>90501</t>
  </si>
  <si>
    <t>30602</t>
  </si>
  <si>
    <t>51103</t>
  </si>
  <si>
    <t>10601</t>
  </si>
  <si>
    <t>50405</t>
  </si>
  <si>
    <t>50303</t>
  </si>
  <si>
    <t>90103</t>
  </si>
  <si>
    <t>50202</t>
  </si>
  <si>
    <t>31304</t>
  </si>
  <si>
    <t>50102</t>
  </si>
  <si>
    <t>50404</t>
  </si>
  <si>
    <t>50501</t>
  </si>
  <si>
    <t>90401</t>
  </si>
  <si>
    <t>90402</t>
  </si>
  <si>
    <t>TOTAL_2024</t>
  </si>
  <si>
    <t>TOTAL_2012</t>
  </si>
  <si>
    <t>total_2012</t>
  </si>
  <si>
    <t>total_2024</t>
  </si>
  <si>
    <t>hj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</si>
</sst>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00"/>
    <numFmt numFmtId="166" formatCode="0.0"/>
    <numFmt numFmtId="167" formatCode="#,##0.0"/>
  </numFmts>
  <fonts count="13">
    <font>
      <sz val="10"/>
      <color rgb="FF000000"/>
      <name val="Arial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9"/>
      <color theme="1"/>
      <name val="Arial"/>
      <family val="2"/>
    </font>
    <font>
      <sz val="10"/>
      <color theme="1"/>
      <name val="Arial"/>
      <family val="2"/>
      <scheme val="minor"/>
    </font>
    <font>
      <b/>
      <sz val="9"/>
      <color theme="1"/>
      <name val="Play"/>
    </font>
    <font>
      <sz val="11"/>
      <color theme="1"/>
      <name val="Aptos Narrow"/>
      <family val="2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b/>
      <sz val="11"/>
      <color rgb="FFFFFFFF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  <fill>
      <patternFill patternType="solid">
        <fgColor rgb="FF2E4057"/>
      </patternFill>
    </fill>
    <fill>
      <patternFill patternType="solid">
        <fgColor rgb="FFE8F4F8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9" fillId="0" borderId="0"/>
  </cellStyleXfs>
  <cellXfs count="50">
    <xf numFmtId="0" fontId="0" fillId="0" borderId="0" xfId="0"/>
    <xf numFmtId="0" fontId="1" fillId="2" borderId="0" xfId="0" applyFont="1" applyFill="1"/>
    <xf numFmtId="3" fontId="1" fillId="2" borderId="0" xfId="0" applyNumberFormat="1" applyFont="1" applyFill="1"/>
    <xf numFmtId="164" fontId="1" fillId="0" borderId="0" xfId="0" applyNumberFormat="1" applyFont="1"/>
    <xf numFmtId="0" fontId="1" fillId="0" borderId="0" xfId="0" applyFont="1"/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3" fontId="2" fillId="0" borderId="1" xfId="0" applyNumberFormat="1" applyFont="1" applyBorder="1"/>
    <xf numFmtId="3" fontId="2" fillId="0" borderId="0" xfId="0" applyNumberFormat="1" applyFont="1" applyAlignment="1">
      <alignment horizontal="right"/>
    </xf>
    <xf numFmtId="0" fontId="2" fillId="0" borderId="1" xfId="0" applyFont="1" applyBorder="1"/>
    <xf numFmtId="3" fontId="2" fillId="0" borderId="1" xfId="0" applyNumberFormat="1" applyFont="1" applyBorder="1" applyAlignment="1">
      <alignment wrapText="1"/>
    </xf>
    <xf numFmtId="1" fontId="2" fillId="0" borderId="0" xfId="0" applyNumberFormat="1" applyFont="1"/>
    <xf numFmtId="0" fontId="2" fillId="0" borderId="1" xfId="0" applyFont="1" applyBorder="1" applyAlignment="1">
      <alignment horizontal="right"/>
    </xf>
    <xf numFmtId="164" fontId="2" fillId="0" borderId="1" xfId="0" applyNumberFormat="1" applyFont="1" applyBorder="1"/>
    <xf numFmtId="49" fontId="2" fillId="0" borderId="1" xfId="0" applyNumberFormat="1" applyFont="1" applyBorder="1"/>
    <xf numFmtId="0" fontId="5" fillId="2" borderId="0" xfId="0" applyFont="1" applyFill="1"/>
    <xf numFmtId="0" fontId="4" fillId="2" borderId="0" xfId="0" applyFont="1" applyFill="1" applyAlignment="1">
      <alignment horizontal="right"/>
    </xf>
    <xf numFmtId="49" fontId="1" fillId="0" borderId="0" xfId="0" applyNumberFormat="1" applyFont="1"/>
    <xf numFmtId="3" fontId="1" fillId="0" borderId="0" xfId="0" applyNumberFormat="1" applyFont="1"/>
    <xf numFmtId="49" fontId="2" fillId="0" borderId="0" xfId="0" applyNumberFormat="1" applyFont="1"/>
    <xf numFmtId="1" fontId="5" fillId="0" borderId="0" xfId="0" applyNumberFormat="1" applyFont="1"/>
    <xf numFmtId="3" fontId="5" fillId="0" borderId="0" xfId="0" applyNumberFormat="1" applyFont="1"/>
    <xf numFmtId="49" fontId="5" fillId="0" borderId="0" xfId="0" applyNumberFormat="1" applyFont="1"/>
    <xf numFmtId="49" fontId="2" fillId="0" borderId="1" xfId="0" applyNumberFormat="1" applyFont="1" applyBorder="1" applyAlignment="1">
      <alignment wrapText="1"/>
    </xf>
    <xf numFmtId="0" fontId="5" fillId="0" borderId="0" xfId="0" applyFont="1" applyAlignment="1">
      <alignment wrapText="1"/>
    </xf>
    <xf numFmtId="0" fontId="3" fillId="3" borderId="1" xfId="0" applyFont="1" applyFill="1" applyBorder="1"/>
    <xf numFmtId="0" fontId="6" fillId="4" borderId="1" xfId="0" applyFont="1" applyFill="1" applyBorder="1" applyAlignment="1">
      <alignment horizontal="center" wrapText="1"/>
    </xf>
    <xf numFmtId="0" fontId="6" fillId="5" borderId="1" xfId="0" applyFont="1" applyFill="1" applyBorder="1" applyAlignment="1">
      <alignment horizontal="center" wrapText="1"/>
    </xf>
    <xf numFmtId="0" fontId="6" fillId="6" borderId="1" xfId="0" applyFont="1" applyFill="1" applyBorder="1" applyAlignment="1">
      <alignment horizontal="center" wrapText="1"/>
    </xf>
    <xf numFmtId="0" fontId="6" fillId="7" borderId="1" xfId="0" applyFont="1" applyFill="1" applyBorder="1" applyAlignment="1">
      <alignment horizontal="center" wrapText="1"/>
    </xf>
    <xf numFmtId="0" fontId="7" fillId="0" borderId="0" xfId="0" applyFont="1"/>
    <xf numFmtId="166" fontId="2" fillId="0" borderId="1" xfId="0" applyNumberFormat="1" applyFont="1" applyBorder="1"/>
    <xf numFmtId="166" fontId="5" fillId="0" borderId="1" xfId="0" applyNumberFormat="1" applyFont="1" applyBorder="1"/>
    <xf numFmtId="166" fontId="2" fillId="0" borderId="1" xfId="0" applyNumberFormat="1" applyFont="1" applyBorder="1" applyAlignment="1">
      <alignment horizontal="right"/>
    </xf>
    <xf numFmtId="0" fontId="10" fillId="8" borderId="3" xfId="1" applyFont="1" applyFill="1" applyBorder="1" applyAlignment="1">
      <alignment horizontal="center"/>
    </xf>
    <xf numFmtId="0" fontId="10" fillId="8" borderId="0" xfId="1" applyFont="1" applyFill="1" applyAlignment="1">
      <alignment horizontal="center"/>
    </xf>
    <xf numFmtId="0" fontId="9" fillId="0" borderId="0" xfId="1"/>
    <xf numFmtId="0" fontId="11" fillId="0" borderId="0" xfId="1" applyFont="1"/>
    <xf numFmtId="2" fontId="11" fillId="0" borderId="0" xfId="1" applyNumberFormat="1" applyFont="1" applyAlignment="1">
      <alignment horizontal="center"/>
    </xf>
    <xf numFmtId="166" fontId="9" fillId="0" borderId="0" xfId="1" applyNumberFormat="1"/>
    <xf numFmtId="2" fontId="12" fillId="9" borderId="2" xfId="1" applyNumberFormat="1" applyFont="1" applyFill="1" applyBorder="1" applyAlignment="1">
      <alignment horizontal="center"/>
    </xf>
    <xf numFmtId="166" fontId="0" fillId="0" borderId="0" xfId="0" applyNumberFormat="1"/>
    <xf numFmtId="166" fontId="2" fillId="0" borderId="1" xfId="0" applyNumberFormat="1" applyFont="1" applyBorder="1" applyAlignment="1">
      <alignment horizontal="right" wrapText="1"/>
    </xf>
    <xf numFmtId="0" fontId="10" fillId="8" borderId="3" xfId="0" applyFont="1" applyFill="1" applyBorder="1" applyAlignment="1">
      <alignment horizontal="center"/>
    </xf>
    <xf numFmtId="0" fontId="11" fillId="0" borderId="0" xfId="0" applyFont="1"/>
    <xf numFmtId="2" fontId="11" fillId="0" borderId="0" xfId="0" applyNumberFormat="1" applyFont="1" applyAlignment="1">
      <alignment horizontal="center"/>
    </xf>
    <xf numFmtId="0" fontId="8" fillId="0" borderId="0" xfId="0" applyFont="1"/>
    <xf numFmtId="0" fontId="10" fillId="8" borderId="0" xfId="0" applyFont="1" applyFill="1" applyBorder="1" applyAlignment="1">
      <alignment horizontal="center"/>
    </xf>
    <xf numFmtId="166" fontId="4" fillId="2" borderId="0" xfId="0" applyNumberFormat="1" applyFont="1" applyFill="1" applyAlignment="1">
      <alignment horizontal="right"/>
    </xf>
    <xf numFmtId="167" fontId="2" fillId="0" borderId="1" xfId="0" applyNumberFormat="1" applyFont="1" applyBorder="1" applyAlignment="1">
      <alignment horizontal="right"/>
    </xf>
  </cellXfs>
  <cellStyles count="2">
    <cellStyle name="Normal" xfId="0" builtinId="0"/>
    <cellStyle name="Normal 2" xfId="1" xr:uid="{7B02EFD9-504D-4BAE-AB4A-2D994A7DB286}"/>
  </cellStyles>
  <dxfs count="2"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Indicador_MUN-style" pivot="0" count="2" xr9:uid="{00000000-0011-0000-FFFF-FFFF00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C4BCC-542C-49D6-A33E-B96EDB641F0A}">
  <dimension ref="A1:F363"/>
  <sheetViews>
    <sheetView tabSelected="1" workbookViewId="0">
      <pane ySplit="1" topLeftCell="A323" activePane="bottomLeft" state="frozen"/>
      <selection pane="bottomLeft" activeCell="B369" sqref="B369"/>
    </sheetView>
  </sheetViews>
  <sheetFormatPr baseColWidth="10" defaultRowHeight="14.25"/>
  <cols>
    <col min="1" max="1" width="15.7109375" style="36" customWidth="1"/>
    <col min="2" max="2" width="30.7109375" style="36" customWidth="1"/>
    <col min="3" max="6" width="12.7109375" style="36" customWidth="1"/>
    <col min="7" max="16384" width="11.42578125" style="36"/>
  </cols>
  <sheetData>
    <row r="1" spans="1:6" ht="15">
      <c r="A1" s="34" t="s">
        <v>0</v>
      </c>
      <c r="B1" s="34" t="s">
        <v>363</v>
      </c>
      <c r="C1" s="34" t="s">
        <v>364</v>
      </c>
      <c r="D1" s="34" t="s">
        <v>365</v>
      </c>
      <c r="E1" s="34" t="s">
        <v>366</v>
      </c>
      <c r="F1" s="34" t="s">
        <v>367</v>
      </c>
    </row>
    <row r="2" spans="1:6">
      <c r="A2" s="37" t="s">
        <v>462</v>
      </c>
      <c r="B2" s="37" t="s">
        <v>2</v>
      </c>
      <c r="C2" s="38">
        <v>14.324178782983299</v>
      </c>
      <c r="D2" s="38">
        <v>70.759289176090505</v>
      </c>
      <c r="E2" s="38">
        <v>12.0624663435649</v>
      </c>
      <c r="F2" s="38">
        <v>2.8540656973613401</v>
      </c>
    </row>
    <row r="3" spans="1:6">
      <c r="A3" s="37" t="s">
        <v>671</v>
      </c>
      <c r="B3" s="37" t="s">
        <v>3</v>
      </c>
      <c r="C3" s="38">
        <v>0.80645161290322598</v>
      </c>
      <c r="D3" s="38">
        <v>2.4193548387096802</v>
      </c>
      <c r="E3" s="38">
        <v>56.048387096774199</v>
      </c>
      <c r="F3" s="38">
        <v>40.725806451612897</v>
      </c>
    </row>
    <row r="4" spans="1:6">
      <c r="A4" s="37" t="s">
        <v>714</v>
      </c>
      <c r="B4" s="37" t="s">
        <v>4</v>
      </c>
      <c r="C4" s="38">
        <v>0.81709616593337497</v>
      </c>
      <c r="D4" s="38">
        <v>2.3884349465744799</v>
      </c>
      <c r="E4" s="38">
        <v>56.819610307982401</v>
      </c>
      <c r="F4" s="38">
        <v>39.9748585795097</v>
      </c>
    </row>
    <row r="5" spans="1:6">
      <c r="A5" s="37" t="s">
        <v>471</v>
      </c>
      <c r="B5" s="37" t="s">
        <v>5</v>
      </c>
      <c r="C5" s="38">
        <v>1.18216012896292</v>
      </c>
      <c r="D5" s="38">
        <v>1.12842557764643</v>
      </c>
      <c r="E5" s="38">
        <v>79.688339602364294</v>
      </c>
      <c r="F5" s="38">
        <v>18.0010746910263</v>
      </c>
    </row>
    <row r="6" spans="1:6">
      <c r="A6" s="37" t="s">
        <v>480</v>
      </c>
      <c r="B6" s="37" t="s">
        <v>6</v>
      </c>
      <c r="C6" s="38">
        <v>0</v>
      </c>
      <c r="D6" s="38">
        <v>19.450171821305801</v>
      </c>
      <c r="E6" s="38">
        <v>68.659793814433002</v>
      </c>
      <c r="F6" s="38">
        <v>11.890034364261201</v>
      </c>
    </row>
    <row r="7" spans="1:6">
      <c r="A7" s="37" t="s">
        <v>502</v>
      </c>
      <c r="B7" s="37" t="s">
        <v>7</v>
      </c>
      <c r="C7" s="38">
        <v>0</v>
      </c>
      <c r="D7" s="38">
        <v>52.309782608695699</v>
      </c>
      <c r="E7" s="38">
        <v>46.4673913043478</v>
      </c>
      <c r="F7" s="38">
        <v>1.22282608695652</v>
      </c>
    </row>
    <row r="8" spans="1:6">
      <c r="A8" s="37" t="s">
        <v>674</v>
      </c>
      <c r="B8" s="37" t="s">
        <v>8</v>
      </c>
      <c r="C8" s="38">
        <v>0.136892539356605</v>
      </c>
      <c r="D8" s="38">
        <v>17.590691307323699</v>
      </c>
      <c r="E8" s="38">
        <v>67.693360711841194</v>
      </c>
      <c r="F8" s="38">
        <v>14.579055441478401</v>
      </c>
    </row>
    <row r="9" spans="1:6">
      <c r="A9" s="37" t="s">
        <v>501</v>
      </c>
      <c r="B9" s="37" t="s">
        <v>9</v>
      </c>
      <c r="C9" s="38">
        <v>0</v>
      </c>
      <c r="D9" s="38">
        <v>2.6178010471204201</v>
      </c>
      <c r="E9" s="38">
        <v>54.076290201944701</v>
      </c>
      <c r="F9" s="38">
        <v>43.305908750934897</v>
      </c>
    </row>
    <row r="10" spans="1:6">
      <c r="A10" s="37" t="s">
        <v>489</v>
      </c>
      <c r="B10" s="37" t="s">
        <v>10</v>
      </c>
      <c r="C10" s="38">
        <v>0</v>
      </c>
      <c r="D10" s="38">
        <v>2.3863636363636398</v>
      </c>
      <c r="E10" s="38">
        <v>69.431818181818201</v>
      </c>
      <c r="F10" s="38">
        <v>28.181818181818201</v>
      </c>
    </row>
    <row r="11" spans="1:6">
      <c r="A11" s="37" t="s">
        <v>487</v>
      </c>
      <c r="B11" s="37" t="s">
        <v>11</v>
      </c>
      <c r="C11" s="38">
        <v>0</v>
      </c>
      <c r="D11" s="38">
        <v>22.742474916388002</v>
      </c>
      <c r="E11" s="38">
        <v>73.968784838350103</v>
      </c>
      <c r="F11" s="38">
        <v>3.2887402452619798</v>
      </c>
    </row>
    <row r="12" spans="1:6">
      <c r="A12" s="37" t="s">
        <v>491</v>
      </c>
      <c r="B12" s="37" t="s">
        <v>12</v>
      </c>
      <c r="C12" s="38">
        <v>0</v>
      </c>
      <c r="D12" s="38">
        <v>2.8729281767955799</v>
      </c>
      <c r="E12" s="38">
        <v>60.220994475138099</v>
      </c>
      <c r="F12" s="38">
        <v>36.906077348066297</v>
      </c>
    </row>
    <row r="13" spans="1:6">
      <c r="A13" s="37" t="s">
        <v>643</v>
      </c>
      <c r="B13" s="37" t="s">
        <v>13</v>
      </c>
      <c r="C13" s="38">
        <v>0</v>
      </c>
      <c r="D13" s="38">
        <v>17.404580152671802</v>
      </c>
      <c r="E13" s="38">
        <v>81.679389312977094</v>
      </c>
      <c r="F13" s="38">
        <v>0.91603053435114501</v>
      </c>
    </row>
    <row r="14" spans="1:6">
      <c r="A14" s="37" t="s">
        <v>521</v>
      </c>
      <c r="B14" s="37" t="s">
        <v>522</v>
      </c>
      <c r="C14" s="38">
        <v>0</v>
      </c>
      <c r="D14" s="38">
        <v>24.581005586592202</v>
      </c>
      <c r="E14" s="38">
        <v>73.743016759776495</v>
      </c>
      <c r="F14" s="38">
        <v>1.67597765363128</v>
      </c>
    </row>
    <row r="15" spans="1:6">
      <c r="A15" s="37" t="s">
        <v>661</v>
      </c>
      <c r="B15" s="37" t="s">
        <v>15</v>
      </c>
      <c r="C15" s="38">
        <v>1.2486992715920899</v>
      </c>
      <c r="D15" s="38">
        <v>3.2258064516128999</v>
      </c>
      <c r="E15" s="38">
        <v>64.099895941727397</v>
      </c>
      <c r="F15" s="38">
        <v>31.425598335067601</v>
      </c>
    </row>
    <row r="16" spans="1:6">
      <c r="A16" s="37" t="s">
        <v>464</v>
      </c>
      <c r="B16" s="37" t="s">
        <v>16</v>
      </c>
      <c r="C16" s="38">
        <v>10.508849557522099</v>
      </c>
      <c r="D16" s="38">
        <v>78.263274336283203</v>
      </c>
      <c r="E16" s="38">
        <v>10.978982300885001</v>
      </c>
      <c r="F16" s="38">
        <v>0.24889380530973501</v>
      </c>
    </row>
    <row r="17" spans="1:6">
      <c r="A17" s="37" t="s">
        <v>378</v>
      </c>
      <c r="B17" s="37" t="s">
        <v>17</v>
      </c>
      <c r="C17" s="38">
        <v>1.05633802816901</v>
      </c>
      <c r="D17" s="38">
        <v>37.740076824583902</v>
      </c>
      <c r="E17" s="38">
        <v>61.139564660691399</v>
      </c>
      <c r="F17" s="38">
        <v>6.4020486555697795E-2</v>
      </c>
    </row>
    <row r="18" spans="1:6">
      <c r="A18" s="37" t="s">
        <v>758</v>
      </c>
      <c r="B18" s="37" t="s">
        <v>18</v>
      </c>
      <c r="C18" s="38">
        <v>0.91666666666666696</v>
      </c>
      <c r="D18" s="38">
        <v>3.0833333333333299</v>
      </c>
      <c r="E18" s="38">
        <v>69.3333333333333</v>
      </c>
      <c r="F18" s="38">
        <v>26.6666666666667</v>
      </c>
    </row>
    <row r="19" spans="1:6">
      <c r="A19" s="37" t="s">
        <v>562</v>
      </c>
      <c r="B19" s="37" t="s">
        <v>19</v>
      </c>
      <c r="C19" s="38">
        <v>0.13831258644536701</v>
      </c>
      <c r="D19" s="38">
        <v>2.62793914246196</v>
      </c>
      <c r="E19" s="38">
        <v>61.687413554633501</v>
      </c>
      <c r="F19" s="38">
        <v>35.546334716459199</v>
      </c>
    </row>
    <row r="20" spans="1:6">
      <c r="A20" s="37" t="s">
        <v>481</v>
      </c>
      <c r="B20" s="37" t="s">
        <v>20</v>
      </c>
      <c r="C20" s="38">
        <v>0</v>
      </c>
      <c r="D20" s="38">
        <v>15.117328519855601</v>
      </c>
      <c r="E20" s="38">
        <v>84.296028880866402</v>
      </c>
      <c r="F20" s="38">
        <v>0.58664259927797802</v>
      </c>
    </row>
    <row r="21" spans="1:6">
      <c r="A21" s="37" t="s">
        <v>468</v>
      </c>
      <c r="B21" s="37" t="s">
        <v>21</v>
      </c>
      <c r="C21" s="38">
        <v>0</v>
      </c>
      <c r="D21" s="38">
        <v>0.121684108055488</v>
      </c>
      <c r="E21" s="38">
        <v>85.008517887563897</v>
      </c>
      <c r="F21" s="38">
        <v>14.8697980043806</v>
      </c>
    </row>
    <row r="22" spans="1:6">
      <c r="A22" s="37" t="s">
        <v>649</v>
      </c>
      <c r="B22" s="37" t="s">
        <v>22</v>
      </c>
      <c r="C22" s="38">
        <v>0</v>
      </c>
      <c r="D22" s="38">
        <v>2.8277634961439602</v>
      </c>
      <c r="E22" s="38">
        <v>77.7206512425021</v>
      </c>
      <c r="F22" s="38">
        <v>19.451585261353902</v>
      </c>
    </row>
    <row r="23" spans="1:6">
      <c r="A23" s="37" t="s">
        <v>477</v>
      </c>
      <c r="B23" s="37" t="s">
        <v>23</v>
      </c>
      <c r="C23" s="38">
        <v>0</v>
      </c>
      <c r="D23" s="38">
        <v>1.6861219195849499</v>
      </c>
      <c r="E23" s="38">
        <v>82.230869001296995</v>
      </c>
      <c r="F23" s="38">
        <v>16.083009079118</v>
      </c>
    </row>
    <row r="24" spans="1:6">
      <c r="A24" s="37" t="s">
        <v>439</v>
      </c>
      <c r="B24" s="37" t="s">
        <v>24</v>
      </c>
      <c r="C24" s="38">
        <v>0</v>
      </c>
      <c r="D24" s="38">
        <v>22.45670995671</v>
      </c>
      <c r="E24" s="38">
        <v>73.538961038961006</v>
      </c>
      <c r="F24" s="38">
        <v>4.0043290043289996</v>
      </c>
    </row>
    <row r="25" spans="1:6">
      <c r="A25" s="37" t="s">
        <v>448</v>
      </c>
      <c r="B25" s="37" t="s">
        <v>449</v>
      </c>
      <c r="C25" s="38">
        <v>0</v>
      </c>
      <c r="D25" s="38">
        <v>40.625</v>
      </c>
      <c r="E25" s="38">
        <v>57.472826086956502</v>
      </c>
      <c r="F25" s="38">
        <v>1.90217391304348</v>
      </c>
    </row>
    <row r="26" spans="1:6">
      <c r="A26" s="37" t="s">
        <v>642</v>
      </c>
      <c r="B26" s="37" t="s">
        <v>26</v>
      </c>
      <c r="C26" s="38">
        <v>0</v>
      </c>
      <c r="D26" s="38">
        <v>31.552224371373299</v>
      </c>
      <c r="E26" s="38">
        <v>66.634429400386793</v>
      </c>
      <c r="F26" s="38">
        <v>1.81334622823985</v>
      </c>
    </row>
    <row r="27" spans="1:6">
      <c r="A27" s="37" t="s">
        <v>640</v>
      </c>
      <c r="B27" s="37" t="s">
        <v>27</v>
      </c>
      <c r="C27" s="38">
        <v>1.81451612903226</v>
      </c>
      <c r="D27" s="38">
        <v>2.82258064516129</v>
      </c>
      <c r="E27" s="38">
        <v>86.995967741935502</v>
      </c>
      <c r="F27" s="38">
        <v>8.3669354838709697</v>
      </c>
    </row>
    <row r="28" spans="1:6">
      <c r="A28" s="37" t="s">
        <v>406</v>
      </c>
      <c r="B28" s="37" t="s">
        <v>407</v>
      </c>
      <c r="C28" s="38">
        <v>12.923832923832901</v>
      </c>
      <c r="D28" s="38">
        <v>85.577395577395606</v>
      </c>
      <c r="E28" s="38">
        <v>1.4987714987715</v>
      </c>
      <c r="F28" s="38">
        <v>0</v>
      </c>
    </row>
    <row r="29" spans="1:6">
      <c r="A29" s="37" t="s">
        <v>691</v>
      </c>
      <c r="B29" s="37" t="s">
        <v>692</v>
      </c>
      <c r="C29" s="38">
        <v>4.3859649122807003</v>
      </c>
      <c r="D29" s="38">
        <v>94.4444444444444</v>
      </c>
      <c r="E29" s="38">
        <v>1.16959064327485</v>
      </c>
      <c r="F29" s="38">
        <v>0</v>
      </c>
    </row>
    <row r="30" spans="1:6">
      <c r="A30" s="37" t="s">
        <v>596</v>
      </c>
      <c r="B30" s="37" t="s">
        <v>597</v>
      </c>
      <c r="C30" s="38">
        <v>3.2648430606328001</v>
      </c>
      <c r="D30" s="38">
        <v>95.260305054834205</v>
      </c>
      <c r="E30" s="38">
        <v>1.4748518845329599</v>
      </c>
      <c r="F30" s="38">
        <v>0</v>
      </c>
    </row>
    <row r="31" spans="1:6">
      <c r="A31" s="37" t="s">
        <v>402</v>
      </c>
      <c r="B31" s="37" t="s">
        <v>403</v>
      </c>
      <c r="C31" s="38">
        <v>82.406151062867494</v>
      </c>
      <c r="D31" s="38">
        <v>17.051108095884199</v>
      </c>
      <c r="E31" s="38">
        <v>0.54274084124830402</v>
      </c>
      <c r="F31" s="38">
        <v>0</v>
      </c>
    </row>
    <row r="32" spans="1:6">
      <c r="A32" s="37" t="s">
        <v>603</v>
      </c>
      <c r="B32" s="37" t="s">
        <v>32</v>
      </c>
      <c r="C32" s="38">
        <v>1.09356014580802</v>
      </c>
      <c r="D32" s="38">
        <v>53.098420413122703</v>
      </c>
      <c r="E32" s="38">
        <v>45.686512758201701</v>
      </c>
      <c r="F32" s="38">
        <v>0.121506682867558</v>
      </c>
    </row>
    <row r="33" spans="1:6">
      <c r="A33" s="37" t="s">
        <v>451</v>
      </c>
      <c r="B33" s="37" t="s">
        <v>33</v>
      </c>
      <c r="C33" s="38">
        <v>3</v>
      </c>
      <c r="D33" s="38">
        <v>52.6666666666667</v>
      </c>
      <c r="E33" s="38">
        <v>44.3333333333333</v>
      </c>
      <c r="F33" s="38">
        <v>0</v>
      </c>
    </row>
    <row r="34" spans="1:6">
      <c r="A34" s="37" t="s">
        <v>379</v>
      </c>
      <c r="B34" s="37" t="s">
        <v>34</v>
      </c>
      <c r="C34" s="38">
        <v>79.357798165137595</v>
      </c>
      <c r="D34" s="38">
        <v>18.807339449541299</v>
      </c>
      <c r="E34" s="38">
        <v>1.8348623853210999</v>
      </c>
      <c r="F34" s="38">
        <v>0</v>
      </c>
    </row>
    <row r="35" spans="1:6">
      <c r="A35" s="37" t="s">
        <v>372</v>
      </c>
      <c r="B35" s="37" t="s">
        <v>35</v>
      </c>
      <c r="C35" s="38">
        <v>90.588235294117695</v>
      </c>
      <c r="D35" s="38">
        <v>9.4117647058823497</v>
      </c>
      <c r="E35" s="38">
        <v>0</v>
      </c>
      <c r="F35" s="38">
        <v>0</v>
      </c>
    </row>
    <row r="36" spans="1:6">
      <c r="A36" s="37" t="s">
        <v>582</v>
      </c>
      <c r="B36" s="37" t="s">
        <v>36</v>
      </c>
      <c r="C36" s="38">
        <v>0.53981106612685603</v>
      </c>
      <c r="D36" s="38">
        <v>26.045883940620801</v>
      </c>
      <c r="E36" s="38">
        <v>73.414304993252401</v>
      </c>
      <c r="F36" s="38">
        <v>0</v>
      </c>
    </row>
    <row r="37" spans="1:6">
      <c r="A37" s="37" t="s">
        <v>398</v>
      </c>
      <c r="B37" s="37" t="s">
        <v>399</v>
      </c>
      <c r="C37" s="38">
        <v>0</v>
      </c>
      <c r="D37" s="38">
        <v>50.1510574018127</v>
      </c>
      <c r="E37" s="38">
        <v>49.8489425981873</v>
      </c>
      <c r="F37" s="38">
        <v>0</v>
      </c>
    </row>
    <row r="38" spans="1:6">
      <c r="A38" s="37" t="s">
        <v>580</v>
      </c>
      <c r="B38" s="37" t="s">
        <v>38</v>
      </c>
      <c r="C38" s="38">
        <v>0</v>
      </c>
      <c r="D38" s="38">
        <v>2.3529411764705901</v>
      </c>
      <c r="E38" s="38">
        <v>97.647058823529406</v>
      </c>
      <c r="F38" s="38">
        <v>0</v>
      </c>
    </row>
    <row r="39" spans="1:6">
      <c r="A39" s="37" t="s">
        <v>586</v>
      </c>
      <c r="B39" s="37" t="s">
        <v>39</v>
      </c>
      <c r="C39" s="38">
        <v>0</v>
      </c>
      <c r="D39" s="38">
        <v>19.072164948453601</v>
      </c>
      <c r="E39" s="38">
        <v>80.927835051546396</v>
      </c>
      <c r="F39" s="38">
        <v>0</v>
      </c>
    </row>
    <row r="40" spans="1:6">
      <c r="A40" s="37" t="s">
        <v>623</v>
      </c>
      <c r="B40" s="37" t="s">
        <v>40</v>
      </c>
      <c r="C40" s="38">
        <v>0</v>
      </c>
      <c r="D40" s="38">
        <v>0</v>
      </c>
      <c r="E40" s="38">
        <v>100</v>
      </c>
      <c r="F40" s="38">
        <v>0</v>
      </c>
    </row>
    <row r="41" spans="1:6">
      <c r="A41" s="37" t="s">
        <v>476</v>
      </c>
      <c r="B41" s="37" t="s">
        <v>41</v>
      </c>
      <c r="C41" s="38">
        <v>0</v>
      </c>
      <c r="D41" s="38">
        <v>78.571428571428598</v>
      </c>
      <c r="E41" s="38">
        <v>21.428571428571399</v>
      </c>
      <c r="F41" s="38">
        <v>0</v>
      </c>
    </row>
    <row r="42" spans="1:6">
      <c r="A42" s="37" t="s">
        <v>587</v>
      </c>
      <c r="B42" s="37" t="s">
        <v>42</v>
      </c>
      <c r="C42" s="38">
        <v>0.96153846153846201</v>
      </c>
      <c r="D42" s="38">
        <v>45.592948717948701</v>
      </c>
      <c r="E42" s="38">
        <v>53.445512820512803</v>
      </c>
      <c r="F42" s="38">
        <v>0</v>
      </c>
    </row>
    <row r="43" spans="1:6">
      <c r="A43" s="37" t="s">
        <v>648</v>
      </c>
      <c r="B43" s="37" t="s">
        <v>43</v>
      </c>
      <c r="C43" s="38">
        <v>0.58377116170461196</v>
      </c>
      <c r="D43" s="38">
        <v>80.151780502043195</v>
      </c>
      <c r="E43" s="38">
        <v>19.264448336252201</v>
      </c>
      <c r="F43" s="38">
        <v>0</v>
      </c>
    </row>
    <row r="44" spans="1:6">
      <c r="A44" s="37" t="s">
        <v>510</v>
      </c>
      <c r="B44" s="37" t="s">
        <v>44</v>
      </c>
      <c r="C44" s="38">
        <v>0.31522793404461702</v>
      </c>
      <c r="D44" s="38">
        <v>18.064985451018401</v>
      </c>
      <c r="E44" s="38">
        <v>81.619786614936999</v>
      </c>
      <c r="F44" s="38">
        <v>0</v>
      </c>
    </row>
    <row r="45" spans="1:6">
      <c r="A45" s="37" t="s">
        <v>657</v>
      </c>
      <c r="B45" s="37" t="s">
        <v>45</v>
      </c>
      <c r="C45" s="38">
        <v>4.0540540540540499</v>
      </c>
      <c r="D45" s="38">
        <v>16.602316602316598</v>
      </c>
      <c r="E45" s="38">
        <v>79.343629343629303</v>
      </c>
      <c r="F45" s="38">
        <v>0</v>
      </c>
    </row>
    <row r="46" spans="1:6">
      <c r="A46" s="37" t="s">
        <v>666</v>
      </c>
      <c r="B46" s="37" t="s">
        <v>46</v>
      </c>
      <c r="C46" s="38">
        <v>0</v>
      </c>
      <c r="D46" s="38">
        <v>65.293511843460394</v>
      </c>
      <c r="E46" s="38">
        <v>34.706488156539599</v>
      </c>
      <c r="F46" s="38">
        <v>0</v>
      </c>
    </row>
    <row r="47" spans="1:6">
      <c r="A47" s="37" t="s">
        <v>459</v>
      </c>
      <c r="B47" s="37" t="s">
        <v>47</v>
      </c>
      <c r="C47" s="38">
        <v>33.076923076923102</v>
      </c>
      <c r="D47" s="38">
        <v>62.307692307692299</v>
      </c>
      <c r="E47" s="38">
        <v>4.6153846153846203</v>
      </c>
      <c r="F47" s="38">
        <v>0</v>
      </c>
    </row>
    <row r="48" spans="1:6">
      <c r="A48" s="37" t="s">
        <v>551</v>
      </c>
      <c r="B48" s="37" t="s">
        <v>48</v>
      </c>
      <c r="C48" s="38">
        <v>0</v>
      </c>
      <c r="D48" s="38">
        <v>95.8333333333333</v>
      </c>
      <c r="E48" s="38">
        <v>4.1666666666666696</v>
      </c>
      <c r="F48" s="38">
        <v>0</v>
      </c>
    </row>
    <row r="49" spans="1:6">
      <c r="A49" s="37" t="s">
        <v>610</v>
      </c>
      <c r="B49" s="37" t="s">
        <v>611</v>
      </c>
      <c r="C49" s="38">
        <v>0</v>
      </c>
      <c r="D49" s="38">
        <v>18.671875</v>
      </c>
      <c r="E49" s="38">
        <v>81.328125</v>
      </c>
      <c r="F49" s="38">
        <v>0</v>
      </c>
    </row>
    <row r="50" spans="1:6">
      <c r="A50" s="37" t="s">
        <v>568</v>
      </c>
      <c r="B50" s="37" t="s">
        <v>50</v>
      </c>
      <c r="C50" s="38">
        <v>0</v>
      </c>
      <c r="D50" s="38">
        <v>3.4574468085106398</v>
      </c>
      <c r="E50" s="38">
        <v>96.542553191489404</v>
      </c>
      <c r="F50" s="38">
        <v>0</v>
      </c>
    </row>
    <row r="51" spans="1:6">
      <c r="A51" s="37" t="s">
        <v>638</v>
      </c>
      <c r="B51" s="37" t="s">
        <v>51</v>
      </c>
      <c r="C51" s="38">
        <v>0</v>
      </c>
      <c r="D51" s="38">
        <v>5.0546448087431699</v>
      </c>
      <c r="E51" s="38">
        <v>93.852459016393396</v>
      </c>
      <c r="F51" s="38">
        <v>1.0928961748633901</v>
      </c>
    </row>
    <row r="52" spans="1:6">
      <c r="A52" s="37" t="s">
        <v>460</v>
      </c>
      <c r="B52" s="37" t="s">
        <v>461</v>
      </c>
      <c r="C52" s="38">
        <v>0</v>
      </c>
      <c r="D52" s="38">
        <v>72.195121951219505</v>
      </c>
      <c r="E52" s="38">
        <v>27.3170731707317</v>
      </c>
      <c r="F52" s="38">
        <v>0.48780487804877998</v>
      </c>
    </row>
    <row r="53" spans="1:6">
      <c r="A53" s="37" t="s">
        <v>594</v>
      </c>
      <c r="B53" s="37" t="s">
        <v>53</v>
      </c>
      <c r="C53" s="38">
        <v>0</v>
      </c>
      <c r="D53" s="38">
        <v>0</v>
      </c>
      <c r="E53" s="38">
        <v>100</v>
      </c>
      <c r="F53" s="38">
        <v>0</v>
      </c>
    </row>
    <row r="54" spans="1:6">
      <c r="A54" s="37" t="s">
        <v>442</v>
      </c>
      <c r="B54" s="37" t="s">
        <v>54</v>
      </c>
      <c r="C54" s="38">
        <v>0</v>
      </c>
      <c r="D54" s="38">
        <v>44.202898550724598</v>
      </c>
      <c r="E54" s="38">
        <v>55.797101449275402</v>
      </c>
      <c r="F54" s="38">
        <v>0</v>
      </c>
    </row>
    <row r="55" spans="1:6">
      <c r="A55" s="37" t="s">
        <v>662</v>
      </c>
      <c r="B55" s="37" t="s">
        <v>55</v>
      </c>
      <c r="C55" s="38">
        <v>0</v>
      </c>
      <c r="D55" s="38">
        <v>57</v>
      </c>
      <c r="E55" s="38">
        <v>40.571428571428598</v>
      </c>
      <c r="F55" s="38">
        <v>2.4285714285714302</v>
      </c>
    </row>
    <row r="56" spans="1:6">
      <c r="A56" s="37" t="s">
        <v>654</v>
      </c>
      <c r="B56" s="37" t="s">
        <v>56</v>
      </c>
      <c r="C56" s="38">
        <v>0</v>
      </c>
      <c r="D56" s="38">
        <v>11.318553092182</v>
      </c>
      <c r="E56" s="38">
        <v>87.047841306884493</v>
      </c>
      <c r="F56" s="38">
        <v>1.6336056009334901</v>
      </c>
    </row>
    <row r="57" spans="1:6">
      <c r="A57" s="37" t="s">
        <v>644</v>
      </c>
      <c r="B57" s="37" t="s">
        <v>57</v>
      </c>
      <c r="C57" s="38">
        <v>0</v>
      </c>
      <c r="D57" s="38">
        <v>64.661654135338296</v>
      </c>
      <c r="E57" s="38">
        <v>34.962406015037601</v>
      </c>
      <c r="F57" s="38">
        <v>0.37593984962406002</v>
      </c>
    </row>
    <row r="58" spans="1:6">
      <c r="A58" s="37" t="s">
        <v>482</v>
      </c>
      <c r="B58" s="37" t="s">
        <v>58</v>
      </c>
      <c r="C58" s="38">
        <v>1.5617374328940901</v>
      </c>
      <c r="D58" s="38">
        <v>74.914592484138595</v>
      </c>
      <c r="E58" s="38">
        <v>23.279648609077601</v>
      </c>
      <c r="F58" s="38">
        <v>0.244021473889702</v>
      </c>
    </row>
    <row r="59" spans="1:6">
      <c r="A59" s="37" t="s">
        <v>469</v>
      </c>
      <c r="B59" s="37" t="s">
        <v>59</v>
      </c>
      <c r="C59" s="38">
        <v>58.656599843790701</v>
      </c>
      <c r="D59" s="38">
        <v>39.755272064566498</v>
      </c>
      <c r="E59" s="38">
        <v>1.5881280916428</v>
      </c>
      <c r="F59" s="38">
        <v>0</v>
      </c>
    </row>
    <row r="60" spans="1:6">
      <c r="A60" s="37" t="s">
        <v>651</v>
      </c>
      <c r="B60" s="37" t="s">
        <v>60</v>
      </c>
      <c r="C60" s="38">
        <v>0</v>
      </c>
      <c r="D60" s="38">
        <v>77.973568281938299</v>
      </c>
      <c r="E60" s="38">
        <v>22.026431718061701</v>
      </c>
      <c r="F60" s="38">
        <v>0</v>
      </c>
    </row>
    <row r="61" spans="1:6">
      <c r="A61" s="37" t="s">
        <v>673</v>
      </c>
      <c r="B61" s="37" t="s">
        <v>61</v>
      </c>
      <c r="C61" s="38">
        <v>0</v>
      </c>
      <c r="D61" s="38">
        <v>40.816326530612201</v>
      </c>
      <c r="E61" s="38">
        <v>58.503401360544203</v>
      </c>
      <c r="F61" s="38">
        <v>0.68027210884353695</v>
      </c>
    </row>
    <row r="62" spans="1:6">
      <c r="A62" s="37" t="s">
        <v>488</v>
      </c>
      <c r="B62" s="37" t="s">
        <v>62</v>
      </c>
      <c r="C62" s="38">
        <v>0</v>
      </c>
      <c r="D62" s="38">
        <v>66.379310344827601</v>
      </c>
      <c r="E62" s="38">
        <v>33.620689655172399</v>
      </c>
      <c r="F62" s="38">
        <v>0</v>
      </c>
    </row>
    <row r="63" spans="1:6">
      <c r="A63" s="37" t="s">
        <v>463</v>
      </c>
      <c r="B63" s="37" t="s">
        <v>63</v>
      </c>
      <c r="C63" s="38">
        <v>7.0469798657718101</v>
      </c>
      <c r="D63" s="38">
        <v>88.255033557047</v>
      </c>
      <c r="E63" s="38">
        <v>4.6979865771812097</v>
      </c>
      <c r="F63" s="38">
        <v>0</v>
      </c>
    </row>
    <row r="64" spans="1:6">
      <c r="A64" s="37" t="s">
        <v>446</v>
      </c>
      <c r="B64" s="37" t="s">
        <v>64</v>
      </c>
      <c r="C64" s="38">
        <v>2.0282728948985902</v>
      </c>
      <c r="D64" s="38">
        <v>97.357098955132102</v>
      </c>
      <c r="E64" s="38">
        <v>0.61462814996926896</v>
      </c>
      <c r="F64" s="38">
        <v>0</v>
      </c>
    </row>
    <row r="65" spans="1:6">
      <c r="A65" s="37" t="s">
        <v>677</v>
      </c>
      <c r="B65" s="37" t="s">
        <v>65</v>
      </c>
      <c r="C65" s="38">
        <v>0.79260237780713305</v>
      </c>
      <c r="D65" s="38">
        <v>53.236459709379098</v>
      </c>
      <c r="E65" s="38">
        <v>45.970937912813703</v>
      </c>
      <c r="F65" s="38">
        <v>0</v>
      </c>
    </row>
    <row r="66" spans="1:6">
      <c r="A66" s="37" t="s">
        <v>614</v>
      </c>
      <c r="B66" s="37" t="s">
        <v>66</v>
      </c>
      <c r="C66" s="38">
        <v>43.6367423453447</v>
      </c>
      <c r="D66" s="38">
        <v>56.182739707005503</v>
      </c>
      <c r="E66" s="38">
        <v>0.18051794764979501</v>
      </c>
      <c r="F66" s="38">
        <v>0</v>
      </c>
    </row>
    <row r="67" spans="1:6">
      <c r="A67" s="37" t="s">
        <v>637</v>
      </c>
      <c r="B67" s="37" t="s">
        <v>67</v>
      </c>
      <c r="C67" s="38">
        <v>1.97125256673511</v>
      </c>
      <c r="D67" s="38">
        <v>91.622176591375805</v>
      </c>
      <c r="E67" s="38">
        <v>6.4065708418891196</v>
      </c>
      <c r="F67" s="38">
        <v>0</v>
      </c>
    </row>
    <row r="68" spans="1:6">
      <c r="A68" s="37" t="s">
        <v>396</v>
      </c>
      <c r="B68" s="37" t="s">
        <v>68</v>
      </c>
      <c r="C68" s="38">
        <v>92.995689655172399</v>
      </c>
      <c r="D68" s="38">
        <v>6.5732758620689697</v>
      </c>
      <c r="E68" s="38">
        <v>0.431034482758621</v>
      </c>
      <c r="F68" s="38">
        <v>0</v>
      </c>
    </row>
    <row r="69" spans="1:6">
      <c r="A69" s="37" t="s">
        <v>570</v>
      </c>
      <c r="B69" s="37" t="s">
        <v>571</v>
      </c>
      <c r="C69" s="38">
        <v>3.6082474226804102</v>
      </c>
      <c r="D69" s="38">
        <v>19.072164948453601</v>
      </c>
      <c r="E69" s="38">
        <v>77.319587628866003</v>
      </c>
      <c r="F69" s="38">
        <v>0</v>
      </c>
    </row>
    <row r="70" spans="1:6">
      <c r="A70" s="37" t="s">
        <v>556</v>
      </c>
      <c r="B70" s="37" t="s">
        <v>557</v>
      </c>
      <c r="C70" s="38">
        <v>0</v>
      </c>
      <c r="D70" s="38">
        <v>97.487437185929707</v>
      </c>
      <c r="E70" s="38">
        <v>2.5125628140703502</v>
      </c>
      <c r="F70" s="38">
        <v>0</v>
      </c>
    </row>
    <row r="71" spans="1:6">
      <c r="A71" s="37" t="s">
        <v>400</v>
      </c>
      <c r="B71" s="37" t="s">
        <v>71</v>
      </c>
      <c r="C71" s="38">
        <v>93.670886075949397</v>
      </c>
      <c r="D71" s="38">
        <v>5.0632911392405102</v>
      </c>
      <c r="E71" s="38">
        <v>1.26582278481013</v>
      </c>
      <c r="F71" s="38">
        <v>0</v>
      </c>
    </row>
    <row r="72" spans="1:6">
      <c r="A72" s="37" t="s">
        <v>413</v>
      </c>
      <c r="B72" s="37" t="s">
        <v>414</v>
      </c>
      <c r="C72" s="38">
        <v>0.44080604534005002</v>
      </c>
      <c r="D72" s="38">
        <v>98.740554156171299</v>
      </c>
      <c r="E72" s="38">
        <v>0.81863979848866497</v>
      </c>
      <c r="F72" s="38">
        <v>0</v>
      </c>
    </row>
    <row r="73" spans="1:6">
      <c r="A73" s="37" t="s">
        <v>567</v>
      </c>
      <c r="B73" s="37" t="s">
        <v>73</v>
      </c>
      <c r="C73" s="38">
        <v>0.64102564102564097</v>
      </c>
      <c r="D73" s="38">
        <v>95.146520146520103</v>
      </c>
      <c r="E73" s="38">
        <v>4.2124542124542099</v>
      </c>
      <c r="F73" s="38">
        <v>0</v>
      </c>
    </row>
    <row r="74" spans="1:6">
      <c r="A74" s="37" t="s">
        <v>595</v>
      </c>
      <c r="B74" s="37" t="s">
        <v>74</v>
      </c>
      <c r="C74" s="38">
        <v>0</v>
      </c>
      <c r="D74" s="38">
        <v>26.506024096385499</v>
      </c>
      <c r="E74" s="38">
        <v>73.493975903614498</v>
      </c>
      <c r="F74" s="38">
        <v>0</v>
      </c>
    </row>
    <row r="75" spans="1:6">
      <c r="A75" s="37" t="s">
        <v>497</v>
      </c>
      <c r="B75" s="37" t="s">
        <v>75</v>
      </c>
      <c r="C75" s="38">
        <v>3.0592734225621401</v>
      </c>
      <c r="D75" s="38">
        <v>73.996175908221801</v>
      </c>
      <c r="E75" s="38">
        <v>22.944550669216099</v>
      </c>
      <c r="F75" s="38">
        <v>0</v>
      </c>
    </row>
    <row r="76" spans="1:6">
      <c r="A76" s="37" t="s">
        <v>454</v>
      </c>
      <c r="B76" s="37" t="s">
        <v>76</v>
      </c>
      <c r="C76" s="38">
        <v>0.110987791342952</v>
      </c>
      <c r="D76" s="38">
        <v>53.052164261931203</v>
      </c>
      <c r="E76" s="38">
        <v>46.836847946725896</v>
      </c>
      <c r="F76" s="38">
        <v>0</v>
      </c>
    </row>
    <row r="77" spans="1:6">
      <c r="A77" s="37" t="s">
        <v>659</v>
      </c>
      <c r="B77" s="37" t="s">
        <v>77</v>
      </c>
      <c r="C77" s="38">
        <v>1.6417910447761199</v>
      </c>
      <c r="D77" s="38">
        <v>74.328358208955194</v>
      </c>
      <c r="E77" s="38">
        <v>24.0298507462687</v>
      </c>
      <c r="F77" s="38">
        <v>0</v>
      </c>
    </row>
    <row r="78" spans="1:6">
      <c r="A78" s="37" t="s">
        <v>492</v>
      </c>
      <c r="B78" s="37" t="s">
        <v>78</v>
      </c>
      <c r="C78" s="38">
        <v>0</v>
      </c>
      <c r="D78" s="38">
        <v>69.25</v>
      </c>
      <c r="E78" s="38">
        <v>30.75</v>
      </c>
      <c r="F78" s="38">
        <v>0</v>
      </c>
    </row>
    <row r="79" spans="1:6">
      <c r="A79" s="37" t="s">
        <v>624</v>
      </c>
      <c r="B79" s="37" t="s">
        <v>79</v>
      </c>
      <c r="C79" s="38">
        <v>1.82767624020888</v>
      </c>
      <c r="D79" s="38">
        <v>68.407310704960807</v>
      </c>
      <c r="E79" s="38">
        <v>29.765013054830298</v>
      </c>
      <c r="F79" s="38">
        <v>0</v>
      </c>
    </row>
    <row r="80" spans="1:6">
      <c r="A80" s="37" t="s">
        <v>601</v>
      </c>
      <c r="B80" s="37" t="s">
        <v>80</v>
      </c>
      <c r="C80" s="38">
        <v>0.51813471502590702</v>
      </c>
      <c r="D80" s="38">
        <v>73.373632700057598</v>
      </c>
      <c r="E80" s="38">
        <v>25.993091537133001</v>
      </c>
      <c r="F80" s="38">
        <v>0.115141047783535</v>
      </c>
    </row>
    <row r="81" spans="1:6">
      <c r="A81" s="37" t="s">
        <v>600</v>
      </c>
      <c r="B81" s="37" t="s">
        <v>81</v>
      </c>
      <c r="C81" s="38">
        <v>15.7846715328467</v>
      </c>
      <c r="D81" s="38">
        <v>77.645985401459896</v>
      </c>
      <c r="E81" s="38">
        <v>6.5693430656934302</v>
      </c>
      <c r="F81" s="38">
        <v>0</v>
      </c>
    </row>
    <row r="82" spans="1:6">
      <c r="A82" s="37" t="s">
        <v>433</v>
      </c>
      <c r="B82" s="37" t="s">
        <v>82</v>
      </c>
      <c r="C82" s="38">
        <v>0.76238881829733196</v>
      </c>
      <c r="D82" s="38">
        <v>71.537484116899606</v>
      </c>
      <c r="E82" s="38">
        <v>27.700127064802999</v>
      </c>
      <c r="F82" s="38">
        <v>0</v>
      </c>
    </row>
    <row r="83" spans="1:6">
      <c r="A83" s="37" t="s">
        <v>498</v>
      </c>
      <c r="B83" s="37" t="s">
        <v>83</v>
      </c>
      <c r="C83" s="38">
        <v>3.55191256830601</v>
      </c>
      <c r="D83" s="38">
        <v>85.245901639344297</v>
      </c>
      <c r="E83" s="38">
        <v>9.3806921675774095</v>
      </c>
      <c r="F83" s="38">
        <v>1.8214936247723099</v>
      </c>
    </row>
    <row r="84" spans="1:6">
      <c r="A84" s="37" t="s">
        <v>627</v>
      </c>
      <c r="B84" s="37" t="s">
        <v>84</v>
      </c>
      <c r="C84" s="38">
        <v>0</v>
      </c>
      <c r="D84" s="38">
        <v>69.574700109051307</v>
      </c>
      <c r="E84" s="38">
        <v>29.880043620501599</v>
      </c>
      <c r="F84" s="38">
        <v>0.54525627044711</v>
      </c>
    </row>
    <row r="85" spans="1:6">
      <c r="A85" s="37" t="s">
        <v>490</v>
      </c>
      <c r="B85" s="37" t="s">
        <v>85</v>
      </c>
      <c r="C85" s="38">
        <v>0.84745762711864403</v>
      </c>
      <c r="D85" s="38">
        <v>97.033898305084705</v>
      </c>
      <c r="E85" s="38">
        <v>2.1186440677966099</v>
      </c>
      <c r="F85" s="38">
        <v>0</v>
      </c>
    </row>
    <row r="86" spans="1:6">
      <c r="A86" s="37" t="s">
        <v>670</v>
      </c>
      <c r="B86" s="37" t="s">
        <v>86</v>
      </c>
      <c r="C86" s="38">
        <v>0</v>
      </c>
      <c r="D86" s="38">
        <v>51.873198847262202</v>
      </c>
      <c r="E86" s="38">
        <v>48.126801152737798</v>
      </c>
      <c r="F86" s="38">
        <v>0</v>
      </c>
    </row>
    <row r="87" spans="1:6">
      <c r="A87" s="37" t="s">
        <v>590</v>
      </c>
      <c r="B87" s="37" t="s">
        <v>87</v>
      </c>
      <c r="C87" s="38">
        <v>0</v>
      </c>
      <c r="D87" s="38">
        <v>71.975806451612897</v>
      </c>
      <c r="E87" s="38">
        <v>27.9569892473118</v>
      </c>
      <c r="F87" s="38">
        <v>6.7204301075268799E-2</v>
      </c>
    </row>
    <row r="88" spans="1:6">
      <c r="A88" s="37" t="s">
        <v>465</v>
      </c>
      <c r="B88" s="37" t="s">
        <v>88</v>
      </c>
      <c r="C88" s="38">
        <v>1.5290519877675799</v>
      </c>
      <c r="D88" s="38">
        <v>78.134556574923593</v>
      </c>
      <c r="E88" s="38">
        <v>20.336391437308901</v>
      </c>
      <c r="F88" s="38">
        <v>0</v>
      </c>
    </row>
    <row r="89" spans="1:6">
      <c r="A89" s="37" t="s">
        <v>401</v>
      </c>
      <c r="B89" s="37" t="s">
        <v>89</v>
      </c>
      <c r="C89" s="38">
        <v>2.3249936820823902</v>
      </c>
      <c r="D89" s="38">
        <v>62.749557745767</v>
      </c>
      <c r="E89" s="38">
        <v>34.9254485721506</v>
      </c>
      <c r="F89" s="38">
        <v>0</v>
      </c>
    </row>
    <row r="90" spans="1:6">
      <c r="A90" s="37" t="s">
        <v>500</v>
      </c>
      <c r="B90" s="37" t="s">
        <v>90</v>
      </c>
      <c r="C90" s="38">
        <v>0</v>
      </c>
      <c r="D90" s="38">
        <v>77.561955793704001</v>
      </c>
      <c r="E90" s="38">
        <v>22.438044206295999</v>
      </c>
      <c r="F90" s="38">
        <v>0</v>
      </c>
    </row>
    <row r="91" spans="1:6">
      <c r="A91" s="37" t="s">
        <v>409</v>
      </c>
      <c r="B91" s="37" t="s">
        <v>91</v>
      </c>
      <c r="C91" s="38">
        <v>2.9175784099197699</v>
      </c>
      <c r="D91" s="38">
        <v>92.997811816192595</v>
      </c>
      <c r="E91" s="38">
        <v>4.0846097738876699</v>
      </c>
      <c r="F91" s="38">
        <v>0</v>
      </c>
    </row>
    <row r="92" spans="1:6">
      <c r="A92" s="37" t="s">
        <v>386</v>
      </c>
      <c r="B92" s="37" t="s">
        <v>92</v>
      </c>
      <c r="C92" s="38">
        <v>4.1504539559014297</v>
      </c>
      <c r="D92" s="38">
        <v>95.590142671854693</v>
      </c>
      <c r="E92" s="38">
        <v>0.25940337224383903</v>
      </c>
      <c r="F92" s="38">
        <v>0</v>
      </c>
    </row>
    <row r="93" spans="1:6">
      <c r="A93" s="37" t="s">
        <v>565</v>
      </c>
      <c r="B93" s="37" t="s">
        <v>93</v>
      </c>
      <c r="C93" s="38">
        <v>2.6775320139697301</v>
      </c>
      <c r="D93" s="38">
        <v>30.384167636787001</v>
      </c>
      <c r="E93" s="38">
        <v>66.938300349243306</v>
      </c>
      <c r="F93" s="38">
        <v>0</v>
      </c>
    </row>
    <row r="94" spans="1:6">
      <c r="A94" s="37" t="s">
        <v>528</v>
      </c>
      <c r="B94" s="37" t="s">
        <v>94</v>
      </c>
      <c r="C94" s="38">
        <v>0</v>
      </c>
      <c r="D94" s="38">
        <v>17.5</v>
      </c>
      <c r="E94" s="38">
        <v>82.5</v>
      </c>
      <c r="F94" s="38">
        <v>0</v>
      </c>
    </row>
    <row r="95" spans="1:6">
      <c r="A95" s="37" t="s">
        <v>420</v>
      </c>
      <c r="B95" s="37" t="s">
        <v>421</v>
      </c>
      <c r="C95" s="38">
        <v>16.030123722431401</v>
      </c>
      <c r="D95" s="38">
        <v>81.549220010758503</v>
      </c>
      <c r="E95" s="38">
        <v>2.4206562668101101</v>
      </c>
      <c r="F95" s="38">
        <v>0</v>
      </c>
    </row>
    <row r="96" spans="1:6">
      <c r="A96" s="37" t="s">
        <v>531</v>
      </c>
      <c r="B96" s="37" t="s">
        <v>96</v>
      </c>
      <c r="C96" s="38">
        <v>0</v>
      </c>
      <c r="D96" s="38">
        <v>20.5047318611987</v>
      </c>
      <c r="E96" s="38">
        <v>79.495268138801293</v>
      </c>
      <c r="F96" s="38">
        <v>0</v>
      </c>
    </row>
    <row r="97" spans="1:6">
      <c r="A97" s="37" t="s">
        <v>664</v>
      </c>
      <c r="B97" s="37" t="s">
        <v>97</v>
      </c>
      <c r="C97" s="38">
        <v>0.32</v>
      </c>
      <c r="D97" s="38">
        <v>57.28</v>
      </c>
      <c r="E97" s="38">
        <v>42.4</v>
      </c>
      <c r="F97" s="38">
        <v>0</v>
      </c>
    </row>
    <row r="98" spans="1:6">
      <c r="A98" s="37" t="s">
        <v>555</v>
      </c>
      <c r="B98" s="37" t="s">
        <v>98</v>
      </c>
      <c r="C98" s="38">
        <v>2.2263450834879399</v>
      </c>
      <c r="D98" s="38">
        <v>84.044526901669798</v>
      </c>
      <c r="E98" s="38">
        <v>13.729128014842299</v>
      </c>
      <c r="F98" s="38">
        <v>0</v>
      </c>
    </row>
    <row r="99" spans="1:6">
      <c r="A99" s="37" t="s">
        <v>436</v>
      </c>
      <c r="B99" s="37" t="s">
        <v>99</v>
      </c>
      <c r="C99" s="38">
        <v>5.3543307086614202</v>
      </c>
      <c r="D99" s="38">
        <v>88.976377952755897</v>
      </c>
      <c r="E99" s="38">
        <v>5.6692913385826804</v>
      </c>
      <c r="F99" s="38">
        <v>0</v>
      </c>
    </row>
    <row r="100" spans="1:6">
      <c r="A100" s="37" t="s">
        <v>444</v>
      </c>
      <c r="B100" s="37" t="s">
        <v>100</v>
      </c>
      <c r="C100" s="38">
        <v>5.8227848101265796</v>
      </c>
      <c r="D100" s="38">
        <v>92.151898734177195</v>
      </c>
      <c r="E100" s="38">
        <v>2.0253164556962</v>
      </c>
      <c r="F100" s="38">
        <v>0</v>
      </c>
    </row>
    <row r="101" spans="1:6">
      <c r="A101" s="37" t="s">
        <v>479</v>
      </c>
      <c r="B101" s="37" t="s">
        <v>101</v>
      </c>
      <c r="C101" s="38">
        <v>82.857142857142904</v>
      </c>
      <c r="D101" s="38">
        <v>14.285714285714301</v>
      </c>
      <c r="E101" s="38">
        <v>2.8571428571428599</v>
      </c>
      <c r="F101" s="38">
        <v>0</v>
      </c>
    </row>
    <row r="102" spans="1:6">
      <c r="A102" s="37" t="s">
        <v>573</v>
      </c>
      <c r="B102" s="37" t="s">
        <v>102</v>
      </c>
      <c r="C102" s="38">
        <v>3.1489361702127701</v>
      </c>
      <c r="D102" s="38">
        <v>76.255319148936195</v>
      </c>
      <c r="E102" s="38">
        <v>20.595744680851102</v>
      </c>
      <c r="F102" s="38">
        <v>0</v>
      </c>
    </row>
    <row r="103" spans="1:6">
      <c r="A103" s="37" t="s">
        <v>579</v>
      </c>
      <c r="B103" s="37" t="s">
        <v>103</v>
      </c>
      <c r="C103" s="38">
        <v>0</v>
      </c>
      <c r="D103" s="38">
        <v>71.029224904701394</v>
      </c>
      <c r="E103" s="38">
        <v>28.970775095298599</v>
      </c>
      <c r="F103" s="38">
        <v>0</v>
      </c>
    </row>
    <row r="104" spans="1:6">
      <c r="A104" s="37" t="s">
        <v>699</v>
      </c>
      <c r="B104" s="37" t="s">
        <v>700</v>
      </c>
      <c r="C104" s="38">
        <v>7.5464083938660202</v>
      </c>
      <c r="D104" s="38">
        <v>75.595910680656402</v>
      </c>
      <c r="E104" s="38">
        <v>16.857680925477499</v>
      </c>
      <c r="F104" s="38">
        <v>0</v>
      </c>
    </row>
    <row r="105" spans="1:6">
      <c r="A105" s="37" t="s">
        <v>507</v>
      </c>
      <c r="B105" s="37" t="s">
        <v>105</v>
      </c>
      <c r="C105" s="38">
        <v>3.16597377678286</v>
      </c>
      <c r="D105" s="38">
        <v>73.840741925167904</v>
      </c>
      <c r="E105" s="38">
        <v>22.9932842980493</v>
      </c>
      <c r="F105" s="38">
        <v>0</v>
      </c>
    </row>
    <row r="106" spans="1:6">
      <c r="A106" s="37" t="s">
        <v>467</v>
      </c>
      <c r="B106" s="37" t="s">
        <v>106</v>
      </c>
      <c r="C106" s="38">
        <v>1.31528046421663</v>
      </c>
      <c r="D106" s="38">
        <v>93.849129593810403</v>
      </c>
      <c r="E106" s="38">
        <v>4.7582205029013496</v>
      </c>
      <c r="F106" s="38">
        <v>7.7369439071566695E-2</v>
      </c>
    </row>
    <row r="107" spans="1:6">
      <c r="A107" s="37" t="s">
        <v>558</v>
      </c>
      <c r="B107" s="37" t="s">
        <v>107</v>
      </c>
      <c r="C107" s="38">
        <v>0.59701492537313405</v>
      </c>
      <c r="D107" s="38">
        <v>92.985074626865696</v>
      </c>
      <c r="E107" s="38">
        <v>6.4179104477611899</v>
      </c>
      <c r="F107" s="38">
        <v>0</v>
      </c>
    </row>
    <row r="108" spans="1:6">
      <c r="A108" s="37" t="s">
        <v>581</v>
      </c>
      <c r="B108" s="37" t="s">
        <v>108</v>
      </c>
      <c r="C108" s="38">
        <v>2.0618556701030899</v>
      </c>
      <c r="D108" s="38">
        <v>97.9381443298969</v>
      </c>
      <c r="E108" s="38">
        <v>0</v>
      </c>
      <c r="F108" s="38">
        <v>0</v>
      </c>
    </row>
    <row r="109" spans="1:6">
      <c r="A109" s="37" t="s">
        <v>395</v>
      </c>
      <c r="B109" s="37" t="s">
        <v>109</v>
      </c>
      <c r="C109" s="38">
        <v>3.125</v>
      </c>
      <c r="D109" s="38">
        <v>0</v>
      </c>
      <c r="E109" s="38">
        <v>96.875</v>
      </c>
      <c r="F109" s="38">
        <v>0</v>
      </c>
    </row>
    <row r="110" spans="1:6">
      <c r="A110" s="37" t="s">
        <v>441</v>
      </c>
      <c r="B110" s="37" t="s">
        <v>110</v>
      </c>
      <c r="C110" s="38">
        <v>80</v>
      </c>
      <c r="D110" s="38">
        <v>10</v>
      </c>
      <c r="E110" s="38">
        <v>10</v>
      </c>
      <c r="F110" s="38">
        <v>0</v>
      </c>
    </row>
    <row r="111" spans="1:6">
      <c r="A111" s="37" t="s">
        <v>741</v>
      </c>
      <c r="B111" s="37" t="s">
        <v>111</v>
      </c>
      <c r="C111" s="38">
        <v>0</v>
      </c>
      <c r="D111" s="38">
        <v>1.3793103448275901</v>
      </c>
      <c r="E111" s="38">
        <v>98.620689655172399</v>
      </c>
      <c r="F111" s="38">
        <v>0</v>
      </c>
    </row>
    <row r="112" spans="1:6">
      <c r="A112" s="37" t="s">
        <v>735</v>
      </c>
      <c r="B112" s="37" t="s">
        <v>112</v>
      </c>
      <c r="C112" s="38">
        <v>0</v>
      </c>
      <c r="D112" s="38">
        <v>3.1914893617021298</v>
      </c>
      <c r="E112" s="38">
        <v>96.808510638297903</v>
      </c>
      <c r="F112" s="38">
        <v>0</v>
      </c>
    </row>
    <row r="113" spans="1:6">
      <c r="A113" s="37" t="s">
        <v>721</v>
      </c>
      <c r="B113" s="37" t="s">
        <v>113</v>
      </c>
      <c r="C113" s="38">
        <v>0</v>
      </c>
      <c r="D113" s="38">
        <v>7.1258907363420398</v>
      </c>
      <c r="E113" s="38">
        <v>92.874109263657999</v>
      </c>
      <c r="F113" s="38">
        <v>0</v>
      </c>
    </row>
    <row r="114" spans="1:6">
      <c r="A114" s="37" t="s">
        <v>650</v>
      </c>
      <c r="B114" s="37" t="s">
        <v>114</v>
      </c>
      <c r="C114" s="38">
        <v>8.5796683489545806</v>
      </c>
      <c r="D114" s="38">
        <v>79.019466474405206</v>
      </c>
      <c r="E114" s="38">
        <v>12.400865176640201</v>
      </c>
      <c r="F114" s="38">
        <v>0</v>
      </c>
    </row>
    <row r="115" spans="1:6">
      <c r="A115" s="37" t="s">
        <v>418</v>
      </c>
      <c r="B115" s="37" t="s">
        <v>115</v>
      </c>
      <c r="C115" s="38">
        <v>1.38339920948617</v>
      </c>
      <c r="D115" s="38">
        <v>97.430830039525702</v>
      </c>
      <c r="E115" s="38">
        <v>1.1857707509881401</v>
      </c>
      <c r="F115" s="38">
        <v>0</v>
      </c>
    </row>
    <row r="116" spans="1:6">
      <c r="A116" s="37" t="s">
        <v>569</v>
      </c>
      <c r="B116" s="37" t="s">
        <v>116</v>
      </c>
      <c r="C116" s="38">
        <v>1.2062726176115799</v>
      </c>
      <c r="D116" s="38">
        <v>97.828709288299194</v>
      </c>
      <c r="E116" s="38">
        <v>0.96501809408926398</v>
      </c>
      <c r="F116" s="38">
        <v>0</v>
      </c>
    </row>
    <row r="117" spans="1:6">
      <c r="A117" s="37" t="s">
        <v>506</v>
      </c>
      <c r="B117" s="37" t="s">
        <v>117</v>
      </c>
      <c r="C117" s="38">
        <v>0</v>
      </c>
      <c r="D117" s="38">
        <v>54.905335628227199</v>
      </c>
      <c r="E117" s="38">
        <v>45.094664371772801</v>
      </c>
      <c r="F117" s="38">
        <v>0</v>
      </c>
    </row>
    <row r="118" spans="1:6">
      <c r="A118" s="37" t="s">
        <v>380</v>
      </c>
      <c r="B118" s="37" t="s">
        <v>345</v>
      </c>
      <c r="C118" s="38">
        <v>29.411764705882401</v>
      </c>
      <c r="D118" s="38">
        <v>67.941176470588204</v>
      </c>
      <c r="E118" s="38">
        <v>2.6470588235294099</v>
      </c>
      <c r="F118" s="38">
        <v>0</v>
      </c>
    </row>
    <row r="119" spans="1:6">
      <c r="A119" s="37" t="s">
        <v>450</v>
      </c>
      <c r="B119" s="37" t="s">
        <v>119</v>
      </c>
      <c r="C119" s="38">
        <v>7.0101647388713606E-2</v>
      </c>
      <c r="D119" s="38">
        <v>13.5997195934104</v>
      </c>
      <c r="E119" s="38">
        <v>81.913774973711895</v>
      </c>
      <c r="F119" s="38">
        <v>4.41640378548896</v>
      </c>
    </row>
    <row r="120" spans="1:6">
      <c r="A120" s="37" t="s">
        <v>545</v>
      </c>
      <c r="B120" s="37" t="s">
        <v>120</v>
      </c>
      <c r="C120" s="38">
        <v>16.321656050955401</v>
      </c>
      <c r="D120" s="38">
        <v>62.460191082802602</v>
      </c>
      <c r="E120" s="38">
        <v>19.8646496815287</v>
      </c>
      <c r="F120" s="38">
        <v>1.35350318471338</v>
      </c>
    </row>
    <row r="121" spans="1:6">
      <c r="A121" s="37" t="s">
        <v>715</v>
      </c>
      <c r="B121" s="37" t="s">
        <v>121</v>
      </c>
      <c r="C121" s="38">
        <v>0.11764705882352899</v>
      </c>
      <c r="D121" s="38">
        <v>9.0588235294117592</v>
      </c>
      <c r="E121" s="38">
        <v>90.235294117647101</v>
      </c>
      <c r="F121" s="38">
        <v>0.58823529411764697</v>
      </c>
    </row>
    <row r="122" spans="1:6">
      <c r="A122" s="37" t="s">
        <v>652</v>
      </c>
      <c r="B122" s="37" t="s">
        <v>653</v>
      </c>
      <c r="C122" s="38">
        <v>0</v>
      </c>
      <c r="D122" s="38">
        <v>39.543491671807502</v>
      </c>
      <c r="E122" s="38">
        <v>56.446637877853199</v>
      </c>
      <c r="F122" s="38">
        <v>4.0098704503393003</v>
      </c>
    </row>
    <row r="123" spans="1:6">
      <c r="A123" s="37" t="s">
        <v>655</v>
      </c>
      <c r="B123" s="37" t="s">
        <v>123</v>
      </c>
      <c r="C123" s="38">
        <v>3.3007334963325201</v>
      </c>
      <c r="D123" s="38">
        <v>3.5452322738386299</v>
      </c>
      <c r="E123" s="38">
        <v>71.026894865525705</v>
      </c>
      <c r="F123" s="38">
        <v>22.127139364303201</v>
      </c>
    </row>
    <row r="124" spans="1:6">
      <c r="A124" s="37" t="s">
        <v>619</v>
      </c>
      <c r="B124" s="37" t="s">
        <v>124</v>
      </c>
      <c r="C124" s="38">
        <v>0.76107637945093798</v>
      </c>
      <c r="D124" s="38">
        <v>23.049741777657001</v>
      </c>
      <c r="E124" s="38">
        <v>74.449578689861397</v>
      </c>
      <c r="F124" s="38">
        <v>1.7396031530307099</v>
      </c>
    </row>
    <row r="125" spans="1:6">
      <c r="A125" s="37" t="s">
        <v>542</v>
      </c>
      <c r="B125" s="37" t="s">
        <v>543</v>
      </c>
      <c r="C125" s="38">
        <v>3.87596899224806</v>
      </c>
      <c r="D125" s="38">
        <v>82.170542635658904</v>
      </c>
      <c r="E125" s="38">
        <v>13.436692506459901</v>
      </c>
      <c r="F125" s="38">
        <v>0.516795865633075</v>
      </c>
    </row>
    <row r="126" spans="1:6">
      <c r="A126" s="37" t="s">
        <v>537</v>
      </c>
      <c r="B126" s="37" t="s">
        <v>126</v>
      </c>
      <c r="C126" s="38">
        <v>0.266311584553928</v>
      </c>
      <c r="D126" s="38">
        <v>2.5299600532623199</v>
      </c>
      <c r="E126" s="38">
        <v>72.303595206391506</v>
      </c>
      <c r="F126" s="38">
        <v>24.9001331557923</v>
      </c>
    </row>
    <row r="127" spans="1:6">
      <c r="A127" s="37" t="s">
        <v>456</v>
      </c>
      <c r="B127" s="37" t="s">
        <v>127</v>
      </c>
      <c r="C127" s="38">
        <v>4.1666666666666696</v>
      </c>
      <c r="D127" s="38">
        <v>35.4166666666667</v>
      </c>
      <c r="E127" s="38">
        <v>60.4166666666667</v>
      </c>
      <c r="F127" s="38">
        <v>0</v>
      </c>
    </row>
    <row r="128" spans="1:6">
      <c r="A128" s="37" t="s">
        <v>544</v>
      </c>
      <c r="B128" s="37" t="s">
        <v>128</v>
      </c>
      <c r="C128" s="38">
        <v>0</v>
      </c>
      <c r="D128" s="38">
        <v>1.3043478260869601</v>
      </c>
      <c r="E128" s="38">
        <v>87.391304347826093</v>
      </c>
      <c r="F128" s="38">
        <v>11.304347826087</v>
      </c>
    </row>
    <row r="129" spans="1:6">
      <c r="A129" s="37" t="s">
        <v>546</v>
      </c>
      <c r="B129" s="37" t="s">
        <v>129</v>
      </c>
      <c r="C129" s="38">
        <v>0</v>
      </c>
      <c r="D129" s="38">
        <v>49.783549783549802</v>
      </c>
      <c r="E129" s="38">
        <v>50.216450216450198</v>
      </c>
      <c r="F129" s="38">
        <v>0</v>
      </c>
    </row>
    <row r="130" spans="1:6">
      <c r="A130" s="37" t="s">
        <v>696</v>
      </c>
      <c r="B130" s="37" t="s">
        <v>130</v>
      </c>
      <c r="C130" s="38">
        <v>0</v>
      </c>
      <c r="D130" s="38">
        <v>2.4509803921568598</v>
      </c>
      <c r="E130" s="38">
        <v>78.186274509803894</v>
      </c>
      <c r="F130" s="38">
        <v>19.362745098039198</v>
      </c>
    </row>
    <row r="131" spans="1:6">
      <c r="A131" s="37" t="s">
        <v>686</v>
      </c>
      <c r="B131" s="37" t="s">
        <v>687</v>
      </c>
      <c r="C131" s="38">
        <v>0</v>
      </c>
      <c r="D131" s="38">
        <v>3.0201342281879202</v>
      </c>
      <c r="E131" s="38">
        <v>76.677852348993298</v>
      </c>
      <c r="F131" s="38">
        <v>20.302013422818799</v>
      </c>
    </row>
    <row r="132" spans="1:6">
      <c r="A132" s="37" t="s">
        <v>756</v>
      </c>
      <c r="B132" s="37" t="s">
        <v>132</v>
      </c>
      <c r="C132" s="38">
        <v>0.45317220543806702</v>
      </c>
      <c r="D132" s="38">
        <v>1.8126888217522701</v>
      </c>
      <c r="E132" s="38">
        <v>79.909365558912398</v>
      </c>
      <c r="F132" s="38">
        <v>17.824773413897301</v>
      </c>
    </row>
    <row r="133" spans="1:6">
      <c r="A133" s="37" t="s">
        <v>658</v>
      </c>
      <c r="B133" s="37" t="s">
        <v>133</v>
      </c>
      <c r="C133" s="38">
        <v>7.7881619937694699</v>
      </c>
      <c r="D133" s="38">
        <v>63.7071651090343</v>
      </c>
      <c r="E133" s="38">
        <v>28.348909657320899</v>
      </c>
      <c r="F133" s="38">
        <v>0.15576323987538901</v>
      </c>
    </row>
    <row r="134" spans="1:6">
      <c r="A134" s="37" t="s">
        <v>515</v>
      </c>
      <c r="B134" s="37" t="s">
        <v>134</v>
      </c>
      <c r="C134" s="38">
        <v>2.60869565217391</v>
      </c>
      <c r="D134" s="38">
        <v>32.173913043478301</v>
      </c>
      <c r="E134" s="38">
        <v>65.2173913043478</v>
      </c>
      <c r="F134" s="38">
        <v>0</v>
      </c>
    </row>
    <row r="135" spans="1:6">
      <c r="A135" s="37" t="s">
        <v>667</v>
      </c>
      <c r="B135" s="37" t="s">
        <v>135</v>
      </c>
      <c r="C135" s="38">
        <v>3.4246575342465801</v>
      </c>
      <c r="D135" s="38">
        <v>21.2328767123288</v>
      </c>
      <c r="E135" s="38">
        <v>62.328767123287697</v>
      </c>
      <c r="F135" s="38">
        <v>13.013698630137</v>
      </c>
    </row>
    <row r="136" spans="1:6">
      <c r="A136" s="37" t="s">
        <v>452</v>
      </c>
      <c r="B136" s="37" t="s">
        <v>136</v>
      </c>
      <c r="C136" s="38">
        <v>0</v>
      </c>
      <c r="D136" s="38">
        <v>89.610389610389603</v>
      </c>
      <c r="E136" s="38">
        <v>10.3896103896104</v>
      </c>
      <c r="F136" s="38">
        <v>0</v>
      </c>
    </row>
    <row r="137" spans="1:6">
      <c r="A137" s="37" t="s">
        <v>540</v>
      </c>
      <c r="B137" s="37" t="s">
        <v>541</v>
      </c>
      <c r="C137" s="38">
        <v>0</v>
      </c>
      <c r="D137" s="38">
        <v>20.930232558139501</v>
      </c>
      <c r="E137" s="38">
        <v>79.069767441860506</v>
      </c>
      <c r="F137" s="38">
        <v>0</v>
      </c>
    </row>
    <row r="138" spans="1:6">
      <c r="A138" s="37" t="s">
        <v>523</v>
      </c>
      <c r="B138" s="37" t="s">
        <v>138</v>
      </c>
      <c r="C138" s="38">
        <v>22.105263157894701</v>
      </c>
      <c r="D138" s="38">
        <v>67.368421052631604</v>
      </c>
      <c r="E138" s="38">
        <v>10.526315789473699</v>
      </c>
      <c r="F138" s="38">
        <v>0</v>
      </c>
    </row>
    <row r="139" spans="1:6">
      <c r="A139" s="37" t="s">
        <v>495</v>
      </c>
      <c r="B139" s="37" t="s">
        <v>139</v>
      </c>
      <c r="C139" s="38">
        <v>50.691244239631303</v>
      </c>
      <c r="D139" s="38">
        <v>43.778801843318</v>
      </c>
      <c r="E139" s="38">
        <v>4.6082949308755801</v>
      </c>
      <c r="F139" s="38">
        <v>0.92165898617511499</v>
      </c>
    </row>
    <row r="140" spans="1:6">
      <c r="A140" s="37" t="s">
        <v>457</v>
      </c>
      <c r="B140" s="37" t="s">
        <v>140</v>
      </c>
      <c r="C140" s="38">
        <v>15.5115511551155</v>
      </c>
      <c r="D140" s="38">
        <v>57.590759075907599</v>
      </c>
      <c r="E140" s="38">
        <v>25.577557755775601</v>
      </c>
      <c r="F140" s="38">
        <v>1.3201320132013199</v>
      </c>
    </row>
    <row r="141" spans="1:6">
      <c r="A141" s="37" t="s">
        <v>397</v>
      </c>
      <c r="B141" s="37" t="s">
        <v>141</v>
      </c>
      <c r="C141" s="38">
        <v>54.593175853018401</v>
      </c>
      <c r="D141" s="38">
        <v>40.419947506561698</v>
      </c>
      <c r="E141" s="38">
        <v>4.9868766404199496</v>
      </c>
      <c r="F141" s="38">
        <v>0</v>
      </c>
    </row>
    <row r="142" spans="1:6">
      <c r="A142" s="37" t="s">
        <v>411</v>
      </c>
      <c r="B142" s="37" t="s">
        <v>412</v>
      </c>
      <c r="C142" s="38">
        <v>45.454545454545503</v>
      </c>
      <c r="D142" s="38">
        <v>51.3833992094862</v>
      </c>
      <c r="E142" s="38">
        <v>3.1620553359683798</v>
      </c>
      <c r="F142" s="38">
        <v>0</v>
      </c>
    </row>
    <row r="143" spans="1:6">
      <c r="A143" s="37" t="s">
        <v>390</v>
      </c>
      <c r="B143" s="37" t="s">
        <v>143</v>
      </c>
      <c r="C143" s="38">
        <v>2.7027027027027</v>
      </c>
      <c r="D143" s="38">
        <v>97.297297297297305</v>
      </c>
      <c r="E143" s="38">
        <v>0</v>
      </c>
      <c r="F143" s="38">
        <v>0</v>
      </c>
    </row>
    <row r="144" spans="1:6">
      <c r="A144" s="37" t="s">
        <v>387</v>
      </c>
      <c r="B144" s="37" t="s">
        <v>144</v>
      </c>
      <c r="C144" s="38">
        <v>36.892052194543297</v>
      </c>
      <c r="D144" s="38">
        <v>59.193357058125699</v>
      </c>
      <c r="E144" s="38">
        <v>3.9145907473309598</v>
      </c>
      <c r="F144" s="38">
        <v>0</v>
      </c>
    </row>
    <row r="145" spans="1:6">
      <c r="A145" s="37" t="s">
        <v>453</v>
      </c>
      <c r="B145" s="37" t="s">
        <v>145</v>
      </c>
      <c r="C145" s="38">
        <v>2.71186440677966</v>
      </c>
      <c r="D145" s="38">
        <v>38.135593220338997</v>
      </c>
      <c r="E145" s="38">
        <v>57.966101694915302</v>
      </c>
      <c r="F145" s="38">
        <v>1.1864406779661001</v>
      </c>
    </row>
    <row r="146" spans="1:6">
      <c r="A146" s="37" t="s">
        <v>499</v>
      </c>
      <c r="B146" s="37" t="s">
        <v>146</v>
      </c>
      <c r="C146" s="38">
        <v>0.50897170462387897</v>
      </c>
      <c r="D146" s="38">
        <v>32.004830917874401</v>
      </c>
      <c r="E146" s="38">
        <v>65.018978605935104</v>
      </c>
      <c r="F146" s="38">
        <v>2.4672187715665999</v>
      </c>
    </row>
    <row r="147" spans="1:6">
      <c r="A147" s="37" t="s">
        <v>645</v>
      </c>
      <c r="B147" s="37" t="s">
        <v>147</v>
      </c>
      <c r="C147" s="38">
        <v>1.1723329425556901</v>
      </c>
      <c r="D147" s="38">
        <v>3.1066822977725699</v>
      </c>
      <c r="E147" s="38">
        <v>82.063305978898001</v>
      </c>
      <c r="F147" s="38">
        <v>13.657678780773701</v>
      </c>
    </row>
    <row r="148" spans="1:6">
      <c r="A148" s="37" t="s">
        <v>709</v>
      </c>
      <c r="B148" s="37" t="s">
        <v>609</v>
      </c>
      <c r="C148" s="38">
        <v>4.3402777777777797E-2</v>
      </c>
      <c r="D148" s="38">
        <v>2.4739583333333299</v>
      </c>
      <c r="E148" s="38">
        <v>65.0607638888889</v>
      </c>
      <c r="F148" s="38">
        <v>32.421875</v>
      </c>
    </row>
    <row r="149" spans="1:6">
      <c r="A149" s="37" t="s">
        <v>530</v>
      </c>
      <c r="B149" s="37" t="s">
        <v>149</v>
      </c>
      <c r="C149" s="38">
        <v>0.70505287896592295</v>
      </c>
      <c r="D149" s="38">
        <v>47.9827653740697</v>
      </c>
      <c r="E149" s="38">
        <v>49.510379945162597</v>
      </c>
      <c r="F149" s="38">
        <v>1.8018018018018001</v>
      </c>
    </row>
    <row r="150" spans="1:6">
      <c r="A150" s="37" t="s">
        <v>710</v>
      </c>
      <c r="B150" s="37" t="s">
        <v>150</v>
      </c>
      <c r="C150" s="38">
        <v>0</v>
      </c>
      <c r="D150" s="38">
        <v>5.6530214424951302</v>
      </c>
      <c r="E150" s="38">
        <v>84.600389863547704</v>
      </c>
      <c r="F150" s="38">
        <v>9.7465886939571096</v>
      </c>
    </row>
    <row r="151" spans="1:6">
      <c r="A151" s="37" t="s">
        <v>478</v>
      </c>
      <c r="B151" s="37" t="s">
        <v>151</v>
      </c>
      <c r="C151" s="38">
        <v>1.2642225031605601</v>
      </c>
      <c r="D151" s="38">
        <v>80.436156763590404</v>
      </c>
      <c r="E151" s="38">
        <v>18.2996207332491</v>
      </c>
      <c r="F151" s="38">
        <v>0</v>
      </c>
    </row>
    <row r="152" spans="1:6">
      <c r="A152" s="37" t="s">
        <v>389</v>
      </c>
      <c r="B152" s="37" t="s">
        <v>152</v>
      </c>
      <c r="C152" s="38">
        <v>0.60408921933085502</v>
      </c>
      <c r="D152" s="38">
        <v>99.302973977695203</v>
      </c>
      <c r="E152" s="38">
        <v>9.2936802973977703E-2</v>
      </c>
      <c r="F152" s="38">
        <v>0</v>
      </c>
    </row>
    <row r="153" spans="1:6">
      <c r="A153" s="37" t="s">
        <v>536</v>
      </c>
      <c r="B153" s="37" t="s">
        <v>153</v>
      </c>
      <c r="C153" s="38">
        <v>7.07112970711297</v>
      </c>
      <c r="D153" s="38">
        <v>92.887029288702905</v>
      </c>
      <c r="E153" s="38">
        <v>4.1841004184100403E-2</v>
      </c>
      <c r="F153" s="38">
        <v>0</v>
      </c>
    </row>
    <row r="154" spans="1:6">
      <c r="A154" s="37" t="s">
        <v>496</v>
      </c>
      <c r="B154" s="37" t="s">
        <v>154</v>
      </c>
      <c r="C154" s="38">
        <v>0</v>
      </c>
      <c r="D154" s="38">
        <v>6.4315352697095403</v>
      </c>
      <c r="E154" s="38">
        <v>82.088520055325006</v>
      </c>
      <c r="F154" s="38">
        <v>11.479944674965401</v>
      </c>
    </row>
    <row r="155" spans="1:6">
      <c r="A155" s="37" t="s">
        <v>483</v>
      </c>
      <c r="B155" s="37" t="s">
        <v>155</v>
      </c>
      <c r="C155" s="38">
        <v>0</v>
      </c>
      <c r="D155" s="38">
        <v>0.59701492537313405</v>
      </c>
      <c r="E155" s="38">
        <v>75.671641791044806</v>
      </c>
      <c r="F155" s="38">
        <v>23.731343283582099</v>
      </c>
    </row>
    <row r="156" spans="1:6">
      <c r="A156" s="37" t="s">
        <v>639</v>
      </c>
      <c r="B156" s="37" t="s">
        <v>156</v>
      </c>
      <c r="C156" s="38">
        <v>0</v>
      </c>
      <c r="D156" s="38">
        <v>1.05042016806723</v>
      </c>
      <c r="E156" s="38">
        <v>86.974789915966397</v>
      </c>
      <c r="F156" s="38">
        <v>11.974789915966401</v>
      </c>
    </row>
    <row r="157" spans="1:6">
      <c r="A157" s="37" t="s">
        <v>763</v>
      </c>
      <c r="B157" s="37" t="s">
        <v>157</v>
      </c>
      <c r="C157" s="38">
        <v>0</v>
      </c>
      <c r="D157" s="38">
        <v>1.40405616224649</v>
      </c>
      <c r="E157" s="38">
        <v>64.898595943837805</v>
      </c>
      <c r="F157" s="38">
        <v>33.697347893915797</v>
      </c>
    </row>
    <row r="158" spans="1:6">
      <c r="A158" s="37" t="s">
        <v>447</v>
      </c>
      <c r="B158" s="37" t="s">
        <v>158</v>
      </c>
      <c r="C158" s="38">
        <v>0</v>
      </c>
      <c r="D158" s="38">
        <v>95.495495495495504</v>
      </c>
      <c r="E158" s="38">
        <v>4.5045045045045002</v>
      </c>
      <c r="F158" s="38">
        <v>0</v>
      </c>
    </row>
    <row r="159" spans="1:6">
      <c r="A159" s="37" t="s">
        <v>533</v>
      </c>
      <c r="B159" s="37" t="s">
        <v>159</v>
      </c>
      <c r="C159" s="38">
        <v>0</v>
      </c>
      <c r="D159" s="38">
        <v>16.2790697674419</v>
      </c>
      <c r="E159" s="38">
        <v>83.720930232558104</v>
      </c>
      <c r="F159" s="38">
        <v>0</v>
      </c>
    </row>
    <row r="160" spans="1:6">
      <c r="A160" s="37" t="s">
        <v>419</v>
      </c>
      <c r="B160" s="37" t="s">
        <v>160</v>
      </c>
      <c r="C160" s="38">
        <v>17.7514792899408</v>
      </c>
      <c r="D160" s="38">
        <v>78.106508875739607</v>
      </c>
      <c r="E160" s="38">
        <v>4.14201183431953</v>
      </c>
      <c r="F160" s="38">
        <v>0</v>
      </c>
    </row>
    <row r="161" spans="1:6">
      <c r="A161" s="37" t="s">
        <v>574</v>
      </c>
      <c r="B161" s="37" t="s">
        <v>161</v>
      </c>
      <c r="C161" s="38">
        <v>0</v>
      </c>
      <c r="D161" s="38">
        <v>22.580645161290299</v>
      </c>
      <c r="E161" s="38">
        <v>77.419354838709694</v>
      </c>
      <c r="F161" s="38">
        <v>0</v>
      </c>
    </row>
    <row r="162" spans="1:6">
      <c r="A162" s="37" t="s">
        <v>684</v>
      </c>
      <c r="B162" s="37" t="s">
        <v>685</v>
      </c>
      <c r="C162" s="38">
        <v>0</v>
      </c>
      <c r="D162" s="38">
        <v>19.354838709677399</v>
      </c>
      <c r="E162" s="38">
        <v>78.494623655913998</v>
      </c>
      <c r="F162" s="38">
        <v>2.1505376344085998</v>
      </c>
    </row>
    <row r="163" spans="1:6">
      <c r="A163" s="37" t="s">
        <v>538</v>
      </c>
      <c r="B163" s="37" t="s">
        <v>539</v>
      </c>
      <c r="C163" s="38">
        <v>0.66050198150594497</v>
      </c>
      <c r="D163" s="38">
        <v>5.9445178335535003</v>
      </c>
      <c r="E163" s="38">
        <v>91.941875825627505</v>
      </c>
      <c r="F163" s="38">
        <v>1.4531043593130799</v>
      </c>
    </row>
    <row r="164" spans="1:6">
      <c r="A164" s="37" t="s">
        <v>698</v>
      </c>
      <c r="B164" s="37" t="s">
        <v>164</v>
      </c>
      <c r="C164" s="38">
        <v>0.57279236276849599</v>
      </c>
      <c r="D164" s="38">
        <v>2.4343675417661101</v>
      </c>
      <c r="E164" s="38">
        <v>70.071599045346105</v>
      </c>
      <c r="F164" s="38">
        <v>26.921241050119299</v>
      </c>
    </row>
    <row r="165" spans="1:6">
      <c r="A165" s="37" t="s">
        <v>431</v>
      </c>
      <c r="B165" s="37" t="s">
        <v>165</v>
      </c>
      <c r="C165" s="38">
        <v>4.5563549160671499</v>
      </c>
      <c r="D165" s="38">
        <v>81.534772182254201</v>
      </c>
      <c r="E165" s="38">
        <v>13.069544364508401</v>
      </c>
      <c r="F165" s="38">
        <v>0.83932853717026401</v>
      </c>
    </row>
    <row r="166" spans="1:6">
      <c r="A166" s="37" t="s">
        <v>443</v>
      </c>
      <c r="B166" s="37" t="s">
        <v>166</v>
      </c>
      <c r="C166" s="38">
        <v>9.5070422535211296</v>
      </c>
      <c r="D166" s="38">
        <v>82.746478873239397</v>
      </c>
      <c r="E166" s="38">
        <v>7.7464788732394396</v>
      </c>
      <c r="F166" s="38">
        <v>0</v>
      </c>
    </row>
    <row r="167" spans="1:6">
      <c r="A167" s="37" t="s">
        <v>529</v>
      </c>
      <c r="B167" s="37" t="s">
        <v>167</v>
      </c>
      <c r="C167" s="38">
        <v>0</v>
      </c>
      <c r="D167" s="38">
        <v>32.607003891050603</v>
      </c>
      <c r="E167" s="38">
        <v>67.392996108949404</v>
      </c>
      <c r="F167" s="38">
        <v>0</v>
      </c>
    </row>
    <row r="168" spans="1:6">
      <c r="A168" s="37" t="s">
        <v>732</v>
      </c>
      <c r="B168" s="37" t="s">
        <v>168</v>
      </c>
      <c r="C168" s="38">
        <v>0.17969451931716099</v>
      </c>
      <c r="D168" s="38">
        <v>28.930817610062899</v>
      </c>
      <c r="E168" s="38">
        <v>70.889487870619902</v>
      </c>
      <c r="F168" s="38">
        <v>0</v>
      </c>
    </row>
    <row r="169" spans="1:6">
      <c r="A169" s="37" t="s">
        <v>524</v>
      </c>
      <c r="B169" s="37" t="s">
        <v>525</v>
      </c>
      <c r="C169" s="38">
        <v>2.0899303356554801</v>
      </c>
      <c r="D169" s="38">
        <v>49.461684610512997</v>
      </c>
      <c r="E169" s="38">
        <v>48.448385053831501</v>
      </c>
      <c r="F169" s="38">
        <v>0</v>
      </c>
    </row>
    <row r="170" spans="1:6">
      <c r="A170" s="37" t="s">
        <v>430</v>
      </c>
      <c r="B170" s="37" t="s">
        <v>170</v>
      </c>
      <c r="C170" s="38">
        <v>4.0998217468805702</v>
      </c>
      <c r="D170" s="38">
        <v>84.313725490196106</v>
      </c>
      <c r="E170" s="38">
        <v>11.4795008912656</v>
      </c>
      <c r="F170" s="38">
        <v>0.10695187165775399</v>
      </c>
    </row>
    <row r="171" spans="1:6">
      <c r="A171" s="37" t="s">
        <v>727</v>
      </c>
      <c r="B171" s="37" t="s">
        <v>728</v>
      </c>
      <c r="C171" s="38">
        <v>3.3300685602350599</v>
      </c>
      <c r="D171" s="38">
        <v>27.032321253672901</v>
      </c>
      <c r="E171" s="38">
        <v>69.441723800195902</v>
      </c>
      <c r="F171" s="38">
        <v>0.19588638589617999</v>
      </c>
    </row>
    <row r="172" spans="1:6">
      <c r="A172" s="37" t="s">
        <v>417</v>
      </c>
      <c r="B172" s="37" t="s">
        <v>172</v>
      </c>
      <c r="C172" s="38">
        <v>8.8054006457293804E-2</v>
      </c>
      <c r="D172" s="38">
        <v>35.016143234517202</v>
      </c>
      <c r="E172" s="38">
        <v>64.8958027590255</v>
      </c>
      <c r="F172" s="38">
        <v>0</v>
      </c>
    </row>
    <row r="173" spans="1:6">
      <c r="A173" s="37" t="s">
        <v>563</v>
      </c>
      <c r="B173" s="37" t="s">
        <v>564</v>
      </c>
      <c r="C173" s="38">
        <v>0.60913705583756295</v>
      </c>
      <c r="D173" s="38">
        <v>22.842639593908601</v>
      </c>
      <c r="E173" s="38">
        <v>76.548223350253807</v>
      </c>
      <c r="F173" s="38">
        <v>0</v>
      </c>
    </row>
    <row r="174" spans="1:6">
      <c r="A174" s="37" t="s">
        <v>518</v>
      </c>
      <c r="B174" s="37" t="s">
        <v>174</v>
      </c>
      <c r="C174" s="38">
        <v>5.67233900567234</v>
      </c>
      <c r="D174" s="38">
        <v>85.151818485151793</v>
      </c>
      <c r="E174" s="38">
        <v>9.1758425091758404</v>
      </c>
      <c r="F174" s="38">
        <v>0</v>
      </c>
    </row>
    <row r="175" spans="1:6">
      <c r="A175" s="37" t="s">
        <v>711</v>
      </c>
      <c r="B175" s="37" t="s">
        <v>175</v>
      </c>
      <c r="C175" s="38">
        <v>0.18595041322313999</v>
      </c>
      <c r="D175" s="38">
        <v>35.723140495867803</v>
      </c>
      <c r="E175" s="38">
        <v>64.090909090909093</v>
      </c>
      <c r="F175" s="38">
        <v>0</v>
      </c>
    </row>
    <row r="176" spans="1:6">
      <c r="A176" s="37" t="s">
        <v>516</v>
      </c>
      <c r="B176" s="37" t="s">
        <v>176</v>
      </c>
      <c r="C176" s="38">
        <v>0</v>
      </c>
      <c r="D176" s="38">
        <v>43.75</v>
      </c>
      <c r="E176" s="38">
        <v>56.25</v>
      </c>
      <c r="F176" s="38">
        <v>0</v>
      </c>
    </row>
    <row r="177" spans="1:6">
      <c r="A177" s="37" t="s">
        <v>588</v>
      </c>
      <c r="B177" s="37" t="s">
        <v>177</v>
      </c>
      <c r="C177" s="38">
        <v>0</v>
      </c>
      <c r="D177" s="38">
        <v>79.152189020152903</v>
      </c>
      <c r="E177" s="38">
        <v>20.8478109798471</v>
      </c>
      <c r="F177" s="38">
        <v>0</v>
      </c>
    </row>
    <row r="178" spans="1:6">
      <c r="A178" s="37" t="s">
        <v>731</v>
      </c>
      <c r="B178" s="37" t="s">
        <v>178</v>
      </c>
      <c r="C178" s="38">
        <v>0</v>
      </c>
      <c r="D178" s="38">
        <v>74.529914529914507</v>
      </c>
      <c r="E178" s="38">
        <v>25.4700854700855</v>
      </c>
      <c r="F178" s="38">
        <v>0</v>
      </c>
    </row>
    <row r="179" spans="1:6">
      <c r="A179" s="37" t="s">
        <v>646</v>
      </c>
      <c r="B179" s="37" t="s">
        <v>647</v>
      </c>
      <c r="C179" s="38">
        <v>0</v>
      </c>
      <c r="D179" s="38">
        <v>40.454545454545503</v>
      </c>
      <c r="E179" s="38">
        <v>59.545454545454497</v>
      </c>
      <c r="F179" s="38">
        <v>0</v>
      </c>
    </row>
    <row r="180" spans="1:6">
      <c r="A180" s="37" t="s">
        <v>634</v>
      </c>
      <c r="B180" s="37" t="s">
        <v>180</v>
      </c>
      <c r="C180" s="38">
        <v>0</v>
      </c>
      <c r="D180" s="38">
        <v>79.618768328445697</v>
      </c>
      <c r="E180" s="38">
        <v>20.3812316715543</v>
      </c>
      <c r="F180" s="38">
        <v>0</v>
      </c>
    </row>
    <row r="181" spans="1:6">
      <c r="A181" s="37" t="s">
        <v>458</v>
      </c>
      <c r="B181" s="37" t="s">
        <v>181</v>
      </c>
      <c r="C181" s="38">
        <v>1.8396846254927699</v>
      </c>
      <c r="D181" s="38">
        <v>87.385019710906704</v>
      </c>
      <c r="E181" s="38">
        <v>10.775295663600501</v>
      </c>
      <c r="F181" s="38">
        <v>0</v>
      </c>
    </row>
    <row r="182" spans="1:6">
      <c r="A182" s="37" t="s">
        <v>427</v>
      </c>
      <c r="B182" s="37" t="s">
        <v>182</v>
      </c>
      <c r="C182" s="38">
        <v>0</v>
      </c>
      <c r="D182" s="38">
        <v>36.397058823529399</v>
      </c>
      <c r="E182" s="38">
        <v>63.602941176470601</v>
      </c>
      <c r="F182" s="38">
        <v>0</v>
      </c>
    </row>
    <row r="183" spans="1:6">
      <c r="A183" s="37" t="s">
        <v>681</v>
      </c>
      <c r="B183" s="37" t="s">
        <v>183</v>
      </c>
      <c r="C183" s="38">
        <v>2.1538461538461502</v>
      </c>
      <c r="D183" s="38">
        <v>30.769230769230798</v>
      </c>
      <c r="E183" s="38">
        <v>65.538461538461505</v>
      </c>
      <c r="F183" s="38">
        <v>1.5384615384615401</v>
      </c>
    </row>
    <row r="184" spans="1:6">
      <c r="A184" s="37" t="s">
        <v>455</v>
      </c>
      <c r="B184" s="37" t="s">
        <v>184</v>
      </c>
      <c r="C184" s="38">
        <v>29.790419161676599</v>
      </c>
      <c r="D184" s="38">
        <v>64.670658682634695</v>
      </c>
      <c r="E184" s="38">
        <v>5.2395209580838298</v>
      </c>
      <c r="F184" s="38">
        <v>0.29940119760479</v>
      </c>
    </row>
    <row r="185" spans="1:6">
      <c r="A185" s="37" t="s">
        <v>391</v>
      </c>
      <c r="B185" s="37" t="s">
        <v>185</v>
      </c>
      <c r="C185" s="38">
        <v>18.082191780821901</v>
      </c>
      <c r="D185" s="38">
        <v>79.726027397260296</v>
      </c>
      <c r="E185" s="38">
        <v>2.1917808219178099</v>
      </c>
      <c r="F185" s="38">
        <v>0</v>
      </c>
    </row>
    <row r="186" spans="1:6">
      <c r="A186" s="37" t="s">
        <v>742</v>
      </c>
      <c r="B186" s="37" t="s">
        <v>743</v>
      </c>
      <c r="C186" s="38">
        <v>1.24978302378059</v>
      </c>
      <c r="D186" s="38">
        <v>87.936122201006796</v>
      </c>
      <c r="E186" s="38">
        <v>10.814094775212601</v>
      </c>
      <c r="F186" s="38">
        <v>0</v>
      </c>
    </row>
    <row r="187" spans="1:6">
      <c r="A187" s="37" t="s">
        <v>631</v>
      </c>
      <c r="B187" s="37" t="s">
        <v>187</v>
      </c>
      <c r="C187" s="38">
        <v>0.821167883211679</v>
      </c>
      <c r="D187" s="38">
        <v>5.2919708029197103</v>
      </c>
      <c r="E187" s="38">
        <v>93.704379562043798</v>
      </c>
      <c r="F187" s="38">
        <v>0.18248175182481799</v>
      </c>
    </row>
    <row r="188" spans="1:6">
      <c r="A188" s="37" t="s">
        <v>713</v>
      </c>
      <c r="B188" s="37" t="s">
        <v>188</v>
      </c>
      <c r="C188" s="38">
        <v>0.109769484083425</v>
      </c>
      <c r="D188" s="38">
        <v>62.513721185510398</v>
      </c>
      <c r="E188" s="38">
        <v>37.376509330406201</v>
      </c>
      <c r="F188" s="38">
        <v>0</v>
      </c>
    </row>
    <row r="189" spans="1:6">
      <c r="A189" s="37" t="s">
        <v>519</v>
      </c>
      <c r="B189" s="37" t="s">
        <v>189</v>
      </c>
      <c r="C189" s="38">
        <v>0</v>
      </c>
      <c r="D189" s="38">
        <v>89.805825242718498</v>
      </c>
      <c r="E189" s="38">
        <v>10.194174757281599</v>
      </c>
      <c r="F189" s="38">
        <v>0</v>
      </c>
    </row>
    <row r="190" spans="1:6">
      <c r="A190" s="37" t="s">
        <v>736</v>
      </c>
      <c r="B190" s="37" t="s">
        <v>737</v>
      </c>
      <c r="C190" s="38">
        <v>0</v>
      </c>
      <c r="D190" s="38">
        <v>97.186700767263403</v>
      </c>
      <c r="E190" s="38">
        <v>2.8132992327365698</v>
      </c>
      <c r="F190" s="38">
        <v>0</v>
      </c>
    </row>
    <row r="191" spans="1:6">
      <c r="A191" s="37" t="s">
        <v>607</v>
      </c>
      <c r="B191" s="37" t="s">
        <v>191</v>
      </c>
      <c r="C191" s="38">
        <v>0.21875</v>
      </c>
      <c r="D191" s="38">
        <v>85.6875</v>
      </c>
      <c r="E191" s="38">
        <v>14.09375</v>
      </c>
      <c r="F191" s="38">
        <v>0</v>
      </c>
    </row>
    <row r="192" spans="1:6">
      <c r="A192" s="37" t="s">
        <v>575</v>
      </c>
      <c r="B192" s="37" t="s">
        <v>192</v>
      </c>
      <c r="C192" s="38">
        <v>0</v>
      </c>
      <c r="D192" s="38">
        <v>96.420047732696901</v>
      </c>
      <c r="E192" s="38">
        <v>3.5799522673031001</v>
      </c>
      <c r="F192" s="38">
        <v>0</v>
      </c>
    </row>
    <row r="193" spans="1:6">
      <c r="A193" s="37" t="s">
        <v>739</v>
      </c>
      <c r="B193" s="37" t="s">
        <v>740</v>
      </c>
      <c r="C193" s="38">
        <v>0</v>
      </c>
      <c r="D193" s="38">
        <v>23.786008230452701</v>
      </c>
      <c r="E193" s="38">
        <v>76.213991769547306</v>
      </c>
      <c r="F193" s="38">
        <v>0</v>
      </c>
    </row>
    <row r="194" spans="1:6">
      <c r="A194" s="37" t="s">
        <v>628</v>
      </c>
      <c r="B194" s="37" t="s">
        <v>194</v>
      </c>
      <c r="C194" s="38">
        <v>0</v>
      </c>
      <c r="D194" s="38">
        <v>4.7210300429184597</v>
      </c>
      <c r="E194" s="38">
        <v>95.2789699570815</v>
      </c>
      <c r="F194" s="38">
        <v>0</v>
      </c>
    </row>
    <row r="195" spans="1:6">
      <c r="A195" s="37" t="s">
        <v>608</v>
      </c>
      <c r="B195" s="37" t="s">
        <v>609</v>
      </c>
      <c r="C195" s="38">
        <v>6.7430883344571799E-2</v>
      </c>
      <c r="D195" s="38">
        <v>30.2764666217127</v>
      </c>
      <c r="E195" s="38">
        <v>69.656102494942701</v>
      </c>
      <c r="F195" s="38">
        <v>0</v>
      </c>
    </row>
    <row r="196" spans="1:6">
      <c r="A196" s="37" t="s">
        <v>635</v>
      </c>
      <c r="B196" s="37" t="s">
        <v>636</v>
      </c>
      <c r="C196" s="38">
        <v>46.400316455696199</v>
      </c>
      <c r="D196" s="38">
        <v>51.977848101265799</v>
      </c>
      <c r="E196" s="38">
        <v>1.62183544303797</v>
      </c>
      <c r="F196" s="38">
        <v>0</v>
      </c>
    </row>
    <row r="197" spans="1:6">
      <c r="A197" s="37" t="s">
        <v>693</v>
      </c>
      <c r="B197" s="37" t="s">
        <v>197</v>
      </c>
      <c r="C197" s="38">
        <v>2.5104602510460201</v>
      </c>
      <c r="D197" s="38">
        <v>51.464435146443499</v>
      </c>
      <c r="E197" s="38">
        <v>46.025104602510503</v>
      </c>
      <c r="F197" s="38">
        <v>0</v>
      </c>
    </row>
    <row r="198" spans="1:6">
      <c r="A198" s="37" t="s">
        <v>702</v>
      </c>
      <c r="B198" s="37" t="s">
        <v>198</v>
      </c>
      <c r="C198" s="38">
        <v>0</v>
      </c>
      <c r="D198" s="38">
        <v>60.683760683760703</v>
      </c>
      <c r="E198" s="38">
        <v>39.316239316239297</v>
      </c>
      <c r="F198" s="38">
        <v>0</v>
      </c>
    </row>
    <row r="199" spans="1:6">
      <c r="A199" s="37" t="s">
        <v>695</v>
      </c>
      <c r="B199" s="37" t="s">
        <v>199</v>
      </c>
      <c r="C199" s="38">
        <v>0</v>
      </c>
      <c r="D199" s="38">
        <v>87.179487179487197</v>
      </c>
      <c r="E199" s="38">
        <v>12.8205128205128</v>
      </c>
      <c r="F199" s="38">
        <v>0</v>
      </c>
    </row>
    <row r="200" spans="1:6">
      <c r="A200" s="37" t="s">
        <v>534</v>
      </c>
      <c r="B200" s="37" t="s">
        <v>535</v>
      </c>
      <c r="C200" s="38">
        <v>4.8289738430583498</v>
      </c>
      <c r="D200" s="38">
        <v>86.720321931589496</v>
      </c>
      <c r="E200" s="38">
        <v>8.4507042253521103</v>
      </c>
      <c r="F200" s="38">
        <v>0</v>
      </c>
    </row>
    <row r="201" spans="1:6">
      <c r="A201" s="37" t="s">
        <v>484</v>
      </c>
      <c r="B201" s="37" t="s">
        <v>201</v>
      </c>
      <c r="C201" s="38">
        <v>29.110105580693801</v>
      </c>
      <c r="D201" s="38">
        <v>62.292609351432901</v>
      </c>
      <c r="E201" s="38">
        <v>7.2398190045248896</v>
      </c>
      <c r="F201" s="38">
        <v>1.3574660633484199</v>
      </c>
    </row>
    <row r="202" spans="1:6">
      <c r="A202" s="37" t="s">
        <v>764</v>
      </c>
      <c r="B202" s="37" t="s">
        <v>202</v>
      </c>
      <c r="C202" s="38">
        <v>0.39138943248532299</v>
      </c>
      <c r="D202" s="38">
        <v>1.4350945857795201</v>
      </c>
      <c r="E202" s="38">
        <v>75.994781474233505</v>
      </c>
      <c r="F202" s="38">
        <v>22.178734507501598</v>
      </c>
    </row>
    <row r="203" spans="1:6">
      <c r="A203" s="37" t="s">
        <v>656</v>
      </c>
      <c r="B203" s="37" t="s">
        <v>203</v>
      </c>
      <c r="C203" s="38">
        <v>1.31712259371834</v>
      </c>
      <c r="D203" s="38">
        <v>3.5460992907801399</v>
      </c>
      <c r="E203" s="38">
        <v>75.785207700101296</v>
      </c>
      <c r="F203" s="38">
        <v>19.3515704154002</v>
      </c>
    </row>
    <row r="204" spans="1:6">
      <c r="A204" s="37" t="s">
        <v>641</v>
      </c>
      <c r="B204" s="37" t="s">
        <v>204</v>
      </c>
      <c r="C204" s="38">
        <v>1.9504876219054801</v>
      </c>
      <c r="D204" s="38">
        <v>72.168042010502603</v>
      </c>
      <c r="E204" s="38">
        <v>25.056264066016499</v>
      </c>
      <c r="F204" s="38">
        <v>0.82520630157539399</v>
      </c>
    </row>
    <row r="205" spans="1:6">
      <c r="A205" s="37" t="s">
        <v>422</v>
      </c>
      <c r="B205" s="37" t="s">
        <v>423</v>
      </c>
      <c r="C205" s="38">
        <v>0.91984231274638595</v>
      </c>
      <c r="D205" s="38">
        <v>24.178712220762201</v>
      </c>
      <c r="E205" s="38">
        <v>74.375821287779203</v>
      </c>
      <c r="F205" s="38">
        <v>0.525624178712221</v>
      </c>
    </row>
    <row r="206" spans="1:6">
      <c r="A206" s="37" t="s">
        <v>762</v>
      </c>
      <c r="B206" s="37" t="s">
        <v>206</v>
      </c>
      <c r="C206" s="38">
        <v>0</v>
      </c>
      <c r="D206" s="38">
        <v>3.3566433566433602</v>
      </c>
      <c r="E206" s="38">
        <v>68.951048951049003</v>
      </c>
      <c r="F206" s="38">
        <v>27.692307692307701</v>
      </c>
    </row>
    <row r="207" spans="1:6">
      <c r="A207" s="37" t="s">
        <v>438</v>
      </c>
      <c r="B207" s="37" t="s">
        <v>207</v>
      </c>
      <c r="C207" s="38">
        <v>18.877551020408202</v>
      </c>
      <c r="D207" s="38">
        <v>75.510204081632693</v>
      </c>
      <c r="E207" s="38">
        <v>4.9319727891156502</v>
      </c>
      <c r="F207" s="38">
        <v>0.68027210884353695</v>
      </c>
    </row>
    <row r="208" spans="1:6">
      <c r="A208" s="37" t="s">
        <v>707</v>
      </c>
      <c r="B208" s="37" t="s">
        <v>708</v>
      </c>
      <c r="C208" s="38">
        <v>0</v>
      </c>
      <c r="D208" s="38">
        <v>1.98019801980198</v>
      </c>
      <c r="E208" s="38">
        <v>67.326732673267301</v>
      </c>
      <c r="F208" s="38">
        <v>30.693069306930699</v>
      </c>
    </row>
    <row r="209" spans="1:6">
      <c r="A209" s="37" t="s">
        <v>576</v>
      </c>
      <c r="B209" s="37" t="s">
        <v>209</v>
      </c>
      <c r="C209" s="38">
        <v>4.9212598425196798E-2</v>
      </c>
      <c r="D209" s="38">
        <v>0.24606299212598401</v>
      </c>
      <c r="E209" s="38">
        <v>69.832677165354298</v>
      </c>
      <c r="F209" s="38">
        <v>29.8720472440945</v>
      </c>
    </row>
    <row r="210" spans="1:6">
      <c r="A210" s="37" t="s">
        <v>718</v>
      </c>
      <c r="B210" s="37" t="s">
        <v>210</v>
      </c>
      <c r="C210" s="38">
        <v>2.0484171322160099</v>
      </c>
      <c r="D210" s="38">
        <v>1.67597765363128</v>
      </c>
      <c r="E210" s="38">
        <v>85.288640595903203</v>
      </c>
      <c r="F210" s="38">
        <v>10.9869646182495</v>
      </c>
    </row>
    <row r="211" spans="1:6">
      <c r="A211" s="37" t="s">
        <v>760</v>
      </c>
      <c r="B211" s="37" t="s">
        <v>211</v>
      </c>
      <c r="C211" s="38">
        <v>2.43654822335025</v>
      </c>
      <c r="D211" s="38">
        <v>1.5228426395939101</v>
      </c>
      <c r="E211" s="38">
        <v>69.847715736040598</v>
      </c>
      <c r="F211" s="38">
        <v>26.192893401015201</v>
      </c>
    </row>
    <row r="212" spans="1:6">
      <c r="A212" s="37" t="s">
        <v>675</v>
      </c>
      <c r="B212" s="37" t="s">
        <v>212</v>
      </c>
      <c r="C212" s="38">
        <v>0</v>
      </c>
      <c r="D212" s="38">
        <v>25.4851228978008</v>
      </c>
      <c r="E212" s="38">
        <v>64.683053040103502</v>
      </c>
      <c r="F212" s="38">
        <v>9.8318240620957305</v>
      </c>
    </row>
    <row r="213" spans="1:6">
      <c r="A213" s="37" t="s">
        <v>723</v>
      </c>
      <c r="B213" s="37" t="s">
        <v>213</v>
      </c>
      <c r="C213" s="38">
        <v>0.338983050847458</v>
      </c>
      <c r="D213" s="38">
        <v>1.22033898305085</v>
      </c>
      <c r="E213" s="38">
        <v>69.694915254237301</v>
      </c>
      <c r="F213" s="38">
        <v>28.745762711864401</v>
      </c>
    </row>
    <row r="214" spans="1:6">
      <c r="A214" s="37" t="s">
        <v>712</v>
      </c>
      <c r="B214" s="37" t="s">
        <v>214</v>
      </c>
      <c r="C214" s="38">
        <v>0</v>
      </c>
      <c r="D214" s="38">
        <v>1.6141429669484999</v>
      </c>
      <c r="E214" s="38">
        <v>63.797079169869299</v>
      </c>
      <c r="F214" s="38">
        <v>34.588777863182202</v>
      </c>
    </row>
    <row r="215" spans="1:6">
      <c r="A215" s="37" t="s">
        <v>765</v>
      </c>
      <c r="B215" s="37" t="s">
        <v>215</v>
      </c>
      <c r="C215" s="38">
        <v>0</v>
      </c>
      <c r="D215" s="38">
        <v>0.51975051975052</v>
      </c>
      <c r="E215" s="38">
        <v>70.893970893970902</v>
      </c>
      <c r="F215" s="38">
        <v>28.586278586278599</v>
      </c>
    </row>
    <row r="216" spans="1:6">
      <c r="A216" s="37" t="s">
        <v>759</v>
      </c>
      <c r="B216" s="37" t="s">
        <v>216</v>
      </c>
      <c r="C216" s="38">
        <v>0.17241379310344801</v>
      </c>
      <c r="D216" s="38">
        <v>2.0689655172413799</v>
      </c>
      <c r="E216" s="38">
        <v>78.448275862068996</v>
      </c>
      <c r="F216" s="38">
        <v>19.310344827586199</v>
      </c>
    </row>
    <row r="217" spans="1:6">
      <c r="A217" s="37" t="s">
        <v>766</v>
      </c>
      <c r="B217" s="37" t="s">
        <v>293</v>
      </c>
      <c r="C217" s="38">
        <v>0</v>
      </c>
      <c r="D217" s="38">
        <v>0</v>
      </c>
      <c r="E217" s="38">
        <v>65.902335456475598</v>
      </c>
      <c r="F217" s="38">
        <v>34.097664543524402</v>
      </c>
    </row>
    <row r="218" spans="1:6">
      <c r="A218" s="37" t="s">
        <v>726</v>
      </c>
      <c r="B218" s="37" t="s">
        <v>218</v>
      </c>
      <c r="C218" s="38">
        <v>0</v>
      </c>
      <c r="D218" s="38">
        <v>0</v>
      </c>
      <c r="E218" s="38">
        <v>59.7083653108212</v>
      </c>
      <c r="F218" s="38">
        <v>40.2916346891788</v>
      </c>
    </row>
    <row r="219" spans="1:6">
      <c r="A219" s="37" t="s">
        <v>730</v>
      </c>
      <c r="B219" s="37" t="s">
        <v>219</v>
      </c>
      <c r="C219" s="38">
        <v>0.35555555555555601</v>
      </c>
      <c r="D219" s="38">
        <v>34.6666666666667</v>
      </c>
      <c r="E219" s="38">
        <v>62.933333333333302</v>
      </c>
      <c r="F219" s="38">
        <v>2.0444444444444398</v>
      </c>
    </row>
    <row r="220" spans="1:6">
      <c r="A220" s="37" t="s">
        <v>511</v>
      </c>
      <c r="B220" s="37" t="s">
        <v>512</v>
      </c>
      <c r="C220" s="38">
        <v>0</v>
      </c>
      <c r="D220" s="38">
        <v>1.3659647125782599</v>
      </c>
      <c r="E220" s="38">
        <v>74.615822424587407</v>
      </c>
      <c r="F220" s="38">
        <v>24.0182128628344</v>
      </c>
    </row>
    <row r="221" spans="1:6">
      <c r="A221" s="37" t="s">
        <v>719</v>
      </c>
      <c r="B221" s="37" t="s">
        <v>720</v>
      </c>
      <c r="C221" s="38">
        <v>0</v>
      </c>
      <c r="D221" s="38">
        <v>0.29498525073746301</v>
      </c>
      <c r="E221" s="38">
        <v>81.710914454277301</v>
      </c>
      <c r="F221" s="38">
        <v>17.994100294985302</v>
      </c>
    </row>
    <row r="222" spans="1:6">
      <c r="A222" s="37" t="s">
        <v>694</v>
      </c>
      <c r="B222" s="37" t="s">
        <v>222</v>
      </c>
      <c r="C222" s="38">
        <v>1.5100671140939601</v>
      </c>
      <c r="D222" s="38">
        <v>5.2013422818792003</v>
      </c>
      <c r="E222" s="38">
        <v>81.040268456375799</v>
      </c>
      <c r="F222" s="38">
        <v>12.248322147651001</v>
      </c>
    </row>
    <row r="223" spans="1:6">
      <c r="A223" s="37" t="s">
        <v>520</v>
      </c>
      <c r="B223" s="37" t="s">
        <v>223</v>
      </c>
      <c r="C223" s="38">
        <v>47.220496894409898</v>
      </c>
      <c r="D223" s="38">
        <v>50.031055900621098</v>
      </c>
      <c r="E223" s="38">
        <v>2.2826086956521698</v>
      </c>
      <c r="F223" s="38">
        <v>0.46583850931677001</v>
      </c>
    </row>
    <row r="224" spans="1:6">
      <c r="A224" s="37" t="s">
        <v>724</v>
      </c>
      <c r="B224" s="37" t="s">
        <v>224</v>
      </c>
      <c r="C224" s="38">
        <v>1.38323840520749</v>
      </c>
      <c r="D224" s="38">
        <v>74.776240846216396</v>
      </c>
      <c r="E224" s="38">
        <v>23.718470301057799</v>
      </c>
      <c r="F224" s="38">
        <v>0.122050447518308</v>
      </c>
    </row>
    <row r="225" spans="1:6">
      <c r="A225" s="37" t="s">
        <v>745</v>
      </c>
      <c r="B225" s="37" t="s">
        <v>225</v>
      </c>
      <c r="C225" s="38">
        <v>8.0308384195310001E-2</v>
      </c>
      <c r="D225" s="38">
        <v>14.7499732305386</v>
      </c>
      <c r="E225" s="38">
        <v>84.966270478637995</v>
      </c>
      <c r="F225" s="38">
        <v>0.20344790662811901</v>
      </c>
    </row>
    <row r="226" spans="1:6">
      <c r="A226" s="37" t="s">
        <v>734</v>
      </c>
      <c r="B226" s="37" t="s">
        <v>226</v>
      </c>
      <c r="C226" s="38">
        <v>0</v>
      </c>
      <c r="D226" s="38">
        <v>15.6328107248353</v>
      </c>
      <c r="E226" s="38">
        <v>84.049079754601195</v>
      </c>
      <c r="F226" s="38">
        <v>0.318109520563508</v>
      </c>
    </row>
    <row r="227" spans="1:6">
      <c r="A227" s="37" t="s">
        <v>547</v>
      </c>
      <c r="B227" s="37" t="s">
        <v>548</v>
      </c>
      <c r="C227" s="38">
        <v>0.18288501104930299</v>
      </c>
      <c r="D227" s="38">
        <v>34.649089385049102</v>
      </c>
      <c r="E227" s="38">
        <v>65.168025603901498</v>
      </c>
      <c r="F227" s="38">
        <v>0</v>
      </c>
    </row>
    <row r="228" spans="1:6">
      <c r="A228" s="37" t="s">
        <v>672</v>
      </c>
      <c r="B228" s="37" t="s">
        <v>228</v>
      </c>
      <c r="C228" s="38">
        <v>0.26881720430107497</v>
      </c>
      <c r="D228" s="38">
        <v>47.580645161290299</v>
      </c>
      <c r="E228" s="38">
        <v>50.268817204301101</v>
      </c>
      <c r="F228" s="38">
        <v>1.8817204301075301</v>
      </c>
    </row>
    <row r="229" spans="1:6">
      <c r="A229" s="37" t="s">
        <v>554</v>
      </c>
      <c r="B229" s="37" t="s">
        <v>229</v>
      </c>
      <c r="C229" s="38">
        <v>5.8667842964270003</v>
      </c>
      <c r="D229" s="38">
        <v>73.621526246140306</v>
      </c>
      <c r="E229" s="38">
        <v>20.467578297309199</v>
      </c>
      <c r="F229" s="38">
        <v>4.4111160123511198E-2</v>
      </c>
    </row>
    <row r="230" spans="1:6">
      <c r="A230" s="37" t="s">
        <v>485</v>
      </c>
      <c r="B230" s="37" t="s">
        <v>230</v>
      </c>
      <c r="C230" s="38">
        <v>0.121359223300971</v>
      </c>
      <c r="D230" s="38">
        <v>0.18203883495145601</v>
      </c>
      <c r="E230" s="38">
        <v>91.808252427184499</v>
      </c>
      <c r="F230" s="38">
        <v>7.8883495145631102</v>
      </c>
    </row>
    <row r="231" spans="1:6">
      <c r="A231" s="37" t="s">
        <v>660</v>
      </c>
      <c r="B231" s="37" t="s">
        <v>231</v>
      </c>
      <c r="C231" s="38">
        <v>0.418410041841004</v>
      </c>
      <c r="D231" s="38">
        <v>15.8298465829847</v>
      </c>
      <c r="E231" s="38">
        <v>82.705718270571793</v>
      </c>
      <c r="F231" s="38">
        <v>1.04602510460251</v>
      </c>
    </row>
    <row r="232" spans="1:6">
      <c r="A232" s="37" t="s">
        <v>757</v>
      </c>
      <c r="B232" s="37" t="s">
        <v>232</v>
      </c>
      <c r="C232" s="38">
        <v>0</v>
      </c>
      <c r="D232" s="38">
        <v>0</v>
      </c>
      <c r="E232" s="38">
        <v>76.885752095280097</v>
      </c>
      <c r="F232" s="38">
        <v>23.1142479047199</v>
      </c>
    </row>
    <row r="233" spans="1:6">
      <c r="A233" s="37" t="s">
        <v>617</v>
      </c>
      <c r="B233" s="37" t="s">
        <v>233</v>
      </c>
      <c r="C233" s="38">
        <v>31.605958192514699</v>
      </c>
      <c r="D233" s="38">
        <v>65.540117661785004</v>
      </c>
      <c r="E233" s="38">
        <v>2.8539241457003399</v>
      </c>
      <c r="F233" s="38">
        <v>0</v>
      </c>
    </row>
    <row r="234" spans="1:6">
      <c r="A234" s="37" t="s">
        <v>678</v>
      </c>
      <c r="B234" s="37" t="s">
        <v>234</v>
      </c>
      <c r="C234" s="38">
        <v>0.86112415844684498</v>
      </c>
      <c r="D234" s="38">
        <v>32.785345232503502</v>
      </c>
      <c r="E234" s="38">
        <v>65.742915296696395</v>
      </c>
      <c r="F234" s="38">
        <v>0.61061531235321698</v>
      </c>
    </row>
    <row r="235" spans="1:6">
      <c r="A235" s="37" t="s">
        <v>550</v>
      </c>
      <c r="B235" s="37" t="s">
        <v>235</v>
      </c>
      <c r="C235" s="38">
        <v>11.1824014665445</v>
      </c>
      <c r="D235" s="38">
        <v>82.401466544454607</v>
      </c>
      <c r="E235" s="38">
        <v>5.6828597616865304</v>
      </c>
      <c r="F235" s="38">
        <v>0.73327222731439001</v>
      </c>
    </row>
    <row r="236" spans="1:6">
      <c r="A236" s="37" t="s">
        <v>729</v>
      </c>
      <c r="B236" s="37" t="s">
        <v>236</v>
      </c>
      <c r="C236" s="38">
        <v>4.4444444444444398E-2</v>
      </c>
      <c r="D236" s="38">
        <v>3.3333333333333299</v>
      </c>
      <c r="E236" s="38">
        <v>53.422222222222203</v>
      </c>
      <c r="F236" s="38">
        <v>43.2</v>
      </c>
    </row>
    <row r="237" spans="1:6">
      <c r="A237" s="37" t="s">
        <v>532</v>
      </c>
      <c r="B237" s="37" t="s">
        <v>237</v>
      </c>
      <c r="C237" s="38">
        <v>0.44843049327354301</v>
      </c>
      <c r="D237" s="38">
        <v>6.0538116591928297</v>
      </c>
      <c r="E237" s="38">
        <v>73.318385650224201</v>
      </c>
      <c r="F237" s="38">
        <v>20.179372197309402</v>
      </c>
    </row>
    <row r="238" spans="1:6">
      <c r="A238" s="37" t="s">
        <v>493</v>
      </c>
      <c r="B238" s="37" t="s">
        <v>238</v>
      </c>
      <c r="C238" s="38">
        <v>0</v>
      </c>
      <c r="D238" s="38">
        <v>0.22935779816513799</v>
      </c>
      <c r="E238" s="38">
        <v>75.917431192660501</v>
      </c>
      <c r="F238" s="38">
        <v>23.853211009174299</v>
      </c>
    </row>
    <row r="239" spans="1:6">
      <c r="A239" s="37" t="s">
        <v>725</v>
      </c>
      <c r="B239" s="37" t="s">
        <v>239</v>
      </c>
      <c r="C239" s="38">
        <v>0</v>
      </c>
      <c r="D239" s="38">
        <v>67.9333213837605</v>
      </c>
      <c r="E239" s="38">
        <v>32.0666786162395</v>
      </c>
      <c r="F239" s="38">
        <v>0</v>
      </c>
    </row>
    <row r="240" spans="1:6">
      <c r="A240" s="37" t="s">
        <v>738</v>
      </c>
      <c r="B240" s="37" t="s">
        <v>240</v>
      </c>
      <c r="C240" s="38">
        <v>7.1581961345740894E-2</v>
      </c>
      <c r="D240" s="38">
        <v>16.893342877594801</v>
      </c>
      <c r="E240" s="38">
        <v>83.035075161059396</v>
      </c>
      <c r="F240" s="38">
        <v>0</v>
      </c>
    </row>
    <row r="241" spans="1:6">
      <c r="A241" s="37" t="s">
        <v>410</v>
      </c>
      <c r="B241" s="37" t="s">
        <v>241</v>
      </c>
      <c r="C241" s="38">
        <v>33.361030328209402</v>
      </c>
      <c r="D241" s="38">
        <v>65.226422933111806</v>
      </c>
      <c r="E241" s="38">
        <v>1.2463647694225199</v>
      </c>
      <c r="F241" s="38">
        <v>0.16618196925633599</v>
      </c>
    </row>
    <row r="242" spans="1:6">
      <c r="A242" s="37" t="s">
        <v>744</v>
      </c>
      <c r="B242" s="37" t="s">
        <v>242</v>
      </c>
      <c r="C242" s="38">
        <v>0</v>
      </c>
      <c r="D242" s="38">
        <v>13.0347860855658</v>
      </c>
      <c r="E242" s="38">
        <v>86.925229908036798</v>
      </c>
      <c r="F242" s="38">
        <v>3.9984006397440999E-2</v>
      </c>
    </row>
    <row r="243" spans="1:6">
      <c r="A243" s="37" t="s">
        <v>435</v>
      </c>
      <c r="B243" s="37" t="s">
        <v>243</v>
      </c>
      <c r="C243" s="38">
        <v>43.447669305189102</v>
      </c>
      <c r="D243" s="38">
        <v>52.902374670184699</v>
      </c>
      <c r="E243" s="38">
        <v>3.6499560246262099</v>
      </c>
      <c r="F243" s="38">
        <v>0</v>
      </c>
    </row>
    <row r="244" spans="1:6">
      <c r="A244" s="37" t="s">
        <v>589</v>
      </c>
      <c r="B244" s="37" t="s">
        <v>244</v>
      </c>
      <c r="C244" s="38">
        <v>0.48690006955715298</v>
      </c>
      <c r="D244" s="38">
        <v>83.746811963830297</v>
      </c>
      <c r="E244" s="38">
        <v>15.7662879666126</v>
      </c>
      <c r="F244" s="38">
        <v>0</v>
      </c>
    </row>
    <row r="245" spans="1:6">
      <c r="A245" s="37" t="s">
        <v>373</v>
      </c>
      <c r="B245" s="37" t="s">
        <v>245</v>
      </c>
      <c r="C245" s="38">
        <v>100</v>
      </c>
      <c r="D245" s="38">
        <v>0</v>
      </c>
      <c r="E245" s="38">
        <v>0</v>
      </c>
      <c r="F245" s="38">
        <v>0</v>
      </c>
    </row>
    <row r="246" spans="1:6">
      <c r="A246" s="37" t="s">
        <v>375</v>
      </c>
      <c r="B246" s="37" t="s">
        <v>246</v>
      </c>
      <c r="C246" s="38">
        <v>40.973145440042501</v>
      </c>
      <c r="D246" s="38">
        <v>58.867322520606201</v>
      </c>
      <c r="E246" s="38">
        <v>0.159532039351236</v>
      </c>
      <c r="F246" s="38">
        <v>0</v>
      </c>
    </row>
    <row r="247" spans="1:6">
      <c r="A247" s="37" t="s">
        <v>514</v>
      </c>
      <c r="B247" s="37" t="s">
        <v>247</v>
      </c>
      <c r="C247" s="38">
        <v>1.7468688200395499</v>
      </c>
      <c r="D247" s="38">
        <v>57.2181938035597</v>
      </c>
      <c r="E247" s="38">
        <v>41.034937376400798</v>
      </c>
      <c r="F247" s="38">
        <v>0</v>
      </c>
    </row>
    <row r="248" spans="1:6">
      <c r="A248" s="37" t="s">
        <v>376</v>
      </c>
      <c r="B248" s="37" t="s">
        <v>377</v>
      </c>
      <c r="C248" s="38">
        <v>98.939041414611495</v>
      </c>
      <c r="D248" s="38">
        <v>0.94927873429502097</v>
      </c>
      <c r="E248" s="38">
        <v>0.111679851093532</v>
      </c>
      <c r="F248" s="38">
        <v>0</v>
      </c>
    </row>
    <row r="249" spans="1:6">
      <c r="A249" s="37" t="s">
        <v>663</v>
      </c>
      <c r="B249" s="37" t="s">
        <v>249</v>
      </c>
      <c r="C249" s="38">
        <v>3.6836403033586098</v>
      </c>
      <c r="D249" s="38">
        <v>63.055254604550399</v>
      </c>
      <c r="E249" s="38">
        <v>33.261105092091</v>
      </c>
      <c r="F249" s="38">
        <v>0</v>
      </c>
    </row>
    <row r="250" spans="1:6">
      <c r="A250" s="37" t="s">
        <v>688</v>
      </c>
      <c r="B250" s="37" t="s">
        <v>250</v>
      </c>
      <c r="C250" s="38">
        <v>1.44404332129964</v>
      </c>
      <c r="D250" s="38">
        <v>3.2490974729241899</v>
      </c>
      <c r="E250" s="38">
        <v>90.407426508509502</v>
      </c>
      <c r="F250" s="38">
        <v>4.8994326972666302</v>
      </c>
    </row>
    <row r="251" spans="1:6">
      <c r="A251" s="37" t="s">
        <v>629</v>
      </c>
      <c r="B251" s="37" t="s">
        <v>333</v>
      </c>
      <c r="C251" s="38">
        <v>1.3139371187236</v>
      </c>
      <c r="D251" s="38">
        <v>32.285312060065699</v>
      </c>
      <c r="E251" s="38">
        <v>62.646644767714697</v>
      </c>
      <c r="F251" s="38">
        <v>3.75410605349601</v>
      </c>
    </row>
    <row r="252" spans="1:6">
      <c r="A252" s="37" t="s">
        <v>689</v>
      </c>
      <c r="B252" s="37" t="s">
        <v>252</v>
      </c>
      <c r="C252" s="38">
        <v>0.13531799729364</v>
      </c>
      <c r="D252" s="38">
        <v>0.76680198466395999</v>
      </c>
      <c r="E252" s="38">
        <v>94.451962110960807</v>
      </c>
      <c r="F252" s="38">
        <v>4.6459179070816399</v>
      </c>
    </row>
    <row r="253" spans="1:6">
      <c r="A253" s="37" t="s">
        <v>394</v>
      </c>
      <c r="B253" s="37" t="s">
        <v>153</v>
      </c>
      <c r="C253" s="38">
        <v>2.3083131557707799</v>
      </c>
      <c r="D253" s="38">
        <v>53.1880548829701</v>
      </c>
      <c r="E253" s="38">
        <v>44.503631961259103</v>
      </c>
      <c r="F253" s="38">
        <v>0</v>
      </c>
    </row>
    <row r="254" spans="1:6">
      <c r="A254" s="37" t="s">
        <v>426</v>
      </c>
      <c r="B254" s="37" t="s">
        <v>253</v>
      </c>
      <c r="C254" s="38">
        <v>0.34482758620689702</v>
      </c>
      <c r="D254" s="38">
        <v>97.310344827586206</v>
      </c>
      <c r="E254" s="38">
        <v>2.3448275862068999</v>
      </c>
      <c r="F254" s="38">
        <v>0</v>
      </c>
    </row>
    <row r="255" spans="1:6">
      <c r="A255" s="37" t="s">
        <v>388</v>
      </c>
      <c r="B255" s="37" t="s">
        <v>254</v>
      </c>
      <c r="C255" s="38">
        <v>1.80451127819549</v>
      </c>
      <c r="D255" s="38">
        <v>96.842105263157904</v>
      </c>
      <c r="E255" s="38">
        <v>1.35338345864662</v>
      </c>
      <c r="F255" s="38">
        <v>0</v>
      </c>
    </row>
    <row r="256" spans="1:6">
      <c r="A256" s="37" t="s">
        <v>722</v>
      </c>
      <c r="B256" s="37" t="s">
        <v>255</v>
      </c>
      <c r="C256" s="38">
        <v>0</v>
      </c>
      <c r="D256" s="38">
        <v>6.7594433399602396</v>
      </c>
      <c r="E256" s="38">
        <v>93.2405566600398</v>
      </c>
      <c r="F256" s="38">
        <v>0</v>
      </c>
    </row>
    <row r="257" spans="1:6">
      <c r="A257" s="37" t="s">
        <v>445</v>
      </c>
      <c r="B257" s="37" t="s">
        <v>256</v>
      </c>
      <c r="C257" s="38">
        <v>0</v>
      </c>
      <c r="D257" s="38">
        <v>92.972972972972997</v>
      </c>
      <c r="E257" s="38">
        <v>7.0270270270270299</v>
      </c>
      <c r="F257" s="38">
        <v>0</v>
      </c>
    </row>
    <row r="258" spans="1:6">
      <c r="A258" s="37" t="s">
        <v>566</v>
      </c>
      <c r="B258" s="37" t="s">
        <v>257</v>
      </c>
      <c r="C258" s="38">
        <v>3.0985915492957701</v>
      </c>
      <c r="D258" s="38">
        <v>92.863849765258195</v>
      </c>
      <c r="E258" s="38">
        <v>4.0375586854460099</v>
      </c>
      <c r="F258" s="38">
        <v>0</v>
      </c>
    </row>
    <row r="259" spans="1:6">
      <c r="A259" s="37" t="s">
        <v>632</v>
      </c>
      <c r="B259" s="37" t="s">
        <v>258</v>
      </c>
      <c r="C259" s="38">
        <v>0</v>
      </c>
      <c r="D259" s="38">
        <v>86.648313833448</v>
      </c>
      <c r="E259" s="38">
        <v>13.351686166552</v>
      </c>
      <c r="F259" s="38">
        <v>0</v>
      </c>
    </row>
    <row r="260" spans="1:6">
      <c r="A260" s="37" t="s">
        <v>517</v>
      </c>
      <c r="B260" s="37" t="s">
        <v>259</v>
      </c>
      <c r="C260" s="38">
        <v>0</v>
      </c>
      <c r="D260" s="38">
        <v>29.0636042402827</v>
      </c>
      <c r="E260" s="38">
        <v>70.9363957597173</v>
      </c>
      <c r="F260" s="38">
        <v>0</v>
      </c>
    </row>
    <row r="261" spans="1:6">
      <c r="A261" s="37" t="s">
        <v>508</v>
      </c>
      <c r="B261" s="37" t="s">
        <v>509</v>
      </c>
      <c r="C261" s="38">
        <v>69.413938425128194</v>
      </c>
      <c r="D261" s="38">
        <v>30.586061574871799</v>
      </c>
      <c r="E261" s="38">
        <v>0</v>
      </c>
      <c r="F261" s="38">
        <v>0</v>
      </c>
    </row>
    <row r="262" spans="1:6">
      <c r="A262" s="37" t="s">
        <v>747</v>
      </c>
      <c r="B262" s="37" t="s">
        <v>748</v>
      </c>
      <c r="C262" s="38">
        <v>1.2494920763917099</v>
      </c>
      <c r="D262" s="38">
        <v>98.273059731816303</v>
      </c>
      <c r="E262" s="38">
        <v>0.47744819179195402</v>
      </c>
      <c r="F262" s="38">
        <v>0</v>
      </c>
    </row>
    <row r="263" spans="1:6">
      <c r="A263" s="37" t="s">
        <v>383</v>
      </c>
      <c r="B263" s="37" t="s">
        <v>262</v>
      </c>
      <c r="C263" s="38">
        <v>88.349318525997006</v>
      </c>
      <c r="D263" s="38">
        <v>11.650681474002999</v>
      </c>
      <c r="E263" s="38">
        <v>0</v>
      </c>
      <c r="F263" s="38">
        <v>0</v>
      </c>
    </row>
    <row r="264" spans="1:6">
      <c r="A264" s="37" t="s">
        <v>697</v>
      </c>
      <c r="B264" s="37" t="s">
        <v>263</v>
      </c>
      <c r="C264" s="38">
        <v>1.33196721311475</v>
      </c>
      <c r="D264" s="38">
        <v>26.400273224043701</v>
      </c>
      <c r="E264" s="38">
        <v>72.267759562841505</v>
      </c>
      <c r="F264" s="38">
        <v>0</v>
      </c>
    </row>
    <row r="265" spans="1:6">
      <c r="A265" s="37" t="s">
        <v>437</v>
      </c>
      <c r="B265" s="37" t="s">
        <v>264</v>
      </c>
      <c r="C265" s="38">
        <v>2.39341810022438</v>
      </c>
      <c r="D265" s="38">
        <v>93.118922961854906</v>
      </c>
      <c r="E265" s="38">
        <v>4.4876589379207203</v>
      </c>
      <c r="F265" s="38">
        <v>0</v>
      </c>
    </row>
    <row r="266" spans="1:6">
      <c r="A266" s="37" t="s">
        <v>505</v>
      </c>
      <c r="B266" s="37" t="s">
        <v>265</v>
      </c>
      <c r="C266" s="38">
        <v>26.6422635536209</v>
      </c>
      <c r="D266" s="38">
        <v>70.023743569449906</v>
      </c>
      <c r="E266" s="38">
        <v>3.33399287692917</v>
      </c>
      <c r="F266" s="38">
        <v>0</v>
      </c>
    </row>
    <row r="267" spans="1:6">
      <c r="A267" s="37" t="s">
        <v>424</v>
      </c>
      <c r="B267" s="37" t="s">
        <v>425</v>
      </c>
      <c r="C267" s="38">
        <v>49.891540130151803</v>
      </c>
      <c r="D267" s="38">
        <v>46.746203904555301</v>
      </c>
      <c r="E267" s="38">
        <v>3.3622559652928401</v>
      </c>
      <c r="F267" s="38">
        <v>0</v>
      </c>
    </row>
    <row r="268" spans="1:6">
      <c r="A268" s="37" t="s">
        <v>381</v>
      </c>
      <c r="B268" s="37" t="s">
        <v>267</v>
      </c>
      <c r="C268" s="38">
        <v>1.1736118291800199</v>
      </c>
      <c r="D268" s="38">
        <v>83.760727949539898</v>
      </c>
      <c r="E268" s="38">
        <v>15.065660221280099</v>
      </c>
      <c r="F268" s="38">
        <v>0</v>
      </c>
    </row>
    <row r="269" spans="1:6">
      <c r="A269" s="37" t="s">
        <v>668</v>
      </c>
      <c r="B269" s="37" t="s">
        <v>268</v>
      </c>
      <c r="C269" s="38">
        <v>8.5806220951018905E-2</v>
      </c>
      <c r="D269" s="38">
        <v>57.869145513049702</v>
      </c>
      <c r="E269" s="38">
        <v>42.045048265999299</v>
      </c>
      <c r="F269" s="38">
        <v>0</v>
      </c>
    </row>
    <row r="270" spans="1:6">
      <c r="A270" s="37" t="s">
        <v>382</v>
      </c>
      <c r="B270" s="37" t="s">
        <v>269</v>
      </c>
      <c r="C270" s="38">
        <v>84.256756756756801</v>
      </c>
      <c r="D270" s="38">
        <v>14.8378378378378</v>
      </c>
      <c r="E270" s="38">
        <v>0.90540540540540504</v>
      </c>
      <c r="F270" s="38">
        <v>0</v>
      </c>
    </row>
    <row r="271" spans="1:6">
      <c r="A271" s="37" t="s">
        <v>584</v>
      </c>
      <c r="B271" s="37" t="s">
        <v>270</v>
      </c>
      <c r="C271" s="38">
        <v>2.15410107705054</v>
      </c>
      <c r="D271" s="38">
        <v>93.620546810273396</v>
      </c>
      <c r="E271" s="38">
        <v>4.2253521126760596</v>
      </c>
      <c r="F271" s="38">
        <v>0</v>
      </c>
    </row>
    <row r="272" spans="1:6">
      <c r="A272" s="37" t="s">
        <v>470</v>
      </c>
      <c r="B272" s="37" t="s">
        <v>271</v>
      </c>
      <c r="C272" s="38">
        <v>1.9334532374100699</v>
      </c>
      <c r="D272" s="38">
        <v>32.711330935251802</v>
      </c>
      <c r="E272" s="38">
        <v>65.3552158273381</v>
      </c>
      <c r="F272" s="38">
        <v>0</v>
      </c>
    </row>
    <row r="273" spans="1:6">
      <c r="A273" s="37" t="s">
        <v>472</v>
      </c>
      <c r="B273" s="37" t="s">
        <v>473</v>
      </c>
      <c r="C273" s="38">
        <v>0</v>
      </c>
      <c r="D273" s="38">
        <v>92.559523809523796</v>
      </c>
      <c r="E273" s="38">
        <v>7.4404761904761898</v>
      </c>
      <c r="F273" s="38">
        <v>0</v>
      </c>
    </row>
    <row r="274" spans="1:6">
      <c r="A274" s="37" t="s">
        <v>620</v>
      </c>
      <c r="B274" s="37" t="s">
        <v>273</v>
      </c>
      <c r="C274" s="38">
        <v>3.3414832925835398</v>
      </c>
      <c r="D274" s="38">
        <v>55.012224938875299</v>
      </c>
      <c r="E274" s="38">
        <v>41.646291768541197</v>
      </c>
      <c r="F274" s="38">
        <v>0</v>
      </c>
    </row>
    <row r="275" spans="1:6">
      <c r="A275" s="37" t="s">
        <v>716</v>
      </c>
      <c r="B275" s="37" t="s">
        <v>717</v>
      </c>
      <c r="C275" s="38">
        <v>0.48973548589163202</v>
      </c>
      <c r="D275" s="38">
        <v>58.025113180148601</v>
      </c>
      <c r="E275" s="38">
        <v>41.485151333959699</v>
      </c>
      <c r="F275" s="38">
        <v>0</v>
      </c>
    </row>
    <row r="276" spans="1:6">
      <c r="A276" s="37" t="s">
        <v>549</v>
      </c>
      <c r="B276" s="37" t="s">
        <v>275</v>
      </c>
      <c r="C276" s="38">
        <v>0.19135093761959401</v>
      </c>
      <c r="D276" s="38">
        <v>12.0359739762725</v>
      </c>
      <c r="E276" s="38">
        <v>87.772675086107895</v>
      </c>
      <c r="F276" s="38">
        <v>0</v>
      </c>
    </row>
    <row r="277" spans="1:6">
      <c r="A277" s="37" t="s">
        <v>526</v>
      </c>
      <c r="B277" s="37" t="s">
        <v>527</v>
      </c>
      <c r="C277" s="38">
        <v>16.424116424116399</v>
      </c>
      <c r="D277" s="38">
        <v>83.056133056133007</v>
      </c>
      <c r="E277" s="38">
        <v>0.51975051975052</v>
      </c>
      <c r="F277" s="38">
        <v>0</v>
      </c>
    </row>
    <row r="278" spans="1:6">
      <c r="A278" s="37" t="s">
        <v>559</v>
      </c>
      <c r="B278" s="37" t="s">
        <v>560</v>
      </c>
      <c r="C278" s="38">
        <v>1.5732546705998001</v>
      </c>
      <c r="D278" s="38">
        <v>30.252376270075398</v>
      </c>
      <c r="E278" s="38">
        <v>68.174369059324803</v>
      </c>
      <c r="F278" s="38">
        <v>0</v>
      </c>
    </row>
    <row r="279" spans="1:6">
      <c r="A279" s="37" t="s">
        <v>440</v>
      </c>
      <c r="B279" s="37" t="s">
        <v>278</v>
      </c>
      <c r="C279" s="38">
        <v>61.636363636363598</v>
      </c>
      <c r="D279" s="38">
        <v>37</v>
      </c>
      <c r="E279" s="38">
        <v>1.36363636363636</v>
      </c>
      <c r="F279" s="38">
        <v>0</v>
      </c>
    </row>
    <row r="280" spans="1:6">
      <c r="A280" s="37" t="s">
        <v>585</v>
      </c>
      <c r="B280" s="37" t="s">
        <v>279</v>
      </c>
      <c r="C280" s="38">
        <v>29.254079254079301</v>
      </c>
      <c r="D280" s="38">
        <v>68.240093240093202</v>
      </c>
      <c r="E280" s="38">
        <v>2.5058275058275101</v>
      </c>
      <c r="F280" s="38">
        <v>0</v>
      </c>
    </row>
    <row r="281" spans="1:6">
      <c r="A281" s="37" t="s">
        <v>432</v>
      </c>
      <c r="B281" s="37" t="s">
        <v>280</v>
      </c>
      <c r="C281" s="38">
        <v>42.935886277922798</v>
      </c>
      <c r="D281" s="38">
        <v>52.538439222512302</v>
      </c>
      <c r="E281" s="38">
        <v>4.4966637655932704</v>
      </c>
      <c r="F281" s="38">
        <v>2.9010733971569499E-2</v>
      </c>
    </row>
    <row r="282" spans="1:6">
      <c r="A282" s="37" t="s">
        <v>503</v>
      </c>
      <c r="B282" s="37" t="s">
        <v>504</v>
      </c>
      <c r="C282" s="38">
        <v>0.44444444444444398</v>
      </c>
      <c r="D282" s="38">
        <v>38</v>
      </c>
      <c r="E282" s="38">
        <v>60.8888888888889</v>
      </c>
      <c r="F282" s="38">
        <v>0.66666666666666696</v>
      </c>
    </row>
    <row r="283" spans="1:6">
      <c r="A283" s="37" t="s">
        <v>705</v>
      </c>
      <c r="B283" s="37" t="s">
        <v>706</v>
      </c>
      <c r="C283" s="38">
        <v>1.97628458498024</v>
      </c>
      <c r="D283" s="38">
        <v>39.920948616600803</v>
      </c>
      <c r="E283" s="38">
        <v>56.785243741765498</v>
      </c>
      <c r="F283" s="38">
        <v>1.3175230566534899</v>
      </c>
    </row>
    <row r="284" spans="1:6">
      <c r="A284" s="37" t="s">
        <v>703</v>
      </c>
      <c r="B284" s="37" t="s">
        <v>704</v>
      </c>
      <c r="C284" s="38">
        <v>2.6960784313725501</v>
      </c>
      <c r="D284" s="38">
        <v>47.957516339869301</v>
      </c>
      <c r="E284" s="38">
        <v>49.019607843137301</v>
      </c>
      <c r="F284" s="38">
        <v>0.32679738562091498</v>
      </c>
    </row>
    <row r="285" spans="1:6">
      <c r="A285" s="37" t="s">
        <v>665</v>
      </c>
      <c r="B285" s="37" t="s">
        <v>284</v>
      </c>
      <c r="C285" s="38">
        <v>0.78431372549019596</v>
      </c>
      <c r="D285" s="38">
        <v>37.124183006536001</v>
      </c>
      <c r="E285" s="38">
        <v>61.307189542483698</v>
      </c>
      <c r="F285" s="38">
        <v>0.78431372549019596</v>
      </c>
    </row>
    <row r="286" spans="1:6">
      <c r="A286" s="37" t="s">
        <v>561</v>
      </c>
      <c r="B286" s="37" t="s">
        <v>285</v>
      </c>
      <c r="C286" s="38">
        <v>7.6513317191283301</v>
      </c>
      <c r="D286" s="38">
        <v>61.791767554479399</v>
      </c>
      <c r="E286" s="38">
        <v>30.5569007263923</v>
      </c>
      <c r="F286" s="38">
        <v>0</v>
      </c>
    </row>
    <row r="287" spans="1:6">
      <c r="A287" s="37" t="s">
        <v>679</v>
      </c>
      <c r="B287" s="37" t="s">
        <v>680</v>
      </c>
      <c r="C287" s="38">
        <v>5.7091882247992896</v>
      </c>
      <c r="D287" s="38">
        <v>50.669045495093698</v>
      </c>
      <c r="E287" s="38">
        <v>43.621766280107003</v>
      </c>
      <c r="F287" s="38">
        <v>0</v>
      </c>
    </row>
    <row r="288" spans="1:6">
      <c r="A288" s="37" t="s">
        <v>583</v>
      </c>
      <c r="B288" s="37" t="s">
        <v>287</v>
      </c>
      <c r="C288" s="38">
        <v>24.067388688327298</v>
      </c>
      <c r="D288" s="38">
        <v>64.981949458483797</v>
      </c>
      <c r="E288" s="38">
        <v>10.950661853188899</v>
      </c>
      <c r="F288" s="38">
        <v>0</v>
      </c>
    </row>
    <row r="289" spans="1:6">
      <c r="A289" s="37" t="s">
        <v>701</v>
      </c>
      <c r="B289" s="37" t="s">
        <v>288</v>
      </c>
      <c r="C289" s="38">
        <v>0.89552238805970197</v>
      </c>
      <c r="D289" s="38">
        <v>25.9701492537313</v>
      </c>
      <c r="E289" s="38">
        <v>71.9402985074627</v>
      </c>
      <c r="F289" s="38">
        <v>1.1940298507462701</v>
      </c>
    </row>
    <row r="290" spans="1:6">
      <c r="A290" s="37" t="s">
        <v>572</v>
      </c>
      <c r="B290" s="37" t="s">
        <v>289</v>
      </c>
      <c r="C290" s="38">
        <v>0</v>
      </c>
      <c r="D290" s="38">
        <v>96.539792387543301</v>
      </c>
      <c r="E290" s="38">
        <v>3.4602076124567498</v>
      </c>
      <c r="F290" s="38">
        <v>0</v>
      </c>
    </row>
    <row r="291" spans="1:6">
      <c r="A291" s="37" t="s">
        <v>474</v>
      </c>
      <c r="B291" s="37" t="s">
        <v>475</v>
      </c>
      <c r="C291" s="38">
        <v>0</v>
      </c>
      <c r="D291" s="38">
        <v>17.744610281923698</v>
      </c>
      <c r="E291" s="38">
        <v>82.255389718076302</v>
      </c>
      <c r="F291" s="38">
        <v>0</v>
      </c>
    </row>
    <row r="292" spans="1:6">
      <c r="A292" s="37" t="s">
        <v>429</v>
      </c>
      <c r="B292" s="37" t="s">
        <v>291</v>
      </c>
      <c r="C292" s="38">
        <v>0.59171597633136097</v>
      </c>
      <c r="D292" s="38">
        <v>86.390532544378701</v>
      </c>
      <c r="E292" s="38">
        <v>13.017751479289901</v>
      </c>
      <c r="F292" s="38">
        <v>0</v>
      </c>
    </row>
    <row r="293" spans="1:6">
      <c r="A293" s="37" t="s">
        <v>392</v>
      </c>
      <c r="B293" s="37" t="s">
        <v>393</v>
      </c>
      <c r="C293" s="38">
        <v>0</v>
      </c>
      <c r="D293" s="38">
        <v>73.182359952324205</v>
      </c>
      <c r="E293" s="38">
        <v>26.817640047675798</v>
      </c>
      <c r="F293" s="38">
        <v>0</v>
      </c>
    </row>
    <row r="294" spans="1:6">
      <c r="A294" s="37" t="s">
        <v>577</v>
      </c>
      <c r="B294" s="37" t="s">
        <v>293</v>
      </c>
      <c r="C294" s="38">
        <v>0</v>
      </c>
      <c r="D294" s="38">
        <v>7.5793888556021596</v>
      </c>
      <c r="E294" s="38">
        <v>92.420611144397895</v>
      </c>
      <c r="F294" s="38">
        <v>0</v>
      </c>
    </row>
    <row r="295" spans="1:6">
      <c r="A295" s="37" t="s">
        <v>676</v>
      </c>
      <c r="B295" s="37" t="s">
        <v>294</v>
      </c>
      <c r="C295" s="38">
        <v>49.017688360788497</v>
      </c>
      <c r="D295" s="38">
        <v>50.435457736970001</v>
      </c>
      <c r="E295" s="38">
        <v>0.54685390224142605</v>
      </c>
      <c r="F295" s="38">
        <v>0</v>
      </c>
    </row>
    <row r="296" spans="1:6">
      <c r="A296" s="37" t="s">
        <v>621</v>
      </c>
      <c r="B296" s="37" t="s">
        <v>295</v>
      </c>
      <c r="C296" s="38">
        <v>0.58043117744610295</v>
      </c>
      <c r="D296" s="38">
        <v>59.245439469320097</v>
      </c>
      <c r="E296" s="38">
        <v>40.174129353233802</v>
      </c>
      <c r="F296" s="38">
        <v>0</v>
      </c>
    </row>
    <row r="297" spans="1:6">
      <c r="A297" s="37" t="s">
        <v>553</v>
      </c>
      <c r="B297" s="37" t="s">
        <v>296</v>
      </c>
      <c r="C297" s="38">
        <v>0</v>
      </c>
      <c r="D297" s="38">
        <v>34.417808219178099</v>
      </c>
      <c r="E297" s="38">
        <v>65.582191780821901</v>
      </c>
      <c r="F297" s="38">
        <v>0</v>
      </c>
    </row>
    <row r="298" spans="1:6">
      <c r="A298" s="37" t="s">
        <v>408</v>
      </c>
      <c r="B298" s="37" t="s">
        <v>297</v>
      </c>
      <c r="C298" s="38">
        <v>3.8015586390420103E-2</v>
      </c>
      <c r="D298" s="38">
        <v>1.48260786922638</v>
      </c>
      <c r="E298" s="38">
        <v>98.4793765443832</v>
      </c>
      <c r="F298" s="38">
        <v>0</v>
      </c>
    </row>
    <row r="299" spans="1:6">
      <c r="A299" s="37" t="s">
        <v>669</v>
      </c>
      <c r="B299" s="37" t="s">
        <v>298</v>
      </c>
      <c r="C299" s="38">
        <v>1.4297061159650499</v>
      </c>
      <c r="D299" s="38">
        <v>17.5536139793487</v>
      </c>
      <c r="E299" s="38">
        <v>80.579825258141398</v>
      </c>
      <c r="F299" s="38">
        <v>0.43685464654487699</v>
      </c>
    </row>
    <row r="300" spans="1:6">
      <c r="A300" s="37" t="s">
        <v>749</v>
      </c>
      <c r="B300" s="37" t="s">
        <v>299</v>
      </c>
      <c r="C300" s="38">
        <v>8.6299892125134794E-2</v>
      </c>
      <c r="D300" s="38">
        <v>89.104638619201694</v>
      </c>
      <c r="E300" s="38">
        <v>10.8090614886731</v>
      </c>
      <c r="F300" s="38">
        <v>0</v>
      </c>
    </row>
    <row r="301" spans="1:6">
      <c r="A301" s="37" t="s">
        <v>374</v>
      </c>
      <c r="B301" s="37" t="s">
        <v>300</v>
      </c>
      <c r="C301" s="38">
        <v>72.524901901599804</v>
      </c>
      <c r="D301" s="38">
        <v>27.475098098400199</v>
      </c>
      <c r="E301" s="38">
        <v>0</v>
      </c>
      <c r="F301" s="38">
        <v>0</v>
      </c>
    </row>
    <row r="302" spans="1:6">
      <c r="A302" s="37" t="s">
        <v>494</v>
      </c>
      <c r="B302" s="37" t="s">
        <v>301</v>
      </c>
      <c r="C302" s="38">
        <v>9.9627827082736893</v>
      </c>
      <c r="D302" s="38">
        <v>69.510449470369295</v>
      </c>
      <c r="E302" s="38">
        <v>20.526767821357002</v>
      </c>
      <c r="F302" s="38">
        <v>0</v>
      </c>
    </row>
    <row r="303" spans="1:6">
      <c r="A303" s="37" t="s">
        <v>552</v>
      </c>
      <c r="B303" s="37" t="s">
        <v>302</v>
      </c>
      <c r="C303" s="38">
        <v>8.1553398058252409</v>
      </c>
      <c r="D303" s="38">
        <v>81.747572815533999</v>
      </c>
      <c r="E303" s="38">
        <v>9.9029126213592207</v>
      </c>
      <c r="F303" s="38">
        <v>0.19417475728155301</v>
      </c>
    </row>
    <row r="304" spans="1:6">
      <c r="A304" s="37" t="s">
        <v>486</v>
      </c>
      <c r="B304" s="37" t="s">
        <v>303</v>
      </c>
      <c r="C304" s="38">
        <v>52.620053183169098</v>
      </c>
      <c r="D304" s="38">
        <v>47.372125762552798</v>
      </c>
      <c r="E304" s="38">
        <v>7.8210542781166903E-3</v>
      </c>
      <c r="F304" s="38">
        <v>0</v>
      </c>
    </row>
    <row r="305" spans="1:6">
      <c r="A305" s="37" t="s">
        <v>369</v>
      </c>
      <c r="B305" s="37" t="s">
        <v>304</v>
      </c>
      <c r="C305" s="38">
        <v>98.831385642737899</v>
      </c>
      <c r="D305" s="38">
        <v>1.1686143572620999</v>
      </c>
      <c r="E305" s="38">
        <v>0</v>
      </c>
      <c r="F305" s="38">
        <v>0</v>
      </c>
    </row>
    <row r="306" spans="1:6">
      <c r="A306" s="37" t="s">
        <v>415</v>
      </c>
      <c r="B306" s="37" t="s">
        <v>416</v>
      </c>
      <c r="C306" s="38">
        <v>3.4365524212073901</v>
      </c>
      <c r="D306" s="38">
        <v>96.443995221905695</v>
      </c>
      <c r="E306" s="38">
        <v>0.119452356886888</v>
      </c>
      <c r="F306" s="38">
        <v>0</v>
      </c>
    </row>
    <row r="307" spans="1:6">
      <c r="A307" s="37" t="s">
        <v>615</v>
      </c>
      <c r="B307" s="37" t="s">
        <v>306</v>
      </c>
      <c r="C307" s="38">
        <v>1.05207785376118E-2</v>
      </c>
      <c r="D307" s="38">
        <v>85.839032088374594</v>
      </c>
      <c r="E307" s="38">
        <v>14.1504471330878</v>
      </c>
      <c r="F307" s="38">
        <v>0</v>
      </c>
    </row>
    <row r="308" spans="1:6">
      <c r="A308" s="37" t="s">
        <v>605</v>
      </c>
      <c r="B308" s="37" t="s">
        <v>307</v>
      </c>
      <c r="C308" s="38">
        <v>0.227517662555383</v>
      </c>
      <c r="D308" s="38">
        <v>99.7724823374446</v>
      </c>
      <c r="E308" s="38">
        <v>0</v>
      </c>
      <c r="F308" s="38">
        <v>0</v>
      </c>
    </row>
    <row r="309" spans="1:6">
      <c r="A309" s="37" t="s">
        <v>733</v>
      </c>
      <c r="B309" s="37" t="s">
        <v>252</v>
      </c>
      <c r="C309" s="38">
        <v>0</v>
      </c>
      <c r="D309" s="38">
        <v>2.7478513497155301</v>
      </c>
      <c r="E309" s="38">
        <v>97.252148650284497</v>
      </c>
      <c r="F309" s="38">
        <v>0</v>
      </c>
    </row>
    <row r="310" spans="1:6">
      <c r="A310" s="37" t="s">
        <v>633</v>
      </c>
      <c r="B310" s="37" t="s">
        <v>308</v>
      </c>
      <c r="C310" s="38">
        <v>0</v>
      </c>
      <c r="D310" s="38">
        <v>48.737864077669897</v>
      </c>
      <c r="E310" s="38">
        <v>50.631067961165002</v>
      </c>
      <c r="F310" s="38">
        <v>0.63106796116504804</v>
      </c>
    </row>
    <row r="311" spans="1:6">
      <c r="A311" s="37" t="s">
        <v>751</v>
      </c>
      <c r="B311" s="37" t="s">
        <v>295</v>
      </c>
      <c r="C311" s="38">
        <v>0</v>
      </c>
      <c r="D311" s="38">
        <v>49.141844756948302</v>
      </c>
      <c r="E311" s="38">
        <v>50.858155243051698</v>
      </c>
      <c r="F311" s="38">
        <v>0</v>
      </c>
    </row>
    <row r="312" spans="1:6">
      <c r="A312" s="37" t="s">
        <v>599</v>
      </c>
      <c r="B312" s="37" t="s">
        <v>309</v>
      </c>
      <c r="C312" s="38">
        <v>6.0277275467148901E-2</v>
      </c>
      <c r="D312" s="38">
        <v>85.902652200120599</v>
      </c>
      <c r="E312" s="38">
        <v>13.9993972272453</v>
      </c>
      <c r="F312" s="38">
        <v>3.76732971669681E-2</v>
      </c>
    </row>
    <row r="313" spans="1:6">
      <c r="A313" s="37" t="s">
        <v>598</v>
      </c>
      <c r="B313" s="37" t="s">
        <v>310</v>
      </c>
      <c r="C313" s="38">
        <v>0</v>
      </c>
      <c r="D313" s="38">
        <v>98.977106673161202</v>
      </c>
      <c r="E313" s="38">
        <v>1.0228933268387701</v>
      </c>
      <c r="F313" s="38">
        <v>0</v>
      </c>
    </row>
    <row r="314" spans="1:6">
      <c r="A314" s="37" t="s">
        <v>690</v>
      </c>
      <c r="B314" s="37" t="s">
        <v>311</v>
      </c>
      <c r="C314" s="38">
        <v>75.7866922892145</v>
      </c>
      <c r="D314" s="38">
        <v>22.788053487068598</v>
      </c>
      <c r="E314" s="38">
        <v>1.4252542237168699</v>
      </c>
      <c r="F314" s="38">
        <v>0</v>
      </c>
    </row>
    <row r="315" spans="1:6">
      <c r="A315" s="37" t="s">
        <v>466</v>
      </c>
      <c r="B315" s="37" t="s">
        <v>312</v>
      </c>
      <c r="C315" s="38">
        <v>41.029053005100899</v>
      </c>
      <c r="D315" s="38">
        <v>58.2612552672433</v>
      </c>
      <c r="E315" s="38">
        <v>0.70969172765579902</v>
      </c>
      <c r="F315" s="38">
        <v>0</v>
      </c>
    </row>
    <row r="316" spans="1:6">
      <c r="A316" s="37" t="s">
        <v>428</v>
      </c>
      <c r="B316" s="37" t="s">
        <v>313</v>
      </c>
      <c r="C316" s="38">
        <v>3.9983844911147002</v>
      </c>
      <c r="D316" s="38">
        <v>94.204361873990294</v>
      </c>
      <c r="E316" s="38">
        <v>1.6659935379644599</v>
      </c>
      <c r="F316" s="38">
        <v>0.131260096930533</v>
      </c>
    </row>
    <row r="317" spans="1:6">
      <c r="A317" s="37" t="s">
        <v>404</v>
      </c>
      <c r="B317" s="37" t="s">
        <v>405</v>
      </c>
      <c r="C317" s="38">
        <v>71.021021021020999</v>
      </c>
      <c r="D317" s="38">
        <v>28.003003003002998</v>
      </c>
      <c r="E317" s="38">
        <v>0.97597597597597596</v>
      </c>
      <c r="F317" s="38">
        <v>0</v>
      </c>
    </row>
    <row r="318" spans="1:6">
      <c r="A318" s="37" t="s">
        <v>384</v>
      </c>
      <c r="B318" s="37" t="s">
        <v>385</v>
      </c>
      <c r="C318" s="38">
        <v>0.273123588423762</v>
      </c>
      <c r="D318" s="38">
        <v>97.137454698251005</v>
      </c>
      <c r="E318" s="38">
        <v>2.3845790220074599</v>
      </c>
      <c r="F318" s="38">
        <v>0.20484269131782101</v>
      </c>
    </row>
    <row r="319" spans="1:6">
      <c r="A319" s="37" t="s">
        <v>753</v>
      </c>
      <c r="B319" s="37" t="s">
        <v>316</v>
      </c>
      <c r="C319" s="38">
        <v>0.23437810352361699</v>
      </c>
      <c r="D319" s="38">
        <v>0.73888690263377399</v>
      </c>
      <c r="E319" s="38">
        <v>79.001310928375602</v>
      </c>
      <c r="F319" s="38">
        <v>20.025424065467</v>
      </c>
    </row>
    <row r="320" spans="1:6">
      <c r="A320" s="37" t="s">
        <v>513</v>
      </c>
      <c r="B320" s="37" t="s">
        <v>317</v>
      </c>
      <c r="C320" s="38">
        <v>4.4256337121037896</v>
      </c>
      <c r="D320" s="38">
        <v>81.299167318397195</v>
      </c>
      <c r="E320" s="38">
        <v>13.84735704099</v>
      </c>
      <c r="F320" s="38">
        <v>0.427841928508994</v>
      </c>
    </row>
    <row r="321" spans="1:6">
      <c r="A321" s="37" t="s">
        <v>750</v>
      </c>
      <c r="B321" s="37" t="s">
        <v>318</v>
      </c>
      <c r="C321" s="38">
        <v>0</v>
      </c>
      <c r="D321" s="38">
        <v>3.32441188899845</v>
      </c>
      <c r="E321" s="38">
        <v>95.717706719256199</v>
      </c>
      <c r="F321" s="38">
        <v>0.95788139174531595</v>
      </c>
    </row>
    <row r="322" spans="1:6">
      <c r="A322" s="37" t="s">
        <v>752</v>
      </c>
      <c r="B322" s="37" t="s">
        <v>319</v>
      </c>
      <c r="C322" s="38">
        <v>0</v>
      </c>
      <c r="D322" s="38">
        <v>44.152930849507499</v>
      </c>
      <c r="E322" s="38">
        <v>55.778796449819602</v>
      </c>
      <c r="F322" s="38">
        <v>6.8272700672973793E-2</v>
      </c>
    </row>
    <row r="323" spans="1:6">
      <c r="A323" s="37" t="s">
        <v>618</v>
      </c>
      <c r="B323" s="37" t="s">
        <v>320</v>
      </c>
      <c r="C323" s="38">
        <v>31.892934104570699</v>
      </c>
      <c r="D323" s="38">
        <v>66.122263808551693</v>
      </c>
      <c r="E323" s="38">
        <v>1.3496654190767801</v>
      </c>
      <c r="F323" s="38">
        <v>0.63513666780083899</v>
      </c>
    </row>
    <row r="324" spans="1:6">
      <c r="A324" s="37" t="s">
        <v>746</v>
      </c>
      <c r="B324" s="37" t="s">
        <v>296</v>
      </c>
      <c r="C324" s="38">
        <v>1.50186230926349</v>
      </c>
      <c r="D324" s="38">
        <v>91.397332692538697</v>
      </c>
      <c r="E324" s="38">
        <v>7.1008049981977699</v>
      </c>
      <c r="F324" s="38">
        <v>0</v>
      </c>
    </row>
    <row r="325" spans="1:6">
      <c r="A325" s="37" t="s">
        <v>626</v>
      </c>
      <c r="B325" s="37" t="s">
        <v>321</v>
      </c>
      <c r="C325" s="38">
        <v>0.94254937163375196</v>
      </c>
      <c r="D325" s="38">
        <v>2.1095152603231599</v>
      </c>
      <c r="E325" s="38">
        <v>29.3985637342908</v>
      </c>
      <c r="F325" s="38">
        <v>67.549371633752202</v>
      </c>
    </row>
    <row r="326" spans="1:6">
      <c r="A326" s="37" t="s">
        <v>604</v>
      </c>
      <c r="B326" s="37" t="s">
        <v>322</v>
      </c>
      <c r="C326" s="38">
        <v>63.215555394326302</v>
      </c>
      <c r="D326" s="38">
        <v>36.682870202423302</v>
      </c>
      <c r="E326" s="38">
        <v>0.101574403250381</v>
      </c>
      <c r="F326" s="38">
        <v>0</v>
      </c>
    </row>
    <row r="327" spans="1:6">
      <c r="A327" s="37" t="s">
        <v>591</v>
      </c>
      <c r="B327" s="37" t="s">
        <v>323</v>
      </c>
      <c r="C327" s="38">
        <v>5.4931836407377697</v>
      </c>
      <c r="D327" s="38">
        <v>94.134494214686697</v>
      </c>
      <c r="E327" s="38">
        <v>0.37232214457555302</v>
      </c>
      <c r="F327" s="38">
        <v>0</v>
      </c>
    </row>
    <row r="328" spans="1:6">
      <c r="A328" s="37" t="s">
        <v>616</v>
      </c>
      <c r="B328" s="37" t="s">
        <v>324</v>
      </c>
      <c r="C328" s="38">
        <v>0</v>
      </c>
      <c r="D328" s="38">
        <v>3.12611012433393</v>
      </c>
      <c r="E328" s="38">
        <v>96.873889875666094</v>
      </c>
      <c r="F328" s="38">
        <v>0</v>
      </c>
    </row>
    <row r="329" spans="1:6">
      <c r="A329" s="37" t="s">
        <v>578</v>
      </c>
      <c r="B329" s="37" t="s">
        <v>325</v>
      </c>
      <c r="C329" s="38">
        <v>0</v>
      </c>
      <c r="D329" s="38">
        <v>3.6420395421435998</v>
      </c>
      <c r="E329" s="38">
        <v>58.659134829790403</v>
      </c>
      <c r="F329" s="38">
        <v>37.698825628065997</v>
      </c>
    </row>
    <row r="330" spans="1:6">
      <c r="A330" s="37" t="s">
        <v>370</v>
      </c>
      <c r="B330" s="37" t="s">
        <v>371</v>
      </c>
      <c r="C330" s="38">
        <v>0</v>
      </c>
      <c r="D330" s="38">
        <v>84.172661870503603</v>
      </c>
      <c r="E330" s="38">
        <v>15.8273381294964</v>
      </c>
      <c r="F330" s="38">
        <v>0</v>
      </c>
    </row>
    <row r="331" spans="1:6">
      <c r="A331" s="37" t="s">
        <v>434</v>
      </c>
      <c r="B331" s="37" t="s">
        <v>327</v>
      </c>
      <c r="C331" s="38">
        <v>3.4635879218472501</v>
      </c>
      <c r="D331" s="38">
        <v>93.605683836589705</v>
      </c>
      <c r="E331" s="38">
        <v>2.93072824156306</v>
      </c>
      <c r="F331" s="38">
        <v>0</v>
      </c>
    </row>
    <row r="332" spans="1:6">
      <c r="A332" s="37" t="s">
        <v>761</v>
      </c>
      <c r="B332" s="37" t="s">
        <v>328</v>
      </c>
      <c r="C332" s="38">
        <v>0</v>
      </c>
      <c r="D332" s="38">
        <v>84.779645615629306</v>
      </c>
      <c r="E332" s="38">
        <v>15.220354384370699</v>
      </c>
      <c r="F332" s="38">
        <v>0</v>
      </c>
    </row>
    <row r="333" spans="1:6">
      <c r="A333" s="37" t="s">
        <v>625</v>
      </c>
      <c r="B333" s="37" t="s">
        <v>329</v>
      </c>
      <c r="C333" s="38">
        <v>0.63547082611207395</v>
      </c>
      <c r="D333" s="38">
        <v>29.9826689774697</v>
      </c>
      <c r="E333" s="38">
        <v>69.381860196418302</v>
      </c>
      <c r="F333" s="38">
        <v>0</v>
      </c>
    </row>
    <row r="334" spans="1:6">
      <c r="A334" s="37" t="s">
        <v>682</v>
      </c>
      <c r="B334" s="37" t="s">
        <v>683</v>
      </c>
      <c r="C334" s="38">
        <v>18.330012678862499</v>
      </c>
      <c r="D334" s="38">
        <v>80.166636478898695</v>
      </c>
      <c r="E334" s="38">
        <v>1.5033508422387201</v>
      </c>
      <c r="F334" s="38">
        <v>0</v>
      </c>
    </row>
    <row r="335" spans="1:6">
      <c r="A335" s="37" t="s">
        <v>630</v>
      </c>
      <c r="B335" s="37" t="s">
        <v>293</v>
      </c>
      <c r="C335" s="38">
        <v>0</v>
      </c>
      <c r="D335" s="38">
        <v>49.522184300341301</v>
      </c>
      <c r="E335" s="38">
        <v>50.477815699658699</v>
      </c>
      <c r="F335" s="38">
        <v>0</v>
      </c>
    </row>
    <row r="336" spans="1:6">
      <c r="A336" s="37" t="s">
        <v>602</v>
      </c>
      <c r="B336" s="37" t="s">
        <v>331</v>
      </c>
      <c r="C336" s="38">
        <v>0.39089645587213301</v>
      </c>
      <c r="D336" s="38">
        <v>95.022585128561502</v>
      </c>
      <c r="E336" s="38">
        <v>4.5865184155663696</v>
      </c>
      <c r="F336" s="38">
        <v>0</v>
      </c>
    </row>
    <row r="337" spans="1:6">
      <c r="A337" s="37" t="s">
        <v>592</v>
      </c>
      <c r="B337" s="37" t="s">
        <v>593</v>
      </c>
      <c r="C337" s="38">
        <v>0</v>
      </c>
      <c r="D337" s="38">
        <v>6.58263305322129</v>
      </c>
      <c r="E337" s="38">
        <v>93.417366946778699</v>
      </c>
      <c r="F337" s="38">
        <v>0</v>
      </c>
    </row>
    <row r="338" spans="1:6">
      <c r="A338" s="37" t="s">
        <v>622</v>
      </c>
      <c r="B338" s="37" t="s">
        <v>333</v>
      </c>
      <c r="C338" s="38">
        <v>0.78125</v>
      </c>
      <c r="D338" s="38">
        <v>34.230324074074097</v>
      </c>
      <c r="E338" s="38">
        <v>64.988425925925895</v>
      </c>
      <c r="F338" s="38">
        <v>0</v>
      </c>
    </row>
    <row r="339" spans="1:6">
      <c r="A339" s="37" t="s">
        <v>754</v>
      </c>
      <c r="B339" s="37" t="s">
        <v>334</v>
      </c>
      <c r="C339" s="38">
        <v>0.25700334104343397</v>
      </c>
      <c r="D339" s="38">
        <v>92.662554613210006</v>
      </c>
      <c r="E339" s="38">
        <v>7.0804420457465902</v>
      </c>
      <c r="F339" s="38">
        <v>0</v>
      </c>
    </row>
    <row r="340" spans="1:6">
      <c r="A340" s="37" t="s">
        <v>767</v>
      </c>
      <c r="B340" s="37" t="s">
        <v>313</v>
      </c>
      <c r="C340" s="38">
        <v>0</v>
      </c>
      <c r="D340" s="38">
        <v>30.987762237762201</v>
      </c>
      <c r="E340" s="38">
        <v>69.012237762237802</v>
      </c>
      <c r="F340" s="38">
        <v>0</v>
      </c>
    </row>
    <row r="341" spans="1:6">
      <c r="A341" s="37" t="s">
        <v>768</v>
      </c>
      <c r="B341" s="37" t="s">
        <v>336</v>
      </c>
      <c r="C341" s="38">
        <v>0</v>
      </c>
      <c r="D341" s="38">
        <v>3.6505630221576499</v>
      </c>
      <c r="E341" s="38">
        <v>96.349436977842302</v>
      </c>
      <c r="F341" s="38">
        <v>0</v>
      </c>
    </row>
    <row r="342" spans="1:6">
      <c r="A342" s="37" t="s">
        <v>755</v>
      </c>
      <c r="B342" s="37" t="s">
        <v>337</v>
      </c>
      <c r="C342" s="38">
        <v>0</v>
      </c>
      <c r="D342" s="38">
        <v>43.240875912408796</v>
      </c>
      <c r="E342" s="38">
        <v>56.759124087591204</v>
      </c>
      <c r="F342" s="38">
        <v>0</v>
      </c>
    </row>
    <row r="343" spans="1:6">
      <c r="A343" s="37" t="s">
        <v>612</v>
      </c>
      <c r="B343" s="37" t="s">
        <v>613</v>
      </c>
      <c r="C343" s="38">
        <v>0</v>
      </c>
      <c r="D343" s="38">
        <v>3.5785953177257501</v>
      </c>
      <c r="E343" s="38">
        <v>96.421404682274201</v>
      </c>
      <c r="F343" s="38">
        <v>0</v>
      </c>
    </row>
    <row r="344" spans="1:6">
      <c r="A344" s="37" t="s">
        <v>606</v>
      </c>
      <c r="B344" s="37" t="s">
        <v>339</v>
      </c>
      <c r="C344" s="38">
        <v>0</v>
      </c>
      <c r="D344" s="38">
        <v>51.100318713006502</v>
      </c>
      <c r="E344" s="38">
        <v>48.899681286993498</v>
      </c>
      <c r="F344" s="38">
        <v>0</v>
      </c>
    </row>
    <row r="345" spans="1:6">
      <c r="A345" s="40" t="s">
        <v>368</v>
      </c>
      <c r="B345" s="40"/>
      <c r="C345" s="40">
        <f>SUM(C2:C344)/343</f>
        <v>8.8556424908252218</v>
      </c>
      <c r="D345" s="40">
        <f>SUM(D2:D344)/343</f>
        <v>45.489397132147076</v>
      </c>
      <c r="E345" s="40">
        <f>SUM(E2:E344)/343</f>
        <v>41.495927091808127</v>
      </c>
      <c r="F345" s="40">
        <f>SUM(F2:F344)/343</f>
        <v>4.1590332852195404</v>
      </c>
    </row>
    <row r="348" spans="1:6" ht="15">
      <c r="A348" s="43" t="s">
        <v>363</v>
      </c>
      <c r="B348" s="43" t="s">
        <v>364</v>
      </c>
      <c r="C348" s="43" t="s">
        <v>365</v>
      </c>
      <c r="D348" s="43" t="s">
        <v>366</v>
      </c>
      <c r="E348" s="43" t="s">
        <v>367</v>
      </c>
      <c r="F348"/>
    </row>
    <row r="349" spans="1:6">
      <c r="A349" s="44" t="s">
        <v>343</v>
      </c>
      <c r="B349" s="44">
        <v>13.8756050692029</v>
      </c>
      <c r="C349" s="45">
        <v>55.772907494344601</v>
      </c>
      <c r="D349" s="45">
        <v>25.934664688282901</v>
      </c>
      <c r="E349" s="45">
        <v>4.4168227481695901</v>
      </c>
      <c r="F349" s="41"/>
    </row>
    <row r="350" spans="1:6">
      <c r="A350" s="44" t="s">
        <v>342</v>
      </c>
      <c r="B350" s="44">
        <v>2.9168438551049598</v>
      </c>
      <c r="C350" s="45">
        <v>40.783623922372101</v>
      </c>
      <c r="D350" s="45">
        <v>47.465883171608603</v>
      </c>
      <c r="E350" s="45">
        <v>8.8336490509142909</v>
      </c>
      <c r="F350" s="41"/>
    </row>
    <row r="351" spans="1:6">
      <c r="A351" s="44" t="s">
        <v>345</v>
      </c>
      <c r="B351" s="44">
        <v>3.4787810670195598</v>
      </c>
      <c r="C351" s="45">
        <v>35.003534978155599</v>
      </c>
      <c r="D351" s="45">
        <v>55.178289795696401</v>
      </c>
      <c r="E351" s="45">
        <v>6.3393941591283998</v>
      </c>
      <c r="F351" s="41"/>
    </row>
    <row r="352" spans="1:6">
      <c r="A352" s="44" t="s">
        <v>31</v>
      </c>
      <c r="B352" s="44">
        <v>12.101108828922399</v>
      </c>
      <c r="C352" s="45">
        <v>65.086447733943999</v>
      </c>
      <c r="D352" s="45">
        <v>22.757356123741801</v>
      </c>
      <c r="E352" s="45">
        <v>5.5087313391725901E-2</v>
      </c>
      <c r="F352" s="41"/>
    </row>
    <row r="353" spans="1:6">
      <c r="A353" s="44" t="s">
        <v>166</v>
      </c>
      <c r="B353" s="44">
        <v>3.9046798736721202</v>
      </c>
      <c r="C353" s="45">
        <v>57.278208440999101</v>
      </c>
      <c r="D353" s="45">
        <v>38.7884008039047</v>
      </c>
      <c r="E353" s="45">
        <v>2.8710881424059701E-2</v>
      </c>
      <c r="F353" s="41"/>
    </row>
    <row r="354" spans="1:6">
      <c r="A354" s="44" t="s">
        <v>347</v>
      </c>
      <c r="B354" s="44">
        <v>1.7202036159382099</v>
      </c>
      <c r="C354" s="45">
        <v>57.117781288397403</v>
      </c>
      <c r="D354" s="45">
        <v>41.162015095664401</v>
      </c>
      <c r="E354" s="45">
        <v>0</v>
      </c>
      <c r="F354" s="41"/>
    </row>
    <row r="355" spans="1:6">
      <c r="A355" s="44" t="s">
        <v>201</v>
      </c>
      <c r="B355" s="44">
        <v>6.49052321377909</v>
      </c>
      <c r="C355" s="45">
        <v>30.523396816971299</v>
      </c>
      <c r="D355" s="45">
        <v>56.757300923426101</v>
      </c>
      <c r="E355" s="45">
        <v>6.2287790458235301</v>
      </c>
      <c r="F355" s="41"/>
    </row>
    <row r="356" spans="1:6">
      <c r="A356" s="44" t="s">
        <v>348</v>
      </c>
      <c r="B356" s="44">
        <v>26.701026391348801</v>
      </c>
      <c r="C356" s="45">
        <v>52.172693369709897</v>
      </c>
      <c r="D356" s="45">
        <v>21.116379357762799</v>
      </c>
      <c r="E356" s="45">
        <v>9.9008811784248793E-3</v>
      </c>
      <c r="F356" s="41"/>
    </row>
    <row r="357" spans="1:6">
      <c r="A357" s="44" t="s">
        <v>243</v>
      </c>
      <c r="B357" s="44">
        <v>36.736092080021898</v>
      </c>
      <c r="C357" s="45">
        <v>35.417922718553001</v>
      </c>
      <c r="D357" s="45">
        <v>27.103315976979999</v>
      </c>
      <c r="E357" s="45">
        <v>0.74266922444505301</v>
      </c>
      <c r="F357" s="41"/>
    </row>
    <row r="359" spans="1:6" ht="15">
      <c r="A359" s="43" t="s">
        <v>363</v>
      </c>
      <c r="B359" s="43" t="s">
        <v>364</v>
      </c>
      <c r="C359" s="43" t="s">
        <v>365</v>
      </c>
      <c r="D359" s="43" t="s">
        <v>366</v>
      </c>
      <c r="E359" s="43" t="s">
        <v>367</v>
      </c>
    </row>
    <row r="360" spans="1:6">
      <c r="A360" s="44" t="s">
        <v>346</v>
      </c>
      <c r="B360" s="44">
        <v>69.784672377865206</v>
      </c>
      <c r="C360" s="45">
        <v>23.0087983329474</v>
      </c>
      <c r="D360" s="45">
        <v>7.2065292891873103</v>
      </c>
      <c r="E360" s="45">
        <v>0</v>
      </c>
    </row>
    <row r="362" spans="1:6" ht="15">
      <c r="B362" s="43" t="s">
        <v>364</v>
      </c>
      <c r="C362" s="43" t="s">
        <v>365</v>
      </c>
      <c r="D362" s="43" t="s">
        <v>366</v>
      </c>
      <c r="E362" s="43" t="s">
        <v>367</v>
      </c>
    </row>
    <row r="363" spans="1:6">
      <c r="A363" s="36" t="s">
        <v>344</v>
      </c>
      <c r="B363" s="44">
        <v>15.8625756701603</v>
      </c>
      <c r="C363" s="44">
        <v>50.755489740034001</v>
      </c>
      <c r="D363" s="45">
        <v>31.134522511664802</v>
      </c>
      <c r="E363" s="45">
        <v>2.2474120781409401</v>
      </c>
    </row>
  </sheetData>
  <autoFilter ref="A1:F345" xr:uid="{00000000-0001-0000-0300-000000000000}">
    <sortState xmlns:xlrd2="http://schemas.microsoft.com/office/spreadsheetml/2017/richdata2" ref="A2:F345">
      <sortCondition ref="A1:A345"/>
    </sortState>
  </autoFilter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B769-23C7-461E-87F1-52615BF3040C}">
  <dimension ref="A1:F363"/>
  <sheetViews>
    <sheetView workbookViewId="0">
      <pane ySplit="1" topLeftCell="A332" activePane="bottomLeft" state="frozen"/>
      <selection pane="bottomLeft" activeCell="A362" sqref="A362:E363"/>
    </sheetView>
  </sheetViews>
  <sheetFormatPr baseColWidth="10" defaultRowHeight="14.25"/>
  <cols>
    <col min="1" max="1" width="15.7109375" style="36" customWidth="1"/>
    <col min="2" max="2" width="30.7109375" style="36" customWidth="1"/>
    <col min="3" max="6" width="12.7109375" style="36" customWidth="1"/>
    <col min="7" max="16384" width="11.42578125" style="36"/>
  </cols>
  <sheetData>
    <row r="1" spans="1:6" ht="15">
      <c r="A1" s="34" t="s">
        <v>0</v>
      </c>
      <c r="B1" s="34" t="s">
        <v>363</v>
      </c>
      <c r="C1" s="34" t="s">
        <v>364</v>
      </c>
      <c r="D1" s="34" t="s">
        <v>365</v>
      </c>
      <c r="E1" s="34" t="s">
        <v>366</v>
      </c>
      <c r="F1" s="34" t="s">
        <v>367</v>
      </c>
    </row>
    <row r="2" spans="1:6">
      <c r="A2" s="37" t="s">
        <v>462</v>
      </c>
      <c r="B2" s="37" t="s">
        <v>2</v>
      </c>
      <c r="C2" s="38">
        <v>90.7915993537964</v>
      </c>
      <c r="D2" s="38">
        <v>3.2310177705977399</v>
      </c>
      <c r="E2" s="38">
        <v>4.9542272482498602</v>
      </c>
      <c r="F2" s="38">
        <v>1.0231556273559499</v>
      </c>
    </row>
    <row r="3" spans="1:6">
      <c r="A3" s="37" t="s">
        <v>671</v>
      </c>
      <c r="B3" s="37" t="s">
        <v>3</v>
      </c>
      <c r="C3" s="38">
        <v>3.62903225806452</v>
      </c>
      <c r="D3" s="38">
        <v>58.2661290322581</v>
      </c>
      <c r="E3" s="38">
        <v>37.298387096774199</v>
      </c>
      <c r="F3" s="38">
        <v>0.80645161290322598</v>
      </c>
    </row>
    <row r="4" spans="1:6">
      <c r="A4" s="37" t="s">
        <v>714</v>
      </c>
      <c r="B4" s="37" t="s">
        <v>4</v>
      </c>
      <c r="C4" s="38">
        <v>4.2111879321181602</v>
      </c>
      <c r="D4" s="38">
        <v>15.147705845380299</v>
      </c>
      <c r="E4" s="38">
        <v>73.978629792583305</v>
      </c>
      <c r="F4" s="38">
        <v>6.6624764299182901</v>
      </c>
    </row>
    <row r="5" spans="1:6">
      <c r="A5" s="37" t="s">
        <v>471</v>
      </c>
      <c r="B5" s="37" t="s">
        <v>5</v>
      </c>
      <c r="C5" s="38">
        <v>80.601826974744796</v>
      </c>
      <c r="D5" s="38">
        <v>18.1622783449758</v>
      </c>
      <c r="E5" s="38">
        <v>1.23589468027942</v>
      </c>
      <c r="F5" s="38">
        <v>0</v>
      </c>
    </row>
    <row r="6" spans="1:6">
      <c r="A6" s="37" t="s">
        <v>480</v>
      </c>
      <c r="B6" s="37" t="s">
        <v>6</v>
      </c>
      <c r="C6" s="38">
        <v>76.426116838487999</v>
      </c>
      <c r="D6" s="38">
        <v>22.749140893470798</v>
      </c>
      <c r="E6" s="38">
        <v>6.8728522336769807E-2</v>
      </c>
      <c r="F6" s="38">
        <v>0.756013745704467</v>
      </c>
    </row>
    <row r="7" spans="1:6">
      <c r="A7" s="37" t="s">
        <v>502</v>
      </c>
      <c r="B7" s="37" t="s">
        <v>7</v>
      </c>
      <c r="C7" s="38">
        <v>56.25</v>
      </c>
      <c r="D7" s="38">
        <v>38.451086956521699</v>
      </c>
      <c r="E7" s="38">
        <v>5.1630434782608701</v>
      </c>
      <c r="F7" s="38">
        <v>0.13586956521739099</v>
      </c>
    </row>
    <row r="8" spans="1:6">
      <c r="A8" s="37" t="s">
        <v>674</v>
      </c>
      <c r="B8" s="37" t="s">
        <v>8</v>
      </c>
      <c r="C8" s="38">
        <v>3.2169746748802202</v>
      </c>
      <c r="D8" s="38">
        <v>53.182751540041103</v>
      </c>
      <c r="E8" s="38">
        <v>43.189596167008901</v>
      </c>
      <c r="F8" s="38">
        <v>0.41067761806981501</v>
      </c>
    </row>
    <row r="9" spans="1:6">
      <c r="A9" s="37" t="s">
        <v>501</v>
      </c>
      <c r="B9" s="37" t="s">
        <v>9</v>
      </c>
      <c r="C9" s="38">
        <v>52.954375467464502</v>
      </c>
      <c r="D9" s="38">
        <v>45.100972326103197</v>
      </c>
      <c r="E9" s="38">
        <v>1.94465220643231</v>
      </c>
      <c r="F9" s="38">
        <v>0</v>
      </c>
    </row>
    <row r="10" spans="1:6">
      <c r="A10" s="37" t="s">
        <v>489</v>
      </c>
      <c r="B10" s="37" t="s">
        <v>10</v>
      </c>
      <c r="C10" s="38">
        <v>67.727272727272705</v>
      </c>
      <c r="D10" s="38">
        <v>28.181818181818201</v>
      </c>
      <c r="E10" s="38">
        <v>2.3863636363636398</v>
      </c>
      <c r="F10" s="38">
        <v>1.7045454545454499</v>
      </c>
    </row>
    <row r="11" spans="1:6">
      <c r="A11" s="37" t="s">
        <v>487</v>
      </c>
      <c r="B11" s="37" t="s">
        <v>11</v>
      </c>
      <c r="C11" s="38">
        <v>64.604236343366793</v>
      </c>
      <c r="D11" s="38">
        <v>35.005574136008903</v>
      </c>
      <c r="E11" s="38">
        <v>0.39018952062430301</v>
      </c>
      <c r="F11" s="38">
        <v>0</v>
      </c>
    </row>
    <row r="12" spans="1:6">
      <c r="A12" s="37" t="s">
        <v>491</v>
      </c>
      <c r="B12" s="37" t="s">
        <v>12</v>
      </c>
      <c r="C12" s="38">
        <v>58.453038674033202</v>
      </c>
      <c r="D12" s="38">
        <v>41.546961325966898</v>
      </c>
      <c r="E12" s="38">
        <v>0</v>
      </c>
      <c r="F12" s="38">
        <v>0</v>
      </c>
    </row>
    <row r="13" spans="1:6">
      <c r="A13" s="37" t="s">
        <v>643</v>
      </c>
      <c r="B13" s="37" t="s">
        <v>13</v>
      </c>
      <c r="C13" s="38">
        <v>7.6335877862595396</v>
      </c>
      <c r="D13" s="38">
        <v>74.809160305343497</v>
      </c>
      <c r="E13" s="38">
        <v>17.5572519083969</v>
      </c>
      <c r="F13" s="38">
        <v>0</v>
      </c>
    </row>
    <row r="14" spans="1:6">
      <c r="A14" s="37" t="s">
        <v>521</v>
      </c>
      <c r="B14" s="37" t="s">
        <v>522</v>
      </c>
      <c r="C14" s="38">
        <v>20.949720670391098</v>
      </c>
      <c r="D14" s="38">
        <v>77.374301675977605</v>
      </c>
      <c r="E14" s="38">
        <v>1.67597765363128</v>
      </c>
      <c r="F14" s="38">
        <v>0</v>
      </c>
    </row>
    <row r="15" spans="1:6">
      <c r="A15" s="37" t="s">
        <v>661</v>
      </c>
      <c r="B15" s="37" t="s">
        <v>15</v>
      </c>
      <c r="C15" s="38">
        <v>5.72320499479709</v>
      </c>
      <c r="D15" s="38">
        <v>63.371488033298697</v>
      </c>
      <c r="E15" s="38">
        <v>30.905306971904299</v>
      </c>
      <c r="F15" s="38">
        <v>0</v>
      </c>
    </row>
    <row r="16" spans="1:6">
      <c r="A16" s="37" t="s">
        <v>464</v>
      </c>
      <c r="B16" s="37" t="s">
        <v>16</v>
      </c>
      <c r="C16" s="38">
        <v>83.241150442477903</v>
      </c>
      <c r="D16" s="38">
        <v>16.675884955752199</v>
      </c>
      <c r="E16" s="38">
        <v>8.2964601769911495E-2</v>
      </c>
      <c r="F16" s="38">
        <v>0</v>
      </c>
    </row>
    <row r="17" spans="1:6">
      <c r="A17" s="37" t="s">
        <v>378</v>
      </c>
      <c r="B17" s="37" t="s">
        <v>17</v>
      </c>
      <c r="C17" s="38">
        <v>99.263764404609503</v>
      </c>
      <c r="D17" s="38">
        <v>0.67221510883482705</v>
      </c>
      <c r="E17" s="38">
        <v>6.4020486555697795E-2</v>
      </c>
      <c r="F17" s="38">
        <v>0</v>
      </c>
    </row>
    <row r="18" spans="1:6">
      <c r="A18" s="37" t="s">
        <v>758</v>
      </c>
      <c r="B18" s="37" t="s">
        <v>18</v>
      </c>
      <c r="C18" s="38">
        <v>5.25</v>
      </c>
      <c r="D18" s="38">
        <v>4.4166666666666696</v>
      </c>
      <c r="E18" s="38">
        <v>64.5</v>
      </c>
      <c r="F18" s="38">
        <v>25.8333333333333</v>
      </c>
    </row>
    <row r="19" spans="1:6">
      <c r="A19" s="37" t="s">
        <v>562</v>
      </c>
      <c r="B19" s="37" t="s">
        <v>19</v>
      </c>
      <c r="C19" s="38">
        <v>16.182572614107901</v>
      </c>
      <c r="D19" s="38">
        <v>73.9972337482711</v>
      </c>
      <c r="E19" s="38">
        <v>8.9903181189488208</v>
      </c>
      <c r="F19" s="38">
        <v>0.829875518672199</v>
      </c>
    </row>
    <row r="20" spans="1:6">
      <c r="A20" s="37" t="s">
        <v>481</v>
      </c>
      <c r="B20" s="37" t="s">
        <v>20</v>
      </c>
      <c r="C20" s="38">
        <v>74.864620938628093</v>
      </c>
      <c r="D20" s="38">
        <v>24.142599277978299</v>
      </c>
      <c r="E20" s="38">
        <v>0.99277978339350204</v>
      </c>
      <c r="F20" s="38">
        <v>0</v>
      </c>
    </row>
    <row r="21" spans="1:6">
      <c r="A21" s="37" t="s">
        <v>468</v>
      </c>
      <c r="B21" s="37" t="s">
        <v>21</v>
      </c>
      <c r="C21" s="38">
        <v>83.329277196398195</v>
      </c>
      <c r="D21" s="38">
        <v>14.8697980043806</v>
      </c>
      <c r="E21" s="38">
        <v>1.2168410805548799</v>
      </c>
      <c r="F21" s="38">
        <v>0.58408371866634201</v>
      </c>
    </row>
    <row r="22" spans="1:6">
      <c r="A22" s="37" t="s">
        <v>649</v>
      </c>
      <c r="B22" s="37" t="s">
        <v>22</v>
      </c>
      <c r="C22" s="38">
        <v>2.8277634961439602</v>
      </c>
      <c r="D22" s="38">
        <v>79.348757497857804</v>
      </c>
      <c r="E22" s="38">
        <v>17.823479005998301</v>
      </c>
      <c r="F22" s="38">
        <v>0</v>
      </c>
    </row>
    <row r="23" spans="1:6">
      <c r="A23" s="37" t="s">
        <v>477</v>
      </c>
      <c r="B23" s="37" t="s">
        <v>23</v>
      </c>
      <c r="C23" s="38">
        <v>80.155642023346303</v>
      </c>
      <c r="D23" s="38">
        <v>18.158236057068699</v>
      </c>
      <c r="E23" s="38">
        <v>1.6861219195849499</v>
      </c>
      <c r="F23" s="38">
        <v>0</v>
      </c>
    </row>
    <row r="24" spans="1:6">
      <c r="A24" s="37" t="s">
        <v>439</v>
      </c>
      <c r="B24" s="37" t="s">
        <v>24</v>
      </c>
      <c r="C24" s="38">
        <v>92.153679653679703</v>
      </c>
      <c r="D24" s="38">
        <v>6.4393939393939403</v>
      </c>
      <c r="E24" s="38">
        <v>1.40692640692641</v>
      </c>
      <c r="F24" s="38">
        <v>0</v>
      </c>
    </row>
    <row r="25" spans="1:6">
      <c r="A25" s="37" t="s">
        <v>448</v>
      </c>
      <c r="B25" s="37" t="s">
        <v>449</v>
      </c>
      <c r="C25" s="38">
        <v>90.489130434782595</v>
      </c>
      <c r="D25" s="38">
        <v>6.3858695652173898</v>
      </c>
      <c r="E25" s="38">
        <v>2.9891304347826102</v>
      </c>
      <c r="F25" s="38">
        <v>0.13586956521739099</v>
      </c>
    </row>
    <row r="26" spans="1:6">
      <c r="A26" s="37" t="s">
        <v>642</v>
      </c>
      <c r="B26" s="37" t="s">
        <v>26</v>
      </c>
      <c r="C26" s="38">
        <v>2.12765957446809</v>
      </c>
      <c r="D26" s="38">
        <v>86.968085106383</v>
      </c>
      <c r="E26" s="38">
        <v>10.807543520309499</v>
      </c>
      <c r="F26" s="38">
        <v>9.6711798839458393E-2</v>
      </c>
    </row>
    <row r="27" spans="1:6">
      <c r="A27" s="37" t="s">
        <v>640</v>
      </c>
      <c r="B27" s="37" t="s">
        <v>27</v>
      </c>
      <c r="C27" s="38">
        <v>2.82258064516129</v>
      </c>
      <c r="D27" s="38">
        <v>86.491935483871003</v>
      </c>
      <c r="E27" s="38">
        <v>10.685483870967699</v>
      </c>
      <c r="F27" s="38">
        <v>0</v>
      </c>
    </row>
    <row r="28" spans="1:6">
      <c r="A28" s="37" t="s">
        <v>406</v>
      </c>
      <c r="B28" s="37" t="s">
        <v>407</v>
      </c>
      <c r="C28" s="38">
        <v>95.798525798525802</v>
      </c>
      <c r="D28" s="38">
        <v>3.90663390663391</v>
      </c>
      <c r="E28" s="38">
        <v>0.294840294840295</v>
      </c>
      <c r="F28" s="38">
        <v>0</v>
      </c>
    </row>
    <row r="29" spans="1:6">
      <c r="A29" s="37" t="s">
        <v>691</v>
      </c>
      <c r="B29" s="37" t="s">
        <v>692</v>
      </c>
      <c r="C29" s="38">
        <v>2.1198830409356701</v>
      </c>
      <c r="D29" s="38">
        <v>29.751461988304101</v>
      </c>
      <c r="E29" s="38">
        <v>68.128654970760195</v>
      </c>
      <c r="F29" s="38">
        <v>0</v>
      </c>
    </row>
    <row r="30" spans="1:6">
      <c r="A30" s="37" t="s">
        <v>596</v>
      </c>
      <c r="B30" s="37" t="s">
        <v>597</v>
      </c>
      <c r="C30" s="38">
        <v>0.54203958149502096</v>
      </c>
      <c r="D30" s="38">
        <v>98.7016261187445</v>
      </c>
      <c r="E30" s="38">
        <v>0.75633429976049404</v>
      </c>
      <c r="F30" s="38">
        <v>0</v>
      </c>
    </row>
    <row r="31" spans="1:6">
      <c r="A31" s="37" t="s">
        <v>402</v>
      </c>
      <c r="B31" s="37" t="s">
        <v>403</v>
      </c>
      <c r="C31" s="38">
        <v>95.703301673450895</v>
      </c>
      <c r="D31" s="38">
        <v>4.2966983265490697</v>
      </c>
      <c r="E31" s="38">
        <v>0</v>
      </c>
      <c r="F31" s="38">
        <v>0</v>
      </c>
    </row>
    <row r="32" spans="1:6">
      <c r="A32" s="37" t="s">
        <v>603</v>
      </c>
      <c r="B32" s="37" t="s">
        <v>32</v>
      </c>
      <c r="C32" s="38">
        <v>6.19684082624544</v>
      </c>
      <c r="D32" s="38">
        <v>86.998784933171294</v>
      </c>
      <c r="E32" s="38">
        <v>6.8043742405832299</v>
      </c>
      <c r="F32" s="38">
        <v>0</v>
      </c>
    </row>
    <row r="33" spans="1:6">
      <c r="A33" s="37" t="s">
        <v>451</v>
      </c>
      <c r="B33" s="37" t="s">
        <v>33</v>
      </c>
      <c r="C33" s="38">
        <v>86.8333333333333</v>
      </c>
      <c r="D33" s="38">
        <v>12.5</v>
      </c>
      <c r="E33" s="38">
        <v>0.66666666666666696</v>
      </c>
      <c r="F33" s="38">
        <v>0</v>
      </c>
    </row>
    <row r="34" spans="1:6">
      <c r="A34" s="37" t="s">
        <v>379</v>
      </c>
      <c r="B34" s="37" t="s">
        <v>34</v>
      </c>
      <c r="C34" s="38">
        <v>98.623853211009205</v>
      </c>
      <c r="D34" s="38">
        <v>1.3761467889908301</v>
      </c>
      <c r="E34" s="38">
        <v>0</v>
      </c>
      <c r="F34" s="38">
        <v>0</v>
      </c>
    </row>
    <row r="35" spans="1:6">
      <c r="A35" s="37" t="s">
        <v>372</v>
      </c>
      <c r="B35" s="37" t="s">
        <v>35</v>
      </c>
      <c r="C35" s="38">
        <v>100</v>
      </c>
      <c r="D35" s="38">
        <v>0</v>
      </c>
      <c r="E35" s="38">
        <v>0</v>
      </c>
      <c r="F35" s="38">
        <v>0</v>
      </c>
    </row>
    <row r="36" spans="1:6">
      <c r="A36" s="37" t="s">
        <v>582</v>
      </c>
      <c r="B36" s="37" t="s">
        <v>36</v>
      </c>
      <c r="C36" s="38">
        <v>3.37381916329285</v>
      </c>
      <c r="D36" s="38">
        <v>95.276653171389995</v>
      </c>
      <c r="E36" s="38">
        <v>1.34952766531714</v>
      </c>
      <c r="F36" s="38">
        <v>0</v>
      </c>
    </row>
    <row r="37" spans="1:6">
      <c r="A37" s="37" t="s">
        <v>398</v>
      </c>
      <c r="B37" s="37" t="s">
        <v>399</v>
      </c>
      <c r="C37" s="38">
        <v>96.374622356495493</v>
      </c>
      <c r="D37" s="38">
        <v>3.62537764350453</v>
      </c>
      <c r="E37" s="38">
        <v>0</v>
      </c>
      <c r="F37" s="38">
        <v>0</v>
      </c>
    </row>
    <row r="38" spans="1:6">
      <c r="A38" s="37" t="s">
        <v>580</v>
      </c>
      <c r="B38" s="37" t="s">
        <v>38</v>
      </c>
      <c r="C38" s="38">
        <v>2.3529411764705901</v>
      </c>
      <c r="D38" s="38">
        <v>97.647058823529406</v>
      </c>
      <c r="E38" s="38">
        <v>0</v>
      </c>
      <c r="F38" s="38">
        <v>0</v>
      </c>
    </row>
    <row r="39" spans="1:6">
      <c r="A39" s="37" t="s">
        <v>586</v>
      </c>
      <c r="B39" s="37" t="s">
        <v>39</v>
      </c>
      <c r="C39" s="38">
        <v>1.5463917525773201</v>
      </c>
      <c r="D39" s="38">
        <v>98.453608247422693</v>
      </c>
      <c r="E39" s="38">
        <v>0</v>
      </c>
      <c r="F39" s="38">
        <v>0</v>
      </c>
    </row>
    <row r="40" spans="1:6">
      <c r="A40" s="37" t="s">
        <v>623</v>
      </c>
      <c r="B40" s="37" t="s">
        <v>40</v>
      </c>
      <c r="C40" s="38">
        <v>0</v>
      </c>
      <c r="D40" s="38">
        <v>96.774193548387103</v>
      </c>
      <c r="E40" s="38">
        <v>3.2258064516128999</v>
      </c>
      <c r="F40" s="38">
        <v>0</v>
      </c>
    </row>
    <row r="41" spans="1:6">
      <c r="A41" s="37" t="s">
        <v>476</v>
      </c>
      <c r="B41" s="37" t="s">
        <v>41</v>
      </c>
      <c r="C41" s="38">
        <v>78.571428571428598</v>
      </c>
      <c r="D41" s="38">
        <v>21.428571428571399</v>
      </c>
      <c r="E41" s="38">
        <v>0</v>
      </c>
      <c r="F41" s="38">
        <v>0</v>
      </c>
    </row>
    <row r="42" spans="1:6">
      <c r="A42" s="37" t="s">
        <v>587</v>
      </c>
      <c r="B42" s="37" t="s">
        <v>42</v>
      </c>
      <c r="C42" s="38">
        <v>2.8846153846153801</v>
      </c>
      <c r="D42" s="38">
        <v>95.592948717948701</v>
      </c>
      <c r="E42" s="38">
        <v>1.5224358974359</v>
      </c>
      <c r="F42" s="38">
        <v>0</v>
      </c>
    </row>
    <row r="43" spans="1:6">
      <c r="A43" s="37" t="s">
        <v>648</v>
      </c>
      <c r="B43" s="37" t="s">
        <v>43</v>
      </c>
      <c r="C43" s="38">
        <v>2.5102159953298302</v>
      </c>
      <c r="D43" s="38">
        <v>80.502043199065994</v>
      </c>
      <c r="E43" s="38">
        <v>16.987740805604201</v>
      </c>
      <c r="F43" s="38">
        <v>0</v>
      </c>
    </row>
    <row r="44" spans="1:6">
      <c r="A44" s="37" t="s">
        <v>510</v>
      </c>
      <c r="B44" s="37" t="s">
        <v>44</v>
      </c>
      <c r="C44" s="38">
        <v>39.500484966052397</v>
      </c>
      <c r="D44" s="38">
        <v>59.456838021338498</v>
      </c>
      <c r="E44" s="38">
        <v>1.04267701260912</v>
      </c>
      <c r="F44" s="38">
        <v>0</v>
      </c>
    </row>
    <row r="45" spans="1:6">
      <c r="A45" s="37" t="s">
        <v>657</v>
      </c>
      <c r="B45" s="37" t="s">
        <v>45</v>
      </c>
      <c r="C45" s="38">
        <v>4.0540540540540499</v>
      </c>
      <c r="D45" s="38">
        <v>72.200772200772207</v>
      </c>
      <c r="E45" s="38">
        <v>23.745173745173702</v>
      </c>
      <c r="F45" s="38">
        <v>0</v>
      </c>
    </row>
    <row r="46" spans="1:6">
      <c r="A46" s="37" t="s">
        <v>666</v>
      </c>
      <c r="B46" s="37" t="s">
        <v>46</v>
      </c>
      <c r="C46" s="38">
        <v>2.6433230346721599</v>
      </c>
      <c r="D46" s="38">
        <v>61.242705115001698</v>
      </c>
      <c r="E46" s="38">
        <v>36.113971850326102</v>
      </c>
      <c r="F46" s="38">
        <v>0</v>
      </c>
    </row>
    <row r="47" spans="1:6">
      <c r="A47" s="37" t="s">
        <v>459</v>
      </c>
      <c r="B47" s="37" t="s">
        <v>47</v>
      </c>
      <c r="C47" s="38">
        <v>85.384615384615401</v>
      </c>
      <c r="D47" s="38">
        <v>13.846153846153801</v>
      </c>
      <c r="E47" s="38">
        <v>0.76923076923076905</v>
      </c>
      <c r="F47" s="38">
        <v>0</v>
      </c>
    </row>
    <row r="48" spans="1:6">
      <c r="A48" s="37" t="s">
        <v>551</v>
      </c>
      <c r="B48" s="37" t="s">
        <v>48</v>
      </c>
      <c r="C48" s="38">
        <v>8.3333333333333304</v>
      </c>
      <c r="D48" s="38">
        <v>91.6666666666667</v>
      </c>
      <c r="E48" s="38">
        <v>0</v>
      </c>
      <c r="F48" s="38">
        <v>0</v>
      </c>
    </row>
    <row r="49" spans="1:6">
      <c r="A49" s="37" t="s">
        <v>610</v>
      </c>
      <c r="B49" s="37" t="s">
        <v>611</v>
      </c>
      <c r="C49" s="38">
        <v>0.625</v>
      </c>
      <c r="D49" s="38">
        <v>97.5</v>
      </c>
      <c r="E49" s="38">
        <v>1.875</v>
      </c>
      <c r="F49" s="38">
        <v>0</v>
      </c>
    </row>
    <row r="50" spans="1:6">
      <c r="A50" s="37" t="s">
        <v>568</v>
      </c>
      <c r="B50" s="37" t="s">
        <v>50</v>
      </c>
      <c r="C50" s="38">
        <v>5.31914893617021</v>
      </c>
      <c r="D50" s="38">
        <v>93.351063829787194</v>
      </c>
      <c r="E50" s="38">
        <v>1.3297872340425501</v>
      </c>
      <c r="F50" s="38">
        <v>0</v>
      </c>
    </row>
    <row r="51" spans="1:6">
      <c r="A51" s="37" t="s">
        <v>638</v>
      </c>
      <c r="B51" s="37" t="s">
        <v>51</v>
      </c>
      <c r="C51" s="38">
        <v>3.9617486338797798</v>
      </c>
      <c r="D51" s="38">
        <v>86.065573770491795</v>
      </c>
      <c r="E51" s="38">
        <v>9.5628415300546408</v>
      </c>
      <c r="F51" s="38">
        <v>0.409836065573771</v>
      </c>
    </row>
    <row r="52" spans="1:6">
      <c r="A52" s="37" t="s">
        <v>460</v>
      </c>
      <c r="B52" s="37" t="s">
        <v>461</v>
      </c>
      <c r="C52" s="38">
        <v>86.585365853658502</v>
      </c>
      <c r="D52" s="38">
        <v>10.975609756097599</v>
      </c>
      <c r="E52" s="38">
        <v>2.4390243902439002</v>
      </c>
      <c r="F52" s="38">
        <v>0</v>
      </c>
    </row>
    <row r="53" spans="1:6">
      <c r="A53" s="37" t="s">
        <v>594</v>
      </c>
      <c r="B53" s="37" t="s">
        <v>53</v>
      </c>
      <c r="C53" s="38">
        <v>0</v>
      </c>
      <c r="D53" s="38">
        <v>100</v>
      </c>
      <c r="E53" s="38">
        <v>0</v>
      </c>
      <c r="F53" s="38">
        <v>0</v>
      </c>
    </row>
    <row r="54" spans="1:6">
      <c r="A54" s="37" t="s">
        <v>442</v>
      </c>
      <c r="B54" s="37" t="s">
        <v>54</v>
      </c>
      <c r="C54" s="38">
        <v>89.130434782608702</v>
      </c>
      <c r="D54" s="38">
        <v>10.869565217391299</v>
      </c>
      <c r="E54" s="38">
        <v>0</v>
      </c>
      <c r="F54" s="38">
        <v>0</v>
      </c>
    </row>
    <row r="55" spans="1:6">
      <c r="A55" s="37" t="s">
        <v>662</v>
      </c>
      <c r="B55" s="37" t="s">
        <v>55</v>
      </c>
      <c r="C55" s="38">
        <v>3.8571428571428599</v>
      </c>
      <c r="D55" s="38">
        <v>67.142857142857096</v>
      </c>
      <c r="E55" s="38">
        <v>28.285714285714299</v>
      </c>
      <c r="F55" s="38">
        <v>0.71428571428571397</v>
      </c>
    </row>
    <row r="56" spans="1:6">
      <c r="A56" s="37" t="s">
        <v>654</v>
      </c>
      <c r="B56" s="37" t="s">
        <v>56</v>
      </c>
      <c r="C56" s="38">
        <v>2.5670945157526299</v>
      </c>
      <c r="D56" s="38">
        <v>77.246207701283495</v>
      </c>
      <c r="E56" s="38">
        <v>20.186697782963801</v>
      </c>
      <c r="F56" s="38">
        <v>0</v>
      </c>
    </row>
    <row r="57" spans="1:6">
      <c r="A57" s="37" t="s">
        <v>644</v>
      </c>
      <c r="B57" s="37" t="s">
        <v>57</v>
      </c>
      <c r="C57" s="38">
        <v>0</v>
      </c>
      <c r="D57" s="38">
        <v>89.849624060150404</v>
      </c>
      <c r="E57" s="38">
        <v>10.150375939849599</v>
      </c>
      <c r="F57" s="38">
        <v>0</v>
      </c>
    </row>
    <row r="58" spans="1:6">
      <c r="A58" s="37" t="s">
        <v>482</v>
      </c>
      <c r="B58" s="37" t="s">
        <v>58</v>
      </c>
      <c r="C58" s="38">
        <v>74.133723767691606</v>
      </c>
      <c r="D58" s="38">
        <v>24.7925817471938</v>
      </c>
      <c r="E58" s="38">
        <v>1.0736944851146899</v>
      </c>
      <c r="F58" s="38">
        <v>0</v>
      </c>
    </row>
    <row r="59" spans="1:6">
      <c r="A59" s="37" t="s">
        <v>469</v>
      </c>
      <c r="B59" s="37" t="s">
        <v>59</v>
      </c>
      <c r="C59" s="38">
        <v>81.202811767768793</v>
      </c>
      <c r="D59" s="38">
        <v>18.198385837021601</v>
      </c>
      <c r="E59" s="38">
        <v>0.59880239520958101</v>
      </c>
      <c r="F59" s="38">
        <v>0</v>
      </c>
    </row>
    <row r="60" spans="1:6">
      <c r="A60" s="37" t="s">
        <v>651</v>
      </c>
      <c r="B60" s="37" t="s">
        <v>60</v>
      </c>
      <c r="C60" s="38">
        <v>6.4977973568281904</v>
      </c>
      <c r="D60" s="38">
        <v>70.2643171806167</v>
      </c>
      <c r="E60" s="38">
        <v>23.237885462555099</v>
      </c>
      <c r="F60" s="38">
        <v>0</v>
      </c>
    </row>
    <row r="61" spans="1:6">
      <c r="A61" s="37" t="s">
        <v>673</v>
      </c>
      <c r="B61" s="37" t="s">
        <v>61</v>
      </c>
      <c r="C61" s="38">
        <v>2.72108843537415</v>
      </c>
      <c r="D61" s="38">
        <v>54.421768707482997</v>
      </c>
      <c r="E61" s="38">
        <v>42.857142857142897</v>
      </c>
      <c r="F61" s="38">
        <v>0</v>
      </c>
    </row>
    <row r="62" spans="1:6">
      <c r="A62" s="37" t="s">
        <v>488</v>
      </c>
      <c r="B62" s="37" t="s">
        <v>62</v>
      </c>
      <c r="C62" s="38">
        <v>63.7931034482759</v>
      </c>
      <c r="D62" s="38">
        <v>35.344827586206897</v>
      </c>
      <c r="E62" s="38">
        <v>0.86206896551724099</v>
      </c>
      <c r="F62" s="38">
        <v>0</v>
      </c>
    </row>
    <row r="63" spans="1:6">
      <c r="A63" s="37" t="s">
        <v>463</v>
      </c>
      <c r="B63" s="37" t="s">
        <v>63</v>
      </c>
      <c r="C63" s="38">
        <v>83.221476510067106</v>
      </c>
      <c r="D63" s="38">
        <v>16.778523489932901</v>
      </c>
      <c r="E63" s="38">
        <v>0</v>
      </c>
      <c r="F63" s="38">
        <v>0</v>
      </c>
    </row>
    <row r="64" spans="1:6">
      <c r="A64" s="37" t="s">
        <v>446</v>
      </c>
      <c r="B64" s="37" t="s">
        <v>64</v>
      </c>
      <c r="C64" s="38">
        <v>88.690842040565499</v>
      </c>
      <c r="D64" s="38">
        <v>11.1247695144438</v>
      </c>
      <c r="E64" s="38">
        <v>0.184388444990781</v>
      </c>
      <c r="F64" s="38">
        <v>0</v>
      </c>
    </row>
    <row r="65" spans="1:6">
      <c r="A65" s="37" t="s">
        <v>677</v>
      </c>
      <c r="B65" s="37" t="s">
        <v>65</v>
      </c>
      <c r="C65" s="38">
        <v>3.7648612945838802</v>
      </c>
      <c r="D65" s="38">
        <v>48.877146631439899</v>
      </c>
      <c r="E65" s="38">
        <v>47.357992073976199</v>
      </c>
      <c r="F65" s="38">
        <v>0</v>
      </c>
    </row>
    <row r="66" spans="1:6">
      <c r="A66" s="37" t="s">
        <v>614</v>
      </c>
      <c r="B66" s="37" t="s">
        <v>66</v>
      </c>
      <c r="C66" s="38">
        <v>1.36777060334653</v>
      </c>
      <c r="D66" s="38">
        <v>95.743942234256707</v>
      </c>
      <c r="E66" s="38">
        <v>2.8882871623967201</v>
      </c>
      <c r="F66" s="38">
        <v>0</v>
      </c>
    </row>
    <row r="67" spans="1:6">
      <c r="A67" s="37" t="s">
        <v>637</v>
      </c>
      <c r="B67" s="37" t="s">
        <v>67</v>
      </c>
      <c r="C67" s="38">
        <v>4.1067761806981497E-2</v>
      </c>
      <c r="D67" s="38">
        <v>93.593429158110894</v>
      </c>
      <c r="E67" s="38">
        <v>6.3655030800821404</v>
      </c>
      <c r="F67" s="38">
        <v>0</v>
      </c>
    </row>
    <row r="68" spans="1:6">
      <c r="A68" s="37" t="s">
        <v>396</v>
      </c>
      <c r="B68" s="37" t="s">
        <v>68</v>
      </c>
      <c r="C68" s="38">
        <v>96.767241379310306</v>
      </c>
      <c r="D68" s="38">
        <v>3.125</v>
      </c>
      <c r="E68" s="38">
        <v>0.107758620689655</v>
      </c>
      <c r="F68" s="38">
        <v>0</v>
      </c>
    </row>
    <row r="69" spans="1:6">
      <c r="A69" s="37" t="s">
        <v>570</v>
      </c>
      <c r="B69" s="37" t="s">
        <v>571</v>
      </c>
      <c r="C69" s="38">
        <v>3.6082474226804102</v>
      </c>
      <c r="D69" s="38">
        <v>96.391752577319593</v>
      </c>
      <c r="E69" s="38">
        <v>0</v>
      </c>
      <c r="F69" s="38">
        <v>0</v>
      </c>
    </row>
    <row r="70" spans="1:6">
      <c r="A70" s="37" t="s">
        <v>556</v>
      </c>
      <c r="B70" s="37" t="s">
        <v>557</v>
      </c>
      <c r="C70" s="38">
        <v>7.7889447236180898</v>
      </c>
      <c r="D70" s="38">
        <v>90.954773869346695</v>
      </c>
      <c r="E70" s="38">
        <v>1.25628140703518</v>
      </c>
      <c r="F70" s="38">
        <v>0</v>
      </c>
    </row>
    <row r="71" spans="1:6">
      <c r="A71" s="37" t="s">
        <v>400</v>
      </c>
      <c r="B71" s="37" t="s">
        <v>71</v>
      </c>
      <c r="C71" s="38">
        <v>96.202531645569593</v>
      </c>
      <c r="D71" s="38">
        <v>3.79746835443038</v>
      </c>
      <c r="E71" s="38">
        <v>0</v>
      </c>
      <c r="F71" s="38">
        <v>0</v>
      </c>
    </row>
    <row r="72" spans="1:6">
      <c r="A72" s="37" t="s">
        <v>413</v>
      </c>
      <c r="B72" s="37" t="s">
        <v>414</v>
      </c>
      <c r="C72" s="38">
        <v>95.025188916876601</v>
      </c>
      <c r="D72" s="38">
        <v>4.7858942065491199</v>
      </c>
      <c r="E72" s="38">
        <v>0.188916876574307</v>
      </c>
      <c r="F72" s="38">
        <v>0</v>
      </c>
    </row>
    <row r="73" spans="1:6">
      <c r="A73" s="37" t="s">
        <v>567</v>
      </c>
      <c r="B73" s="37" t="s">
        <v>73</v>
      </c>
      <c r="C73" s="38">
        <v>4.1208791208791196</v>
      </c>
      <c r="D73" s="38">
        <v>95.787545787545795</v>
      </c>
      <c r="E73" s="38">
        <v>9.1575091575091597E-2</v>
      </c>
      <c r="F73" s="38">
        <v>0</v>
      </c>
    </row>
    <row r="74" spans="1:6">
      <c r="A74" s="37" t="s">
        <v>595</v>
      </c>
      <c r="B74" s="37" t="s">
        <v>74</v>
      </c>
      <c r="C74" s="38">
        <v>0</v>
      </c>
      <c r="D74" s="38">
        <v>100</v>
      </c>
      <c r="E74" s="38">
        <v>0</v>
      </c>
      <c r="F74" s="38">
        <v>0</v>
      </c>
    </row>
    <row r="75" spans="1:6">
      <c r="A75" s="37" t="s">
        <v>497</v>
      </c>
      <c r="B75" s="37" t="s">
        <v>75</v>
      </c>
      <c r="C75" s="38">
        <v>54.684512428298298</v>
      </c>
      <c r="D75" s="38">
        <v>43.785850860420702</v>
      </c>
      <c r="E75" s="38">
        <v>1.52963671128107</v>
      </c>
      <c r="F75" s="38">
        <v>0</v>
      </c>
    </row>
    <row r="76" spans="1:6">
      <c r="A76" s="37" t="s">
        <v>454</v>
      </c>
      <c r="B76" s="37" t="s">
        <v>76</v>
      </c>
      <c r="C76" s="38">
        <v>85.904550499445094</v>
      </c>
      <c r="D76" s="38">
        <v>13.762486126526101</v>
      </c>
      <c r="E76" s="38">
        <v>0.33296337402885701</v>
      </c>
      <c r="F76" s="38">
        <v>0</v>
      </c>
    </row>
    <row r="77" spans="1:6">
      <c r="A77" s="37" t="s">
        <v>659</v>
      </c>
      <c r="B77" s="37" t="s">
        <v>77</v>
      </c>
      <c r="C77" s="38">
        <v>6.1194029850746299</v>
      </c>
      <c r="D77" s="38">
        <v>63.731343283582099</v>
      </c>
      <c r="E77" s="38">
        <v>30.1492537313433</v>
      </c>
      <c r="F77" s="38">
        <v>0</v>
      </c>
    </row>
    <row r="78" spans="1:6">
      <c r="A78" s="37" t="s">
        <v>492</v>
      </c>
      <c r="B78" s="37" t="s">
        <v>78</v>
      </c>
      <c r="C78" s="38">
        <v>58.75</v>
      </c>
      <c r="D78" s="38">
        <v>39.75</v>
      </c>
      <c r="E78" s="38">
        <v>1.5</v>
      </c>
      <c r="F78" s="38">
        <v>0</v>
      </c>
    </row>
    <row r="79" spans="1:6">
      <c r="A79" s="37" t="s">
        <v>624</v>
      </c>
      <c r="B79" s="37" t="s">
        <v>79</v>
      </c>
      <c r="C79" s="38">
        <v>2.2193211488250699</v>
      </c>
      <c r="D79" s="38">
        <v>92.167101827676206</v>
      </c>
      <c r="E79" s="38">
        <v>5.6135770234986904</v>
      </c>
      <c r="F79" s="38">
        <v>0</v>
      </c>
    </row>
    <row r="80" spans="1:6">
      <c r="A80" s="37" t="s">
        <v>601</v>
      </c>
      <c r="B80" s="37" t="s">
        <v>80</v>
      </c>
      <c r="C80" s="38">
        <v>1.81347150259067</v>
      </c>
      <c r="D80" s="38">
        <v>95.941278065630399</v>
      </c>
      <c r="E80" s="38">
        <v>2.2452504317789299</v>
      </c>
      <c r="F80" s="38">
        <v>0</v>
      </c>
    </row>
    <row r="81" spans="1:6">
      <c r="A81" s="37" t="s">
        <v>600</v>
      </c>
      <c r="B81" s="37" t="s">
        <v>81</v>
      </c>
      <c r="C81" s="38">
        <v>4.10583941605839</v>
      </c>
      <c r="D81" s="38">
        <v>91.423357664233606</v>
      </c>
      <c r="E81" s="38">
        <v>4.4708029197080297</v>
      </c>
      <c r="F81" s="38">
        <v>0</v>
      </c>
    </row>
    <row r="82" spans="1:6">
      <c r="A82" s="37" t="s">
        <v>433</v>
      </c>
      <c r="B82" s="37" t="s">
        <v>82</v>
      </c>
      <c r="C82" s="38">
        <v>91.740787801778893</v>
      </c>
      <c r="D82" s="38">
        <v>8.2592121982210909</v>
      </c>
      <c r="E82" s="38">
        <v>0</v>
      </c>
      <c r="F82" s="38">
        <v>0</v>
      </c>
    </row>
    <row r="83" spans="1:6">
      <c r="A83" s="37" t="s">
        <v>498</v>
      </c>
      <c r="B83" s="37" t="s">
        <v>83</v>
      </c>
      <c r="C83" s="38">
        <v>54.826958105646597</v>
      </c>
      <c r="D83" s="38">
        <v>42.622950819672099</v>
      </c>
      <c r="E83" s="38">
        <v>2.55009107468124</v>
      </c>
      <c r="F83" s="38">
        <v>0</v>
      </c>
    </row>
    <row r="84" spans="1:6">
      <c r="A84" s="37" t="s">
        <v>627</v>
      </c>
      <c r="B84" s="37" t="s">
        <v>84</v>
      </c>
      <c r="C84" s="38">
        <v>2.2900763358778602</v>
      </c>
      <c r="D84" s="38">
        <v>91.1668484187568</v>
      </c>
      <c r="E84" s="38">
        <v>6.54307524536532</v>
      </c>
      <c r="F84" s="38">
        <v>0</v>
      </c>
    </row>
    <row r="85" spans="1:6">
      <c r="A85" s="37" t="s">
        <v>490</v>
      </c>
      <c r="B85" s="37" t="s">
        <v>85</v>
      </c>
      <c r="C85" s="38">
        <v>59.322033898305101</v>
      </c>
      <c r="D85" s="38">
        <v>40.677966101694899</v>
      </c>
      <c r="E85" s="38">
        <v>0</v>
      </c>
      <c r="F85" s="38">
        <v>0</v>
      </c>
    </row>
    <row r="86" spans="1:6">
      <c r="A86" s="37" t="s">
        <v>670</v>
      </c>
      <c r="B86" s="37" t="s">
        <v>86</v>
      </c>
      <c r="C86" s="38">
        <v>2.3054755043227702</v>
      </c>
      <c r="D86" s="38">
        <v>60.806916426512998</v>
      </c>
      <c r="E86" s="38">
        <v>36.887608069164301</v>
      </c>
      <c r="F86" s="38">
        <v>0</v>
      </c>
    </row>
    <row r="87" spans="1:6">
      <c r="A87" s="37" t="s">
        <v>590</v>
      </c>
      <c r="B87" s="37" t="s">
        <v>87</v>
      </c>
      <c r="C87" s="38">
        <v>2.7553763440860202</v>
      </c>
      <c r="D87" s="38">
        <v>94.623655913978496</v>
      </c>
      <c r="E87" s="38">
        <v>2.62096774193548</v>
      </c>
      <c r="F87" s="38">
        <v>0</v>
      </c>
    </row>
    <row r="88" spans="1:6">
      <c r="A88" s="37" t="s">
        <v>465</v>
      </c>
      <c r="B88" s="37" t="s">
        <v>88</v>
      </c>
      <c r="C88" s="38">
        <v>83.486238532110093</v>
      </c>
      <c r="D88" s="38">
        <v>15.4434250764526</v>
      </c>
      <c r="E88" s="38">
        <v>1.0703363914373101</v>
      </c>
      <c r="F88" s="38">
        <v>0</v>
      </c>
    </row>
    <row r="89" spans="1:6">
      <c r="A89" s="37" t="s">
        <v>401</v>
      </c>
      <c r="B89" s="37" t="s">
        <v>89</v>
      </c>
      <c r="C89" s="38">
        <v>96.512509476876403</v>
      </c>
      <c r="D89" s="38">
        <v>2.7546120798584801</v>
      </c>
      <c r="E89" s="38">
        <v>0.73287844326509999</v>
      </c>
      <c r="F89" s="38">
        <v>0</v>
      </c>
    </row>
    <row r="90" spans="1:6">
      <c r="A90" s="37" t="s">
        <v>500</v>
      </c>
      <c r="B90" s="37" t="s">
        <v>90</v>
      </c>
      <c r="C90" s="38">
        <v>51.607501674480901</v>
      </c>
      <c r="D90" s="38">
        <v>48.124581379772302</v>
      </c>
      <c r="E90" s="38">
        <v>0.26791694574681801</v>
      </c>
      <c r="F90" s="38">
        <v>0</v>
      </c>
    </row>
    <row r="91" spans="1:6">
      <c r="A91" s="37" t="s">
        <v>409</v>
      </c>
      <c r="B91" s="37" t="s">
        <v>91</v>
      </c>
      <c r="C91" s="38">
        <v>95.623632385120303</v>
      </c>
      <c r="D91" s="38">
        <v>4.0846097738876699</v>
      </c>
      <c r="E91" s="38">
        <v>0.29175784099197699</v>
      </c>
      <c r="F91" s="38">
        <v>0</v>
      </c>
    </row>
    <row r="92" spans="1:6">
      <c r="A92" s="37" t="s">
        <v>386</v>
      </c>
      <c r="B92" s="37" t="s">
        <v>92</v>
      </c>
      <c r="C92" s="38">
        <v>97.665369649805399</v>
      </c>
      <c r="D92" s="38">
        <v>2.33463035019455</v>
      </c>
      <c r="E92" s="38">
        <v>0</v>
      </c>
      <c r="F92" s="38">
        <v>0</v>
      </c>
    </row>
    <row r="93" spans="1:6">
      <c r="A93" s="37" t="s">
        <v>565</v>
      </c>
      <c r="B93" s="37" t="s">
        <v>93</v>
      </c>
      <c r="C93" s="38">
        <v>8.3818393480791595</v>
      </c>
      <c r="D93" s="38">
        <v>88.474970896391099</v>
      </c>
      <c r="E93" s="38">
        <v>3.1431897555296899</v>
      </c>
      <c r="F93" s="38">
        <v>0</v>
      </c>
    </row>
    <row r="94" spans="1:6">
      <c r="A94" s="37" t="s">
        <v>528</v>
      </c>
      <c r="B94" s="37" t="s">
        <v>94</v>
      </c>
      <c r="C94" s="38">
        <v>17.5</v>
      </c>
      <c r="D94" s="38">
        <v>82.5</v>
      </c>
      <c r="E94" s="38">
        <v>0</v>
      </c>
      <c r="F94" s="38">
        <v>0</v>
      </c>
    </row>
    <row r="95" spans="1:6">
      <c r="A95" s="37" t="s">
        <v>420</v>
      </c>
      <c r="B95" s="37" t="s">
        <v>421</v>
      </c>
      <c r="C95" s="38">
        <v>94.782140935987101</v>
      </c>
      <c r="D95" s="38">
        <v>3.9268423883808499</v>
      </c>
      <c r="E95" s="38">
        <v>1.29101667563206</v>
      </c>
      <c r="F95" s="38">
        <v>0</v>
      </c>
    </row>
    <row r="96" spans="1:6">
      <c r="A96" s="37" t="s">
        <v>531</v>
      </c>
      <c r="B96" s="37" t="s">
        <v>96</v>
      </c>
      <c r="C96" s="38">
        <v>18.927444794952699</v>
      </c>
      <c r="D96" s="38">
        <v>77.4973711882229</v>
      </c>
      <c r="E96" s="38">
        <v>3.5751840168243998</v>
      </c>
      <c r="F96" s="38">
        <v>0</v>
      </c>
    </row>
    <row r="97" spans="1:6">
      <c r="A97" s="37" t="s">
        <v>664</v>
      </c>
      <c r="B97" s="37" t="s">
        <v>97</v>
      </c>
      <c r="C97" s="38">
        <v>8.16</v>
      </c>
      <c r="D97" s="38">
        <v>51.2</v>
      </c>
      <c r="E97" s="38">
        <v>40.64</v>
      </c>
      <c r="F97" s="38">
        <v>0</v>
      </c>
    </row>
    <row r="98" spans="1:6">
      <c r="A98" s="37" t="s">
        <v>555</v>
      </c>
      <c r="B98" s="37" t="s">
        <v>98</v>
      </c>
      <c r="C98" s="38">
        <v>7.7922077922077904</v>
      </c>
      <c r="D98" s="38">
        <v>91.094619666048203</v>
      </c>
      <c r="E98" s="38">
        <v>1.11317254174397</v>
      </c>
      <c r="F98" s="38">
        <v>0</v>
      </c>
    </row>
    <row r="99" spans="1:6">
      <c r="A99" s="37" t="s">
        <v>436</v>
      </c>
      <c r="B99" s="37" t="s">
        <v>99</v>
      </c>
      <c r="C99" s="38">
        <v>93.385826771653498</v>
      </c>
      <c r="D99" s="38">
        <v>4.4094488188976397</v>
      </c>
      <c r="E99" s="38">
        <v>2.2047244094488199</v>
      </c>
      <c r="F99" s="38">
        <v>0</v>
      </c>
    </row>
    <row r="100" spans="1:6">
      <c r="A100" s="37" t="s">
        <v>444</v>
      </c>
      <c r="B100" s="37" t="s">
        <v>100</v>
      </c>
      <c r="C100" s="38">
        <v>89.873417721519004</v>
      </c>
      <c r="D100" s="38">
        <v>9.1139240506329102</v>
      </c>
      <c r="E100" s="38">
        <v>1.0126582278481</v>
      </c>
      <c r="F100" s="38">
        <v>0</v>
      </c>
    </row>
    <row r="101" spans="1:6">
      <c r="A101" s="37" t="s">
        <v>479</v>
      </c>
      <c r="B101" s="37" t="s">
        <v>101</v>
      </c>
      <c r="C101" s="38">
        <v>77.142857142857196</v>
      </c>
      <c r="D101" s="38">
        <v>22.1428571428571</v>
      </c>
      <c r="E101" s="38">
        <v>0.71428571428571397</v>
      </c>
      <c r="F101" s="38">
        <v>0</v>
      </c>
    </row>
    <row r="102" spans="1:6">
      <c r="A102" s="37" t="s">
        <v>573</v>
      </c>
      <c r="B102" s="37" t="s">
        <v>102</v>
      </c>
      <c r="C102" s="38">
        <v>4</v>
      </c>
      <c r="D102" s="38">
        <v>95.2340425531915</v>
      </c>
      <c r="E102" s="38">
        <v>0.76595744680851097</v>
      </c>
      <c r="F102" s="38">
        <v>0</v>
      </c>
    </row>
    <row r="103" spans="1:6">
      <c r="A103" s="37" t="s">
        <v>579</v>
      </c>
      <c r="B103" s="37" t="s">
        <v>103</v>
      </c>
      <c r="C103" s="38">
        <v>4.0660736975857699</v>
      </c>
      <c r="D103" s="38">
        <v>94.282083862769994</v>
      </c>
      <c r="E103" s="38">
        <v>1.65184243964422</v>
      </c>
      <c r="F103" s="38">
        <v>0</v>
      </c>
    </row>
    <row r="104" spans="1:6">
      <c r="A104" s="37" t="s">
        <v>699</v>
      </c>
      <c r="B104" s="37" t="s">
        <v>700</v>
      </c>
      <c r="C104" s="38">
        <v>8.3400591875168101E-2</v>
      </c>
      <c r="D104" s="38">
        <v>28.509550712940499</v>
      </c>
      <c r="E104" s="38">
        <v>71.407048695184301</v>
      </c>
      <c r="F104" s="38">
        <v>0</v>
      </c>
    </row>
    <row r="105" spans="1:6">
      <c r="A105" s="37" t="s">
        <v>507</v>
      </c>
      <c r="B105" s="37" t="s">
        <v>105</v>
      </c>
      <c r="C105" s="38">
        <v>40.230252638311498</v>
      </c>
      <c r="D105" s="38">
        <v>58.458586504636997</v>
      </c>
      <c r="E105" s="38">
        <v>1.3111608570514901</v>
      </c>
      <c r="F105" s="38">
        <v>0</v>
      </c>
    </row>
    <row r="106" spans="1:6">
      <c r="A106" s="37" t="s">
        <v>467</v>
      </c>
      <c r="B106" s="37" t="s">
        <v>106</v>
      </c>
      <c r="C106" s="38">
        <v>82.205029013539701</v>
      </c>
      <c r="D106" s="38">
        <v>16.595744680851102</v>
      </c>
      <c r="E106" s="38">
        <v>1.19922630560928</v>
      </c>
      <c r="F106" s="38">
        <v>0</v>
      </c>
    </row>
    <row r="107" spans="1:6">
      <c r="A107" s="37" t="s">
        <v>558</v>
      </c>
      <c r="B107" s="37" t="s">
        <v>107</v>
      </c>
      <c r="C107" s="38">
        <v>7.1641791044776104</v>
      </c>
      <c r="D107" s="38">
        <v>92.089552238805993</v>
      </c>
      <c r="E107" s="38">
        <v>0.74626865671641796</v>
      </c>
      <c r="F107" s="38">
        <v>0</v>
      </c>
    </row>
    <row r="108" spans="1:6">
      <c r="A108" s="37" t="s">
        <v>581</v>
      </c>
      <c r="B108" s="37" t="s">
        <v>108</v>
      </c>
      <c r="C108" s="38">
        <v>2.0618556701030899</v>
      </c>
      <c r="D108" s="38">
        <v>97.9381443298969</v>
      </c>
      <c r="E108" s="38">
        <v>0</v>
      </c>
      <c r="F108" s="38">
        <v>0</v>
      </c>
    </row>
    <row r="109" spans="1:6">
      <c r="A109" s="37" t="s">
        <v>395</v>
      </c>
      <c r="B109" s="37" t="s">
        <v>109</v>
      </c>
      <c r="C109" s="38">
        <v>96.875</v>
      </c>
      <c r="D109" s="38">
        <v>3.125</v>
      </c>
      <c r="E109" s="38">
        <v>0</v>
      </c>
      <c r="F109" s="38">
        <v>0</v>
      </c>
    </row>
    <row r="110" spans="1:6">
      <c r="A110" s="37" t="s">
        <v>441</v>
      </c>
      <c r="B110" s="37" t="s">
        <v>110</v>
      </c>
      <c r="C110" s="38">
        <v>90</v>
      </c>
      <c r="D110" s="38">
        <v>10</v>
      </c>
      <c r="E110" s="38">
        <v>0</v>
      </c>
      <c r="F110" s="38">
        <v>0</v>
      </c>
    </row>
    <row r="111" spans="1:6">
      <c r="A111" s="37" t="s">
        <v>741</v>
      </c>
      <c r="B111" s="37" t="s">
        <v>111</v>
      </c>
      <c r="C111" s="38">
        <v>0</v>
      </c>
      <c r="D111" s="38">
        <v>4.9425287356321803</v>
      </c>
      <c r="E111" s="38">
        <v>95.057471264367805</v>
      </c>
      <c r="F111" s="38">
        <v>0</v>
      </c>
    </row>
    <row r="112" spans="1:6">
      <c r="A112" s="37" t="s">
        <v>735</v>
      </c>
      <c r="B112" s="37" t="s">
        <v>112</v>
      </c>
      <c r="C112" s="38">
        <v>0.95744680851063801</v>
      </c>
      <c r="D112" s="38">
        <v>5.2127659574468099</v>
      </c>
      <c r="E112" s="38">
        <v>93.829787234042598</v>
      </c>
      <c r="F112" s="38">
        <v>0</v>
      </c>
    </row>
    <row r="113" spans="1:6">
      <c r="A113" s="37" t="s">
        <v>721</v>
      </c>
      <c r="B113" s="37" t="s">
        <v>113</v>
      </c>
      <c r="C113" s="38">
        <v>0</v>
      </c>
      <c r="D113" s="38">
        <v>11.638954869358701</v>
      </c>
      <c r="E113" s="38">
        <v>88.361045130641301</v>
      </c>
      <c r="F113" s="38">
        <v>0</v>
      </c>
    </row>
    <row r="114" spans="1:6">
      <c r="A114" s="37" t="s">
        <v>650</v>
      </c>
      <c r="B114" s="37" t="s">
        <v>114</v>
      </c>
      <c r="C114" s="38">
        <v>4.0374909877433298</v>
      </c>
      <c r="D114" s="38">
        <v>76.207642393655405</v>
      </c>
      <c r="E114" s="38">
        <v>19.754866618601302</v>
      </c>
      <c r="F114" s="38">
        <v>0</v>
      </c>
    </row>
    <row r="115" spans="1:6">
      <c r="A115" s="37" t="s">
        <v>418</v>
      </c>
      <c r="B115" s="37" t="s">
        <v>115</v>
      </c>
      <c r="C115" s="38">
        <v>94.4664031620553</v>
      </c>
      <c r="D115" s="38">
        <v>4.9407114624505901</v>
      </c>
      <c r="E115" s="38">
        <v>0.59288537549407105</v>
      </c>
      <c r="F115" s="38">
        <v>0</v>
      </c>
    </row>
    <row r="116" spans="1:6">
      <c r="A116" s="37" t="s">
        <v>569</v>
      </c>
      <c r="B116" s="37" t="s">
        <v>116</v>
      </c>
      <c r="C116" s="38">
        <v>3.9806996381182098</v>
      </c>
      <c r="D116" s="38">
        <v>95.778045838359503</v>
      </c>
      <c r="E116" s="38">
        <v>0.24125452352231599</v>
      </c>
      <c r="F116" s="38">
        <v>0</v>
      </c>
    </row>
    <row r="117" spans="1:6">
      <c r="A117" s="37" t="s">
        <v>506</v>
      </c>
      <c r="B117" s="37" t="s">
        <v>117</v>
      </c>
      <c r="C117" s="38">
        <v>41.652323580034398</v>
      </c>
      <c r="D117" s="38">
        <v>57.314974182444097</v>
      </c>
      <c r="E117" s="38">
        <v>1.03270223752151</v>
      </c>
      <c r="F117" s="38">
        <v>0</v>
      </c>
    </row>
    <row r="118" spans="1:6">
      <c r="A118" s="37" t="s">
        <v>380</v>
      </c>
      <c r="B118" s="37" t="s">
        <v>345</v>
      </c>
      <c r="C118" s="38">
        <v>98.529411764705898</v>
      </c>
      <c r="D118" s="38">
        <v>1.47058823529412</v>
      </c>
      <c r="E118" s="38">
        <v>0</v>
      </c>
      <c r="F118" s="38">
        <v>0</v>
      </c>
    </row>
    <row r="119" spans="1:6">
      <c r="A119" s="37" t="s">
        <v>450</v>
      </c>
      <c r="B119" s="37" t="s">
        <v>119</v>
      </c>
      <c r="C119" s="38">
        <v>91.903259726603594</v>
      </c>
      <c r="D119" s="38">
        <v>3.6102348405187499</v>
      </c>
      <c r="E119" s="38">
        <v>4.1009463722397497</v>
      </c>
      <c r="F119" s="38">
        <v>0.385559060637925</v>
      </c>
    </row>
    <row r="120" spans="1:6">
      <c r="A120" s="37" t="s">
        <v>545</v>
      </c>
      <c r="B120" s="37" t="s">
        <v>120</v>
      </c>
      <c r="C120" s="38">
        <v>19.705414012738899</v>
      </c>
      <c r="D120" s="38">
        <v>72.093949044585997</v>
      </c>
      <c r="E120" s="38">
        <v>7.8423566878980902</v>
      </c>
      <c r="F120" s="38">
        <v>0.35828025477706998</v>
      </c>
    </row>
    <row r="121" spans="1:6">
      <c r="A121" s="37" t="s">
        <v>715</v>
      </c>
      <c r="B121" s="37" t="s">
        <v>121</v>
      </c>
      <c r="C121" s="38">
        <v>3.6470588235294099</v>
      </c>
      <c r="D121" s="38">
        <v>9.5294117647058805</v>
      </c>
      <c r="E121" s="38">
        <v>86.705882352941202</v>
      </c>
      <c r="F121" s="38">
        <v>0.11764705882352899</v>
      </c>
    </row>
    <row r="122" spans="1:6">
      <c r="A122" s="37" t="s">
        <v>652</v>
      </c>
      <c r="B122" s="37" t="s">
        <v>653</v>
      </c>
      <c r="C122" s="38">
        <v>6.1690314620604599E-2</v>
      </c>
      <c r="D122" s="38">
        <v>83.096853793954395</v>
      </c>
      <c r="E122" s="38">
        <v>16.841455891424999</v>
      </c>
      <c r="F122" s="38">
        <v>0</v>
      </c>
    </row>
    <row r="123" spans="1:6">
      <c r="A123" s="37" t="s">
        <v>655</v>
      </c>
      <c r="B123" s="37" t="s">
        <v>123</v>
      </c>
      <c r="C123" s="38">
        <v>3.7897310513447402</v>
      </c>
      <c r="D123" s="38">
        <v>73.227383863080703</v>
      </c>
      <c r="E123" s="38">
        <v>22.982885085574601</v>
      </c>
      <c r="F123" s="38">
        <v>0</v>
      </c>
    </row>
    <row r="124" spans="1:6">
      <c r="A124" s="37" t="s">
        <v>619</v>
      </c>
      <c r="B124" s="37" t="s">
        <v>124</v>
      </c>
      <c r="C124" s="38">
        <v>1.95705354715955</v>
      </c>
      <c r="D124" s="38">
        <v>93.585213373199196</v>
      </c>
      <c r="E124" s="38">
        <v>4.4577330796412102</v>
      </c>
      <c r="F124" s="38">
        <v>0</v>
      </c>
    </row>
    <row r="125" spans="1:6">
      <c r="A125" s="37" t="s">
        <v>542</v>
      </c>
      <c r="B125" s="37" t="s">
        <v>543</v>
      </c>
      <c r="C125" s="38">
        <v>16.5374677002584</v>
      </c>
      <c r="D125" s="38">
        <v>79.586563307493506</v>
      </c>
      <c r="E125" s="38">
        <v>3.87596899224806</v>
      </c>
      <c r="F125" s="38">
        <v>0</v>
      </c>
    </row>
    <row r="126" spans="1:6">
      <c r="A126" s="37" t="s">
        <v>537</v>
      </c>
      <c r="B126" s="37" t="s">
        <v>126</v>
      </c>
      <c r="C126" s="38">
        <v>20.639147802929401</v>
      </c>
      <c r="D126" s="38">
        <v>72.170439414114497</v>
      </c>
      <c r="E126" s="38">
        <v>6.9241011984021297</v>
      </c>
      <c r="F126" s="38">
        <v>0.266311584553928</v>
      </c>
    </row>
    <row r="127" spans="1:6">
      <c r="A127" s="37" t="s">
        <v>456</v>
      </c>
      <c r="B127" s="37" t="s">
        <v>127</v>
      </c>
      <c r="C127" s="38">
        <v>86.9791666666667</v>
      </c>
      <c r="D127" s="38">
        <v>11.4583333333333</v>
      </c>
      <c r="E127" s="38">
        <v>1.5625</v>
      </c>
      <c r="F127" s="38">
        <v>0</v>
      </c>
    </row>
    <row r="128" spans="1:6">
      <c r="A128" s="37" t="s">
        <v>544</v>
      </c>
      <c r="B128" s="37" t="s">
        <v>128</v>
      </c>
      <c r="C128" s="38">
        <v>13.913043478260899</v>
      </c>
      <c r="D128" s="38">
        <v>84.347826086956502</v>
      </c>
      <c r="E128" s="38">
        <v>1.73913043478261</v>
      </c>
      <c r="F128" s="38">
        <v>0</v>
      </c>
    </row>
    <row r="129" spans="1:6">
      <c r="A129" s="37" t="s">
        <v>546</v>
      </c>
      <c r="B129" s="37" t="s">
        <v>129</v>
      </c>
      <c r="C129" s="38">
        <v>15.5844155844156</v>
      </c>
      <c r="D129" s="38">
        <v>79.220779220779207</v>
      </c>
      <c r="E129" s="38">
        <v>5.1948051948051903</v>
      </c>
      <c r="F129" s="38">
        <v>0</v>
      </c>
    </row>
    <row r="130" spans="1:6">
      <c r="A130" s="37" t="s">
        <v>696</v>
      </c>
      <c r="B130" s="37" t="s">
        <v>130</v>
      </c>
      <c r="C130" s="38">
        <v>0.49019607843137297</v>
      </c>
      <c r="D130" s="38">
        <v>30.3921568627451</v>
      </c>
      <c r="E130" s="38">
        <v>68.872549019607803</v>
      </c>
      <c r="F130" s="38">
        <v>0.24509803921568599</v>
      </c>
    </row>
    <row r="131" spans="1:6">
      <c r="A131" s="37" t="s">
        <v>686</v>
      </c>
      <c r="B131" s="37" t="s">
        <v>687</v>
      </c>
      <c r="C131" s="38">
        <v>1.6778523489932899</v>
      </c>
      <c r="D131" s="38">
        <v>41.610738255033603</v>
      </c>
      <c r="E131" s="38">
        <v>54.194630872483202</v>
      </c>
      <c r="F131" s="38">
        <v>2.51677852348993</v>
      </c>
    </row>
    <row r="132" spans="1:6">
      <c r="A132" s="37" t="s">
        <v>756</v>
      </c>
      <c r="B132" s="37" t="s">
        <v>132</v>
      </c>
      <c r="C132" s="38">
        <v>1.5105740181268901</v>
      </c>
      <c r="D132" s="38">
        <v>8.9123867069486398</v>
      </c>
      <c r="E132" s="38">
        <v>72.507552870090606</v>
      </c>
      <c r="F132" s="38">
        <v>17.0694864048338</v>
      </c>
    </row>
    <row r="133" spans="1:6">
      <c r="A133" s="37" t="s">
        <v>658</v>
      </c>
      <c r="B133" s="37" t="s">
        <v>133</v>
      </c>
      <c r="C133" s="38">
        <v>4.0498442367601202</v>
      </c>
      <c r="D133" s="38">
        <v>71.495327102803699</v>
      </c>
      <c r="E133" s="38">
        <v>24.4548286604361</v>
      </c>
      <c r="F133" s="38">
        <v>0</v>
      </c>
    </row>
    <row r="134" spans="1:6">
      <c r="A134" s="37" t="s">
        <v>515</v>
      </c>
      <c r="B134" s="37" t="s">
        <v>134</v>
      </c>
      <c r="C134" s="38">
        <v>33.043478260869598</v>
      </c>
      <c r="D134" s="38">
        <v>64.637681159420296</v>
      </c>
      <c r="E134" s="38">
        <v>2.3188405797101499</v>
      </c>
      <c r="F134" s="38">
        <v>0</v>
      </c>
    </row>
    <row r="135" spans="1:6">
      <c r="A135" s="37" t="s">
        <v>667</v>
      </c>
      <c r="B135" s="37" t="s">
        <v>135</v>
      </c>
      <c r="C135" s="38">
        <v>2.7397260273972601</v>
      </c>
      <c r="D135" s="38">
        <v>60.958904109589</v>
      </c>
      <c r="E135" s="38">
        <v>36.301369863013697</v>
      </c>
      <c r="F135" s="38">
        <v>0</v>
      </c>
    </row>
    <row r="136" spans="1:6">
      <c r="A136" s="37" t="s">
        <v>452</v>
      </c>
      <c r="B136" s="37" t="s">
        <v>136</v>
      </c>
      <c r="C136" s="38">
        <v>85.714285714285694</v>
      </c>
      <c r="D136" s="38">
        <v>14.285714285714301</v>
      </c>
      <c r="E136" s="38">
        <v>0</v>
      </c>
      <c r="F136" s="38">
        <v>0</v>
      </c>
    </row>
    <row r="137" spans="1:6">
      <c r="A137" s="37" t="s">
        <v>540</v>
      </c>
      <c r="B137" s="37" t="s">
        <v>541</v>
      </c>
      <c r="C137" s="38">
        <v>15.116279069767399</v>
      </c>
      <c r="D137" s="38">
        <v>82.558139534883693</v>
      </c>
      <c r="E137" s="38">
        <v>2.32558139534884</v>
      </c>
      <c r="F137" s="38">
        <v>0</v>
      </c>
    </row>
    <row r="138" spans="1:6">
      <c r="A138" s="37" t="s">
        <v>523</v>
      </c>
      <c r="B138" s="37" t="s">
        <v>138</v>
      </c>
      <c r="C138" s="38">
        <v>25.2631578947368</v>
      </c>
      <c r="D138" s="38">
        <v>68.421052631578902</v>
      </c>
      <c r="E138" s="38">
        <v>6.3157894736842097</v>
      </c>
      <c r="F138" s="38">
        <v>0</v>
      </c>
    </row>
    <row r="139" spans="1:6">
      <c r="A139" s="37" t="s">
        <v>495</v>
      </c>
      <c r="B139" s="37" t="s">
        <v>139</v>
      </c>
      <c r="C139" s="38">
        <v>56.3748079877112</v>
      </c>
      <c r="D139" s="38">
        <v>41.321044546850999</v>
      </c>
      <c r="E139" s="38">
        <v>2.30414746543779</v>
      </c>
      <c r="F139" s="38">
        <v>0</v>
      </c>
    </row>
    <row r="140" spans="1:6">
      <c r="A140" s="37" t="s">
        <v>457</v>
      </c>
      <c r="B140" s="37" t="s">
        <v>140</v>
      </c>
      <c r="C140" s="38">
        <v>87.953795379537993</v>
      </c>
      <c r="D140" s="38">
        <v>9.4059405940594107</v>
      </c>
      <c r="E140" s="38">
        <v>2.6402640264026398</v>
      </c>
      <c r="F140" s="38">
        <v>0</v>
      </c>
    </row>
    <row r="141" spans="1:6">
      <c r="A141" s="37" t="s">
        <v>397</v>
      </c>
      <c r="B141" s="37" t="s">
        <v>141</v>
      </c>
      <c r="C141" s="38">
        <v>96.587926509186303</v>
      </c>
      <c r="D141" s="38">
        <v>3.4120734908136501</v>
      </c>
      <c r="E141" s="38">
        <v>0</v>
      </c>
      <c r="F141" s="38">
        <v>0</v>
      </c>
    </row>
    <row r="142" spans="1:6">
      <c r="A142" s="37" t="s">
        <v>411</v>
      </c>
      <c r="B142" s="37" t="s">
        <v>412</v>
      </c>
      <c r="C142" s="38">
        <v>94.861660079051404</v>
      </c>
      <c r="D142" s="38">
        <v>5.1383399209486198</v>
      </c>
      <c r="E142" s="38">
        <v>0</v>
      </c>
      <c r="F142" s="38">
        <v>0</v>
      </c>
    </row>
    <row r="143" spans="1:6">
      <c r="A143" s="37" t="s">
        <v>390</v>
      </c>
      <c r="B143" s="37" t="s">
        <v>143</v>
      </c>
      <c r="C143" s="38">
        <v>97.297297297297305</v>
      </c>
      <c r="D143" s="38">
        <v>2.7027027027027</v>
      </c>
      <c r="E143" s="38">
        <v>0</v>
      </c>
      <c r="F143" s="38">
        <v>0</v>
      </c>
    </row>
    <row r="144" spans="1:6">
      <c r="A144" s="37" t="s">
        <v>387</v>
      </c>
      <c r="B144" s="37" t="s">
        <v>144</v>
      </c>
      <c r="C144" s="38">
        <v>98.339264531435404</v>
      </c>
      <c r="D144" s="38">
        <v>0.94899169632265701</v>
      </c>
      <c r="E144" s="38">
        <v>0.71174377224199303</v>
      </c>
      <c r="F144" s="38">
        <v>0</v>
      </c>
    </row>
    <row r="145" spans="1:6">
      <c r="A145" s="37" t="s">
        <v>453</v>
      </c>
      <c r="B145" s="37" t="s">
        <v>145</v>
      </c>
      <c r="C145" s="38">
        <v>85.932203389830505</v>
      </c>
      <c r="D145" s="38">
        <v>13.728813559322001</v>
      </c>
      <c r="E145" s="38">
        <v>0.338983050847458</v>
      </c>
      <c r="F145" s="38">
        <v>0</v>
      </c>
    </row>
    <row r="146" spans="1:6">
      <c r="A146" s="37" t="s">
        <v>499</v>
      </c>
      <c r="B146" s="37" t="s">
        <v>146</v>
      </c>
      <c r="C146" s="38">
        <v>51.889233954451299</v>
      </c>
      <c r="D146" s="38">
        <v>47.593167701863401</v>
      </c>
      <c r="E146" s="38">
        <v>0.50897170462387897</v>
      </c>
      <c r="F146" s="38">
        <v>8.62663906142167E-3</v>
      </c>
    </row>
    <row r="147" spans="1:6">
      <c r="A147" s="37" t="s">
        <v>645</v>
      </c>
      <c r="B147" s="37" t="s">
        <v>147</v>
      </c>
      <c r="C147" s="38">
        <v>3.5169988276670598</v>
      </c>
      <c r="D147" s="38">
        <v>80.832356389214496</v>
      </c>
      <c r="E147" s="38">
        <v>15.592028135990599</v>
      </c>
      <c r="F147" s="38">
        <v>5.8616647127784298E-2</v>
      </c>
    </row>
    <row r="148" spans="1:6">
      <c r="A148" s="37" t="s">
        <v>709</v>
      </c>
      <c r="B148" s="37" t="s">
        <v>609</v>
      </c>
      <c r="C148" s="38">
        <v>2.1267361111111098</v>
      </c>
      <c r="D148" s="38">
        <v>22.3524305555556</v>
      </c>
      <c r="E148" s="38">
        <v>69.3576388888889</v>
      </c>
      <c r="F148" s="38">
        <v>6.1631944444444402</v>
      </c>
    </row>
    <row r="149" spans="1:6">
      <c r="A149" s="37" t="s">
        <v>530</v>
      </c>
      <c r="B149" s="37" t="s">
        <v>149</v>
      </c>
      <c r="C149" s="38">
        <v>21.464943204073599</v>
      </c>
      <c r="D149" s="38">
        <v>73.325499412455898</v>
      </c>
      <c r="E149" s="38">
        <v>5.1703877790834296</v>
      </c>
      <c r="F149" s="38">
        <v>3.9169604386995703E-2</v>
      </c>
    </row>
    <row r="150" spans="1:6">
      <c r="A150" s="37" t="s">
        <v>710</v>
      </c>
      <c r="B150" s="37" t="s">
        <v>150</v>
      </c>
      <c r="C150" s="38">
        <v>1.8518518518518501</v>
      </c>
      <c r="D150" s="38">
        <v>16.569200779727101</v>
      </c>
      <c r="E150" s="38">
        <v>80.409356725146196</v>
      </c>
      <c r="F150" s="38">
        <v>1.16959064327485</v>
      </c>
    </row>
    <row r="151" spans="1:6">
      <c r="A151" s="37" t="s">
        <v>478</v>
      </c>
      <c r="B151" s="37" t="s">
        <v>151</v>
      </c>
      <c r="C151" s="38">
        <v>78.508217446270507</v>
      </c>
      <c r="D151" s="38">
        <v>21.2389380530973</v>
      </c>
      <c r="E151" s="38">
        <v>0.252844500632111</v>
      </c>
      <c r="F151" s="38">
        <v>0</v>
      </c>
    </row>
    <row r="152" spans="1:6">
      <c r="A152" s="37" t="s">
        <v>389</v>
      </c>
      <c r="B152" s="37" t="s">
        <v>152</v>
      </c>
      <c r="C152" s="38">
        <v>97.304832713754607</v>
      </c>
      <c r="D152" s="38">
        <v>2.6951672862453502</v>
      </c>
      <c r="E152" s="38">
        <v>0</v>
      </c>
      <c r="F152" s="38">
        <v>0</v>
      </c>
    </row>
    <row r="153" spans="1:6">
      <c r="A153" s="37" t="s">
        <v>536</v>
      </c>
      <c r="B153" s="37" t="s">
        <v>153</v>
      </c>
      <c r="C153" s="38">
        <v>13.4309623430962</v>
      </c>
      <c r="D153" s="38">
        <v>86.569037656903802</v>
      </c>
      <c r="E153" s="38">
        <v>0</v>
      </c>
      <c r="F153" s="38">
        <v>0</v>
      </c>
    </row>
    <row r="154" spans="1:6">
      <c r="A154" s="37" t="s">
        <v>496</v>
      </c>
      <c r="B154" s="37" t="s">
        <v>154</v>
      </c>
      <c r="C154" s="38">
        <v>60.096818810511799</v>
      </c>
      <c r="D154" s="38">
        <v>34.647302904564299</v>
      </c>
      <c r="E154" s="38">
        <v>4.2185338865836801</v>
      </c>
      <c r="F154" s="38">
        <v>1.0373443983402499</v>
      </c>
    </row>
    <row r="155" spans="1:6">
      <c r="A155" s="37" t="s">
        <v>483</v>
      </c>
      <c r="B155" s="37" t="s">
        <v>155</v>
      </c>
      <c r="C155" s="38">
        <v>72.238805970149301</v>
      </c>
      <c r="D155" s="38">
        <v>25.671641791044799</v>
      </c>
      <c r="E155" s="38">
        <v>2.08955223880597</v>
      </c>
      <c r="F155" s="38">
        <v>0</v>
      </c>
    </row>
    <row r="156" spans="1:6">
      <c r="A156" s="37" t="s">
        <v>639</v>
      </c>
      <c r="B156" s="37" t="s">
        <v>156</v>
      </c>
      <c r="C156" s="38">
        <v>6.5126050420168102</v>
      </c>
      <c r="D156" s="38">
        <v>79.621848739495803</v>
      </c>
      <c r="E156" s="38">
        <v>13.865546218487401</v>
      </c>
      <c r="F156" s="38">
        <v>0</v>
      </c>
    </row>
    <row r="157" spans="1:6">
      <c r="A157" s="37" t="s">
        <v>763</v>
      </c>
      <c r="B157" s="37" t="s">
        <v>157</v>
      </c>
      <c r="C157" s="38">
        <v>6.8642745709828397</v>
      </c>
      <c r="D157" s="38">
        <v>1.7160686427457099</v>
      </c>
      <c r="E157" s="38">
        <v>59.906396255850197</v>
      </c>
      <c r="F157" s="38">
        <v>31.513260530421199</v>
      </c>
    </row>
    <row r="158" spans="1:6">
      <c r="A158" s="37" t="s">
        <v>447</v>
      </c>
      <c r="B158" s="37" t="s">
        <v>158</v>
      </c>
      <c r="C158" s="38">
        <v>90.990990990990994</v>
      </c>
      <c r="D158" s="38">
        <v>5.4054054054054097</v>
      </c>
      <c r="E158" s="38">
        <v>3.6036036036036001</v>
      </c>
      <c r="F158" s="38">
        <v>0</v>
      </c>
    </row>
    <row r="159" spans="1:6">
      <c r="A159" s="37" t="s">
        <v>533</v>
      </c>
      <c r="B159" s="37" t="s">
        <v>159</v>
      </c>
      <c r="C159" s="38">
        <v>15.503875968992199</v>
      </c>
      <c r="D159" s="38">
        <v>83.720930232558104</v>
      </c>
      <c r="E159" s="38">
        <v>0.775193798449612</v>
      </c>
      <c r="F159" s="38">
        <v>0</v>
      </c>
    </row>
    <row r="160" spans="1:6">
      <c r="A160" s="37" t="s">
        <v>419</v>
      </c>
      <c r="B160" s="37" t="s">
        <v>160</v>
      </c>
      <c r="C160" s="38">
        <v>95.266272189349095</v>
      </c>
      <c r="D160" s="38">
        <v>2.9585798816567999</v>
      </c>
      <c r="E160" s="38">
        <v>1.7751479289940799</v>
      </c>
      <c r="F160" s="38">
        <v>0</v>
      </c>
    </row>
    <row r="161" spans="1:6">
      <c r="A161" s="37" t="s">
        <v>574</v>
      </c>
      <c r="B161" s="37" t="s">
        <v>161</v>
      </c>
      <c r="C161" s="38">
        <v>12.9032258064516</v>
      </c>
      <c r="D161" s="38">
        <v>77.419354838709694</v>
      </c>
      <c r="E161" s="38">
        <v>9.67741935483871</v>
      </c>
      <c r="F161" s="38">
        <v>0</v>
      </c>
    </row>
    <row r="162" spans="1:6">
      <c r="A162" s="37" t="s">
        <v>684</v>
      </c>
      <c r="B162" s="37" t="s">
        <v>685</v>
      </c>
      <c r="C162" s="38">
        <v>3.2258064516128999</v>
      </c>
      <c r="D162" s="38">
        <v>36.559139784946197</v>
      </c>
      <c r="E162" s="38">
        <v>60.215053763440899</v>
      </c>
      <c r="F162" s="38">
        <v>0</v>
      </c>
    </row>
    <row r="163" spans="1:6">
      <c r="A163" s="37" t="s">
        <v>538</v>
      </c>
      <c r="B163" s="37" t="s">
        <v>539</v>
      </c>
      <c r="C163" s="38">
        <v>20.211360634081899</v>
      </c>
      <c r="D163" s="38">
        <v>72.655217965653904</v>
      </c>
      <c r="E163" s="38">
        <v>6.8692206076618199</v>
      </c>
      <c r="F163" s="38">
        <v>0.264200792602378</v>
      </c>
    </row>
    <row r="164" spans="1:6">
      <c r="A164" s="37" t="s">
        <v>698</v>
      </c>
      <c r="B164" s="37" t="s">
        <v>164</v>
      </c>
      <c r="C164" s="38">
        <v>3.0548926014319799</v>
      </c>
      <c r="D164" s="38">
        <v>33.174224343675398</v>
      </c>
      <c r="E164" s="38">
        <v>53.603818615751798</v>
      </c>
      <c r="F164" s="38">
        <v>10.1670644391408</v>
      </c>
    </row>
    <row r="165" spans="1:6">
      <c r="A165" s="37" t="s">
        <v>431</v>
      </c>
      <c r="B165" s="37" t="s">
        <v>165</v>
      </c>
      <c r="C165" s="38">
        <v>95.443645083932907</v>
      </c>
      <c r="D165" s="38">
        <v>1.07913669064748</v>
      </c>
      <c r="E165" s="38">
        <v>3.47721822541966</v>
      </c>
      <c r="F165" s="38">
        <v>0</v>
      </c>
    </row>
    <row r="166" spans="1:6">
      <c r="A166" s="37" t="s">
        <v>443</v>
      </c>
      <c r="B166" s="37" t="s">
        <v>166</v>
      </c>
      <c r="C166" s="38">
        <v>91.901408450704196</v>
      </c>
      <c r="D166" s="38">
        <v>5.28169014084507</v>
      </c>
      <c r="E166" s="38">
        <v>2.8169014084507</v>
      </c>
      <c r="F166" s="38">
        <v>0</v>
      </c>
    </row>
    <row r="167" spans="1:6">
      <c r="A167" s="37" t="s">
        <v>529</v>
      </c>
      <c r="B167" s="37" t="s">
        <v>167</v>
      </c>
      <c r="C167" s="38">
        <v>17.8988326848249</v>
      </c>
      <c r="D167" s="38">
        <v>80.778210116731501</v>
      </c>
      <c r="E167" s="38">
        <v>1.32295719844358</v>
      </c>
      <c r="F167" s="38">
        <v>0</v>
      </c>
    </row>
    <row r="168" spans="1:6">
      <c r="A168" s="37" t="s">
        <v>732</v>
      </c>
      <c r="B168" s="37" t="s">
        <v>168</v>
      </c>
      <c r="C168" s="38">
        <v>2.5157232704402501</v>
      </c>
      <c r="D168" s="38">
        <v>4.4923629829290199</v>
      </c>
      <c r="E168" s="38">
        <v>92.991913746630701</v>
      </c>
      <c r="F168" s="38">
        <v>0</v>
      </c>
    </row>
    <row r="169" spans="1:6">
      <c r="A169" s="37" t="s">
        <v>524</v>
      </c>
      <c r="B169" s="37" t="s">
        <v>525</v>
      </c>
      <c r="C169" s="38">
        <v>19.632678910703</v>
      </c>
      <c r="D169" s="38">
        <v>79.544015199493302</v>
      </c>
      <c r="E169" s="38">
        <v>0.82330588980367303</v>
      </c>
      <c r="F169" s="38">
        <v>0</v>
      </c>
    </row>
    <row r="170" spans="1:6">
      <c r="A170" s="37" t="s">
        <v>430</v>
      </c>
      <c r="B170" s="37" t="s">
        <v>170</v>
      </c>
      <c r="C170" s="38">
        <v>94.688057040998203</v>
      </c>
      <c r="D170" s="38">
        <v>3.1016042780748698</v>
      </c>
      <c r="E170" s="38">
        <v>2.1390374331550799</v>
      </c>
      <c r="F170" s="38">
        <v>7.1301247771835996E-2</v>
      </c>
    </row>
    <row r="171" spans="1:6">
      <c r="A171" s="37" t="s">
        <v>727</v>
      </c>
      <c r="B171" s="37" t="s">
        <v>728</v>
      </c>
      <c r="C171" s="38">
        <v>0.48971596474045098</v>
      </c>
      <c r="D171" s="38">
        <v>9.6963761018609205</v>
      </c>
      <c r="E171" s="38">
        <v>89.813907933398596</v>
      </c>
      <c r="F171" s="38">
        <v>0</v>
      </c>
    </row>
    <row r="172" spans="1:6">
      <c r="A172" s="37" t="s">
        <v>417</v>
      </c>
      <c r="B172" s="37" t="s">
        <v>172</v>
      </c>
      <c r="C172" s="38">
        <v>95.333137657763402</v>
      </c>
      <c r="D172" s="38">
        <v>3.7569709421778699</v>
      </c>
      <c r="E172" s="38">
        <v>0.90989140005870295</v>
      </c>
      <c r="F172" s="38">
        <v>0</v>
      </c>
    </row>
    <row r="173" spans="1:6">
      <c r="A173" s="37" t="s">
        <v>563</v>
      </c>
      <c r="B173" s="37" t="s">
        <v>564</v>
      </c>
      <c r="C173" s="38">
        <v>7.4111675126903602</v>
      </c>
      <c r="D173" s="38">
        <v>90.659898477157398</v>
      </c>
      <c r="E173" s="38">
        <v>1.9289340101522801</v>
      </c>
      <c r="F173" s="38">
        <v>0</v>
      </c>
    </row>
    <row r="174" spans="1:6">
      <c r="A174" s="37" t="s">
        <v>518</v>
      </c>
      <c r="B174" s="37" t="s">
        <v>174</v>
      </c>
      <c r="C174" s="38">
        <v>25.5588922255589</v>
      </c>
      <c r="D174" s="38">
        <v>72.639305972639306</v>
      </c>
      <c r="E174" s="38">
        <v>1.8018018018018001</v>
      </c>
      <c r="F174" s="38">
        <v>0</v>
      </c>
    </row>
    <row r="175" spans="1:6">
      <c r="A175" s="37" t="s">
        <v>711</v>
      </c>
      <c r="B175" s="37" t="s">
        <v>175</v>
      </c>
      <c r="C175" s="38">
        <v>0.80578512396694202</v>
      </c>
      <c r="D175" s="38">
        <v>16.198347107438</v>
      </c>
      <c r="E175" s="38">
        <v>82.995867768595005</v>
      </c>
      <c r="F175" s="38">
        <v>0</v>
      </c>
    </row>
    <row r="176" spans="1:6">
      <c r="A176" s="37" t="s">
        <v>516</v>
      </c>
      <c r="B176" s="37" t="s">
        <v>176</v>
      </c>
      <c r="C176" s="38">
        <v>34.375</v>
      </c>
      <c r="D176" s="38">
        <v>56.25</v>
      </c>
      <c r="E176" s="38">
        <v>9.375</v>
      </c>
      <c r="F176" s="38">
        <v>0</v>
      </c>
    </row>
    <row r="177" spans="1:6">
      <c r="A177" s="37" t="s">
        <v>588</v>
      </c>
      <c r="B177" s="37" t="s">
        <v>177</v>
      </c>
      <c r="C177" s="38">
        <v>4.3780403057678896</v>
      </c>
      <c r="D177" s="38">
        <v>92.216817234190401</v>
      </c>
      <c r="E177" s="38">
        <v>3.4051424600417</v>
      </c>
      <c r="F177" s="38">
        <v>0</v>
      </c>
    </row>
    <row r="178" spans="1:6">
      <c r="A178" s="37" t="s">
        <v>731</v>
      </c>
      <c r="B178" s="37" t="s">
        <v>178</v>
      </c>
      <c r="C178" s="38">
        <v>0.854700854700855</v>
      </c>
      <c r="D178" s="38">
        <v>8.5470085470085504</v>
      </c>
      <c r="E178" s="38">
        <v>90.598290598290603</v>
      </c>
      <c r="F178" s="38">
        <v>0</v>
      </c>
    </row>
    <row r="179" spans="1:6">
      <c r="A179" s="37" t="s">
        <v>646</v>
      </c>
      <c r="B179" s="37" t="s">
        <v>647</v>
      </c>
      <c r="C179" s="38">
        <v>0</v>
      </c>
      <c r="D179" s="38">
        <v>85.909090909090907</v>
      </c>
      <c r="E179" s="38">
        <v>14.090909090909101</v>
      </c>
      <c r="F179" s="38">
        <v>0</v>
      </c>
    </row>
    <row r="180" spans="1:6">
      <c r="A180" s="37" t="s">
        <v>634</v>
      </c>
      <c r="B180" s="37" t="s">
        <v>180</v>
      </c>
      <c r="C180" s="38">
        <v>1.0263929618768299</v>
      </c>
      <c r="D180" s="38">
        <v>91.935483870967701</v>
      </c>
      <c r="E180" s="38">
        <v>7.0381231671554296</v>
      </c>
      <c r="F180" s="38">
        <v>0</v>
      </c>
    </row>
    <row r="181" spans="1:6">
      <c r="A181" s="37" t="s">
        <v>458</v>
      </c>
      <c r="B181" s="37" t="s">
        <v>181</v>
      </c>
      <c r="C181" s="38">
        <v>88.436268068331103</v>
      </c>
      <c r="D181" s="38">
        <v>8.0157687253613705</v>
      </c>
      <c r="E181" s="38">
        <v>3.54796320630749</v>
      </c>
      <c r="F181" s="38">
        <v>0</v>
      </c>
    </row>
    <row r="182" spans="1:6">
      <c r="A182" s="37" t="s">
        <v>427</v>
      </c>
      <c r="B182" s="37" t="s">
        <v>182</v>
      </c>
      <c r="C182" s="38">
        <v>94.117647058823493</v>
      </c>
      <c r="D182" s="38">
        <v>4.4117647058823497</v>
      </c>
      <c r="E182" s="38">
        <v>1.47058823529412</v>
      </c>
      <c r="F182" s="38">
        <v>0</v>
      </c>
    </row>
    <row r="183" spans="1:6">
      <c r="A183" s="37" t="s">
        <v>681</v>
      </c>
      <c r="B183" s="37" t="s">
        <v>183</v>
      </c>
      <c r="C183" s="38">
        <v>13.2307692307692</v>
      </c>
      <c r="D183" s="38">
        <v>21.846153846153801</v>
      </c>
      <c r="E183" s="38">
        <v>64.923076923076906</v>
      </c>
      <c r="F183" s="38">
        <v>0</v>
      </c>
    </row>
    <row r="184" spans="1:6">
      <c r="A184" s="37" t="s">
        <v>455</v>
      </c>
      <c r="B184" s="37" t="s">
        <v>184</v>
      </c>
      <c r="C184" s="38">
        <v>88.473053892215603</v>
      </c>
      <c r="D184" s="38">
        <v>8.5329341317365301</v>
      </c>
      <c r="E184" s="38">
        <v>2.9940119760478998</v>
      </c>
      <c r="F184" s="38">
        <v>0</v>
      </c>
    </row>
    <row r="185" spans="1:6">
      <c r="A185" s="37" t="s">
        <v>391</v>
      </c>
      <c r="B185" s="37" t="s">
        <v>185</v>
      </c>
      <c r="C185" s="38">
        <v>97.534246575342493</v>
      </c>
      <c r="D185" s="38">
        <v>2.1917808219178099</v>
      </c>
      <c r="E185" s="38">
        <v>0.27397260273972601</v>
      </c>
      <c r="F185" s="38">
        <v>0</v>
      </c>
    </row>
    <row r="186" spans="1:6">
      <c r="A186" s="37" t="s">
        <v>742</v>
      </c>
      <c r="B186" s="37" t="s">
        <v>743</v>
      </c>
      <c r="C186" s="38">
        <v>0</v>
      </c>
      <c r="D186" s="38">
        <v>4.4436729734421103</v>
      </c>
      <c r="E186" s="38">
        <v>95.556327026557895</v>
      </c>
      <c r="F186" s="38">
        <v>0</v>
      </c>
    </row>
    <row r="187" spans="1:6">
      <c r="A187" s="37" t="s">
        <v>631</v>
      </c>
      <c r="B187" s="37" t="s">
        <v>187</v>
      </c>
      <c r="C187" s="38">
        <v>0.18248175182481799</v>
      </c>
      <c r="D187" s="38">
        <v>94.251824817518298</v>
      </c>
      <c r="E187" s="38">
        <v>5.5656934306569301</v>
      </c>
      <c r="F187" s="38">
        <v>0</v>
      </c>
    </row>
    <row r="188" spans="1:6">
      <c r="A188" s="37" t="s">
        <v>713</v>
      </c>
      <c r="B188" s="37" t="s">
        <v>188</v>
      </c>
      <c r="C188" s="38">
        <v>0</v>
      </c>
      <c r="D188" s="38">
        <v>17.178924259056</v>
      </c>
      <c r="E188" s="38">
        <v>82.821075740943996</v>
      </c>
      <c r="F188" s="38">
        <v>0</v>
      </c>
    </row>
    <row r="189" spans="1:6">
      <c r="A189" s="37" t="s">
        <v>519</v>
      </c>
      <c r="B189" s="37" t="s">
        <v>189</v>
      </c>
      <c r="C189" s="38">
        <v>19.902912621359199</v>
      </c>
      <c r="D189" s="38">
        <v>79.611650485436897</v>
      </c>
      <c r="E189" s="38">
        <v>0.485436893203883</v>
      </c>
      <c r="F189" s="38">
        <v>0</v>
      </c>
    </row>
    <row r="190" spans="1:6">
      <c r="A190" s="37" t="s">
        <v>736</v>
      </c>
      <c r="B190" s="37" t="s">
        <v>737</v>
      </c>
      <c r="C190" s="38">
        <v>0</v>
      </c>
      <c r="D190" s="38">
        <v>6.9053708439897701</v>
      </c>
      <c r="E190" s="38">
        <v>93.0946291560102</v>
      </c>
      <c r="F190" s="38">
        <v>0</v>
      </c>
    </row>
    <row r="191" spans="1:6">
      <c r="A191" s="37" t="s">
        <v>607</v>
      </c>
      <c r="B191" s="37" t="s">
        <v>191</v>
      </c>
      <c r="C191" s="38">
        <v>1.3125</v>
      </c>
      <c r="D191" s="38">
        <v>96.3125</v>
      </c>
      <c r="E191" s="38">
        <v>2.375</v>
      </c>
      <c r="F191" s="38">
        <v>0</v>
      </c>
    </row>
    <row r="192" spans="1:6">
      <c r="A192" s="37" t="s">
        <v>575</v>
      </c>
      <c r="B192" s="37" t="s">
        <v>192</v>
      </c>
      <c r="C192" s="38">
        <v>4.5346062052505998</v>
      </c>
      <c r="D192" s="38">
        <v>94.033412887828206</v>
      </c>
      <c r="E192" s="38">
        <v>1.4319809069212399</v>
      </c>
      <c r="F192" s="38">
        <v>0</v>
      </c>
    </row>
    <row r="193" spans="1:6">
      <c r="A193" s="37" t="s">
        <v>739</v>
      </c>
      <c r="B193" s="37" t="s">
        <v>740</v>
      </c>
      <c r="C193" s="38">
        <v>0.41152263374485598</v>
      </c>
      <c r="D193" s="38">
        <v>4.2798353909465003</v>
      </c>
      <c r="E193" s="38">
        <v>95.308641975308603</v>
      </c>
      <c r="F193" s="38">
        <v>0</v>
      </c>
    </row>
    <row r="194" spans="1:6">
      <c r="A194" s="37" t="s">
        <v>628</v>
      </c>
      <c r="B194" s="37" t="s">
        <v>194</v>
      </c>
      <c r="C194" s="38">
        <v>1.80257510729614</v>
      </c>
      <c r="D194" s="38">
        <v>91.845493562231795</v>
      </c>
      <c r="E194" s="38">
        <v>6.3519313304720999</v>
      </c>
      <c r="F194" s="38">
        <v>0</v>
      </c>
    </row>
    <row r="195" spans="1:6">
      <c r="A195" s="37" t="s">
        <v>608</v>
      </c>
      <c r="B195" s="37" t="s">
        <v>609</v>
      </c>
      <c r="C195" s="38">
        <v>1.0114632501685801</v>
      </c>
      <c r="D195" s="38">
        <v>96.830748482805106</v>
      </c>
      <c r="E195" s="38">
        <v>2.1577882670263002</v>
      </c>
      <c r="F195" s="38">
        <v>0</v>
      </c>
    </row>
    <row r="196" spans="1:6">
      <c r="A196" s="37" t="s">
        <v>635</v>
      </c>
      <c r="B196" s="37" t="s">
        <v>636</v>
      </c>
      <c r="C196" s="38">
        <v>2.68987341772152</v>
      </c>
      <c r="D196" s="38">
        <v>88.607594936708793</v>
      </c>
      <c r="E196" s="38">
        <v>8.7025316455696196</v>
      </c>
      <c r="F196" s="38">
        <v>0</v>
      </c>
    </row>
    <row r="197" spans="1:6">
      <c r="A197" s="37" t="s">
        <v>693</v>
      </c>
      <c r="B197" s="37" t="s">
        <v>197</v>
      </c>
      <c r="C197" s="38">
        <v>0</v>
      </c>
      <c r="D197" s="38">
        <v>33.891213389121297</v>
      </c>
      <c r="E197" s="38">
        <v>66.108786610878695</v>
      </c>
      <c r="F197" s="38">
        <v>0</v>
      </c>
    </row>
    <row r="198" spans="1:6">
      <c r="A198" s="37" t="s">
        <v>702</v>
      </c>
      <c r="B198" s="37" t="s">
        <v>198</v>
      </c>
      <c r="C198" s="38">
        <v>0</v>
      </c>
      <c r="D198" s="38">
        <v>26.923076923076898</v>
      </c>
      <c r="E198" s="38">
        <v>73.076923076923094</v>
      </c>
      <c r="F198" s="38">
        <v>0</v>
      </c>
    </row>
    <row r="199" spans="1:6">
      <c r="A199" s="37" t="s">
        <v>695</v>
      </c>
      <c r="B199" s="37" t="s">
        <v>199</v>
      </c>
      <c r="C199" s="38">
        <v>0</v>
      </c>
      <c r="D199" s="38">
        <v>32.600732600732599</v>
      </c>
      <c r="E199" s="38">
        <v>67.399267399267401</v>
      </c>
      <c r="F199" s="38">
        <v>0</v>
      </c>
    </row>
    <row r="200" spans="1:6">
      <c r="A200" s="37" t="s">
        <v>534</v>
      </c>
      <c r="B200" s="37" t="s">
        <v>535</v>
      </c>
      <c r="C200" s="38">
        <v>17.002012072434599</v>
      </c>
      <c r="D200" s="38">
        <v>80.2816901408451</v>
      </c>
      <c r="E200" s="38">
        <v>2.71629778672032</v>
      </c>
      <c r="F200" s="38">
        <v>0</v>
      </c>
    </row>
    <row r="201" spans="1:6">
      <c r="A201" s="37" t="s">
        <v>484</v>
      </c>
      <c r="B201" s="37" t="s">
        <v>201</v>
      </c>
      <c r="C201" s="38">
        <v>73.378582202111602</v>
      </c>
      <c r="D201" s="38">
        <v>21.116138763197601</v>
      </c>
      <c r="E201" s="38">
        <v>5.2790346907994001</v>
      </c>
      <c r="F201" s="38">
        <v>0.22624434389140299</v>
      </c>
    </row>
    <row r="202" spans="1:6">
      <c r="A202" s="37" t="s">
        <v>764</v>
      </c>
      <c r="B202" s="37" t="s">
        <v>202</v>
      </c>
      <c r="C202" s="38">
        <v>1.63078930202218</v>
      </c>
      <c r="D202" s="38">
        <v>1.4350945857795201</v>
      </c>
      <c r="E202" s="38">
        <v>75.146771037182006</v>
      </c>
      <c r="F202" s="38">
        <v>21.787345075016301</v>
      </c>
    </row>
    <row r="203" spans="1:6">
      <c r="A203" s="37" t="s">
        <v>656</v>
      </c>
      <c r="B203" s="37" t="s">
        <v>203</v>
      </c>
      <c r="C203" s="38">
        <v>2.43161094224924</v>
      </c>
      <c r="D203" s="38">
        <v>75.987841945288807</v>
      </c>
      <c r="E203" s="38">
        <v>21.2765957446809</v>
      </c>
      <c r="F203" s="38">
        <v>0.303951367781155</v>
      </c>
    </row>
    <row r="204" spans="1:6">
      <c r="A204" s="37" t="s">
        <v>641</v>
      </c>
      <c r="B204" s="37" t="s">
        <v>204</v>
      </c>
      <c r="C204" s="38">
        <v>0.225056264066016</v>
      </c>
      <c r="D204" s="38">
        <v>91.672918229557396</v>
      </c>
      <c r="E204" s="38">
        <v>7.8019504876219097</v>
      </c>
      <c r="F204" s="38">
        <v>0.300075018754689</v>
      </c>
    </row>
    <row r="205" spans="1:6">
      <c r="A205" s="37" t="s">
        <v>422</v>
      </c>
      <c r="B205" s="37" t="s">
        <v>423</v>
      </c>
      <c r="C205" s="38">
        <v>96.583442838370601</v>
      </c>
      <c r="D205" s="38">
        <v>0.26281208935611</v>
      </c>
      <c r="E205" s="38">
        <v>3.0223390275952702</v>
      </c>
      <c r="F205" s="38">
        <v>0.131406044678055</v>
      </c>
    </row>
    <row r="206" spans="1:6">
      <c r="A206" s="37" t="s">
        <v>762</v>
      </c>
      <c r="B206" s="37" t="s">
        <v>206</v>
      </c>
      <c r="C206" s="38">
        <v>4.3356643356643296</v>
      </c>
      <c r="D206" s="38">
        <v>0.41958041958042003</v>
      </c>
      <c r="E206" s="38">
        <v>70.769230769230802</v>
      </c>
      <c r="F206" s="38">
        <v>24.475524475524502</v>
      </c>
    </row>
    <row r="207" spans="1:6">
      <c r="A207" s="37" t="s">
        <v>438</v>
      </c>
      <c r="B207" s="37" t="s">
        <v>207</v>
      </c>
      <c r="C207" s="38">
        <v>95.748299319727906</v>
      </c>
      <c r="D207" s="38">
        <v>0</v>
      </c>
      <c r="E207" s="38">
        <v>3.5714285714285698</v>
      </c>
      <c r="F207" s="38">
        <v>0.68027210884353695</v>
      </c>
    </row>
    <row r="208" spans="1:6">
      <c r="A208" s="37" t="s">
        <v>707</v>
      </c>
      <c r="B208" s="37" t="s">
        <v>708</v>
      </c>
      <c r="C208" s="38">
        <v>3.9603960396039599</v>
      </c>
      <c r="D208" s="38">
        <v>23.1023102310231</v>
      </c>
      <c r="E208" s="38">
        <v>66.3366336633663</v>
      </c>
      <c r="F208" s="38">
        <v>6.6006600660065997</v>
      </c>
    </row>
    <row r="209" spans="1:6">
      <c r="A209" s="37" t="s">
        <v>576</v>
      </c>
      <c r="B209" s="37" t="s">
        <v>209</v>
      </c>
      <c r="C209" s="38">
        <v>15.157480314960599</v>
      </c>
      <c r="D209" s="38">
        <v>74.114173228346502</v>
      </c>
      <c r="E209" s="38">
        <v>9.2519685039370092</v>
      </c>
      <c r="F209" s="38">
        <v>1.47637795275591</v>
      </c>
    </row>
    <row r="210" spans="1:6">
      <c r="A210" s="37" t="s">
        <v>718</v>
      </c>
      <c r="B210" s="37" t="s">
        <v>210</v>
      </c>
      <c r="C210" s="38">
        <v>6.5176908752327796</v>
      </c>
      <c r="D210" s="38">
        <v>7.6350093109869697</v>
      </c>
      <c r="E210" s="38">
        <v>79.888268156424601</v>
      </c>
      <c r="F210" s="38">
        <v>5.9590316573556796</v>
      </c>
    </row>
    <row r="211" spans="1:6">
      <c r="A211" s="37" t="s">
        <v>760</v>
      </c>
      <c r="B211" s="37" t="s">
        <v>211</v>
      </c>
      <c r="C211" s="38">
        <v>4.1624365482233499</v>
      </c>
      <c r="D211" s="38">
        <v>2.43654822335025</v>
      </c>
      <c r="E211" s="38">
        <v>68.730964467005094</v>
      </c>
      <c r="F211" s="38">
        <v>24.670050761421301</v>
      </c>
    </row>
    <row r="212" spans="1:6">
      <c r="A212" s="37" t="s">
        <v>675</v>
      </c>
      <c r="B212" s="37" t="s">
        <v>212</v>
      </c>
      <c r="C212" s="38">
        <v>0</v>
      </c>
      <c r="D212" s="38">
        <v>63.9068564036222</v>
      </c>
      <c r="E212" s="38">
        <v>30.271668822768401</v>
      </c>
      <c r="F212" s="38">
        <v>5.8214747736093102</v>
      </c>
    </row>
    <row r="213" spans="1:6">
      <c r="A213" s="37" t="s">
        <v>723</v>
      </c>
      <c r="B213" s="37" t="s">
        <v>213</v>
      </c>
      <c r="C213" s="38">
        <v>1.49152542372881</v>
      </c>
      <c r="D213" s="38">
        <v>12.4745762711864</v>
      </c>
      <c r="E213" s="38">
        <v>81.8983050847458</v>
      </c>
      <c r="F213" s="38">
        <v>4.13559322033898</v>
      </c>
    </row>
    <row r="214" spans="1:6">
      <c r="A214" s="37" t="s">
        <v>712</v>
      </c>
      <c r="B214" s="37" t="s">
        <v>214</v>
      </c>
      <c r="C214" s="38">
        <v>0.76863950807071502</v>
      </c>
      <c r="D214" s="38">
        <v>23.366641045349699</v>
      </c>
      <c r="E214" s="38">
        <v>68.178324365872399</v>
      </c>
      <c r="F214" s="38">
        <v>7.6863950807071504</v>
      </c>
    </row>
    <row r="215" spans="1:6">
      <c r="A215" s="37" t="s">
        <v>765</v>
      </c>
      <c r="B215" s="37" t="s">
        <v>215</v>
      </c>
      <c r="C215" s="38">
        <v>0</v>
      </c>
      <c r="D215" s="38">
        <v>2.4948024948024901</v>
      </c>
      <c r="E215" s="38">
        <v>69.542619542619505</v>
      </c>
      <c r="F215" s="38">
        <v>27.962577962577999</v>
      </c>
    </row>
    <row r="216" spans="1:6">
      <c r="A216" s="37" t="s">
        <v>759</v>
      </c>
      <c r="B216" s="37" t="s">
        <v>216</v>
      </c>
      <c r="C216" s="38">
        <v>2.2413793103448301</v>
      </c>
      <c r="D216" s="38">
        <v>1.2068965517241399</v>
      </c>
      <c r="E216" s="38">
        <v>77.672413793103402</v>
      </c>
      <c r="F216" s="38">
        <v>18.879310344827601</v>
      </c>
    </row>
    <row r="217" spans="1:6">
      <c r="A217" s="37" t="s">
        <v>766</v>
      </c>
      <c r="B217" s="37" t="s">
        <v>293</v>
      </c>
      <c r="C217" s="38">
        <v>0.59447983014862005</v>
      </c>
      <c r="D217" s="38">
        <v>0.89171974522292996</v>
      </c>
      <c r="E217" s="38">
        <v>66.157112526539294</v>
      </c>
      <c r="F217" s="38">
        <v>32.356687898089199</v>
      </c>
    </row>
    <row r="218" spans="1:6">
      <c r="A218" s="37" t="s">
        <v>726</v>
      </c>
      <c r="B218" s="37" t="s">
        <v>218</v>
      </c>
      <c r="C218" s="38">
        <v>1.30468150422103</v>
      </c>
      <c r="D218" s="38">
        <v>17.344589409055999</v>
      </c>
      <c r="E218" s="38">
        <v>72.371450498848802</v>
      </c>
      <c r="F218" s="38">
        <v>8.9792785878741395</v>
      </c>
    </row>
    <row r="219" spans="1:6">
      <c r="A219" s="37" t="s">
        <v>730</v>
      </c>
      <c r="B219" s="37" t="s">
        <v>219</v>
      </c>
      <c r="C219" s="38">
        <v>1.1703703703703701</v>
      </c>
      <c r="D219" s="38">
        <v>13.0666666666667</v>
      </c>
      <c r="E219" s="38">
        <v>80.740740740740705</v>
      </c>
      <c r="F219" s="38">
        <v>5.0222222222222204</v>
      </c>
    </row>
    <row r="220" spans="1:6">
      <c r="A220" s="37" t="s">
        <v>511</v>
      </c>
      <c r="B220" s="37" t="s">
        <v>512</v>
      </c>
      <c r="C220" s="38">
        <v>40.352874217416101</v>
      </c>
      <c r="D220" s="38">
        <v>56.346044393853198</v>
      </c>
      <c r="E220" s="38">
        <v>3.3010813887307902</v>
      </c>
      <c r="F220" s="38">
        <v>0</v>
      </c>
    </row>
    <row r="221" spans="1:6">
      <c r="A221" s="37" t="s">
        <v>719</v>
      </c>
      <c r="B221" s="37" t="s">
        <v>720</v>
      </c>
      <c r="C221" s="38">
        <v>0.39331366764995102</v>
      </c>
      <c r="D221" s="38">
        <v>18.682399213372701</v>
      </c>
      <c r="E221" s="38">
        <v>75.417895771878094</v>
      </c>
      <c r="F221" s="38">
        <v>5.50639134709931</v>
      </c>
    </row>
    <row r="222" spans="1:6">
      <c r="A222" s="37" t="s">
        <v>694</v>
      </c>
      <c r="B222" s="37" t="s">
        <v>222</v>
      </c>
      <c r="C222" s="38">
        <v>7.7181208053691304</v>
      </c>
      <c r="D222" s="38">
        <v>17.6174496644295</v>
      </c>
      <c r="E222" s="38">
        <v>74.328859060402706</v>
      </c>
      <c r="F222" s="38">
        <v>0.33557046979865801</v>
      </c>
    </row>
    <row r="223" spans="1:6">
      <c r="A223" s="37" t="s">
        <v>520</v>
      </c>
      <c r="B223" s="37" t="s">
        <v>223</v>
      </c>
      <c r="C223" s="38">
        <v>22.841614906832302</v>
      </c>
      <c r="D223" s="38">
        <v>73.773291925465799</v>
      </c>
      <c r="E223" s="38">
        <v>3.3385093167701898</v>
      </c>
      <c r="F223" s="38">
        <v>4.6583850931677002E-2</v>
      </c>
    </row>
    <row r="224" spans="1:6">
      <c r="A224" s="37" t="s">
        <v>724</v>
      </c>
      <c r="B224" s="37" t="s">
        <v>224</v>
      </c>
      <c r="C224" s="38">
        <v>0.48820179007323</v>
      </c>
      <c r="D224" s="38">
        <v>11.147274206672099</v>
      </c>
      <c r="E224" s="38">
        <v>87.510170870626496</v>
      </c>
      <c r="F224" s="38">
        <v>0.85435313262815304</v>
      </c>
    </row>
    <row r="225" spans="1:6">
      <c r="A225" s="37" t="s">
        <v>745</v>
      </c>
      <c r="B225" s="37" t="s">
        <v>225</v>
      </c>
      <c r="C225" s="38">
        <v>9.6370061034371998E-2</v>
      </c>
      <c r="D225" s="38">
        <v>4.0636042402826904</v>
      </c>
      <c r="E225" s="38">
        <v>95.631223899775094</v>
      </c>
      <c r="F225" s="38">
        <v>0.20880179890780601</v>
      </c>
    </row>
    <row r="226" spans="1:6">
      <c r="A226" s="37" t="s">
        <v>734</v>
      </c>
      <c r="B226" s="37" t="s">
        <v>226</v>
      </c>
      <c r="C226" s="38">
        <v>0</v>
      </c>
      <c r="D226" s="38">
        <v>7.8391274710293102</v>
      </c>
      <c r="E226" s="38">
        <v>91.842763008407204</v>
      </c>
      <c r="F226" s="38">
        <v>0.318109520563508</v>
      </c>
    </row>
    <row r="227" spans="1:6">
      <c r="A227" s="37" t="s">
        <v>547</v>
      </c>
      <c r="B227" s="37" t="s">
        <v>548</v>
      </c>
      <c r="C227" s="38">
        <v>10.241560618761</v>
      </c>
      <c r="D227" s="38">
        <v>88.554446391831107</v>
      </c>
      <c r="E227" s="38">
        <v>1.20399298940791</v>
      </c>
      <c r="F227" s="38">
        <v>0</v>
      </c>
    </row>
    <row r="228" spans="1:6">
      <c r="A228" s="37" t="s">
        <v>672</v>
      </c>
      <c r="B228" s="37" t="s">
        <v>228</v>
      </c>
      <c r="C228" s="38">
        <v>1.0752688172042999</v>
      </c>
      <c r="D228" s="38">
        <v>62.365591397849499</v>
      </c>
      <c r="E228" s="38">
        <v>36.559139784946197</v>
      </c>
      <c r="F228" s="38">
        <v>0</v>
      </c>
    </row>
    <row r="229" spans="1:6">
      <c r="A229" s="37" t="s">
        <v>554</v>
      </c>
      <c r="B229" s="37" t="s">
        <v>229</v>
      </c>
      <c r="C229" s="38">
        <v>8.4693427437141597</v>
      </c>
      <c r="D229" s="38">
        <v>90.560211733568593</v>
      </c>
      <c r="E229" s="38">
        <v>0.97044552271724704</v>
      </c>
      <c r="F229" s="38">
        <v>0</v>
      </c>
    </row>
    <row r="230" spans="1:6">
      <c r="A230" s="37" t="s">
        <v>485</v>
      </c>
      <c r="B230" s="37" t="s">
        <v>230</v>
      </c>
      <c r="C230" s="38">
        <v>70.752427184466001</v>
      </c>
      <c r="D230" s="38">
        <v>25.728155339805799</v>
      </c>
      <c r="E230" s="38">
        <v>2.9733009708737899</v>
      </c>
      <c r="F230" s="38">
        <v>0.54611650485436902</v>
      </c>
    </row>
    <row r="231" spans="1:6">
      <c r="A231" s="37" t="s">
        <v>660</v>
      </c>
      <c r="B231" s="37" t="s">
        <v>231</v>
      </c>
      <c r="C231" s="38">
        <v>2.7894002789400298</v>
      </c>
      <c r="D231" s="38">
        <v>69.456066945606693</v>
      </c>
      <c r="E231" s="38">
        <v>27.754532775453299</v>
      </c>
      <c r="F231" s="38">
        <v>0</v>
      </c>
    </row>
    <row r="232" spans="1:6">
      <c r="A232" s="37" t="s">
        <v>757</v>
      </c>
      <c r="B232" s="37" t="s">
        <v>232</v>
      </c>
      <c r="C232" s="38">
        <v>3.9258932509925</v>
      </c>
      <c r="D232" s="38">
        <v>4.2346713718570799</v>
      </c>
      <c r="E232" s="38">
        <v>72.165857962064393</v>
      </c>
      <c r="F232" s="38">
        <v>19.673577415086001</v>
      </c>
    </row>
    <row r="233" spans="1:6">
      <c r="A233" s="37" t="s">
        <v>617</v>
      </c>
      <c r="B233" s="37" t="s">
        <v>233</v>
      </c>
      <c r="C233" s="38">
        <v>1.06396294905495</v>
      </c>
      <c r="D233" s="38">
        <v>95.931906371260496</v>
      </c>
      <c r="E233" s="38">
        <v>3.0041306796845699</v>
      </c>
      <c r="F233" s="38">
        <v>0</v>
      </c>
    </row>
    <row r="234" spans="1:6">
      <c r="A234" s="37" t="s">
        <v>678</v>
      </c>
      <c r="B234" s="37" t="s">
        <v>234</v>
      </c>
      <c r="C234" s="38">
        <v>4.6970408642555202E-2</v>
      </c>
      <c r="D234" s="38">
        <v>55.769531861593897</v>
      </c>
      <c r="E234" s="38">
        <v>44.120870518240203</v>
      </c>
      <c r="F234" s="38">
        <v>6.2627211523406903E-2</v>
      </c>
    </row>
    <row r="235" spans="1:6">
      <c r="A235" s="37" t="s">
        <v>550</v>
      </c>
      <c r="B235" s="37" t="s">
        <v>235</v>
      </c>
      <c r="C235" s="38">
        <v>11.732355637030199</v>
      </c>
      <c r="D235" s="38">
        <v>84.876260311640706</v>
      </c>
      <c r="E235" s="38">
        <v>3.3913840513290601</v>
      </c>
      <c r="F235" s="38">
        <v>0</v>
      </c>
    </row>
    <row r="236" spans="1:6">
      <c r="A236" s="37" t="s">
        <v>729</v>
      </c>
      <c r="B236" s="37" t="s">
        <v>236</v>
      </c>
      <c r="C236" s="38">
        <v>4.4444444444444398E-2</v>
      </c>
      <c r="D236" s="38">
        <v>13.6444444444444</v>
      </c>
      <c r="E236" s="38">
        <v>83.1111111111111</v>
      </c>
      <c r="F236" s="38">
        <v>3.2</v>
      </c>
    </row>
    <row r="237" spans="1:6">
      <c r="A237" s="37" t="s">
        <v>532</v>
      </c>
      <c r="B237" s="37" t="s">
        <v>237</v>
      </c>
      <c r="C237" s="38">
        <v>24.215246636771301</v>
      </c>
      <c r="D237" s="38">
        <v>66.591928251121104</v>
      </c>
      <c r="E237" s="38">
        <v>9.1928251121076201</v>
      </c>
      <c r="F237" s="38">
        <v>0</v>
      </c>
    </row>
    <row r="238" spans="1:6">
      <c r="A238" s="37" t="s">
        <v>493</v>
      </c>
      <c r="B238" s="37" t="s">
        <v>238</v>
      </c>
      <c r="C238" s="38">
        <v>66.055045871559599</v>
      </c>
      <c r="D238" s="38">
        <v>24.7706422018349</v>
      </c>
      <c r="E238" s="38">
        <v>8.7155963302752308</v>
      </c>
      <c r="F238" s="38">
        <v>0.45871559633027498</v>
      </c>
    </row>
    <row r="239" spans="1:6">
      <c r="A239" s="37" t="s">
        <v>725</v>
      </c>
      <c r="B239" s="37" t="s">
        <v>239</v>
      </c>
      <c r="C239" s="38">
        <v>0</v>
      </c>
      <c r="D239" s="38">
        <v>11.148951424986601</v>
      </c>
      <c r="E239" s="38">
        <v>88.833124215809306</v>
      </c>
      <c r="F239" s="38">
        <v>1.79243592041585E-2</v>
      </c>
    </row>
    <row r="240" spans="1:6">
      <c r="A240" s="37" t="s">
        <v>738</v>
      </c>
      <c r="B240" s="37" t="s">
        <v>240</v>
      </c>
      <c r="C240" s="38">
        <v>0</v>
      </c>
      <c r="D240" s="38">
        <v>5.2970651395848201</v>
      </c>
      <c r="E240" s="38">
        <v>94.702934860415198</v>
      </c>
      <c r="F240" s="38">
        <v>0</v>
      </c>
    </row>
    <row r="241" spans="1:6">
      <c r="A241" s="37" t="s">
        <v>410</v>
      </c>
      <c r="B241" s="37" t="s">
        <v>241</v>
      </c>
      <c r="C241" s="38">
        <v>96.177814707104304</v>
      </c>
      <c r="D241" s="38">
        <v>2.7420024927295401</v>
      </c>
      <c r="E241" s="38">
        <v>1.08018280016618</v>
      </c>
      <c r="F241" s="38">
        <v>0</v>
      </c>
    </row>
    <row r="242" spans="1:6">
      <c r="A242" s="37" t="s">
        <v>744</v>
      </c>
      <c r="B242" s="37" t="s">
        <v>242</v>
      </c>
      <c r="C242" s="38">
        <v>3.9984006397440999E-2</v>
      </c>
      <c r="D242" s="38">
        <v>4.3982407037185096</v>
      </c>
      <c r="E242" s="38">
        <v>95.521791283486607</v>
      </c>
      <c r="F242" s="38">
        <v>3.9984006397440999E-2</v>
      </c>
    </row>
    <row r="243" spans="1:6">
      <c r="A243" s="37" t="s">
        <v>435</v>
      </c>
      <c r="B243" s="37" t="s">
        <v>243</v>
      </c>
      <c r="C243" s="38">
        <v>92.524186455584896</v>
      </c>
      <c r="D243" s="38">
        <v>6.5963060686015798</v>
      </c>
      <c r="E243" s="38">
        <v>0.87950747581354405</v>
      </c>
      <c r="F243" s="38">
        <v>0</v>
      </c>
    </row>
    <row r="244" spans="1:6">
      <c r="A244" s="37" t="s">
        <v>589</v>
      </c>
      <c r="B244" s="37" t="s">
        <v>244</v>
      </c>
      <c r="C244" s="38">
        <v>1.57662879666126</v>
      </c>
      <c r="D244" s="38">
        <v>97.727799675399993</v>
      </c>
      <c r="E244" s="38">
        <v>0.69557152793878996</v>
      </c>
      <c r="F244" s="38">
        <v>0</v>
      </c>
    </row>
    <row r="245" spans="1:6">
      <c r="A245" s="37" t="s">
        <v>373</v>
      </c>
      <c r="B245" s="37" t="s">
        <v>245</v>
      </c>
      <c r="C245" s="38">
        <v>100</v>
      </c>
      <c r="D245" s="38">
        <v>0</v>
      </c>
      <c r="E245" s="38">
        <v>0</v>
      </c>
      <c r="F245" s="38">
        <v>0</v>
      </c>
    </row>
    <row r="246" spans="1:6">
      <c r="A246" s="37" t="s">
        <v>375</v>
      </c>
      <c r="B246" s="37" t="s">
        <v>246</v>
      </c>
      <c r="C246" s="38">
        <v>99.813879287423603</v>
      </c>
      <c r="D246" s="38">
        <v>0.186120712576442</v>
      </c>
      <c r="E246" s="38">
        <v>0</v>
      </c>
      <c r="F246" s="38">
        <v>0</v>
      </c>
    </row>
    <row r="247" spans="1:6">
      <c r="A247" s="37" t="s">
        <v>514</v>
      </c>
      <c r="B247" s="37" t="s">
        <v>247</v>
      </c>
      <c r="C247" s="38">
        <v>31.1140408701384</v>
      </c>
      <c r="D247" s="38">
        <v>68.885959129861604</v>
      </c>
      <c r="E247" s="38">
        <v>0</v>
      </c>
      <c r="F247" s="38">
        <v>0</v>
      </c>
    </row>
    <row r="248" spans="1:6">
      <c r="A248" s="37" t="s">
        <v>376</v>
      </c>
      <c r="B248" s="37" t="s">
        <v>377</v>
      </c>
      <c r="C248" s="38">
        <v>99.571854058078898</v>
      </c>
      <c r="D248" s="38">
        <v>0.42814594192107203</v>
      </c>
      <c r="E248" s="38">
        <v>0</v>
      </c>
      <c r="F248" s="38">
        <v>0</v>
      </c>
    </row>
    <row r="249" spans="1:6">
      <c r="A249" s="37" t="s">
        <v>663</v>
      </c>
      <c r="B249" s="37" t="s">
        <v>249</v>
      </c>
      <c r="C249" s="38">
        <v>5.3087757313109396</v>
      </c>
      <c r="D249" s="38">
        <v>59.154929577464799</v>
      </c>
      <c r="E249" s="38">
        <v>35.536294691224299</v>
      </c>
      <c r="F249" s="38">
        <v>0</v>
      </c>
    </row>
    <row r="250" spans="1:6">
      <c r="A250" s="37" t="s">
        <v>688</v>
      </c>
      <c r="B250" s="37" t="s">
        <v>250</v>
      </c>
      <c r="C250" s="38">
        <v>2.06291903042806</v>
      </c>
      <c r="D250" s="38">
        <v>33.058277462609603</v>
      </c>
      <c r="E250" s="38">
        <v>64.620938628158797</v>
      </c>
      <c r="F250" s="38">
        <v>0.257864878803507</v>
      </c>
    </row>
    <row r="251" spans="1:6">
      <c r="A251" s="37" t="s">
        <v>629</v>
      </c>
      <c r="B251" s="37" t="s">
        <v>333</v>
      </c>
      <c r="C251" s="38">
        <v>2.5809479117785101</v>
      </c>
      <c r="D251" s="38">
        <v>89.863913655560793</v>
      </c>
      <c r="E251" s="38">
        <v>7.55513843266072</v>
      </c>
      <c r="F251" s="38">
        <v>0</v>
      </c>
    </row>
    <row r="252" spans="1:6">
      <c r="A252" s="37" t="s">
        <v>689</v>
      </c>
      <c r="B252" s="37" t="s">
        <v>252</v>
      </c>
      <c r="C252" s="38">
        <v>0.76680198466395999</v>
      </c>
      <c r="D252" s="38">
        <v>34.551195308976098</v>
      </c>
      <c r="E252" s="38">
        <v>64.501578709968399</v>
      </c>
      <c r="F252" s="38">
        <v>0.18042399639151999</v>
      </c>
    </row>
    <row r="253" spans="1:6">
      <c r="A253" s="37" t="s">
        <v>394</v>
      </c>
      <c r="B253" s="37" t="s">
        <v>153</v>
      </c>
      <c r="C253" s="38">
        <v>97.271993543180002</v>
      </c>
      <c r="D253" s="38">
        <v>2.53430185633575</v>
      </c>
      <c r="E253" s="38">
        <v>0.193704600484261</v>
      </c>
      <c r="F253" s="38">
        <v>0</v>
      </c>
    </row>
    <row r="254" spans="1:6">
      <c r="A254" s="37" t="s">
        <v>426</v>
      </c>
      <c r="B254" s="37" t="s">
        <v>253</v>
      </c>
      <c r="C254" s="38">
        <v>94.275862068965495</v>
      </c>
      <c r="D254" s="38">
        <v>4.4137931034482802</v>
      </c>
      <c r="E254" s="38">
        <v>1.31034482758621</v>
      </c>
      <c r="F254" s="38">
        <v>0</v>
      </c>
    </row>
    <row r="255" spans="1:6">
      <c r="A255" s="37" t="s">
        <v>388</v>
      </c>
      <c r="B255" s="37" t="s">
        <v>254</v>
      </c>
      <c r="C255" s="38">
        <v>97.443609022556402</v>
      </c>
      <c r="D255" s="38">
        <v>2.55639097744361</v>
      </c>
      <c r="E255" s="38">
        <v>0</v>
      </c>
      <c r="F255" s="38">
        <v>0</v>
      </c>
    </row>
    <row r="256" spans="1:6">
      <c r="A256" s="37" t="s">
        <v>722</v>
      </c>
      <c r="B256" s="37" t="s">
        <v>255</v>
      </c>
      <c r="C256" s="38">
        <v>4.5725646123260404</v>
      </c>
      <c r="D256" s="38">
        <v>2.1868787276341899</v>
      </c>
      <c r="E256" s="38">
        <v>93.2405566600398</v>
      </c>
      <c r="F256" s="38">
        <v>0</v>
      </c>
    </row>
    <row r="257" spans="1:6">
      <c r="A257" s="37" t="s">
        <v>445</v>
      </c>
      <c r="B257" s="37" t="s">
        <v>256</v>
      </c>
      <c r="C257" s="38">
        <v>89.459459459459495</v>
      </c>
      <c r="D257" s="38">
        <v>9.8198198198198199</v>
      </c>
      <c r="E257" s="38">
        <v>0.72072072072072102</v>
      </c>
      <c r="F257" s="38">
        <v>0</v>
      </c>
    </row>
    <row r="258" spans="1:6">
      <c r="A258" s="37" t="s">
        <v>566</v>
      </c>
      <c r="B258" s="37" t="s">
        <v>257</v>
      </c>
      <c r="C258" s="38">
        <v>7.9812206572770004</v>
      </c>
      <c r="D258" s="38">
        <v>88.638497652582203</v>
      </c>
      <c r="E258" s="38">
        <v>3.3802816901408401</v>
      </c>
      <c r="F258" s="38">
        <v>0</v>
      </c>
    </row>
    <row r="259" spans="1:6">
      <c r="A259" s="37" t="s">
        <v>632</v>
      </c>
      <c r="B259" s="37" t="s">
        <v>258</v>
      </c>
      <c r="C259" s="38">
        <v>5.36820371644873</v>
      </c>
      <c r="D259" s="38">
        <v>83.826565726083999</v>
      </c>
      <c r="E259" s="38">
        <v>10.805230557467301</v>
      </c>
      <c r="F259" s="38">
        <v>0</v>
      </c>
    </row>
    <row r="260" spans="1:6">
      <c r="A260" s="37" t="s">
        <v>517</v>
      </c>
      <c r="B260" s="37" t="s">
        <v>259</v>
      </c>
      <c r="C260" s="38">
        <v>27.738515901060101</v>
      </c>
      <c r="D260" s="38">
        <v>68.639575971731404</v>
      </c>
      <c r="E260" s="38">
        <v>3.6219081272084801</v>
      </c>
      <c r="F260" s="38">
        <v>0</v>
      </c>
    </row>
    <row r="261" spans="1:6">
      <c r="A261" s="37" t="s">
        <v>508</v>
      </c>
      <c r="B261" s="37" t="s">
        <v>509</v>
      </c>
      <c r="C261" s="38">
        <v>38.708739879593097</v>
      </c>
      <c r="D261" s="38">
        <v>61.112725762922999</v>
      </c>
      <c r="E261" s="38">
        <v>0.178534357483911</v>
      </c>
      <c r="F261" s="38">
        <v>0</v>
      </c>
    </row>
    <row r="262" spans="1:6">
      <c r="A262" s="37" t="s">
        <v>747</v>
      </c>
      <c r="B262" s="37" t="s">
        <v>748</v>
      </c>
      <c r="C262" s="38">
        <v>0.90410402275497803</v>
      </c>
      <c r="D262" s="38">
        <v>1.8590004063388901</v>
      </c>
      <c r="E262" s="38">
        <v>97.2368955709061</v>
      </c>
      <c r="F262" s="38">
        <v>0</v>
      </c>
    </row>
    <row r="263" spans="1:6">
      <c r="A263" s="37" t="s">
        <v>383</v>
      </c>
      <c r="B263" s="37" t="s">
        <v>262</v>
      </c>
      <c r="C263" s="38">
        <v>98.637051993942407</v>
      </c>
      <c r="D263" s="38">
        <v>0.92882382635032801</v>
      </c>
      <c r="E263" s="38">
        <v>0.434124179707219</v>
      </c>
      <c r="F263" s="38">
        <v>0</v>
      </c>
    </row>
    <row r="264" spans="1:6">
      <c r="A264" s="37" t="s">
        <v>697</v>
      </c>
      <c r="B264" s="37" t="s">
        <v>263</v>
      </c>
      <c r="C264" s="38">
        <v>2.4248633879781401</v>
      </c>
      <c r="D264" s="38">
        <v>25.068306010929</v>
      </c>
      <c r="E264" s="38">
        <v>72.506830601092901</v>
      </c>
      <c r="F264" s="38">
        <v>0</v>
      </c>
    </row>
    <row r="265" spans="1:6">
      <c r="A265" s="37" t="s">
        <v>437</v>
      </c>
      <c r="B265" s="37" t="s">
        <v>264</v>
      </c>
      <c r="C265" s="38">
        <v>93.941660433807002</v>
      </c>
      <c r="D265" s="38">
        <v>2.9917726252804799</v>
      </c>
      <c r="E265" s="38">
        <v>3.06656694091249</v>
      </c>
      <c r="F265" s="38">
        <v>0</v>
      </c>
    </row>
    <row r="266" spans="1:6">
      <c r="A266" s="37" t="s">
        <v>505</v>
      </c>
      <c r="B266" s="37" t="s">
        <v>265</v>
      </c>
      <c r="C266" s="38">
        <v>40.997229916897503</v>
      </c>
      <c r="D266" s="38">
        <v>58.636723387415898</v>
      </c>
      <c r="E266" s="38">
        <v>0.36604669568658499</v>
      </c>
      <c r="F266" s="38">
        <v>0</v>
      </c>
    </row>
    <row r="267" spans="1:6">
      <c r="A267" s="37" t="s">
        <v>424</v>
      </c>
      <c r="B267" s="37" t="s">
        <v>425</v>
      </c>
      <c r="C267" s="38">
        <v>93.167028199566204</v>
      </c>
      <c r="D267" s="38">
        <v>6.8329718004338398</v>
      </c>
      <c r="E267" s="38">
        <v>0</v>
      </c>
      <c r="F267" s="38">
        <v>0</v>
      </c>
    </row>
    <row r="268" spans="1:6">
      <c r="A268" s="37" t="s">
        <v>381</v>
      </c>
      <c r="B268" s="37" t="s">
        <v>267</v>
      </c>
      <c r="C268" s="38">
        <v>99.033192017371505</v>
      </c>
      <c r="D268" s="38">
        <v>0.43428807775824602</v>
      </c>
      <c r="E268" s="38">
        <v>0.53251990487023104</v>
      </c>
      <c r="F268" s="38">
        <v>0</v>
      </c>
    </row>
    <row r="269" spans="1:6">
      <c r="A269" s="37" t="s">
        <v>668</v>
      </c>
      <c r="B269" s="37" t="s">
        <v>268</v>
      </c>
      <c r="C269" s="38">
        <v>0.77940650697175595</v>
      </c>
      <c r="D269" s="38">
        <v>64.419020378977507</v>
      </c>
      <c r="E269" s="38">
        <v>34.801573114050797</v>
      </c>
      <c r="F269" s="38">
        <v>0</v>
      </c>
    </row>
    <row r="270" spans="1:6">
      <c r="A270" s="37" t="s">
        <v>382</v>
      </c>
      <c r="B270" s="37" t="s">
        <v>269</v>
      </c>
      <c r="C270" s="38">
        <v>98.689189189189193</v>
      </c>
      <c r="D270" s="38">
        <v>0.98648648648648696</v>
      </c>
      <c r="E270" s="38">
        <v>0.32432432432432401</v>
      </c>
      <c r="F270" s="38">
        <v>0</v>
      </c>
    </row>
    <row r="271" spans="1:6">
      <c r="A271" s="37" t="s">
        <v>584</v>
      </c>
      <c r="B271" s="37" t="s">
        <v>270</v>
      </c>
      <c r="C271" s="38">
        <v>4.4739022369511199</v>
      </c>
      <c r="D271" s="38">
        <v>92.8748964374482</v>
      </c>
      <c r="E271" s="38">
        <v>2.6512013256006601</v>
      </c>
      <c r="F271" s="38">
        <v>0</v>
      </c>
    </row>
    <row r="272" spans="1:6">
      <c r="A272" s="37" t="s">
        <v>470</v>
      </c>
      <c r="B272" s="37" t="s">
        <v>271</v>
      </c>
      <c r="C272" s="38">
        <v>81.317446043165504</v>
      </c>
      <c r="D272" s="38">
        <v>17.805755395683502</v>
      </c>
      <c r="E272" s="38">
        <v>0.87679856115107901</v>
      </c>
      <c r="F272" s="38">
        <v>0</v>
      </c>
    </row>
    <row r="273" spans="1:6">
      <c r="A273" s="37" t="s">
        <v>472</v>
      </c>
      <c r="B273" s="37" t="s">
        <v>473</v>
      </c>
      <c r="C273" s="38">
        <v>86.607142857142904</v>
      </c>
      <c r="D273" s="38">
        <v>5.9523809523809499</v>
      </c>
      <c r="E273" s="38">
        <v>7.4404761904761898</v>
      </c>
      <c r="F273" s="38">
        <v>0</v>
      </c>
    </row>
    <row r="274" spans="1:6">
      <c r="A274" s="37" t="s">
        <v>620</v>
      </c>
      <c r="B274" s="37" t="s">
        <v>273</v>
      </c>
      <c r="C274" s="38">
        <v>6.4384678076609596</v>
      </c>
      <c r="D274" s="38">
        <v>84.189079054604704</v>
      </c>
      <c r="E274" s="38">
        <v>9.3724531377343094</v>
      </c>
      <c r="F274" s="38">
        <v>0</v>
      </c>
    </row>
    <row r="275" spans="1:6">
      <c r="A275" s="37" t="s">
        <v>716</v>
      </c>
      <c r="B275" s="37" t="s">
        <v>717</v>
      </c>
      <c r="C275" s="38">
        <v>0.37584886319955602</v>
      </c>
      <c r="D275" s="38">
        <v>15.3016044760183</v>
      </c>
      <c r="E275" s="38">
        <v>84.322546660782194</v>
      </c>
      <c r="F275" s="38">
        <v>0</v>
      </c>
    </row>
    <row r="276" spans="1:6">
      <c r="A276" s="37" t="s">
        <v>549</v>
      </c>
      <c r="B276" s="37" t="s">
        <v>275</v>
      </c>
      <c r="C276" s="38">
        <v>11.519326444699599</v>
      </c>
      <c r="D276" s="38">
        <v>85.993111366245699</v>
      </c>
      <c r="E276" s="38">
        <v>2.4875621890547301</v>
      </c>
      <c r="F276" s="38">
        <v>0</v>
      </c>
    </row>
    <row r="277" spans="1:6">
      <c r="A277" s="37" t="s">
        <v>526</v>
      </c>
      <c r="B277" s="37" t="s">
        <v>527</v>
      </c>
      <c r="C277" s="38">
        <v>19.1268191268191</v>
      </c>
      <c r="D277" s="38">
        <v>79.6257796257796</v>
      </c>
      <c r="E277" s="38">
        <v>1.2474012474012499</v>
      </c>
      <c r="F277" s="38">
        <v>0</v>
      </c>
    </row>
    <row r="278" spans="1:6">
      <c r="A278" s="37" t="s">
        <v>559</v>
      </c>
      <c r="B278" s="37" t="s">
        <v>560</v>
      </c>
      <c r="C278" s="38">
        <v>6.5880039331366804</v>
      </c>
      <c r="D278" s="38">
        <v>92.592592592592595</v>
      </c>
      <c r="E278" s="38">
        <v>0.81940347427073101</v>
      </c>
      <c r="F278" s="38">
        <v>0</v>
      </c>
    </row>
    <row r="279" spans="1:6">
      <c r="A279" s="37" t="s">
        <v>440</v>
      </c>
      <c r="B279" s="37" t="s">
        <v>278</v>
      </c>
      <c r="C279" s="38">
        <v>91.454545454545496</v>
      </c>
      <c r="D279" s="38">
        <v>7.6363636363636402</v>
      </c>
      <c r="E279" s="38">
        <v>0.90909090909090895</v>
      </c>
      <c r="F279" s="38">
        <v>0</v>
      </c>
    </row>
    <row r="280" spans="1:6">
      <c r="A280" s="37" t="s">
        <v>585</v>
      </c>
      <c r="B280" s="37" t="s">
        <v>279</v>
      </c>
      <c r="C280" s="38">
        <v>1.63170163170163</v>
      </c>
      <c r="D280" s="38">
        <v>98.368298368298397</v>
      </c>
      <c r="E280" s="38">
        <v>0</v>
      </c>
      <c r="F280" s="38">
        <v>0</v>
      </c>
    </row>
    <row r="281" spans="1:6">
      <c r="A281" s="37" t="s">
        <v>432</v>
      </c>
      <c r="B281" s="37" t="s">
        <v>280</v>
      </c>
      <c r="C281" s="38">
        <v>94.487960545401805</v>
      </c>
      <c r="D281" s="38">
        <v>2.9590948651000901</v>
      </c>
      <c r="E281" s="38">
        <v>2.55294458949811</v>
      </c>
      <c r="F281" s="38">
        <v>0</v>
      </c>
    </row>
    <row r="282" spans="1:6">
      <c r="A282" s="37" t="s">
        <v>503</v>
      </c>
      <c r="B282" s="37" t="s">
        <v>504</v>
      </c>
      <c r="C282" s="38">
        <v>53.3333333333333</v>
      </c>
      <c r="D282" s="38">
        <v>41.3333333333333</v>
      </c>
      <c r="E282" s="38">
        <v>5.3333333333333304</v>
      </c>
      <c r="F282" s="38">
        <v>0</v>
      </c>
    </row>
    <row r="283" spans="1:6">
      <c r="A283" s="37" t="s">
        <v>705</v>
      </c>
      <c r="B283" s="37" t="s">
        <v>706</v>
      </c>
      <c r="C283" s="38">
        <v>3.6890645586297799</v>
      </c>
      <c r="D283" s="38">
        <v>25.823451910408401</v>
      </c>
      <c r="E283" s="38">
        <v>61.7918313570487</v>
      </c>
      <c r="F283" s="38">
        <v>8.6956521739130395</v>
      </c>
    </row>
    <row r="284" spans="1:6">
      <c r="A284" s="37" t="s">
        <v>703</v>
      </c>
      <c r="B284" s="37" t="s">
        <v>704</v>
      </c>
      <c r="C284" s="38">
        <v>4.9019607843137303</v>
      </c>
      <c r="D284" s="38">
        <v>16.993464052287599</v>
      </c>
      <c r="E284" s="38">
        <v>76.797385620914994</v>
      </c>
      <c r="F284" s="38">
        <v>1.3071895424836599</v>
      </c>
    </row>
    <row r="285" spans="1:6">
      <c r="A285" s="37" t="s">
        <v>665</v>
      </c>
      <c r="B285" s="37" t="s">
        <v>284</v>
      </c>
      <c r="C285" s="38">
        <v>10.457516339869301</v>
      </c>
      <c r="D285" s="38">
        <v>46.405228758169898</v>
      </c>
      <c r="E285" s="38">
        <v>43.137254901960802</v>
      </c>
      <c r="F285" s="38">
        <v>0</v>
      </c>
    </row>
    <row r="286" spans="1:6">
      <c r="A286" s="37" t="s">
        <v>561</v>
      </c>
      <c r="B286" s="37" t="s">
        <v>285</v>
      </c>
      <c r="C286" s="38">
        <v>12.348668280871699</v>
      </c>
      <c r="D286" s="38">
        <v>80.871670702179202</v>
      </c>
      <c r="E286" s="38">
        <v>6.7796610169491496</v>
      </c>
      <c r="F286" s="38">
        <v>0</v>
      </c>
    </row>
    <row r="287" spans="1:6">
      <c r="A287" s="37" t="s">
        <v>679</v>
      </c>
      <c r="B287" s="37" t="s">
        <v>680</v>
      </c>
      <c r="C287" s="38">
        <v>2.67618198037467</v>
      </c>
      <c r="D287" s="38">
        <v>43.8893844781445</v>
      </c>
      <c r="E287" s="38">
        <v>53.4344335414808</v>
      </c>
      <c r="F287" s="38">
        <v>0</v>
      </c>
    </row>
    <row r="288" spans="1:6">
      <c r="A288" s="37" t="s">
        <v>583</v>
      </c>
      <c r="B288" s="37" t="s">
        <v>287</v>
      </c>
      <c r="C288" s="38">
        <v>14.320096269554799</v>
      </c>
      <c r="D288" s="38">
        <v>73.285198555956697</v>
      </c>
      <c r="E288" s="38">
        <v>12.3947051744886</v>
      </c>
      <c r="F288" s="38">
        <v>0</v>
      </c>
    </row>
    <row r="289" spans="1:6">
      <c r="A289" s="37" t="s">
        <v>701</v>
      </c>
      <c r="B289" s="37" t="s">
        <v>288</v>
      </c>
      <c r="C289" s="38">
        <v>2.98507462686567</v>
      </c>
      <c r="D289" s="38">
        <v>23.880597014925399</v>
      </c>
      <c r="E289" s="38">
        <v>71.9402985074627</v>
      </c>
      <c r="F289" s="38">
        <v>1.1940298507462701</v>
      </c>
    </row>
    <row r="290" spans="1:6">
      <c r="A290" s="37" t="s">
        <v>572</v>
      </c>
      <c r="B290" s="37" t="s">
        <v>289</v>
      </c>
      <c r="C290" s="38">
        <v>3.4602076124567498</v>
      </c>
      <c r="D290" s="38">
        <v>96.539792387543301</v>
      </c>
      <c r="E290" s="38">
        <v>0</v>
      </c>
      <c r="F290" s="38">
        <v>0</v>
      </c>
    </row>
    <row r="291" spans="1:6">
      <c r="A291" s="37" t="s">
        <v>474</v>
      </c>
      <c r="B291" s="37" t="s">
        <v>475</v>
      </c>
      <c r="C291" s="38">
        <v>80.762852404643496</v>
      </c>
      <c r="D291" s="38">
        <v>17.412935323383099</v>
      </c>
      <c r="E291" s="38">
        <v>1.8242122719734699</v>
      </c>
      <c r="F291" s="38">
        <v>0</v>
      </c>
    </row>
    <row r="292" spans="1:6">
      <c r="A292" s="37" t="s">
        <v>429</v>
      </c>
      <c r="B292" s="37" t="s">
        <v>291</v>
      </c>
      <c r="C292" s="38">
        <v>92.504930966469402</v>
      </c>
      <c r="D292" s="38">
        <v>7.4950690335305703</v>
      </c>
      <c r="E292" s="38">
        <v>0</v>
      </c>
      <c r="F292" s="38">
        <v>0</v>
      </c>
    </row>
    <row r="293" spans="1:6">
      <c r="A293" s="37" t="s">
        <v>392</v>
      </c>
      <c r="B293" s="37" t="s">
        <v>393</v>
      </c>
      <c r="C293" s="38">
        <v>97.258641239570906</v>
      </c>
      <c r="D293" s="38">
        <v>2.7413587604290801</v>
      </c>
      <c r="E293" s="38">
        <v>0</v>
      </c>
      <c r="F293" s="38">
        <v>0</v>
      </c>
    </row>
    <row r="294" spans="1:6">
      <c r="A294" s="37" t="s">
        <v>577</v>
      </c>
      <c r="B294" s="37" t="s">
        <v>293</v>
      </c>
      <c r="C294" s="38">
        <v>4.7633313361294203</v>
      </c>
      <c r="D294" s="38">
        <v>93.139604553624906</v>
      </c>
      <c r="E294" s="38">
        <v>2.0970641102456602</v>
      </c>
      <c r="F294" s="38">
        <v>0</v>
      </c>
    </row>
    <row r="295" spans="1:6">
      <c r="A295" s="37" t="s">
        <v>676</v>
      </c>
      <c r="B295" s="37" t="s">
        <v>294</v>
      </c>
      <c r="C295" s="38">
        <v>0.135025654874426</v>
      </c>
      <c r="D295" s="38">
        <v>56.531866054550399</v>
      </c>
      <c r="E295" s="38">
        <v>43.333108290575197</v>
      </c>
      <c r="F295" s="38">
        <v>0</v>
      </c>
    </row>
    <row r="296" spans="1:6">
      <c r="A296" s="37" t="s">
        <v>621</v>
      </c>
      <c r="B296" s="37" t="s">
        <v>295</v>
      </c>
      <c r="C296" s="38">
        <v>0.62189054726368198</v>
      </c>
      <c r="D296" s="38">
        <v>95.605306799336702</v>
      </c>
      <c r="E296" s="38">
        <v>3.7728026533996699</v>
      </c>
      <c r="F296" s="38">
        <v>0</v>
      </c>
    </row>
    <row r="297" spans="1:6">
      <c r="A297" s="37" t="s">
        <v>553</v>
      </c>
      <c r="B297" s="37" t="s">
        <v>296</v>
      </c>
      <c r="C297" s="38">
        <v>12.157534246575301</v>
      </c>
      <c r="D297" s="38">
        <v>83.390410958904098</v>
      </c>
      <c r="E297" s="38">
        <v>4.4520547945205502</v>
      </c>
      <c r="F297" s="38">
        <v>0</v>
      </c>
    </row>
    <row r="298" spans="1:6">
      <c r="A298" s="37" t="s">
        <v>408</v>
      </c>
      <c r="B298" s="37" t="s">
        <v>297</v>
      </c>
      <c r="C298" s="38">
        <v>96.863714122790299</v>
      </c>
      <c r="D298" s="38">
        <v>1.7107013875688999</v>
      </c>
      <c r="E298" s="38">
        <v>1.4255844896407499</v>
      </c>
      <c r="F298" s="38">
        <v>0</v>
      </c>
    </row>
    <row r="299" spans="1:6">
      <c r="A299" s="37" t="s">
        <v>669</v>
      </c>
      <c r="B299" s="37" t="s">
        <v>298</v>
      </c>
      <c r="C299" s="38">
        <v>0</v>
      </c>
      <c r="D299" s="38">
        <v>65.885623510722795</v>
      </c>
      <c r="E299" s="38">
        <v>34.114376489277198</v>
      </c>
      <c r="F299" s="38">
        <v>0</v>
      </c>
    </row>
    <row r="300" spans="1:6">
      <c r="A300" s="37" t="s">
        <v>749</v>
      </c>
      <c r="B300" s="37" t="s">
        <v>299</v>
      </c>
      <c r="C300" s="38">
        <v>0.798274002157497</v>
      </c>
      <c r="D300" s="38">
        <v>1.76914778856526</v>
      </c>
      <c r="E300" s="38">
        <v>97.432578209277196</v>
      </c>
      <c r="F300" s="38">
        <v>0</v>
      </c>
    </row>
    <row r="301" spans="1:6">
      <c r="A301" s="37" t="s">
        <v>374</v>
      </c>
      <c r="B301" s="37" t="s">
        <v>300</v>
      </c>
      <c r="C301" s="38">
        <v>99.905674615152407</v>
      </c>
      <c r="D301" s="38">
        <v>9.4325384847570207E-2</v>
      </c>
      <c r="E301" s="38">
        <v>0</v>
      </c>
      <c r="F301" s="38">
        <v>0</v>
      </c>
    </row>
    <row r="302" spans="1:6">
      <c r="A302" s="37" t="s">
        <v>494</v>
      </c>
      <c r="B302" s="37" t="s">
        <v>301</v>
      </c>
      <c r="C302" s="38">
        <v>58.058975093043202</v>
      </c>
      <c r="D302" s="38">
        <v>40.452333237904398</v>
      </c>
      <c r="E302" s="38">
        <v>1.2024048096192399</v>
      </c>
      <c r="F302" s="38">
        <v>0.28628685943315202</v>
      </c>
    </row>
    <row r="303" spans="1:6">
      <c r="A303" s="37" t="s">
        <v>552</v>
      </c>
      <c r="B303" s="37" t="s">
        <v>302</v>
      </c>
      <c r="C303" s="38">
        <v>12.2330097087379</v>
      </c>
      <c r="D303" s="38">
        <v>83.883495145631102</v>
      </c>
      <c r="E303" s="38">
        <v>3.6893203883495098</v>
      </c>
      <c r="F303" s="38">
        <v>0.19417475728155301</v>
      </c>
    </row>
    <row r="304" spans="1:6">
      <c r="A304" s="37" t="s">
        <v>486</v>
      </c>
      <c r="B304" s="37" t="s">
        <v>303</v>
      </c>
      <c r="C304" s="38">
        <v>65.501329579227303</v>
      </c>
      <c r="D304" s="38">
        <v>34.490849366494601</v>
      </c>
      <c r="E304" s="38">
        <v>7.8210542781166903E-3</v>
      </c>
      <c r="F304" s="38">
        <v>0</v>
      </c>
    </row>
    <row r="305" spans="1:6">
      <c r="A305" s="37" t="s">
        <v>369</v>
      </c>
      <c r="B305" s="37" t="s">
        <v>304</v>
      </c>
      <c r="C305" s="38">
        <v>100</v>
      </c>
      <c r="D305" s="38">
        <v>0</v>
      </c>
      <c r="E305" s="38">
        <v>0</v>
      </c>
      <c r="F305" s="38">
        <v>0</v>
      </c>
    </row>
    <row r="306" spans="1:6">
      <c r="A306" s="37" t="s">
        <v>415</v>
      </c>
      <c r="B306" s="37" t="s">
        <v>416</v>
      </c>
      <c r="C306" s="38">
        <v>94.707341725627103</v>
      </c>
      <c r="D306" s="38">
        <v>5.2926582743728696</v>
      </c>
      <c r="E306" s="38">
        <v>0</v>
      </c>
      <c r="F306" s="38">
        <v>0</v>
      </c>
    </row>
    <row r="307" spans="1:6">
      <c r="A307" s="37" t="s">
        <v>615</v>
      </c>
      <c r="B307" s="37" t="s">
        <v>306</v>
      </c>
      <c r="C307" s="38">
        <v>1.1678064176749099</v>
      </c>
      <c r="D307" s="38">
        <v>96.033666491320403</v>
      </c>
      <c r="E307" s="38">
        <v>2.79852709100473</v>
      </c>
      <c r="F307" s="38">
        <v>0</v>
      </c>
    </row>
    <row r="308" spans="1:6">
      <c r="A308" s="37" t="s">
        <v>605</v>
      </c>
      <c r="B308" s="37" t="s">
        <v>307</v>
      </c>
      <c r="C308" s="38">
        <v>0.22153035564602999</v>
      </c>
      <c r="D308" s="38">
        <v>98.586995569392897</v>
      </c>
      <c r="E308" s="38">
        <v>1.1914740749610799</v>
      </c>
      <c r="F308" s="38">
        <v>0</v>
      </c>
    </row>
    <row r="309" spans="1:6">
      <c r="A309" s="37" t="s">
        <v>733</v>
      </c>
      <c r="B309" s="37" t="s">
        <v>252</v>
      </c>
      <c r="C309" s="38">
        <v>0.956300689989105</v>
      </c>
      <c r="D309" s="38">
        <v>7.1662026389057001</v>
      </c>
      <c r="E309" s="38">
        <v>91.877496671105206</v>
      </c>
      <c r="F309" s="38">
        <v>0</v>
      </c>
    </row>
    <row r="310" spans="1:6">
      <c r="A310" s="37" t="s">
        <v>633</v>
      </c>
      <c r="B310" s="37" t="s">
        <v>308</v>
      </c>
      <c r="C310" s="38">
        <v>0</v>
      </c>
      <c r="D310" s="38">
        <v>94.126213592233</v>
      </c>
      <c r="E310" s="38">
        <v>5.8737864077669899</v>
      </c>
      <c r="F310" s="38">
        <v>0</v>
      </c>
    </row>
    <row r="311" spans="1:6">
      <c r="A311" s="37" t="s">
        <v>751</v>
      </c>
      <c r="B311" s="37" t="s">
        <v>295</v>
      </c>
      <c r="C311" s="38">
        <v>0.27682427195216502</v>
      </c>
      <c r="D311" s="38">
        <v>2.5578562728379999</v>
      </c>
      <c r="E311" s="38">
        <v>97.165319455209797</v>
      </c>
      <c r="F311" s="38">
        <v>0</v>
      </c>
    </row>
    <row r="312" spans="1:6">
      <c r="A312" s="37" t="s">
        <v>599</v>
      </c>
      <c r="B312" s="37" t="s">
        <v>309</v>
      </c>
      <c r="C312" s="38">
        <v>0.173297166968053</v>
      </c>
      <c r="D312" s="38">
        <v>99.344484629294797</v>
      </c>
      <c r="E312" s="38">
        <v>0.48221820373719099</v>
      </c>
      <c r="F312" s="38">
        <v>0</v>
      </c>
    </row>
    <row r="313" spans="1:6">
      <c r="A313" s="37" t="s">
        <v>598</v>
      </c>
      <c r="B313" s="37" t="s">
        <v>310</v>
      </c>
      <c r="C313" s="38">
        <v>0</v>
      </c>
      <c r="D313" s="38">
        <v>99.740217567786999</v>
      </c>
      <c r="E313" s="38">
        <v>0.259782432213022</v>
      </c>
      <c r="F313" s="38">
        <v>0</v>
      </c>
    </row>
    <row r="314" spans="1:6">
      <c r="A314" s="37" t="s">
        <v>690</v>
      </c>
      <c r="B314" s="37" t="s">
        <v>311</v>
      </c>
      <c r="C314" s="38">
        <v>2.6583393386179801</v>
      </c>
      <c r="D314" s="38">
        <v>30.154535991672699</v>
      </c>
      <c r="E314" s="38">
        <v>67.187124669709306</v>
      </c>
      <c r="F314" s="38">
        <v>0</v>
      </c>
    </row>
    <row r="315" spans="1:6">
      <c r="A315" s="37" t="s">
        <v>466</v>
      </c>
      <c r="B315" s="37" t="s">
        <v>312</v>
      </c>
      <c r="C315" s="38">
        <v>81.060102018185901</v>
      </c>
      <c r="D315" s="38">
        <v>18.895542248835699</v>
      </c>
      <c r="E315" s="38">
        <v>4.4355732978487501E-2</v>
      </c>
      <c r="F315" s="38">
        <v>0</v>
      </c>
    </row>
    <row r="316" spans="1:6">
      <c r="A316" s="37" t="s">
        <v>428</v>
      </c>
      <c r="B316" s="37" t="s">
        <v>313</v>
      </c>
      <c r="C316" s="38">
        <v>95.951130856219706</v>
      </c>
      <c r="D316" s="38">
        <v>0.626009693053312</v>
      </c>
      <c r="E316" s="38">
        <v>3.4228594507269801</v>
      </c>
      <c r="F316" s="38">
        <v>0</v>
      </c>
    </row>
    <row r="317" spans="1:6">
      <c r="A317" s="37" t="s">
        <v>404</v>
      </c>
      <c r="B317" s="37" t="s">
        <v>405</v>
      </c>
      <c r="C317" s="38">
        <v>96.734234234234194</v>
      </c>
      <c r="D317" s="38">
        <v>2.0645645645645598</v>
      </c>
      <c r="E317" s="38">
        <v>1.2012012012012001</v>
      </c>
      <c r="F317" s="38">
        <v>0</v>
      </c>
    </row>
    <row r="318" spans="1:6">
      <c r="A318" s="37" t="s">
        <v>384</v>
      </c>
      <c r="B318" s="37" t="s">
        <v>385</v>
      </c>
      <c r="C318" s="38">
        <v>98.124901517936905</v>
      </c>
      <c r="D318" s="38">
        <v>1.8015652082567399</v>
      </c>
      <c r="E318" s="38">
        <v>7.3533273806397403E-2</v>
      </c>
      <c r="F318" s="38">
        <v>0</v>
      </c>
    </row>
    <row r="319" spans="1:6">
      <c r="A319" s="37" t="s">
        <v>753</v>
      </c>
      <c r="B319" s="37" t="s">
        <v>316</v>
      </c>
      <c r="C319" s="38">
        <v>0.401223533150598</v>
      </c>
      <c r="D319" s="38">
        <v>0.957374965240535</v>
      </c>
      <c r="E319" s="38">
        <v>98.641401501608897</v>
      </c>
      <c r="F319" s="38">
        <v>0</v>
      </c>
    </row>
    <row r="320" spans="1:6">
      <c r="A320" s="37" t="s">
        <v>513</v>
      </c>
      <c r="B320" s="37" t="s">
        <v>317</v>
      </c>
      <c r="C320" s="38">
        <v>32.336568983760401</v>
      </c>
      <c r="D320" s="38">
        <v>66.582325067856701</v>
      </c>
      <c r="E320" s="38">
        <v>1.0811059483829399</v>
      </c>
      <c r="F320" s="38">
        <v>0</v>
      </c>
    </row>
    <row r="321" spans="1:6">
      <c r="A321" s="37" t="s">
        <v>750</v>
      </c>
      <c r="B321" s="37" t="s">
        <v>318</v>
      </c>
      <c r="C321" s="38">
        <v>0.28172982110156403</v>
      </c>
      <c r="D321" s="38">
        <v>2.74686575574025</v>
      </c>
      <c r="E321" s="38">
        <v>96.971404423158205</v>
      </c>
      <c r="F321" s="38">
        <v>0</v>
      </c>
    </row>
    <row r="322" spans="1:6">
      <c r="A322" s="37" t="s">
        <v>752</v>
      </c>
      <c r="B322" s="37" t="s">
        <v>319</v>
      </c>
      <c r="C322" s="38">
        <v>2.9259728859845902E-2</v>
      </c>
      <c r="D322" s="38">
        <v>1.95064859065639</v>
      </c>
      <c r="E322" s="38">
        <v>98.020091680483802</v>
      </c>
      <c r="F322" s="38">
        <v>0</v>
      </c>
    </row>
    <row r="323" spans="1:6">
      <c r="A323" s="37" t="s">
        <v>618</v>
      </c>
      <c r="B323" s="37" t="s">
        <v>320</v>
      </c>
      <c r="C323" s="38">
        <v>0.77123738232959005</v>
      </c>
      <c r="D323" s="38">
        <v>96.041737552455501</v>
      </c>
      <c r="E323" s="38">
        <v>3.1870250652149301</v>
      </c>
      <c r="F323" s="38">
        <v>0</v>
      </c>
    </row>
    <row r="324" spans="1:6">
      <c r="A324" s="37" t="s">
        <v>746</v>
      </c>
      <c r="B324" s="37" t="s">
        <v>296</v>
      </c>
      <c r="C324" s="38">
        <v>3.6044695422323698E-2</v>
      </c>
      <c r="D324" s="38">
        <v>3.6405142376546902</v>
      </c>
      <c r="E324" s="38">
        <v>96.323441066922996</v>
      </c>
      <c r="F324" s="38">
        <v>0</v>
      </c>
    </row>
    <row r="325" spans="1:6">
      <c r="A325" s="37" t="s">
        <v>626</v>
      </c>
      <c r="B325" s="37" t="s">
        <v>321</v>
      </c>
      <c r="C325" s="38">
        <v>0</v>
      </c>
      <c r="D325" s="38">
        <v>95.870736086175896</v>
      </c>
      <c r="E325" s="38">
        <v>4.1292639138240599</v>
      </c>
      <c r="F325" s="38">
        <v>0</v>
      </c>
    </row>
    <row r="326" spans="1:6">
      <c r="A326" s="37" t="s">
        <v>604</v>
      </c>
      <c r="B326" s="37" t="s">
        <v>322</v>
      </c>
      <c r="C326" s="38">
        <v>0</v>
      </c>
      <c r="D326" s="38">
        <v>99.2019154030327</v>
      </c>
      <c r="E326" s="38">
        <v>0.79808459696727896</v>
      </c>
      <c r="F326" s="38">
        <v>0</v>
      </c>
    </row>
    <row r="327" spans="1:6">
      <c r="A327" s="37" t="s">
        <v>591</v>
      </c>
      <c r="B327" s="37" t="s">
        <v>323</v>
      </c>
      <c r="C327" s="38">
        <v>0.41807456617604899</v>
      </c>
      <c r="D327" s="38">
        <v>99.209667258461707</v>
      </c>
      <c r="E327" s="38">
        <v>0.37225817536223599</v>
      </c>
      <c r="F327" s="38">
        <v>0</v>
      </c>
    </row>
    <row r="328" spans="1:6">
      <c r="A328" s="37" t="s">
        <v>616</v>
      </c>
      <c r="B328" s="37" t="s">
        <v>324</v>
      </c>
      <c r="C328" s="38">
        <v>0</v>
      </c>
      <c r="D328" s="38">
        <v>98.365896980461798</v>
      </c>
      <c r="E328" s="38">
        <v>1.63410301953819</v>
      </c>
      <c r="F328" s="38">
        <v>0</v>
      </c>
    </row>
    <row r="329" spans="1:6">
      <c r="A329" s="37" t="s">
        <v>578</v>
      </c>
      <c r="B329" s="37" t="s">
        <v>325</v>
      </c>
      <c r="C329" s="38">
        <v>2.5271294782220899</v>
      </c>
      <c r="D329" s="38">
        <v>97.472870521777907</v>
      </c>
      <c r="E329" s="38">
        <v>0</v>
      </c>
      <c r="F329" s="38">
        <v>0</v>
      </c>
    </row>
    <row r="330" spans="1:6">
      <c r="A330" s="37" t="s">
        <v>370</v>
      </c>
      <c r="B330" s="37" t="s">
        <v>371</v>
      </c>
      <c r="C330" s="38">
        <v>100</v>
      </c>
      <c r="D330" s="38">
        <v>0</v>
      </c>
      <c r="E330" s="38">
        <v>0</v>
      </c>
      <c r="F330" s="38">
        <v>0</v>
      </c>
    </row>
    <row r="331" spans="1:6">
      <c r="A331" s="37" t="s">
        <v>434</v>
      </c>
      <c r="B331" s="37" t="s">
        <v>327</v>
      </c>
      <c r="C331" s="38">
        <v>93.072824156305501</v>
      </c>
      <c r="D331" s="38">
        <v>5.5062166962699797</v>
      </c>
      <c r="E331" s="38">
        <v>1.42095914742451</v>
      </c>
      <c r="F331" s="38">
        <v>0</v>
      </c>
    </row>
    <row r="332" spans="1:6">
      <c r="A332" s="37" t="s">
        <v>761</v>
      </c>
      <c r="B332" s="37" t="s">
        <v>328</v>
      </c>
      <c r="C332" s="38">
        <v>0.86324398000908698</v>
      </c>
      <c r="D332" s="38">
        <v>1.3175829168559701</v>
      </c>
      <c r="E332" s="38">
        <v>80.599727396637903</v>
      </c>
      <c r="F332" s="38">
        <v>17.219445706497002</v>
      </c>
    </row>
    <row r="333" spans="1:6">
      <c r="A333" s="37" t="s">
        <v>625</v>
      </c>
      <c r="B333" s="37" t="s">
        <v>329</v>
      </c>
      <c r="C333" s="38">
        <v>0</v>
      </c>
      <c r="D333" s="38">
        <v>97.669940304255704</v>
      </c>
      <c r="E333" s="38">
        <v>0.55844405931061003</v>
      </c>
      <c r="F333" s="38">
        <v>1.7716156364336599</v>
      </c>
    </row>
    <row r="334" spans="1:6">
      <c r="A334" s="37" t="s">
        <v>682</v>
      </c>
      <c r="B334" s="37" t="s">
        <v>683</v>
      </c>
      <c r="C334" s="38">
        <v>0</v>
      </c>
      <c r="D334" s="38">
        <v>45.462778482159003</v>
      </c>
      <c r="E334" s="38">
        <v>53.233109943850799</v>
      </c>
      <c r="F334" s="38">
        <v>1.30411157399022</v>
      </c>
    </row>
    <row r="335" spans="1:6">
      <c r="A335" s="37" t="s">
        <v>630</v>
      </c>
      <c r="B335" s="37" t="s">
        <v>293</v>
      </c>
      <c r="C335" s="38">
        <v>0</v>
      </c>
      <c r="D335" s="38">
        <v>96.996587030716697</v>
      </c>
      <c r="E335" s="38">
        <v>0.78498293515358397</v>
      </c>
      <c r="F335" s="38">
        <v>2.2184300341296899</v>
      </c>
    </row>
    <row r="336" spans="1:6">
      <c r="A336" s="37" t="s">
        <v>602</v>
      </c>
      <c r="B336" s="37" t="s">
        <v>331</v>
      </c>
      <c r="C336" s="38">
        <v>0.48644892286309899</v>
      </c>
      <c r="D336" s="38">
        <v>98.479847116052795</v>
      </c>
      <c r="E336" s="38">
        <v>1.0337039610840899</v>
      </c>
      <c r="F336" s="38">
        <v>0</v>
      </c>
    </row>
    <row r="337" spans="1:6">
      <c r="A337" s="37" t="s">
        <v>592</v>
      </c>
      <c r="B337" s="37" t="s">
        <v>593</v>
      </c>
      <c r="C337" s="38">
        <v>0</v>
      </c>
      <c r="D337" s="38">
        <v>100</v>
      </c>
      <c r="E337" s="38">
        <v>0</v>
      </c>
      <c r="F337" s="38">
        <v>0</v>
      </c>
    </row>
    <row r="338" spans="1:6">
      <c r="A338" s="37" t="s">
        <v>622</v>
      </c>
      <c r="B338" s="37" t="s">
        <v>333</v>
      </c>
      <c r="C338" s="38">
        <v>0</v>
      </c>
      <c r="D338" s="38">
        <v>96.817129629629605</v>
      </c>
      <c r="E338" s="38">
        <v>3.1828703703703698</v>
      </c>
      <c r="F338" s="38">
        <v>0</v>
      </c>
    </row>
    <row r="339" spans="1:6">
      <c r="A339" s="37" t="s">
        <v>754</v>
      </c>
      <c r="B339" s="37" t="s">
        <v>334</v>
      </c>
      <c r="C339" s="38">
        <v>0</v>
      </c>
      <c r="D339" s="38">
        <v>1.47776921099974</v>
      </c>
      <c r="E339" s="38">
        <v>98.522230789000204</v>
      </c>
      <c r="F339" s="38">
        <v>0</v>
      </c>
    </row>
    <row r="340" spans="1:6">
      <c r="A340" s="37" t="s">
        <v>767</v>
      </c>
      <c r="B340" s="37" t="s">
        <v>313</v>
      </c>
      <c r="C340" s="38">
        <v>0</v>
      </c>
      <c r="D340" s="38">
        <v>1.7045454545454499</v>
      </c>
      <c r="E340" s="38">
        <v>4.1739510489510501</v>
      </c>
      <c r="F340" s="38">
        <v>94.121503496503493</v>
      </c>
    </row>
    <row r="341" spans="1:6">
      <c r="A341" s="37" t="s">
        <v>768</v>
      </c>
      <c r="B341" s="37" t="s">
        <v>336</v>
      </c>
      <c r="C341" s="38">
        <v>0</v>
      </c>
      <c r="D341" s="38">
        <v>2.4700326916091502</v>
      </c>
      <c r="E341" s="38">
        <v>2.4881946966945101</v>
      </c>
      <c r="F341" s="38">
        <v>95.041772611696302</v>
      </c>
    </row>
    <row r="342" spans="1:6">
      <c r="A342" s="37" t="s">
        <v>755</v>
      </c>
      <c r="B342" s="37" t="s">
        <v>337</v>
      </c>
      <c r="C342" s="38">
        <v>0</v>
      </c>
      <c r="D342" s="38">
        <v>1.34306569343066</v>
      </c>
      <c r="E342" s="38">
        <v>98.656934306569298</v>
      </c>
      <c r="F342" s="38">
        <v>0</v>
      </c>
    </row>
    <row r="343" spans="1:6">
      <c r="A343" s="37" t="s">
        <v>612</v>
      </c>
      <c r="B343" s="37" t="s">
        <v>613</v>
      </c>
      <c r="C343" s="38">
        <v>0</v>
      </c>
      <c r="D343" s="38">
        <v>99.331103678929793</v>
      </c>
      <c r="E343" s="38">
        <v>0</v>
      </c>
      <c r="F343" s="38">
        <v>0.668896321070234</v>
      </c>
    </row>
    <row r="344" spans="1:6">
      <c r="A344" s="37" t="s">
        <v>606</v>
      </c>
      <c r="B344" s="37" t="s">
        <v>339</v>
      </c>
      <c r="C344" s="38">
        <v>0</v>
      </c>
      <c r="D344" s="38">
        <v>99.317043557444194</v>
      </c>
      <c r="E344" s="38">
        <v>0.34906662619517398</v>
      </c>
      <c r="F344" s="38">
        <v>0.333889816360601</v>
      </c>
    </row>
    <row r="345" spans="1:6">
      <c r="A345" s="40" t="s">
        <v>368</v>
      </c>
      <c r="B345" s="40"/>
      <c r="C345" s="40">
        <f>SUM(C2:C344)/343</f>
        <v>33.422005349901482</v>
      </c>
      <c r="D345" s="40">
        <f>SUM(D2:D344)/343</f>
        <v>43.79201535308831</v>
      </c>
      <c r="E345" s="40">
        <f>SUM(E2:E344)/343</f>
        <v>21.138535455865814</v>
      </c>
      <c r="F345" s="40">
        <f>SUM(F2:F344)/343</f>
        <v>1.6474438411444345</v>
      </c>
    </row>
    <row r="348" spans="1:6" ht="15">
      <c r="A348" s="43" t="s">
        <v>363</v>
      </c>
      <c r="B348" s="43" t="s">
        <v>364</v>
      </c>
      <c r="C348" s="43" t="s">
        <v>365</v>
      </c>
      <c r="D348" s="43" t="s">
        <v>366</v>
      </c>
      <c r="E348" s="43" t="s">
        <v>367</v>
      </c>
      <c r="F348"/>
    </row>
    <row r="349" spans="1:6">
      <c r="A349" s="44" t="s">
        <v>343</v>
      </c>
      <c r="B349" s="44">
        <v>21.7782815555707</v>
      </c>
      <c r="C349" s="45">
        <v>45.733077768804897</v>
      </c>
      <c r="D349" s="45">
        <v>32.488640675624403</v>
      </c>
      <c r="E349" s="45">
        <v>0</v>
      </c>
      <c r="F349" s="41"/>
    </row>
    <row r="350" spans="1:6">
      <c r="A350" s="44" t="s">
        <v>342</v>
      </c>
      <c r="B350" s="44">
        <v>48.760969575134297</v>
      </c>
      <c r="C350" s="45">
        <v>40.551668148606304</v>
      </c>
      <c r="D350" s="45">
        <v>9.7556732516333593</v>
      </c>
      <c r="E350" s="45">
        <v>0.93168902462597103</v>
      </c>
      <c r="F350" s="41"/>
    </row>
    <row r="351" spans="1:6">
      <c r="A351" s="44" t="s">
        <v>345</v>
      </c>
      <c r="B351" s="44">
        <v>36.132915178652397</v>
      </c>
      <c r="C351" s="45">
        <v>49.324728531805697</v>
      </c>
      <c r="D351" s="45">
        <v>13.264325725576899</v>
      </c>
      <c r="E351" s="45">
        <v>1.27803056396498</v>
      </c>
      <c r="F351" s="41"/>
    </row>
    <row r="352" spans="1:6">
      <c r="A352" s="44" t="s">
        <v>31</v>
      </c>
      <c r="B352" s="44">
        <v>24.8860873055221</v>
      </c>
      <c r="C352" s="45">
        <v>49.033217649975199</v>
      </c>
      <c r="D352" s="45">
        <v>26.076760236403299</v>
      </c>
      <c r="E352" s="45">
        <v>3.9348080994089903E-3</v>
      </c>
      <c r="F352" s="41"/>
    </row>
    <row r="353" spans="1:6">
      <c r="A353" s="44" t="s">
        <v>166</v>
      </c>
      <c r="B353" s="44">
        <v>20.794881259997499</v>
      </c>
      <c r="C353" s="45">
        <v>41.1960132890365</v>
      </c>
      <c r="D353" s="45">
        <v>38.005003896476801</v>
      </c>
      <c r="E353" s="45">
        <v>4.1015544891513898E-3</v>
      </c>
      <c r="F353" s="41"/>
    </row>
    <row r="354" spans="1:6">
      <c r="A354" s="44" t="s">
        <v>347</v>
      </c>
      <c r="B354" s="44">
        <v>2.29466864537955</v>
      </c>
      <c r="C354" s="45">
        <v>56.407678682560203</v>
      </c>
      <c r="D354" s="45">
        <v>25.550927920596202</v>
      </c>
      <c r="E354" s="45">
        <v>15.7467247514641</v>
      </c>
      <c r="F354" s="41"/>
    </row>
    <row r="355" spans="1:6">
      <c r="A355" s="44" t="s">
        <v>201</v>
      </c>
      <c r="B355" s="44">
        <v>9.4941748194788893</v>
      </c>
      <c r="C355" s="45">
        <v>37.463278025387403</v>
      </c>
      <c r="D355" s="45">
        <v>50.172513201607103</v>
      </c>
      <c r="E355" s="45">
        <v>2.8700339535266801</v>
      </c>
      <c r="F355" s="41"/>
    </row>
    <row r="356" spans="1:6">
      <c r="A356" s="44" t="s">
        <v>348</v>
      </c>
      <c r="B356" s="44">
        <v>35.303517013014201</v>
      </c>
      <c r="C356" s="45">
        <v>35.764733061242403</v>
      </c>
      <c r="D356" s="45">
        <v>28.908647869660399</v>
      </c>
      <c r="E356" s="45">
        <v>2.3102056082991401E-2</v>
      </c>
      <c r="F356" s="41"/>
    </row>
    <row r="357" spans="1:6">
      <c r="A357" s="44" t="s">
        <v>243</v>
      </c>
      <c r="B357" s="44">
        <v>63.8932280961386</v>
      </c>
      <c r="C357" s="45">
        <v>27.4767738222478</v>
      </c>
      <c r="D357" s="45">
        <v>8.6053331140891807</v>
      </c>
      <c r="E357" s="45">
        <v>2.4664967524459399E-2</v>
      </c>
      <c r="F357" s="41"/>
    </row>
    <row r="359" spans="1:6" ht="15">
      <c r="A359" s="43" t="s">
        <v>363</v>
      </c>
      <c r="B359" s="43" t="s">
        <v>364</v>
      </c>
      <c r="C359" s="43" t="s">
        <v>365</v>
      </c>
      <c r="D359" s="43" t="s">
        <v>366</v>
      </c>
      <c r="E359" s="43" t="s">
        <v>367</v>
      </c>
    </row>
    <row r="360" spans="1:6">
      <c r="A360" s="44" t="s">
        <v>346</v>
      </c>
      <c r="B360" s="44">
        <v>87.710564399421102</v>
      </c>
      <c r="C360" s="45">
        <v>12.2894356005789</v>
      </c>
      <c r="D360" s="45">
        <v>0</v>
      </c>
      <c r="E360" s="45">
        <v>0</v>
      </c>
    </row>
    <row r="362" spans="1:6" ht="15">
      <c r="B362" s="43" t="s">
        <v>364</v>
      </c>
      <c r="C362" s="43" t="s">
        <v>365</v>
      </c>
      <c r="D362" s="43" t="s">
        <v>366</v>
      </c>
      <c r="E362" s="43" t="s">
        <v>367</v>
      </c>
    </row>
    <row r="363" spans="1:6">
      <c r="A363" s="36" t="s">
        <v>344</v>
      </c>
      <c r="B363" s="44">
        <v>27.855310469241999</v>
      </c>
      <c r="C363" s="44">
        <v>41.567492094390197</v>
      </c>
      <c r="D363" s="45">
        <v>29.2349308669035</v>
      </c>
      <c r="E363" s="45">
        <v>1.3422665694643401</v>
      </c>
    </row>
  </sheetData>
  <autoFilter ref="A1:F345" xr:uid="{00000000-0001-0000-0200-000000000000}">
    <sortState xmlns:xlrd2="http://schemas.microsoft.com/office/spreadsheetml/2017/richdata2" ref="A2:F345">
      <sortCondition ref="A1:A345"/>
    </sortState>
  </autoFilter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B6A65-1906-46A6-9118-8BE7C6D40272}">
  <dimension ref="A1:O361"/>
  <sheetViews>
    <sheetView topLeftCell="A328" workbookViewId="0">
      <selection activeCell="F361" sqref="F361"/>
    </sheetView>
  </sheetViews>
  <sheetFormatPr baseColWidth="10" defaultRowHeight="12.75"/>
  <cols>
    <col min="7" max="7" width="19.140625" customWidth="1"/>
  </cols>
  <sheetData>
    <row r="1" spans="1:15" ht="15">
      <c r="A1" s="34" t="s">
        <v>0</v>
      </c>
      <c r="B1" s="34" t="s">
        <v>363</v>
      </c>
      <c r="C1" s="34" t="s">
        <v>364</v>
      </c>
      <c r="D1" s="34" t="s">
        <v>365</v>
      </c>
      <c r="E1" s="34" t="s">
        <v>366</v>
      </c>
      <c r="F1" s="34" t="s">
        <v>367</v>
      </c>
      <c r="G1" s="35" t="s">
        <v>770</v>
      </c>
      <c r="I1" s="34" t="s">
        <v>0</v>
      </c>
      <c r="J1" s="34" t="s">
        <v>363</v>
      </c>
      <c r="K1" s="34" t="s">
        <v>364</v>
      </c>
      <c r="L1" s="34" t="s">
        <v>365</v>
      </c>
      <c r="M1" s="34" t="s">
        <v>366</v>
      </c>
      <c r="N1" s="34" t="s">
        <v>367</v>
      </c>
      <c r="O1" s="35" t="s">
        <v>769</v>
      </c>
    </row>
    <row r="2" spans="1:15" ht="14.25">
      <c r="A2" s="37" t="s">
        <v>462</v>
      </c>
      <c r="B2" s="37" t="s">
        <v>2</v>
      </c>
      <c r="C2" s="38">
        <v>14.324178782983299</v>
      </c>
      <c r="D2" s="38">
        <v>70.759289176090505</v>
      </c>
      <c r="E2" s="38">
        <v>12.0624663435649</v>
      </c>
      <c r="F2" s="38">
        <v>2.8540656973613401</v>
      </c>
      <c r="G2" s="39">
        <f>((C2*0)+(D2*1)+(E2*2)+(F2*3))/100</f>
        <v>1.0344641895530433</v>
      </c>
      <c r="I2" s="37" t="s">
        <v>462</v>
      </c>
      <c r="J2" s="37" t="s">
        <v>2</v>
      </c>
      <c r="K2" s="38">
        <v>90.7915993537964</v>
      </c>
      <c r="L2" s="38">
        <v>3.2310177705977399</v>
      </c>
      <c r="M2" s="38">
        <v>4.9542272482498602</v>
      </c>
      <c r="N2" s="38">
        <v>1.0231556273559499</v>
      </c>
      <c r="O2" s="39">
        <f>((K2*0)+(L2*1)+(M2*2)+(N2*3))/100</f>
        <v>0.16208939149165311</v>
      </c>
    </row>
    <row r="3" spans="1:15" ht="14.25">
      <c r="A3" s="37" t="s">
        <v>671</v>
      </c>
      <c r="B3" s="37" t="s">
        <v>3</v>
      </c>
      <c r="C3" s="38">
        <v>0.80645161290322598</v>
      </c>
      <c r="D3" s="38">
        <v>2.4193548387096802</v>
      </c>
      <c r="E3" s="38">
        <v>56.048387096774199</v>
      </c>
      <c r="F3" s="38">
        <v>40.725806451612897</v>
      </c>
      <c r="G3" s="39">
        <f>((C3*0)+(D3*1)+(E3*2)+(F3*3))/100</f>
        <v>2.3669354838709675</v>
      </c>
      <c r="I3" s="37" t="s">
        <v>671</v>
      </c>
      <c r="J3" s="37" t="s">
        <v>3</v>
      </c>
      <c r="K3" s="38">
        <v>3.62903225806452</v>
      </c>
      <c r="L3" s="38">
        <v>58.2661290322581</v>
      </c>
      <c r="M3" s="38">
        <v>37.298387096774199</v>
      </c>
      <c r="N3" s="38">
        <v>0.80645161290322598</v>
      </c>
      <c r="O3" s="39">
        <f>((K3*0)+(L3*1)+(M3*2)+(N3*3))/100</f>
        <v>1.3528225806451615</v>
      </c>
    </row>
    <row r="4" spans="1:15" ht="14.25">
      <c r="A4" s="37" t="s">
        <v>714</v>
      </c>
      <c r="B4" s="37" t="s">
        <v>4</v>
      </c>
      <c r="C4" s="38">
        <v>0.81709616593337497</v>
      </c>
      <c r="D4" s="38">
        <v>2.3884349465744799</v>
      </c>
      <c r="E4" s="38">
        <v>56.819610307982401</v>
      </c>
      <c r="F4" s="38">
        <v>39.9748585795097</v>
      </c>
      <c r="G4" s="39">
        <f>((C4*0)+(D4*1)+(E4*2)+(F4*3))/100</f>
        <v>2.3595223130106837</v>
      </c>
      <c r="I4" s="37" t="s">
        <v>714</v>
      </c>
      <c r="J4" s="37" t="s">
        <v>4</v>
      </c>
      <c r="K4" s="38">
        <v>4.2111879321181602</v>
      </c>
      <c r="L4" s="38">
        <v>15.147705845380299</v>
      </c>
      <c r="M4" s="38">
        <v>73.978629792583305</v>
      </c>
      <c r="N4" s="38">
        <v>6.6624764299182901</v>
      </c>
      <c r="O4" s="39">
        <f>((K4*0)+(L4*1)+(M4*2)+(N4*3))/100</f>
        <v>1.8309239472030179</v>
      </c>
    </row>
    <row r="5" spans="1:15" ht="14.25">
      <c r="A5" s="37" t="s">
        <v>471</v>
      </c>
      <c r="B5" s="37" t="s">
        <v>5</v>
      </c>
      <c r="C5" s="38">
        <v>1.18216012896292</v>
      </c>
      <c r="D5" s="38">
        <v>1.12842557764643</v>
      </c>
      <c r="E5" s="38">
        <v>79.688339602364294</v>
      </c>
      <c r="F5" s="38">
        <v>18.0010746910263</v>
      </c>
      <c r="G5" s="39">
        <f>((C5*0)+(D5*1)+(E5*2)+(F5*3))/100</f>
        <v>2.145083288554539</v>
      </c>
      <c r="I5" s="37" t="s">
        <v>471</v>
      </c>
      <c r="J5" s="37" t="s">
        <v>5</v>
      </c>
      <c r="K5" s="38">
        <v>80.601826974744796</v>
      </c>
      <c r="L5" s="38">
        <v>18.1622783449758</v>
      </c>
      <c r="M5" s="38">
        <v>1.23589468027942</v>
      </c>
      <c r="N5" s="38">
        <v>0</v>
      </c>
      <c r="O5" s="39">
        <f>((K5*0)+(L5*1)+(M5*2)+(N5*3))/100</f>
        <v>0.20634067705534639</v>
      </c>
    </row>
    <row r="6" spans="1:15" ht="14.25">
      <c r="A6" s="37" t="s">
        <v>480</v>
      </c>
      <c r="B6" s="37" t="s">
        <v>6</v>
      </c>
      <c r="C6" s="38">
        <v>0</v>
      </c>
      <c r="D6" s="38">
        <v>19.450171821305801</v>
      </c>
      <c r="E6" s="38">
        <v>68.659793814433002</v>
      </c>
      <c r="F6" s="38">
        <v>11.890034364261201</v>
      </c>
      <c r="G6" s="39">
        <f>((C6*0)+(D6*1)+(E6*2)+(F6*3))/100</f>
        <v>1.9243986254295544</v>
      </c>
      <c r="I6" s="37" t="s">
        <v>480</v>
      </c>
      <c r="J6" s="37" t="s">
        <v>6</v>
      </c>
      <c r="K6" s="38">
        <v>76.426116838487999</v>
      </c>
      <c r="L6" s="38">
        <v>22.749140893470798</v>
      </c>
      <c r="M6" s="38">
        <v>6.8728522336769807E-2</v>
      </c>
      <c r="N6" s="38">
        <v>0.756013745704467</v>
      </c>
      <c r="O6" s="39">
        <f>((K6*0)+(L6*1)+(M6*2)+(N6*3))/100</f>
        <v>0.25154639175257737</v>
      </c>
    </row>
    <row r="7" spans="1:15" ht="14.25">
      <c r="A7" s="37" t="s">
        <v>502</v>
      </c>
      <c r="B7" s="37" t="s">
        <v>7</v>
      </c>
      <c r="C7" s="38">
        <v>0</v>
      </c>
      <c r="D7" s="38">
        <v>52.309782608695699</v>
      </c>
      <c r="E7" s="38">
        <v>46.4673913043478</v>
      </c>
      <c r="F7" s="38">
        <v>1.22282608695652</v>
      </c>
      <c r="G7" s="39">
        <f>((C7*0)+(D7*1)+(E7*2)+(F7*3))/100</f>
        <v>1.4891304347826086</v>
      </c>
      <c r="I7" s="37" t="s">
        <v>502</v>
      </c>
      <c r="J7" s="37" t="s">
        <v>7</v>
      </c>
      <c r="K7" s="38">
        <v>56.25</v>
      </c>
      <c r="L7" s="38">
        <v>38.451086956521699</v>
      </c>
      <c r="M7" s="38">
        <v>5.1630434782608701</v>
      </c>
      <c r="N7" s="38">
        <v>0.13586956521739099</v>
      </c>
      <c r="O7" s="39">
        <f>((K7*0)+(L7*1)+(M7*2)+(N7*3))/100</f>
        <v>0.49184782608695615</v>
      </c>
    </row>
    <row r="8" spans="1:15" ht="14.25">
      <c r="A8" s="37" t="s">
        <v>674</v>
      </c>
      <c r="B8" s="37" t="s">
        <v>8</v>
      </c>
      <c r="C8" s="38">
        <v>0.136892539356605</v>
      </c>
      <c r="D8" s="38">
        <v>17.590691307323699</v>
      </c>
      <c r="E8" s="38">
        <v>67.693360711841194</v>
      </c>
      <c r="F8" s="38">
        <v>14.579055441478401</v>
      </c>
      <c r="G8" s="39">
        <f>((C8*0)+(D8*1)+(E8*2)+(F8*3))/100</f>
        <v>1.967145790554413</v>
      </c>
      <c r="I8" s="37" t="s">
        <v>674</v>
      </c>
      <c r="J8" s="37" t="s">
        <v>8</v>
      </c>
      <c r="K8" s="38">
        <v>3.2169746748802202</v>
      </c>
      <c r="L8" s="38">
        <v>53.182751540041103</v>
      </c>
      <c r="M8" s="38">
        <v>43.189596167008901</v>
      </c>
      <c r="N8" s="38">
        <v>0.41067761806981501</v>
      </c>
      <c r="O8" s="39">
        <f>((K8*0)+(L8*1)+(M8*2)+(N8*3))/100</f>
        <v>1.4079397672826834</v>
      </c>
    </row>
    <row r="9" spans="1:15" ht="14.25">
      <c r="A9" s="37" t="s">
        <v>501</v>
      </c>
      <c r="B9" s="37" t="s">
        <v>9</v>
      </c>
      <c r="C9" s="38">
        <v>0</v>
      </c>
      <c r="D9" s="38">
        <v>2.6178010471204201</v>
      </c>
      <c r="E9" s="38">
        <v>54.076290201944701</v>
      </c>
      <c r="F9" s="38">
        <v>43.305908750934897</v>
      </c>
      <c r="G9" s="39">
        <f>((C9*0)+(D9*1)+(E9*2)+(F9*3))/100</f>
        <v>2.406881077038145</v>
      </c>
      <c r="I9" s="37" t="s">
        <v>501</v>
      </c>
      <c r="J9" s="37" t="s">
        <v>9</v>
      </c>
      <c r="K9" s="38">
        <v>52.954375467464502</v>
      </c>
      <c r="L9" s="38">
        <v>45.100972326103197</v>
      </c>
      <c r="M9" s="38">
        <v>1.94465220643231</v>
      </c>
      <c r="N9" s="38">
        <v>0</v>
      </c>
      <c r="O9" s="39">
        <f>((K9*0)+(L9*1)+(M9*2)+(N9*3))/100</f>
        <v>0.48990276738967814</v>
      </c>
    </row>
    <row r="10" spans="1:15" ht="14.25">
      <c r="A10" s="37" t="s">
        <v>489</v>
      </c>
      <c r="B10" s="37" t="s">
        <v>10</v>
      </c>
      <c r="C10" s="38">
        <v>0</v>
      </c>
      <c r="D10" s="38">
        <v>2.3863636363636398</v>
      </c>
      <c r="E10" s="38">
        <v>69.431818181818201</v>
      </c>
      <c r="F10" s="38">
        <v>28.181818181818201</v>
      </c>
      <c r="G10" s="39">
        <f>((C10*0)+(D10*1)+(E10*2)+(F10*3))/100</f>
        <v>2.2579545454545462</v>
      </c>
      <c r="I10" s="37" t="s">
        <v>489</v>
      </c>
      <c r="J10" s="37" t="s">
        <v>10</v>
      </c>
      <c r="K10" s="38">
        <v>67.727272727272705</v>
      </c>
      <c r="L10" s="38">
        <v>28.181818181818201</v>
      </c>
      <c r="M10" s="38">
        <v>2.3863636363636398</v>
      </c>
      <c r="N10" s="38">
        <v>1.7045454545454499</v>
      </c>
      <c r="O10" s="39">
        <f>((K10*0)+(L10*1)+(M10*2)+(N10*3))/100</f>
        <v>0.38068181818181834</v>
      </c>
    </row>
    <row r="11" spans="1:15" ht="14.25">
      <c r="A11" s="37" t="s">
        <v>487</v>
      </c>
      <c r="B11" s="37" t="s">
        <v>11</v>
      </c>
      <c r="C11" s="38">
        <v>0</v>
      </c>
      <c r="D11" s="38">
        <v>22.742474916388002</v>
      </c>
      <c r="E11" s="38">
        <v>73.968784838350103</v>
      </c>
      <c r="F11" s="38">
        <v>3.2887402452619798</v>
      </c>
      <c r="G11" s="39">
        <f>((C11*0)+(D11*1)+(E11*2)+(F11*3))/100</f>
        <v>1.8054626532887414</v>
      </c>
      <c r="I11" s="37" t="s">
        <v>487</v>
      </c>
      <c r="J11" s="37" t="s">
        <v>11</v>
      </c>
      <c r="K11" s="38">
        <v>64.604236343366793</v>
      </c>
      <c r="L11" s="38">
        <v>35.005574136008903</v>
      </c>
      <c r="M11" s="38">
        <v>0.39018952062430301</v>
      </c>
      <c r="N11" s="38">
        <v>0</v>
      </c>
      <c r="O11" s="39">
        <f>((K11*0)+(L11*1)+(M11*2)+(N11*3))/100</f>
        <v>0.35785953177257512</v>
      </c>
    </row>
    <row r="12" spans="1:15" ht="14.25">
      <c r="A12" s="37" t="s">
        <v>491</v>
      </c>
      <c r="B12" s="37" t="s">
        <v>12</v>
      </c>
      <c r="C12" s="38">
        <v>0</v>
      </c>
      <c r="D12" s="38">
        <v>2.8729281767955799</v>
      </c>
      <c r="E12" s="38">
        <v>60.220994475138099</v>
      </c>
      <c r="F12" s="38">
        <v>36.906077348066297</v>
      </c>
      <c r="G12" s="39">
        <f>((C12*0)+(D12*1)+(E12*2)+(F12*3))/100</f>
        <v>2.3403314917127069</v>
      </c>
      <c r="I12" s="37" t="s">
        <v>491</v>
      </c>
      <c r="J12" s="37" t="s">
        <v>12</v>
      </c>
      <c r="K12" s="38">
        <v>58.453038674033202</v>
      </c>
      <c r="L12" s="38">
        <v>41.546961325966898</v>
      </c>
      <c r="M12" s="38">
        <v>0</v>
      </c>
      <c r="N12" s="38">
        <v>0</v>
      </c>
      <c r="O12" s="39">
        <f>((K12*0)+(L12*1)+(M12*2)+(N12*3))/100</f>
        <v>0.41546961325966897</v>
      </c>
    </row>
    <row r="13" spans="1:15" ht="14.25">
      <c r="A13" s="37" t="s">
        <v>643</v>
      </c>
      <c r="B13" s="37" t="s">
        <v>13</v>
      </c>
      <c r="C13" s="38">
        <v>0</v>
      </c>
      <c r="D13" s="38">
        <v>17.404580152671802</v>
      </c>
      <c r="E13" s="38">
        <v>81.679389312977094</v>
      </c>
      <c r="F13" s="38">
        <v>0.91603053435114501</v>
      </c>
      <c r="G13" s="39">
        <f>((C13*0)+(D13*1)+(E13*2)+(F13*3))/100</f>
        <v>1.8351145038167942</v>
      </c>
      <c r="I13" s="37" t="s">
        <v>643</v>
      </c>
      <c r="J13" s="37" t="s">
        <v>13</v>
      </c>
      <c r="K13" s="38">
        <v>7.6335877862595396</v>
      </c>
      <c r="L13" s="38">
        <v>74.809160305343497</v>
      </c>
      <c r="M13" s="38">
        <v>17.5572519083969</v>
      </c>
      <c r="N13" s="38">
        <v>0</v>
      </c>
      <c r="O13" s="39">
        <f>((K13*0)+(L13*1)+(M13*2)+(N13*3))/100</f>
        <v>1.099236641221373</v>
      </c>
    </row>
    <row r="14" spans="1:15" ht="14.25">
      <c r="A14" s="37" t="s">
        <v>521</v>
      </c>
      <c r="B14" s="37" t="s">
        <v>522</v>
      </c>
      <c r="C14" s="38">
        <v>0</v>
      </c>
      <c r="D14" s="38">
        <v>24.581005586592202</v>
      </c>
      <c r="E14" s="38">
        <v>73.743016759776495</v>
      </c>
      <c r="F14" s="38">
        <v>1.67597765363128</v>
      </c>
      <c r="G14" s="39">
        <f>((C14*0)+(D14*1)+(E14*2)+(F14*3))/100</f>
        <v>1.7709497206703904</v>
      </c>
      <c r="I14" s="37" t="s">
        <v>521</v>
      </c>
      <c r="J14" s="37" t="s">
        <v>522</v>
      </c>
      <c r="K14" s="38">
        <v>20.949720670391098</v>
      </c>
      <c r="L14" s="38">
        <v>77.374301675977605</v>
      </c>
      <c r="M14" s="38">
        <v>1.67597765363128</v>
      </c>
      <c r="N14" s="38">
        <v>0</v>
      </c>
      <c r="O14" s="39">
        <f>((K14*0)+(L14*1)+(M14*2)+(N14*3))/100</f>
        <v>0.80726256983240163</v>
      </c>
    </row>
    <row r="15" spans="1:15" ht="14.25">
      <c r="A15" s="37" t="s">
        <v>661</v>
      </c>
      <c r="B15" s="37" t="s">
        <v>15</v>
      </c>
      <c r="C15" s="38">
        <v>1.2486992715920899</v>
      </c>
      <c r="D15" s="38">
        <v>3.2258064516128999</v>
      </c>
      <c r="E15" s="38">
        <v>64.099895941727397</v>
      </c>
      <c r="F15" s="38">
        <v>31.425598335067601</v>
      </c>
      <c r="G15" s="39">
        <f>((C15*0)+(D15*1)+(E15*2)+(F15*3))/100</f>
        <v>2.2570239334027047</v>
      </c>
      <c r="I15" s="37" t="s">
        <v>661</v>
      </c>
      <c r="J15" s="37" t="s">
        <v>15</v>
      </c>
      <c r="K15" s="38">
        <v>5.72320499479709</v>
      </c>
      <c r="L15" s="38">
        <v>63.371488033298697</v>
      </c>
      <c r="M15" s="38">
        <v>30.905306971904299</v>
      </c>
      <c r="N15" s="38">
        <v>0</v>
      </c>
      <c r="O15" s="39">
        <f>((K15*0)+(L15*1)+(M15*2)+(N15*3))/100</f>
        <v>1.2518210197710729</v>
      </c>
    </row>
    <row r="16" spans="1:15" ht="14.25">
      <c r="A16" s="37" t="s">
        <v>464</v>
      </c>
      <c r="B16" s="37" t="s">
        <v>16</v>
      </c>
      <c r="C16" s="38">
        <v>10.508849557522099</v>
      </c>
      <c r="D16" s="38">
        <v>78.263274336283203</v>
      </c>
      <c r="E16" s="38">
        <v>10.978982300885001</v>
      </c>
      <c r="F16" s="38">
        <v>0.24889380530973501</v>
      </c>
      <c r="G16" s="39">
        <f>((C16*0)+(D16*1)+(E16*2)+(F16*3))/100</f>
        <v>1.0096792035398241</v>
      </c>
      <c r="I16" s="37" t="s">
        <v>464</v>
      </c>
      <c r="J16" s="37" t="s">
        <v>16</v>
      </c>
      <c r="K16" s="38">
        <v>83.241150442477903</v>
      </c>
      <c r="L16" s="38">
        <v>16.675884955752199</v>
      </c>
      <c r="M16" s="38">
        <v>8.2964601769911495E-2</v>
      </c>
      <c r="N16" s="38">
        <v>0</v>
      </c>
      <c r="O16" s="39">
        <f>((K16*0)+(L16*1)+(M16*2)+(N16*3))/100</f>
        <v>0.16841814159292021</v>
      </c>
    </row>
    <row r="17" spans="1:15" ht="14.25">
      <c r="A17" s="37" t="s">
        <v>378</v>
      </c>
      <c r="B17" s="37" t="s">
        <v>17</v>
      </c>
      <c r="C17" s="38">
        <v>1.05633802816901</v>
      </c>
      <c r="D17" s="38">
        <v>37.740076824583902</v>
      </c>
      <c r="E17" s="38">
        <v>61.139564660691399</v>
      </c>
      <c r="F17" s="38">
        <v>6.4020486555697795E-2</v>
      </c>
      <c r="G17" s="39">
        <f>((C17*0)+(D17*1)+(E17*2)+(F17*3))/100</f>
        <v>1.602112676056338</v>
      </c>
      <c r="I17" s="37" t="s">
        <v>378</v>
      </c>
      <c r="J17" s="37" t="s">
        <v>17</v>
      </c>
      <c r="K17" s="38">
        <v>99.263764404609503</v>
      </c>
      <c r="L17" s="38">
        <v>0.67221510883482705</v>
      </c>
      <c r="M17" s="38">
        <v>6.4020486555697795E-2</v>
      </c>
      <c r="N17" s="38">
        <v>0</v>
      </c>
      <c r="O17" s="39">
        <f>((K17*0)+(L17*1)+(M17*2)+(N17*3))/100</f>
        <v>8.0025608194622261E-3</v>
      </c>
    </row>
    <row r="18" spans="1:15" ht="14.25">
      <c r="A18" s="37" t="s">
        <v>758</v>
      </c>
      <c r="B18" s="37" t="s">
        <v>18</v>
      </c>
      <c r="C18" s="38">
        <v>0.91666666666666696</v>
      </c>
      <c r="D18" s="38">
        <v>3.0833333333333299</v>
      </c>
      <c r="E18" s="38">
        <v>69.3333333333333</v>
      </c>
      <c r="F18" s="38">
        <v>26.6666666666667</v>
      </c>
      <c r="G18" s="39">
        <f>((C18*0)+(D18*1)+(E18*2)+(F18*3))/100</f>
        <v>2.2175000000000007</v>
      </c>
      <c r="I18" s="37" t="s">
        <v>758</v>
      </c>
      <c r="J18" s="37" t="s">
        <v>18</v>
      </c>
      <c r="K18" s="38">
        <v>5.25</v>
      </c>
      <c r="L18" s="38">
        <v>4.4166666666666696</v>
      </c>
      <c r="M18" s="38">
        <v>64.5</v>
      </c>
      <c r="N18" s="38">
        <v>25.8333333333333</v>
      </c>
      <c r="O18" s="39">
        <f>((K18*0)+(L18*1)+(M18*2)+(N18*3))/100</f>
        <v>2.1091666666666655</v>
      </c>
    </row>
    <row r="19" spans="1:15" ht="14.25">
      <c r="A19" s="37" t="s">
        <v>562</v>
      </c>
      <c r="B19" s="37" t="s">
        <v>19</v>
      </c>
      <c r="C19" s="38">
        <v>0.13831258644536701</v>
      </c>
      <c r="D19" s="38">
        <v>2.62793914246196</v>
      </c>
      <c r="E19" s="38">
        <v>61.687413554633501</v>
      </c>
      <c r="F19" s="38">
        <v>35.546334716459199</v>
      </c>
      <c r="G19" s="39">
        <f>((C19*0)+(D19*1)+(E19*2)+(F19*3))/100</f>
        <v>2.3264177040110656</v>
      </c>
      <c r="I19" s="37" t="s">
        <v>562</v>
      </c>
      <c r="J19" s="37" t="s">
        <v>19</v>
      </c>
      <c r="K19" s="38">
        <v>16.182572614107901</v>
      </c>
      <c r="L19" s="38">
        <v>73.9972337482711</v>
      </c>
      <c r="M19" s="38">
        <v>8.9903181189488208</v>
      </c>
      <c r="N19" s="38">
        <v>0.829875518672199</v>
      </c>
      <c r="O19" s="39">
        <f>((K19*0)+(L19*1)+(M19*2)+(N19*3))/100</f>
        <v>0.94467496542185347</v>
      </c>
    </row>
    <row r="20" spans="1:15" ht="14.25">
      <c r="A20" s="37" t="s">
        <v>481</v>
      </c>
      <c r="B20" s="37" t="s">
        <v>20</v>
      </c>
      <c r="C20" s="38">
        <v>0</v>
      </c>
      <c r="D20" s="38">
        <v>15.117328519855601</v>
      </c>
      <c r="E20" s="38">
        <v>84.296028880866402</v>
      </c>
      <c r="F20" s="38">
        <v>0.58664259927797802</v>
      </c>
      <c r="G20" s="39">
        <f>((C20*0)+(D20*1)+(E20*2)+(F20*3))/100</f>
        <v>1.8546931407942233</v>
      </c>
      <c r="I20" s="37" t="s">
        <v>481</v>
      </c>
      <c r="J20" s="37" t="s">
        <v>20</v>
      </c>
      <c r="K20" s="38">
        <v>74.864620938628093</v>
      </c>
      <c r="L20" s="38">
        <v>24.142599277978299</v>
      </c>
      <c r="M20" s="38">
        <v>0.99277978339350204</v>
      </c>
      <c r="N20" s="38">
        <v>0</v>
      </c>
      <c r="O20" s="39">
        <f>((K20*0)+(L20*1)+(M20*2)+(N20*3))/100</f>
        <v>0.26128158844765303</v>
      </c>
    </row>
    <row r="21" spans="1:15" ht="14.25">
      <c r="A21" s="37" t="s">
        <v>468</v>
      </c>
      <c r="B21" s="37" t="s">
        <v>21</v>
      </c>
      <c r="C21" s="38">
        <v>0</v>
      </c>
      <c r="D21" s="38">
        <v>0.121684108055488</v>
      </c>
      <c r="E21" s="38">
        <v>85.008517887563897</v>
      </c>
      <c r="F21" s="38">
        <v>14.8697980043806</v>
      </c>
      <c r="G21" s="39">
        <f>((C21*0)+(D21*1)+(E21*2)+(F21*3))/100</f>
        <v>2.1474811389632511</v>
      </c>
      <c r="I21" s="37" t="s">
        <v>468</v>
      </c>
      <c r="J21" s="37" t="s">
        <v>21</v>
      </c>
      <c r="K21" s="38">
        <v>83.329277196398195</v>
      </c>
      <c r="L21" s="38">
        <v>14.8697980043806</v>
      </c>
      <c r="M21" s="38">
        <v>1.2168410805548799</v>
      </c>
      <c r="N21" s="38">
        <v>0.58408371866634201</v>
      </c>
      <c r="O21" s="39">
        <f>((K21*0)+(L21*1)+(M21*2)+(N21*3))/100</f>
        <v>0.19055731321489386</v>
      </c>
    </row>
    <row r="22" spans="1:15" ht="14.25">
      <c r="A22" s="37" t="s">
        <v>649</v>
      </c>
      <c r="B22" s="37" t="s">
        <v>22</v>
      </c>
      <c r="C22" s="38">
        <v>0</v>
      </c>
      <c r="D22" s="38">
        <v>2.8277634961439602</v>
      </c>
      <c r="E22" s="38">
        <v>77.7206512425021</v>
      </c>
      <c r="F22" s="38">
        <v>19.451585261353902</v>
      </c>
      <c r="G22" s="39">
        <f>((C22*0)+(D22*1)+(E22*2)+(F22*3))/100</f>
        <v>2.1662382176520989</v>
      </c>
      <c r="I22" s="37" t="s">
        <v>649</v>
      </c>
      <c r="J22" s="37" t="s">
        <v>22</v>
      </c>
      <c r="K22" s="38">
        <v>2.8277634961439602</v>
      </c>
      <c r="L22" s="38">
        <v>79.348757497857804</v>
      </c>
      <c r="M22" s="38">
        <v>17.823479005998301</v>
      </c>
      <c r="N22" s="38">
        <v>0</v>
      </c>
      <c r="O22" s="39">
        <f>((K22*0)+(L22*1)+(M22*2)+(N22*3))/100</f>
        <v>1.1499571550985441</v>
      </c>
    </row>
    <row r="23" spans="1:15" ht="14.25">
      <c r="A23" s="37" t="s">
        <v>477</v>
      </c>
      <c r="B23" s="37" t="s">
        <v>23</v>
      </c>
      <c r="C23" s="38">
        <v>0</v>
      </c>
      <c r="D23" s="38">
        <v>1.6861219195849499</v>
      </c>
      <c r="E23" s="38">
        <v>82.230869001296995</v>
      </c>
      <c r="F23" s="38">
        <v>16.083009079118</v>
      </c>
      <c r="G23" s="39">
        <f>((C23*0)+(D23*1)+(E23*2)+(F23*3))/100</f>
        <v>2.1439688715953293</v>
      </c>
      <c r="I23" s="37" t="s">
        <v>477</v>
      </c>
      <c r="J23" s="37" t="s">
        <v>23</v>
      </c>
      <c r="K23" s="38">
        <v>80.155642023346303</v>
      </c>
      <c r="L23" s="38">
        <v>18.158236057068699</v>
      </c>
      <c r="M23" s="38">
        <v>1.6861219195849499</v>
      </c>
      <c r="N23" s="38">
        <v>0</v>
      </c>
      <c r="O23" s="39">
        <f>((K23*0)+(L23*1)+(M23*2)+(N23*3))/100</f>
        <v>0.215304798962386</v>
      </c>
    </row>
    <row r="24" spans="1:15" ht="14.25">
      <c r="A24" s="37" t="s">
        <v>439</v>
      </c>
      <c r="B24" s="37" t="s">
        <v>24</v>
      </c>
      <c r="C24" s="38">
        <v>0</v>
      </c>
      <c r="D24" s="38">
        <v>22.45670995671</v>
      </c>
      <c r="E24" s="38">
        <v>73.538961038961006</v>
      </c>
      <c r="F24" s="38">
        <v>4.0043290043289996</v>
      </c>
      <c r="G24" s="39">
        <f>((C24*0)+(D24*1)+(E24*2)+(F24*3))/100</f>
        <v>1.81547619047619</v>
      </c>
      <c r="I24" s="37" t="s">
        <v>439</v>
      </c>
      <c r="J24" s="37" t="s">
        <v>24</v>
      </c>
      <c r="K24" s="38">
        <v>92.153679653679703</v>
      </c>
      <c r="L24" s="38">
        <v>6.4393939393939403</v>
      </c>
      <c r="M24" s="38">
        <v>1.40692640692641</v>
      </c>
      <c r="N24" s="38">
        <v>0</v>
      </c>
      <c r="O24" s="39">
        <f>((K24*0)+(L24*1)+(M24*2)+(N24*3))/100</f>
        <v>9.2532467532467605E-2</v>
      </c>
    </row>
    <row r="25" spans="1:15" ht="14.25">
      <c r="A25" s="37" t="s">
        <v>448</v>
      </c>
      <c r="B25" s="37" t="s">
        <v>449</v>
      </c>
      <c r="C25" s="38">
        <v>0</v>
      </c>
      <c r="D25" s="38">
        <v>40.625</v>
      </c>
      <c r="E25" s="38">
        <v>57.472826086956502</v>
      </c>
      <c r="F25" s="38">
        <v>1.90217391304348</v>
      </c>
      <c r="G25" s="39">
        <f>((C25*0)+(D25*1)+(E25*2)+(F25*3))/100</f>
        <v>1.6127717391304344</v>
      </c>
      <c r="I25" s="37" t="s">
        <v>448</v>
      </c>
      <c r="J25" s="37" t="s">
        <v>449</v>
      </c>
      <c r="K25" s="38">
        <v>90.489130434782595</v>
      </c>
      <c r="L25" s="38">
        <v>6.3858695652173898</v>
      </c>
      <c r="M25" s="38">
        <v>2.9891304347826102</v>
      </c>
      <c r="N25" s="38">
        <v>0.13586956521739099</v>
      </c>
      <c r="O25" s="39">
        <f>((K25*0)+(L25*1)+(M25*2)+(N25*3))/100</f>
        <v>0.12771739130434781</v>
      </c>
    </row>
    <row r="26" spans="1:15" ht="14.25">
      <c r="A26" s="37" t="s">
        <v>642</v>
      </c>
      <c r="B26" s="37" t="s">
        <v>26</v>
      </c>
      <c r="C26" s="38">
        <v>0</v>
      </c>
      <c r="D26" s="38">
        <v>31.552224371373299</v>
      </c>
      <c r="E26" s="38">
        <v>66.634429400386793</v>
      </c>
      <c r="F26" s="38">
        <v>1.81334622823985</v>
      </c>
      <c r="G26" s="39">
        <f>((C26*0)+(D26*1)+(E26*2)+(F26*3))/100</f>
        <v>1.7026112185686642</v>
      </c>
      <c r="I26" s="37" t="s">
        <v>642</v>
      </c>
      <c r="J26" s="37" t="s">
        <v>26</v>
      </c>
      <c r="K26" s="38">
        <v>2.12765957446809</v>
      </c>
      <c r="L26" s="38">
        <v>86.968085106383</v>
      </c>
      <c r="M26" s="38">
        <v>10.807543520309499</v>
      </c>
      <c r="N26" s="38">
        <v>9.6711798839458393E-2</v>
      </c>
      <c r="O26" s="39">
        <f>((K26*0)+(L26*1)+(M26*2)+(N26*3))/100</f>
        <v>1.0887330754352038</v>
      </c>
    </row>
    <row r="27" spans="1:15" ht="14.25">
      <c r="A27" s="37" t="s">
        <v>640</v>
      </c>
      <c r="B27" s="37" t="s">
        <v>27</v>
      </c>
      <c r="C27" s="38">
        <v>1.81451612903226</v>
      </c>
      <c r="D27" s="38">
        <v>2.82258064516129</v>
      </c>
      <c r="E27" s="38">
        <v>86.995967741935502</v>
      </c>
      <c r="F27" s="38">
        <v>8.3669354838709697</v>
      </c>
      <c r="G27" s="39">
        <f>((C27*0)+(D27*1)+(E27*2)+(F27*3))/100</f>
        <v>2.019153225806452</v>
      </c>
      <c r="I27" s="37" t="s">
        <v>640</v>
      </c>
      <c r="J27" s="37" t="s">
        <v>27</v>
      </c>
      <c r="K27" s="38">
        <v>2.82258064516129</v>
      </c>
      <c r="L27" s="38">
        <v>86.491935483871003</v>
      </c>
      <c r="M27" s="38">
        <v>10.685483870967699</v>
      </c>
      <c r="N27" s="38">
        <v>0</v>
      </c>
      <c r="O27" s="39">
        <f>((K27*0)+(L27*1)+(M27*2)+(N27*3))/100</f>
        <v>1.0786290322580641</v>
      </c>
    </row>
    <row r="28" spans="1:15" ht="14.25">
      <c r="A28" s="37" t="s">
        <v>406</v>
      </c>
      <c r="B28" s="37" t="s">
        <v>407</v>
      </c>
      <c r="C28" s="38">
        <v>12.923832923832901</v>
      </c>
      <c r="D28" s="38">
        <v>85.577395577395606</v>
      </c>
      <c r="E28" s="38">
        <v>1.4987714987715</v>
      </c>
      <c r="F28" s="38">
        <v>0</v>
      </c>
      <c r="G28" s="39">
        <f>((C28*0)+(D28*1)+(E28*2)+(F28*3))/100</f>
        <v>0.885749385749386</v>
      </c>
      <c r="I28" s="37" t="s">
        <v>406</v>
      </c>
      <c r="J28" s="37" t="s">
        <v>407</v>
      </c>
      <c r="K28" s="38">
        <v>95.798525798525802</v>
      </c>
      <c r="L28" s="38">
        <v>3.90663390663391</v>
      </c>
      <c r="M28" s="38">
        <v>0.294840294840295</v>
      </c>
      <c r="N28" s="38">
        <v>0</v>
      </c>
      <c r="O28" s="39">
        <f>((K28*0)+(L28*1)+(M28*2)+(N28*3))/100</f>
        <v>4.4963144963144998E-2</v>
      </c>
    </row>
    <row r="29" spans="1:15" ht="14.25">
      <c r="A29" s="37" t="s">
        <v>691</v>
      </c>
      <c r="B29" s="37" t="s">
        <v>692</v>
      </c>
      <c r="C29" s="38">
        <v>4.3859649122807003</v>
      </c>
      <c r="D29" s="38">
        <v>94.4444444444444</v>
      </c>
      <c r="E29" s="38">
        <v>1.16959064327485</v>
      </c>
      <c r="F29" s="38">
        <v>0</v>
      </c>
      <c r="G29" s="39">
        <f>((C29*0)+(D29*1)+(E29*2)+(F29*3))/100</f>
        <v>0.96783625730994105</v>
      </c>
      <c r="I29" s="37" t="s">
        <v>691</v>
      </c>
      <c r="J29" s="37" t="s">
        <v>692</v>
      </c>
      <c r="K29" s="38">
        <v>2.1198830409356701</v>
      </c>
      <c r="L29" s="38">
        <v>29.751461988304101</v>
      </c>
      <c r="M29" s="38">
        <v>68.128654970760195</v>
      </c>
      <c r="N29" s="38">
        <v>0</v>
      </c>
      <c r="O29" s="39">
        <f>((K29*0)+(L29*1)+(M29*2)+(N29*3))/100</f>
        <v>1.6600877192982448</v>
      </c>
    </row>
    <row r="30" spans="1:15" ht="14.25">
      <c r="A30" s="37" t="s">
        <v>596</v>
      </c>
      <c r="B30" s="37" t="s">
        <v>597</v>
      </c>
      <c r="C30" s="38">
        <v>3.2648430606328001</v>
      </c>
      <c r="D30" s="38">
        <v>95.260305054834205</v>
      </c>
      <c r="E30" s="38">
        <v>1.4748518845329599</v>
      </c>
      <c r="F30" s="38">
        <v>0</v>
      </c>
      <c r="G30" s="39">
        <f>((C30*0)+(D30*1)+(E30*2)+(F30*3))/100</f>
        <v>0.9821000882390013</v>
      </c>
      <c r="I30" s="37" t="s">
        <v>596</v>
      </c>
      <c r="J30" s="37" t="s">
        <v>597</v>
      </c>
      <c r="K30" s="38">
        <v>0.54203958149502096</v>
      </c>
      <c r="L30" s="38">
        <v>98.7016261187445</v>
      </c>
      <c r="M30" s="38">
        <v>0.75633429976049404</v>
      </c>
      <c r="N30" s="38">
        <v>0</v>
      </c>
      <c r="O30" s="39">
        <f>((K30*0)+(L30*1)+(M30*2)+(N30*3))/100</f>
        <v>1.0021429471826548</v>
      </c>
    </row>
    <row r="31" spans="1:15" ht="14.25">
      <c r="A31" s="37" t="s">
        <v>402</v>
      </c>
      <c r="B31" s="37" t="s">
        <v>403</v>
      </c>
      <c r="C31" s="38">
        <v>82.406151062867494</v>
      </c>
      <c r="D31" s="38">
        <v>17.051108095884199</v>
      </c>
      <c r="E31" s="38">
        <v>0.54274084124830402</v>
      </c>
      <c r="F31" s="38">
        <v>0</v>
      </c>
      <c r="G31" s="39">
        <f>((C31*0)+(D31*1)+(E31*2)+(F31*3))/100</f>
        <v>0.18136589778380807</v>
      </c>
      <c r="I31" s="37" t="s">
        <v>402</v>
      </c>
      <c r="J31" s="37" t="s">
        <v>403</v>
      </c>
      <c r="K31" s="38">
        <v>95.703301673450895</v>
      </c>
      <c r="L31" s="38">
        <v>4.2966983265490697</v>
      </c>
      <c r="M31" s="38">
        <v>0</v>
      </c>
      <c r="N31" s="38">
        <v>0</v>
      </c>
      <c r="O31" s="39">
        <f>((K31*0)+(L31*1)+(M31*2)+(N31*3))/100</f>
        <v>4.2966983265490699E-2</v>
      </c>
    </row>
    <row r="32" spans="1:15" ht="14.25">
      <c r="A32" s="37" t="s">
        <v>603</v>
      </c>
      <c r="B32" s="37" t="s">
        <v>32</v>
      </c>
      <c r="C32" s="38">
        <v>1.09356014580802</v>
      </c>
      <c r="D32" s="38">
        <v>53.098420413122703</v>
      </c>
      <c r="E32" s="38">
        <v>45.686512758201701</v>
      </c>
      <c r="F32" s="38">
        <v>0.121506682867558</v>
      </c>
      <c r="G32" s="39">
        <f>((C32*0)+(D32*1)+(E32*2)+(F32*3))/100</f>
        <v>1.448359659781288</v>
      </c>
      <c r="I32" s="37" t="s">
        <v>603</v>
      </c>
      <c r="J32" s="37" t="s">
        <v>32</v>
      </c>
      <c r="K32" s="38">
        <v>6.19684082624544</v>
      </c>
      <c r="L32" s="38">
        <v>86.998784933171294</v>
      </c>
      <c r="M32" s="38">
        <v>6.8043742405832299</v>
      </c>
      <c r="N32" s="38">
        <v>0</v>
      </c>
      <c r="O32" s="39">
        <f>((K32*0)+(L32*1)+(M32*2)+(N32*3))/100</f>
        <v>1.0060753341433775</v>
      </c>
    </row>
    <row r="33" spans="1:15" ht="14.25">
      <c r="A33" s="37" t="s">
        <v>451</v>
      </c>
      <c r="B33" s="37" t="s">
        <v>33</v>
      </c>
      <c r="C33" s="38">
        <v>3</v>
      </c>
      <c r="D33" s="38">
        <v>52.6666666666667</v>
      </c>
      <c r="E33" s="38">
        <v>44.3333333333333</v>
      </c>
      <c r="F33" s="38">
        <v>0</v>
      </c>
      <c r="G33" s="39">
        <f>((C33*0)+(D33*1)+(E33*2)+(F33*3))/100</f>
        <v>1.4133333333333331</v>
      </c>
      <c r="I33" s="37" t="s">
        <v>451</v>
      </c>
      <c r="J33" s="37" t="s">
        <v>33</v>
      </c>
      <c r="K33" s="38">
        <v>86.8333333333333</v>
      </c>
      <c r="L33" s="38">
        <v>12.5</v>
      </c>
      <c r="M33" s="38">
        <v>0.66666666666666696</v>
      </c>
      <c r="N33" s="38">
        <v>0</v>
      </c>
      <c r="O33" s="39">
        <f>((K33*0)+(L33*1)+(M33*2)+(N33*3))/100</f>
        <v>0.13833333333333334</v>
      </c>
    </row>
    <row r="34" spans="1:15" ht="14.25">
      <c r="A34" s="37" t="s">
        <v>379</v>
      </c>
      <c r="B34" s="37" t="s">
        <v>34</v>
      </c>
      <c r="C34" s="38">
        <v>79.357798165137595</v>
      </c>
      <c r="D34" s="38">
        <v>18.807339449541299</v>
      </c>
      <c r="E34" s="38">
        <v>1.8348623853210999</v>
      </c>
      <c r="F34" s="38">
        <v>0</v>
      </c>
      <c r="G34" s="39">
        <f>((C34*0)+(D34*1)+(E34*2)+(F34*3))/100</f>
        <v>0.22477064220183501</v>
      </c>
      <c r="I34" s="37" t="s">
        <v>379</v>
      </c>
      <c r="J34" s="37" t="s">
        <v>34</v>
      </c>
      <c r="K34" s="38">
        <v>98.623853211009205</v>
      </c>
      <c r="L34" s="38">
        <v>1.3761467889908301</v>
      </c>
      <c r="M34" s="38">
        <v>0</v>
      </c>
      <c r="N34" s="38">
        <v>0</v>
      </c>
      <c r="O34" s="39">
        <f>((K34*0)+(L34*1)+(M34*2)+(N34*3))/100</f>
        <v>1.3761467889908301E-2</v>
      </c>
    </row>
    <row r="35" spans="1:15" ht="14.25">
      <c r="A35" s="37" t="s">
        <v>372</v>
      </c>
      <c r="B35" s="37" t="s">
        <v>35</v>
      </c>
      <c r="C35" s="38">
        <v>90.588235294117695</v>
      </c>
      <c r="D35" s="38">
        <v>9.4117647058823497</v>
      </c>
      <c r="E35" s="38">
        <v>0</v>
      </c>
      <c r="F35" s="38">
        <v>0</v>
      </c>
      <c r="G35" s="39">
        <f>((C35*0)+(D35*1)+(E35*2)+(F35*3))/100</f>
        <v>9.41176470588235E-2</v>
      </c>
      <c r="I35" s="37" t="s">
        <v>372</v>
      </c>
      <c r="J35" s="37" t="s">
        <v>35</v>
      </c>
      <c r="K35" s="38">
        <v>100</v>
      </c>
      <c r="L35" s="38">
        <v>0</v>
      </c>
      <c r="M35" s="38">
        <v>0</v>
      </c>
      <c r="N35" s="38">
        <v>0</v>
      </c>
      <c r="O35" s="39">
        <f>((K35*0)+(L35*1)+(M35*2)+(N35*3))/100</f>
        <v>0</v>
      </c>
    </row>
    <row r="36" spans="1:15" ht="14.25">
      <c r="A36" s="37" t="s">
        <v>582</v>
      </c>
      <c r="B36" s="37" t="s">
        <v>36</v>
      </c>
      <c r="C36" s="38">
        <v>0.53981106612685603</v>
      </c>
      <c r="D36" s="38">
        <v>26.045883940620801</v>
      </c>
      <c r="E36" s="38">
        <v>73.414304993252401</v>
      </c>
      <c r="F36" s="38">
        <v>0</v>
      </c>
      <c r="G36" s="39">
        <f>((C36*0)+(D36*1)+(E36*2)+(F36*3))/100</f>
        <v>1.7287449392712559</v>
      </c>
      <c r="I36" s="37" t="s">
        <v>582</v>
      </c>
      <c r="J36" s="37" t="s">
        <v>36</v>
      </c>
      <c r="K36" s="38">
        <v>3.37381916329285</v>
      </c>
      <c r="L36" s="38">
        <v>95.276653171389995</v>
      </c>
      <c r="M36" s="38">
        <v>1.34952766531714</v>
      </c>
      <c r="N36" s="38">
        <v>0</v>
      </c>
      <c r="O36" s="39">
        <f>((K36*0)+(L36*1)+(M36*2)+(N36*3))/100</f>
        <v>0.97975708502024272</v>
      </c>
    </row>
    <row r="37" spans="1:15" ht="14.25">
      <c r="A37" s="37" t="s">
        <v>398</v>
      </c>
      <c r="B37" s="37" t="s">
        <v>399</v>
      </c>
      <c r="C37" s="38">
        <v>0</v>
      </c>
      <c r="D37" s="38">
        <v>50.1510574018127</v>
      </c>
      <c r="E37" s="38">
        <v>49.8489425981873</v>
      </c>
      <c r="F37" s="38">
        <v>0</v>
      </c>
      <c r="G37" s="39">
        <f>((C37*0)+(D37*1)+(E37*2)+(F37*3))/100</f>
        <v>1.4984894259818731</v>
      </c>
      <c r="I37" s="37" t="s">
        <v>398</v>
      </c>
      <c r="J37" s="37" t="s">
        <v>399</v>
      </c>
      <c r="K37" s="38">
        <v>96.374622356495493</v>
      </c>
      <c r="L37" s="38">
        <v>3.62537764350453</v>
      </c>
      <c r="M37" s="38">
        <v>0</v>
      </c>
      <c r="N37" s="38">
        <v>0</v>
      </c>
      <c r="O37" s="39">
        <f>((K37*0)+(L37*1)+(M37*2)+(N37*3))/100</f>
        <v>3.62537764350453E-2</v>
      </c>
    </row>
    <row r="38" spans="1:15" ht="14.25">
      <c r="A38" s="37" t="s">
        <v>580</v>
      </c>
      <c r="B38" s="37" t="s">
        <v>38</v>
      </c>
      <c r="C38" s="38">
        <v>0</v>
      </c>
      <c r="D38" s="38">
        <v>2.3529411764705901</v>
      </c>
      <c r="E38" s="38">
        <v>97.647058823529406</v>
      </c>
      <c r="F38" s="38">
        <v>0</v>
      </c>
      <c r="G38" s="39">
        <f>((C38*0)+(D38*1)+(E38*2)+(F38*3))/100</f>
        <v>1.976470588235294</v>
      </c>
      <c r="I38" s="37" t="s">
        <v>580</v>
      </c>
      <c r="J38" s="37" t="s">
        <v>38</v>
      </c>
      <c r="K38" s="38">
        <v>2.3529411764705901</v>
      </c>
      <c r="L38" s="38">
        <v>97.647058823529406</v>
      </c>
      <c r="M38" s="38">
        <v>0</v>
      </c>
      <c r="N38" s="38">
        <v>0</v>
      </c>
      <c r="O38" s="39">
        <f>((K38*0)+(L38*1)+(M38*2)+(N38*3))/100</f>
        <v>0.97647058823529409</v>
      </c>
    </row>
    <row r="39" spans="1:15" ht="14.25">
      <c r="A39" s="37" t="s">
        <v>586</v>
      </c>
      <c r="B39" s="37" t="s">
        <v>39</v>
      </c>
      <c r="C39" s="38">
        <v>0</v>
      </c>
      <c r="D39" s="38">
        <v>19.072164948453601</v>
      </c>
      <c r="E39" s="38">
        <v>80.927835051546396</v>
      </c>
      <c r="F39" s="38">
        <v>0</v>
      </c>
      <c r="G39" s="39">
        <f>((C39*0)+(D39*1)+(E39*2)+(F39*3))/100</f>
        <v>1.8092783505154639</v>
      </c>
      <c r="I39" s="37" t="s">
        <v>586</v>
      </c>
      <c r="J39" s="37" t="s">
        <v>39</v>
      </c>
      <c r="K39" s="38">
        <v>1.5463917525773201</v>
      </c>
      <c r="L39" s="38">
        <v>98.453608247422693</v>
      </c>
      <c r="M39" s="38">
        <v>0</v>
      </c>
      <c r="N39" s="38">
        <v>0</v>
      </c>
      <c r="O39" s="39">
        <f>((K39*0)+(L39*1)+(M39*2)+(N39*3))/100</f>
        <v>0.98453608247422697</v>
      </c>
    </row>
    <row r="40" spans="1:15" ht="14.25">
      <c r="A40" s="37" t="s">
        <v>623</v>
      </c>
      <c r="B40" s="37" t="s">
        <v>40</v>
      </c>
      <c r="C40" s="38">
        <v>0</v>
      </c>
      <c r="D40" s="38">
        <v>0</v>
      </c>
      <c r="E40" s="38">
        <v>100</v>
      </c>
      <c r="F40" s="38">
        <v>0</v>
      </c>
      <c r="G40" s="39">
        <f>((C40*0)+(D40*1)+(E40*2)+(F40*3))/100</f>
        <v>2</v>
      </c>
      <c r="I40" s="37" t="s">
        <v>623</v>
      </c>
      <c r="J40" s="37" t="s">
        <v>40</v>
      </c>
      <c r="K40" s="38">
        <v>0</v>
      </c>
      <c r="L40" s="38">
        <v>96.774193548387103</v>
      </c>
      <c r="M40" s="38">
        <v>3.2258064516128999</v>
      </c>
      <c r="N40" s="38">
        <v>0</v>
      </c>
      <c r="O40" s="39">
        <f>((K40*0)+(L40*1)+(M40*2)+(N40*3))/100</f>
        <v>1.032258064516129</v>
      </c>
    </row>
    <row r="41" spans="1:15" ht="14.25">
      <c r="A41" s="37" t="s">
        <v>476</v>
      </c>
      <c r="B41" s="37" t="s">
        <v>41</v>
      </c>
      <c r="C41" s="38">
        <v>0</v>
      </c>
      <c r="D41" s="38">
        <v>78.571428571428598</v>
      </c>
      <c r="E41" s="38">
        <v>21.428571428571399</v>
      </c>
      <c r="F41" s="38">
        <v>0</v>
      </c>
      <c r="G41" s="39">
        <f>((C41*0)+(D41*1)+(E41*2)+(F41*3))/100</f>
        <v>1.214285714285714</v>
      </c>
      <c r="I41" s="37" t="s">
        <v>476</v>
      </c>
      <c r="J41" s="37" t="s">
        <v>41</v>
      </c>
      <c r="K41" s="38">
        <v>78.571428571428598</v>
      </c>
      <c r="L41" s="38">
        <v>21.428571428571399</v>
      </c>
      <c r="M41" s="38">
        <v>0</v>
      </c>
      <c r="N41" s="38">
        <v>0</v>
      </c>
      <c r="O41" s="39">
        <f>((K41*0)+(L41*1)+(M41*2)+(N41*3))/100</f>
        <v>0.214285714285714</v>
      </c>
    </row>
    <row r="42" spans="1:15" ht="14.25">
      <c r="A42" s="37" t="s">
        <v>587</v>
      </c>
      <c r="B42" s="37" t="s">
        <v>42</v>
      </c>
      <c r="C42" s="38">
        <v>0.96153846153846201</v>
      </c>
      <c r="D42" s="38">
        <v>45.592948717948701</v>
      </c>
      <c r="E42" s="38">
        <v>53.445512820512803</v>
      </c>
      <c r="F42" s="38">
        <v>0</v>
      </c>
      <c r="G42" s="39">
        <f>((C42*0)+(D42*1)+(E42*2)+(F42*3))/100</f>
        <v>1.5248397435897432</v>
      </c>
      <c r="I42" s="37" t="s">
        <v>587</v>
      </c>
      <c r="J42" s="37" t="s">
        <v>42</v>
      </c>
      <c r="K42" s="38">
        <v>2.8846153846153801</v>
      </c>
      <c r="L42" s="38">
        <v>95.592948717948701</v>
      </c>
      <c r="M42" s="38">
        <v>1.5224358974359</v>
      </c>
      <c r="N42" s="38">
        <v>0</v>
      </c>
      <c r="O42" s="39">
        <f>((K42*0)+(L42*1)+(M42*2)+(N42*3))/100</f>
        <v>0.98637820512820495</v>
      </c>
    </row>
    <row r="43" spans="1:15" ht="14.25">
      <c r="A43" s="37" t="s">
        <v>648</v>
      </c>
      <c r="B43" s="37" t="s">
        <v>43</v>
      </c>
      <c r="C43" s="38">
        <v>0.58377116170461196</v>
      </c>
      <c r="D43" s="38">
        <v>80.151780502043195</v>
      </c>
      <c r="E43" s="38">
        <v>19.264448336252201</v>
      </c>
      <c r="F43" s="38">
        <v>0</v>
      </c>
      <c r="G43" s="39">
        <f>((C43*0)+(D43*1)+(E43*2)+(F43*3))/100</f>
        <v>1.186806771745476</v>
      </c>
      <c r="I43" s="37" t="s">
        <v>648</v>
      </c>
      <c r="J43" s="37" t="s">
        <v>43</v>
      </c>
      <c r="K43" s="38">
        <v>2.5102159953298302</v>
      </c>
      <c r="L43" s="38">
        <v>80.502043199065994</v>
      </c>
      <c r="M43" s="38">
        <v>16.987740805604201</v>
      </c>
      <c r="N43" s="38">
        <v>0</v>
      </c>
      <c r="O43" s="39">
        <f>((K43*0)+(L43*1)+(M43*2)+(N43*3))/100</f>
        <v>1.1447752481027438</v>
      </c>
    </row>
    <row r="44" spans="1:15" ht="14.25">
      <c r="A44" s="37" t="s">
        <v>510</v>
      </c>
      <c r="B44" s="37" t="s">
        <v>44</v>
      </c>
      <c r="C44" s="38">
        <v>0.31522793404461702</v>
      </c>
      <c r="D44" s="38">
        <v>18.064985451018401</v>
      </c>
      <c r="E44" s="38">
        <v>81.619786614936999</v>
      </c>
      <c r="F44" s="38">
        <v>0</v>
      </c>
      <c r="G44" s="39">
        <f>((C44*0)+(D44*1)+(E44*2)+(F44*3))/100</f>
        <v>1.8130455868089239</v>
      </c>
      <c r="I44" s="37" t="s">
        <v>510</v>
      </c>
      <c r="J44" s="37" t="s">
        <v>44</v>
      </c>
      <c r="K44" s="38">
        <v>39.500484966052397</v>
      </c>
      <c r="L44" s="38">
        <v>59.456838021338498</v>
      </c>
      <c r="M44" s="38">
        <v>1.04267701260912</v>
      </c>
      <c r="N44" s="38">
        <v>0</v>
      </c>
      <c r="O44" s="39">
        <f>((K44*0)+(L44*1)+(M44*2)+(N44*3))/100</f>
        <v>0.61542192046556732</v>
      </c>
    </row>
    <row r="45" spans="1:15" ht="14.25">
      <c r="A45" s="37" t="s">
        <v>657</v>
      </c>
      <c r="B45" s="37" t="s">
        <v>45</v>
      </c>
      <c r="C45" s="38">
        <v>4.0540540540540499</v>
      </c>
      <c r="D45" s="38">
        <v>16.602316602316598</v>
      </c>
      <c r="E45" s="38">
        <v>79.343629343629303</v>
      </c>
      <c r="F45" s="38">
        <v>0</v>
      </c>
      <c r="G45" s="39">
        <f>((C45*0)+(D45*1)+(E45*2)+(F45*3))/100</f>
        <v>1.7528957528957521</v>
      </c>
      <c r="I45" s="37" t="s">
        <v>657</v>
      </c>
      <c r="J45" s="37" t="s">
        <v>45</v>
      </c>
      <c r="K45" s="38">
        <v>4.0540540540540499</v>
      </c>
      <c r="L45" s="38">
        <v>72.200772200772207</v>
      </c>
      <c r="M45" s="38">
        <v>23.745173745173702</v>
      </c>
      <c r="N45" s="38">
        <v>0</v>
      </c>
      <c r="O45" s="39">
        <f>((K45*0)+(L45*1)+(M45*2)+(N45*3))/100</f>
        <v>1.1969111969111961</v>
      </c>
    </row>
    <row r="46" spans="1:15" ht="14.25">
      <c r="A46" s="37" t="s">
        <v>666</v>
      </c>
      <c r="B46" s="37" t="s">
        <v>46</v>
      </c>
      <c r="C46" s="38">
        <v>0</v>
      </c>
      <c r="D46" s="38">
        <v>65.293511843460394</v>
      </c>
      <c r="E46" s="38">
        <v>34.706488156539599</v>
      </c>
      <c r="F46" s="38">
        <v>0</v>
      </c>
      <c r="G46" s="39">
        <f>((C46*0)+(D46*1)+(E46*2)+(F46*3))/100</f>
        <v>1.3470648815653958</v>
      </c>
      <c r="I46" s="37" t="s">
        <v>666</v>
      </c>
      <c r="J46" s="37" t="s">
        <v>46</v>
      </c>
      <c r="K46" s="38">
        <v>2.6433230346721599</v>
      </c>
      <c r="L46" s="38">
        <v>61.242705115001698</v>
      </c>
      <c r="M46" s="38">
        <v>36.113971850326102</v>
      </c>
      <c r="N46" s="38">
        <v>0</v>
      </c>
      <c r="O46" s="39">
        <f>((K46*0)+(L46*1)+(M46*2)+(N46*3))/100</f>
        <v>1.3347064881565389</v>
      </c>
    </row>
    <row r="47" spans="1:15" ht="14.25">
      <c r="A47" s="37" t="s">
        <v>459</v>
      </c>
      <c r="B47" s="37" t="s">
        <v>47</v>
      </c>
      <c r="C47" s="38">
        <v>33.076923076923102</v>
      </c>
      <c r="D47" s="38">
        <v>62.307692307692299</v>
      </c>
      <c r="E47" s="38">
        <v>4.6153846153846203</v>
      </c>
      <c r="F47" s="38">
        <v>0</v>
      </c>
      <c r="G47" s="39">
        <f>((C47*0)+(D47*1)+(E47*2)+(F47*3))/100</f>
        <v>0.71538461538461551</v>
      </c>
      <c r="I47" s="37" t="s">
        <v>459</v>
      </c>
      <c r="J47" s="37" t="s">
        <v>47</v>
      </c>
      <c r="K47" s="38">
        <v>85.384615384615401</v>
      </c>
      <c r="L47" s="38">
        <v>13.846153846153801</v>
      </c>
      <c r="M47" s="38">
        <v>0.76923076923076905</v>
      </c>
      <c r="N47" s="38">
        <v>0</v>
      </c>
      <c r="O47" s="39">
        <f>((K47*0)+(L47*1)+(M47*2)+(N47*3))/100</f>
        <v>0.15384615384615338</v>
      </c>
    </row>
    <row r="48" spans="1:15" ht="14.25">
      <c r="A48" s="37" t="s">
        <v>551</v>
      </c>
      <c r="B48" s="37" t="s">
        <v>48</v>
      </c>
      <c r="C48" s="38">
        <v>0</v>
      </c>
      <c r="D48" s="38">
        <v>95.8333333333333</v>
      </c>
      <c r="E48" s="38">
        <v>4.1666666666666696</v>
      </c>
      <c r="F48" s="38">
        <v>0</v>
      </c>
      <c r="G48" s="39">
        <f>((C48*0)+(D48*1)+(E48*2)+(F48*3))/100</f>
        <v>1.0416666666666665</v>
      </c>
      <c r="I48" s="37" t="s">
        <v>551</v>
      </c>
      <c r="J48" s="37" t="s">
        <v>48</v>
      </c>
      <c r="K48" s="38">
        <v>8.3333333333333304</v>
      </c>
      <c r="L48" s="38">
        <v>91.6666666666667</v>
      </c>
      <c r="M48" s="38">
        <v>0</v>
      </c>
      <c r="N48" s="38">
        <v>0</v>
      </c>
      <c r="O48" s="39">
        <f>((K48*0)+(L48*1)+(M48*2)+(N48*3))/100</f>
        <v>0.91666666666666696</v>
      </c>
    </row>
    <row r="49" spans="1:15" ht="14.25">
      <c r="A49" s="37" t="s">
        <v>610</v>
      </c>
      <c r="B49" s="37" t="s">
        <v>611</v>
      </c>
      <c r="C49" s="38">
        <v>0</v>
      </c>
      <c r="D49" s="38">
        <v>18.671875</v>
      </c>
      <c r="E49" s="38">
        <v>81.328125</v>
      </c>
      <c r="F49" s="38">
        <v>0</v>
      </c>
      <c r="G49" s="39">
        <f>((C49*0)+(D49*1)+(E49*2)+(F49*3))/100</f>
        <v>1.81328125</v>
      </c>
      <c r="I49" s="37" t="s">
        <v>610</v>
      </c>
      <c r="J49" s="37" t="s">
        <v>611</v>
      </c>
      <c r="K49" s="38">
        <v>0.625</v>
      </c>
      <c r="L49" s="38">
        <v>97.5</v>
      </c>
      <c r="M49" s="38">
        <v>1.875</v>
      </c>
      <c r="N49" s="38">
        <v>0</v>
      </c>
      <c r="O49" s="39">
        <f>((K49*0)+(L49*1)+(M49*2)+(N49*3))/100</f>
        <v>1.0125</v>
      </c>
    </row>
    <row r="50" spans="1:15" ht="14.25">
      <c r="A50" s="37" t="s">
        <v>568</v>
      </c>
      <c r="B50" s="37" t="s">
        <v>50</v>
      </c>
      <c r="C50" s="38">
        <v>0</v>
      </c>
      <c r="D50" s="38">
        <v>3.4574468085106398</v>
      </c>
      <c r="E50" s="38">
        <v>96.542553191489404</v>
      </c>
      <c r="F50" s="38">
        <v>0</v>
      </c>
      <c r="G50" s="39">
        <f>((C50*0)+(D50*1)+(E50*2)+(F50*3))/100</f>
        <v>1.9654255319148946</v>
      </c>
      <c r="I50" s="37" t="s">
        <v>568</v>
      </c>
      <c r="J50" s="37" t="s">
        <v>50</v>
      </c>
      <c r="K50" s="38">
        <v>5.31914893617021</v>
      </c>
      <c r="L50" s="38">
        <v>93.351063829787194</v>
      </c>
      <c r="M50" s="38">
        <v>1.3297872340425501</v>
      </c>
      <c r="N50" s="38">
        <v>0</v>
      </c>
      <c r="O50" s="39">
        <f>((K50*0)+(L50*1)+(M50*2)+(N50*3))/100</f>
        <v>0.96010638297872286</v>
      </c>
    </row>
    <row r="51" spans="1:15" ht="14.25">
      <c r="A51" s="37" t="s">
        <v>638</v>
      </c>
      <c r="B51" s="37" t="s">
        <v>51</v>
      </c>
      <c r="C51" s="38">
        <v>0</v>
      </c>
      <c r="D51" s="38">
        <v>5.0546448087431699</v>
      </c>
      <c r="E51" s="38">
        <v>93.852459016393396</v>
      </c>
      <c r="F51" s="38">
        <v>1.0928961748633901</v>
      </c>
      <c r="G51" s="39">
        <f>((C51*0)+(D51*1)+(E51*2)+(F51*3))/100</f>
        <v>1.9603825136612014</v>
      </c>
      <c r="I51" s="37" t="s">
        <v>638</v>
      </c>
      <c r="J51" s="37" t="s">
        <v>51</v>
      </c>
      <c r="K51" s="38">
        <v>3.9617486338797798</v>
      </c>
      <c r="L51" s="38">
        <v>86.065573770491795</v>
      </c>
      <c r="M51" s="38">
        <v>9.5628415300546408</v>
      </c>
      <c r="N51" s="38">
        <v>0.409836065573771</v>
      </c>
      <c r="O51" s="39">
        <f>((K51*0)+(L51*1)+(M51*2)+(N51*3))/100</f>
        <v>1.0642076502732238</v>
      </c>
    </row>
    <row r="52" spans="1:15" ht="14.25">
      <c r="A52" s="37" t="s">
        <v>460</v>
      </c>
      <c r="B52" s="37" t="s">
        <v>461</v>
      </c>
      <c r="C52" s="38">
        <v>0</v>
      </c>
      <c r="D52" s="38">
        <v>72.195121951219505</v>
      </c>
      <c r="E52" s="38">
        <v>27.3170731707317</v>
      </c>
      <c r="F52" s="38">
        <v>0.48780487804877998</v>
      </c>
      <c r="G52" s="39">
        <f>((C52*0)+(D52*1)+(E52*2)+(F52*3))/100</f>
        <v>1.2829268292682925</v>
      </c>
      <c r="I52" s="37" t="s">
        <v>460</v>
      </c>
      <c r="J52" s="37" t="s">
        <v>461</v>
      </c>
      <c r="K52" s="38">
        <v>86.585365853658502</v>
      </c>
      <c r="L52" s="38">
        <v>10.975609756097599</v>
      </c>
      <c r="M52" s="38">
        <v>2.4390243902439002</v>
      </c>
      <c r="N52" s="38">
        <v>0</v>
      </c>
      <c r="O52" s="39">
        <f>((K52*0)+(L52*1)+(M52*2)+(N52*3))/100</f>
        <v>0.15853658536585399</v>
      </c>
    </row>
    <row r="53" spans="1:15" ht="14.25">
      <c r="A53" s="37" t="s">
        <v>594</v>
      </c>
      <c r="B53" s="37" t="s">
        <v>53</v>
      </c>
      <c r="C53" s="38">
        <v>0</v>
      </c>
      <c r="D53" s="38">
        <v>0</v>
      </c>
      <c r="E53" s="38">
        <v>100</v>
      </c>
      <c r="F53" s="38">
        <v>0</v>
      </c>
      <c r="G53" s="39">
        <f>((C53*0)+(D53*1)+(E53*2)+(F53*3))/100</f>
        <v>2</v>
      </c>
      <c r="I53" s="37" t="s">
        <v>594</v>
      </c>
      <c r="J53" s="37" t="s">
        <v>53</v>
      </c>
      <c r="K53" s="38">
        <v>0</v>
      </c>
      <c r="L53" s="38">
        <v>100</v>
      </c>
      <c r="M53" s="38">
        <v>0</v>
      </c>
      <c r="N53" s="38">
        <v>0</v>
      </c>
      <c r="O53" s="39">
        <f>((K53*0)+(L53*1)+(M53*2)+(N53*3))/100</f>
        <v>1</v>
      </c>
    </row>
    <row r="54" spans="1:15" ht="14.25">
      <c r="A54" s="37" t="s">
        <v>442</v>
      </c>
      <c r="B54" s="37" t="s">
        <v>54</v>
      </c>
      <c r="C54" s="38">
        <v>0</v>
      </c>
      <c r="D54" s="38">
        <v>44.202898550724598</v>
      </c>
      <c r="E54" s="38">
        <v>55.797101449275402</v>
      </c>
      <c r="F54" s="38">
        <v>0</v>
      </c>
      <c r="G54" s="39">
        <f>((C54*0)+(D54*1)+(E54*2)+(F54*3))/100</f>
        <v>1.5579710144927541</v>
      </c>
      <c r="I54" s="37" t="s">
        <v>442</v>
      </c>
      <c r="J54" s="37" t="s">
        <v>54</v>
      </c>
      <c r="K54" s="38">
        <v>89.130434782608702</v>
      </c>
      <c r="L54" s="38">
        <v>10.869565217391299</v>
      </c>
      <c r="M54" s="38">
        <v>0</v>
      </c>
      <c r="N54" s="38">
        <v>0</v>
      </c>
      <c r="O54" s="39">
        <f>((K54*0)+(L54*1)+(M54*2)+(N54*3))/100</f>
        <v>0.108695652173913</v>
      </c>
    </row>
    <row r="55" spans="1:15" ht="14.25">
      <c r="A55" s="37" t="s">
        <v>662</v>
      </c>
      <c r="B55" s="37" t="s">
        <v>55</v>
      </c>
      <c r="C55" s="38">
        <v>0</v>
      </c>
      <c r="D55" s="38">
        <v>57</v>
      </c>
      <c r="E55" s="38">
        <v>40.571428571428598</v>
      </c>
      <c r="F55" s="38">
        <v>2.4285714285714302</v>
      </c>
      <c r="G55" s="39">
        <f>((C55*0)+(D55*1)+(E55*2)+(F55*3))/100</f>
        <v>1.4542857142857146</v>
      </c>
      <c r="I55" s="37" t="s">
        <v>662</v>
      </c>
      <c r="J55" s="37" t="s">
        <v>55</v>
      </c>
      <c r="K55" s="38">
        <v>3.8571428571428599</v>
      </c>
      <c r="L55" s="38">
        <v>67.142857142857096</v>
      </c>
      <c r="M55" s="38">
        <v>28.285714285714299</v>
      </c>
      <c r="N55" s="38">
        <v>0.71428571428571397</v>
      </c>
      <c r="O55" s="39">
        <f>((K55*0)+(L55*1)+(M55*2)+(N55*3))/100</f>
        <v>1.2585714285714282</v>
      </c>
    </row>
    <row r="56" spans="1:15" ht="14.25">
      <c r="A56" s="37" t="s">
        <v>654</v>
      </c>
      <c r="B56" s="37" t="s">
        <v>56</v>
      </c>
      <c r="C56" s="38">
        <v>0</v>
      </c>
      <c r="D56" s="38">
        <v>11.318553092182</v>
      </c>
      <c r="E56" s="38">
        <v>87.047841306884493</v>
      </c>
      <c r="F56" s="38">
        <v>1.6336056009334901</v>
      </c>
      <c r="G56" s="39">
        <f>((C56*0)+(D56*1)+(E56*2)+(F56*3))/100</f>
        <v>1.9031505250875147</v>
      </c>
      <c r="I56" s="37" t="s">
        <v>654</v>
      </c>
      <c r="J56" s="37" t="s">
        <v>56</v>
      </c>
      <c r="K56" s="38">
        <v>2.5670945157526299</v>
      </c>
      <c r="L56" s="38">
        <v>77.246207701283495</v>
      </c>
      <c r="M56" s="38">
        <v>20.186697782963801</v>
      </c>
      <c r="N56" s="38">
        <v>0</v>
      </c>
      <c r="O56" s="39">
        <f>((K56*0)+(L56*1)+(M56*2)+(N56*3))/100</f>
        <v>1.1761960326721108</v>
      </c>
    </row>
    <row r="57" spans="1:15" ht="14.25">
      <c r="A57" s="37" t="s">
        <v>644</v>
      </c>
      <c r="B57" s="37" t="s">
        <v>57</v>
      </c>
      <c r="C57" s="38">
        <v>0</v>
      </c>
      <c r="D57" s="38">
        <v>64.661654135338296</v>
      </c>
      <c r="E57" s="38">
        <v>34.962406015037601</v>
      </c>
      <c r="F57" s="38">
        <v>0.37593984962406002</v>
      </c>
      <c r="G57" s="39">
        <f>((C57*0)+(D57*1)+(E57*2)+(F57*3))/100</f>
        <v>1.3571428571428568</v>
      </c>
      <c r="I57" s="37" t="s">
        <v>644</v>
      </c>
      <c r="J57" s="37" t="s">
        <v>57</v>
      </c>
      <c r="K57" s="38">
        <v>0</v>
      </c>
      <c r="L57" s="38">
        <v>89.849624060150404</v>
      </c>
      <c r="M57" s="38">
        <v>10.150375939849599</v>
      </c>
      <c r="N57" s="38">
        <v>0</v>
      </c>
      <c r="O57" s="39">
        <f>((K57*0)+(L57*1)+(M57*2)+(N57*3))/100</f>
        <v>1.101503759398496</v>
      </c>
    </row>
    <row r="58" spans="1:15" ht="14.25">
      <c r="A58" s="37" t="s">
        <v>482</v>
      </c>
      <c r="B58" s="37" t="s">
        <v>58</v>
      </c>
      <c r="C58" s="38">
        <v>1.5617374328940901</v>
      </c>
      <c r="D58" s="38">
        <v>74.914592484138595</v>
      </c>
      <c r="E58" s="38">
        <v>23.279648609077601</v>
      </c>
      <c r="F58" s="38">
        <v>0.244021473889702</v>
      </c>
      <c r="G58" s="39">
        <f>((C58*0)+(D58*1)+(E58*2)+(F58*3))/100</f>
        <v>1.2220595412396291</v>
      </c>
      <c r="I58" s="37" t="s">
        <v>482</v>
      </c>
      <c r="J58" s="37" t="s">
        <v>58</v>
      </c>
      <c r="K58" s="38">
        <v>74.133723767691606</v>
      </c>
      <c r="L58" s="38">
        <v>24.7925817471938</v>
      </c>
      <c r="M58" s="38">
        <v>1.0736944851146899</v>
      </c>
      <c r="N58" s="38">
        <v>0</v>
      </c>
      <c r="O58" s="39">
        <f>((K58*0)+(L58*1)+(M58*2)+(N58*3))/100</f>
        <v>0.26939970717423178</v>
      </c>
    </row>
    <row r="59" spans="1:15" ht="14.25">
      <c r="A59" s="37" t="s">
        <v>469</v>
      </c>
      <c r="B59" s="37" t="s">
        <v>59</v>
      </c>
      <c r="C59" s="38">
        <v>58.656599843790701</v>
      </c>
      <c r="D59" s="38">
        <v>39.755272064566498</v>
      </c>
      <c r="E59" s="38">
        <v>1.5881280916428</v>
      </c>
      <c r="F59" s="38">
        <v>0</v>
      </c>
      <c r="G59" s="39">
        <f>((C59*0)+(D59*1)+(E59*2)+(F59*3))/100</f>
        <v>0.42931528247852102</v>
      </c>
      <c r="I59" s="37" t="s">
        <v>469</v>
      </c>
      <c r="J59" s="37" t="s">
        <v>59</v>
      </c>
      <c r="K59" s="38">
        <v>81.202811767768793</v>
      </c>
      <c r="L59" s="38">
        <v>18.198385837021601</v>
      </c>
      <c r="M59" s="38">
        <v>0.59880239520958101</v>
      </c>
      <c r="N59" s="38">
        <v>0</v>
      </c>
      <c r="O59" s="39">
        <f>((K59*0)+(L59*1)+(M59*2)+(N59*3))/100</f>
        <v>0.19395990627440762</v>
      </c>
    </row>
    <row r="60" spans="1:15" ht="14.25">
      <c r="A60" s="37" t="s">
        <v>651</v>
      </c>
      <c r="B60" s="37" t="s">
        <v>60</v>
      </c>
      <c r="C60" s="38">
        <v>0</v>
      </c>
      <c r="D60" s="38">
        <v>77.973568281938299</v>
      </c>
      <c r="E60" s="38">
        <v>22.026431718061701</v>
      </c>
      <c r="F60" s="38">
        <v>0</v>
      </c>
      <c r="G60" s="39">
        <f>((C60*0)+(D60*1)+(E60*2)+(F60*3))/100</f>
        <v>1.2202643171806171</v>
      </c>
      <c r="I60" s="37" t="s">
        <v>651</v>
      </c>
      <c r="J60" s="37" t="s">
        <v>60</v>
      </c>
      <c r="K60" s="38">
        <v>6.4977973568281904</v>
      </c>
      <c r="L60" s="38">
        <v>70.2643171806167</v>
      </c>
      <c r="M60" s="38">
        <v>23.237885462555099</v>
      </c>
      <c r="N60" s="38">
        <v>0</v>
      </c>
      <c r="O60" s="39">
        <f>((K60*0)+(L60*1)+(M60*2)+(N60*3))/100</f>
        <v>1.1674008810572689</v>
      </c>
    </row>
    <row r="61" spans="1:15" ht="14.25">
      <c r="A61" s="37" t="s">
        <v>673</v>
      </c>
      <c r="B61" s="37" t="s">
        <v>61</v>
      </c>
      <c r="C61" s="38">
        <v>0</v>
      </c>
      <c r="D61" s="38">
        <v>40.816326530612201</v>
      </c>
      <c r="E61" s="38">
        <v>58.503401360544203</v>
      </c>
      <c r="F61" s="38">
        <v>0.68027210884353695</v>
      </c>
      <c r="G61" s="39">
        <f>((C61*0)+(D61*1)+(E61*2)+(F61*3))/100</f>
        <v>1.598639455782312</v>
      </c>
      <c r="I61" s="37" t="s">
        <v>673</v>
      </c>
      <c r="J61" s="37" t="s">
        <v>61</v>
      </c>
      <c r="K61" s="38">
        <v>2.72108843537415</v>
      </c>
      <c r="L61" s="38">
        <v>54.421768707482997</v>
      </c>
      <c r="M61" s="38">
        <v>42.857142857142897</v>
      </c>
      <c r="N61" s="38">
        <v>0</v>
      </c>
      <c r="O61" s="39">
        <f>((K61*0)+(L61*1)+(M61*2)+(N61*3))/100</f>
        <v>1.401360544217688</v>
      </c>
    </row>
    <row r="62" spans="1:15" ht="14.25">
      <c r="A62" s="37" t="s">
        <v>488</v>
      </c>
      <c r="B62" s="37" t="s">
        <v>62</v>
      </c>
      <c r="C62" s="38">
        <v>0</v>
      </c>
      <c r="D62" s="38">
        <v>66.379310344827601</v>
      </c>
      <c r="E62" s="38">
        <v>33.620689655172399</v>
      </c>
      <c r="F62" s="38">
        <v>0</v>
      </c>
      <c r="G62" s="39">
        <f>((C62*0)+(D62*1)+(E62*2)+(F62*3))/100</f>
        <v>1.3362068965517238</v>
      </c>
      <c r="I62" s="37" t="s">
        <v>488</v>
      </c>
      <c r="J62" s="37" t="s">
        <v>62</v>
      </c>
      <c r="K62" s="38">
        <v>63.7931034482759</v>
      </c>
      <c r="L62" s="38">
        <v>35.344827586206897</v>
      </c>
      <c r="M62" s="38">
        <v>0.86206896551724099</v>
      </c>
      <c r="N62" s="38">
        <v>0</v>
      </c>
      <c r="O62" s="39">
        <f>((K62*0)+(L62*1)+(M62*2)+(N62*3))/100</f>
        <v>0.37068965517241381</v>
      </c>
    </row>
    <row r="63" spans="1:15" ht="14.25">
      <c r="A63" s="37" t="s">
        <v>463</v>
      </c>
      <c r="B63" s="37" t="s">
        <v>63</v>
      </c>
      <c r="C63" s="38">
        <v>7.0469798657718101</v>
      </c>
      <c r="D63" s="38">
        <v>88.255033557047</v>
      </c>
      <c r="E63" s="38">
        <v>4.6979865771812097</v>
      </c>
      <c r="F63" s="38">
        <v>0</v>
      </c>
      <c r="G63" s="39">
        <f>((C63*0)+(D63*1)+(E63*2)+(F63*3))/100</f>
        <v>0.97651006711409427</v>
      </c>
      <c r="I63" s="37" t="s">
        <v>463</v>
      </c>
      <c r="J63" s="37" t="s">
        <v>63</v>
      </c>
      <c r="K63" s="38">
        <v>83.221476510067106</v>
      </c>
      <c r="L63" s="38">
        <v>16.778523489932901</v>
      </c>
      <c r="M63" s="38">
        <v>0</v>
      </c>
      <c r="N63" s="38">
        <v>0</v>
      </c>
      <c r="O63" s="39">
        <f>((K63*0)+(L63*1)+(M63*2)+(N63*3))/100</f>
        <v>0.16778523489932901</v>
      </c>
    </row>
    <row r="64" spans="1:15" ht="14.25">
      <c r="A64" s="37" t="s">
        <v>446</v>
      </c>
      <c r="B64" s="37" t="s">
        <v>64</v>
      </c>
      <c r="C64" s="38">
        <v>2.0282728948985902</v>
      </c>
      <c r="D64" s="38">
        <v>97.357098955132102</v>
      </c>
      <c r="E64" s="38">
        <v>0.61462814996926896</v>
      </c>
      <c r="F64" s="38">
        <v>0</v>
      </c>
      <c r="G64" s="39">
        <f>((C64*0)+(D64*1)+(E64*2)+(F64*3))/100</f>
        <v>0.98586355255070646</v>
      </c>
      <c r="I64" s="37" t="s">
        <v>446</v>
      </c>
      <c r="J64" s="37" t="s">
        <v>64</v>
      </c>
      <c r="K64" s="38">
        <v>88.690842040565499</v>
      </c>
      <c r="L64" s="38">
        <v>11.1247695144438</v>
      </c>
      <c r="M64" s="38">
        <v>0.184388444990781</v>
      </c>
      <c r="N64" s="38">
        <v>0</v>
      </c>
      <c r="O64" s="39">
        <f>((K64*0)+(L64*1)+(M64*2)+(N64*3))/100</f>
        <v>0.11493546404425363</v>
      </c>
    </row>
    <row r="65" spans="1:15" ht="14.25">
      <c r="A65" s="37" t="s">
        <v>677</v>
      </c>
      <c r="B65" s="37" t="s">
        <v>65</v>
      </c>
      <c r="C65" s="38">
        <v>0.79260237780713305</v>
      </c>
      <c r="D65" s="38">
        <v>53.236459709379098</v>
      </c>
      <c r="E65" s="38">
        <v>45.970937912813703</v>
      </c>
      <c r="F65" s="38">
        <v>0</v>
      </c>
      <c r="G65" s="39">
        <f>((C65*0)+(D65*1)+(E65*2)+(F65*3))/100</f>
        <v>1.4517833553500652</v>
      </c>
      <c r="I65" s="37" t="s">
        <v>677</v>
      </c>
      <c r="J65" s="37" t="s">
        <v>65</v>
      </c>
      <c r="K65" s="38">
        <v>3.7648612945838802</v>
      </c>
      <c r="L65" s="38">
        <v>48.877146631439899</v>
      </c>
      <c r="M65" s="38">
        <v>47.357992073976199</v>
      </c>
      <c r="N65" s="38">
        <v>0</v>
      </c>
      <c r="O65" s="39">
        <f>((K65*0)+(L65*1)+(M65*2)+(N65*3))/100</f>
        <v>1.4359313077939231</v>
      </c>
    </row>
    <row r="66" spans="1:15" ht="14.25">
      <c r="A66" s="37" t="s">
        <v>614</v>
      </c>
      <c r="B66" s="37" t="s">
        <v>66</v>
      </c>
      <c r="C66" s="38">
        <v>43.6367423453447</v>
      </c>
      <c r="D66" s="38">
        <v>56.182739707005503</v>
      </c>
      <c r="E66" s="38">
        <v>0.18051794764979501</v>
      </c>
      <c r="F66" s="38">
        <v>0</v>
      </c>
      <c r="G66" s="39">
        <f>((C66*0)+(D66*1)+(E66*2)+(F66*3))/100</f>
        <v>0.56543775602305091</v>
      </c>
      <c r="I66" s="37" t="s">
        <v>614</v>
      </c>
      <c r="J66" s="37" t="s">
        <v>66</v>
      </c>
      <c r="K66" s="38">
        <v>1.36777060334653</v>
      </c>
      <c r="L66" s="38">
        <v>95.743942234256707</v>
      </c>
      <c r="M66" s="38">
        <v>2.8882871623967201</v>
      </c>
      <c r="N66" s="38">
        <v>0</v>
      </c>
      <c r="O66" s="39">
        <f>((K66*0)+(L66*1)+(M66*2)+(N66*3))/100</f>
        <v>1.0152051655905014</v>
      </c>
    </row>
    <row r="67" spans="1:15" ht="14.25">
      <c r="A67" s="37" t="s">
        <v>637</v>
      </c>
      <c r="B67" s="37" t="s">
        <v>67</v>
      </c>
      <c r="C67" s="38">
        <v>1.97125256673511</v>
      </c>
      <c r="D67" s="38">
        <v>91.622176591375805</v>
      </c>
      <c r="E67" s="38">
        <v>6.4065708418891196</v>
      </c>
      <c r="F67" s="38">
        <v>0</v>
      </c>
      <c r="G67" s="39">
        <f>((C67*0)+(D67*1)+(E67*2)+(F67*3))/100</f>
        <v>1.0443531827515404</v>
      </c>
      <c r="I67" s="37" t="s">
        <v>637</v>
      </c>
      <c r="J67" s="37" t="s">
        <v>67</v>
      </c>
      <c r="K67" s="38">
        <v>4.1067761806981497E-2</v>
      </c>
      <c r="L67" s="38">
        <v>93.593429158110894</v>
      </c>
      <c r="M67" s="38">
        <v>6.3655030800821404</v>
      </c>
      <c r="N67" s="38">
        <v>0</v>
      </c>
      <c r="O67" s="39">
        <f>((K67*0)+(L67*1)+(M67*2)+(N67*3))/100</f>
        <v>1.0632443531827518</v>
      </c>
    </row>
    <row r="68" spans="1:15" ht="14.25">
      <c r="A68" s="37" t="s">
        <v>396</v>
      </c>
      <c r="B68" s="37" t="s">
        <v>68</v>
      </c>
      <c r="C68" s="38">
        <v>92.995689655172399</v>
      </c>
      <c r="D68" s="38">
        <v>6.5732758620689697</v>
      </c>
      <c r="E68" s="38">
        <v>0.431034482758621</v>
      </c>
      <c r="F68" s="38">
        <v>0</v>
      </c>
      <c r="G68" s="39">
        <f>((C68*0)+(D68*1)+(E68*2)+(F68*3))/100</f>
        <v>7.4353448275862113E-2</v>
      </c>
      <c r="I68" s="37" t="s">
        <v>396</v>
      </c>
      <c r="J68" s="37" t="s">
        <v>68</v>
      </c>
      <c r="K68" s="38">
        <v>96.767241379310306</v>
      </c>
      <c r="L68" s="38">
        <v>3.125</v>
      </c>
      <c r="M68" s="38">
        <v>0.107758620689655</v>
      </c>
      <c r="N68" s="38">
        <v>0</v>
      </c>
      <c r="O68" s="39">
        <f>((K68*0)+(L68*1)+(M68*2)+(N68*3))/100</f>
        <v>3.3405172413793101E-2</v>
      </c>
    </row>
    <row r="69" spans="1:15" ht="14.25">
      <c r="A69" s="37" t="s">
        <v>570</v>
      </c>
      <c r="B69" s="37" t="s">
        <v>571</v>
      </c>
      <c r="C69" s="38">
        <v>3.6082474226804102</v>
      </c>
      <c r="D69" s="38">
        <v>19.072164948453601</v>
      </c>
      <c r="E69" s="38">
        <v>77.319587628866003</v>
      </c>
      <c r="F69" s="38">
        <v>0</v>
      </c>
      <c r="G69" s="39">
        <f>((C69*0)+(D69*1)+(E69*2)+(F69*3))/100</f>
        <v>1.7371134020618562</v>
      </c>
      <c r="I69" s="37" t="s">
        <v>570</v>
      </c>
      <c r="J69" s="37" t="s">
        <v>571</v>
      </c>
      <c r="K69" s="38">
        <v>3.6082474226804102</v>
      </c>
      <c r="L69" s="38">
        <v>96.391752577319593</v>
      </c>
      <c r="M69" s="38">
        <v>0</v>
      </c>
      <c r="N69" s="38">
        <v>0</v>
      </c>
      <c r="O69" s="39">
        <f>((K69*0)+(L69*1)+(M69*2)+(N69*3))/100</f>
        <v>0.96391752577319589</v>
      </c>
    </row>
    <row r="70" spans="1:15" ht="14.25">
      <c r="A70" s="37" t="s">
        <v>556</v>
      </c>
      <c r="B70" s="37" t="s">
        <v>557</v>
      </c>
      <c r="C70" s="38">
        <v>0</v>
      </c>
      <c r="D70" s="38">
        <v>97.487437185929707</v>
      </c>
      <c r="E70" s="38">
        <v>2.5125628140703502</v>
      </c>
      <c r="F70" s="38">
        <v>0</v>
      </c>
      <c r="G70" s="39">
        <f>((C70*0)+(D70*1)+(E70*2)+(F70*3))/100</f>
        <v>1.025125628140704</v>
      </c>
      <c r="I70" s="37" t="s">
        <v>556</v>
      </c>
      <c r="J70" s="37" t="s">
        <v>557</v>
      </c>
      <c r="K70" s="38">
        <v>7.7889447236180898</v>
      </c>
      <c r="L70" s="38">
        <v>90.954773869346695</v>
      </c>
      <c r="M70" s="38">
        <v>1.25628140703518</v>
      </c>
      <c r="N70" s="38">
        <v>0</v>
      </c>
      <c r="O70" s="39">
        <f>((K70*0)+(L70*1)+(M70*2)+(N70*3))/100</f>
        <v>0.93467336683417057</v>
      </c>
    </row>
    <row r="71" spans="1:15" ht="14.25">
      <c r="A71" s="37" t="s">
        <v>400</v>
      </c>
      <c r="B71" s="37" t="s">
        <v>71</v>
      </c>
      <c r="C71" s="38">
        <v>93.670886075949397</v>
      </c>
      <c r="D71" s="38">
        <v>5.0632911392405102</v>
      </c>
      <c r="E71" s="38">
        <v>1.26582278481013</v>
      </c>
      <c r="F71" s="38">
        <v>0</v>
      </c>
      <c r="G71" s="39">
        <f>((C71*0)+(D71*1)+(E71*2)+(F71*3))/100</f>
        <v>7.5949367088607694E-2</v>
      </c>
      <c r="I71" s="37" t="s">
        <v>400</v>
      </c>
      <c r="J71" s="37" t="s">
        <v>71</v>
      </c>
      <c r="K71" s="38">
        <v>96.202531645569593</v>
      </c>
      <c r="L71" s="38">
        <v>3.79746835443038</v>
      </c>
      <c r="M71" s="38">
        <v>0</v>
      </c>
      <c r="N71" s="38">
        <v>0</v>
      </c>
      <c r="O71" s="39">
        <f>((K71*0)+(L71*1)+(M71*2)+(N71*3))/100</f>
        <v>3.7974683544303799E-2</v>
      </c>
    </row>
    <row r="72" spans="1:15" ht="14.25">
      <c r="A72" s="37" t="s">
        <v>413</v>
      </c>
      <c r="B72" s="37" t="s">
        <v>414</v>
      </c>
      <c r="C72" s="38">
        <v>0.44080604534005002</v>
      </c>
      <c r="D72" s="38">
        <v>98.740554156171299</v>
      </c>
      <c r="E72" s="38">
        <v>0.81863979848866497</v>
      </c>
      <c r="F72" s="38">
        <v>0</v>
      </c>
      <c r="G72" s="39">
        <f>((C72*0)+(D72*1)+(E72*2)+(F72*3))/100</f>
        <v>1.0037783375314864</v>
      </c>
      <c r="I72" s="37" t="s">
        <v>413</v>
      </c>
      <c r="J72" s="37" t="s">
        <v>414</v>
      </c>
      <c r="K72" s="38">
        <v>95.025188916876601</v>
      </c>
      <c r="L72" s="38">
        <v>4.7858942065491199</v>
      </c>
      <c r="M72" s="38">
        <v>0.188916876574307</v>
      </c>
      <c r="N72" s="38">
        <v>0</v>
      </c>
      <c r="O72" s="39">
        <f>((K72*0)+(L72*1)+(M72*2)+(N72*3))/100</f>
        <v>5.1637279596977344E-2</v>
      </c>
    </row>
    <row r="73" spans="1:15" ht="14.25">
      <c r="A73" s="37" t="s">
        <v>567</v>
      </c>
      <c r="B73" s="37" t="s">
        <v>73</v>
      </c>
      <c r="C73" s="38">
        <v>0.64102564102564097</v>
      </c>
      <c r="D73" s="38">
        <v>95.146520146520103</v>
      </c>
      <c r="E73" s="38">
        <v>4.2124542124542099</v>
      </c>
      <c r="F73" s="38">
        <v>0</v>
      </c>
      <c r="G73" s="39">
        <f>((C73*0)+(D73*1)+(E73*2)+(F73*3))/100</f>
        <v>1.0357142857142854</v>
      </c>
      <c r="I73" s="37" t="s">
        <v>567</v>
      </c>
      <c r="J73" s="37" t="s">
        <v>73</v>
      </c>
      <c r="K73" s="38">
        <v>4.1208791208791196</v>
      </c>
      <c r="L73" s="38">
        <v>95.787545787545795</v>
      </c>
      <c r="M73" s="38">
        <v>9.1575091575091597E-2</v>
      </c>
      <c r="N73" s="38">
        <v>0</v>
      </c>
      <c r="O73" s="39">
        <f>((K73*0)+(L73*1)+(M73*2)+(N73*3))/100</f>
        <v>0.95970695970695985</v>
      </c>
    </row>
    <row r="74" spans="1:15" ht="14.25">
      <c r="A74" s="37" t="s">
        <v>595</v>
      </c>
      <c r="B74" s="37" t="s">
        <v>74</v>
      </c>
      <c r="C74" s="38">
        <v>0</v>
      </c>
      <c r="D74" s="38">
        <v>26.506024096385499</v>
      </c>
      <c r="E74" s="38">
        <v>73.493975903614498</v>
      </c>
      <c r="F74" s="38">
        <v>0</v>
      </c>
      <c r="G74" s="39">
        <f>((C74*0)+(D74*1)+(E74*2)+(F74*3))/100</f>
        <v>1.7349397590361448</v>
      </c>
      <c r="I74" s="37" t="s">
        <v>595</v>
      </c>
      <c r="J74" s="37" t="s">
        <v>74</v>
      </c>
      <c r="K74" s="38">
        <v>0</v>
      </c>
      <c r="L74" s="38">
        <v>100</v>
      </c>
      <c r="M74" s="38">
        <v>0</v>
      </c>
      <c r="N74" s="38">
        <v>0</v>
      </c>
      <c r="O74" s="39">
        <f>((K74*0)+(L74*1)+(M74*2)+(N74*3))/100</f>
        <v>1</v>
      </c>
    </row>
    <row r="75" spans="1:15" ht="14.25">
      <c r="A75" s="37" t="s">
        <v>497</v>
      </c>
      <c r="B75" s="37" t="s">
        <v>75</v>
      </c>
      <c r="C75" s="38">
        <v>3.0592734225621401</v>
      </c>
      <c r="D75" s="38">
        <v>73.996175908221801</v>
      </c>
      <c r="E75" s="38">
        <v>22.944550669216099</v>
      </c>
      <c r="F75" s="38">
        <v>0</v>
      </c>
      <c r="G75" s="39">
        <f>((C75*0)+(D75*1)+(E75*2)+(F75*3))/100</f>
        <v>1.1988527724665401</v>
      </c>
      <c r="I75" s="37" t="s">
        <v>497</v>
      </c>
      <c r="J75" s="37" t="s">
        <v>75</v>
      </c>
      <c r="K75" s="38">
        <v>54.684512428298298</v>
      </c>
      <c r="L75" s="38">
        <v>43.785850860420702</v>
      </c>
      <c r="M75" s="38">
        <v>1.52963671128107</v>
      </c>
      <c r="N75" s="38">
        <v>0</v>
      </c>
      <c r="O75" s="39">
        <f>((K75*0)+(L75*1)+(M75*2)+(N75*3))/100</f>
        <v>0.46845124282982842</v>
      </c>
    </row>
    <row r="76" spans="1:15" ht="14.25">
      <c r="A76" s="37" t="s">
        <v>454</v>
      </c>
      <c r="B76" s="37" t="s">
        <v>76</v>
      </c>
      <c r="C76" s="38">
        <v>0.110987791342952</v>
      </c>
      <c r="D76" s="38">
        <v>53.052164261931203</v>
      </c>
      <c r="E76" s="38">
        <v>46.836847946725896</v>
      </c>
      <c r="F76" s="38">
        <v>0</v>
      </c>
      <c r="G76" s="39">
        <f>((C76*0)+(D76*1)+(E76*2)+(F76*3))/100</f>
        <v>1.46725860155383</v>
      </c>
      <c r="I76" s="37" t="s">
        <v>454</v>
      </c>
      <c r="J76" s="37" t="s">
        <v>76</v>
      </c>
      <c r="K76" s="38">
        <v>85.904550499445094</v>
      </c>
      <c r="L76" s="38">
        <v>13.762486126526101</v>
      </c>
      <c r="M76" s="38">
        <v>0.33296337402885701</v>
      </c>
      <c r="N76" s="38">
        <v>0</v>
      </c>
      <c r="O76" s="39">
        <f>((K76*0)+(L76*1)+(M76*2)+(N76*3))/100</f>
        <v>0.14428412874583815</v>
      </c>
    </row>
    <row r="77" spans="1:15" ht="14.25">
      <c r="A77" s="37" t="s">
        <v>659</v>
      </c>
      <c r="B77" s="37" t="s">
        <v>77</v>
      </c>
      <c r="C77" s="38">
        <v>1.6417910447761199</v>
      </c>
      <c r="D77" s="38">
        <v>74.328358208955194</v>
      </c>
      <c r="E77" s="38">
        <v>24.0298507462687</v>
      </c>
      <c r="F77" s="38">
        <v>0</v>
      </c>
      <c r="G77" s="39">
        <f>((C77*0)+(D77*1)+(E77*2)+(F77*3))/100</f>
        <v>1.223880597014926</v>
      </c>
      <c r="I77" s="37" t="s">
        <v>659</v>
      </c>
      <c r="J77" s="37" t="s">
        <v>77</v>
      </c>
      <c r="K77" s="38">
        <v>6.1194029850746299</v>
      </c>
      <c r="L77" s="38">
        <v>63.731343283582099</v>
      </c>
      <c r="M77" s="38">
        <v>30.1492537313433</v>
      </c>
      <c r="N77" s="38">
        <v>0</v>
      </c>
      <c r="O77" s="39">
        <f>((K77*0)+(L77*1)+(M77*2)+(N77*3))/100</f>
        <v>1.2402985074626869</v>
      </c>
    </row>
    <row r="78" spans="1:15" ht="14.25">
      <c r="A78" s="37" t="s">
        <v>492</v>
      </c>
      <c r="B78" s="37" t="s">
        <v>78</v>
      </c>
      <c r="C78" s="38">
        <v>0</v>
      </c>
      <c r="D78" s="38">
        <v>69.25</v>
      </c>
      <c r="E78" s="38">
        <v>30.75</v>
      </c>
      <c r="F78" s="38">
        <v>0</v>
      </c>
      <c r="G78" s="39">
        <f>((C78*0)+(D78*1)+(E78*2)+(F78*3))/100</f>
        <v>1.3075000000000001</v>
      </c>
      <c r="I78" s="37" t="s">
        <v>492</v>
      </c>
      <c r="J78" s="37" t="s">
        <v>78</v>
      </c>
      <c r="K78" s="38">
        <v>58.75</v>
      </c>
      <c r="L78" s="38">
        <v>39.75</v>
      </c>
      <c r="M78" s="38">
        <v>1.5</v>
      </c>
      <c r="N78" s="38">
        <v>0</v>
      </c>
      <c r="O78" s="39">
        <f>((K78*0)+(L78*1)+(M78*2)+(N78*3))/100</f>
        <v>0.42749999999999999</v>
      </c>
    </row>
    <row r="79" spans="1:15" ht="14.25">
      <c r="A79" s="37" t="s">
        <v>624</v>
      </c>
      <c r="B79" s="37" t="s">
        <v>79</v>
      </c>
      <c r="C79" s="38">
        <v>1.82767624020888</v>
      </c>
      <c r="D79" s="38">
        <v>68.407310704960807</v>
      </c>
      <c r="E79" s="38">
        <v>29.765013054830298</v>
      </c>
      <c r="F79" s="38">
        <v>0</v>
      </c>
      <c r="G79" s="39">
        <f>((C79*0)+(D79*1)+(E79*2)+(F79*3))/100</f>
        <v>1.2793733681462141</v>
      </c>
      <c r="I79" s="37" t="s">
        <v>624</v>
      </c>
      <c r="J79" s="37" t="s">
        <v>79</v>
      </c>
      <c r="K79" s="38">
        <v>2.2193211488250699</v>
      </c>
      <c r="L79" s="38">
        <v>92.167101827676206</v>
      </c>
      <c r="M79" s="38">
        <v>5.6135770234986904</v>
      </c>
      <c r="N79" s="38">
        <v>0</v>
      </c>
      <c r="O79" s="39">
        <f>((K79*0)+(L79*1)+(M79*2)+(N79*3))/100</f>
        <v>1.0339425587467359</v>
      </c>
    </row>
    <row r="80" spans="1:15" ht="14.25">
      <c r="A80" s="37" t="s">
        <v>601</v>
      </c>
      <c r="B80" s="37" t="s">
        <v>80</v>
      </c>
      <c r="C80" s="38">
        <v>0.51813471502590702</v>
      </c>
      <c r="D80" s="38">
        <v>73.373632700057598</v>
      </c>
      <c r="E80" s="38">
        <v>25.993091537133001</v>
      </c>
      <c r="F80" s="38">
        <v>0.115141047783535</v>
      </c>
      <c r="G80" s="39">
        <f>((C80*0)+(D80*1)+(E80*2)+(F80*3))/100</f>
        <v>1.257052389176742</v>
      </c>
      <c r="I80" s="37" t="s">
        <v>601</v>
      </c>
      <c r="J80" s="37" t="s">
        <v>80</v>
      </c>
      <c r="K80" s="38">
        <v>1.81347150259067</v>
      </c>
      <c r="L80" s="38">
        <v>95.941278065630399</v>
      </c>
      <c r="M80" s="38">
        <v>2.2452504317789299</v>
      </c>
      <c r="N80" s="38">
        <v>0</v>
      </c>
      <c r="O80" s="39">
        <f>((K80*0)+(L80*1)+(M80*2)+(N80*3))/100</f>
        <v>1.0043177892918826</v>
      </c>
    </row>
    <row r="81" spans="1:15" ht="14.25">
      <c r="A81" s="37" t="s">
        <v>600</v>
      </c>
      <c r="B81" s="37" t="s">
        <v>81</v>
      </c>
      <c r="C81" s="38">
        <v>15.7846715328467</v>
      </c>
      <c r="D81" s="38">
        <v>77.645985401459896</v>
      </c>
      <c r="E81" s="38">
        <v>6.5693430656934302</v>
      </c>
      <c r="F81" s="38">
        <v>0</v>
      </c>
      <c r="G81" s="39">
        <f>((C81*0)+(D81*1)+(E81*2)+(F81*3))/100</f>
        <v>0.90784671532846761</v>
      </c>
      <c r="I81" s="37" t="s">
        <v>600</v>
      </c>
      <c r="J81" s="37" t="s">
        <v>81</v>
      </c>
      <c r="K81" s="38">
        <v>4.10583941605839</v>
      </c>
      <c r="L81" s="38">
        <v>91.423357664233606</v>
      </c>
      <c r="M81" s="38">
        <v>4.4708029197080297</v>
      </c>
      <c r="N81" s="38">
        <v>0</v>
      </c>
      <c r="O81" s="39">
        <f>((K81*0)+(L81*1)+(M81*2)+(N81*3))/100</f>
        <v>1.0036496350364965</v>
      </c>
    </row>
    <row r="82" spans="1:15" ht="14.25">
      <c r="A82" s="37" t="s">
        <v>433</v>
      </c>
      <c r="B82" s="37" t="s">
        <v>82</v>
      </c>
      <c r="C82" s="38">
        <v>0.76238881829733196</v>
      </c>
      <c r="D82" s="38">
        <v>71.537484116899606</v>
      </c>
      <c r="E82" s="38">
        <v>27.700127064802999</v>
      </c>
      <c r="F82" s="38">
        <v>0</v>
      </c>
      <c r="G82" s="39">
        <f>((C82*0)+(D82*1)+(E82*2)+(F82*3))/100</f>
        <v>1.269377382465056</v>
      </c>
      <c r="I82" s="37" t="s">
        <v>433</v>
      </c>
      <c r="J82" s="37" t="s">
        <v>82</v>
      </c>
      <c r="K82" s="38">
        <v>91.740787801778893</v>
      </c>
      <c r="L82" s="38">
        <v>8.2592121982210909</v>
      </c>
      <c r="M82" s="38">
        <v>0</v>
      </c>
      <c r="N82" s="38">
        <v>0</v>
      </c>
      <c r="O82" s="39">
        <f>((K82*0)+(L82*1)+(M82*2)+(N82*3))/100</f>
        <v>8.2592121982210914E-2</v>
      </c>
    </row>
    <row r="83" spans="1:15" ht="14.25">
      <c r="A83" s="37" t="s">
        <v>498</v>
      </c>
      <c r="B83" s="37" t="s">
        <v>83</v>
      </c>
      <c r="C83" s="38">
        <v>3.55191256830601</v>
      </c>
      <c r="D83" s="38">
        <v>85.245901639344297</v>
      </c>
      <c r="E83" s="38">
        <v>9.3806921675774095</v>
      </c>
      <c r="F83" s="38">
        <v>1.8214936247723099</v>
      </c>
      <c r="G83" s="39">
        <f>((C83*0)+(D83*1)+(E83*2)+(F83*3))/100</f>
        <v>1.0947176684881605</v>
      </c>
      <c r="I83" s="37" t="s">
        <v>498</v>
      </c>
      <c r="J83" s="37" t="s">
        <v>83</v>
      </c>
      <c r="K83" s="38">
        <v>54.826958105646597</v>
      </c>
      <c r="L83" s="38">
        <v>42.622950819672099</v>
      </c>
      <c r="M83" s="38">
        <v>2.55009107468124</v>
      </c>
      <c r="N83" s="38">
        <v>0</v>
      </c>
      <c r="O83" s="39">
        <f>((K83*0)+(L83*1)+(M83*2)+(N83*3))/100</f>
        <v>0.47723132969034582</v>
      </c>
    </row>
    <row r="84" spans="1:15" ht="14.25">
      <c r="A84" s="37" t="s">
        <v>627</v>
      </c>
      <c r="B84" s="37" t="s">
        <v>84</v>
      </c>
      <c r="C84" s="38">
        <v>0</v>
      </c>
      <c r="D84" s="38">
        <v>69.574700109051307</v>
      </c>
      <c r="E84" s="38">
        <v>29.880043620501599</v>
      </c>
      <c r="F84" s="38">
        <v>0.54525627044711</v>
      </c>
      <c r="G84" s="39">
        <f>((C84*0)+(D84*1)+(E84*2)+(F84*3))/100</f>
        <v>1.3097055616139586</v>
      </c>
      <c r="I84" s="37" t="s">
        <v>627</v>
      </c>
      <c r="J84" s="37" t="s">
        <v>84</v>
      </c>
      <c r="K84" s="38">
        <v>2.2900763358778602</v>
      </c>
      <c r="L84" s="38">
        <v>91.1668484187568</v>
      </c>
      <c r="M84" s="38">
        <v>6.54307524536532</v>
      </c>
      <c r="N84" s="38">
        <v>0</v>
      </c>
      <c r="O84" s="39">
        <f>((K84*0)+(L84*1)+(M84*2)+(N84*3))/100</f>
        <v>1.0425299890948745</v>
      </c>
    </row>
    <row r="85" spans="1:15" ht="14.25">
      <c r="A85" s="37" t="s">
        <v>490</v>
      </c>
      <c r="B85" s="37" t="s">
        <v>85</v>
      </c>
      <c r="C85" s="38">
        <v>0.84745762711864403</v>
      </c>
      <c r="D85" s="38">
        <v>97.033898305084705</v>
      </c>
      <c r="E85" s="38">
        <v>2.1186440677966099</v>
      </c>
      <c r="F85" s="38">
        <v>0</v>
      </c>
      <c r="G85" s="39">
        <f>((C85*0)+(D85*1)+(E85*2)+(F85*3))/100</f>
        <v>1.0127118644067792</v>
      </c>
      <c r="I85" s="37" t="s">
        <v>490</v>
      </c>
      <c r="J85" s="37" t="s">
        <v>85</v>
      </c>
      <c r="K85" s="38">
        <v>59.322033898305101</v>
      </c>
      <c r="L85" s="38">
        <v>40.677966101694899</v>
      </c>
      <c r="M85" s="38">
        <v>0</v>
      </c>
      <c r="N85" s="38">
        <v>0</v>
      </c>
      <c r="O85" s="39">
        <f>((K85*0)+(L85*1)+(M85*2)+(N85*3))/100</f>
        <v>0.40677966101694901</v>
      </c>
    </row>
    <row r="86" spans="1:15" ht="14.25">
      <c r="A86" s="37" t="s">
        <v>670</v>
      </c>
      <c r="B86" s="37" t="s">
        <v>86</v>
      </c>
      <c r="C86" s="38">
        <v>0</v>
      </c>
      <c r="D86" s="38">
        <v>51.873198847262202</v>
      </c>
      <c r="E86" s="38">
        <v>48.126801152737798</v>
      </c>
      <c r="F86" s="38">
        <v>0</v>
      </c>
      <c r="G86" s="39">
        <f>((C86*0)+(D86*1)+(E86*2)+(F86*3))/100</f>
        <v>1.4812680115273782</v>
      </c>
      <c r="I86" s="37" t="s">
        <v>670</v>
      </c>
      <c r="J86" s="37" t="s">
        <v>86</v>
      </c>
      <c r="K86" s="38">
        <v>2.3054755043227702</v>
      </c>
      <c r="L86" s="38">
        <v>60.806916426512998</v>
      </c>
      <c r="M86" s="38">
        <v>36.887608069164301</v>
      </c>
      <c r="N86" s="38">
        <v>0</v>
      </c>
      <c r="O86" s="39">
        <f>((K86*0)+(L86*1)+(M86*2)+(N86*3))/100</f>
        <v>1.3458213256484159</v>
      </c>
    </row>
    <row r="87" spans="1:15" ht="14.25">
      <c r="A87" s="37" t="s">
        <v>590</v>
      </c>
      <c r="B87" s="37" t="s">
        <v>87</v>
      </c>
      <c r="C87" s="38">
        <v>0</v>
      </c>
      <c r="D87" s="38">
        <v>71.975806451612897</v>
      </c>
      <c r="E87" s="38">
        <v>27.9569892473118</v>
      </c>
      <c r="F87" s="38">
        <v>6.7204301075268799E-2</v>
      </c>
      <c r="G87" s="39">
        <f>((C87*0)+(D87*1)+(E87*2)+(F87*3))/100</f>
        <v>1.2809139784946229</v>
      </c>
      <c r="I87" s="37" t="s">
        <v>590</v>
      </c>
      <c r="J87" s="37" t="s">
        <v>87</v>
      </c>
      <c r="K87" s="38">
        <v>2.7553763440860202</v>
      </c>
      <c r="L87" s="38">
        <v>94.623655913978496</v>
      </c>
      <c r="M87" s="38">
        <v>2.62096774193548</v>
      </c>
      <c r="N87" s="38">
        <v>0</v>
      </c>
      <c r="O87" s="39">
        <f>((K87*0)+(L87*1)+(M87*2)+(N87*3))/100</f>
        <v>0.99865591397849451</v>
      </c>
    </row>
    <row r="88" spans="1:15" ht="14.25">
      <c r="A88" s="37" t="s">
        <v>465</v>
      </c>
      <c r="B88" s="37" t="s">
        <v>88</v>
      </c>
      <c r="C88" s="38">
        <v>1.5290519877675799</v>
      </c>
      <c r="D88" s="38">
        <v>78.134556574923593</v>
      </c>
      <c r="E88" s="38">
        <v>20.336391437308901</v>
      </c>
      <c r="F88" s="38">
        <v>0</v>
      </c>
      <c r="G88" s="39">
        <f>((C88*0)+(D88*1)+(E88*2)+(F88*3))/100</f>
        <v>1.1880733944954138</v>
      </c>
      <c r="I88" s="37" t="s">
        <v>465</v>
      </c>
      <c r="J88" s="37" t="s">
        <v>88</v>
      </c>
      <c r="K88" s="38">
        <v>83.486238532110093</v>
      </c>
      <c r="L88" s="38">
        <v>15.4434250764526</v>
      </c>
      <c r="M88" s="38">
        <v>1.0703363914373101</v>
      </c>
      <c r="N88" s="38">
        <v>0</v>
      </c>
      <c r="O88" s="39">
        <f>((K88*0)+(L88*1)+(M88*2)+(N88*3))/100</f>
        <v>0.17584097859327219</v>
      </c>
    </row>
    <row r="89" spans="1:15" ht="14.25">
      <c r="A89" s="37" t="s">
        <v>401</v>
      </c>
      <c r="B89" s="37" t="s">
        <v>89</v>
      </c>
      <c r="C89" s="38">
        <v>2.3249936820823902</v>
      </c>
      <c r="D89" s="38">
        <v>62.749557745767</v>
      </c>
      <c r="E89" s="38">
        <v>34.9254485721506</v>
      </c>
      <c r="F89" s="38">
        <v>0</v>
      </c>
      <c r="G89" s="39">
        <f>((C89*0)+(D89*1)+(E89*2)+(F89*3))/100</f>
        <v>1.326004548900682</v>
      </c>
      <c r="I89" s="37" t="s">
        <v>401</v>
      </c>
      <c r="J89" s="37" t="s">
        <v>89</v>
      </c>
      <c r="K89" s="38">
        <v>96.512509476876403</v>
      </c>
      <c r="L89" s="38">
        <v>2.7546120798584801</v>
      </c>
      <c r="M89" s="38">
        <v>0.73287844326509999</v>
      </c>
      <c r="N89" s="38">
        <v>0</v>
      </c>
      <c r="O89" s="39">
        <f>((K89*0)+(L89*1)+(M89*2)+(N89*3))/100</f>
        <v>4.2203689663886795E-2</v>
      </c>
    </row>
    <row r="90" spans="1:15" ht="14.25">
      <c r="A90" s="37" t="s">
        <v>500</v>
      </c>
      <c r="B90" s="37" t="s">
        <v>90</v>
      </c>
      <c r="C90" s="38">
        <v>0</v>
      </c>
      <c r="D90" s="38">
        <v>77.561955793704001</v>
      </c>
      <c r="E90" s="38">
        <v>22.438044206295999</v>
      </c>
      <c r="F90" s="38">
        <v>0</v>
      </c>
      <c r="G90" s="39">
        <f>((C90*0)+(D90*1)+(E90*2)+(F90*3))/100</f>
        <v>1.22438044206296</v>
      </c>
      <c r="I90" s="37" t="s">
        <v>500</v>
      </c>
      <c r="J90" s="37" t="s">
        <v>90</v>
      </c>
      <c r="K90" s="38">
        <v>51.607501674480901</v>
      </c>
      <c r="L90" s="38">
        <v>48.124581379772302</v>
      </c>
      <c r="M90" s="38">
        <v>0.26791694574681801</v>
      </c>
      <c r="N90" s="38">
        <v>0</v>
      </c>
      <c r="O90" s="39">
        <f>((K90*0)+(L90*1)+(M90*2)+(N90*3))/100</f>
        <v>0.48660415271265939</v>
      </c>
    </row>
    <row r="91" spans="1:15" ht="14.25">
      <c r="A91" s="37" t="s">
        <v>409</v>
      </c>
      <c r="B91" s="37" t="s">
        <v>91</v>
      </c>
      <c r="C91" s="38">
        <v>2.9175784099197699</v>
      </c>
      <c r="D91" s="38">
        <v>92.997811816192595</v>
      </c>
      <c r="E91" s="38">
        <v>4.0846097738876699</v>
      </c>
      <c r="F91" s="38">
        <v>0</v>
      </c>
      <c r="G91" s="39">
        <f>((C91*0)+(D91*1)+(E91*2)+(F91*3))/100</f>
        <v>1.0116703136396794</v>
      </c>
      <c r="I91" s="37" t="s">
        <v>409</v>
      </c>
      <c r="J91" s="37" t="s">
        <v>91</v>
      </c>
      <c r="K91" s="38">
        <v>95.623632385120303</v>
      </c>
      <c r="L91" s="38">
        <v>4.0846097738876699</v>
      </c>
      <c r="M91" s="38">
        <v>0.29175784099197699</v>
      </c>
      <c r="N91" s="38">
        <v>0</v>
      </c>
      <c r="O91" s="39">
        <f>((K91*0)+(L91*1)+(M91*2)+(N91*3))/100</f>
        <v>4.6681254558716238E-2</v>
      </c>
    </row>
    <row r="92" spans="1:15" ht="14.25">
      <c r="A92" s="37" t="s">
        <v>386</v>
      </c>
      <c r="B92" s="37" t="s">
        <v>92</v>
      </c>
      <c r="C92" s="38">
        <v>4.1504539559014297</v>
      </c>
      <c r="D92" s="38">
        <v>95.590142671854693</v>
      </c>
      <c r="E92" s="38">
        <v>0.25940337224383903</v>
      </c>
      <c r="F92" s="38">
        <v>0</v>
      </c>
      <c r="G92" s="39">
        <f>((C92*0)+(D92*1)+(E92*2)+(F92*3))/100</f>
        <v>0.96108949416342371</v>
      </c>
      <c r="I92" s="37" t="s">
        <v>386</v>
      </c>
      <c r="J92" s="37" t="s">
        <v>92</v>
      </c>
      <c r="K92" s="38">
        <v>97.665369649805399</v>
      </c>
      <c r="L92" s="38">
        <v>2.33463035019455</v>
      </c>
      <c r="M92" s="38">
        <v>0</v>
      </c>
      <c r="N92" s="38">
        <v>0</v>
      </c>
      <c r="O92" s="39">
        <f>((K92*0)+(L92*1)+(M92*2)+(N92*3))/100</f>
        <v>2.3346303501945501E-2</v>
      </c>
    </row>
    <row r="93" spans="1:15" ht="14.25">
      <c r="A93" s="37" t="s">
        <v>565</v>
      </c>
      <c r="B93" s="37" t="s">
        <v>93</v>
      </c>
      <c r="C93" s="38">
        <v>2.6775320139697301</v>
      </c>
      <c r="D93" s="38">
        <v>30.384167636787001</v>
      </c>
      <c r="E93" s="38">
        <v>66.938300349243306</v>
      </c>
      <c r="F93" s="38">
        <v>0</v>
      </c>
      <c r="G93" s="39">
        <f>((C93*0)+(D93*1)+(E93*2)+(F93*3))/100</f>
        <v>1.6426076833527361</v>
      </c>
      <c r="I93" s="37" t="s">
        <v>565</v>
      </c>
      <c r="J93" s="37" t="s">
        <v>93</v>
      </c>
      <c r="K93" s="38">
        <v>8.3818393480791595</v>
      </c>
      <c r="L93" s="38">
        <v>88.474970896391099</v>
      </c>
      <c r="M93" s="38">
        <v>3.1431897555296899</v>
      </c>
      <c r="N93" s="38">
        <v>0</v>
      </c>
      <c r="O93" s="39">
        <f>((K93*0)+(L93*1)+(M93*2)+(N93*3))/100</f>
        <v>0.94761350407450484</v>
      </c>
    </row>
    <row r="94" spans="1:15" ht="14.25">
      <c r="A94" s="37" t="s">
        <v>528</v>
      </c>
      <c r="B94" s="37" t="s">
        <v>94</v>
      </c>
      <c r="C94" s="38">
        <v>0</v>
      </c>
      <c r="D94" s="38">
        <v>17.5</v>
      </c>
      <c r="E94" s="38">
        <v>82.5</v>
      </c>
      <c r="F94" s="38">
        <v>0</v>
      </c>
      <c r="G94" s="39">
        <f>((C94*0)+(D94*1)+(E94*2)+(F94*3))/100</f>
        <v>1.825</v>
      </c>
      <c r="I94" s="37" t="s">
        <v>528</v>
      </c>
      <c r="J94" s="37" t="s">
        <v>94</v>
      </c>
      <c r="K94" s="38">
        <v>17.5</v>
      </c>
      <c r="L94" s="38">
        <v>82.5</v>
      </c>
      <c r="M94" s="38">
        <v>0</v>
      </c>
      <c r="N94" s="38">
        <v>0</v>
      </c>
      <c r="O94" s="39">
        <f>((K94*0)+(L94*1)+(M94*2)+(N94*3))/100</f>
        <v>0.82499999999999996</v>
      </c>
    </row>
    <row r="95" spans="1:15" ht="14.25">
      <c r="A95" s="37" t="s">
        <v>420</v>
      </c>
      <c r="B95" s="37" t="s">
        <v>421</v>
      </c>
      <c r="C95" s="38">
        <v>16.030123722431401</v>
      </c>
      <c r="D95" s="38">
        <v>81.549220010758503</v>
      </c>
      <c r="E95" s="38">
        <v>2.4206562668101101</v>
      </c>
      <c r="F95" s="38">
        <v>0</v>
      </c>
      <c r="G95" s="39">
        <f>((C95*0)+(D95*1)+(E95*2)+(F95*3))/100</f>
        <v>0.86390532544378729</v>
      </c>
      <c r="I95" s="37" t="s">
        <v>420</v>
      </c>
      <c r="J95" s="37" t="s">
        <v>421</v>
      </c>
      <c r="K95" s="38">
        <v>94.782140935987101</v>
      </c>
      <c r="L95" s="38">
        <v>3.9268423883808499</v>
      </c>
      <c r="M95" s="38">
        <v>1.29101667563206</v>
      </c>
      <c r="N95" s="38">
        <v>0</v>
      </c>
      <c r="O95" s="39">
        <f>((K95*0)+(L95*1)+(M95*2)+(N95*3))/100</f>
        <v>6.5088757396449703E-2</v>
      </c>
    </row>
    <row r="96" spans="1:15" ht="14.25">
      <c r="A96" s="37" t="s">
        <v>531</v>
      </c>
      <c r="B96" s="37" t="s">
        <v>96</v>
      </c>
      <c r="C96" s="38">
        <v>0</v>
      </c>
      <c r="D96" s="38">
        <v>20.5047318611987</v>
      </c>
      <c r="E96" s="38">
        <v>79.495268138801293</v>
      </c>
      <c r="F96" s="38">
        <v>0</v>
      </c>
      <c r="G96" s="39">
        <f>((C96*0)+(D96*1)+(E96*2)+(F96*3))/100</f>
        <v>1.794952681388013</v>
      </c>
      <c r="I96" s="37" t="s">
        <v>531</v>
      </c>
      <c r="J96" s="37" t="s">
        <v>96</v>
      </c>
      <c r="K96" s="38">
        <v>18.927444794952699</v>
      </c>
      <c r="L96" s="38">
        <v>77.4973711882229</v>
      </c>
      <c r="M96" s="38">
        <v>3.5751840168243998</v>
      </c>
      <c r="N96" s="38">
        <v>0</v>
      </c>
      <c r="O96" s="39">
        <f>((K96*0)+(L96*1)+(M96*2)+(N96*3))/100</f>
        <v>0.84647739221871698</v>
      </c>
    </row>
    <row r="97" spans="1:15" ht="14.25">
      <c r="A97" s="37" t="s">
        <v>664</v>
      </c>
      <c r="B97" s="37" t="s">
        <v>97</v>
      </c>
      <c r="C97" s="38">
        <v>0.32</v>
      </c>
      <c r="D97" s="38">
        <v>57.28</v>
      </c>
      <c r="E97" s="38">
        <v>42.4</v>
      </c>
      <c r="F97" s="38">
        <v>0</v>
      </c>
      <c r="G97" s="39">
        <f>((C97*0)+(D97*1)+(E97*2)+(F97*3))/100</f>
        <v>1.4207999999999998</v>
      </c>
      <c r="I97" s="37" t="s">
        <v>664</v>
      </c>
      <c r="J97" s="37" t="s">
        <v>97</v>
      </c>
      <c r="K97" s="38">
        <v>8.16</v>
      </c>
      <c r="L97" s="38">
        <v>51.2</v>
      </c>
      <c r="M97" s="38">
        <v>40.64</v>
      </c>
      <c r="N97" s="38">
        <v>0</v>
      </c>
      <c r="O97" s="39">
        <f>((K97*0)+(L97*1)+(M97*2)+(N97*3))/100</f>
        <v>1.3248000000000002</v>
      </c>
    </row>
    <row r="98" spans="1:15" ht="14.25">
      <c r="A98" s="37" t="s">
        <v>555</v>
      </c>
      <c r="B98" s="37" t="s">
        <v>98</v>
      </c>
      <c r="C98" s="38">
        <v>2.2263450834879399</v>
      </c>
      <c r="D98" s="38">
        <v>84.044526901669798</v>
      </c>
      <c r="E98" s="38">
        <v>13.729128014842299</v>
      </c>
      <c r="F98" s="38">
        <v>0</v>
      </c>
      <c r="G98" s="39">
        <f>((C98*0)+(D98*1)+(E98*2)+(F98*3))/100</f>
        <v>1.115027829313544</v>
      </c>
      <c r="I98" s="37" t="s">
        <v>555</v>
      </c>
      <c r="J98" s="37" t="s">
        <v>98</v>
      </c>
      <c r="K98" s="38">
        <v>7.7922077922077904</v>
      </c>
      <c r="L98" s="38">
        <v>91.094619666048203</v>
      </c>
      <c r="M98" s="38">
        <v>1.11317254174397</v>
      </c>
      <c r="N98" s="38">
        <v>0</v>
      </c>
      <c r="O98" s="39">
        <f>((K98*0)+(L98*1)+(M98*2)+(N98*3))/100</f>
        <v>0.93320964749536151</v>
      </c>
    </row>
    <row r="99" spans="1:15" ht="14.25">
      <c r="A99" s="37" t="s">
        <v>436</v>
      </c>
      <c r="B99" s="37" t="s">
        <v>99</v>
      </c>
      <c r="C99" s="38">
        <v>5.3543307086614202</v>
      </c>
      <c r="D99" s="38">
        <v>88.976377952755897</v>
      </c>
      <c r="E99" s="38">
        <v>5.6692913385826804</v>
      </c>
      <c r="F99" s="38">
        <v>0</v>
      </c>
      <c r="G99" s="39">
        <f>((C99*0)+(D99*1)+(E99*2)+(F99*3))/100</f>
        <v>1.0031496062992127</v>
      </c>
      <c r="I99" s="37" t="s">
        <v>436</v>
      </c>
      <c r="J99" s="37" t="s">
        <v>99</v>
      </c>
      <c r="K99" s="38">
        <v>93.385826771653498</v>
      </c>
      <c r="L99" s="38">
        <v>4.4094488188976397</v>
      </c>
      <c r="M99" s="38">
        <v>2.2047244094488199</v>
      </c>
      <c r="N99" s="38">
        <v>0</v>
      </c>
      <c r="O99" s="39">
        <f>((K99*0)+(L99*1)+(M99*2)+(N99*3))/100</f>
        <v>8.8188976377952796E-2</v>
      </c>
    </row>
    <row r="100" spans="1:15" ht="14.25">
      <c r="A100" s="37" t="s">
        <v>444</v>
      </c>
      <c r="B100" s="37" t="s">
        <v>100</v>
      </c>
      <c r="C100" s="38">
        <v>5.8227848101265796</v>
      </c>
      <c r="D100" s="38">
        <v>92.151898734177195</v>
      </c>
      <c r="E100" s="38">
        <v>2.0253164556962</v>
      </c>
      <c r="F100" s="38">
        <v>0</v>
      </c>
      <c r="G100" s="39">
        <f>((C100*0)+(D100*1)+(E100*2)+(F100*3))/100</f>
        <v>0.96202531645569589</v>
      </c>
      <c r="I100" s="37" t="s">
        <v>444</v>
      </c>
      <c r="J100" s="37" t="s">
        <v>100</v>
      </c>
      <c r="K100" s="38">
        <v>89.873417721519004</v>
      </c>
      <c r="L100" s="38">
        <v>9.1139240506329102</v>
      </c>
      <c r="M100" s="38">
        <v>1.0126582278481</v>
      </c>
      <c r="N100" s="38">
        <v>0</v>
      </c>
      <c r="O100" s="39">
        <f>((K100*0)+(L100*1)+(M100*2)+(N100*3))/100</f>
        <v>0.11139240506329109</v>
      </c>
    </row>
    <row r="101" spans="1:15" ht="14.25">
      <c r="A101" s="37" t="s">
        <v>479</v>
      </c>
      <c r="B101" s="37" t="s">
        <v>101</v>
      </c>
      <c r="C101" s="38">
        <v>82.857142857142904</v>
      </c>
      <c r="D101" s="38">
        <v>14.285714285714301</v>
      </c>
      <c r="E101" s="38">
        <v>2.8571428571428599</v>
      </c>
      <c r="F101" s="38">
        <v>0</v>
      </c>
      <c r="G101" s="39">
        <f>((C101*0)+(D101*1)+(E101*2)+(F101*3))/100</f>
        <v>0.20000000000000021</v>
      </c>
      <c r="I101" s="37" t="s">
        <v>479</v>
      </c>
      <c r="J101" s="37" t="s">
        <v>101</v>
      </c>
      <c r="K101" s="38">
        <v>77.142857142857196</v>
      </c>
      <c r="L101" s="38">
        <v>22.1428571428571</v>
      </c>
      <c r="M101" s="38">
        <v>0.71428571428571397</v>
      </c>
      <c r="N101" s="38">
        <v>0</v>
      </c>
      <c r="O101" s="39">
        <f>((K101*0)+(L101*1)+(M101*2)+(N101*3))/100</f>
        <v>0.23571428571428527</v>
      </c>
    </row>
    <row r="102" spans="1:15" ht="14.25">
      <c r="A102" s="37" t="s">
        <v>573</v>
      </c>
      <c r="B102" s="37" t="s">
        <v>102</v>
      </c>
      <c r="C102" s="38">
        <v>3.1489361702127701</v>
      </c>
      <c r="D102" s="38">
        <v>76.255319148936195</v>
      </c>
      <c r="E102" s="38">
        <v>20.595744680851102</v>
      </c>
      <c r="F102" s="38">
        <v>0</v>
      </c>
      <c r="G102" s="39">
        <f>((C102*0)+(D102*1)+(E102*2)+(F102*3))/100</f>
        <v>1.174468085106384</v>
      </c>
      <c r="I102" s="37" t="s">
        <v>573</v>
      </c>
      <c r="J102" s="37" t="s">
        <v>102</v>
      </c>
      <c r="K102" s="38">
        <v>4</v>
      </c>
      <c r="L102" s="38">
        <v>95.2340425531915</v>
      </c>
      <c r="M102" s="38">
        <v>0.76595744680851097</v>
      </c>
      <c r="N102" s="38">
        <v>0</v>
      </c>
      <c r="O102" s="39">
        <f>((K102*0)+(L102*1)+(M102*2)+(N102*3))/100</f>
        <v>0.96765957446808526</v>
      </c>
    </row>
    <row r="103" spans="1:15" ht="14.25">
      <c r="A103" s="37" t="s">
        <v>579</v>
      </c>
      <c r="B103" s="37" t="s">
        <v>103</v>
      </c>
      <c r="C103" s="38">
        <v>0</v>
      </c>
      <c r="D103" s="38">
        <v>71.029224904701394</v>
      </c>
      <c r="E103" s="38">
        <v>28.970775095298599</v>
      </c>
      <c r="F103" s="38">
        <v>0</v>
      </c>
      <c r="G103" s="39">
        <f>((C103*0)+(D103*1)+(E103*2)+(F103*3))/100</f>
        <v>1.289707750952986</v>
      </c>
      <c r="I103" s="37" t="s">
        <v>579</v>
      </c>
      <c r="J103" s="37" t="s">
        <v>103</v>
      </c>
      <c r="K103" s="38">
        <v>4.0660736975857699</v>
      </c>
      <c r="L103" s="38">
        <v>94.282083862769994</v>
      </c>
      <c r="M103" s="38">
        <v>1.65184243964422</v>
      </c>
      <c r="N103" s="38">
        <v>0</v>
      </c>
      <c r="O103" s="39">
        <f>((K103*0)+(L103*1)+(M103*2)+(N103*3))/100</f>
        <v>0.97585768742058432</v>
      </c>
    </row>
    <row r="104" spans="1:15" ht="14.25">
      <c r="A104" s="37" t="s">
        <v>699</v>
      </c>
      <c r="B104" s="37" t="s">
        <v>700</v>
      </c>
      <c r="C104" s="38">
        <v>7.5464083938660202</v>
      </c>
      <c r="D104" s="38">
        <v>75.595910680656402</v>
      </c>
      <c r="E104" s="38">
        <v>16.857680925477499</v>
      </c>
      <c r="F104" s="38">
        <v>0</v>
      </c>
      <c r="G104" s="39">
        <f>((C104*0)+(D104*1)+(E104*2)+(F104*3))/100</f>
        <v>1.0931127253161139</v>
      </c>
      <c r="I104" s="37" t="s">
        <v>699</v>
      </c>
      <c r="J104" s="37" t="s">
        <v>700</v>
      </c>
      <c r="K104" s="38">
        <v>8.3400591875168101E-2</v>
      </c>
      <c r="L104" s="38">
        <v>28.509550712940499</v>
      </c>
      <c r="M104" s="38">
        <v>71.407048695184301</v>
      </c>
      <c r="N104" s="38">
        <v>0</v>
      </c>
      <c r="O104" s="39">
        <f>((K104*0)+(L104*1)+(M104*2)+(N104*3))/100</f>
        <v>1.7132364810330909</v>
      </c>
    </row>
    <row r="105" spans="1:15" ht="14.25">
      <c r="A105" s="37" t="s">
        <v>507</v>
      </c>
      <c r="B105" s="37" t="s">
        <v>105</v>
      </c>
      <c r="C105" s="38">
        <v>3.16597377678286</v>
      </c>
      <c r="D105" s="38">
        <v>73.840741925167904</v>
      </c>
      <c r="E105" s="38">
        <v>22.9932842980493</v>
      </c>
      <c r="F105" s="38">
        <v>0</v>
      </c>
      <c r="G105" s="39">
        <f>((C105*0)+(D105*1)+(E105*2)+(F105*3))/100</f>
        <v>1.1982731052126649</v>
      </c>
      <c r="I105" s="37" t="s">
        <v>507</v>
      </c>
      <c r="J105" s="37" t="s">
        <v>105</v>
      </c>
      <c r="K105" s="38">
        <v>40.230252638311498</v>
      </c>
      <c r="L105" s="38">
        <v>58.458586504636997</v>
      </c>
      <c r="M105" s="38">
        <v>1.3111608570514901</v>
      </c>
      <c r="N105" s="38">
        <v>0</v>
      </c>
      <c r="O105" s="39">
        <f>((K105*0)+(L105*1)+(M105*2)+(N105*3))/100</f>
        <v>0.61080908218739982</v>
      </c>
    </row>
    <row r="106" spans="1:15" ht="14.25">
      <c r="A106" s="37" t="s">
        <v>467</v>
      </c>
      <c r="B106" s="37" t="s">
        <v>106</v>
      </c>
      <c r="C106" s="38">
        <v>1.31528046421663</v>
      </c>
      <c r="D106" s="38">
        <v>93.849129593810403</v>
      </c>
      <c r="E106" s="38">
        <v>4.7582205029013496</v>
      </c>
      <c r="F106" s="38">
        <v>7.7369439071566695E-2</v>
      </c>
      <c r="G106" s="39">
        <f>((C106*0)+(D106*1)+(E106*2)+(F106*3))/100</f>
        <v>1.0359767891682781</v>
      </c>
      <c r="I106" s="37" t="s">
        <v>467</v>
      </c>
      <c r="J106" s="37" t="s">
        <v>106</v>
      </c>
      <c r="K106" s="38">
        <v>82.205029013539701</v>
      </c>
      <c r="L106" s="38">
        <v>16.595744680851102</v>
      </c>
      <c r="M106" s="38">
        <v>1.19922630560928</v>
      </c>
      <c r="N106" s="38">
        <v>0</v>
      </c>
      <c r="O106" s="39">
        <f>((K106*0)+(L106*1)+(M106*2)+(N106*3))/100</f>
        <v>0.18994197292069662</v>
      </c>
    </row>
    <row r="107" spans="1:15" ht="14.25">
      <c r="A107" s="37" t="s">
        <v>558</v>
      </c>
      <c r="B107" s="37" t="s">
        <v>107</v>
      </c>
      <c r="C107" s="38">
        <v>0.59701492537313405</v>
      </c>
      <c r="D107" s="38">
        <v>92.985074626865696</v>
      </c>
      <c r="E107" s="38">
        <v>6.4179104477611899</v>
      </c>
      <c r="F107" s="38">
        <v>0</v>
      </c>
      <c r="G107" s="39">
        <f>((C107*0)+(D107*1)+(E107*2)+(F107*3))/100</f>
        <v>1.0582089552238807</v>
      </c>
      <c r="I107" s="37" t="s">
        <v>558</v>
      </c>
      <c r="J107" s="37" t="s">
        <v>107</v>
      </c>
      <c r="K107" s="38">
        <v>7.1641791044776104</v>
      </c>
      <c r="L107" s="38">
        <v>92.089552238805993</v>
      </c>
      <c r="M107" s="38">
        <v>0.74626865671641796</v>
      </c>
      <c r="N107" s="38">
        <v>0</v>
      </c>
      <c r="O107" s="39">
        <f>((K107*0)+(L107*1)+(M107*2)+(N107*3))/100</f>
        <v>0.93582089552238823</v>
      </c>
    </row>
    <row r="108" spans="1:15" ht="14.25">
      <c r="A108" s="37" t="s">
        <v>581</v>
      </c>
      <c r="B108" s="37" t="s">
        <v>108</v>
      </c>
      <c r="C108" s="38">
        <v>2.0618556701030899</v>
      </c>
      <c r="D108" s="38">
        <v>97.9381443298969</v>
      </c>
      <c r="E108" s="38">
        <v>0</v>
      </c>
      <c r="F108" s="38">
        <v>0</v>
      </c>
      <c r="G108" s="39">
        <f>((C108*0)+(D108*1)+(E108*2)+(F108*3))/100</f>
        <v>0.97938144329896903</v>
      </c>
      <c r="I108" s="37" t="s">
        <v>581</v>
      </c>
      <c r="J108" s="37" t="s">
        <v>108</v>
      </c>
      <c r="K108" s="38">
        <v>2.0618556701030899</v>
      </c>
      <c r="L108" s="38">
        <v>97.9381443298969</v>
      </c>
      <c r="M108" s="38">
        <v>0</v>
      </c>
      <c r="N108" s="38">
        <v>0</v>
      </c>
      <c r="O108" s="39">
        <f>((K108*0)+(L108*1)+(M108*2)+(N108*3))/100</f>
        <v>0.97938144329896903</v>
      </c>
    </row>
    <row r="109" spans="1:15" ht="14.25">
      <c r="A109" s="37" t="s">
        <v>395</v>
      </c>
      <c r="B109" s="37" t="s">
        <v>109</v>
      </c>
      <c r="C109" s="38">
        <v>3.125</v>
      </c>
      <c r="D109" s="38">
        <v>0</v>
      </c>
      <c r="E109" s="38">
        <v>96.875</v>
      </c>
      <c r="F109" s="38">
        <v>0</v>
      </c>
      <c r="G109" s="39">
        <f>((C109*0)+(D109*1)+(E109*2)+(F109*3))/100</f>
        <v>1.9375</v>
      </c>
      <c r="I109" s="37" t="s">
        <v>395</v>
      </c>
      <c r="J109" s="37" t="s">
        <v>109</v>
      </c>
      <c r="K109" s="38">
        <v>96.875</v>
      </c>
      <c r="L109" s="38">
        <v>3.125</v>
      </c>
      <c r="M109" s="38">
        <v>0</v>
      </c>
      <c r="N109" s="38">
        <v>0</v>
      </c>
      <c r="O109" s="39">
        <f>((K109*0)+(L109*1)+(M109*2)+(N109*3))/100</f>
        <v>3.125E-2</v>
      </c>
    </row>
    <row r="110" spans="1:15" ht="14.25">
      <c r="A110" s="37" t="s">
        <v>441</v>
      </c>
      <c r="B110" s="37" t="s">
        <v>110</v>
      </c>
      <c r="C110" s="38">
        <v>80</v>
      </c>
      <c r="D110" s="38">
        <v>10</v>
      </c>
      <c r="E110" s="38">
        <v>10</v>
      </c>
      <c r="F110" s="38">
        <v>0</v>
      </c>
      <c r="G110" s="39">
        <f>((C110*0)+(D110*1)+(E110*2)+(F110*3))/100</f>
        <v>0.3</v>
      </c>
      <c r="I110" s="37" t="s">
        <v>441</v>
      </c>
      <c r="J110" s="37" t="s">
        <v>110</v>
      </c>
      <c r="K110" s="38">
        <v>90</v>
      </c>
      <c r="L110" s="38">
        <v>10</v>
      </c>
      <c r="M110" s="38">
        <v>0</v>
      </c>
      <c r="N110" s="38">
        <v>0</v>
      </c>
      <c r="O110" s="39">
        <f>((K110*0)+(L110*1)+(M110*2)+(N110*3))/100</f>
        <v>0.1</v>
      </c>
    </row>
    <row r="111" spans="1:15" ht="14.25">
      <c r="A111" s="37" t="s">
        <v>741</v>
      </c>
      <c r="B111" s="37" t="s">
        <v>111</v>
      </c>
      <c r="C111" s="38">
        <v>0</v>
      </c>
      <c r="D111" s="38">
        <v>1.3793103448275901</v>
      </c>
      <c r="E111" s="38">
        <v>98.620689655172399</v>
      </c>
      <c r="F111" s="38">
        <v>0</v>
      </c>
      <c r="G111" s="39">
        <f>((C111*0)+(D111*1)+(E111*2)+(F111*3))/100</f>
        <v>1.9862068965517239</v>
      </c>
      <c r="I111" s="37" t="s">
        <v>741</v>
      </c>
      <c r="J111" s="37" t="s">
        <v>111</v>
      </c>
      <c r="K111" s="38">
        <v>0</v>
      </c>
      <c r="L111" s="38">
        <v>4.9425287356321803</v>
      </c>
      <c r="M111" s="38">
        <v>95.057471264367805</v>
      </c>
      <c r="N111" s="38">
        <v>0</v>
      </c>
      <c r="O111" s="39">
        <f>((K111*0)+(L111*1)+(M111*2)+(N111*3))/100</f>
        <v>1.9505747126436779</v>
      </c>
    </row>
    <row r="112" spans="1:15" ht="14.25">
      <c r="A112" s="37" t="s">
        <v>735</v>
      </c>
      <c r="B112" s="37" t="s">
        <v>112</v>
      </c>
      <c r="C112" s="38">
        <v>0</v>
      </c>
      <c r="D112" s="38">
        <v>3.1914893617021298</v>
      </c>
      <c r="E112" s="38">
        <v>96.808510638297903</v>
      </c>
      <c r="F112" s="38">
        <v>0</v>
      </c>
      <c r="G112" s="39">
        <f>((C112*0)+(D112*1)+(E112*2)+(F112*3))/100</f>
        <v>1.9680851063829794</v>
      </c>
      <c r="I112" s="37" t="s">
        <v>735</v>
      </c>
      <c r="J112" s="37" t="s">
        <v>112</v>
      </c>
      <c r="K112" s="38">
        <v>0.95744680851063801</v>
      </c>
      <c r="L112" s="38">
        <v>5.2127659574468099</v>
      </c>
      <c r="M112" s="38">
        <v>93.829787234042598</v>
      </c>
      <c r="N112" s="38">
        <v>0</v>
      </c>
      <c r="O112" s="39">
        <f>((K112*0)+(L112*1)+(M112*2)+(N112*3))/100</f>
        <v>1.9287234042553201</v>
      </c>
    </row>
    <row r="113" spans="1:15" ht="14.25">
      <c r="A113" s="37" t="s">
        <v>721</v>
      </c>
      <c r="B113" s="37" t="s">
        <v>113</v>
      </c>
      <c r="C113" s="38">
        <v>0</v>
      </c>
      <c r="D113" s="38">
        <v>7.1258907363420398</v>
      </c>
      <c r="E113" s="38">
        <v>92.874109263657999</v>
      </c>
      <c r="F113" s="38">
        <v>0</v>
      </c>
      <c r="G113" s="39">
        <f>((C113*0)+(D113*1)+(E113*2)+(F113*3))/100</f>
        <v>1.9287410926365802</v>
      </c>
      <c r="I113" s="37" t="s">
        <v>721</v>
      </c>
      <c r="J113" s="37" t="s">
        <v>113</v>
      </c>
      <c r="K113" s="38">
        <v>0</v>
      </c>
      <c r="L113" s="38">
        <v>11.638954869358701</v>
      </c>
      <c r="M113" s="38">
        <v>88.361045130641301</v>
      </c>
      <c r="N113" s="38">
        <v>0</v>
      </c>
      <c r="O113" s="39">
        <f>((K113*0)+(L113*1)+(M113*2)+(N113*3))/100</f>
        <v>1.8836104513064131</v>
      </c>
    </row>
    <row r="114" spans="1:15" ht="14.25">
      <c r="A114" s="37" t="s">
        <v>650</v>
      </c>
      <c r="B114" s="37" t="s">
        <v>114</v>
      </c>
      <c r="C114" s="38">
        <v>8.5796683489545806</v>
      </c>
      <c r="D114" s="38">
        <v>79.019466474405206</v>
      </c>
      <c r="E114" s="38">
        <v>12.400865176640201</v>
      </c>
      <c r="F114" s="38">
        <v>0</v>
      </c>
      <c r="G114" s="39">
        <f>((C114*0)+(D114*1)+(E114*2)+(F114*3))/100</f>
        <v>1.038211968276856</v>
      </c>
      <c r="I114" s="37" t="s">
        <v>650</v>
      </c>
      <c r="J114" s="37" t="s">
        <v>114</v>
      </c>
      <c r="K114" s="38">
        <v>4.0374909877433298</v>
      </c>
      <c r="L114" s="38">
        <v>76.207642393655405</v>
      </c>
      <c r="M114" s="38">
        <v>19.754866618601302</v>
      </c>
      <c r="N114" s="38">
        <v>0</v>
      </c>
      <c r="O114" s="39">
        <f>((K114*0)+(L114*1)+(M114*2)+(N114*3))/100</f>
        <v>1.1571737563085802</v>
      </c>
    </row>
    <row r="115" spans="1:15" ht="14.25">
      <c r="A115" s="37" t="s">
        <v>418</v>
      </c>
      <c r="B115" s="37" t="s">
        <v>115</v>
      </c>
      <c r="C115" s="38">
        <v>1.38339920948617</v>
      </c>
      <c r="D115" s="38">
        <v>97.430830039525702</v>
      </c>
      <c r="E115" s="38">
        <v>1.1857707509881401</v>
      </c>
      <c r="F115" s="38">
        <v>0</v>
      </c>
      <c r="G115" s="39">
        <f>((C115*0)+(D115*1)+(E115*2)+(F115*3))/100</f>
        <v>0.99802371541501989</v>
      </c>
      <c r="I115" s="37" t="s">
        <v>418</v>
      </c>
      <c r="J115" s="37" t="s">
        <v>115</v>
      </c>
      <c r="K115" s="38">
        <v>94.4664031620553</v>
      </c>
      <c r="L115" s="38">
        <v>4.9407114624505901</v>
      </c>
      <c r="M115" s="38">
        <v>0.59288537549407105</v>
      </c>
      <c r="N115" s="38">
        <v>0</v>
      </c>
      <c r="O115" s="39">
        <f>((K115*0)+(L115*1)+(M115*2)+(N115*3))/100</f>
        <v>6.1264822134387324E-2</v>
      </c>
    </row>
    <row r="116" spans="1:15" ht="14.25">
      <c r="A116" s="37" t="s">
        <v>569</v>
      </c>
      <c r="B116" s="37" t="s">
        <v>116</v>
      </c>
      <c r="C116" s="38">
        <v>1.2062726176115799</v>
      </c>
      <c r="D116" s="38">
        <v>97.828709288299194</v>
      </c>
      <c r="E116" s="38">
        <v>0.96501809408926398</v>
      </c>
      <c r="F116" s="38">
        <v>0</v>
      </c>
      <c r="G116" s="39">
        <f>((C116*0)+(D116*1)+(E116*2)+(F116*3))/100</f>
        <v>0.99758745476477728</v>
      </c>
      <c r="I116" s="37" t="s">
        <v>569</v>
      </c>
      <c r="J116" s="37" t="s">
        <v>116</v>
      </c>
      <c r="K116" s="38">
        <v>3.9806996381182098</v>
      </c>
      <c r="L116" s="38">
        <v>95.778045838359503</v>
      </c>
      <c r="M116" s="38">
        <v>0.24125452352231599</v>
      </c>
      <c r="N116" s="38">
        <v>0</v>
      </c>
      <c r="O116" s="39">
        <f>((K116*0)+(L116*1)+(M116*2)+(N116*3))/100</f>
        <v>0.96260554885404137</v>
      </c>
    </row>
    <row r="117" spans="1:15" ht="14.25">
      <c r="A117" s="37" t="s">
        <v>506</v>
      </c>
      <c r="B117" s="37" t="s">
        <v>117</v>
      </c>
      <c r="C117" s="38">
        <v>0</v>
      </c>
      <c r="D117" s="38">
        <v>54.905335628227199</v>
      </c>
      <c r="E117" s="38">
        <v>45.094664371772801</v>
      </c>
      <c r="F117" s="38">
        <v>0</v>
      </c>
      <c r="G117" s="39">
        <f>((C117*0)+(D117*1)+(E117*2)+(F117*3))/100</f>
        <v>1.4509466437177281</v>
      </c>
      <c r="I117" s="37" t="s">
        <v>506</v>
      </c>
      <c r="J117" s="37" t="s">
        <v>117</v>
      </c>
      <c r="K117" s="38">
        <v>41.652323580034398</v>
      </c>
      <c r="L117" s="38">
        <v>57.314974182444097</v>
      </c>
      <c r="M117" s="38">
        <v>1.03270223752151</v>
      </c>
      <c r="N117" s="38">
        <v>0</v>
      </c>
      <c r="O117" s="39">
        <f>((K117*0)+(L117*1)+(M117*2)+(N117*3))/100</f>
        <v>0.5938037865748711</v>
      </c>
    </row>
    <row r="118" spans="1:15" ht="14.25">
      <c r="A118" s="37" t="s">
        <v>380</v>
      </c>
      <c r="B118" s="37" t="s">
        <v>345</v>
      </c>
      <c r="C118" s="38">
        <v>29.411764705882401</v>
      </c>
      <c r="D118" s="38">
        <v>67.941176470588204</v>
      </c>
      <c r="E118" s="38">
        <v>2.6470588235294099</v>
      </c>
      <c r="F118" s="38">
        <v>0</v>
      </c>
      <c r="G118" s="39">
        <f>((C118*0)+(D118*1)+(E118*2)+(F118*3))/100</f>
        <v>0.73235294117647032</v>
      </c>
      <c r="I118" s="37" t="s">
        <v>380</v>
      </c>
      <c r="J118" s="37" t="s">
        <v>345</v>
      </c>
      <c r="K118" s="38">
        <v>98.529411764705898</v>
      </c>
      <c r="L118" s="38">
        <v>1.47058823529412</v>
      </c>
      <c r="M118" s="38">
        <v>0</v>
      </c>
      <c r="N118" s="38">
        <v>0</v>
      </c>
      <c r="O118" s="39">
        <f>((K118*0)+(L118*1)+(M118*2)+(N118*3))/100</f>
        <v>1.4705882352941201E-2</v>
      </c>
    </row>
    <row r="119" spans="1:15" ht="14.25">
      <c r="A119" s="37" t="s">
        <v>450</v>
      </c>
      <c r="B119" s="37" t="s">
        <v>119</v>
      </c>
      <c r="C119" s="38">
        <v>7.0101647388713606E-2</v>
      </c>
      <c r="D119" s="38">
        <v>13.5997195934104</v>
      </c>
      <c r="E119" s="38">
        <v>81.913774973711895</v>
      </c>
      <c r="F119" s="38">
        <v>4.41640378548896</v>
      </c>
      <c r="G119" s="39">
        <f>((C119*0)+(D119*1)+(E119*2)+(F119*3))/100</f>
        <v>1.9067648089730107</v>
      </c>
      <c r="I119" s="37" t="s">
        <v>450</v>
      </c>
      <c r="J119" s="37" t="s">
        <v>119</v>
      </c>
      <c r="K119" s="38">
        <v>91.903259726603594</v>
      </c>
      <c r="L119" s="38">
        <v>3.6102348405187499</v>
      </c>
      <c r="M119" s="38">
        <v>4.1009463722397497</v>
      </c>
      <c r="N119" s="38">
        <v>0.385559060637925</v>
      </c>
      <c r="O119" s="39">
        <f>((K119*0)+(L119*1)+(M119*2)+(N119*3))/100</f>
        <v>0.12968804766912023</v>
      </c>
    </row>
    <row r="120" spans="1:15" ht="14.25">
      <c r="A120" s="37" t="s">
        <v>545</v>
      </c>
      <c r="B120" s="37" t="s">
        <v>120</v>
      </c>
      <c r="C120" s="38">
        <v>16.321656050955401</v>
      </c>
      <c r="D120" s="38">
        <v>62.460191082802602</v>
      </c>
      <c r="E120" s="38">
        <v>19.8646496815287</v>
      </c>
      <c r="F120" s="38">
        <v>1.35350318471338</v>
      </c>
      <c r="G120" s="39">
        <f>((C120*0)+(D120*1)+(E120*2)+(F120*3))/100</f>
        <v>1.0625000000000013</v>
      </c>
      <c r="I120" s="37" t="s">
        <v>545</v>
      </c>
      <c r="J120" s="37" t="s">
        <v>120</v>
      </c>
      <c r="K120" s="38">
        <v>19.705414012738899</v>
      </c>
      <c r="L120" s="38">
        <v>72.093949044585997</v>
      </c>
      <c r="M120" s="38">
        <v>7.8423566878980902</v>
      </c>
      <c r="N120" s="38">
        <v>0.35828025477706998</v>
      </c>
      <c r="O120" s="39">
        <f>((K120*0)+(L120*1)+(M120*2)+(N120*3))/100</f>
        <v>0.88853503184713389</v>
      </c>
    </row>
    <row r="121" spans="1:15" ht="14.25">
      <c r="A121" s="37" t="s">
        <v>715</v>
      </c>
      <c r="B121" s="37" t="s">
        <v>121</v>
      </c>
      <c r="C121" s="38">
        <v>0.11764705882352899</v>
      </c>
      <c r="D121" s="38">
        <v>9.0588235294117592</v>
      </c>
      <c r="E121" s="38">
        <v>90.235294117647101</v>
      </c>
      <c r="F121" s="38">
        <v>0.58823529411764697</v>
      </c>
      <c r="G121" s="39">
        <f>((C121*0)+(D121*1)+(E121*2)+(F121*3))/100</f>
        <v>1.912941176470589</v>
      </c>
      <c r="I121" s="37" t="s">
        <v>715</v>
      </c>
      <c r="J121" s="37" t="s">
        <v>121</v>
      </c>
      <c r="K121" s="38">
        <v>3.6470588235294099</v>
      </c>
      <c r="L121" s="38">
        <v>9.5294117647058805</v>
      </c>
      <c r="M121" s="38">
        <v>86.705882352941202</v>
      </c>
      <c r="N121" s="38">
        <v>0.11764705882352899</v>
      </c>
      <c r="O121" s="39">
        <f>((K121*0)+(L121*1)+(M121*2)+(N121*3))/100</f>
        <v>1.8329411764705887</v>
      </c>
    </row>
    <row r="122" spans="1:15" ht="14.25">
      <c r="A122" s="37" t="s">
        <v>652</v>
      </c>
      <c r="B122" s="37" t="s">
        <v>653</v>
      </c>
      <c r="C122" s="38">
        <v>0</v>
      </c>
      <c r="D122" s="38">
        <v>39.543491671807502</v>
      </c>
      <c r="E122" s="38">
        <v>56.446637877853199</v>
      </c>
      <c r="F122" s="38">
        <v>4.0098704503393003</v>
      </c>
      <c r="G122" s="39">
        <f>((C122*0)+(D122*1)+(E122*2)+(F122*3))/100</f>
        <v>1.6446637877853181</v>
      </c>
      <c r="I122" s="37" t="s">
        <v>652</v>
      </c>
      <c r="J122" s="37" t="s">
        <v>653</v>
      </c>
      <c r="K122" s="38">
        <v>6.1690314620604599E-2</v>
      </c>
      <c r="L122" s="38">
        <v>83.096853793954395</v>
      </c>
      <c r="M122" s="38">
        <v>16.841455891424999</v>
      </c>
      <c r="N122" s="38">
        <v>0</v>
      </c>
      <c r="O122" s="39">
        <f>((K122*0)+(L122*1)+(M122*2)+(N122*3))/100</f>
        <v>1.1677976557680438</v>
      </c>
    </row>
    <row r="123" spans="1:15" ht="14.25">
      <c r="A123" s="37" t="s">
        <v>655</v>
      </c>
      <c r="B123" s="37" t="s">
        <v>123</v>
      </c>
      <c r="C123" s="38">
        <v>3.3007334963325201</v>
      </c>
      <c r="D123" s="38">
        <v>3.5452322738386299</v>
      </c>
      <c r="E123" s="38">
        <v>71.026894865525705</v>
      </c>
      <c r="F123" s="38">
        <v>22.127139364303201</v>
      </c>
      <c r="G123" s="39">
        <f>((C123*0)+(D123*1)+(E123*2)+(F123*3))/100</f>
        <v>2.1198044009779964</v>
      </c>
      <c r="I123" s="37" t="s">
        <v>655</v>
      </c>
      <c r="J123" s="37" t="s">
        <v>123</v>
      </c>
      <c r="K123" s="38">
        <v>3.7897310513447402</v>
      </c>
      <c r="L123" s="38">
        <v>73.227383863080703</v>
      </c>
      <c r="M123" s="38">
        <v>22.982885085574601</v>
      </c>
      <c r="N123" s="38">
        <v>0</v>
      </c>
      <c r="O123" s="39">
        <f>((K123*0)+(L123*1)+(M123*2)+(N123*3))/100</f>
        <v>1.191931540342299</v>
      </c>
    </row>
    <row r="124" spans="1:15" ht="14.25">
      <c r="A124" s="37" t="s">
        <v>619</v>
      </c>
      <c r="B124" s="37" t="s">
        <v>124</v>
      </c>
      <c r="C124" s="38">
        <v>0.76107637945093798</v>
      </c>
      <c r="D124" s="38">
        <v>23.049741777657001</v>
      </c>
      <c r="E124" s="38">
        <v>74.449578689861397</v>
      </c>
      <c r="F124" s="38">
        <v>1.7396031530307099</v>
      </c>
      <c r="G124" s="39">
        <f>((C124*0)+(D124*1)+(E124*2)+(F124*3))/100</f>
        <v>1.7716770861647193</v>
      </c>
      <c r="I124" s="37" t="s">
        <v>619</v>
      </c>
      <c r="J124" s="37" t="s">
        <v>124</v>
      </c>
      <c r="K124" s="38">
        <v>1.95705354715955</v>
      </c>
      <c r="L124" s="38">
        <v>93.585213373199196</v>
      </c>
      <c r="M124" s="38">
        <v>4.4577330796412102</v>
      </c>
      <c r="N124" s="38">
        <v>0</v>
      </c>
      <c r="O124" s="39">
        <f>((K124*0)+(L124*1)+(M124*2)+(N124*3))/100</f>
        <v>1.0250067953248161</v>
      </c>
    </row>
    <row r="125" spans="1:15" ht="14.25">
      <c r="A125" s="37" t="s">
        <v>542</v>
      </c>
      <c r="B125" s="37" t="s">
        <v>543</v>
      </c>
      <c r="C125" s="38">
        <v>3.87596899224806</v>
      </c>
      <c r="D125" s="38">
        <v>82.170542635658904</v>
      </c>
      <c r="E125" s="38">
        <v>13.436692506459901</v>
      </c>
      <c r="F125" s="38">
        <v>0.516795865633075</v>
      </c>
      <c r="G125" s="39">
        <f>((C125*0)+(D125*1)+(E125*2)+(F125*3))/100</f>
        <v>1.1059431524547794</v>
      </c>
      <c r="I125" s="37" t="s">
        <v>542</v>
      </c>
      <c r="J125" s="37" t="s">
        <v>543</v>
      </c>
      <c r="K125" s="38">
        <v>16.5374677002584</v>
      </c>
      <c r="L125" s="38">
        <v>79.586563307493506</v>
      </c>
      <c r="M125" s="38">
        <v>3.87596899224806</v>
      </c>
      <c r="N125" s="38">
        <v>0</v>
      </c>
      <c r="O125" s="39">
        <f>((K125*0)+(L125*1)+(M125*2)+(N125*3))/100</f>
        <v>0.87338501291989634</v>
      </c>
    </row>
    <row r="126" spans="1:15" ht="14.25">
      <c r="A126" s="37" t="s">
        <v>537</v>
      </c>
      <c r="B126" s="37" t="s">
        <v>126</v>
      </c>
      <c r="C126" s="38">
        <v>0.266311584553928</v>
      </c>
      <c r="D126" s="38">
        <v>2.5299600532623199</v>
      </c>
      <c r="E126" s="38">
        <v>72.303595206391506</v>
      </c>
      <c r="F126" s="38">
        <v>24.9001331557923</v>
      </c>
      <c r="G126" s="39">
        <f>((C126*0)+(D126*1)+(E126*2)+(F126*3))/100</f>
        <v>2.2183754993342224</v>
      </c>
      <c r="I126" s="37" t="s">
        <v>537</v>
      </c>
      <c r="J126" s="37" t="s">
        <v>126</v>
      </c>
      <c r="K126" s="38">
        <v>20.639147802929401</v>
      </c>
      <c r="L126" s="38">
        <v>72.170439414114497</v>
      </c>
      <c r="M126" s="38">
        <v>6.9241011984021297</v>
      </c>
      <c r="N126" s="38">
        <v>0.266311584553928</v>
      </c>
      <c r="O126" s="39">
        <f>((K126*0)+(L126*1)+(M126*2)+(N126*3))/100</f>
        <v>0.86817576564580534</v>
      </c>
    </row>
    <row r="127" spans="1:15" ht="14.25">
      <c r="A127" s="37" t="s">
        <v>456</v>
      </c>
      <c r="B127" s="37" t="s">
        <v>127</v>
      </c>
      <c r="C127" s="38">
        <v>4.1666666666666696</v>
      </c>
      <c r="D127" s="38">
        <v>35.4166666666667</v>
      </c>
      <c r="E127" s="38">
        <v>60.4166666666667</v>
      </c>
      <c r="F127" s="38">
        <v>0</v>
      </c>
      <c r="G127" s="39">
        <f>((C127*0)+(D127*1)+(E127*2)+(F127*3))/100</f>
        <v>1.5625000000000011</v>
      </c>
      <c r="I127" s="37" t="s">
        <v>456</v>
      </c>
      <c r="J127" s="37" t="s">
        <v>127</v>
      </c>
      <c r="K127" s="38">
        <v>86.9791666666667</v>
      </c>
      <c r="L127" s="38">
        <v>11.4583333333333</v>
      </c>
      <c r="M127" s="38">
        <v>1.5625</v>
      </c>
      <c r="N127" s="38">
        <v>0</v>
      </c>
      <c r="O127" s="39">
        <f>((K127*0)+(L127*1)+(M127*2)+(N127*3))/100</f>
        <v>0.14583333333333301</v>
      </c>
    </row>
    <row r="128" spans="1:15" ht="14.25">
      <c r="A128" s="37" t="s">
        <v>544</v>
      </c>
      <c r="B128" s="37" t="s">
        <v>128</v>
      </c>
      <c r="C128" s="38">
        <v>0</v>
      </c>
      <c r="D128" s="38">
        <v>1.3043478260869601</v>
      </c>
      <c r="E128" s="38">
        <v>87.391304347826093</v>
      </c>
      <c r="F128" s="38">
        <v>11.304347826087</v>
      </c>
      <c r="G128" s="39">
        <f>((C128*0)+(D128*1)+(E128*2)+(F128*3))/100</f>
        <v>2.1000000000000019</v>
      </c>
      <c r="I128" s="37" t="s">
        <v>544</v>
      </c>
      <c r="J128" s="37" t="s">
        <v>128</v>
      </c>
      <c r="K128" s="38">
        <v>13.913043478260899</v>
      </c>
      <c r="L128" s="38">
        <v>84.347826086956502</v>
      </c>
      <c r="M128" s="38">
        <v>1.73913043478261</v>
      </c>
      <c r="N128" s="38">
        <v>0</v>
      </c>
      <c r="O128" s="39">
        <f>((K128*0)+(L128*1)+(M128*2)+(N128*3))/100</f>
        <v>0.87826086956521721</v>
      </c>
    </row>
    <row r="129" spans="1:15" ht="14.25">
      <c r="A129" s="37" t="s">
        <v>546</v>
      </c>
      <c r="B129" s="37" t="s">
        <v>129</v>
      </c>
      <c r="C129" s="38">
        <v>0</v>
      </c>
      <c r="D129" s="38">
        <v>49.783549783549802</v>
      </c>
      <c r="E129" s="38">
        <v>50.216450216450198</v>
      </c>
      <c r="F129" s="38">
        <v>0</v>
      </c>
      <c r="G129" s="39">
        <f>((C129*0)+(D129*1)+(E129*2)+(F129*3))/100</f>
        <v>1.502164502164502</v>
      </c>
      <c r="I129" s="37" t="s">
        <v>546</v>
      </c>
      <c r="J129" s="37" t="s">
        <v>129</v>
      </c>
      <c r="K129" s="38">
        <v>15.5844155844156</v>
      </c>
      <c r="L129" s="38">
        <v>79.220779220779207</v>
      </c>
      <c r="M129" s="38">
        <v>5.1948051948051903</v>
      </c>
      <c r="N129" s="38">
        <v>0</v>
      </c>
      <c r="O129" s="39">
        <f>((K129*0)+(L129*1)+(M129*2)+(N129*3))/100</f>
        <v>0.89610389610389585</v>
      </c>
    </row>
    <row r="130" spans="1:15" ht="14.25">
      <c r="A130" s="37" t="s">
        <v>696</v>
      </c>
      <c r="B130" s="37" t="s">
        <v>130</v>
      </c>
      <c r="C130" s="38">
        <v>0</v>
      </c>
      <c r="D130" s="38">
        <v>2.4509803921568598</v>
      </c>
      <c r="E130" s="38">
        <v>78.186274509803894</v>
      </c>
      <c r="F130" s="38">
        <v>19.362745098039198</v>
      </c>
      <c r="G130" s="39">
        <f>((C130*0)+(D130*1)+(E130*2)+(F130*3))/100</f>
        <v>2.1691176470588225</v>
      </c>
      <c r="I130" s="37" t="s">
        <v>696</v>
      </c>
      <c r="J130" s="37" t="s">
        <v>130</v>
      </c>
      <c r="K130" s="38">
        <v>0.49019607843137297</v>
      </c>
      <c r="L130" s="38">
        <v>30.3921568627451</v>
      </c>
      <c r="M130" s="38">
        <v>68.872549019607803</v>
      </c>
      <c r="N130" s="38">
        <v>0.24509803921568599</v>
      </c>
      <c r="O130" s="39">
        <f>((K130*0)+(L130*1)+(M130*2)+(N130*3))/100</f>
        <v>1.688725490196078</v>
      </c>
    </row>
    <row r="131" spans="1:15" ht="14.25">
      <c r="A131" s="37" t="s">
        <v>686</v>
      </c>
      <c r="B131" s="37" t="s">
        <v>687</v>
      </c>
      <c r="C131" s="38">
        <v>0</v>
      </c>
      <c r="D131" s="38">
        <v>3.0201342281879202</v>
      </c>
      <c r="E131" s="38">
        <v>76.677852348993298</v>
      </c>
      <c r="F131" s="38">
        <v>20.302013422818799</v>
      </c>
      <c r="G131" s="39">
        <f>((C131*0)+(D131*1)+(E131*2)+(F131*3))/100</f>
        <v>2.1728187919463089</v>
      </c>
      <c r="I131" s="37" t="s">
        <v>686</v>
      </c>
      <c r="J131" s="37" t="s">
        <v>687</v>
      </c>
      <c r="K131" s="38">
        <v>1.6778523489932899</v>
      </c>
      <c r="L131" s="38">
        <v>41.610738255033603</v>
      </c>
      <c r="M131" s="38">
        <v>54.194630872483202</v>
      </c>
      <c r="N131" s="38">
        <v>2.51677852348993</v>
      </c>
      <c r="O131" s="39">
        <f>((K131*0)+(L131*1)+(M131*2)+(N131*3))/100</f>
        <v>1.575503355704698</v>
      </c>
    </row>
    <row r="132" spans="1:15" ht="14.25">
      <c r="A132" s="37" t="s">
        <v>756</v>
      </c>
      <c r="B132" s="37" t="s">
        <v>132</v>
      </c>
      <c r="C132" s="38">
        <v>0.45317220543806702</v>
      </c>
      <c r="D132" s="38">
        <v>1.8126888217522701</v>
      </c>
      <c r="E132" s="38">
        <v>79.909365558912398</v>
      </c>
      <c r="F132" s="38">
        <v>17.824773413897301</v>
      </c>
      <c r="G132" s="39">
        <f>((C132*0)+(D132*1)+(E132*2)+(F132*3))/100</f>
        <v>2.1510574018126896</v>
      </c>
      <c r="I132" s="37" t="s">
        <v>756</v>
      </c>
      <c r="J132" s="37" t="s">
        <v>132</v>
      </c>
      <c r="K132" s="38">
        <v>1.5105740181268901</v>
      </c>
      <c r="L132" s="38">
        <v>8.9123867069486398</v>
      </c>
      <c r="M132" s="38">
        <v>72.507552870090606</v>
      </c>
      <c r="N132" s="38">
        <v>17.0694864048338</v>
      </c>
      <c r="O132" s="39">
        <f>((K132*0)+(L132*1)+(M132*2)+(N132*3))/100</f>
        <v>2.0513595166163126</v>
      </c>
    </row>
    <row r="133" spans="1:15" ht="14.25">
      <c r="A133" s="37" t="s">
        <v>658</v>
      </c>
      <c r="B133" s="37" t="s">
        <v>133</v>
      </c>
      <c r="C133" s="38">
        <v>7.7881619937694699</v>
      </c>
      <c r="D133" s="38">
        <v>63.7071651090343</v>
      </c>
      <c r="E133" s="38">
        <v>28.348909657320899</v>
      </c>
      <c r="F133" s="38">
        <v>0.15576323987538901</v>
      </c>
      <c r="G133" s="39">
        <f>((C133*0)+(D133*1)+(E133*2)+(F133*3))/100</f>
        <v>1.2087227414330226</v>
      </c>
      <c r="I133" s="37" t="s">
        <v>658</v>
      </c>
      <c r="J133" s="37" t="s">
        <v>133</v>
      </c>
      <c r="K133" s="38">
        <v>4.0498442367601202</v>
      </c>
      <c r="L133" s="38">
        <v>71.495327102803699</v>
      </c>
      <c r="M133" s="38">
        <v>24.4548286604361</v>
      </c>
      <c r="N133" s="38">
        <v>0</v>
      </c>
      <c r="O133" s="39">
        <f>((K133*0)+(L133*1)+(M133*2)+(N133*3))/100</f>
        <v>1.2040498442367591</v>
      </c>
    </row>
    <row r="134" spans="1:15" ht="14.25">
      <c r="A134" s="37" t="s">
        <v>515</v>
      </c>
      <c r="B134" s="37" t="s">
        <v>134</v>
      </c>
      <c r="C134" s="38">
        <v>2.60869565217391</v>
      </c>
      <c r="D134" s="38">
        <v>32.173913043478301</v>
      </c>
      <c r="E134" s="38">
        <v>65.2173913043478</v>
      </c>
      <c r="F134" s="38">
        <v>0</v>
      </c>
      <c r="G134" s="39">
        <f>((C134*0)+(D134*1)+(E134*2)+(F134*3))/100</f>
        <v>1.6260869565217391</v>
      </c>
      <c r="I134" s="37" t="s">
        <v>515</v>
      </c>
      <c r="J134" s="37" t="s">
        <v>134</v>
      </c>
      <c r="K134" s="38">
        <v>33.043478260869598</v>
      </c>
      <c r="L134" s="38">
        <v>64.637681159420296</v>
      </c>
      <c r="M134" s="38">
        <v>2.3188405797101499</v>
      </c>
      <c r="N134" s="38">
        <v>0</v>
      </c>
      <c r="O134" s="39">
        <f>((K134*0)+(L134*1)+(M134*2)+(N134*3))/100</f>
        <v>0.69275362318840594</v>
      </c>
    </row>
    <row r="135" spans="1:15" ht="14.25">
      <c r="A135" s="37" t="s">
        <v>667</v>
      </c>
      <c r="B135" s="37" t="s">
        <v>135</v>
      </c>
      <c r="C135" s="38">
        <v>3.4246575342465801</v>
      </c>
      <c r="D135" s="38">
        <v>21.2328767123288</v>
      </c>
      <c r="E135" s="38">
        <v>62.328767123287697</v>
      </c>
      <c r="F135" s="38">
        <v>13.013698630137</v>
      </c>
      <c r="G135" s="39">
        <f>((C135*0)+(D135*1)+(E135*2)+(F135*3))/100</f>
        <v>1.8493150684931521</v>
      </c>
      <c r="I135" s="37" t="s">
        <v>667</v>
      </c>
      <c r="J135" s="37" t="s">
        <v>135</v>
      </c>
      <c r="K135" s="38">
        <v>2.7397260273972601</v>
      </c>
      <c r="L135" s="38">
        <v>60.958904109589</v>
      </c>
      <c r="M135" s="38">
        <v>36.301369863013697</v>
      </c>
      <c r="N135" s="38">
        <v>0</v>
      </c>
      <c r="O135" s="39">
        <f>((K135*0)+(L135*1)+(M135*2)+(N135*3))/100</f>
        <v>1.3356164383561639</v>
      </c>
    </row>
    <row r="136" spans="1:15" ht="14.25">
      <c r="A136" s="37" t="s">
        <v>452</v>
      </c>
      <c r="B136" s="37" t="s">
        <v>136</v>
      </c>
      <c r="C136" s="38">
        <v>0</v>
      </c>
      <c r="D136" s="38">
        <v>89.610389610389603</v>
      </c>
      <c r="E136" s="38">
        <v>10.3896103896104</v>
      </c>
      <c r="F136" s="38">
        <v>0</v>
      </c>
      <c r="G136" s="39">
        <f>((C136*0)+(D136*1)+(E136*2)+(F136*3))/100</f>
        <v>1.1038961038961039</v>
      </c>
      <c r="I136" s="37" t="s">
        <v>452</v>
      </c>
      <c r="J136" s="37" t="s">
        <v>136</v>
      </c>
      <c r="K136" s="38">
        <v>85.714285714285694</v>
      </c>
      <c r="L136" s="38">
        <v>14.285714285714301</v>
      </c>
      <c r="M136" s="38">
        <v>0</v>
      </c>
      <c r="N136" s="38">
        <v>0</v>
      </c>
      <c r="O136" s="39">
        <f>((K136*0)+(L136*1)+(M136*2)+(N136*3))/100</f>
        <v>0.14285714285714302</v>
      </c>
    </row>
    <row r="137" spans="1:15" ht="14.25">
      <c r="A137" s="37" t="s">
        <v>540</v>
      </c>
      <c r="B137" s="37" t="s">
        <v>541</v>
      </c>
      <c r="C137" s="38">
        <v>0</v>
      </c>
      <c r="D137" s="38">
        <v>20.930232558139501</v>
      </c>
      <c r="E137" s="38">
        <v>79.069767441860506</v>
      </c>
      <c r="F137" s="38">
        <v>0</v>
      </c>
      <c r="G137" s="39">
        <f>((C137*0)+(D137*1)+(E137*2)+(F137*3))/100</f>
        <v>1.7906976744186052</v>
      </c>
      <c r="I137" s="37" t="s">
        <v>540</v>
      </c>
      <c r="J137" s="37" t="s">
        <v>541</v>
      </c>
      <c r="K137" s="38">
        <v>15.116279069767399</v>
      </c>
      <c r="L137" s="38">
        <v>82.558139534883693</v>
      </c>
      <c r="M137" s="38">
        <v>2.32558139534884</v>
      </c>
      <c r="N137" s="38">
        <v>0</v>
      </c>
      <c r="O137" s="39">
        <f>((K137*0)+(L137*1)+(M137*2)+(N137*3))/100</f>
        <v>0.87209302325581373</v>
      </c>
    </row>
    <row r="138" spans="1:15" ht="14.25">
      <c r="A138" s="37" t="s">
        <v>523</v>
      </c>
      <c r="B138" s="37" t="s">
        <v>138</v>
      </c>
      <c r="C138" s="38">
        <v>22.105263157894701</v>
      </c>
      <c r="D138" s="38">
        <v>67.368421052631604</v>
      </c>
      <c r="E138" s="38">
        <v>10.526315789473699</v>
      </c>
      <c r="F138" s="38">
        <v>0</v>
      </c>
      <c r="G138" s="39">
        <f>((C138*0)+(D138*1)+(E138*2)+(F138*3))/100</f>
        <v>0.88421052631579</v>
      </c>
      <c r="I138" s="37" t="s">
        <v>523</v>
      </c>
      <c r="J138" s="37" t="s">
        <v>138</v>
      </c>
      <c r="K138" s="38">
        <v>25.2631578947368</v>
      </c>
      <c r="L138" s="38">
        <v>68.421052631578902</v>
      </c>
      <c r="M138" s="38">
        <v>6.3157894736842097</v>
      </c>
      <c r="N138" s="38">
        <v>0</v>
      </c>
      <c r="O138" s="39">
        <f>((K138*0)+(L138*1)+(M138*2)+(N138*3))/100</f>
        <v>0.81052631578947332</v>
      </c>
    </row>
    <row r="139" spans="1:15" ht="14.25">
      <c r="A139" s="37" t="s">
        <v>495</v>
      </c>
      <c r="B139" s="37" t="s">
        <v>139</v>
      </c>
      <c r="C139" s="38">
        <v>50.691244239631303</v>
      </c>
      <c r="D139" s="38">
        <v>43.778801843318</v>
      </c>
      <c r="E139" s="38">
        <v>4.6082949308755801</v>
      </c>
      <c r="F139" s="38">
        <v>0.92165898617511499</v>
      </c>
      <c r="G139" s="39">
        <f>((C139*0)+(D139*1)+(E139*2)+(F139*3))/100</f>
        <v>0.55760368663594506</v>
      </c>
      <c r="I139" s="37" t="s">
        <v>495</v>
      </c>
      <c r="J139" s="37" t="s">
        <v>139</v>
      </c>
      <c r="K139" s="38">
        <v>56.3748079877112</v>
      </c>
      <c r="L139" s="38">
        <v>41.321044546850999</v>
      </c>
      <c r="M139" s="38">
        <v>2.30414746543779</v>
      </c>
      <c r="N139" s="38">
        <v>0</v>
      </c>
      <c r="O139" s="39">
        <f>((K139*0)+(L139*1)+(M139*2)+(N139*3))/100</f>
        <v>0.45929339477726577</v>
      </c>
    </row>
    <row r="140" spans="1:15" ht="14.25">
      <c r="A140" s="37" t="s">
        <v>457</v>
      </c>
      <c r="B140" s="37" t="s">
        <v>140</v>
      </c>
      <c r="C140" s="38">
        <v>15.5115511551155</v>
      </c>
      <c r="D140" s="38">
        <v>57.590759075907599</v>
      </c>
      <c r="E140" s="38">
        <v>25.577557755775601</v>
      </c>
      <c r="F140" s="38">
        <v>1.3201320132013199</v>
      </c>
      <c r="G140" s="39">
        <f>((C140*0)+(D140*1)+(E140*2)+(F140*3))/100</f>
        <v>1.1270627062706275</v>
      </c>
      <c r="I140" s="37" t="s">
        <v>457</v>
      </c>
      <c r="J140" s="37" t="s">
        <v>140</v>
      </c>
      <c r="K140" s="38">
        <v>87.953795379537993</v>
      </c>
      <c r="L140" s="38">
        <v>9.4059405940594107</v>
      </c>
      <c r="M140" s="38">
        <v>2.6402640264026398</v>
      </c>
      <c r="N140" s="38">
        <v>0</v>
      </c>
      <c r="O140" s="39">
        <f>((K140*0)+(L140*1)+(M140*2)+(N140*3))/100</f>
        <v>0.14686468646864689</v>
      </c>
    </row>
    <row r="141" spans="1:15" ht="14.25">
      <c r="A141" s="37" t="s">
        <v>397</v>
      </c>
      <c r="B141" s="37" t="s">
        <v>141</v>
      </c>
      <c r="C141" s="38">
        <v>54.593175853018401</v>
      </c>
      <c r="D141" s="38">
        <v>40.419947506561698</v>
      </c>
      <c r="E141" s="38">
        <v>4.9868766404199496</v>
      </c>
      <c r="F141" s="38">
        <v>0</v>
      </c>
      <c r="G141" s="39">
        <f>((C141*0)+(D141*1)+(E141*2)+(F141*3))/100</f>
        <v>0.50393700787401596</v>
      </c>
      <c r="I141" s="37" t="s">
        <v>397</v>
      </c>
      <c r="J141" s="37" t="s">
        <v>141</v>
      </c>
      <c r="K141" s="38">
        <v>96.587926509186303</v>
      </c>
      <c r="L141" s="38">
        <v>3.4120734908136501</v>
      </c>
      <c r="M141" s="38">
        <v>0</v>
      </c>
      <c r="N141" s="38">
        <v>0</v>
      </c>
      <c r="O141" s="39">
        <f>((K141*0)+(L141*1)+(M141*2)+(N141*3))/100</f>
        <v>3.4120734908136503E-2</v>
      </c>
    </row>
    <row r="142" spans="1:15" ht="14.25">
      <c r="A142" s="37" t="s">
        <v>411</v>
      </c>
      <c r="B142" s="37" t="s">
        <v>412</v>
      </c>
      <c r="C142" s="38">
        <v>45.454545454545503</v>
      </c>
      <c r="D142" s="38">
        <v>51.3833992094862</v>
      </c>
      <c r="E142" s="38">
        <v>3.1620553359683798</v>
      </c>
      <c r="F142" s="38">
        <v>0</v>
      </c>
      <c r="G142" s="39">
        <f>((C142*0)+(D142*1)+(E142*2)+(F142*3))/100</f>
        <v>0.57707509881422958</v>
      </c>
      <c r="I142" s="37" t="s">
        <v>411</v>
      </c>
      <c r="J142" s="37" t="s">
        <v>412</v>
      </c>
      <c r="K142" s="38">
        <v>94.861660079051404</v>
      </c>
      <c r="L142" s="38">
        <v>5.1383399209486198</v>
      </c>
      <c r="M142" s="38">
        <v>0</v>
      </c>
      <c r="N142" s="38">
        <v>0</v>
      </c>
      <c r="O142" s="39">
        <f>((K142*0)+(L142*1)+(M142*2)+(N142*3))/100</f>
        <v>5.1383399209486195E-2</v>
      </c>
    </row>
    <row r="143" spans="1:15" ht="14.25">
      <c r="A143" s="37" t="s">
        <v>390</v>
      </c>
      <c r="B143" s="37" t="s">
        <v>143</v>
      </c>
      <c r="C143" s="38">
        <v>2.7027027027027</v>
      </c>
      <c r="D143" s="38">
        <v>97.297297297297305</v>
      </c>
      <c r="E143" s="38">
        <v>0</v>
      </c>
      <c r="F143" s="38">
        <v>0</v>
      </c>
      <c r="G143" s="39">
        <f>((C143*0)+(D143*1)+(E143*2)+(F143*3))/100</f>
        <v>0.97297297297297303</v>
      </c>
      <c r="I143" s="37" t="s">
        <v>390</v>
      </c>
      <c r="J143" s="37" t="s">
        <v>143</v>
      </c>
      <c r="K143" s="38">
        <v>97.297297297297305</v>
      </c>
      <c r="L143" s="38">
        <v>2.7027027027027</v>
      </c>
      <c r="M143" s="38">
        <v>0</v>
      </c>
      <c r="N143" s="38">
        <v>0</v>
      </c>
      <c r="O143" s="39">
        <f>((K143*0)+(L143*1)+(M143*2)+(N143*3))/100</f>
        <v>2.7027027027027001E-2</v>
      </c>
    </row>
    <row r="144" spans="1:15" ht="14.25">
      <c r="A144" s="37" t="s">
        <v>387</v>
      </c>
      <c r="B144" s="37" t="s">
        <v>144</v>
      </c>
      <c r="C144" s="38">
        <v>36.892052194543297</v>
      </c>
      <c r="D144" s="38">
        <v>59.193357058125699</v>
      </c>
      <c r="E144" s="38">
        <v>3.9145907473309598</v>
      </c>
      <c r="F144" s="38">
        <v>0</v>
      </c>
      <c r="G144" s="39">
        <f>((C144*0)+(D144*1)+(E144*2)+(F144*3))/100</f>
        <v>0.67022538552787625</v>
      </c>
      <c r="I144" s="37" t="s">
        <v>387</v>
      </c>
      <c r="J144" s="37" t="s">
        <v>144</v>
      </c>
      <c r="K144" s="38">
        <v>98.339264531435404</v>
      </c>
      <c r="L144" s="38">
        <v>0.94899169632265701</v>
      </c>
      <c r="M144" s="38">
        <v>0.71174377224199303</v>
      </c>
      <c r="N144" s="38">
        <v>0</v>
      </c>
      <c r="O144" s="39">
        <f>((K144*0)+(L144*1)+(M144*2)+(N144*3))/100</f>
        <v>2.3724792408066433E-2</v>
      </c>
    </row>
    <row r="145" spans="1:15" ht="14.25">
      <c r="A145" s="37" t="s">
        <v>453</v>
      </c>
      <c r="B145" s="37" t="s">
        <v>145</v>
      </c>
      <c r="C145" s="38">
        <v>2.71186440677966</v>
      </c>
      <c r="D145" s="38">
        <v>38.135593220338997</v>
      </c>
      <c r="E145" s="38">
        <v>57.966101694915302</v>
      </c>
      <c r="F145" s="38">
        <v>1.1864406779661001</v>
      </c>
      <c r="G145" s="39">
        <f>((C145*0)+(D145*1)+(E145*2)+(F145*3))/100</f>
        <v>1.5762711864406791</v>
      </c>
      <c r="I145" s="37" t="s">
        <v>453</v>
      </c>
      <c r="J145" s="37" t="s">
        <v>145</v>
      </c>
      <c r="K145" s="38">
        <v>85.932203389830505</v>
      </c>
      <c r="L145" s="38">
        <v>13.728813559322001</v>
      </c>
      <c r="M145" s="38">
        <v>0.338983050847458</v>
      </c>
      <c r="N145" s="38">
        <v>0</v>
      </c>
      <c r="O145" s="39">
        <f>((K145*0)+(L145*1)+(M145*2)+(N145*3))/100</f>
        <v>0.14406779661016916</v>
      </c>
    </row>
    <row r="146" spans="1:15" ht="14.25">
      <c r="A146" s="37" t="s">
        <v>499</v>
      </c>
      <c r="B146" s="37" t="s">
        <v>146</v>
      </c>
      <c r="C146" s="38">
        <v>0.50897170462387897</v>
      </c>
      <c r="D146" s="38">
        <v>32.004830917874401</v>
      </c>
      <c r="E146" s="38">
        <v>65.018978605935104</v>
      </c>
      <c r="F146" s="38">
        <v>2.4672187715665999</v>
      </c>
      <c r="G146" s="39">
        <f>((C146*0)+(D146*1)+(E146*2)+(F146*3))/100</f>
        <v>1.6944444444444442</v>
      </c>
      <c r="I146" s="37" t="s">
        <v>499</v>
      </c>
      <c r="J146" s="37" t="s">
        <v>146</v>
      </c>
      <c r="K146" s="38">
        <v>51.889233954451299</v>
      </c>
      <c r="L146" s="38">
        <v>47.593167701863401</v>
      </c>
      <c r="M146" s="38">
        <v>0.50897170462387897</v>
      </c>
      <c r="N146" s="38">
        <v>8.62663906142167E-3</v>
      </c>
      <c r="O146" s="39">
        <f>((K146*0)+(L146*1)+(M146*2)+(N146*3))/100</f>
        <v>0.48636991028295418</v>
      </c>
    </row>
    <row r="147" spans="1:15" ht="14.25">
      <c r="A147" s="37" t="s">
        <v>645</v>
      </c>
      <c r="B147" s="37" t="s">
        <v>147</v>
      </c>
      <c r="C147" s="38">
        <v>1.1723329425556901</v>
      </c>
      <c r="D147" s="38">
        <v>3.1066822977725699</v>
      </c>
      <c r="E147" s="38">
        <v>82.063305978898001</v>
      </c>
      <c r="F147" s="38">
        <v>13.657678780773701</v>
      </c>
      <c r="G147" s="39">
        <f>((C147*0)+(D147*1)+(E147*2)+(F147*3))/100</f>
        <v>2.0820633059788971</v>
      </c>
      <c r="I147" s="37" t="s">
        <v>645</v>
      </c>
      <c r="J147" s="37" t="s">
        <v>147</v>
      </c>
      <c r="K147" s="38">
        <v>3.5169988276670598</v>
      </c>
      <c r="L147" s="38">
        <v>80.832356389214496</v>
      </c>
      <c r="M147" s="38">
        <v>15.592028135990599</v>
      </c>
      <c r="N147" s="38">
        <v>5.8616647127784298E-2</v>
      </c>
      <c r="O147" s="39">
        <f>((K147*0)+(L147*1)+(M147*2)+(N147*3))/100</f>
        <v>1.1219226260257904</v>
      </c>
    </row>
    <row r="148" spans="1:15" ht="14.25">
      <c r="A148" s="37" t="s">
        <v>709</v>
      </c>
      <c r="B148" s="37" t="s">
        <v>609</v>
      </c>
      <c r="C148" s="38">
        <v>4.3402777777777797E-2</v>
      </c>
      <c r="D148" s="38">
        <v>2.4739583333333299</v>
      </c>
      <c r="E148" s="38">
        <v>65.0607638888889</v>
      </c>
      <c r="F148" s="38">
        <v>32.421875</v>
      </c>
      <c r="G148" s="39">
        <f>((C148*0)+(D148*1)+(E148*2)+(F148*3))/100</f>
        <v>2.2986111111111116</v>
      </c>
      <c r="I148" s="37" t="s">
        <v>709</v>
      </c>
      <c r="J148" s="37" t="s">
        <v>609</v>
      </c>
      <c r="K148" s="38">
        <v>2.1267361111111098</v>
      </c>
      <c r="L148" s="38">
        <v>22.3524305555556</v>
      </c>
      <c r="M148" s="38">
        <v>69.3576388888889</v>
      </c>
      <c r="N148" s="38">
        <v>6.1631944444444402</v>
      </c>
      <c r="O148" s="39">
        <f>((K148*0)+(L148*1)+(M148*2)+(N148*3))/100</f>
        <v>1.7955729166666672</v>
      </c>
    </row>
    <row r="149" spans="1:15" ht="14.25">
      <c r="A149" s="37" t="s">
        <v>530</v>
      </c>
      <c r="B149" s="37" t="s">
        <v>149</v>
      </c>
      <c r="C149" s="38">
        <v>0.70505287896592295</v>
      </c>
      <c r="D149" s="38">
        <v>47.9827653740697</v>
      </c>
      <c r="E149" s="38">
        <v>49.510379945162597</v>
      </c>
      <c r="F149" s="38">
        <v>1.8018018018018001</v>
      </c>
      <c r="G149" s="39">
        <f>((C149*0)+(D149*1)+(E149*2)+(F149*3))/100</f>
        <v>1.524089306698003</v>
      </c>
      <c r="I149" s="37" t="s">
        <v>530</v>
      </c>
      <c r="J149" s="37" t="s">
        <v>149</v>
      </c>
      <c r="K149" s="38">
        <v>21.464943204073599</v>
      </c>
      <c r="L149" s="38">
        <v>73.325499412455898</v>
      </c>
      <c r="M149" s="38">
        <v>5.1703877790834296</v>
      </c>
      <c r="N149" s="38">
        <v>3.9169604386995703E-2</v>
      </c>
      <c r="O149" s="39">
        <f>((K149*0)+(L149*1)+(M149*2)+(N149*3))/100</f>
        <v>0.83783783783783727</v>
      </c>
    </row>
    <row r="150" spans="1:15" ht="14.25">
      <c r="A150" s="37" t="s">
        <v>710</v>
      </c>
      <c r="B150" s="37" t="s">
        <v>150</v>
      </c>
      <c r="C150" s="38">
        <v>0</v>
      </c>
      <c r="D150" s="38">
        <v>5.6530214424951302</v>
      </c>
      <c r="E150" s="38">
        <v>84.600389863547704</v>
      </c>
      <c r="F150" s="38">
        <v>9.7465886939571096</v>
      </c>
      <c r="G150" s="39">
        <f>((C150*0)+(D150*1)+(E150*2)+(F150*3))/100</f>
        <v>2.0409356725146184</v>
      </c>
      <c r="I150" s="37" t="s">
        <v>710</v>
      </c>
      <c r="J150" s="37" t="s">
        <v>150</v>
      </c>
      <c r="K150" s="38">
        <v>1.8518518518518501</v>
      </c>
      <c r="L150" s="38">
        <v>16.569200779727101</v>
      </c>
      <c r="M150" s="38">
        <v>80.409356725146196</v>
      </c>
      <c r="N150" s="38">
        <v>1.16959064327485</v>
      </c>
      <c r="O150" s="39">
        <f>((K150*0)+(L150*1)+(M150*2)+(N150*3))/100</f>
        <v>1.8089668615984404</v>
      </c>
    </row>
    <row r="151" spans="1:15" ht="14.25">
      <c r="A151" s="37" t="s">
        <v>478</v>
      </c>
      <c r="B151" s="37" t="s">
        <v>151</v>
      </c>
      <c r="C151" s="38">
        <v>1.2642225031605601</v>
      </c>
      <c r="D151" s="38">
        <v>80.436156763590404</v>
      </c>
      <c r="E151" s="38">
        <v>18.2996207332491</v>
      </c>
      <c r="F151" s="38">
        <v>0</v>
      </c>
      <c r="G151" s="39">
        <f>((C151*0)+(D151*1)+(E151*2)+(F151*3))/100</f>
        <v>1.1703539823008859</v>
      </c>
      <c r="I151" s="37" t="s">
        <v>478</v>
      </c>
      <c r="J151" s="37" t="s">
        <v>151</v>
      </c>
      <c r="K151" s="38">
        <v>78.508217446270507</v>
      </c>
      <c r="L151" s="38">
        <v>21.2389380530973</v>
      </c>
      <c r="M151" s="38">
        <v>0.252844500632111</v>
      </c>
      <c r="N151" s="38">
        <v>0</v>
      </c>
      <c r="O151" s="39">
        <f>((K151*0)+(L151*1)+(M151*2)+(N151*3))/100</f>
        <v>0.21744627054361523</v>
      </c>
    </row>
    <row r="152" spans="1:15" ht="14.25">
      <c r="A152" s="37" t="s">
        <v>389</v>
      </c>
      <c r="B152" s="37" t="s">
        <v>152</v>
      </c>
      <c r="C152" s="38">
        <v>0.60408921933085502</v>
      </c>
      <c r="D152" s="38">
        <v>99.302973977695203</v>
      </c>
      <c r="E152" s="38">
        <v>9.2936802973977703E-2</v>
      </c>
      <c r="F152" s="38">
        <v>0</v>
      </c>
      <c r="G152" s="39">
        <f>((C152*0)+(D152*1)+(E152*2)+(F152*3))/100</f>
        <v>0.99488847583643159</v>
      </c>
      <c r="I152" s="37" t="s">
        <v>389</v>
      </c>
      <c r="J152" s="37" t="s">
        <v>152</v>
      </c>
      <c r="K152" s="38">
        <v>97.304832713754607</v>
      </c>
      <c r="L152" s="38">
        <v>2.6951672862453502</v>
      </c>
      <c r="M152" s="38">
        <v>0</v>
      </c>
      <c r="N152" s="38">
        <v>0</v>
      </c>
      <c r="O152" s="39">
        <f>((K152*0)+(L152*1)+(M152*2)+(N152*3))/100</f>
        <v>2.69516728624535E-2</v>
      </c>
    </row>
    <row r="153" spans="1:15" ht="14.25">
      <c r="A153" s="37" t="s">
        <v>536</v>
      </c>
      <c r="B153" s="37" t="s">
        <v>153</v>
      </c>
      <c r="C153" s="38">
        <v>7.07112970711297</v>
      </c>
      <c r="D153" s="38">
        <v>92.887029288702905</v>
      </c>
      <c r="E153" s="38">
        <v>4.1841004184100403E-2</v>
      </c>
      <c r="F153" s="38">
        <v>0</v>
      </c>
      <c r="G153" s="39">
        <f>((C153*0)+(D153*1)+(E153*2)+(F153*3))/100</f>
        <v>0.92970711297071107</v>
      </c>
      <c r="I153" s="37" t="s">
        <v>536</v>
      </c>
      <c r="J153" s="37" t="s">
        <v>153</v>
      </c>
      <c r="K153" s="38">
        <v>13.4309623430962</v>
      </c>
      <c r="L153" s="38">
        <v>86.569037656903802</v>
      </c>
      <c r="M153" s="38">
        <v>0</v>
      </c>
      <c r="N153" s="38">
        <v>0</v>
      </c>
      <c r="O153" s="39">
        <f>((K153*0)+(L153*1)+(M153*2)+(N153*3))/100</f>
        <v>0.86569037656903802</v>
      </c>
    </row>
    <row r="154" spans="1:15" ht="14.25">
      <c r="A154" s="37" t="s">
        <v>496</v>
      </c>
      <c r="B154" s="37" t="s">
        <v>154</v>
      </c>
      <c r="C154" s="38">
        <v>0</v>
      </c>
      <c r="D154" s="38">
        <v>6.4315352697095403</v>
      </c>
      <c r="E154" s="38">
        <v>82.088520055325006</v>
      </c>
      <c r="F154" s="38">
        <v>11.479944674965401</v>
      </c>
      <c r="G154" s="39">
        <f>((C154*0)+(D154*1)+(E154*2)+(F154*3))/100</f>
        <v>2.0504840940525577</v>
      </c>
      <c r="I154" s="37" t="s">
        <v>496</v>
      </c>
      <c r="J154" s="37" t="s">
        <v>154</v>
      </c>
      <c r="K154" s="38">
        <v>60.096818810511799</v>
      </c>
      <c r="L154" s="38">
        <v>34.647302904564299</v>
      </c>
      <c r="M154" s="38">
        <v>4.2185338865836801</v>
      </c>
      <c r="N154" s="38">
        <v>1.0373443983402499</v>
      </c>
      <c r="O154" s="39">
        <f>((K154*0)+(L154*1)+(M154*2)+(N154*3))/100</f>
        <v>0.46196403872752406</v>
      </c>
    </row>
    <row r="155" spans="1:15" ht="14.25">
      <c r="A155" s="37" t="s">
        <v>483</v>
      </c>
      <c r="B155" s="37" t="s">
        <v>155</v>
      </c>
      <c r="C155" s="38">
        <v>0</v>
      </c>
      <c r="D155" s="38">
        <v>0.59701492537313405</v>
      </c>
      <c r="E155" s="38">
        <v>75.671641791044806</v>
      </c>
      <c r="F155" s="38">
        <v>23.731343283582099</v>
      </c>
      <c r="G155" s="39">
        <f>((C155*0)+(D155*1)+(E155*2)+(F155*3))/100</f>
        <v>2.2313432835820906</v>
      </c>
      <c r="I155" s="37" t="s">
        <v>483</v>
      </c>
      <c r="J155" s="37" t="s">
        <v>155</v>
      </c>
      <c r="K155" s="38">
        <v>72.238805970149301</v>
      </c>
      <c r="L155" s="38">
        <v>25.671641791044799</v>
      </c>
      <c r="M155" s="38">
        <v>2.08955223880597</v>
      </c>
      <c r="N155" s="38">
        <v>0</v>
      </c>
      <c r="O155" s="39">
        <f>((K155*0)+(L155*1)+(M155*2)+(N155*3))/100</f>
        <v>0.29850746268656736</v>
      </c>
    </row>
    <row r="156" spans="1:15" ht="14.25">
      <c r="A156" s="37" t="s">
        <v>639</v>
      </c>
      <c r="B156" s="37" t="s">
        <v>156</v>
      </c>
      <c r="C156" s="38">
        <v>0</v>
      </c>
      <c r="D156" s="38">
        <v>1.05042016806723</v>
      </c>
      <c r="E156" s="38">
        <v>86.974789915966397</v>
      </c>
      <c r="F156" s="38">
        <v>11.974789915966401</v>
      </c>
      <c r="G156" s="39">
        <f>((C156*0)+(D156*1)+(E156*2)+(F156*3))/100</f>
        <v>2.1092436974789921</v>
      </c>
      <c r="I156" s="37" t="s">
        <v>639</v>
      </c>
      <c r="J156" s="37" t="s">
        <v>156</v>
      </c>
      <c r="K156" s="38">
        <v>6.5126050420168102</v>
      </c>
      <c r="L156" s="38">
        <v>79.621848739495803</v>
      </c>
      <c r="M156" s="38">
        <v>13.865546218487401</v>
      </c>
      <c r="N156" s="38">
        <v>0</v>
      </c>
      <c r="O156" s="39">
        <f>((K156*0)+(L156*1)+(M156*2)+(N156*3))/100</f>
        <v>1.0735294117647061</v>
      </c>
    </row>
    <row r="157" spans="1:15" ht="14.25">
      <c r="A157" s="37" t="s">
        <v>763</v>
      </c>
      <c r="B157" s="37" t="s">
        <v>157</v>
      </c>
      <c r="C157" s="38">
        <v>0</v>
      </c>
      <c r="D157" s="38">
        <v>1.40405616224649</v>
      </c>
      <c r="E157" s="38">
        <v>64.898595943837805</v>
      </c>
      <c r="F157" s="38">
        <v>33.697347893915797</v>
      </c>
      <c r="G157" s="39">
        <f>((C157*0)+(D157*1)+(E157*2)+(F157*3))/100</f>
        <v>2.3229329173166948</v>
      </c>
      <c r="I157" s="37" t="s">
        <v>763</v>
      </c>
      <c r="J157" s="37" t="s">
        <v>157</v>
      </c>
      <c r="K157" s="38">
        <v>6.8642745709828397</v>
      </c>
      <c r="L157" s="38">
        <v>1.7160686427457099</v>
      </c>
      <c r="M157" s="38">
        <v>59.906396255850197</v>
      </c>
      <c r="N157" s="38">
        <v>31.513260530421199</v>
      </c>
      <c r="O157" s="39">
        <f>((K157*0)+(L157*1)+(M157*2)+(N157*3))/100</f>
        <v>2.1606864274570969</v>
      </c>
    </row>
    <row r="158" spans="1:15" ht="14.25">
      <c r="A158" s="37" t="s">
        <v>447</v>
      </c>
      <c r="B158" s="37" t="s">
        <v>158</v>
      </c>
      <c r="C158" s="38">
        <v>0</v>
      </c>
      <c r="D158" s="38">
        <v>95.495495495495504</v>
      </c>
      <c r="E158" s="38">
        <v>4.5045045045045002</v>
      </c>
      <c r="F158" s="38">
        <v>0</v>
      </c>
      <c r="G158" s="39">
        <f>((C158*0)+(D158*1)+(E158*2)+(F158*3))/100</f>
        <v>1.045045045045045</v>
      </c>
      <c r="I158" s="37" t="s">
        <v>447</v>
      </c>
      <c r="J158" s="37" t="s">
        <v>158</v>
      </c>
      <c r="K158" s="38">
        <v>90.990990990990994</v>
      </c>
      <c r="L158" s="38">
        <v>5.4054054054054097</v>
      </c>
      <c r="M158" s="38">
        <v>3.6036036036036001</v>
      </c>
      <c r="N158" s="38">
        <v>0</v>
      </c>
      <c r="O158" s="39">
        <f>((K158*0)+(L158*1)+(M158*2)+(N158*3))/100</f>
        <v>0.12612612612612609</v>
      </c>
    </row>
    <row r="159" spans="1:15" ht="14.25">
      <c r="A159" s="37" t="s">
        <v>533</v>
      </c>
      <c r="B159" s="37" t="s">
        <v>159</v>
      </c>
      <c r="C159" s="38">
        <v>0</v>
      </c>
      <c r="D159" s="38">
        <v>16.2790697674419</v>
      </c>
      <c r="E159" s="38">
        <v>83.720930232558104</v>
      </c>
      <c r="F159" s="38">
        <v>0</v>
      </c>
      <c r="G159" s="39">
        <f>((C159*0)+(D159*1)+(E159*2)+(F159*3))/100</f>
        <v>1.8372093023255811</v>
      </c>
      <c r="I159" s="37" t="s">
        <v>533</v>
      </c>
      <c r="J159" s="37" t="s">
        <v>159</v>
      </c>
      <c r="K159" s="38">
        <v>15.503875968992199</v>
      </c>
      <c r="L159" s="38">
        <v>83.720930232558104</v>
      </c>
      <c r="M159" s="38">
        <v>0.775193798449612</v>
      </c>
      <c r="N159" s="38">
        <v>0</v>
      </c>
      <c r="O159" s="39">
        <f>((K159*0)+(L159*1)+(M159*2)+(N159*3))/100</f>
        <v>0.85271317829457327</v>
      </c>
    </row>
    <row r="160" spans="1:15" ht="14.25">
      <c r="A160" s="37" t="s">
        <v>419</v>
      </c>
      <c r="B160" s="37" t="s">
        <v>160</v>
      </c>
      <c r="C160" s="38">
        <v>17.7514792899408</v>
      </c>
      <c r="D160" s="38">
        <v>78.106508875739607</v>
      </c>
      <c r="E160" s="38">
        <v>4.14201183431953</v>
      </c>
      <c r="F160" s="38">
        <v>0</v>
      </c>
      <c r="G160" s="39">
        <f>((C160*0)+(D160*1)+(E160*2)+(F160*3))/100</f>
        <v>0.86390532544378673</v>
      </c>
      <c r="I160" s="37" t="s">
        <v>419</v>
      </c>
      <c r="J160" s="37" t="s">
        <v>160</v>
      </c>
      <c r="K160" s="38">
        <v>95.266272189349095</v>
      </c>
      <c r="L160" s="38">
        <v>2.9585798816567999</v>
      </c>
      <c r="M160" s="38">
        <v>1.7751479289940799</v>
      </c>
      <c r="N160" s="38">
        <v>0</v>
      </c>
      <c r="O160" s="39">
        <f>((K160*0)+(L160*1)+(M160*2)+(N160*3))/100</f>
        <v>6.5088757396449606E-2</v>
      </c>
    </row>
    <row r="161" spans="1:15" ht="14.25">
      <c r="A161" s="37" t="s">
        <v>574</v>
      </c>
      <c r="B161" s="37" t="s">
        <v>161</v>
      </c>
      <c r="C161" s="38">
        <v>0</v>
      </c>
      <c r="D161" s="38">
        <v>22.580645161290299</v>
      </c>
      <c r="E161" s="38">
        <v>77.419354838709694</v>
      </c>
      <c r="F161" s="38">
        <v>0</v>
      </c>
      <c r="G161" s="39">
        <f>((C161*0)+(D161*1)+(E161*2)+(F161*3))/100</f>
        <v>1.774193548387097</v>
      </c>
      <c r="I161" s="37" t="s">
        <v>574</v>
      </c>
      <c r="J161" s="37" t="s">
        <v>161</v>
      </c>
      <c r="K161" s="38">
        <v>12.9032258064516</v>
      </c>
      <c r="L161" s="38">
        <v>77.419354838709694</v>
      </c>
      <c r="M161" s="38">
        <v>9.67741935483871</v>
      </c>
      <c r="N161" s="38">
        <v>0</v>
      </c>
      <c r="O161" s="39">
        <f>((K161*0)+(L161*1)+(M161*2)+(N161*3))/100</f>
        <v>0.96774193548387122</v>
      </c>
    </row>
    <row r="162" spans="1:15" ht="14.25">
      <c r="A162" s="37" t="s">
        <v>684</v>
      </c>
      <c r="B162" s="37" t="s">
        <v>685</v>
      </c>
      <c r="C162" s="38">
        <v>0</v>
      </c>
      <c r="D162" s="38">
        <v>19.354838709677399</v>
      </c>
      <c r="E162" s="38">
        <v>78.494623655913998</v>
      </c>
      <c r="F162" s="38">
        <v>2.1505376344085998</v>
      </c>
      <c r="G162" s="39">
        <f>((C162*0)+(D162*1)+(E162*2)+(F162*3))/100</f>
        <v>1.827956989247312</v>
      </c>
      <c r="I162" s="37" t="s">
        <v>684</v>
      </c>
      <c r="J162" s="37" t="s">
        <v>685</v>
      </c>
      <c r="K162" s="38">
        <v>3.2258064516128999</v>
      </c>
      <c r="L162" s="38">
        <v>36.559139784946197</v>
      </c>
      <c r="M162" s="38">
        <v>60.215053763440899</v>
      </c>
      <c r="N162" s="38">
        <v>0</v>
      </c>
      <c r="O162" s="39">
        <f>((K162*0)+(L162*1)+(M162*2)+(N162*3))/100</f>
        <v>1.56989247311828</v>
      </c>
    </row>
    <row r="163" spans="1:15" ht="14.25">
      <c r="A163" s="37" t="s">
        <v>538</v>
      </c>
      <c r="B163" s="37" t="s">
        <v>539</v>
      </c>
      <c r="C163" s="38">
        <v>0.66050198150594497</v>
      </c>
      <c r="D163" s="38">
        <v>5.9445178335535003</v>
      </c>
      <c r="E163" s="38">
        <v>91.941875825627505</v>
      </c>
      <c r="F163" s="38">
        <v>1.4531043593130799</v>
      </c>
      <c r="G163" s="39">
        <f>((C163*0)+(D163*1)+(E163*2)+(F163*3))/100</f>
        <v>1.9418758256274777</v>
      </c>
      <c r="I163" s="37" t="s">
        <v>538</v>
      </c>
      <c r="J163" s="37" t="s">
        <v>539</v>
      </c>
      <c r="K163" s="38">
        <v>20.211360634081899</v>
      </c>
      <c r="L163" s="38">
        <v>72.655217965653904</v>
      </c>
      <c r="M163" s="38">
        <v>6.8692206076618199</v>
      </c>
      <c r="N163" s="38">
        <v>0.264200792602378</v>
      </c>
      <c r="O163" s="39">
        <f>((K163*0)+(L163*1)+(M163*2)+(N163*3))/100</f>
        <v>0.87186261558784683</v>
      </c>
    </row>
    <row r="164" spans="1:15" ht="14.25">
      <c r="A164" s="37" t="s">
        <v>698</v>
      </c>
      <c r="B164" s="37" t="s">
        <v>164</v>
      </c>
      <c r="C164" s="38">
        <v>0.57279236276849599</v>
      </c>
      <c r="D164" s="38">
        <v>2.4343675417661101</v>
      </c>
      <c r="E164" s="38">
        <v>70.071599045346105</v>
      </c>
      <c r="F164" s="38">
        <v>26.921241050119299</v>
      </c>
      <c r="G164" s="39">
        <f>((C164*0)+(D164*1)+(E164*2)+(F164*3))/100</f>
        <v>2.2334128878281621</v>
      </c>
      <c r="I164" s="37" t="s">
        <v>698</v>
      </c>
      <c r="J164" s="37" t="s">
        <v>164</v>
      </c>
      <c r="K164" s="38">
        <v>3.0548926014319799</v>
      </c>
      <c r="L164" s="38">
        <v>33.174224343675398</v>
      </c>
      <c r="M164" s="38">
        <v>53.603818615751798</v>
      </c>
      <c r="N164" s="38">
        <v>10.1670644391408</v>
      </c>
      <c r="O164" s="39">
        <f>((K164*0)+(L164*1)+(M164*2)+(N164*3))/100</f>
        <v>1.7088305489260138</v>
      </c>
    </row>
    <row r="165" spans="1:15" ht="14.25">
      <c r="A165" s="37" t="s">
        <v>431</v>
      </c>
      <c r="B165" s="37" t="s">
        <v>165</v>
      </c>
      <c r="C165" s="38">
        <v>4.5563549160671499</v>
      </c>
      <c r="D165" s="38">
        <v>81.534772182254201</v>
      </c>
      <c r="E165" s="38">
        <v>13.069544364508401</v>
      </c>
      <c r="F165" s="38">
        <v>0.83932853717026401</v>
      </c>
      <c r="G165" s="39">
        <f>((C165*0)+(D165*1)+(E165*2)+(F165*3))/100</f>
        <v>1.101918465227818</v>
      </c>
      <c r="I165" s="37" t="s">
        <v>431</v>
      </c>
      <c r="J165" s="37" t="s">
        <v>165</v>
      </c>
      <c r="K165" s="38">
        <v>95.443645083932907</v>
      </c>
      <c r="L165" s="38">
        <v>1.07913669064748</v>
      </c>
      <c r="M165" s="38">
        <v>3.47721822541966</v>
      </c>
      <c r="N165" s="38">
        <v>0</v>
      </c>
      <c r="O165" s="39">
        <f>((K165*0)+(L165*1)+(M165*2)+(N165*3))/100</f>
        <v>8.0335731414867995E-2</v>
      </c>
    </row>
    <row r="166" spans="1:15" ht="14.25">
      <c r="A166" s="37" t="s">
        <v>443</v>
      </c>
      <c r="B166" s="37" t="s">
        <v>166</v>
      </c>
      <c r="C166" s="38">
        <v>9.5070422535211296</v>
      </c>
      <c r="D166" s="38">
        <v>82.746478873239397</v>
      </c>
      <c r="E166" s="38">
        <v>7.7464788732394396</v>
      </c>
      <c r="F166" s="38">
        <v>0</v>
      </c>
      <c r="G166" s="39">
        <f>((C166*0)+(D166*1)+(E166*2)+(F166*3))/100</f>
        <v>0.98239436619718279</v>
      </c>
      <c r="I166" s="37" t="s">
        <v>443</v>
      </c>
      <c r="J166" s="37" t="s">
        <v>166</v>
      </c>
      <c r="K166" s="38">
        <v>91.901408450704196</v>
      </c>
      <c r="L166" s="38">
        <v>5.28169014084507</v>
      </c>
      <c r="M166" s="38">
        <v>2.8169014084507</v>
      </c>
      <c r="N166" s="38">
        <v>0</v>
      </c>
      <c r="O166" s="39">
        <f>((K166*0)+(L166*1)+(M166*2)+(N166*3))/100</f>
        <v>0.1091549295774647</v>
      </c>
    </row>
    <row r="167" spans="1:15" ht="14.25">
      <c r="A167" s="37" t="s">
        <v>529</v>
      </c>
      <c r="B167" s="37" t="s">
        <v>167</v>
      </c>
      <c r="C167" s="38">
        <v>0</v>
      </c>
      <c r="D167" s="38">
        <v>32.607003891050603</v>
      </c>
      <c r="E167" s="38">
        <v>67.392996108949404</v>
      </c>
      <c r="F167" s="38">
        <v>0</v>
      </c>
      <c r="G167" s="39">
        <f>((C167*0)+(D167*1)+(E167*2)+(F167*3))/100</f>
        <v>1.673929961089494</v>
      </c>
      <c r="I167" s="37" t="s">
        <v>529</v>
      </c>
      <c r="J167" s="37" t="s">
        <v>167</v>
      </c>
      <c r="K167" s="38">
        <v>17.8988326848249</v>
      </c>
      <c r="L167" s="38">
        <v>80.778210116731501</v>
      </c>
      <c r="M167" s="38">
        <v>1.32295719844358</v>
      </c>
      <c r="N167" s="38">
        <v>0</v>
      </c>
      <c r="O167" s="39">
        <f>((K167*0)+(L167*1)+(M167*2)+(N167*3))/100</f>
        <v>0.83424124513618669</v>
      </c>
    </row>
    <row r="168" spans="1:15" ht="14.25">
      <c r="A168" s="37" t="s">
        <v>732</v>
      </c>
      <c r="B168" s="37" t="s">
        <v>168</v>
      </c>
      <c r="C168" s="38">
        <v>0.17969451931716099</v>
      </c>
      <c r="D168" s="38">
        <v>28.930817610062899</v>
      </c>
      <c r="E168" s="38">
        <v>70.889487870619902</v>
      </c>
      <c r="F168" s="38">
        <v>0</v>
      </c>
      <c r="G168" s="39">
        <f>((C168*0)+(D168*1)+(E168*2)+(F168*3))/100</f>
        <v>1.707097933513027</v>
      </c>
      <c r="I168" s="37" t="s">
        <v>732</v>
      </c>
      <c r="J168" s="37" t="s">
        <v>168</v>
      </c>
      <c r="K168" s="38">
        <v>2.5157232704402501</v>
      </c>
      <c r="L168" s="38">
        <v>4.4923629829290199</v>
      </c>
      <c r="M168" s="38">
        <v>92.991913746630701</v>
      </c>
      <c r="N168" s="38">
        <v>0</v>
      </c>
      <c r="O168" s="39">
        <f>((K168*0)+(L168*1)+(M168*2)+(N168*3))/100</f>
        <v>1.9047619047619042</v>
      </c>
    </row>
    <row r="169" spans="1:15" ht="14.25">
      <c r="A169" s="37" t="s">
        <v>524</v>
      </c>
      <c r="B169" s="37" t="s">
        <v>525</v>
      </c>
      <c r="C169" s="38">
        <v>2.0899303356554801</v>
      </c>
      <c r="D169" s="38">
        <v>49.461684610512997</v>
      </c>
      <c r="E169" s="38">
        <v>48.448385053831501</v>
      </c>
      <c r="F169" s="38">
        <v>0</v>
      </c>
      <c r="G169" s="39">
        <f>((C169*0)+(D169*1)+(E169*2)+(F169*3))/100</f>
        <v>1.4635845471817601</v>
      </c>
      <c r="I169" s="37" t="s">
        <v>524</v>
      </c>
      <c r="J169" s="37" t="s">
        <v>525</v>
      </c>
      <c r="K169" s="38">
        <v>19.632678910703</v>
      </c>
      <c r="L169" s="38">
        <v>79.544015199493302</v>
      </c>
      <c r="M169" s="38">
        <v>0.82330588980367303</v>
      </c>
      <c r="N169" s="38">
        <v>0</v>
      </c>
      <c r="O169" s="39">
        <f>((K169*0)+(L169*1)+(M169*2)+(N169*3))/100</f>
        <v>0.81190626979100644</v>
      </c>
    </row>
    <row r="170" spans="1:15" ht="14.25">
      <c r="A170" s="37" t="s">
        <v>430</v>
      </c>
      <c r="B170" s="37" t="s">
        <v>170</v>
      </c>
      <c r="C170" s="38">
        <v>4.0998217468805702</v>
      </c>
      <c r="D170" s="38">
        <v>84.313725490196106</v>
      </c>
      <c r="E170" s="38">
        <v>11.4795008912656</v>
      </c>
      <c r="F170" s="38">
        <v>0.10695187165775399</v>
      </c>
      <c r="G170" s="39">
        <f>((C170*0)+(D170*1)+(E170*2)+(F170*3))/100</f>
        <v>1.0759358288770058</v>
      </c>
      <c r="I170" s="37" t="s">
        <v>430</v>
      </c>
      <c r="J170" s="37" t="s">
        <v>170</v>
      </c>
      <c r="K170" s="38">
        <v>94.688057040998203</v>
      </c>
      <c r="L170" s="38">
        <v>3.1016042780748698</v>
      </c>
      <c r="M170" s="38">
        <v>2.1390374331550799</v>
      </c>
      <c r="N170" s="38">
        <v>7.1301247771835996E-2</v>
      </c>
      <c r="O170" s="39">
        <f>((K170*0)+(L170*1)+(M170*2)+(N170*3))/100</f>
        <v>7.5935828877005382E-2</v>
      </c>
    </row>
    <row r="171" spans="1:15" ht="14.25">
      <c r="A171" s="37" t="s">
        <v>727</v>
      </c>
      <c r="B171" s="37" t="s">
        <v>728</v>
      </c>
      <c r="C171" s="38">
        <v>3.3300685602350599</v>
      </c>
      <c r="D171" s="38">
        <v>27.032321253672901</v>
      </c>
      <c r="E171" s="38">
        <v>69.441723800195902</v>
      </c>
      <c r="F171" s="38">
        <v>0.19588638589617999</v>
      </c>
      <c r="G171" s="39">
        <f>((C171*0)+(D171*1)+(E171*2)+(F171*3))/100</f>
        <v>1.6650342801175324</v>
      </c>
      <c r="I171" s="37" t="s">
        <v>727</v>
      </c>
      <c r="J171" s="37" t="s">
        <v>728</v>
      </c>
      <c r="K171" s="38">
        <v>0.48971596474045098</v>
      </c>
      <c r="L171" s="38">
        <v>9.6963761018609205</v>
      </c>
      <c r="M171" s="38">
        <v>89.813907933398596</v>
      </c>
      <c r="N171" s="38">
        <v>0</v>
      </c>
      <c r="O171" s="39">
        <f>((K171*0)+(L171*1)+(M171*2)+(N171*3))/100</f>
        <v>1.8932419196865811</v>
      </c>
    </row>
    <row r="172" spans="1:15" ht="14.25">
      <c r="A172" s="37" t="s">
        <v>417</v>
      </c>
      <c r="B172" s="37" t="s">
        <v>172</v>
      </c>
      <c r="C172" s="38">
        <v>8.8054006457293804E-2</v>
      </c>
      <c r="D172" s="38">
        <v>35.016143234517202</v>
      </c>
      <c r="E172" s="38">
        <v>64.8958027590255</v>
      </c>
      <c r="F172" s="38">
        <v>0</v>
      </c>
      <c r="G172" s="39">
        <f>((C172*0)+(D172*1)+(E172*2)+(F172*3))/100</f>
        <v>1.6480774875256821</v>
      </c>
      <c r="I172" s="37" t="s">
        <v>417</v>
      </c>
      <c r="J172" s="37" t="s">
        <v>172</v>
      </c>
      <c r="K172" s="38">
        <v>95.333137657763402</v>
      </c>
      <c r="L172" s="38">
        <v>3.7569709421778699</v>
      </c>
      <c r="M172" s="38">
        <v>0.90989140005870295</v>
      </c>
      <c r="N172" s="38">
        <v>0</v>
      </c>
      <c r="O172" s="39">
        <f>((K172*0)+(L172*1)+(M172*2)+(N172*3))/100</f>
        <v>5.5767537422952762E-2</v>
      </c>
    </row>
    <row r="173" spans="1:15" ht="14.25">
      <c r="A173" s="37" t="s">
        <v>563</v>
      </c>
      <c r="B173" s="37" t="s">
        <v>564</v>
      </c>
      <c r="C173" s="38">
        <v>0.60913705583756295</v>
      </c>
      <c r="D173" s="38">
        <v>22.842639593908601</v>
      </c>
      <c r="E173" s="38">
        <v>76.548223350253807</v>
      </c>
      <c r="F173" s="38">
        <v>0</v>
      </c>
      <c r="G173" s="39">
        <f>((C173*0)+(D173*1)+(E173*2)+(F173*3))/100</f>
        <v>1.7593908629441619</v>
      </c>
      <c r="I173" s="37" t="s">
        <v>563</v>
      </c>
      <c r="J173" s="37" t="s">
        <v>564</v>
      </c>
      <c r="K173" s="38">
        <v>7.4111675126903602</v>
      </c>
      <c r="L173" s="38">
        <v>90.659898477157398</v>
      </c>
      <c r="M173" s="38">
        <v>1.9289340101522801</v>
      </c>
      <c r="N173" s="38">
        <v>0</v>
      </c>
      <c r="O173" s="39">
        <f>((K173*0)+(L173*1)+(M173*2)+(N173*3))/100</f>
        <v>0.94517766497461964</v>
      </c>
    </row>
    <row r="174" spans="1:15" ht="14.25">
      <c r="A174" s="37" t="s">
        <v>518</v>
      </c>
      <c r="B174" s="37" t="s">
        <v>174</v>
      </c>
      <c r="C174" s="38">
        <v>5.67233900567234</v>
      </c>
      <c r="D174" s="38">
        <v>85.151818485151793</v>
      </c>
      <c r="E174" s="38">
        <v>9.1758425091758404</v>
      </c>
      <c r="F174" s="38">
        <v>0</v>
      </c>
      <c r="G174" s="39">
        <f>((C174*0)+(D174*1)+(E174*2)+(F174*3))/100</f>
        <v>1.0350350350350348</v>
      </c>
      <c r="I174" s="37" t="s">
        <v>518</v>
      </c>
      <c r="J174" s="37" t="s">
        <v>174</v>
      </c>
      <c r="K174" s="38">
        <v>25.5588922255589</v>
      </c>
      <c r="L174" s="38">
        <v>72.639305972639306</v>
      </c>
      <c r="M174" s="38">
        <v>1.8018018018018001</v>
      </c>
      <c r="N174" s="38">
        <v>0</v>
      </c>
      <c r="O174" s="39">
        <f>((K174*0)+(L174*1)+(M174*2)+(N174*3))/100</f>
        <v>0.76242909576242912</v>
      </c>
    </row>
    <row r="175" spans="1:15" ht="14.25">
      <c r="A175" s="37" t="s">
        <v>711</v>
      </c>
      <c r="B175" s="37" t="s">
        <v>175</v>
      </c>
      <c r="C175" s="38">
        <v>0.18595041322313999</v>
      </c>
      <c r="D175" s="38">
        <v>35.723140495867803</v>
      </c>
      <c r="E175" s="38">
        <v>64.090909090909093</v>
      </c>
      <c r="F175" s="38">
        <v>0</v>
      </c>
      <c r="G175" s="39">
        <f>((C175*0)+(D175*1)+(E175*2)+(F175*3))/100</f>
        <v>1.6390495867768597</v>
      </c>
      <c r="I175" s="37" t="s">
        <v>711</v>
      </c>
      <c r="J175" s="37" t="s">
        <v>175</v>
      </c>
      <c r="K175" s="38">
        <v>0.80578512396694202</v>
      </c>
      <c r="L175" s="38">
        <v>16.198347107438</v>
      </c>
      <c r="M175" s="38">
        <v>82.995867768595005</v>
      </c>
      <c r="N175" s="38">
        <v>0</v>
      </c>
      <c r="O175" s="39">
        <f>((K175*0)+(L175*1)+(M175*2)+(N175*3))/100</f>
        <v>1.8219008264462802</v>
      </c>
    </row>
    <row r="176" spans="1:15" ht="14.25">
      <c r="A176" s="37" t="s">
        <v>516</v>
      </c>
      <c r="B176" s="37" t="s">
        <v>176</v>
      </c>
      <c r="C176" s="38">
        <v>0</v>
      </c>
      <c r="D176" s="38">
        <v>43.75</v>
      </c>
      <c r="E176" s="38">
        <v>56.25</v>
      </c>
      <c r="F176" s="38">
        <v>0</v>
      </c>
      <c r="G176" s="39">
        <f>((C176*0)+(D176*1)+(E176*2)+(F176*3))/100</f>
        <v>1.5625</v>
      </c>
      <c r="I176" s="37" t="s">
        <v>516</v>
      </c>
      <c r="J176" s="37" t="s">
        <v>176</v>
      </c>
      <c r="K176" s="38">
        <v>34.375</v>
      </c>
      <c r="L176" s="38">
        <v>56.25</v>
      </c>
      <c r="M176" s="38">
        <v>9.375</v>
      </c>
      <c r="N176" s="38">
        <v>0</v>
      </c>
      <c r="O176" s="39">
        <f>((K176*0)+(L176*1)+(M176*2)+(N176*3))/100</f>
        <v>0.75</v>
      </c>
    </row>
    <row r="177" spans="1:15" ht="14.25">
      <c r="A177" s="37" t="s">
        <v>588</v>
      </c>
      <c r="B177" s="37" t="s">
        <v>177</v>
      </c>
      <c r="C177" s="38">
        <v>0</v>
      </c>
      <c r="D177" s="38">
        <v>79.152189020152903</v>
      </c>
      <c r="E177" s="38">
        <v>20.8478109798471</v>
      </c>
      <c r="F177" s="38">
        <v>0</v>
      </c>
      <c r="G177" s="39">
        <f>((C177*0)+(D177*1)+(E177*2)+(F177*3))/100</f>
        <v>1.2084781097984711</v>
      </c>
      <c r="I177" s="37" t="s">
        <v>588</v>
      </c>
      <c r="J177" s="37" t="s">
        <v>177</v>
      </c>
      <c r="K177" s="38">
        <v>4.3780403057678896</v>
      </c>
      <c r="L177" s="38">
        <v>92.216817234190401</v>
      </c>
      <c r="M177" s="38">
        <v>3.4051424600417</v>
      </c>
      <c r="N177" s="38">
        <v>0</v>
      </c>
      <c r="O177" s="39">
        <f>((K177*0)+(L177*1)+(M177*2)+(N177*3))/100</f>
        <v>0.99027102154273805</v>
      </c>
    </row>
    <row r="178" spans="1:15" ht="14.25">
      <c r="A178" s="37" t="s">
        <v>731</v>
      </c>
      <c r="B178" s="37" t="s">
        <v>178</v>
      </c>
      <c r="C178" s="38">
        <v>0</v>
      </c>
      <c r="D178" s="38">
        <v>74.529914529914507</v>
      </c>
      <c r="E178" s="38">
        <v>25.4700854700855</v>
      </c>
      <c r="F178" s="38">
        <v>0</v>
      </c>
      <c r="G178" s="39">
        <f>((C178*0)+(D178*1)+(E178*2)+(F178*3))/100</f>
        <v>1.2547008547008551</v>
      </c>
      <c r="I178" s="37" t="s">
        <v>731</v>
      </c>
      <c r="J178" s="37" t="s">
        <v>178</v>
      </c>
      <c r="K178" s="38">
        <v>0.854700854700855</v>
      </c>
      <c r="L178" s="38">
        <v>8.5470085470085504</v>
      </c>
      <c r="M178" s="38">
        <v>90.598290598290603</v>
      </c>
      <c r="N178" s="38">
        <v>0</v>
      </c>
      <c r="O178" s="39">
        <f>((K178*0)+(L178*1)+(M178*2)+(N178*3))/100</f>
        <v>1.8974358974358976</v>
      </c>
    </row>
    <row r="179" spans="1:15" ht="14.25">
      <c r="A179" s="37" t="s">
        <v>646</v>
      </c>
      <c r="B179" s="37" t="s">
        <v>647</v>
      </c>
      <c r="C179" s="38">
        <v>0</v>
      </c>
      <c r="D179" s="38">
        <v>40.454545454545503</v>
      </c>
      <c r="E179" s="38">
        <v>59.545454545454497</v>
      </c>
      <c r="F179" s="38">
        <v>0</v>
      </c>
      <c r="G179" s="39">
        <f>((C179*0)+(D179*1)+(E179*2)+(F179*3))/100</f>
        <v>1.595454545454545</v>
      </c>
      <c r="I179" s="37" t="s">
        <v>646</v>
      </c>
      <c r="J179" s="37" t="s">
        <v>647</v>
      </c>
      <c r="K179" s="38">
        <v>0</v>
      </c>
      <c r="L179" s="38">
        <v>85.909090909090907</v>
      </c>
      <c r="M179" s="38">
        <v>14.090909090909101</v>
      </c>
      <c r="N179" s="38">
        <v>0</v>
      </c>
      <c r="O179" s="39">
        <f>((K179*0)+(L179*1)+(M179*2)+(N179*3))/100</f>
        <v>1.1409090909090911</v>
      </c>
    </row>
    <row r="180" spans="1:15" ht="14.25">
      <c r="A180" s="37" t="s">
        <v>634</v>
      </c>
      <c r="B180" s="37" t="s">
        <v>180</v>
      </c>
      <c r="C180" s="38">
        <v>0</v>
      </c>
      <c r="D180" s="38">
        <v>79.618768328445697</v>
      </c>
      <c r="E180" s="38">
        <v>20.3812316715543</v>
      </c>
      <c r="F180" s="38">
        <v>0</v>
      </c>
      <c r="G180" s="39">
        <f>((C180*0)+(D180*1)+(E180*2)+(F180*3))/100</f>
        <v>1.203812316715543</v>
      </c>
      <c r="I180" s="37" t="s">
        <v>634</v>
      </c>
      <c r="J180" s="37" t="s">
        <v>180</v>
      </c>
      <c r="K180" s="38">
        <v>1.0263929618768299</v>
      </c>
      <c r="L180" s="38">
        <v>91.935483870967701</v>
      </c>
      <c r="M180" s="38">
        <v>7.0381231671554296</v>
      </c>
      <c r="N180" s="38">
        <v>0</v>
      </c>
      <c r="O180" s="39">
        <f>((K180*0)+(L180*1)+(M180*2)+(N180*3))/100</f>
        <v>1.0601173020527854</v>
      </c>
    </row>
    <row r="181" spans="1:15" ht="14.25">
      <c r="A181" s="37" t="s">
        <v>458</v>
      </c>
      <c r="B181" s="37" t="s">
        <v>181</v>
      </c>
      <c r="C181" s="38">
        <v>1.8396846254927699</v>
      </c>
      <c r="D181" s="38">
        <v>87.385019710906704</v>
      </c>
      <c r="E181" s="38">
        <v>10.775295663600501</v>
      </c>
      <c r="F181" s="38">
        <v>0</v>
      </c>
      <c r="G181" s="39">
        <f>((C181*0)+(D181*1)+(E181*2)+(F181*3))/100</f>
        <v>1.0893561103810772</v>
      </c>
      <c r="I181" s="37" t="s">
        <v>458</v>
      </c>
      <c r="J181" s="37" t="s">
        <v>181</v>
      </c>
      <c r="K181" s="38">
        <v>88.436268068331103</v>
      </c>
      <c r="L181" s="38">
        <v>8.0157687253613705</v>
      </c>
      <c r="M181" s="38">
        <v>3.54796320630749</v>
      </c>
      <c r="N181" s="38">
        <v>0</v>
      </c>
      <c r="O181" s="39">
        <f>((K181*0)+(L181*1)+(M181*2)+(N181*3))/100</f>
        <v>0.15111695137976353</v>
      </c>
    </row>
    <row r="182" spans="1:15" ht="14.25">
      <c r="A182" s="37" t="s">
        <v>427</v>
      </c>
      <c r="B182" s="37" t="s">
        <v>182</v>
      </c>
      <c r="C182" s="38">
        <v>0</v>
      </c>
      <c r="D182" s="38">
        <v>36.397058823529399</v>
      </c>
      <c r="E182" s="38">
        <v>63.602941176470601</v>
      </c>
      <c r="F182" s="38">
        <v>0</v>
      </c>
      <c r="G182" s="39">
        <f>((C182*0)+(D182*1)+(E182*2)+(F182*3))/100</f>
        <v>1.6360294117647061</v>
      </c>
      <c r="I182" s="37" t="s">
        <v>427</v>
      </c>
      <c r="J182" s="37" t="s">
        <v>182</v>
      </c>
      <c r="K182" s="38">
        <v>94.117647058823493</v>
      </c>
      <c r="L182" s="38">
        <v>4.4117647058823497</v>
      </c>
      <c r="M182" s="38">
        <v>1.47058823529412</v>
      </c>
      <c r="N182" s="38">
        <v>0</v>
      </c>
      <c r="O182" s="39">
        <f>((K182*0)+(L182*1)+(M182*2)+(N182*3))/100</f>
        <v>7.3529411764705899E-2</v>
      </c>
    </row>
    <row r="183" spans="1:15" ht="14.25">
      <c r="A183" s="37" t="s">
        <v>681</v>
      </c>
      <c r="B183" s="37" t="s">
        <v>183</v>
      </c>
      <c r="C183" s="38">
        <v>2.1538461538461502</v>
      </c>
      <c r="D183" s="38">
        <v>30.769230769230798</v>
      </c>
      <c r="E183" s="38">
        <v>65.538461538461505</v>
      </c>
      <c r="F183" s="38">
        <v>1.5384615384615401</v>
      </c>
      <c r="G183" s="39">
        <f>((C183*0)+(D183*1)+(E183*2)+(F183*3))/100</f>
        <v>1.6646153846153842</v>
      </c>
      <c r="I183" s="37" t="s">
        <v>681</v>
      </c>
      <c r="J183" s="37" t="s">
        <v>183</v>
      </c>
      <c r="K183" s="38">
        <v>13.2307692307692</v>
      </c>
      <c r="L183" s="38">
        <v>21.846153846153801</v>
      </c>
      <c r="M183" s="38">
        <v>64.923076923076906</v>
      </c>
      <c r="N183" s="38">
        <v>0</v>
      </c>
      <c r="O183" s="39">
        <f>((K183*0)+(L183*1)+(M183*2)+(N183*3))/100</f>
        <v>1.5169230769230762</v>
      </c>
    </row>
    <row r="184" spans="1:15" ht="14.25">
      <c r="A184" s="37" t="s">
        <v>455</v>
      </c>
      <c r="B184" s="37" t="s">
        <v>184</v>
      </c>
      <c r="C184" s="38">
        <v>29.790419161676599</v>
      </c>
      <c r="D184" s="38">
        <v>64.670658682634695</v>
      </c>
      <c r="E184" s="38">
        <v>5.2395209580838298</v>
      </c>
      <c r="F184" s="38">
        <v>0.29940119760479</v>
      </c>
      <c r="G184" s="39">
        <f>((C184*0)+(D184*1)+(E184*2)+(F184*3))/100</f>
        <v>0.76047904191616722</v>
      </c>
      <c r="I184" s="37" t="s">
        <v>455</v>
      </c>
      <c r="J184" s="37" t="s">
        <v>184</v>
      </c>
      <c r="K184" s="38">
        <v>88.473053892215603</v>
      </c>
      <c r="L184" s="38">
        <v>8.5329341317365301</v>
      </c>
      <c r="M184" s="38">
        <v>2.9940119760478998</v>
      </c>
      <c r="N184" s="38">
        <v>0</v>
      </c>
      <c r="O184" s="39">
        <f>((K184*0)+(L184*1)+(M184*2)+(N184*3))/100</f>
        <v>0.1452095808383233</v>
      </c>
    </row>
    <row r="185" spans="1:15" ht="14.25">
      <c r="A185" s="37" t="s">
        <v>391</v>
      </c>
      <c r="B185" s="37" t="s">
        <v>185</v>
      </c>
      <c r="C185" s="38">
        <v>18.082191780821901</v>
      </c>
      <c r="D185" s="38">
        <v>79.726027397260296</v>
      </c>
      <c r="E185" s="38">
        <v>2.1917808219178099</v>
      </c>
      <c r="F185" s="38">
        <v>0</v>
      </c>
      <c r="G185" s="39">
        <f>((C185*0)+(D185*1)+(E185*2)+(F185*3))/100</f>
        <v>0.84109589041095911</v>
      </c>
      <c r="I185" s="37" t="s">
        <v>391</v>
      </c>
      <c r="J185" s="37" t="s">
        <v>185</v>
      </c>
      <c r="K185" s="38">
        <v>97.534246575342493</v>
      </c>
      <c r="L185" s="38">
        <v>2.1917808219178099</v>
      </c>
      <c r="M185" s="38">
        <v>0.27397260273972601</v>
      </c>
      <c r="N185" s="38">
        <v>0</v>
      </c>
      <c r="O185" s="39">
        <f>((K185*0)+(L185*1)+(M185*2)+(N185*3))/100</f>
        <v>2.7397260273972619E-2</v>
      </c>
    </row>
    <row r="186" spans="1:15" ht="14.25">
      <c r="A186" s="37" t="s">
        <v>742</v>
      </c>
      <c r="B186" s="37" t="s">
        <v>743</v>
      </c>
      <c r="C186" s="38">
        <v>1.24978302378059</v>
      </c>
      <c r="D186" s="38">
        <v>87.936122201006796</v>
      </c>
      <c r="E186" s="38">
        <v>10.814094775212601</v>
      </c>
      <c r="F186" s="38">
        <v>0</v>
      </c>
      <c r="G186" s="39">
        <f>((C186*0)+(D186*1)+(E186*2)+(F186*3))/100</f>
        <v>1.09564311751432</v>
      </c>
      <c r="I186" s="37" t="s">
        <v>742</v>
      </c>
      <c r="J186" s="37" t="s">
        <v>743</v>
      </c>
      <c r="K186" s="38">
        <v>0</v>
      </c>
      <c r="L186" s="38">
        <v>4.4436729734421103</v>
      </c>
      <c r="M186" s="38">
        <v>95.556327026557895</v>
      </c>
      <c r="N186" s="38">
        <v>0</v>
      </c>
      <c r="O186" s="39">
        <f>((K186*0)+(L186*1)+(M186*2)+(N186*3))/100</f>
        <v>1.9555632702655792</v>
      </c>
    </row>
    <row r="187" spans="1:15" ht="14.25">
      <c r="A187" s="37" t="s">
        <v>631</v>
      </c>
      <c r="B187" s="37" t="s">
        <v>187</v>
      </c>
      <c r="C187" s="38">
        <v>0.821167883211679</v>
      </c>
      <c r="D187" s="38">
        <v>5.2919708029197103</v>
      </c>
      <c r="E187" s="38">
        <v>93.704379562043798</v>
      </c>
      <c r="F187" s="38">
        <v>0.18248175182481799</v>
      </c>
      <c r="G187" s="39">
        <f>((C187*0)+(D187*1)+(E187*2)+(F187*3))/100</f>
        <v>1.9324817518248176</v>
      </c>
      <c r="I187" s="37" t="s">
        <v>631</v>
      </c>
      <c r="J187" s="37" t="s">
        <v>187</v>
      </c>
      <c r="K187" s="38">
        <v>0.18248175182481799</v>
      </c>
      <c r="L187" s="38">
        <v>94.251824817518298</v>
      </c>
      <c r="M187" s="38">
        <v>5.5656934306569301</v>
      </c>
      <c r="N187" s="38">
        <v>0</v>
      </c>
      <c r="O187" s="39">
        <f>((K187*0)+(L187*1)+(M187*2)+(N187*3))/100</f>
        <v>1.0538321167883216</v>
      </c>
    </row>
    <row r="188" spans="1:15" ht="14.25">
      <c r="A188" s="37" t="s">
        <v>713</v>
      </c>
      <c r="B188" s="37" t="s">
        <v>188</v>
      </c>
      <c r="C188" s="38">
        <v>0.109769484083425</v>
      </c>
      <c r="D188" s="38">
        <v>62.513721185510398</v>
      </c>
      <c r="E188" s="38">
        <v>37.376509330406201</v>
      </c>
      <c r="F188" s="38">
        <v>0</v>
      </c>
      <c r="G188" s="39">
        <f>((C188*0)+(D188*1)+(E188*2)+(F188*3))/100</f>
        <v>1.3726673984632278</v>
      </c>
      <c r="I188" s="37" t="s">
        <v>713</v>
      </c>
      <c r="J188" s="37" t="s">
        <v>188</v>
      </c>
      <c r="K188" s="38">
        <v>0</v>
      </c>
      <c r="L188" s="38">
        <v>17.178924259056</v>
      </c>
      <c r="M188" s="38">
        <v>82.821075740943996</v>
      </c>
      <c r="N188" s="38">
        <v>0</v>
      </c>
      <c r="O188" s="39">
        <f>((K188*0)+(L188*1)+(M188*2)+(N188*3))/100</f>
        <v>1.8282107574094399</v>
      </c>
    </row>
    <row r="189" spans="1:15" ht="14.25">
      <c r="A189" s="37" t="s">
        <v>519</v>
      </c>
      <c r="B189" s="37" t="s">
        <v>189</v>
      </c>
      <c r="C189" s="38">
        <v>0</v>
      </c>
      <c r="D189" s="38">
        <v>89.805825242718498</v>
      </c>
      <c r="E189" s="38">
        <v>10.194174757281599</v>
      </c>
      <c r="F189" s="38">
        <v>0</v>
      </c>
      <c r="G189" s="39">
        <f>((C189*0)+(D189*1)+(E189*2)+(F189*3))/100</f>
        <v>1.101941747572817</v>
      </c>
      <c r="I189" s="37" t="s">
        <v>519</v>
      </c>
      <c r="J189" s="37" t="s">
        <v>189</v>
      </c>
      <c r="K189" s="38">
        <v>19.902912621359199</v>
      </c>
      <c r="L189" s="38">
        <v>79.611650485436897</v>
      </c>
      <c r="M189" s="38">
        <v>0.485436893203883</v>
      </c>
      <c r="N189" s="38">
        <v>0</v>
      </c>
      <c r="O189" s="39">
        <f>((K189*0)+(L189*1)+(M189*2)+(N189*3))/100</f>
        <v>0.80582524271844658</v>
      </c>
    </row>
    <row r="190" spans="1:15" ht="14.25">
      <c r="A190" s="37" t="s">
        <v>736</v>
      </c>
      <c r="B190" s="37" t="s">
        <v>737</v>
      </c>
      <c r="C190" s="38">
        <v>0</v>
      </c>
      <c r="D190" s="38">
        <v>97.186700767263403</v>
      </c>
      <c r="E190" s="38">
        <v>2.8132992327365698</v>
      </c>
      <c r="F190" s="38">
        <v>0</v>
      </c>
      <c r="G190" s="39">
        <f>((C190*0)+(D190*1)+(E190*2)+(F190*3))/100</f>
        <v>1.0281329923273654</v>
      </c>
      <c r="I190" s="37" t="s">
        <v>736</v>
      </c>
      <c r="J190" s="37" t="s">
        <v>737</v>
      </c>
      <c r="K190" s="38">
        <v>0</v>
      </c>
      <c r="L190" s="38">
        <v>6.9053708439897701</v>
      </c>
      <c r="M190" s="38">
        <v>93.0946291560102</v>
      </c>
      <c r="N190" s="38">
        <v>0</v>
      </c>
      <c r="O190" s="39">
        <f>((K190*0)+(L190*1)+(M190*2)+(N190*3))/100</f>
        <v>1.9309462915601017</v>
      </c>
    </row>
    <row r="191" spans="1:15" ht="14.25">
      <c r="A191" s="37" t="s">
        <v>607</v>
      </c>
      <c r="B191" s="37" t="s">
        <v>191</v>
      </c>
      <c r="C191" s="38">
        <v>0.21875</v>
      </c>
      <c r="D191" s="38">
        <v>85.6875</v>
      </c>
      <c r="E191" s="38">
        <v>14.09375</v>
      </c>
      <c r="F191" s="38">
        <v>0</v>
      </c>
      <c r="G191" s="39">
        <f>((C191*0)+(D191*1)+(E191*2)+(F191*3))/100</f>
        <v>1.1387499999999999</v>
      </c>
      <c r="I191" s="37" t="s">
        <v>607</v>
      </c>
      <c r="J191" s="37" t="s">
        <v>191</v>
      </c>
      <c r="K191" s="38">
        <v>1.3125</v>
      </c>
      <c r="L191" s="38">
        <v>96.3125</v>
      </c>
      <c r="M191" s="38">
        <v>2.375</v>
      </c>
      <c r="N191" s="38">
        <v>0</v>
      </c>
      <c r="O191" s="39">
        <f>((K191*0)+(L191*1)+(M191*2)+(N191*3))/100</f>
        <v>1.0106250000000001</v>
      </c>
    </row>
    <row r="192" spans="1:15" ht="14.25">
      <c r="A192" s="37" t="s">
        <v>575</v>
      </c>
      <c r="B192" s="37" t="s">
        <v>192</v>
      </c>
      <c r="C192" s="38">
        <v>0</v>
      </c>
      <c r="D192" s="38">
        <v>96.420047732696901</v>
      </c>
      <c r="E192" s="38">
        <v>3.5799522673031001</v>
      </c>
      <c r="F192" s="38">
        <v>0</v>
      </c>
      <c r="G192" s="39">
        <f>((C192*0)+(D192*1)+(E192*2)+(F192*3))/100</f>
        <v>1.035799522673031</v>
      </c>
      <c r="I192" s="37" t="s">
        <v>575</v>
      </c>
      <c r="J192" s="37" t="s">
        <v>192</v>
      </c>
      <c r="K192" s="38">
        <v>4.5346062052505998</v>
      </c>
      <c r="L192" s="38">
        <v>94.033412887828206</v>
      </c>
      <c r="M192" s="38">
        <v>1.4319809069212399</v>
      </c>
      <c r="N192" s="38">
        <v>0</v>
      </c>
      <c r="O192" s="39">
        <f>((K192*0)+(L192*1)+(M192*2)+(N192*3))/100</f>
        <v>0.9689737470167068</v>
      </c>
    </row>
    <row r="193" spans="1:15" ht="14.25">
      <c r="A193" s="37" t="s">
        <v>739</v>
      </c>
      <c r="B193" s="37" t="s">
        <v>740</v>
      </c>
      <c r="C193" s="38">
        <v>0</v>
      </c>
      <c r="D193" s="38">
        <v>23.786008230452701</v>
      </c>
      <c r="E193" s="38">
        <v>76.213991769547306</v>
      </c>
      <c r="F193" s="38">
        <v>0</v>
      </c>
      <c r="G193" s="39">
        <f>((C193*0)+(D193*1)+(E193*2)+(F193*3))/100</f>
        <v>1.7621399176954731</v>
      </c>
      <c r="I193" s="37" t="s">
        <v>739</v>
      </c>
      <c r="J193" s="37" t="s">
        <v>740</v>
      </c>
      <c r="K193" s="38">
        <v>0.41152263374485598</v>
      </c>
      <c r="L193" s="38">
        <v>4.2798353909465003</v>
      </c>
      <c r="M193" s="38">
        <v>95.308641975308603</v>
      </c>
      <c r="N193" s="38">
        <v>0</v>
      </c>
      <c r="O193" s="39">
        <f>((K193*0)+(L193*1)+(M193*2)+(N193*3))/100</f>
        <v>1.9489711934156368</v>
      </c>
    </row>
    <row r="194" spans="1:15" ht="14.25">
      <c r="A194" s="37" t="s">
        <v>628</v>
      </c>
      <c r="B194" s="37" t="s">
        <v>194</v>
      </c>
      <c r="C194" s="38">
        <v>0</v>
      </c>
      <c r="D194" s="38">
        <v>4.7210300429184597</v>
      </c>
      <c r="E194" s="38">
        <v>95.2789699570815</v>
      </c>
      <c r="F194" s="38">
        <v>0</v>
      </c>
      <c r="G194" s="39">
        <f>((C194*0)+(D194*1)+(E194*2)+(F194*3))/100</f>
        <v>1.9527896995708147</v>
      </c>
      <c r="I194" s="37" t="s">
        <v>628</v>
      </c>
      <c r="J194" s="37" t="s">
        <v>194</v>
      </c>
      <c r="K194" s="38">
        <v>1.80257510729614</v>
      </c>
      <c r="L194" s="38">
        <v>91.845493562231795</v>
      </c>
      <c r="M194" s="38">
        <v>6.3519313304720999</v>
      </c>
      <c r="N194" s="38">
        <v>0</v>
      </c>
      <c r="O194" s="39">
        <f>((K194*0)+(L194*1)+(M194*2)+(N194*3))/100</f>
        <v>1.0454935622317598</v>
      </c>
    </row>
    <row r="195" spans="1:15" ht="14.25">
      <c r="A195" s="37" t="s">
        <v>608</v>
      </c>
      <c r="B195" s="37" t="s">
        <v>609</v>
      </c>
      <c r="C195" s="38">
        <v>6.7430883344571799E-2</v>
      </c>
      <c r="D195" s="38">
        <v>30.2764666217127</v>
      </c>
      <c r="E195" s="38">
        <v>69.656102494942701</v>
      </c>
      <c r="F195" s="38">
        <v>0</v>
      </c>
      <c r="G195" s="39">
        <f>((C195*0)+(D195*1)+(E195*2)+(F195*3))/100</f>
        <v>1.695886716115981</v>
      </c>
      <c r="I195" s="37" t="s">
        <v>608</v>
      </c>
      <c r="J195" s="37" t="s">
        <v>609</v>
      </c>
      <c r="K195" s="38">
        <v>1.0114632501685801</v>
      </c>
      <c r="L195" s="38">
        <v>96.830748482805106</v>
      </c>
      <c r="M195" s="38">
        <v>2.1577882670263002</v>
      </c>
      <c r="N195" s="38">
        <v>0</v>
      </c>
      <c r="O195" s="39">
        <f>((K195*0)+(L195*1)+(M195*2)+(N195*3))/100</f>
        <v>1.011463250168577</v>
      </c>
    </row>
    <row r="196" spans="1:15" ht="14.25">
      <c r="A196" s="37" t="s">
        <v>635</v>
      </c>
      <c r="B196" s="37" t="s">
        <v>636</v>
      </c>
      <c r="C196" s="38">
        <v>46.400316455696199</v>
      </c>
      <c r="D196" s="38">
        <v>51.977848101265799</v>
      </c>
      <c r="E196" s="38">
        <v>1.62183544303797</v>
      </c>
      <c r="F196" s="38">
        <v>0</v>
      </c>
      <c r="G196" s="39">
        <f>((C196*0)+(D196*1)+(E196*2)+(F196*3))/100</f>
        <v>0.55221518987341733</v>
      </c>
      <c r="I196" s="37" t="s">
        <v>635</v>
      </c>
      <c r="J196" s="37" t="s">
        <v>636</v>
      </c>
      <c r="K196" s="38">
        <v>2.68987341772152</v>
      </c>
      <c r="L196" s="38">
        <v>88.607594936708793</v>
      </c>
      <c r="M196" s="38">
        <v>8.7025316455696196</v>
      </c>
      <c r="N196" s="38">
        <v>0</v>
      </c>
      <c r="O196" s="39">
        <f>((K196*0)+(L196*1)+(M196*2)+(N196*3))/100</f>
        <v>1.0601265822784804</v>
      </c>
    </row>
    <row r="197" spans="1:15" ht="14.25">
      <c r="A197" s="37" t="s">
        <v>693</v>
      </c>
      <c r="B197" s="37" t="s">
        <v>197</v>
      </c>
      <c r="C197" s="38">
        <v>2.5104602510460201</v>
      </c>
      <c r="D197" s="38">
        <v>51.464435146443499</v>
      </c>
      <c r="E197" s="38">
        <v>46.025104602510503</v>
      </c>
      <c r="F197" s="38">
        <v>0</v>
      </c>
      <c r="G197" s="39">
        <f>((C197*0)+(D197*1)+(E197*2)+(F197*3))/100</f>
        <v>1.435146443514645</v>
      </c>
      <c r="I197" s="37" t="s">
        <v>693</v>
      </c>
      <c r="J197" s="37" t="s">
        <v>197</v>
      </c>
      <c r="K197" s="38">
        <v>0</v>
      </c>
      <c r="L197" s="38">
        <v>33.891213389121297</v>
      </c>
      <c r="M197" s="38">
        <v>66.108786610878695</v>
      </c>
      <c r="N197" s="38">
        <v>0</v>
      </c>
      <c r="O197" s="39">
        <f>((K197*0)+(L197*1)+(M197*2)+(N197*3))/100</f>
        <v>1.6610878661087869</v>
      </c>
    </row>
    <row r="198" spans="1:15" ht="14.25">
      <c r="A198" s="37" t="s">
        <v>702</v>
      </c>
      <c r="B198" s="37" t="s">
        <v>198</v>
      </c>
      <c r="C198" s="38">
        <v>0</v>
      </c>
      <c r="D198" s="38">
        <v>60.683760683760703</v>
      </c>
      <c r="E198" s="38">
        <v>39.316239316239297</v>
      </c>
      <c r="F198" s="38">
        <v>0</v>
      </c>
      <c r="G198" s="39">
        <f>((C198*0)+(D198*1)+(E198*2)+(F198*3))/100</f>
        <v>1.3931623931623929</v>
      </c>
      <c r="I198" s="37" t="s">
        <v>702</v>
      </c>
      <c r="J198" s="37" t="s">
        <v>198</v>
      </c>
      <c r="K198" s="38">
        <v>0</v>
      </c>
      <c r="L198" s="38">
        <v>26.923076923076898</v>
      </c>
      <c r="M198" s="38">
        <v>73.076923076923094</v>
      </c>
      <c r="N198" s="38">
        <v>0</v>
      </c>
      <c r="O198" s="39">
        <f>((K198*0)+(L198*1)+(M198*2)+(N198*3))/100</f>
        <v>1.7307692307692308</v>
      </c>
    </row>
    <row r="199" spans="1:15" ht="14.25">
      <c r="A199" s="37" t="s">
        <v>695</v>
      </c>
      <c r="B199" s="37" t="s">
        <v>199</v>
      </c>
      <c r="C199" s="38">
        <v>0</v>
      </c>
      <c r="D199" s="38">
        <v>87.179487179487197</v>
      </c>
      <c r="E199" s="38">
        <v>12.8205128205128</v>
      </c>
      <c r="F199" s="38">
        <v>0</v>
      </c>
      <c r="G199" s="39">
        <f>((C199*0)+(D199*1)+(E199*2)+(F199*3))/100</f>
        <v>1.128205128205128</v>
      </c>
      <c r="I199" s="37" t="s">
        <v>695</v>
      </c>
      <c r="J199" s="37" t="s">
        <v>199</v>
      </c>
      <c r="K199" s="38">
        <v>0</v>
      </c>
      <c r="L199" s="38">
        <v>32.600732600732599</v>
      </c>
      <c r="M199" s="38">
        <v>67.399267399267401</v>
      </c>
      <c r="N199" s="38">
        <v>0</v>
      </c>
      <c r="O199" s="39">
        <f>((K199*0)+(L199*1)+(M199*2)+(N199*3))/100</f>
        <v>1.6739926739926738</v>
      </c>
    </row>
    <row r="200" spans="1:15" ht="14.25">
      <c r="A200" s="37" t="s">
        <v>534</v>
      </c>
      <c r="B200" s="37" t="s">
        <v>535</v>
      </c>
      <c r="C200" s="38">
        <v>4.8289738430583498</v>
      </c>
      <c r="D200" s="38">
        <v>86.720321931589496</v>
      </c>
      <c r="E200" s="38">
        <v>8.4507042253521103</v>
      </c>
      <c r="F200" s="38">
        <v>0</v>
      </c>
      <c r="G200" s="39">
        <f>((C200*0)+(D200*1)+(E200*2)+(F200*3))/100</f>
        <v>1.0362173038229372</v>
      </c>
      <c r="I200" s="37" t="s">
        <v>534</v>
      </c>
      <c r="J200" s="37" t="s">
        <v>535</v>
      </c>
      <c r="K200" s="38">
        <v>17.002012072434599</v>
      </c>
      <c r="L200" s="38">
        <v>80.2816901408451</v>
      </c>
      <c r="M200" s="38">
        <v>2.71629778672032</v>
      </c>
      <c r="N200" s="38">
        <v>0</v>
      </c>
      <c r="O200" s="39">
        <f>((K200*0)+(L200*1)+(M200*2)+(N200*3))/100</f>
        <v>0.85714285714285732</v>
      </c>
    </row>
    <row r="201" spans="1:15" ht="14.25">
      <c r="A201" s="37" t="s">
        <v>484</v>
      </c>
      <c r="B201" s="37" t="s">
        <v>201</v>
      </c>
      <c r="C201" s="38">
        <v>29.110105580693801</v>
      </c>
      <c r="D201" s="38">
        <v>62.292609351432901</v>
      </c>
      <c r="E201" s="38">
        <v>7.2398190045248896</v>
      </c>
      <c r="F201" s="38">
        <v>1.3574660633484199</v>
      </c>
      <c r="G201" s="39">
        <f>((C201*0)+(D201*1)+(E201*2)+(F201*3))/100</f>
        <v>0.80844645550527938</v>
      </c>
      <c r="I201" s="37" t="s">
        <v>484</v>
      </c>
      <c r="J201" s="37" t="s">
        <v>201</v>
      </c>
      <c r="K201" s="38">
        <v>73.378582202111602</v>
      </c>
      <c r="L201" s="38">
        <v>21.116138763197601</v>
      </c>
      <c r="M201" s="38">
        <v>5.2790346907994001</v>
      </c>
      <c r="N201" s="38">
        <v>0.22624434389140299</v>
      </c>
      <c r="O201" s="39">
        <f>((K201*0)+(L201*1)+(M201*2)+(N201*3))/100</f>
        <v>0.32352941176470607</v>
      </c>
    </row>
    <row r="202" spans="1:15" ht="14.25">
      <c r="A202" s="37" t="s">
        <v>764</v>
      </c>
      <c r="B202" s="37" t="s">
        <v>202</v>
      </c>
      <c r="C202" s="38">
        <v>0.39138943248532299</v>
      </c>
      <c r="D202" s="38">
        <v>1.4350945857795201</v>
      </c>
      <c r="E202" s="38">
        <v>75.994781474233505</v>
      </c>
      <c r="F202" s="38">
        <v>22.178734507501598</v>
      </c>
      <c r="G202" s="39">
        <f>((C202*0)+(D202*1)+(E202*2)+(F202*3))/100</f>
        <v>2.1996086105675134</v>
      </c>
      <c r="I202" s="37" t="s">
        <v>764</v>
      </c>
      <c r="J202" s="37" t="s">
        <v>202</v>
      </c>
      <c r="K202" s="38">
        <v>1.63078930202218</v>
      </c>
      <c r="L202" s="38">
        <v>1.4350945857795201</v>
      </c>
      <c r="M202" s="38">
        <v>75.146771037182006</v>
      </c>
      <c r="N202" s="38">
        <v>21.787345075016301</v>
      </c>
      <c r="O202" s="39">
        <f>((K202*0)+(L202*1)+(M202*2)+(N202*3))/100</f>
        <v>2.1709067188519242</v>
      </c>
    </row>
    <row r="203" spans="1:15" ht="14.25">
      <c r="A203" s="37" t="s">
        <v>656</v>
      </c>
      <c r="B203" s="37" t="s">
        <v>203</v>
      </c>
      <c r="C203" s="38">
        <v>1.31712259371834</v>
      </c>
      <c r="D203" s="38">
        <v>3.5460992907801399</v>
      </c>
      <c r="E203" s="38">
        <v>75.785207700101296</v>
      </c>
      <c r="F203" s="38">
        <v>19.3515704154002</v>
      </c>
      <c r="G203" s="39">
        <f>((C203*0)+(D203*1)+(E203*2)+(F203*3))/100</f>
        <v>2.1317122593718336</v>
      </c>
      <c r="I203" s="37" t="s">
        <v>656</v>
      </c>
      <c r="J203" s="37" t="s">
        <v>203</v>
      </c>
      <c r="K203" s="38">
        <v>2.43161094224924</v>
      </c>
      <c r="L203" s="38">
        <v>75.987841945288807</v>
      </c>
      <c r="M203" s="38">
        <v>21.2765957446809</v>
      </c>
      <c r="N203" s="38">
        <v>0.303951367781155</v>
      </c>
      <c r="O203" s="39">
        <f>((K203*0)+(L203*1)+(M203*2)+(N203*3))/100</f>
        <v>1.1945288753799408</v>
      </c>
    </row>
    <row r="204" spans="1:15" ht="14.25">
      <c r="A204" s="37" t="s">
        <v>641</v>
      </c>
      <c r="B204" s="37" t="s">
        <v>204</v>
      </c>
      <c r="C204" s="38">
        <v>1.9504876219054801</v>
      </c>
      <c r="D204" s="38">
        <v>72.168042010502603</v>
      </c>
      <c r="E204" s="38">
        <v>25.056264066016499</v>
      </c>
      <c r="F204" s="38">
        <v>0.82520630157539399</v>
      </c>
      <c r="G204" s="39">
        <f>((C204*0)+(D204*1)+(E204*2)+(F204*3))/100</f>
        <v>1.2475618904726178</v>
      </c>
      <c r="I204" s="37" t="s">
        <v>641</v>
      </c>
      <c r="J204" s="37" t="s">
        <v>204</v>
      </c>
      <c r="K204" s="38">
        <v>0.225056264066016</v>
      </c>
      <c r="L204" s="38">
        <v>91.672918229557396</v>
      </c>
      <c r="M204" s="38">
        <v>7.8019504876219097</v>
      </c>
      <c r="N204" s="38">
        <v>0.300075018754689</v>
      </c>
      <c r="O204" s="39">
        <f>((K204*0)+(L204*1)+(M204*2)+(N204*3))/100</f>
        <v>1.0817704426106527</v>
      </c>
    </row>
    <row r="205" spans="1:15" ht="14.25">
      <c r="A205" s="37" t="s">
        <v>422</v>
      </c>
      <c r="B205" s="37" t="s">
        <v>423</v>
      </c>
      <c r="C205" s="38">
        <v>0.91984231274638595</v>
      </c>
      <c r="D205" s="38">
        <v>24.178712220762201</v>
      </c>
      <c r="E205" s="38">
        <v>74.375821287779203</v>
      </c>
      <c r="F205" s="38">
        <v>0.525624178712221</v>
      </c>
      <c r="G205" s="39">
        <f>((C205*0)+(D205*1)+(E205*2)+(F205*3))/100</f>
        <v>1.7450722733245729</v>
      </c>
      <c r="I205" s="37" t="s">
        <v>422</v>
      </c>
      <c r="J205" s="37" t="s">
        <v>423</v>
      </c>
      <c r="K205" s="38">
        <v>96.583442838370601</v>
      </c>
      <c r="L205" s="38">
        <v>0.26281208935611</v>
      </c>
      <c r="M205" s="38">
        <v>3.0223390275952702</v>
      </c>
      <c r="N205" s="38">
        <v>0.131406044678055</v>
      </c>
      <c r="O205" s="39">
        <f>((K205*0)+(L205*1)+(M205*2)+(N205*3))/100</f>
        <v>6.7017082785808146E-2</v>
      </c>
    </row>
    <row r="206" spans="1:15" ht="14.25">
      <c r="A206" s="37" t="s">
        <v>762</v>
      </c>
      <c r="B206" s="37" t="s">
        <v>206</v>
      </c>
      <c r="C206" s="38">
        <v>0</v>
      </c>
      <c r="D206" s="38">
        <v>3.3566433566433602</v>
      </c>
      <c r="E206" s="38">
        <v>68.951048951049003</v>
      </c>
      <c r="F206" s="38">
        <v>27.692307692307701</v>
      </c>
      <c r="G206" s="39">
        <f>((C206*0)+(D206*1)+(E206*2)+(F206*3))/100</f>
        <v>2.2433566433566448</v>
      </c>
      <c r="I206" s="37" t="s">
        <v>762</v>
      </c>
      <c r="J206" s="37" t="s">
        <v>206</v>
      </c>
      <c r="K206" s="38">
        <v>4.3356643356643296</v>
      </c>
      <c r="L206" s="38">
        <v>0.41958041958042003</v>
      </c>
      <c r="M206" s="38">
        <v>70.769230769230802</v>
      </c>
      <c r="N206" s="38">
        <v>24.475524475524502</v>
      </c>
      <c r="O206" s="39">
        <f>((K206*0)+(L206*1)+(M206*2)+(N206*3))/100</f>
        <v>2.1538461538461551</v>
      </c>
    </row>
    <row r="207" spans="1:15" ht="14.25">
      <c r="A207" s="37" t="s">
        <v>438</v>
      </c>
      <c r="B207" s="37" t="s">
        <v>207</v>
      </c>
      <c r="C207" s="38">
        <v>18.877551020408202</v>
      </c>
      <c r="D207" s="38">
        <v>75.510204081632693</v>
      </c>
      <c r="E207" s="38">
        <v>4.9319727891156502</v>
      </c>
      <c r="F207" s="38">
        <v>0.68027210884353695</v>
      </c>
      <c r="G207" s="39">
        <f>((C207*0)+(D207*1)+(E207*2)+(F207*3))/100</f>
        <v>0.8741496598639461</v>
      </c>
      <c r="I207" s="37" t="s">
        <v>438</v>
      </c>
      <c r="J207" s="37" t="s">
        <v>207</v>
      </c>
      <c r="K207" s="38">
        <v>95.748299319727906</v>
      </c>
      <c r="L207" s="38">
        <v>0</v>
      </c>
      <c r="M207" s="38">
        <v>3.5714285714285698</v>
      </c>
      <c r="N207" s="38">
        <v>0.68027210884353695</v>
      </c>
      <c r="O207" s="39">
        <f>((K207*0)+(L207*1)+(M207*2)+(N207*3))/100</f>
        <v>9.18367346938775E-2</v>
      </c>
    </row>
    <row r="208" spans="1:15" ht="14.25">
      <c r="A208" s="37" t="s">
        <v>707</v>
      </c>
      <c r="B208" s="37" t="s">
        <v>708</v>
      </c>
      <c r="C208" s="38">
        <v>0</v>
      </c>
      <c r="D208" s="38">
        <v>1.98019801980198</v>
      </c>
      <c r="E208" s="38">
        <v>67.326732673267301</v>
      </c>
      <c r="F208" s="38">
        <v>30.693069306930699</v>
      </c>
      <c r="G208" s="39">
        <f>((C208*0)+(D208*1)+(E208*2)+(F208*3))/100</f>
        <v>2.2871287128712869</v>
      </c>
      <c r="I208" s="37" t="s">
        <v>707</v>
      </c>
      <c r="J208" s="37" t="s">
        <v>708</v>
      </c>
      <c r="K208" s="38">
        <v>3.9603960396039599</v>
      </c>
      <c r="L208" s="38">
        <v>23.1023102310231</v>
      </c>
      <c r="M208" s="38">
        <v>66.3366336633663</v>
      </c>
      <c r="N208" s="38">
        <v>6.6006600660065997</v>
      </c>
      <c r="O208" s="39">
        <f>((K208*0)+(L208*1)+(M208*2)+(N208*3))/100</f>
        <v>1.755775577557755</v>
      </c>
    </row>
    <row r="209" spans="1:15" ht="14.25">
      <c r="A209" s="37" t="s">
        <v>576</v>
      </c>
      <c r="B209" s="37" t="s">
        <v>209</v>
      </c>
      <c r="C209" s="38">
        <v>4.9212598425196798E-2</v>
      </c>
      <c r="D209" s="38">
        <v>0.24606299212598401</v>
      </c>
      <c r="E209" s="38">
        <v>69.832677165354298</v>
      </c>
      <c r="F209" s="38">
        <v>29.8720472440945</v>
      </c>
      <c r="G209" s="39">
        <f>((C209*0)+(D209*1)+(E209*2)+(F209*3))/100</f>
        <v>2.2952755905511806</v>
      </c>
      <c r="I209" s="37" t="s">
        <v>576</v>
      </c>
      <c r="J209" s="37" t="s">
        <v>209</v>
      </c>
      <c r="K209" s="38">
        <v>15.157480314960599</v>
      </c>
      <c r="L209" s="38">
        <v>74.114173228346502</v>
      </c>
      <c r="M209" s="38">
        <v>9.2519685039370092</v>
      </c>
      <c r="N209" s="38">
        <v>1.47637795275591</v>
      </c>
      <c r="O209" s="39">
        <f>((K209*0)+(L209*1)+(M209*2)+(N209*3))/100</f>
        <v>0.9704724409448825</v>
      </c>
    </row>
    <row r="210" spans="1:15" ht="14.25">
      <c r="A210" s="37" t="s">
        <v>718</v>
      </c>
      <c r="B210" s="37" t="s">
        <v>210</v>
      </c>
      <c r="C210" s="38">
        <v>2.0484171322160099</v>
      </c>
      <c r="D210" s="38">
        <v>1.67597765363128</v>
      </c>
      <c r="E210" s="38">
        <v>85.288640595903203</v>
      </c>
      <c r="F210" s="38">
        <v>10.9869646182495</v>
      </c>
      <c r="G210" s="39">
        <f>((C210*0)+(D210*1)+(E210*2)+(F210*3))/100</f>
        <v>2.0521415270018619</v>
      </c>
      <c r="I210" s="37" t="s">
        <v>718</v>
      </c>
      <c r="J210" s="37" t="s">
        <v>210</v>
      </c>
      <c r="K210" s="38">
        <v>6.5176908752327796</v>
      </c>
      <c r="L210" s="38">
        <v>7.6350093109869697</v>
      </c>
      <c r="M210" s="38">
        <v>79.888268156424601</v>
      </c>
      <c r="N210" s="38">
        <v>5.9590316573556796</v>
      </c>
      <c r="O210" s="39">
        <f>((K210*0)+(L210*1)+(M210*2)+(N210*3))/100</f>
        <v>1.852886405959032</v>
      </c>
    </row>
    <row r="211" spans="1:15" ht="14.25">
      <c r="A211" s="37" t="s">
        <v>760</v>
      </c>
      <c r="B211" s="37" t="s">
        <v>211</v>
      </c>
      <c r="C211" s="38">
        <v>2.43654822335025</v>
      </c>
      <c r="D211" s="38">
        <v>1.5228426395939101</v>
      </c>
      <c r="E211" s="38">
        <v>69.847715736040598</v>
      </c>
      <c r="F211" s="38">
        <v>26.192893401015201</v>
      </c>
      <c r="G211" s="39">
        <f>((C211*0)+(D211*1)+(E211*2)+(F211*3))/100</f>
        <v>2.1979695431472073</v>
      </c>
      <c r="I211" s="37" t="s">
        <v>760</v>
      </c>
      <c r="J211" s="37" t="s">
        <v>211</v>
      </c>
      <c r="K211" s="38">
        <v>4.1624365482233499</v>
      </c>
      <c r="L211" s="38">
        <v>2.43654822335025</v>
      </c>
      <c r="M211" s="38">
        <v>68.730964467005094</v>
      </c>
      <c r="N211" s="38">
        <v>24.670050761421301</v>
      </c>
      <c r="O211" s="39">
        <f>((K211*0)+(L211*1)+(M211*2)+(N211*3))/100</f>
        <v>2.1390862944162436</v>
      </c>
    </row>
    <row r="212" spans="1:15" ht="14.25">
      <c r="A212" s="37" t="s">
        <v>675</v>
      </c>
      <c r="B212" s="37" t="s">
        <v>212</v>
      </c>
      <c r="C212" s="38">
        <v>0</v>
      </c>
      <c r="D212" s="38">
        <v>25.4851228978008</v>
      </c>
      <c r="E212" s="38">
        <v>64.683053040103502</v>
      </c>
      <c r="F212" s="38">
        <v>9.8318240620957305</v>
      </c>
      <c r="G212" s="39">
        <f>((C212*0)+(D212*1)+(E212*2)+(F212*3))/100</f>
        <v>1.8434670116429501</v>
      </c>
      <c r="I212" s="37" t="s">
        <v>675</v>
      </c>
      <c r="J212" s="37" t="s">
        <v>212</v>
      </c>
      <c r="K212" s="38">
        <v>0</v>
      </c>
      <c r="L212" s="38">
        <v>63.9068564036222</v>
      </c>
      <c r="M212" s="38">
        <v>30.271668822768401</v>
      </c>
      <c r="N212" s="38">
        <v>5.8214747736093102</v>
      </c>
      <c r="O212" s="39">
        <f>((K212*0)+(L212*1)+(M212*2)+(N212*3))/100</f>
        <v>1.4191461836998693</v>
      </c>
    </row>
    <row r="213" spans="1:15" ht="14.25">
      <c r="A213" s="37" t="s">
        <v>723</v>
      </c>
      <c r="B213" s="37" t="s">
        <v>213</v>
      </c>
      <c r="C213" s="38">
        <v>0.338983050847458</v>
      </c>
      <c r="D213" s="38">
        <v>1.22033898305085</v>
      </c>
      <c r="E213" s="38">
        <v>69.694915254237301</v>
      </c>
      <c r="F213" s="38">
        <v>28.745762711864401</v>
      </c>
      <c r="G213" s="39">
        <f>((C213*0)+(D213*1)+(E213*2)+(F213*3))/100</f>
        <v>2.2684745762711866</v>
      </c>
      <c r="I213" s="37" t="s">
        <v>723</v>
      </c>
      <c r="J213" s="37" t="s">
        <v>213</v>
      </c>
      <c r="K213" s="38">
        <v>1.49152542372881</v>
      </c>
      <c r="L213" s="38">
        <v>12.4745762711864</v>
      </c>
      <c r="M213" s="38">
        <v>81.8983050847458</v>
      </c>
      <c r="N213" s="38">
        <v>4.13559322033898</v>
      </c>
      <c r="O213" s="39">
        <f>((K213*0)+(L213*1)+(M213*2)+(N213*3))/100</f>
        <v>1.8867796610169494</v>
      </c>
    </row>
    <row r="214" spans="1:15" ht="14.25">
      <c r="A214" s="37" t="s">
        <v>712</v>
      </c>
      <c r="B214" s="37" t="s">
        <v>214</v>
      </c>
      <c r="C214" s="38">
        <v>0</v>
      </c>
      <c r="D214" s="38">
        <v>1.6141429669484999</v>
      </c>
      <c r="E214" s="38">
        <v>63.797079169869299</v>
      </c>
      <c r="F214" s="38">
        <v>34.588777863182202</v>
      </c>
      <c r="G214" s="39">
        <f>((C214*0)+(D214*1)+(E214*2)+(F214*3))/100</f>
        <v>2.3297463489623369</v>
      </c>
      <c r="I214" s="37" t="s">
        <v>712</v>
      </c>
      <c r="J214" s="37" t="s">
        <v>214</v>
      </c>
      <c r="K214" s="38">
        <v>0.76863950807071502</v>
      </c>
      <c r="L214" s="38">
        <v>23.366641045349699</v>
      </c>
      <c r="M214" s="38">
        <v>68.178324365872399</v>
      </c>
      <c r="N214" s="38">
        <v>7.6863950807071504</v>
      </c>
      <c r="O214" s="39">
        <f>((K214*0)+(L214*1)+(M214*2)+(N214*3))/100</f>
        <v>1.8278247501921596</v>
      </c>
    </row>
    <row r="215" spans="1:15" ht="14.25">
      <c r="A215" s="37" t="s">
        <v>765</v>
      </c>
      <c r="B215" s="37" t="s">
        <v>215</v>
      </c>
      <c r="C215" s="38">
        <v>0</v>
      </c>
      <c r="D215" s="38">
        <v>0.51975051975052</v>
      </c>
      <c r="E215" s="38">
        <v>70.893970893970902</v>
      </c>
      <c r="F215" s="38">
        <v>28.586278586278599</v>
      </c>
      <c r="G215" s="39">
        <f>((C215*0)+(D215*1)+(E215*2)+(F215*3))/100</f>
        <v>2.2806652806652812</v>
      </c>
      <c r="I215" s="37" t="s">
        <v>765</v>
      </c>
      <c r="J215" s="37" t="s">
        <v>215</v>
      </c>
      <c r="K215" s="38">
        <v>0</v>
      </c>
      <c r="L215" s="38">
        <v>2.4948024948024901</v>
      </c>
      <c r="M215" s="38">
        <v>69.542619542619505</v>
      </c>
      <c r="N215" s="38">
        <v>27.962577962577999</v>
      </c>
      <c r="O215" s="39">
        <f>((K215*0)+(L215*1)+(M215*2)+(N215*3))/100</f>
        <v>2.254677754677755</v>
      </c>
    </row>
    <row r="216" spans="1:15" ht="14.25">
      <c r="A216" s="37" t="s">
        <v>759</v>
      </c>
      <c r="B216" s="37" t="s">
        <v>216</v>
      </c>
      <c r="C216" s="38">
        <v>0.17241379310344801</v>
      </c>
      <c r="D216" s="38">
        <v>2.0689655172413799</v>
      </c>
      <c r="E216" s="38">
        <v>78.448275862068996</v>
      </c>
      <c r="F216" s="38">
        <v>19.310344827586199</v>
      </c>
      <c r="G216" s="39">
        <f>((C216*0)+(D216*1)+(E216*2)+(F216*3))/100</f>
        <v>2.1689655172413795</v>
      </c>
      <c r="I216" s="37" t="s">
        <v>759</v>
      </c>
      <c r="J216" s="37" t="s">
        <v>216</v>
      </c>
      <c r="K216" s="38">
        <v>2.2413793103448301</v>
      </c>
      <c r="L216" s="38">
        <v>1.2068965517241399</v>
      </c>
      <c r="M216" s="38">
        <v>77.672413793103402</v>
      </c>
      <c r="N216" s="38">
        <v>18.879310344827601</v>
      </c>
      <c r="O216" s="39">
        <f>((K216*0)+(L216*1)+(M216*2)+(N216*3))/100</f>
        <v>2.1318965517241373</v>
      </c>
    </row>
    <row r="217" spans="1:15" ht="14.25">
      <c r="A217" s="37" t="s">
        <v>766</v>
      </c>
      <c r="B217" s="37" t="s">
        <v>293</v>
      </c>
      <c r="C217" s="38">
        <v>0</v>
      </c>
      <c r="D217" s="38">
        <v>0</v>
      </c>
      <c r="E217" s="38">
        <v>65.902335456475598</v>
      </c>
      <c r="F217" s="38">
        <v>34.097664543524402</v>
      </c>
      <c r="G217" s="39">
        <f>((C217*0)+(D217*1)+(E217*2)+(F217*3))/100</f>
        <v>2.3409766454352439</v>
      </c>
      <c r="I217" s="37" t="s">
        <v>766</v>
      </c>
      <c r="J217" s="37" t="s">
        <v>293</v>
      </c>
      <c r="K217" s="38">
        <v>0.59447983014862005</v>
      </c>
      <c r="L217" s="38">
        <v>0.89171974522292996</v>
      </c>
      <c r="M217" s="38">
        <v>66.157112526539294</v>
      </c>
      <c r="N217" s="38">
        <v>32.356687898089199</v>
      </c>
      <c r="O217" s="39">
        <f>((K217*0)+(L217*1)+(M217*2)+(N217*3))/100</f>
        <v>2.3027600849256911</v>
      </c>
    </row>
    <row r="218" spans="1:15" ht="14.25">
      <c r="A218" s="37" t="s">
        <v>726</v>
      </c>
      <c r="B218" s="37" t="s">
        <v>218</v>
      </c>
      <c r="C218" s="38">
        <v>0</v>
      </c>
      <c r="D218" s="38">
        <v>0</v>
      </c>
      <c r="E218" s="38">
        <v>59.7083653108212</v>
      </c>
      <c r="F218" s="38">
        <v>40.2916346891788</v>
      </c>
      <c r="G218" s="39">
        <f>((C218*0)+(D218*1)+(E218*2)+(F218*3))/100</f>
        <v>2.402916346891788</v>
      </c>
      <c r="I218" s="37" t="s">
        <v>726</v>
      </c>
      <c r="J218" s="37" t="s">
        <v>218</v>
      </c>
      <c r="K218" s="38">
        <v>1.30468150422103</v>
      </c>
      <c r="L218" s="38">
        <v>17.344589409055999</v>
      </c>
      <c r="M218" s="38">
        <v>72.371450498848802</v>
      </c>
      <c r="N218" s="38">
        <v>8.9792785878741395</v>
      </c>
      <c r="O218" s="39">
        <f>((K218*0)+(L218*1)+(M218*2)+(N218*3))/100</f>
        <v>1.8902532617037602</v>
      </c>
    </row>
    <row r="219" spans="1:15" ht="14.25">
      <c r="A219" s="37" t="s">
        <v>730</v>
      </c>
      <c r="B219" s="37" t="s">
        <v>219</v>
      </c>
      <c r="C219" s="38">
        <v>0.35555555555555601</v>
      </c>
      <c r="D219" s="38">
        <v>34.6666666666667</v>
      </c>
      <c r="E219" s="38">
        <v>62.933333333333302</v>
      </c>
      <c r="F219" s="38">
        <v>2.0444444444444398</v>
      </c>
      <c r="G219" s="39">
        <f>((C219*0)+(D219*1)+(E219*2)+(F219*3))/100</f>
        <v>1.6666666666666663</v>
      </c>
      <c r="I219" s="37" t="s">
        <v>730</v>
      </c>
      <c r="J219" s="37" t="s">
        <v>219</v>
      </c>
      <c r="K219" s="38">
        <v>1.1703703703703701</v>
      </c>
      <c r="L219" s="38">
        <v>13.0666666666667</v>
      </c>
      <c r="M219" s="38">
        <v>80.740740740740705</v>
      </c>
      <c r="N219" s="38">
        <v>5.0222222222222204</v>
      </c>
      <c r="O219" s="39">
        <f>((K219*0)+(L219*1)+(M219*2)+(N219*3))/100</f>
        <v>1.8961481481481477</v>
      </c>
    </row>
    <row r="220" spans="1:15" ht="14.25">
      <c r="A220" s="37" t="s">
        <v>511</v>
      </c>
      <c r="B220" s="37" t="s">
        <v>512</v>
      </c>
      <c r="C220" s="38">
        <v>0</v>
      </c>
      <c r="D220" s="38">
        <v>1.3659647125782599</v>
      </c>
      <c r="E220" s="38">
        <v>74.615822424587407</v>
      </c>
      <c r="F220" s="38">
        <v>24.0182128628344</v>
      </c>
      <c r="G220" s="39">
        <f>((C220*0)+(D220*1)+(E220*2)+(F220*3))/100</f>
        <v>2.2265224815025628</v>
      </c>
      <c r="I220" s="37" t="s">
        <v>511</v>
      </c>
      <c r="J220" s="37" t="s">
        <v>512</v>
      </c>
      <c r="K220" s="38">
        <v>40.352874217416101</v>
      </c>
      <c r="L220" s="38">
        <v>56.346044393853198</v>
      </c>
      <c r="M220" s="38">
        <v>3.3010813887307902</v>
      </c>
      <c r="N220" s="38">
        <v>0</v>
      </c>
      <c r="O220" s="39">
        <f>((K220*0)+(L220*1)+(M220*2)+(N220*3))/100</f>
        <v>0.62948207171314774</v>
      </c>
    </row>
    <row r="221" spans="1:15" ht="14.25">
      <c r="A221" s="37" t="s">
        <v>719</v>
      </c>
      <c r="B221" s="37" t="s">
        <v>720</v>
      </c>
      <c r="C221" s="38">
        <v>0</v>
      </c>
      <c r="D221" s="38">
        <v>0.29498525073746301</v>
      </c>
      <c r="E221" s="38">
        <v>81.710914454277301</v>
      </c>
      <c r="F221" s="38">
        <v>17.994100294985302</v>
      </c>
      <c r="G221" s="39">
        <f>((C221*0)+(D221*1)+(E221*2)+(F221*3))/100</f>
        <v>2.1769911504424795</v>
      </c>
      <c r="I221" s="37" t="s">
        <v>719</v>
      </c>
      <c r="J221" s="37" t="s">
        <v>720</v>
      </c>
      <c r="K221" s="38">
        <v>0.39331366764995102</v>
      </c>
      <c r="L221" s="38">
        <v>18.682399213372701</v>
      </c>
      <c r="M221" s="38">
        <v>75.417895771878094</v>
      </c>
      <c r="N221" s="38">
        <v>5.50639134709931</v>
      </c>
      <c r="O221" s="39">
        <f>((K221*0)+(L221*1)+(M221*2)+(N221*3))/100</f>
        <v>1.8603736479842681</v>
      </c>
    </row>
    <row r="222" spans="1:15" ht="14.25">
      <c r="A222" s="37" t="s">
        <v>694</v>
      </c>
      <c r="B222" s="37" t="s">
        <v>222</v>
      </c>
      <c r="C222" s="38">
        <v>1.5100671140939601</v>
      </c>
      <c r="D222" s="38">
        <v>5.2013422818792003</v>
      </c>
      <c r="E222" s="38">
        <v>81.040268456375799</v>
      </c>
      <c r="F222" s="38">
        <v>12.248322147651001</v>
      </c>
      <c r="G222" s="39">
        <f>((C222*0)+(D222*1)+(E222*2)+(F222*3))/100</f>
        <v>2.0402684563758378</v>
      </c>
      <c r="I222" s="37" t="s">
        <v>694</v>
      </c>
      <c r="J222" s="37" t="s">
        <v>222</v>
      </c>
      <c r="K222" s="38">
        <v>7.7181208053691304</v>
      </c>
      <c r="L222" s="38">
        <v>17.6174496644295</v>
      </c>
      <c r="M222" s="38">
        <v>74.328859060402706</v>
      </c>
      <c r="N222" s="38">
        <v>0.33557046979865801</v>
      </c>
      <c r="O222" s="39">
        <f>((K222*0)+(L222*1)+(M222*2)+(N222*3))/100</f>
        <v>1.6728187919463087</v>
      </c>
    </row>
    <row r="223" spans="1:15" ht="14.25">
      <c r="A223" s="37" t="s">
        <v>520</v>
      </c>
      <c r="B223" s="37" t="s">
        <v>223</v>
      </c>
      <c r="C223" s="38">
        <v>47.220496894409898</v>
      </c>
      <c r="D223" s="38">
        <v>50.031055900621098</v>
      </c>
      <c r="E223" s="38">
        <v>2.2826086956521698</v>
      </c>
      <c r="F223" s="38">
        <v>0.46583850931677001</v>
      </c>
      <c r="G223" s="39">
        <f>((C223*0)+(D223*1)+(E223*2)+(F223*3))/100</f>
        <v>0.55993788819875745</v>
      </c>
      <c r="I223" s="37" t="s">
        <v>520</v>
      </c>
      <c r="J223" s="37" t="s">
        <v>223</v>
      </c>
      <c r="K223" s="38">
        <v>22.841614906832302</v>
      </c>
      <c r="L223" s="38">
        <v>73.773291925465799</v>
      </c>
      <c r="M223" s="38">
        <v>3.3385093167701898</v>
      </c>
      <c r="N223" s="38">
        <v>4.6583850931677002E-2</v>
      </c>
      <c r="O223" s="39">
        <f>((K223*0)+(L223*1)+(M223*2)+(N223*3))/100</f>
        <v>0.80590062111801219</v>
      </c>
    </row>
    <row r="224" spans="1:15" ht="14.25">
      <c r="A224" s="37" t="s">
        <v>724</v>
      </c>
      <c r="B224" s="37" t="s">
        <v>224</v>
      </c>
      <c r="C224" s="38">
        <v>1.38323840520749</v>
      </c>
      <c r="D224" s="38">
        <v>74.776240846216396</v>
      </c>
      <c r="E224" s="38">
        <v>23.718470301057799</v>
      </c>
      <c r="F224" s="38">
        <v>0.122050447518308</v>
      </c>
      <c r="G224" s="39">
        <f>((C224*0)+(D224*1)+(E224*2)+(F224*3))/100</f>
        <v>1.2257933279088693</v>
      </c>
      <c r="I224" s="37" t="s">
        <v>724</v>
      </c>
      <c r="J224" s="37" t="s">
        <v>224</v>
      </c>
      <c r="K224" s="38">
        <v>0.48820179007323</v>
      </c>
      <c r="L224" s="38">
        <v>11.147274206672099</v>
      </c>
      <c r="M224" s="38">
        <v>87.510170870626496</v>
      </c>
      <c r="N224" s="38">
        <v>0.85435313262815304</v>
      </c>
      <c r="O224" s="39">
        <f>((K224*0)+(L224*1)+(M224*2)+(N224*3))/100</f>
        <v>1.8873067534580956</v>
      </c>
    </row>
    <row r="225" spans="1:15" ht="14.25">
      <c r="A225" s="37" t="s">
        <v>745</v>
      </c>
      <c r="B225" s="37" t="s">
        <v>225</v>
      </c>
      <c r="C225" s="38">
        <v>8.0308384195310001E-2</v>
      </c>
      <c r="D225" s="38">
        <v>14.7499732305386</v>
      </c>
      <c r="E225" s="38">
        <v>84.966270478637995</v>
      </c>
      <c r="F225" s="38">
        <v>0.20344790662811901</v>
      </c>
      <c r="G225" s="39">
        <f>((C225*0)+(D225*1)+(E225*2)+(F225*3))/100</f>
        <v>1.8529285790769896</v>
      </c>
      <c r="I225" s="37" t="s">
        <v>745</v>
      </c>
      <c r="J225" s="37" t="s">
        <v>225</v>
      </c>
      <c r="K225" s="38">
        <v>9.6370061034371998E-2</v>
      </c>
      <c r="L225" s="38">
        <v>4.0636042402826904</v>
      </c>
      <c r="M225" s="38">
        <v>95.631223899775094</v>
      </c>
      <c r="N225" s="38">
        <v>0.20880179890780601</v>
      </c>
      <c r="O225" s="39">
        <f>((K225*0)+(L225*1)+(M225*2)+(N225*3))/100</f>
        <v>1.9595245743655629</v>
      </c>
    </row>
    <row r="226" spans="1:15" ht="14.25">
      <c r="A226" s="37" t="s">
        <v>734</v>
      </c>
      <c r="B226" s="37" t="s">
        <v>226</v>
      </c>
      <c r="C226" s="38">
        <v>0</v>
      </c>
      <c r="D226" s="38">
        <v>15.6328107248353</v>
      </c>
      <c r="E226" s="38">
        <v>84.049079754601195</v>
      </c>
      <c r="F226" s="38">
        <v>0.318109520563508</v>
      </c>
      <c r="G226" s="39">
        <f>((C226*0)+(D226*1)+(E226*2)+(F226*3))/100</f>
        <v>1.8468529879572821</v>
      </c>
      <c r="I226" s="37" t="s">
        <v>734</v>
      </c>
      <c r="J226" s="37" t="s">
        <v>226</v>
      </c>
      <c r="K226" s="38">
        <v>0</v>
      </c>
      <c r="L226" s="38">
        <v>7.8391274710293102</v>
      </c>
      <c r="M226" s="38">
        <v>91.842763008407204</v>
      </c>
      <c r="N226" s="38">
        <v>0.318109520563508</v>
      </c>
      <c r="O226" s="39">
        <f>((K226*0)+(L226*1)+(M226*2)+(N226*3))/100</f>
        <v>1.9247898204953424</v>
      </c>
    </row>
    <row r="227" spans="1:15" ht="14.25">
      <c r="A227" s="37" t="s">
        <v>547</v>
      </c>
      <c r="B227" s="37" t="s">
        <v>548</v>
      </c>
      <c r="C227" s="38">
        <v>0.18288501104930299</v>
      </c>
      <c r="D227" s="38">
        <v>34.649089385049102</v>
      </c>
      <c r="E227" s="38">
        <v>65.168025603901498</v>
      </c>
      <c r="F227" s="38">
        <v>0</v>
      </c>
      <c r="G227" s="39">
        <f>((C227*0)+(D227*1)+(E227*2)+(F227*3))/100</f>
        <v>1.649851405928521</v>
      </c>
      <c r="I227" s="37" t="s">
        <v>547</v>
      </c>
      <c r="J227" s="37" t="s">
        <v>548</v>
      </c>
      <c r="K227" s="38">
        <v>10.241560618761</v>
      </c>
      <c r="L227" s="38">
        <v>88.554446391831107</v>
      </c>
      <c r="M227" s="38">
        <v>1.20399298940791</v>
      </c>
      <c r="N227" s="38">
        <v>0</v>
      </c>
      <c r="O227" s="39">
        <f>((K227*0)+(L227*1)+(M227*2)+(N227*3))/100</f>
        <v>0.90962432370646917</v>
      </c>
    </row>
    <row r="228" spans="1:15" ht="14.25">
      <c r="A228" s="37" t="s">
        <v>672</v>
      </c>
      <c r="B228" s="37" t="s">
        <v>228</v>
      </c>
      <c r="C228" s="38">
        <v>0.26881720430107497</v>
      </c>
      <c r="D228" s="38">
        <v>47.580645161290299</v>
      </c>
      <c r="E228" s="38">
        <v>50.268817204301101</v>
      </c>
      <c r="F228" s="38">
        <v>1.8817204301075301</v>
      </c>
      <c r="G228" s="39">
        <f>((C228*0)+(D228*1)+(E228*2)+(F228*3))/100</f>
        <v>1.5376344086021509</v>
      </c>
      <c r="I228" s="37" t="s">
        <v>672</v>
      </c>
      <c r="J228" s="37" t="s">
        <v>228</v>
      </c>
      <c r="K228" s="38">
        <v>1.0752688172042999</v>
      </c>
      <c r="L228" s="38">
        <v>62.365591397849499</v>
      </c>
      <c r="M228" s="38">
        <v>36.559139784946197</v>
      </c>
      <c r="N228" s="38">
        <v>0</v>
      </c>
      <c r="O228" s="39">
        <f>((K228*0)+(L228*1)+(M228*2)+(N228*3))/100</f>
        <v>1.354838709677419</v>
      </c>
    </row>
    <row r="229" spans="1:15" ht="14.25">
      <c r="A229" s="37" t="s">
        <v>554</v>
      </c>
      <c r="B229" s="37" t="s">
        <v>229</v>
      </c>
      <c r="C229" s="38">
        <v>5.8667842964270003</v>
      </c>
      <c r="D229" s="38">
        <v>73.621526246140306</v>
      </c>
      <c r="E229" s="38">
        <v>20.467578297309199</v>
      </c>
      <c r="F229" s="38">
        <v>4.4111160123511198E-2</v>
      </c>
      <c r="G229" s="39">
        <f>((C229*0)+(D229*1)+(E229*2)+(F229*3))/100</f>
        <v>1.1468901632112922</v>
      </c>
      <c r="I229" s="37" t="s">
        <v>554</v>
      </c>
      <c r="J229" s="37" t="s">
        <v>229</v>
      </c>
      <c r="K229" s="38">
        <v>8.4693427437141597</v>
      </c>
      <c r="L229" s="38">
        <v>90.560211733568593</v>
      </c>
      <c r="M229" s="38">
        <v>0.97044552271724704</v>
      </c>
      <c r="N229" s="38">
        <v>0</v>
      </c>
      <c r="O229" s="39">
        <f>((K229*0)+(L229*1)+(M229*2)+(N229*3))/100</f>
        <v>0.92501102779003086</v>
      </c>
    </row>
    <row r="230" spans="1:15" ht="14.25">
      <c r="A230" s="37" t="s">
        <v>485</v>
      </c>
      <c r="B230" s="37" t="s">
        <v>230</v>
      </c>
      <c r="C230" s="38">
        <v>0.121359223300971</v>
      </c>
      <c r="D230" s="38">
        <v>0.18203883495145601</v>
      </c>
      <c r="E230" s="38">
        <v>91.808252427184499</v>
      </c>
      <c r="F230" s="38">
        <v>7.8883495145631102</v>
      </c>
      <c r="G230" s="39">
        <f>((C230*0)+(D230*1)+(E230*2)+(F230*3))/100</f>
        <v>2.0746359223300979</v>
      </c>
      <c r="I230" s="37" t="s">
        <v>485</v>
      </c>
      <c r="J230" s="37" t="s">
        <v>230</v>
      </c>
      <c r="K230" s="38">
        <v>70.752427184466001</v>
      </c>
      <c r="L230" s="38">
        <v>25.728155339805799</v>
      </c>
      <c r="M230" s="38">
        <v>2.9733009708737899</v>
      </c>
      <c r="N230" s="38">
        <v>0.54611650485436902</v>
      </c>
      <c r="O230" s="39">
        <f>((K230*0)+(L230*1)+(M230*2)+(N230*3))/100</f>
        <v>0.33313106796116487</v>
      </c>
    </row>
    <row r="231" spans="1:15" ht="14.25">
      <c r="A231" s="37" t="s">
        <v>660</v>
      </c>
      <c r="B231" s="37" t="s">
        <v>231</v>
      </c>
      <c r="C231" s="38">
        <v>0.418410041841004</v>
      </c>
      <c r="D231" s="38">
        <v>15.8298465829847</v>
      </c>
      <c r="E231" s="38">
        <v>82.705718270571793</v>
      </c>
      <c r="F231" s="38">
        <v>1.04602510460251</v>
      </c>
      <c r="G231" s="39">
        <f>((C231*0)+(D231*1)+(E231*2)+(F231*3))/100</f>
        <v>1.8437935843793583</v>
      </c>
      <c r="I231" s="37" t="s">
        <v>660</v>
      </c>
      <c r="J231" s="37" t="s">
        <v>231</v>
      </c>
      <c r="K231" s="38">
        <v>2.7894002789400298</v>
      </c>
      <c r="L231" s="38">
        <v>69.456066945606693</v>
      </c>
      <c r="M231" s="38">
        <v>27.754532775453299</v>
      </c>
      <c r="N231" s="38">
        <v>0</v>
      </c>
      <c r="O231" s="39">
        <f>((K231*0)+(L231*1)+(M231*2)+(N231*3))/100</f>
        <v>1.2496513249651329</v>
      </c>
    </row>
    <row r="232" spans="1:15" ht="14.25">
      <c r="A232" s="37" t="s">
        <v>757</v>
      </c>
      <c r="B232" s="37" t="s">
        <v>232</v>
      </c>
      <c r="C232" s="38">
        <v>0</v>
      </c>
      <c r="D232" s="38">
        <v>0</v>
      </c>
      <c r="E232" s="38">
        <v>76.885752095280097</v>
      </c>
      <c r="F232" s="38">
        <v>23.1142479047199</v>
      </c>
      <c r="G232" s="39">
        <f>((C232*0)+(D232*1)+(E232*2)+(F232*3))/100</f>
        <v>2.231142479047199</v>
      </c>
      <c r="I232" s="37" t="s">
        <v>757</v>
      </c>
      <c r="J232" s="37" t="s">
        <v>232</v>
      </c>
      <c r="K232" s="38">
        <v>3.9258932509925</v>
      </c>
      <c r="L232" s="38">
        <v>4.2346713718570799</v>
      </c>
      <c r="M232" s="38">
        <v>72.165857962064393</v>
      </c>
      <c r="N232" s="38">
        <v>19.673577415086001</v>
      </c>
      <c r="O232" s="39">
        <f>((K232*0)+(L232*1)+(M232*2)+(N232*3))/100</f>
        <v>2.0758711954124385</v>
      </c>
    </row>
    <row r="233" spans="1:15" ht="14.25">
      <c r="A233" s="37" t="s">
        <v>617</v>
      </c>
      <c r="B233" s="37" t="s">
        <v>233</v>
      </c>
      <c r="C233" s="38">
        <v>31.605958192514699</v>
      </c>
      <c r="D233" s="38">
        <v>65.540117661785004</v>
      </c>
      <c r="E233" s="38">
        <v>2.8539241457003399</v>
      </c>
      <c r="F233" s="38">
        <v>0</v>
      </c>
      <c r="G233" s="39">
        <f>((C233*0)+(D233*1)+(E233*2)+(F233*3))/100</f>
        <v>0.71247965953185688</v>
      </c>
      <c r="I233" s="37" t="s">
        <v>617</v>
      </c>
      <c r="J233" s="37" t="s">
        <v>233</v>
      </c>
      <c r="K233" s="38">
        <v>1.06396294905495</v>
      </c>
      <c r="L233" s="38">
        <v>95.931906371260496</v>
      </c>
      <c r="M233" s="38">
        <v>3.0041306796845699</v>
      </c>
      <c r="N233" s="38">
        <v>0</v>
      </c>
      <c r="O233" s="39">
        <f>((K233*0)+(L233*1)+(M233*2)+(N233*3))/100</f>
        <v>1.0194016773062964</v>
      </c>
    </row>
    <row r="234" spans="1:15" ht="14.25">
      <c r="A234" s="37" t="s">
        <v>678</v>
      </c>
      <c r="B234" s="37" t="s">
        <v>234</v>
      </c>
      <c r="C234" s="38">
        <v>0.86112415844684498</v>
      </c>
      <c r="D234" s="38">
        <v>32.785345232503502</v>
      </c>
      <c r="E234" s="38">
        <v>65.742915296696395</v>
      </c>
      <c r="F234" s="38">
        <v>0.61061531235321698</v>
      </c>
      <c r="G234" s="39">
        <f>((C234*0)+(D234*1)+(E234*2)+(F234*3))/100</f>
        <v>1.6610302176295597</v>
      </c>
      <c r="I234" s="37" t="s">
        <v>678</v>
      </c>
      <c r="J234" s="37" t="s">
        <v>234</v>
      </c>
      <c r="K234" s="38">
        <v>4.6970408642555202E-2</v>
      </c>
      <c r="L234" s="38">
        <v>55.769531861593897</v>
      </c>
      <c r="M234" s="38">
        <v>44.120870518240203</v>
      </c>
      <c r="N234" s="38">
        <v>6.2627211523406903E-2</v>
      </c>
      <c r="O234" s="39">
        <f>((K234*0)+(L234*1)+(M234*2)+(N234*3))/100</f>
        <v>1.4419915453264454</v>
      </c>
    </row>
    <row r="235" spans="1:15" ht="14.25">
      <c r="A235" s="37" t="s">
        <v>550</v>
      </c>
      <c r="B235" s="37" t="s">
        <v>235</v>
      </c>
      <c r="C235" s="38">
        <v>11.1824014665445</v>
      </c>
      <c r="D235" s="38">
        <v>82.401466544454607</v>
      </c>
      <c r="E235" s="38">
        <v>5.6828597616865304</v>
      </c>
      <c r="F235" s="38">
        <v>0.73327222731439001</v>
      </c>
      <c r="G235" s="39">
        <f>((C235*0)+(D235*1)+(E235*2)+(F235*3))/100</f>
        <v>0.95967002749770847</v>
      </c>
      <c r="I235" s="37" t="s">
        <v>550</v>
      </c>
      <c r="J235" s="37" t="s">
        <v>235</v>
      </c>
      <c r="K235" s="38">
        <v>11.732355637030199</v>
      </c>
      <c r="L235" s="38">
        <v>84.876260311640706</v>
      </c>
      <c r="M235" s="38">
        <v>3.3913840513290601</v>
      </c>
      <c r="N235" s="38">
        <v>0</v>
      </c>
      <c r="O235" s="39">
        <f>((K235*0)+(L235*1)+(M235*2)+(N235*3))/100</f>
        <v>0.91659028414298827</v>
      </c>
    </row>
    <row r="236" spans="1:15" ht="14.25">
      <c r="A236" s="37" t="s">
        <v>729</v>
      </c>
      <c r="B236" s="37" t="s">
        <v>236</v>
      </c>
      <c r="C236" s="38">
        <v>4.4444444444444398E-2</v>
      </c>
      <c r="D236" s="38">
        <v>3.3333333333333299</v>
      </c>
      <c r="E236" s="38">
        <v>53.422222222222203</v>
      </c>
      <c r="F236" s="38">
        <v>43.2</v>
      </c>
      <c r="G236" s="39">
        <f>((C236*0)+(D236*1)+(E236*2)+(F236*3))/100</f>
        <v>2.3977777777777778</v>
      </c>
      <c r="I236" s="37" t="s">
        <v>729</v>
      </c>
      <c r="J236" s="37" t="s">
        <v>236</v>
      </c>
      <c r="K236" s="38">
        <v>4.4444444444444398E-2</v>
      </c>
      <c r="L236" s="38">
        <v>13.6444444444444</v>
      </c>
      <c r="M236" s="38">
        <v>83.1111111111111</v>
      </c>
      <c r="N236" s="38">
        <v>3.2</v>
      </c>
      <c r="O236" s="39">
        <f>((K236*0)+(L236*1)+(M236*2)+(N236*3))/100</f>
        <v>1.8946666666666658</v>
      </c>
    </row>
    <row r="237" spans="1:15" ht="14.25">
      <c r="A237" s="37" t="s">
        <v>532</v>
      </c>
      <c r="B237" s="37" t="s">
        <v>237</v>
      </c>
      <c r="C237" s="38">
        <v>0.44843049327354301</v>
      </c>
      <c r="D237" s="38">
        <v>6.0538116591928297</v>
      </c>
      <c r="E237" s="38">
        <v>73.318385650224201</v>
      </c>
      <c r="F237" s="38">
        <v>20.179372197309402</v>
      </c>
      <c r="G237" s="39">
        <f>((C237*0)+(D237*1)+(E237*2)+(F237*3))/100</f>
        <v>2.1322869955156944</v>
      </c>
      <c r="I237" s="37" t="s">
        <v>532</v>
      </c>
      <c r="J237" s="37" t="s">
        <v>237</v>
      </c>
      <c r="K237" s="38">
        <v>24.215246636771301</v>
      </c>
      <c r="L237" s="38">
        <v>66.591928251121104</v>
      </c>
      <c r="M237" s="38">
        <v>9.1928251121076201</v>
      </c>
      <c r="N237" s="38">
        <v>0</v>
      </c>
      <c r="O237" s="39">
        <f>((K237*0)+(L237*1)+(M237*2)+(N237*3))/100</f>
        <v>0.84977578475336346</v>
      </c>
    </row>
    <row r="238" spans="1:15" ht="14.25">
      <c r="A238" s="37" t="s">
        <v>493</v>
      </c>
      <c r="B238" s="37" t="s">
        <v>238</v>
      </c>
      <c r="C238" s="38">
        <v>0</v>
      </c>
      <c r="D238" s="38">
        <v>0.22935779816513799</v>
      </c>
      <c r="E238" s="38">
        <v>75.917431192660501</v>
      </c>
      <c r="F238" s="38">
        <v>23.853211009174299</v>
      </c>
      <c r="G238" s="39">
        <f>((C238*0)+(D238*1)+(E238*2)+(F238*3))/100</f>
        <v>2.2362385321100904</v>
      </c>
      <c r="I238" s="37" t="s">
        <v>493</v>
      </c>
      <c r="J238" s="37" t="s">
        <v>238</v>
      </c>
      <c r="K238" s="38">
        <v>66.055045871559599</v>
      </c>
      <c r="L238" s="38">
        <v>24.7706422018349</v>
      </c>
      <c r="M238" s="38">
        <v>8.7155963302752308</v>
      </c>
      <c r="N238" s="38">
        <v>0.45871559633027498</v>
      </c>
      <c r="O238" s="39">
        <f>((K238*0)+(L238*1)+(M238*2)+(N238*3))/100</f>
        <v>0.43577981651376185</v>
      </c>
    </row>
    <row r="239" spans="1:15" ht="14.25">
      <c r="A239" s="37" t="s">
        <v>725</v>
      </c>
      <c r="B239" s="37" t="s">
        <v>239</v>
      </c>
      <c r="C239" s="38">
        <v>0</v>
      </c>
      <c r="D239" s="38">
        <v>67.9333213837605</v>
      </c>
      <c r="E239" s="38">
        <v>32.0666786162395</v>
      </c>
      <c r="F239" s="38">
        <v>0</v>
      </c>
      <c r="G239" s="39">
        <f>((C239*0)+(D239*1)+(E239*2)+(F239*3))/100</f>
        <v>1.3206667861623951</v>
      </c>
      <c r="I239" s="37" t="s">
        <v>725</v>
      </c>
      <c r="J239" s="37" t="s">
        <v>239</v>
      </c>
      <c r="K239" s="38">
        <v>0</v>
      </c>
      <c r="L239" s="38">
        <v>11.148951424986601</v>
      </c>
      <c r="M239" s="38">
        <v>88.833124215809306</v>
      </c>
      <c r="N239" s="38">
        <v>1.79243592041585E-2</v>
      </c>
      <c r="O239" s="39">
        <f>((K239*0)+(L239*1)+(M239*2)+(N239*3))/100</f>
        <v>1.8886897293421767</v>
      </c>
    </row>
    <row r="240" spans="1:15" ht="14.25">
      <c r="A240" s="37" t="s">
        <v>738</v>
      </c>
      <c r="B240" s="37" t="s">
        <v>240</v>
      </c>
      <c r="C240" s="38">
        <v>7.1581961345740894E-2</v>
      </c>
      <c r="D240" s="38">
        <v>16.893342877594801</v>
      </c>
      <c r="E240" s="38">
        <v>83.035075161059396</v>
      </c>
      <c r="F240" s="38">
        <v>0</v>
      </c>
      <c r="G240" s="39">
        <f>((C240*0)+(D240*1)+(E240*2)+(F240*3))/100</f>
        <v>1.8296349319971359</v>
      </c>
      <c r="I240" s="37" t="s">
        <v>738</v>
      </c>
      <c r="J240" s="37" t="s">
        <v>240</v>
      </c>
      <c r="K240" s="38">
        <v>0</v>
      </c>
      <c r="L240" s="38">
        <v>5.2970651395848201</v>
      </c>
      <c r="M240" s="38">
        <v>94.702934860415198</v>
      </c>
      <c r="N240" s="38">
        <v>0</v>
      </c>
      <c r="O240" s="39">
        <f>((K240*0)+(L240*1)+(M240*2)+(N240*3))/100</f>
        <v>1.9470293486041521</v>
      </c>
    </row>
    <row r="241" spans="1:15" ht="14.25">
      <c r="A241" s="37" t="s">
        <v>410</v>
      </c>
      <c r="B241" s="37" t="s">
        <v>241</v>
      </c>
      <c r="C241" s="38">
        <v>33.361030328209402</v>
      </c>
      <c r="D241" s="38">
        <v>65.226422933111806</v>
      </c>
      <c r="E241" s="38">
        <v>1.2463647694225199</v>
      </c>
      <c r="F241" s="38">
        <v>0.16618196925633599</v>
      </c>
      <c r="G241" s="39">
        <f>((C241*0)+(D241*1)+(E241*2)+(F241*3))/100</f>
        <v>0.68217698379725855</v>
      </c>
      <c r="I241" s="37" t="s">
        <v>410</v>
      </c>
      <c r="J241" s="37" t="s">
        <v>241</v>
      </c>
      <c r="K241" s="38">
        <v>96.177814707104304</v>
      </c>
      <c r="L241" s="38">
        <v>2.7420024927295401</v>
      </c>
      <c r="M241" s="38">
        <v>1.08018280016618</v>
      </c>
      <c r="N241" s="38">
        <v>0</v>
      </c>
      <c r="O241" s="39">
        <f>((K241*0)+(L241*1)+(M241*2)+(N241*3))/100</f>
        <v>4.9023680930619006E-2</v>
      </c>
    </row>
    <row r="242" spans="1:15" ht="14.25">
      <c r="A242" s="37" t="s">
        <v>744</v>
      </c>
      <c r="B242" s="37" t="s">
        <v>242</v>
      </c>
      <c r="C242" s="38">
        <v>0</v>
      </c>
      <c r="D242" s="38">
        <v>13.0347860855658</v>
      </c>
      <c r="E242" s="38">
        <v>86.925229908036798</v>
      </c>
      <c r="F242" s="38">
        <v>3.9984006397440999E-2</v>
      </c>
      <c r="G242" s="39">
        <f>((C242*0)+(D242*1)+(E242*2)+(F242*3))/100</f>
        <v>1.870051979208317</v>
      </c>
      <c r="I242" s="37" t="s">
        <v>744</v>
      </c>
      <c r="J242" s="37" t="s">
        <v>242</v>
      </c>
      <c r="K242" s="38">
        <v>3.9984006397440999E-2</v>
      </c>
      <c r="L242" s="38">
        <v>4.3982407037185096</v>
      </c>
      <c r="M242" s="38">
        <v>95.521791283486607</v>
      </c>
      <c r="N242" s="38">
        <v>3.9984006397440999E-2</v>
      </c>
      <c r="O242" s="39">
        <f>((K242*0)+(L242*1)+(M242*2)+(N242*3))/100</f>
        <v>1.9556177528988403</v>
      </c>
    </row>
    <row r="243" spans="1:15" ht="14.25">
      <c r="A243" s="37" t="s">
        <v>435</v>
      </c>
      <c r="B243" s="37" t="s">
        <v>243</v>
      </c>
      <c r="C243" s="38">
        <v>43.447669305189102</v>
      </c>
      <c r="D243" s="38">
        <v>52.902374670184699</v>
      </c>
      <c r="E243" s="38">
        <v>3.6499560246262099</v>
      </c>
      <c r="F243" s="38">
        <v>0</v>
      </c>
      <c r="G243" s="39">
        <f>((C243*0)+(D243*1)+(E243*2)+(F243*3))/100</f>
        <v>0.60202286719437115</v>
      </c>
      <c r="I243" s="37" t="s">
        <v>435</v>
      </c>
      <c r="J243" s="37" t="s">
        <v>243</v>
      </c>
      <c r="K243" s="38">
        <v>92.524186455584896</v>
      </c>
      <c r="L243" s="38">
        <v>6.5963060686015798</v>
      </c>
      <c r="M243" s="38">
        <v>0.87950747581354405</v>
      </c>
      <c r="N243" s="38">
        <v>0</v>
      </c>
      <c r="O243" s="39">
        <f>((K243*0)+(L243*1)+(M243*2)+(N243*3))/100</f>
        <v>8.355321020228669E-2</v>
      </c>
    </row>
    <row r="244" spans="1:15" ht="14.25">
      <c r="A244" s="37" t="s">
        <v>589</v>
      </c>
      <c r="B244" s="37" t="s">
        <v>244</v>
      </c>
      <c r="C244" s="38">
        <v>0.48690006955715298</v>
      </c>
      <c r="D244" s="38">
        <v>83.746811963830297</v>
      </c>
      <c r="E244" s="38">
        <v>15.7662879666126</v>
      </c>
      <c r="F244" s="38">
        <v>0</v>
      </c>
      <c r="G244" s="39">
        <f>((C244*0)+(D244*1)+(E244*2)+(F244*3))/100</f>
        <v>1.152793878970555</v>
      </c>
      <c r="I244" s="37" t="s">
        <v>589</v>
      </c>
      <c r="J244" s="37" t="s">
        <v>244</v>
      </c>
      <c r="K244" s="38">
        <v>1.57662879666126</v>
      </c>
      <c r="L244" s="38">
        <v>97.727799675399993</v>
      </c>
      <c r="M244" s="38">
        <v>0.69557152793878996</v>
      </c>
      <c r="N244" s="38">
        <v>0</v>
      </c>
      <c r="O244" s="39">
        <f>((K244*0)+(L244*1)+(M244*2)+(N244*3))/100</f>
        <v>0.99118942731277571</v>
      </c>
    </row>
    <row r="245" spans="1:15" ht="14.25">
      <c r="A245" s="37" t="s">
        <v>373</v>
      </c>
      <c r="B245" s="37" t="s">
        <v>245</v>
      </c>
      <c r="C245" s="38">
        <v>100</v>
      </c>
      <c r="D245" s="38">
        <v>0</v>
      </c>
      <c r="E245" s="38">
        <v>0</v>
      </c>
      <c r="F245" s="38">
        <v>0</v>
      </c>
      <c r="G245" s="39">
        <f>((C245*0)+(D245*1)+(E245*2)+(F245*3))/100</f>
        <v>0</v>
      </c>
      <c r="I245" s="37" t="s">
        <v>373</v>
      </c>
      <c r="J245" s="37" t="s">
        <v>245</v>
      </c>
      <c r="K245" s="38">
        <v>100</v>
      </c>
      <c r="L245" s="38">
        <v>0</v>
      </c>
      <c r="M245" s="38">
        <v>0</v>
      </c>
      <c r="N245" s="38">
        <v>0</v>
      </c>
      <c r="O245" s="39">
        <f>((K245*0)+(L245*1)+(M245*2)+(N245*3))/100</f>
        <v>0</v>
      </c>
    </row>
    <row r="246" spans="1:15" ht="14.25">
      <c r="A246" s="37" t="s">
        <v>375</v>
      </c>
      <c r="B246" s="37" t="s">
        <v>246</v>
      </c>
      <c r="C246" s="38">
        <v>40.973145440042501</v>
      </c>
      <c r="D246" s="38">
        <v>58.867322520606201</v>
      </c>
      <c r="E246" s="38">
        <v>0.159532039351236</v>
      </c>
      <c r="F246" s="38">
        <v>0</v>
      </c>
      <c r="G246" s="39">
        <f>((C246*0)+(D246*1)+(E246*2)+(F246*3))/100</f>
        <v>0.59186386599308671</v>
      </c>
      <c r="I246" s="37" t="s">
        <v>375</v>
      </c>
      <c r="J246" s="37" t="s">
        <v>246</v>
      </c>
      <c r="K246" s="38">
        <v>99.813879287423603</v>
      </c>
      <c r="L246" s="38">
        <v>0.186120712576442</v>
      </c>
      <c r="M246" s="38">
        <v>0</v>
      </c>
      <c r="N246" s="38">
        <v>0</v>
      </c>
      <c r="O246" s="39">
        <f>((K246*0)+(L246*1)+(M246*2)+(N246*3))/100</f>
        <v>1.8612071257644201E-3</v>
      </c>
    </row>
    <row r="247" spans="1:15" ht="14.25">
      <c r="A247" s="37" t="s">
        <v>514</v>
      </c>
      <c r="B247" s="37" t="s">
        <v>247</v>
      </c>
      <c r="C247" s="38">
        <v>1.7468688200395499</v>
      </c>
      <c r="D247" s="38">
        <v>57.2181938035597</v>
      </c>
      <c r="E247" s="38">
        <v>41.034937376400798</v>
      </c>
      <c r="F247" s="38">
        <v>0</v>
      </c>
      <c r="G247" s="39">
        <f>((C247*0)+(D247*1)+(E247*2)+(F247*3))/100</f>
        <v>1.3928806855636129</v>
      </c>
      <c r="I247" s="37" t="s">
        <v>514</v>
      </c>
      <c r="J247" s="37" t="s">
        <v>247</v>
      </c>
      <c r="K247" s="38">
        <v>31.1140408701384</v>
      </c>
      <c r="L247" s="38">
        <v>68.885959129861604</v>
      </c>
      <c r="M247" s="38">
        <v>0</v>
      </c>
      <c r="N247" s="38">
        <v>0</v>
      </c>
      <c r="O247" s="39">
        <f>((K247*0)+(L247*1)+(M247*2)+(N247*3))/100</f>
        <v>0.68885959129861607</v>
      </c>
    </row>
    <row r="248" spans="1:15" ht="14.25">
      <c r="A248" s="37" t="s">
        <v>376</v>
      </c>
      <c r="B248" s="37" t="s">
        <v>377</v>
      </c>
      <c r="C248" s="38">
        <v>98.939041414611495</v>
      </c>
      <c r="D248" s="38">
        <v>0.94927873429502097</v>
      </c>
      <c r="E248" s="38">
        <v>0.111679851093532</v>
      </c>
      <c r="F248" s="38">
        <v>0</v>
      </c>
      <c r="G248" s="39">
        <f>((C248*0)+(D248*1)+(E248*2)+(F248*3))/100</f>
        <v>1.172638436482085E-2</v>
      </c>
      <c r="I248" s="37" t="s">
        <v>376</v>
      </c>
      <c r="J248" s="37" t="s">
        <v>377</v>
      </c>
      <c r="K248" s="38">
        <v>99.571854058078898</v>
      </c>
      <c r="L248" s="38">
        <v>0.42814594192107203</v>
      </c>
      <c r="M248" s="38">
        <v>0</v>
      </c>
      <c r="N248" s="38">
        <v>0</v>
      </c>
      <c r="O248" s="39">
        <f>((K248*0)+(L248*1)+(M248*2)+(N248*3))/100</f>
        <v>4.2814594192107204E-3</v>
      </c>
    </row>
    <row r="249" spans="1:15" ht="14.25">
      <c r="A249" s="37" t="s">
        <v>663</v>
      </c>
      <c r="B249" s="37" t="s">
        <v>249</v>
      </c>
      <c r="C249" s="38">
        <v>3.6836403033586098</v>
      </c>
      <c r="D249" s="38">
        <v>63.055254604550399</v>
      </c>
      <c r="E249" s="38">
        <v>33.261105092091</v>
      </c>
      <c r="F249" s="38">
        <v>0</v>
      </c>
      <c r="G249" s="39">
        <f>((C249*0)+(D249*1)+(E249*2)+(F249*3))/100</f>
        <v>1.2957746478873242</v>
      </c>
      <c r="I249" s="37" t="s">
        <v>663</v>
      </c>
      <c r="J249" s="37" t="s">
        <v>249</v>
      </c>
      <c r="K249" s="38">
        <v>5.3087757313109396</v>
      </c>
      <c r="L249" s="38">
        <v>59.154929577464799</v>
      </c>
      <c r="M249" s="38">
        <v>35.536294691224299</v>
      </c>
      <c r="N249" s="38">
        <v>0</v>
      </c>
      <c r="O249" s="39">
        <f>((K249*0)+(L249*1)+(M249*2)+(N249*3))/100</f>
        <v>1.302275189599134</v>
      </c>
    </row>
    <row r="250" spans="1:15" ht="14.25">
      <c r="A250" s="37" t="s">
        <v>688</v>
      </c>
      <c r="B250" s="37" t="s">
        <v>250</v>
      </c>
      <c r="C250" s="38">
        <v>1.44404332129964</v>
      </c>
      <c r="D250" s="38">
        <v>3.2490974729241899</v>
      </c>
      <c r="E250" s="38">
        <v>90.407426508509502</v>
      </c>
      <c r="F250" s="38">
        <v>4.8994326972666302</v>
      </c>
      <c r="G250" s="39">
        <f>((C250*0)+(D250*1)+(E250*2)+(F250*3))/100</f>
        <v>1.9876224858174307</v>
      </c>
      <c r="I250" s="37" t="s">
        <v>688</v>
      </c>
      <c r="J250" s="37" t="s">
        <v>250</v>
      </c>
      <c r="K250" s="38">
        <v>2.06291903042806</v>
      </c>
      <c r="L250" s="38">
        <v>33.058277462609603</v>
      </c>
      <c r="M250" s="38">
        <v>64.620938628158797</v>
      </c>
      <c r="N250" s="38">
        <v>0.257864878803507</v>
      </c>
      <c r="O250" s="39">
        <f>((K250*0)+(L250*1)+(M250*2)+(N250*3))/100</f>
        <v>1.6307374935533769</v>
      </c>
    </row>
    <row r="251" spans="1:15" ht="14.25">
      <c r="A251" s="37" t="s">
        <v>629</v>
      </c>
      <c r="B251" s="37" t="s">
        <v>333</v>
      </c>
      <c r="C251" s="38">
        <v>1.3139371187236</v>
      </c>
      <c r="D251" s="38">
        <v>32.285312060065699</v>
      </c>
      <c r="E251" s="38">
        <v>62.646644767714697</v>
      </c>
      <c r="F251" s="38">
        <v>3.75410605349601</v>
      </c>
      <c r="G251" s="39">
        <f>((C251*0)+(D251*1)+(E251*2)+(F251*3))/100</f>
        <v>1.6884091975598312</v>
      </c>
      <c r="I251" s="37" t="s">
        <v>629</v>
      </c>
      <c r="J251" s="37" t="s">
        <v>333</v>
      </c>
      <c r="K251" s="38">
        <v>2.5809479117785101</v>
      </c>
      <c r="L251" s="38">
        <v>89.863913655560793</v>
      </c>
      <c r="M251" s="38">
        <v>7.55513843266072</v>
      </c>
      <c r="N251" s="38">
        <v>0</v>
      </c>
      <c r="O251" s="39">
        <f>((K251*0)+(L251*1)+(M251*2)+(N251*3))/100</f>
        <v>1.0497419052088224</v>
      </c>
    </row>
    <row r="252" spans="1:15" ht="14.25">
      <c r="A252" s="37" t="s">
        <v>689</v>
      </c>
      <c r="B252" s="37" t="s">
        <v>252</v>
      </c>
      <c r="C252" s="38">
        <v>0.13531799729364</v>
      </c>
      <c r="D252" s="38">
        <v>0.76680198466395999</v>
      </c>
      <c r="E252" s="38">
        <v>94.451962110960807</v>
      </c>
      <c r="F252" s="38">
        <v>4.6459179070816399</v>
      </c>
      <c r="G252" s="39">
        <f>((C252*0)+(D252*1)+(E252*2)+(F252*3))/100</f>
        <v>2.0360847992783051</v>
      </c>
      <c r="I252" s="37" t="s">
        <v>689</v>
      </c>
      <c r="J252" s="37" t="s">
        <v>252</v>
      </c>
      <c r="K252" s="38">
        <v>0.76680198466395999</v>
      </c>
      <c r="L252" s="38">
        <v>34.551195308976098</v>
      </c>
      <c r="M252" s="38">
        <v>64.501578709968399</v>
      </c>
      <c r="N252" s="38">
        <v>0.18042399639151999</v>
      </c>
      <c r="O252" s="39">
        <f>((K252*0)+(L252*1)+(M252*2)+(N252*3))/100</f>
        <v>1.6409562471808747</v>
      </c>
    </row>
    <row r="253" spans="1:15" ht="14.25">
      <c r="A253" s="37" t="s">
        <v>394</v>
      </c>
      <c r="B253" s="37" t="s">
        <v>153</v>
      </c>
      <c r="C253" s="38">
        <v>2.3083131557707799</v>
      </c>
      <c r="D253" s="38">
        <v>53.1880548829701</v>
      </c>
      <c r="E253" s="38">
        <v>44.503631961259103</v>
      </c>
      <c r="F253" s="38">
        <v>0</v>
      </c>
      <c r="G253" s="39">
        <f>((C253*0)+(D253*1)+(E253*2)+(F253*3))/100</f>
        <v>1.421953188054883</v>
      </c>
      <c r="I253" s="37" t="s">
        <v>394</v>
      </c>
      <c r="J253" s="37" t="s">
        <v>153</v>
      </c>
      <c r="K253" s="38">
        <v>97.271993543180002</v>
      </c>
      <c r="L253" s="38">
        <v>2.53430185633575</v>
      </c>
      <c r="M253" s="38">
        <v>0.193704600484261</v>
      </c>
      <c r="N253" s="38">
        <v>0</v>
      </c>
      <c r="O253" s="39">
        <f>((K253*0)+(L253*1)+(M253*2)+(N253*3))/100</f>
        <v>2.9217110573042722E-2</v>
      </c>
    </row>
    <row r="254" spans="1:15" ht="14.25">
      <c r="A254" s="37" t="s">
        <v>426</v>
      </c>
      <c r="B254" s="37" t="s">
        <v>253</v>
      </c>
      <c r="C254" s="38">
        <v>0.34482758620689702</v>
      </c>
      <c r="D254" s="38">
        <v>97.310344827586206</v>
      </c>
      <c r="E254" s="38">
        <v>2.3448275862068999</v>
      </c>
      <c r="F254" s="38">
        <v>0</v>
      </c>
      <c r="G254" s="39">
        <f>((C254*0)+(D254*1)+(E254*2)+(F254*3))/100</f>
        <v>1.02</v>
      </c>
      <c r="I254" s="37" t="s">
        <v>426</v>
      </c>
      <c r="J254" s="37" t="s">
        <v>253</v>
      </c>
      <c r="K254" s="38">
        <v>94.275862068965495</v>
      </c>
      <c r="L254" s="38">
        <v>4.4137931034482802</v>
      </c>
      <c r="M254" s="38">
        <v>1.31034482758621</v>
      </c>
      <c r="N254" s="38">
        <v>0</v>
      </c>
      <c r="O254" s="39">
        <f>((K254*0)+(L254*1)+(M254*2)+(N254*3))/100</f>
        <v>7.0344827586206998E-2</v>
      </c>
    </row>
    <row r="255" spans="1:15" ht="14.25">
      <c r="A255" s="37" t="s">
        <v>388</v>
      </c>
      <c r="B255" s="37" t="s">
        <v>254</v>
      </c>
      <c r="C255" s="38">
        <v>1.80451127819549</v>
      </c>
      <c r="D255" s="38">
        <v>96.842105263157904</v>
      </c>
      <c r="E255" s="38">
        <v>1.35338345864662</v>
      </c>
      <c r="F255" s="38">
        <v>0</v>
      </c>
      <c r="G255" s="39">
        <f>((C255*0)+(D255*1)+(E255*2)+(F255*3))/100</f>
        <v>0.99548872180451142</v>
      </c>
      <c r="I255" s="37" t="s">
        <v>388</v>
      </c>
      <c r="J255" s="37" t="s">
        <v>254</v>
      </c>
      <c r="K255" s="38">
        <v>97.443609022556402</v>
      </c>
      <c r="L255" s="38">
        <v>2.55639097744361</v>
      </c>
      <c r="M255" s="38">
        <v>0</v>
      </c>
      <c r="N255" s="38">
        <v>0</v>
      </c>
      <c r="O255" s="39">
        <f>((K255*0)+(L255*1)+(M255*2)+(N255*3))/100</f>
        <v>2.5563909774436101E-2</v>
      </c>
    </row>
    <row r="256" spans="1:15" ht="14.25">
      <c r="A256" s="37" t="s">
        <v>722</v>
      </c>
      <c r="B256" s="37" t="s">
        <v>255</v>
      </c>
      <c r="C256" s="38">
        <v>0</v>
      </c>
      <c r="D256" s="38">
        <v>6.7594433399602396</v>
      </c>
      <c r="E256" s="38">
        <v>93.2405566600398</v>
      </c>
      <c r="F256" s="38">
        <v>0</v>
      </c>
      <c r="G256" s="39">
        <f>((C256*0)+(D256*1)+(E256*2)+(F256*3))/100</f>
        <v>1.9324055666003983</v>
      </c>
      <c r="I256" s="37" t="s">
        <v>722</v>
      </c>
      <c r="J256" s="37" t="s">
        <v>255</v>
      </c>
      <c r="K256" s="38">
        <v>4.5725646123260404</v>
      </c>
      <c r="L256" s="38">
        <v>2.1868787276341899</v>
      </c>
      <c r="M256" s="38">
        <v>93.2405566600398</v>
      </c>
      <c r="N256" s="38">
        <v>0</v>
      </c>
      <c r="O256" s="39">
        <f>((K256*0)+(L256*1)+(M256*2)+(N256*3))/100</f>
        <v>1.8866799204771381</v>
      </c>
    </row>
    <row r="257" spans="1:15" ht="14.25">
      <c r="A257" s="37" t="s">
        <v>445</v>
      </c>
      <c r="B257" s="37" t="s">
        <v>256</v>
      </c>
      <c r="C257" s="38">
        <v>0</v>
      </c>
      <c r="D257" s="38">
        <v>92.972972972972997</v>
      </c>
      <c r="E257" s="38">
        <v>7.0270270270270299</v>
      </c>
      <c r="F257" s="38">
        <v>0</v>
      </c>
      <c r="G257" s="39">
        <f>((C257*0)+(D257*1)+(E257*2)+(F257*3))/100</f>
        <v>1.0702702702702707</v>
      </c>
      <c r="I257" s="37" t="s">
        <v>445</v>
      </c>
      <c r="J257" s="37" t="s">
        <v>256</v>
      </c>
      <c r="K257" s="38">
        <v>89.459459459459495</v>
      </c>
      <c r="L257" s="38">
        <v>9.8198198198198199</v>
      </c>
      <c r="M257" s="38">
        <v>0.72072072072072102</v>
      </c>
      <c r="N257" s="38">
        <v>0</v>
      </c>
      <c r="O257" s="39">
        <f>((K257*0)+(L257*1)+(M257*2)+(N257*3))/100</f>
        <v>0.11261261261261263</v>
      </c>
    </row>
    <row r="258" spans="1:15" ht="14.25">
      <c r="A258" s="37" t="s">
        <v>566</v>
      </c>
      <c r="B258" s="37" t="s">
        <v>257</v>
      </c>
      <c r="C258" s="38">
        <v>3.0985915492957701</v>
      </c>
      <c r="D258" s="38">
        <v>92.863849765258195</v>
      </c>
      <c r="E258" s="38">
        <v>4.0375586854460099</v>
      </c>
      <c r="F258" s="38">
        <v>0</v>
      </c>
      <c r="G258" s="39">
        <f>((C258*0)+(D258*1)+(E258*2)+(F258*3))/100</f>
        <v>1.009389671361502</v>
      </c>
      <c r="I258" s="37" t="s">
        <v>566</v>
      </c>
      <c r="J258" s="37" t="s">
        <v>257</v>
      </c>
      <c r="K258" s="38">
        <v>7.9812206572770004</v>
      </c>
      <c r="L258" s="38">
        <v>88.638497652582203</v>
      </c>
      <c r="M258" s="38">
        <v>3.3802816901408401</v>
      </c>
      <c r="N258" s="38">
        <v>0</v>
      </c>
      <c r="O258" s="39">
        <f>((K258*0)+(L258*1)+(M258*2)+(N258*3))/100</f>
        <v>0.95399061032863886</v>
      </c>
    </row>
    <row r="259" spans="1:15" ht="14.25">
      <c r="A259" s="37" t="s">
        <v>632</v>
      </c>
      <c r="B259" s="37" t="s">
        <v>258</v>
      </c>
      <c r="C259" s="38">
        <v>0</v>
      </c>
      <c r="D259" s="38">
        <v>86.648313833448</v>
      </c>
      <c r="E259" s="38">
        <v>13.351686166552</v>
      </c>
      <c r="F259" s="38">
        <v>0</v>
      </c>
      <c r="G259" s="39">
        <f>((C259*0)+(D259*1)+(E259*2)+(F259*3))/100</f>
        <v>1.13351686166552</v>
      </c>
      <c r="I259" s="37" t="s">
        <v>632</v>
      </c>
      <c r="J259" s="37" t="s">
        <v>258</v>
      </c>
      <c r="K259" s="38">
        <v>5.36820371644873</v>
      </c>
      <c r="L259" s="38">
        <v>83.826565726083999</v>
      </c>
      <c r="M259" s="38">
        <v>10.805230557467301</v>
      </c>
      <c r="N259" s="38">
        <v>0</v>
      </c>
      <c r="O259" s="39">
        <f>((K259*0)+(L259*1)+(M259*2)+(N259*3))/100</f>
        <v>1.0543702684101859</v>
      </c>
    </row>
    <row r="260" spans="1:15" ht="14.25">
      <c r="A260" s="37" t="s">
        <v>517</v>
      </c>
      <c r="B260" s="37" t="s">
        <v>259</v>
      </c>
      <c r="C260" s="38">
        <v>0</v>
      </c>
      <c r="D260" s="38">
        <v>29.0636042402827</v>
      </c>
      <c r="E260" s="38">
        <v>70.9363957597173</v>
      </c>
      <c r="F260" s="38">
        <v>0</v>
      </c>
      <c r="G260" s="39">
        <f>((C260*0)+(D260*1)+(E260*2)+(F260*3))/100</f>
        <v>1.7093639575971731</v>
      </c>
      <c r="I260" s="37" t="s">
        <v>517</v>
      </c>
      <c r="J260" s="37" t="s">
        <v>259</v>
      </c>
      <c r="K260" s="38">
        <v>27.738515901060101</v>
      </c>
      <c r="L260" s="38">
        <v>68.639575971731404</v>
      </c>
      <c r="M260" s="38">
        <v>3.6219081272084801</v>
      </c>
      <c r="N260" s="38">
        <v>0</v>
      </c>
      <c r="O260" s="39">
        <f>((K260*0)+(L260*1)+(M260*2)+(N260*3))/100</f>
        <v>0.75883392226148361</v>
      </c>
    </row>
    <row r="261" spans="1:15" ht="14.25">
      <c r="A261" s="37" t="s">
        <v>508</v>
      </c>
      <c r="B261" s="37" t="s">
        <v>509</v>
      </c>
      <c r="C261" s="38">
        <v>69.413938425128194</v>
      </c>
      <c r="D261" s="38">
        <v>30.586061574871799</v>
      </c>
      <c r="E261" s="38">
        <v>0</v>
      </c>
      <c r="F261" s="38">
        <v>0</v>
      </c>
      <c r="G261" s="39">
        <f>((C261*0)+(D261*1)+(E261*2)+(F261*3))/100</f>
        <v>0.30586061574871798</v>
      </c>
      <c r="I261" s="37" t="s">
        <v>508</v>
      </c>
      <c r="J261" s="37" t="s">
        <v>509</v>
      </c>
      <c r="K261" s="38">
        <v>38.708739879593097</v>
      </c>
      <c r="L261" s="38">
        <v>61.112725762922999</v>
      </c>
      <c r="M261" s="38">
        <v>0.178534357483911</v>
      </c>
      <c r="N261" s="38">
        <v>0</v>
      </c>
      <c r="O261" s="39">
        <f>((K261*0)+(L261*1)+(M261*2)+(N261*3))/100</f>
        <v>0.61469794477890827</v>
      </c>
    </row>
    <row r="262" spans="1:15" ht="14.25">
      <c r="A262" s="37" t="s">
        <v>747</v>
      </c>
      <c r="B262" s="37" t="s">
        <v>748</v>
      </c>
      <c r="C262" s="38">
        <v>1.2494920763917099</v>
      </c>
      <c r="D262" s="38">
        <v>98.273059731816303</v>
      </c>
      <c r="E262" s="38">
        <v>0.47744819179195402</v>
      </c>
      <c r="F262" s="38">
        <v>0</v>
      </c>
      <c r="G262" s="39">
        <f>((C262*0)+(D262*1)+(E262*2)+(F262*3))/100</f>
        <v>0.99227956115400218</v>
      </c>
      <c r="I262" s="37" t="s">
        <v>747</v>
      </c>
      <c r="J262" s="37" t="s">
        <v>748</v>
      </c>
      <c r="K262" s="38">
        <v>0.90410402275497803</v>
      </c>
      <c r="L262" s="38">
        <v>1.8590004063388901</v>
      </c>
      <c r="M262" s="38">
        <v>97.2368955709061</v>
      </c>
      <c r="N262" s="38">
        <v>0</v>
      </c>
      <c r="O262" s="39">
        <f>((K262*0)+(L262*1)+(M262*2)+(N262*3))/100</f>
        <v>1.9633279154815109</v>
      </c>
    </row>
    <row r="263" spans="1:15" ht="14.25">
      <c r="A263" s="37" t="s">
        <v>383</v>
      </c>
      <c r="B263" s="37" t="s">
        <v>262</v>
      </c>
      <c r="C263" s="38">
        <v>88.349318525997006</v>
      </c>
      <c r="D263" s="38">
        <v>11.650681474002999</v>
      </c>
      <c r="E263" s="38">
        <v>0</v>
      </c>
      <c r="F263" s="38">
        <v>0</v>
      </c>
      <c r="G263" s="39">
        <f>((C263*0)+(D263*1)+(E263*2)+(F263*3))/100</f>
        <v>0.11650681474003</v>
      </c>
      <c r="I263" s="37" t="s">
        <v>383</v>
      </c>
      <c r="J263" s="37" t="s">
        <v>262</v>
      </c>
      <c r="K263" s="38">
        <v>98.637051993942407</v>
      </c>
      <c r="L263" s="38">
        <v>0.92882382635032801</v>
      </c>
      <c r="M263" s="38">
        <v>0.434124179707219</v>
      </c>
      <c r="N263" s="38">
        <v>0</v>
      </c>
      <c r="O263" s="39">
        <f>((K263*0)+(L263*1)+(M263*2)+(N263*3))/100</f>
        <v>1.797072185764766E-2</v>
      </c>
    </row>
    <row r="264" spans="1:15" ht="14.25">
      <c r="A264" s="37" t="s">
        <v>697</v>
      </c>
      <c r="B264" s="37" t="s">
        <v>263</v>
      </c>
      <c r="C264" s="38">
        <v>1.33196721311475</v>
      </c>
      <c r="D264" s="38">
        <v>26.400273224043701</v>
      </c>
      <c r="E264" s="38">
        <v>72.267759562841505</v>
      </c>
      <c r="F264" s="38">
        <v>0</v>
      </c>
      <c r="G264" s="39">
        <f>((C264*0)+(D264*1)+(E264*2)+(F264*3))/100</f>
        <v>1.7093579234972671</v>
      </c>
      <c r="I264" s="37" t="s">
        <v>697</v>
      </c>
      <c r="J264" s="37" t="s">
        <v>263</v>
      </c>
      <c r="K264" s="38">
        <v>2.4248633879781401</v>
      </c>
      <c r="L264" s="38">
        <v>25.068306010929</v>
      </c>
      <c r="M264" s="38">
        <v>72.506830601092901</v>
      </c>
      <c r="N264" s="38">
        <v>0</v>
      </c>
      <c r="O264" s="39">
        <f>((K264*0)+(L264*1)+(M264*2)+(N264*3))/100</f>
        <v>1.7008196721311482</v>
      </c>
    </row>
    <row r="265" spans="1:15" ht="14.25">
      <c r="A265" s="37" t="s">
        <v>437</v>
      </c>
      <c r="B265" s="37" t="s">
        <v>264</v>
      </c>
      <c r="C265" s="38">
        <v>2.39341810022438</v>
      </c>
      <c r="D265" s="38">
        <v>93.118922961854906</v>
      </c>
      <c r="E265" s="38">
        <v>4.4876589379207203</v>
      </c>
      <c r="F265" s="38">
        <v>0</v>
      </c>
      <c r="G265" s="39">
        <f>((C265*0)+(D265*1)+(E265*2)+(F265*3))/100</f>
        <v>1.0209424083769634</v>
      </c>
      <c r="I265" s="37" t="s">
        <v>437</v>
      </c>
      <c r="J265" s="37" t="s">
        <v>264</v>
      </c>
      <c r="K265" s="38">
        <v>93.941660433807002</v>
      </c>
      <c r="L265" s="38">
        <v>2.9917726252804799</v>
      </c>
      <c r="M265" s="38">
        <v>3.06656694091249</v>
      </c>
      <c r="N265" s="38">
        <v>0</v>
      </c>
      <c r="O265" s="39">
        <f>((K265*0)+(L265*1)+(M265*2)+(N265*3))/100</f>
        <v>9.1249065071054611E-2</v>
      </c>
    </row>
    <row r="266" spans="1:15" ht="14.25">
      <c r="A266" s="37" t="s">
        <v>505</v>
      </c>
      <c r="B266" s="37" t="s">
        <v>265</v>
      </c>
      <c r="C266" s="38">
        <v>26.6422635536209</v>
      </c>
      <c r="D266" s="38">
        <v>70.023743569449906</v>
      </c>
      <c r="E266" s="38">
        <v>3.33399287692917</v>
      </c>
      <c r="F266" s="38">
        <v>0</v>
      </c>
      <c r="G266" s="39">
        <f>((C266*0)+(D266*1)+(E266*2)+(F266*3))/100</f>
        <v>0.76691729323308255</v>
      </c>
      <c r="I266" s="37" t="s">
        <v>505</v>
      </c>
      <c r="J266" s="37" t="s">
        <v>265</v>
      </c>
      <c r="K266" s="38">
        <v>40.997229916897503</v>
      </c>
      <c r="L266" s="38">
        <v>58.636723387415898</v>
      </c>
      <c r="M266" s="38">
        <v>0.36604669568658499</v>
      </c>
      <c r="N266" s="38">
        <v>0</v>
      </c>
      <c r="O266" s="39">
        <f>((K266*0)+(L266*1)+(M266*2)+(N266*3))/100</f>
        <v>0.59368816778789069</v>
      </c>
    </row>
    <row r="267" spans="1:15" ht="14.25">
      <c r="A267" s="37" t="s">
        <v>424</v>
      </c>
      <c r="B267" s="37" t="s">
        <v>425</v>
      </c>
      <c r="C267" s="38">
        <v>49.891540130151803</v>
      </c>
      <c r="D267" s="38">
        <v>46.746203904555301</v>
      </c>
      <c r="E267" s="38">
        <v>3.3622559652928401</v>
      </c>
      <c r="F267" s="38">
        <v>0</v>
      </c>
      <c r="G267" s="39">
        <f>((C267*0)+(D267*1)+(E267*2)+(F267*3))/100</f>
        <v>0.53470715835140981</v>
      </c>
      <c r="I267" s="37" t="s">
        <v>424</v>
      </c>
      <c r="J267" s="37" t="s">
        <v>425</v>
      </c>
      <c r="K267" s="38">
        <v>93.167028199566204</v>
      </c>
      <c r="L267" s="38">
        <v>6.8329718004338398</v>
      </c>
      <c r="M267" s="38">
        <v>0</v>
      </c>
      <c r="N267" s="38">
        <v>0</v>
      </c>
      <c r="O267" s="39">
        <f>((K267*0)+(L267*1)+(M267*2)+(N267*3))/100</f>
        <v>6.8329718004338402E-2</v>
      </c>
    </row>
    <row r="268" spans="1:15" ht="14.25">
      <c r="A268" s="37" t="s">
        <v>381</v>
      </c>
      <c r="B268" s="37" t="s">
        <v>267</v>
      </c>
      <c r="C268" s="38">
        <v>1.1736118291800199</v>
      </c>
      <c r="D268" s="38">
        <v>83.760727949539898</v>
      </c>
      <c r="E268" s="38">
        <v>15.065660221280099</v>
      </c>
      <c r="F268" s="38">
        <v>0</v>
      </c>
      <c r="G268" s="39">
        <f>((C268*0)+(D268*1)+(E268*2)+(F268*3))/100</f>
        <v>1.138920483921001</v>
      </c>
      <c r="I268" s="37" t="s">
        <v>381</v>
      </c>
      <c r="J268" s="37" t="s">
        <v>267</v>
      </c>
      <c r="K268" s="38">
        <v>99.033192017371505</v>
      </c>
      <c r="L268" s="38">
        <v>0.43428807775824602</v>
      </c>
      <c r="M268" s="38">
        <v>0.53251990487023104</v>
      </c>
      <c r="N268" s="38">
        <v>0</v>
      </c>
      <c r="O268" s="39">
        <f>((K268*0)+(L268*1)+(M268*2)+(N268*3))/100</f>
        <v>1.4993278874987082E-2</v>
      </c>
    </row>
    <row r="269" spans="1:15" ht="14.25">
      <c r="A269" s="37" t="s">
        <v>668</v>
      </c>
      <c r="B269" s="37" t="s">
        <v>268</v>
      </c>
      <c r="C269" s="38">
        <v>8.5806220951018905E-2</v>
      </c>
      <c r="D269" s="38">
        <v>57.869145513049702</v>
      </c>
      <c r="E269" s="38">
        <v>42.045048265999299</v>
      </c>
      <c r="F269" s="38">
        <v>0</v>
      </c>
      <c r="G269" s="39">
        <f>((C269*0)+(D269*1)+(E269*2)+(F269*3))/100</f>
        <v>1.4195924204504831</v>
      </c>
      <c r="I269" s="37" t="s">
        <v>668</v>
      </c>
      <c r="J269" s="37" t="s">
        <v>268</v>
      </c>
      <c r="K269" s="38">
        <v>0.77940650697175595</v>
      </c>
      <c r="L269" s="38">
        <v>64.419020378977507</v>
      </c>
      <c r="M269" s="38">
        <v>34.801573114050797</v>
      </c>
      <c r="N269" s="38">
        <v>0</v>
      </c>
      <c r="O269" s="39">
        <f>((K269*0)+(L269*1)+(M269*2)+(N269*3))/100</f>
        <v>1.3402216660707911</v>
      </c>
    </row>
    <row r="270" spans="1:15" ht="14.25">
      <c r="A270" s="37" t="s">
        <v>382</v>
      </c>
      <c r="B270" s="37" t="s">
        <v>269</v>
      </c>
      <c r="C270" s="38">
        <v>84.256756756756801</v>
      </c>
      <c r="D270" s="38">
        <v>14.8378378378378</v>
      </c>
      <c r="E270" s="38">
        <v>0.90540540540540504</v>
      </c>
      <c r="F270" s="38">
        <v>0</v>
      </c>
      <c r="G270" s="39">
        <f>((C270*0)+(D270*1)+(E270*2)+(F270*3))/100</f>
        <v>0.16648648648648609</v>
      </c>
      <c r="I270" s="37" t="s">
        <v>382</v>
      </c>
      <c r="J270" s="37" t="s">
        <v>269</v>
      </c>
      <c r="K270" s="38">
        <v>98.689189189189193</v>
      </c>
      <c r="L270" s="38">
        <v>0.98648648648648696</v>
      </c>
      <c r="M270" s="38">
        <v>0.32432432432432401</v>
      </c>
      <c r="N270" s="38">
        <v>0</v>
      </c>
      <c r="O270" s="39">
        <f>((K270*0)+(L270*1)+(M270*2)+(N270*3))/100</f>
        <v>1.6351351351351351E-2</v>
      </c>
    </row>
    <row r="271" spans="1:15" ht="14.25">
      <c r="A271" s="37" t="s">
        <v>584</v>
      </c>
      <c r="B271" s="37" t="s">
        <v>270</v>
      </c>
      <c r="C271" s="38">
        <v>2.15410107705054</v>
      </c>
      <c r="D271" s="38">
        <v>93.620546810273396</v>
      </c>
      <c r="E271" s="38">
        <v>4.2253521126760596</v>
      </c>
      <c r="F271" s="38">
        <v>0</v>
      </c>
      <c r="G271" s="39">
        <f>((C271*0)+(D271*1)+(E271*2)+(F271*3))/100</f>
        <v>1.0207125103562553</v>
      </c>
      <c r="I271" s="37" t="s">
        <v>584</v>
      </c>
      <c r="J271" s="37" t="s">
        <v>270</v>
      </c>
      <c r="K271" s="38">
        <v>4.4739022369511199</v>
      </c>
      <c r="L271" s="38">
        <v>92.8748964374482</v>
      </c>
      <c r="M271" s="38">
        <v>2.6512013256006601</v>
      </c>
      <c r="N271" s="38">
        <v>0</v>
      </c>
      <c r="O271" s="39">
        <f>((K271*0)+(L271*1)+(M271*2)+(N271*3))/100</f>
        <v>0.98177299088649517</v>
      </c>
    </row>
    <row r="272" spans="1:15" ht="14.25">
      <c r="A272" s="37" t="s">
        <v>470</v>
      </c>
      <c r="B272" s="37" t="s">
        <v>271</v>
      </c>
      <c r="C272" s="38">
        <v>1.9334532374100699</v>
      </c>
      <c r="D272" s="38">
        <v>32.711330935251802</v>
      </c>
      <c r="E272" s="38">
        <v>65.3552158273381</v>
      </c>
      <c r="F272" s="38">
        <v>0</v>
      </c>
      <c r="G272" s="39">
        <f>((C272*0)+(D272*1)+(E272*2)+(F272*3))/100</f>
        <v>1.63421762589928</v>
      </c>
      <c r="I272" s="37" t="s">
        <v>470</v>
      </c>
      <c r="J272" s="37" t="s">
        <v>271</v>
      </c>
      <c r="K272" s="38">
        <v>81.317446043165504</v>
      </c>
      <c r="L272" s="38">
        <v>17.805755395683502</v>
      </c>
      <c r="M272" s="38">
        <v>0.87679856115107901</v>
      </c>
      <c r="N272" s="38">
        <v>0</v>
      </c>
      <c r="O272" s="39">
        <f>((K272*0)+(L272*1)+(M272*2)+(N272*3))/100</f>
        <v>0.19559352517985659</v>
      </c>
    </row>
    <row r="273" spans="1:15" ht="14.25">
      <c r="A273" s="37" t="s">
        <v>472</v>
      </c>
      <c r="B273" s="37" t="s">
        <v>473</v>
      </c>
      <c r="C273" s="38">
        <v>0</v>
      </c>
      <c r="D273" s="38">
        <v>92.559523809523796</v>
      </c>
      <c r="E273" s="38">
        <v>7.4404761904761898</v>
      </c>
      <c r="F273" s="38">
        <v>0</v>
      </c>
      <c r="G273" s="39">
        <f>((C273*0)+(D273*1)+(E273*2)+(F273*3))/100</f>
        <v>1.0744047619047619</v>
      </c>
      <c r="I273" s="37" t="s">
        <v>472</v>
      </c>
      <c r="J273" s="37" t="s">
        <v>473</v>
      </c>
      <c r="K273" s="38">
        <v>86.607142857142904</v>
      </c>
      <c r="L273" s="38">
        <v>5.9523809523809499</v>
      </c>
      <c r="M273" s="38">
        <v>7.4404761904761898</v>
      </c>
      <c r="N273" s="38">
        <v>0</v>
      </c>
      <c r="O273" s="39">
        <f>((K273*0)+(L273*1)+(M273*2)+(N273*3))/100</f>
        <v>0.20833333333333329</v>
      </c>
    </row>
    <row r="274" spans="1:15" ht="14.25">
      <c r="A274" s="37" t="s">
        <v>620</v>
      </c>
      <c r="B274" s="37" t="s">
        <v>273</v>
      </c>
      <c r="C274" s="38">
        <v>3.3414832925835398</v>
      </c>
      <c r="D274" s="38">
        <v>55.012224938875299</v>
      </c>
      <c r="E274" s="38">
        <v>41.646291768541197</v>
      </c>
      <c r="F274" s="38">
        <v>0</v>
      </c>
      <c r="G274" s="39">
        <f>((C274*0)+(D274*1)+(E274*2)+(F274*3))/100</f>
        <v>1.3830480847595767</v>
      </c>
      <c r="I274" s="37" t="s">
        <v>620</v>
      </c>
      <c r="J274" s="37" t="s">
        <v>273</v>
      </c>
      <c r="K274" s="38">
        <v>6.4384678076609596</v>
      </c>
      <c r="L274" s="38">
        <v>84.189079054604704</v>
      </c>
      <c r="M274" s="38">
        <v>9.3724531377343094</v>
      </c>
      <c r="N274" s="38">
        <v>0</v>
      </c>
      <c r="O274" s="39">
        <f>((K274*0)+(L274*1)+(M274*2)+(N274*3))/100</f>
        <v>1.0293398533007332</v>
      </c>
    </row>
    <row r="275" spans="1:15" ht="14.25">
      <c r="A275" s="37" t="s">
        <v>716</v>
      </c>
      <c r="B275" s="37" t="s">
        <v>717</v>
      </c>
      <c r="C275" s="38">
        <v>0.48973548589163202</v>
      </c>
      <c r="D275" s="38">
        <v>58.025113180148601</v>
      </c>
      <c r="E275" s="38">
        <v>41.485151333959699</v>
      </c>
      <c r="F275" s="38">
        <v>0</v>
      </c>
      <c r="G275" s="39">
        <f>((C275*0)+(D275*1)+(E275*2)+(F275*3))/100</f>
        <v>1.4099541584806801</v>
      </c>
      <c r="I275" s="37" t="s">
        <v>716</v>
      </c>
      <c r="J275" s="37" t="s">
        <v>717</v>
      </c>
      <c r="K275" s="38">
        <v>0.37584886319955602</v>
      </c>
      <c r="L275" s="38">
        <v>15.3016044760183</v>
      </c>
      <c r="M275" s="38">
        <v>84.322546660782194</v>
      </c>
      <c r="N275" s="38">
        <v>0</v>
      </c>
      <c r="O275" s="39">
        <f>((K275*0)+(L275*1)+(M275*2)+(N275*3))/100</f>
        <v>1.8394669779758268</v>
      </c>
    </row>
    <row r="276" spans="1:15" ht="14.25">
      <c r="A276" s="37" t="s">
        <v>549</v>
      </c>
      <c r="B276" s="37" t="s">
        <v>275</v>
      </c>
      <c r="C276" s="38">
        <v>0.19135093761959401</v>
      </c>
      <c r="D276" s="38">
        <v>12.0359739762725</v>
      </c>
      <c r="E276" s="38">
        <v>87.772675086107895</v>
      </c>
      <c r="F276" s="38">
        <v>0</v>
      </c>
      <c r="G276" s="39">
        <f>((C276*0)+(D276*1)+(E276*2)+(F276*3))/100</f>
        <v>1.8758132414848827</v>
      </c>
      <c r="I276" s="37" t="s">
        <v>549</v>
      </c>
      <c r="J276" s="37" t="s">
        <v>275</v>
      </c>
      <c r="K276" s="38">
        <v>11.519326444699599</v>
      </c>
      <c r="L276" s="38">
        <v>85.993111366245699</v>
      </c>
      <c r="M276" s="38">
        <v>2.4875621890547301</v>
      </c>
      <c r="N276" s="38">
        <v>0</v>
      </c>
      <c r="O276" s="39">
        <f>((K276*0)+(L276*1)+(M276*2)+(N276*3))/100</f>
        <v>0.90968235744355153</v>
      </c>
    </row>
    <row r="277" spans="1:15" ht="14.25">
      <c r="A277" s="37" t="s">
        <v>526</v>
      </c>
      <c r="B277" s="37" t="s">
        <v>527</v>
      </c>
      <c r="C277" s="38">
        <v>16.424116424116399</v>
      </c>
      <c r="D277" s="38">
        <v>83.056133056133007</v>
      </c>
      <c r="E277" s="38">
        <v>0.51975051975052</v>
      </c>
      <c r="F277" s="38">
        <v>0</v>
      </c>
      <c r="G277" s="39">
        <f>((C277*0)+(D277*1)+(E277*2)+(F277*3))/100</f>
        <v>0.84095634095634042</v>
      </c>
      <c r="I277" s="37" t="s">
        <v>526</v>
      </c>
      <c r="J277" s="37" t="s">
        <v>527</v>
      </c>
      <c r="K277" s="38">
        <v>19.1268191268191</v>
      </c>
      <c r="L277" s="38">
        <v>79.6257796257796</v>
      </c>
      <c r="M277" s="38">
        <v>1.2474012474012499</v>
      </c>
      <c r="N277" s="38">
        <v>0</v>
      </c>
      <c r="O277" s="39">
        <f>((K277*0)+(L277*1)+(M277*2)+(N277*3))/100</f>
        <v>0.82120582120582097</v>
      </c>
    </row>
    <row r="278" spans="1:15" ht="14.25">
      <c r="A278" s="37" t="s">
        <v>559</v>
      </c>
      <c r="B278" s="37" t="s">
        <v>560</v>
      </c>
      <c r="C278" s="38">
        <v>1.5732546705998001</v>
      </c>
      <c r="D278" s="38">
        <v>30.252376270075398</v>
      </c>
      <c r="E278" s="38">
        <v>68.174369059324803</v>
      </c>
      <c r="F278" s="38">
        <v>0</v>
      </c>
      <c r="G278" s="39">
        <f>((C278*0)+(D278*1)+(E278*2)+(F278*3))/100</f>
        <v>1.66601114388725</v>
      </c>
      <c r="I278" s="37" t="s">
        <v>559</v>
      </c>
      <c r="J278" s="37" t="s">
        <v>560</v>
      </c>
      <c r="K278" s="38">
        <v>6.5880039331366804</v>
      </c>
      <c r="L278" s="38">
        <v>92.592592592592595</v>
      </c>
      <c r="M278" s="38">
        <v>0.81940347427073101</v>
      </c>
      <c r="N278" s="38">
        <v>0</v>
      </c>
      <c r="O278" s="39">
        <f>((K278*0)+(L278*1)+(M278*2)+(N278*3))/100</f>
        <v>0.94231399541134053</v>
      </c>
    </row>
    <row r="279" spans="1:15" ht="14.25">
      <c r="A279" s="37" t="s">
        <v>440</v>
      </c>
      <c r="B279" s="37" t="s">
        <v>278</v>
      </c>
      <c r="C279" s="38">
        <v>61.636363636363598</v>
      </c>
      <c r="D279" s="38">
        <v>37</v>
      </c>
      <c r="E279" s="38">
        <v>1.36363636363636</v>
      </c>
      <c r="F279" s="38">
        <v>0</v>
      </c>
      <c r="G279" s="39">
        <f>((C279*0)+(D279*1)+(E279*2)+(F279*3))/100</f>
        <v>0.39727272727272722</v>
      </c>
      <c r="I279" s="37" t="s">
        <v>440</v>
      </c>
      <c r="J279" s="37" t="s">
        <v>278</v>
      </c>
      <c r="K279" s="38">
        <v>91.454545454545496</v>
      </c>
      <c r="L279" s="38">
        <v>7.6363636363636402</v>
      </c>
      <c r="M279" s="38">
        <v>0.90909090909090895</v>
      </c>
      <c r="N279" s="38">
        <v>0</v>
      </c>
      <c r="O279" s="39">
        <f>((K279*0)+(L279*1)+(M279*2)+(N279*3))/100</f>
        <v>9.4545454545454585E-2</v>
      </c>
    </row>
    <row r="280" spans="1:15" ht="14.25">
      <c r="A280" s="37" t="s">
        <v>585</v>
      </c>
      <c r="B280" s="37" t="s">
        <v>279</v>
      </c>
      <c r="C280" s="38">
        <v>29.254079254079301</v>
      </c>
      <c r="D280" s="38">
        <v>68.240093240093202</v>
      </c>
      <c r="E280" s="38">
        <v>2.5058275058275101</v>
      </c>
      <c r="F280" s="38">
        <v>0</v>
      </c>
      <c r="G280" s="39">
        <f>((C280*0)+(D280*1)+(E280*2)+(F280*3))/100</f>
        <v>0.73251748251748228</v>
      </c>
      <c r="I280" s="37" t="s">
        <v>585</v>
      </c>
      <c r="J280" s="37" t="s">
        <v>279</v>
      </c>
      <c r="K280" s="38">
        <v>1.63170163170163</v>
      </c>
      <c r="L280" s="38">
        <v>98.368298368298397</v>
      </c>
      <c r="M280" s="38">
        <v>0</v>
      </c>
      <c r="N280" s="38">
        <v>0</v>
      </c>
      <c r="O280" s="39">
        <f>((K280*0)+(L280*1)+(M280*2)+(N280*3))/100</f>
        <v>0.98368298368298401</v>
      </c>
    </row>
    <row r="281" spans="1:15" ht="14.25">
      <c r="A281" s="37" t="s">
        <v>432</v>
      </c>
      <c r="B281" s="37" t="s">
        <v>280</v>
      </c>
      <c r="C281" s="38">
        <v>42.935886277922798</v>
      </c>
      <c r="D281" s="38">
        <v>52.538439222512302</v>
      </c>
      <c r="E281" s="38">
        <v>4.4966637655932704</v>
      </c>
      <c r="F281" s="38">
        <v>2.9010733971569499E-2</v>
      </c>
      <c r="G281" s="39">
        <f>((C281*0)+(D281*1)+(E281*2)+(F281*3))/100</f>
        <v>0.61618798955613552</v>
      </c>
      <c r="I281" s="37" t="s">
        <v>432</v>
      </c>
      <c r="J281" s="37" t="s">
        <v>280</v>
      </c>
      <c r="K281" s="38">
        <v>94.487960545401805</v>
      </c>
      <c r="L281" s="38">
        <v>2.9590948651000901</v>
      </c>
      <c r="M281" s="38">
        <v>2.55294458949811</v>
      </c>
      <c r="N281" s="38">
        <v>0</v>
      </c>
      <c r="O281" s="39">
        <f>((K281*0)+(L281*1)+(M281*2)+(N281*3))/100</f>
        <v>8.06498404409631E-2</v>
      </c>
    </row>
    <row r="282" spans="1:15" ht="14.25">
      <c r="A282" s="37" t="s">
        <v>503</v>
      </c>
      <c r="B282" s="37" t="s">
        <v>504</v>
      </c>
      <c r="C282" s="38">
        <v>0.44444444444444398</v>
      </c>
      <c r="D282" s="38">
        <v>38</v>
      </c>
      <c r="E282" s="38">
        <v>60.8888888888889</v>
      </c>
      <c r="F282" s="38">
        <v>0.66666666666666696</v>
      </c>
      <c r="G282" s="39">
        <f>((C282*0)+(D282*1)+(E282*2)+(F282*3))/100</f>
        <v>1.617777777777778</v>
      </c>
      <c r="I282" s="37" t="s">
        <v>503</v>
      </c>
      <c r="J282" s="37" t="s">
        <v>504</v>
      </c>
      <c r="K282" s="38">
        <v>53.3333333333333</v>
      </c>
      <c r="L282" s="38">
        <v>41.3333333333333</v>
      </c>
      <c r="M282" s="38">
        <v>5.3333333333333304</v>
      </c>
      <c r="N282" s="38">
        <v>0</v>
      </c>
      <c r="O282" s="39">
        <f>((K282*0)+(L282*1)+(M282*2)+(N282*3))/100</f>
        <v>0.51999999999999957</v>
      </c>
    </row>
    <row r="283" spans="1:15" ht="14.25">
      <c r="A283" s="37" t="s">
        <v>705</v>
      </c>
      <c r="B283" s="37" t="s">
        <v>706</v>
      </c>
      <c r="C283" s="38">
        <v>1.97628458498024</v>
      </c>
      <c r="D283" s="38">
        <v>39.920948616600803</v>
      </c>
      <c r="E283" s="38">
        <v>56.785243741765498</v>
      </c>
      <c r="F283" s="38">
        <v>1.3175230566534899</v>
      </c>
      <c r="G283" s="39">
        <f>((C283*0)+(D283*1)+(E283*2)+(F283*3))/100</f>
        <v>1.5744400527009228</v>
      </c>
      <c r="I283" s="37" t="s">
        <v>705</v>
      </c>
      <c r="J283" s="37" t="s">
        <v>706</v>
      </c>
      <c r="K283" s="38">
        <v>3.6890645586297799</v>
      </c>
      <c r="L283" s="38">
        <v>25.823451910408401</v>
      </c>
      <c r="M283" s="38">
        <v>61.7918313570487</v>
      </c>
      <c r="N283" s="38">
        <v>8.6956521739130395</v>
      </c>
      <c r="O283" s="39">
        <f>((K283*0)+(L283*1)+(M283*2)+(N283*3))/100</f>
        <v>1.7549407114624491</v>
      </c>
    </row>
    <row r="284" spans="1:15" ht="14.25">
      <c r="A284" s="37" t="s">
        <v>703</v>
      </c>
      <c r="B284" s="37" t="s">
        <v>704</v>
      </c>
      <c r="C284" s="38">
        <v>2.6960784313725501</v>
      </c>
      <c r="D284" s="38">
        <v>47.957516339869301</v>
      </c>
      <c r="E284" s="38">
        <v>49.019607843137301</v>
      </c>
      <c r="F284" s="38">
        <v>0.32679738562091498</v>
      </c>
      <c r="G284" s="39">
        <f>((C284*0)+(D284*1)+(E284*2)+(F284*3))/100</f>
        <v>1.4697712418300661</v>
      </c>
      <c r="I284" s="37" t="s">
        <v>703</v>
      </c>
      <c r="J284" s="37" t="s">
        <v>704</v>
      </c>
      <c r="K284" s="38">
        <v>4.9019607843137303</v>
      </c>
      <c r="L284" s="38">
        <v>16.993464052287599</v>
      </c>
      <c r="M284" s="38">
        <v>76.797385620914994</v>
      </c>
      <c r="N284" s="38">
        <v>1.3071895424836599</v>
      </c>
      <c r="O284" s="39">
        <f>((K284*0)+(L284*1)+(M284*2)+(N284*3))/100</f>
        <v>1.7450980392156856</v>
      </c>
    </row>
    <row r="285" spans="1:15" ht="14.25">
      <c r="A285" s="37" t="s">
        <v>665</v>
      </c>
      <c r="B285" s="37" t="s">
        <v>284</v>
      </c>
      <c r="C285" s="38">
        <v>0.78431372549019596</v>
      </c>
      <c r="D285" s="38">
        <v>37.124183006536001</v>
      </c>
      <c r="E285" s="38">
        <v>61.307189542483698</v>
      </c>
      <c r="F285" s="38">
        <v>0.78431372549019596</v>
      </c>
      <c r="G285" s="39">
        <f>((C285*0)+(D285*1)+(E285*2)+(F285*3))/100</f>
        <v>1.6209150326797399</v>
      </c>
      <c r="I285" s="37" t="s">
        <v>665</v>
      </c>
      <c r="J285" s="37" t="s">
        <v>284</v>
      </c>
      <c r="K285" s="38">
        <v>10.457516339869301</v>
      </c>
      <c r="L285" s="38">
        <v>46.405228758169898</v>
      </c>
      <c r="M285" s="38">
        <v>43.137254901960802</v>
      </c>
      <c r="N285" s="38">
        <v>0</v>
      </c>
      <c r="O285" s="39">
        <f>((K285*0)+(L285*1)+(M285*2)+(N285*3))/100</f>
        <v>1.326797385620915</v>
      </c>
    </row>
    <row r="286" spans="1:15" ht="14.25">
      <c r="A286" s="37" t="s">
        <v>561</v>
      </c>
      <c r="B286" s="37" t="s">
        <v>285</v>
      </c>
      <c r="C286" s="38">
        <v>7.6513317191283301</v>
      </c>
      <c r="D286" s="38">
        <v>61.791767554479399</v>
      </c>
      <c r="E286" s="38">
        <v>30.5569007263923</v>
      </c>
      <c r="F286" s="38">
        <v>0</v>
      </c>
      <c r="G286" s="39">
        <f>((C286*0)+(D286*1)+(E286*2)+(F286*3))/100</f>
        <v>1.2290556900726402</v>
      </c>
      <c r="I286" s="37" t="s">
        <v>561</v>
      </c>
      <c r="J286" s="37" t="s">
        <v>285</v>
      </c>
      <c r="K286" s="38">
        <v>12.348668280871699</v>
      </c>
      <c r="L286" s="38">
        <v>80.871670702179202</v>
      </c>
      <c r="M286" s="38">
        <v>6.7796610169491496</v>
      </c>
      <c r="N286" s="38">
        <v>0</v>
      </c>
      <c r="O286" s="39">
        <f>((K286*0)+(L286*1)+(M286*2)+(N286*3))/100</f>
        <v>0.94430992736077501</v>
      </c>
    </row>
    <row r="287" spans="1:15" ht="14.25">
      <c r="A287" s="37" t="s">
        <v>679</v>
      </c>
      <c r="B287" s="37" t="s">
        <v>680</v>
      </c>
      <c r="C287" s="38">
        <v>5.7091882247992896</v>
      </c>
      <c r="D287" s="38">
        <v>50.669045495093698</v>
      </c>
      <c r="E287" s="38">
        <v>43.621766280107003</v>
      </c>
      <c r="F287" s="38">
        <v>0</v>
      </c>
      <c r="G287" s="39">
        <f>((C287*0)+(D287*1)+(E287*2)+(F287*3))/100</f>
        <v>1.379125780553077</v>
      </c>
      <c r="I287" s="37" t="s">
        <v>679</v>
      </c>
      <c r="J287" s="37" t="s">
        <v>680</v>
      </c>
      <c r="K287" s="38">
        <v>2.67618198037467</v>
      </c>
      <c r="L287" s="38">
        <v>43.8893844781445</v>
      </c>
      <c r="M287" s="38">
        <v>53.4344335414808</v>
      </c>
      <c r="N287" s="38">
        <v>0</v>
      </c>
      <c r="O287" s="39">
        <f>((K287*0)+(L287*1)+(M287*2)+(N287*3))/100</f>
        <v>1.5075825156110612</v>
      </c>
    </row>
    <row r="288" spans="1:15" ht="14.25">
      <c r="A288" s="37" t="s">
        <v>583</v>
      </c>
      <c r="B288" s="37" t="s">
        <v>287</v>
      </c>
      <c r="C288" s="38">
        <v>24.067388688327298</v>
      </c>
      <c r="D288" s="38">
        <v>64.981949458483797</v>
      </c>
      <c r="E288" s="38">
        <v>10.950661853188899</v>
      </c>
      <c r="F288" s="38">
        <v>0</v>
      </c>
      <c r="G288" s="39">
        <f>((C288*0)+(D288*1)+(E288*2)+(F288*3))/100</f>
        <v>0.86883273164861596</v>
      </c>
      <c r="I288" s="37" t="s">
        <v>583</v>
      </c>
      <c r="J288" s="37" t="s">
        <v>287</v>
      </c>
      <c r="K288" s="38">
        <v>14.320096269554799</v>
      </c>
      <c r="L288" s="38">
        <v>73.285198555956697</v>
      </c>
      <c r="M288" s="38">
        <v>12.3947051744886</v>
      </c>
      <c r="N288" s="38">
        <v>0</v>
      </c>
      <c r="O288" s="39">
        <f>((K288*0)+(L288*1)+(M288*2)+(N288*3))/100</f>
        <v>0.98074608904933891</v>
      </c>
    </row>
    <row r="289" spans="1:15" ht="14.25">
      <c r="A289" s="37" t="s">
        <v>701</v>
      </c>
      <c r="B289" s="37" t="s">
        <v>288</v>
      </c>
      <c r="C289" s="38">
        <v>0.89552238805970197</v>
      </c>
      <c r="D289" s="38">
        <v>25.9701492537313</v>
      </c>
      <c r="E289" s="38">
        <v>71.9402985074627</v>
      </c>
      <c r="F289" s="38">
        <v>1.1940298507462701</v>
      </c>
      <c r="G289" s="39">
        <f>((C289*0)+(D289*1)+(E289*2)+(F289*3))/100</f>
        <v>1.7343283582089553</v>
      </c>
      <c r="I289" s="37" t="s">
        <v>701</v>
      </c>
      <c r="J289" s="37" t="s">
        <v>288</v>
      </c>
      <c r="K289" s="38">
        <v>2.98507462686567</v>
      </c>
      <c r="L289" s="38">
        <v>23.880597014925399</v>
      </c>
      <c r="M289" s="38">
        <v>71.9402985074627</v>
      </c>
      <c r="N289" s="38">
        <v>1.1940298507462701</v>
      </c>
      <c r="O289" s="39">
        <f>((K289*0)+(L289*1)+(M289*2)+(N289*3))/100</f>
        <v>1.7134328358208961</v>
      </c>
    </row>
    <row r="290" spans="1:15" ht="14.25">
      <c r="A290" s="37" t="s">
        <v>572</v>
      </c>
      <c r="B290" s="37" t="s">
        <v>289</v>
      </c>
      <c r="C290" s="38">
        <v>0</v>
      </c>
      <c r="D290" s="38">
        <v>96.539792387543301</v>
      </c>
      <c r="E290" s="38">
        <v>3.4602076124567498</v>
      </c>
      <c r="F290" s="38">
        <v>0</v>
      </c>
      <c r="G290" s="39">
        <f>((C290*0)+(D290*1)+(E290*2)+(F290*3))/100</f>
        <v>1.034602076124568</v>
      </c>
      <c r="I290" s="37" t="s">
        <v>572</v>
      </c>
      <c r="J290" s="37" t="s">
        <v>289</v>
      </c>
      <c r="K290" s="38">
        <v>3.4602076124567498</v>
      </c>
      <c r="L290" s="38">
        <v>96.539792387543301</v>
      </c>
      <c r="M290" s="38">
        <v>0</v>
      </c>
      <c r="N290" s="38">
        <v>0</v>
      </c>
      <c r="O290" s="39">
        <f>((K290*0)+(L290*1)+(M290*2)+(N290*3))/100</f>
        <v>0.965397923875433</v>
      </c>
    </row>
    <row r="291" spans="1:15" ht="14.25">
      <c r="A291" s="37" t="s">
        <v>474</v>
      </c>
      <c r="B291" s="37" t="s">
        <v>475</v>
      </c>
      <c r="C291" s="38">
        <v>0</v>
      </c>
      <c r="D291" s="38">
        <v>17.744610281923698</v>
      </c>
      <c r="E291" s="38">
        <v>82.255389718076302</v>
      </c>
      <c r="F291" s="38">
        <v>0</v>
      </c>
      <c r="G291" s="39">
        <f>((C291*0)+(D291*1)+(E291*2)+(F291*3))/100</f>
        <v>1.8225538971807629</v>
      </c>
      <c r="I291" s="37" t="s">
        <v>474</v>
      </c>
      <c r="J291" s="37" t="s">
        <v>475</v>
      </c>
      <c r="K291" s="38">
        <v>80.762852404643496</v>
      </c>
      <c r="L291" s="38">
        <v>17.412935323383099</v>
      </c>
      <c r="M291" s="38">
        <v>1.8242122719734699</v>
      </c>
      <c r="N291" s="38">
        <v>0</v>
      </c>
      <c r="O291" s="39">
        <f>((K291*0)+(L291*1)+(M291*2)+(N291*3))/100</f>
        <v>0.2106135986733004</v>
      </c>
    </row>
    <row r="292" spans="1:15" ht="14.25">
      <c r="A292" s="37" t="s">
        <v>429</v>
      </c>
      <c r="B292" s="37" t="s">
        <v>291</v>
      </c>
      <c r="C292" s="38">
        <v>0.59171597633136097</v>
      </c>
      <c r="D292" s="38">
        <v>86.390532544378701</v>
      </c>
      <c r="E292" s="38">
        <v>13.017751479289901</v>
      </c>
      <c r="F292" s="38">
        <v>0</v>
      </c>
      <c r="G292" s="39">
        <f>((C292*0)+(D292*1)+(E292*2)+(F292*3))/100</f>
        <v>1.1242603550295849</v>
      </c>
      <c r="I292" s="37" t="s">
        <v>429</v>
      </c>
      <c r="J292" s="37" t="s">
        <v>291</v>
      </c>
      <c r="K292" s="38">
        <v>92.504930966469402</v>
      </c>
      <c r="L292" s="38">
        <v>7.4950690335305703</v>
      </c>
      <c r="M292" s="38">
        <v>0</v>
      </c>
      <c r="N292" s="38">
        <v>0</v>
      </c>
      <c r="O292" s="39">
        <f>((K292*0)+(L292*1)+(M292*2)+(N292*3))/100</f>
        <v>7.49506903353057E-2</v>
      </c>
    </row>
    <row r="293" spans="1:15" ht="14.25">
      <c r="A293" s="37" t="s">
        <v>392</v>
      </c>
      <c r="B293" s="37" t="s">
        <v>393</v>
      </c>
      <c r="C293" s="38">
        <v>0</v>
      </c>
      <c r="D293" s="38">
        <v>73.182359952324205</v>
      </c>
      <c r="E293" s="38">
        <v>26.817640047675798</v>
      </c>
      <c r="F293" s="38">
        <v>0</v>
      </c>
      <c r="G293" s="39">
        <f>((C293*0)+(D293*1)+(E293*2)+(F293*3))/100</f>
        <v>1.2681764004767582</v>
      </c>
      <c r="I293" s="37" t="s">
        <v>392</v>
      </c>
      <c r="J293" s="37" t="s">
        <v>393</v>
      </c>
      <c r="K293" s="38">
        <v>97.258641239570906</v>
      </c>
      <c r="L293" s="38">
        <v>2.7413587604290801</v>
      </c>
      <c r="M293" s="38">
        <v>0</v>
      </c>
      <c r="N293" s="38">
        <v>0</v>
      </c>
      <c r="O293" s="39">
        <f>((K293*0)+(L293*1)+(M293*2)+(N293*3))/100</f>
        <v>2.7413587604290801E-2</v>
      </c>
    </row>
    <row r="294" spans="1:15" ht="14.25">
      <c r="A294" s="37" t="s">
        <v>577</v>
      </c>
      <c r="B294" s="37" t="s">
        <v>293</v>
      </c>
      <c r="C294" s="38">
        <v>0</v>
      </c>
      <c r="D294" s="38">
        <v>7.5793888556021596</v>
      </c>
      <c r="E294" s="38">
        <v>92.420611144397895</v>
      </c>
      <c r="F294" s="38">
        <v>0</v>
      </c>
      <c r="G294" s="39">
        <f>((C294*0)+(D294*1)+(E294*2)+(F294*3))/100</f>
        <v>1.9242061114439795</v>
      </c>
      <c r="I294" s="37" t="s">
        <v>577</v>
      </c>
      <c r="J294" s="37" t="s">
        <v>293</v>
      </c>
      <c r="K294" s="38">
        <v>4.7633313361294203</v>
      </c>
      <c r="L294" s="38">
        <v>93.139604553624906</v>
      </c>
      <c r="M294" s="38">
        <v>2.0970641102456602</v>
      </c>
      <c r="N294" s="38">
        <v>0</v>
      </c>
      <c r="O294" s="39">
        <f>((K294*0)+(L294*1)+(M294*2)+(N294*3))/100</f>
        <v>0.97333732774116233</v>
      </c>
    </row>
    <row r="295" spans="1:15" ht="14.25">
      <c r="A295" s="37" t="s">
        <v>676</v>
      </c>
      <c r="B295" s="37" t="s">
        <v>294</v>
      </c>
      <c r="C295" s="38">
        <v>49.017688360788497</v>
      </c>
      <c r="D295" s="38">
        <v>50.435457736970001</v>
      </c>
      <c r="E295" s="38">
        <v>0.54685390224142605</v>
      </c>
      <c r="F295" s="38">
        <v>0</v>
      </c>
      <c r="G295" s="39">
        <f>((C295*0)+(D295*1)+(E295*2)+(F295*3))/100</f>
        <v>0.51529165541452859</v>
      </c>
      <c r="I295" s="37" t="s">
        <v>676</v>
      </c>
      <c r="J295" s="37" t="s">
        <v>294</v>
      </c>
      <c r="K295" s="38">
        <v>0.135025654874426</v>
      </c>
      <c r="L295" s="38">
        <v>56.531866054550399</v>
      </c>
      <c r="M295" s="38">
        <v>43.333108290575197</v>
      </c>
      <c r="N295" s="38">
        <v>0</v>
      </c>
      <c r="O295" s="39">
        <f>((K295*0)+(L295*1)+(M295*2)+(N295*3))/100</f>
        <v>1.431980826357008</v>
      </c>
    </row>
    <row r="296" spans="1:15" ht="14.25">
      <c r="A296" s="37" t="s">
        <v>621</v>
      </c>
      <c r="B296" s="37" t="s">
        <v>295</v>
      </c>
      <c r="C296" s="38">
        <v>0.58043117744610295</v>
      </c>
      <c r="D296" s="38">
        <v>59.245439469320097</v>
      </c>
      <c r="E296" s="38">
        <v>40.174129353233802</v>
      </c>
      <c r="F296" s="38">
        <v>0</v>
      </c>
      <c r="G296" s="39">
        <f>((C296*0)+(D296*1)+(E296*2)+(F296*3))/100</f>
        <v>1.3959369817578768</v>
      </c>
      <c r="I296" s="37" t="s">
        <v>621</v>
      </c>
      <c r="J296" s="37" t="s">
        <v>295</v>
      </c>
      <c r="K296" s="38">
        <v>0.62189054726368198</v>
      </c>
      <c r="L296" s="38">
        <v>95.605306799336702</v>
      </c>
      <c r="M296" s="38">
        <v>3.7728026533996699</v>
      </c>
      <c r="N296" s="38">
        <v>0</v>
      </c>
      <c r="O296" s="39">
        <f>((K296*0)+(L296*1)+(M296*2)+(N296*3))/100</f>
        <v>1.0315091210613605</v>
      </c>
    </row>
    <row r="297" spans="1:15" ht="14.25">
      <c r="A297" s="37" t="s">
        <v>553</v>
      </c>
      <c r="B297" s="37" t="s">
        <v>296</v>
      </c>
      <c r="C297" s="38">
        <v>0</v>
      </c>
      <c r="D297" s="38">
        <v>34.417808219178099</v>
      </c>
      <c r="E297" s="38">
        <v>65.582191780821901</v>
      </c>
      <c r="F297" s="38">
        <v>0</v>
      </c>
      <c r="G297" s="39">
        <f>((C297*0)+(D297*1)+(E297*2)+(F297*3))/100</f>
        <v>1.6558219178082192</v>
      </c>
      <c r="I297" s="37" t="s">
        <v>553</v>
      </c>
      <c r="J297" s="37" t="s">
        <v>296</v>
      </c>
      <c r="K297" s="38">
        <v>12.157534246575301</v>
      </c>
      <c r="L297" s="38">
        <v>83.390410958904098</v>
      </c>
      <c r="M297" s="38">
        <v>4.4520547945205502</v>
      </c>
      <c r="N297" s="38">
        <v>0</v>
      </c>
      <c r="O297" s="39">
        <f>((K297*0)+(L297*1)+(M297*2)+(N297*3))/100</f>
        <v>0.92294520547945202</v>
      </c>
    </row>
    <row r="298" spans="1:15" ht="14.25">
      <c r="A298" s="37" t="s">
        <v>408</v>
      </c>
      <c r="B298" s="37" t="s">
        <v>297</v>
      </c>
      <c r="C298" s="38">
        <v>3.8015586390420103E-2</v>
      </c>
      <c r="D298" s="38">
        <v>1.48260786922638</v>
      </c>
      <c r="E298" s="38">
        <v>98.4793765443832</v>
      </c>
      <c r="F298" s="38">
        <v>0</v>
      </c>
      <c r="G298" s="39">
        <f>((C298*0)+(D298*1)+(E298*2)+(F298*3))/100</f>
        <v>1.9844136095799276</v>
      </c>
      <c r="I298" s="37" t="s">
        <v>408</v>
      </c>
      <c r="J298" s="37" t="s">
        <v>297</v>
      </c>
      <c r="K298" s="38">
        <v>96.863714122790299</v>
      </c>
      <c r="L298" s="38">
        <v>1.7107013875688999</v>
      </c>
      <c r="M298" s="38">
        <v>1.4255844896407499</v>
      </c>
      <c r="N298" s="38">
        <v>0</v>
      </c>
      <c r="O298" s="39">
        <f>((K298*0)+(L298*1)+(M298*2)+(N298*3))/100</f>
        <v>4.5618703668503999E-2</v>
      </c>
    </row>
    <row r="299" spans="1:15" ht="14.25">
      <c r="A299" s="37" t="s">
        <v>669</v>
      </c>
      <c r="B299" s="37" t="s">
        <v>298</v>
      </c>
      <c r="C299" s="38">
        <v>1.4297061159650499</v>
      </c>
      <c r="D299" s="38">
        <v>17.5536139793487</v>
      </c>
      <c r="E299" s="38">
        <v>80.579825258141398</v>
      </c>
      <c r="F299" s="38">
        <v>0.43685464654487699</v>
      </c>
      <c r="G299" s="39">
        <f>((C299*0)+(D299*1)+(E299*2)+(F299*3))/100</f>
        <v>1.8002382843526612</v>
      </c>
      <c r="I299" s="37" t="s">
        <v>669</v>
      </c>
      <c r="J299" s="37" t="s">
        <v>298</v>
      </c>
      <c r="K299" s="38">
        <v>0</v>
      </c>
      <c r="L299" s="38">
        <v>65.885623510722795</v>
      </c>
      <c r="M299" s="38">
        <v>34.114376489277198</v>
      </c>
      <c r="N299" s="38">
        <v>0</v>
      </c>
      <c r="O299" s="39">
        <f>((K299*0)+(L299*1)+(M299*2)+(N299*3))/100</f>
        <v>1.341143764892772</v>
      </c>
    </row>
    <row r="300" spans="1:15" ht="14.25">
      <c r="A300" s="37" t="s">
        <v>749</v>
      </c>
      <c r="B300" s="37" t="s">
        <v>299</v>
      </c>
      <c r="C300" s="38">
        <v>8.6299892125134794E-2</v>
      </c>
      <c r="D300" s="38">
        <v>89.104638619201694</v>
      </c>
      <c r="E300" s="38">
        <v>10.8090614886731</v>
      </c>
      <c r="F300" s="38">
        <v>0</v>
      </c>
      <c r="G300" s="39">
        <f>((C300*0)+(D300*1)+(E300*2)+(F300*3))/100</f>
        <v>1.107227615965479</v>
      </c>
      <c r="I300" s="37" t="s">
        <v>749</v>
      </c>
      <c r="J300" s="37" t="s">
        <v>299</v>
      </c>
      <c r="K300" s="38">
        <v>0.798274002157497</v>
      </c>
      <c r="L300" s="38">
        <v>1.76914778856526</v>
      </c>
      <c r="M300" s="38">
        <v>97.432578209277196</v>
      </c>
      <c r="N300" s="38">
        <v>0</v>
      </c>
      <c r="O300" s="39">
        <f>((K300*0)+(L300*1)+(M300*2)+(N300*3))/100</f>
        <v>1.9663430420711965</v>
      </c>
    </row>
    <row r="301" spans="1:15" ht="14.25">
      <c r="A301" s="37" t="s">
        <v>374</v>
      </c>
      <c r="B301" s="37" t="s">
        <v>300</v>
      </c>
      <c r="C301" s="38">
        <v>72.524901901599804</v>
      </c>
      <c r="D301" s="38">
        <v>27.475098098400199</v>
      </c>
      <c r="E301" s="38">
        <v>0</v>
      </c>
      <c r="F301" s="38">
        <v>0</v>
      </c>
      <c r="G301" s="39">
        <f>((C301*0)+(D301*1)+(E301*2)+(F301*3))/100</f>
        <v>0.27475098098400197</v>
      </c>
      <c r="I301" s="37" t="s">
        <v>374</v>
      </c>
      <c r="J301" s="37" t="s">
        <v>300</v>
      </c>
      <c r="K301" s="38">
        <v>99.905674615152407</v>
      </c>
      <c r="L301" s="38">
        <v>9.4325384847570207E-2</v>
      </c>
      <c r="M301" s="38">
        <v>0</v>
      </c>
      <c r="N301" s="38">
        <v>0</v>
      </c>
      <c r="O301" s="39">
        <f>((K301*0)+(L301*1)+(M301*2)+(N301*3))/100</f>
        <v>9.4325384847570204E-4</v>
      </c>
    </row>
    <row r="302" spans="1:15" ht="14.25">
      <c r="A302" s="37" t="s">
        <v>494</v>
      </c>
      <c r="B302" s="37" t="s">
        <v>301</v>
      </c>
      <c r="C302" s="38">
        <v>9.9627827082736893</v>
      </c>
      <c r="D302" s="38">
        <v>69.510449470369295</v>
      </c>
      <c r="E302" s="38">
        <v>20.526767821357002</v>
      </c>
      <c r="F302" s="38">
        <v>0</v>
      </c>
      <c r="G302" s="39">
        <f>((C302*0)+(D302*1)+(E302*2)+(F302*3))/100</f>
        <v>1.105639851130833</v>
      </c>
      <c r="I302" s="37" t="s">
        <v>494</v>
      </c>
      <c r="J302" s="37" t="s">
        <v>301</v>
      </c>
      <c r="K302" s="38">
        <v>58.058975093043202</v>
      </c>
      <c r="L302" s="38">
        <v>40.452333237904398</v>
      </c>
      <c r="M302" s="38">
        <v>1.2024048096192399</v>
      </c>
      <c r="N302" s="38">
        <v>0.28628685943315202</v>
      </c>
      <c r="O302" s="39">
        <f>((K302*0)+(L302*1)+(M302*2)+(N302*3))/100</f>
        <v>0.4371600343544233</v>
      </c>
    </row>
    <row r="303" spans="1:15" ht="14.25">
      <c r="A303" s="37" t="s">
        <v>552</v>
      </c>
      <c r="B303" s="37" t="s">
        <v>302</v>
      </c>
      <c r="C303" s="38">
        <v>8.1553398058252409</v>
      </c>
      <c r="D303" s="38">
        <v>81.747572815533999</v>
      </c>
      <c r="E303" s="38">
        <v>9.9029126213592207</v>
      </c>
      <c r="F303" s="38">
        <v>0.19417475728155301</v>
      </c>
      <c r="G303" s="39">
        <f>((C303*0)+(D303*1)+(E303*2)+(F303*3))/100</f>
        <v>1.021359223300971</v>
      </c>
      <c r="I303" s="37" t="s">
        <v>552</v>
      </c>
      <c r="J303" s="37" t="s">
        <v>302</v>
      </c>
      <c r="K303" s="38">
        <v>12.2330097087379</v>
      </c>
      <c r="L303" s="38">
        <v>83.883495145631102</v>
      </c>
      <c r="M303" s="38">
        <v>3.6893203883495098</v>
      </c>
      <c r="N303" s="38">
        <v>0.19417475728155301</v>
      </c>
      <c r="O303" s="39">
        <f>((K303*0)+(L303*1)+(M303*2)+(N303*3))/100</f>
        <v>0.91844660194174776</v>
      </c>
    </row>
    <row r="304" spans="1:15" ht="14.25">
      <c r="A304" s="37" t="s">
        <v>486</v>
      </c>
      <c r="B304" s="37" t="s">
        <v>303</v>
      </c>
      <c r="C304" s="38">
        <v>52.620053183169098</v>
      </c>
      <c r="D304" s="38">
        <v>47.372125762552798</v>
      </c>
      <c r="E304" s="38">
        <v>7.8210542781166903E-3</v>
      </c>
      <c r="F304" s="38">
        <v>0</v>
      </c>
      <c r="G304" s="39">
        <f>((C304*0)+(D304*1)+(E304*2)+(F304*3))/100</f>
        <v>0.47387767871109032</v>
      </c>
      <c r="I304" s="37" t="s">
        <v>486</v>
      </c>
      <c r="J304" s="37" t="s">
        <v>303</v>
      </c>
      <c r="K304" s="38">
        <v>65.501329579227303</v>
      </c>
      <c r="L304" s="38">
        <v>34.490849366494601</v>
      </c>
      <c r="M304" s="38">
        <v>7.8210542781166903E-3</v>
      </c>
      <c r="N304" s="38">
        <v>0</v>
      </c>
      <c r="O304" s="39">
        <f>((K304*0)+(L304*1)+(M304*2)+(N304*3))/100</f>
        <v>0.34506491475050838</v>
      </c>
    </row>
    <row r="305" spans="1:15" ht="14.25">
      <c r="A305" s="37" t="s">
        <v>369</v>
      </c>
      <c r="B305" s="37" t="s">
        <v>304</v>
      </c>
      <c r="C305" s="38">
        <v>98.831385642737899</v>
      </c>
      <c r="D305" s="38">
        <v>1.1686143572620999</v>
      </c>
      <c r="E305" s="38">
        <v>0</v>
      </c>
      <c r="F305" s="38">
        <v>0</v>
      </c>
      <c r="G305" s="39">
        <f>((C305*0)+(D305*1)+(E305*2)+(F305*3))/100</f>
        <v>1.1686143572620999E-2</v>
      </c>
      <c r="I305" s="37" t="s">
        <v>369</v>
      </c>
      <c r="J305" s="37" t="s">
        <v>304</v>
      </c>
      <c r="K305" s="38">
        <v>100</v>
      </c>
      <c r="L305" s="38">
        <v>0</v>
      </c>
      <c r="M305" s="38">
        <v>0</v>
      </c>
      <c r="N305" s="38">
        <v>0</v>
      </c>
      <c r="O305" s="39">
        <f>((K305*0)+(L305*1)+(M305*2)+(N305*3))/100</f>
        <v>0</v>
      </c>
    </row>
    <row r="306" spans="1:15" ht="14.25">
      <c r="A306" s="37" t="s">
        <v>415</v>
      </c>
      <c r="B306" s="37" t="s">
        <v>416</v>
      </c>
      <c r="C306" s="38">
        <v>3.4365524212073901</v>
      </c>
      <c r="D306" s="38">
        <v>96.443995221905695</v>
      </c>
      <c r="E306" s="38">
        <v>0.119452356886888</v>
      </c>
      <c r="F306" s="38">
        <v>0</v>
      </c>
      <c r="G306" s="39">
        <f>((C306*0)+(D306*1)+(E306*2)+(F306*3))/100</f>
        <v>0.96682899935679467</v>
      </c>
      <c r="I306" s="37" t="s">
        <v>415</v>
      </c>
      <c r="J306" s="37" t="s">
        <v>416</v>
      </c>
      <c r="K306" s="38">
        <v>94.707341725627103</v>
      </c>
      <c r="L306" s="38">
        <v>5.2926582743728696</v>
      </c>
      <c r="M306" s="38">
        <v>0</v>
      </c>
      <c r="N306" s="38">
        <v>0</v>
      </c>
      <c r="O306" s="39">
        <f>((K306*0)+(L306*1)+(M306*2)+(N306*3))/100</f>
        <v>5.2926582743728696E-2</v>
      </c>
    </row>
    <row r="307" spans="1:15" ht="14.25">
      <c r="A307" s="37" t="s">
        <v>615</v>
      </c>
      <c r="B307" s="37" t="s">
        <v>306</v>
      </c>
      <c r="C307" s="38">
        <v>1.05207785376118E-2</v>
      </c>
      <c r="D307" s="38">
        <v>85.839032088374594</v>
      </c>
      <c r="E307" s="38">
        <v>14.1504471330878</v>
      </c>
      <c r="F307" s="38">
        <v>0</v>
      </c>
      <c r="G307" s="39">
        <f>((C307*0)+(D307*1)+(E307*2)+(F307*3))/100</f>
        <v>1.1413992635455019</v>
      </c>
      <c r="I307" s="37" t="s">
        <v>615</v>
      </c>
      <c r="J307" s="37" t="s">
        <v>306</v>
      </c>
      <c r="K307" s="38">
        <v>1.1678064176749099</v>
      </c>
      <c r="L307" s="38">
        <v>96.033666491320403</v>
      </c>
      <c r="M307" s="38">
        <v>2.79852709100473</v>
      </c>
      <c r="N307" s="38">
        <v>0</v>
      </c>
      <c r="O307" s="39">
        <f>((K307*0)+(L307*1)+(M307*2)+(N307*3))/100</f>
        <v>1.0163072067332986</v>
      </c>
    </row>
    <row r="308" spans="1:15" ht="14.25">
      <c r="A308" s="37" t="s">
        <v>605</v>
      </c>
      <c r="B308" s="37" t="s">
        <v>307</v>
      </c>
      <c r="C308" s="38">
        <v>0.227517662555383</v>
      </c>
      <c r="D308" s="38">
        <v>99.7724823374446</v>
      </c>
      <c r="E308" s="38">
        <v>0</v>
      </c>
      <c r="F308" s="38">
        <v>0</v>
      </c>
      <c r="G308" s="39">
        <f>((C308*0)+(D308*1)+(E308*2)+(F308*3))/100</f>
        <v>0.99772482337444601</v>
      </c>
      <c r="I308" s="37" t="s">
        <v>605</v>
      </c>
      <c r="J308" s="37" t="s">
        <v>307</v>
      </c>
      <c r="K308" s="38">
        <v>0.22153035564602999</v>
      </c>
      <c r="L308" s="38">
        <v>98.586995569392897</v>
      </c>
      <c r="M308" s="38">
        <v>1.1914740749610799</v>
      </c>
      <c r="N308" s="38">
        <v>0</v>
      </c>
      <c r="O308" s="39">
        <f>((K308*0)+(L308*1)+(M308*2)+(N308*3))/100</f>
        <v>1.0096994371931505</v>
      </c>
    </row>
    <row r="309" spans="1:15" ht="14.25">
      <c r="A309" s="37" t="s">
        <v>733</v>
      </c>
      <c r="B309" s="37" t="s">
        <v>252</v>
      </c>
      <c r="C309" s="38">
        <v>0</v>
      </c>
      <c r="D309" s="38">
        <v>2.7478513497155301</v>
      </c>
      <c r="E309" s="38">
        <v>97.252148650284497</v>
      </c>
      <c r="F309" s="38">
        <v>0</v>
      </c>
      <c r="G309" s="39">
        <f>((C309*0)+(D309*1)+(E309*2)+(F309*3))/100</f>
        <v>1.9725214865028451</v>
      </c>
      <c r="I309" s="37" t="s">
        <v>733</v>
      </c>
      <c r="J309" s="37" t="s">
        <v>252</v>
      </c>
      <c r="K309" s="38">
        <v>0.956300689989105</v>
      </c>
      <c r="L309" s="38">
        <v>7.1662026389057001</v>
      </c>
      <c r="M309" s="38">
        <v>91.877496671105206</v>
      </c>
      <c r="N309" s="38">
        <v>0</v>
      </c>
      <c r="O309" s="39">
        <f>((K309*0)+(L309*1)+(M309*2)+(N309*3))/100</f>
        <v>1.9092119598111612</v>
      </c>
    </row>
    <row r="310" spans="1:15" ht="14.25">
      <c r="A310" s="37" t="s">
        <v>633</v>
      </c>
      <c r="B310" s="37" t="s">
        <v>308</v>
      </c>
      <c r="C310" s="38">
        <v>0</v>
      </c>
      <c r="D310" s="38">
        <v>48.737864077669897</v>
      </c>
      <c r="E310" s="38">
        <v>50.631067961165002</v>
      </c>
      <c r="F310" s="38">
        <v>0.63106796116504804</v>
      </c>
      <c r="G310" s="39">
        <f>((C310*0)+(D310*1)+(E310*2)+(F310*3))/100</f>
        <v>1.5189320388349503</v>
      </c>
      <c r="I310" s="37" t="s">
        <v>633</v>
      </c>
      <c r="J310" s="37" t="s">
        <v>308</v>
      </c>
      <c r="K310" s="38">
        <v>0</v>
      </c>
      <c r="L310" s="38">
        <v>94.126213592233</v>
      </c>
      <c r="M310" s="38">
        <v>5.8737864077669899</v>
      </c>
      <c r="N310" s="38">
        <v>0</v>
      </c>
      <c r="O310" s="39">
        <f>((K310*0)+(L310*1)+(M310*2)+(N310*3))/100</f>
        <v>1.0587378640776699</v>
      </c>
    </row>
    <row r="311" spans="1:15" ht="14.25">
      <c r="A311" s="37" t="s">
        <v>751</v>
      </c>
      <c r="B311" s="37" t="s">
        <v>295</v>
      </c>
      <c r="C311" s="38">
        <v>0</v>
      </c>
      <c r="D311" s="38">
        <v>49.141844756948302</v>
      </c>
      <c r="E311" s="38">
        <v>50.858155243051698</v>
      </c>
      <c r="F311" s="38">
        <v>0</v>
      </c>
      <c r="G311" s="39">
        <f>((C311*0)+(D311*1)+(E311*2)+(F311*3))/100</f>
        <v>1.5085815524305171</v>
      </c>
      <c r="I311" s="37" t="s">
        <v>751</v>
      </c>
      <c r="J311" s="37" t="s">
        <v>295</v>
      </c>
      <c r="K311" s="38">
        <v>0.27682427195216502</v>
      </c>
      <c r="L311" s="38">
        <v>2.5578562728379999</v>
      </c>
      <c r="M311" s="38">
        <v>97.165319455209797</v>
      </c>
      <c r="N311" s="38">
        <v>0</v>
      </c>
      <c r="O311" s="39">
        <f>((K311*0)+(L311*1)+(M311*2)+(N311*3))/100</f>
        <v>1.9688849518325759</v>
      </c>
    </row>
    <row r="312" spans="1:15" ht="14.25">
      <c r="A312" s="37" t="s">
        <v>599</v>
      </c>
      <c r="B312" s="37" t="s">
        <v>309</v>
      </c>
      <c r="C312" s="38">
        <v>6.0277275467148901E-2</v>
      </c>
      <c r="D312" s="38">
        <v>85.902652200120599</v>
      </c>
      <c r="E312" s="38">
        <v>13.9993972272453</v>
      </c>
      <c r="F312" s="38">
        <v>3.76732971669681E-2</v>
      </c>
      <c r="G312" s="39">
        <f>((C312*0)+(D312*1)+(E312*2)+(F312*3))/100</f>
        <v>1.1401446654611209</v>
      </c>
      <c r="I312" s="37" t="s">
        <v>599</v>
      </c>
      <c r="J312" s="37" t="s">
        <v>309</v>
      </c>
      <c r="K312" s="38">
        <v>0.173297166968053</v>
      </c>
      <c r="L312" s="38">
        <v>99.344484629294797</v>
      </c>
      <c r="M312" s="38">
        <v>0.48221820373719099</v>
      </c>
      <c r="N312" s="38">
        <v>0</v>
      </c>
      <c r="O312" s="39">
        <f>((K312*0)+(L312*1)+(M312*2)+(N312*3))/100</f>
        <v>1.0030892103676918</v>
      </c>
    </row>
    <row r="313" spans="1:15" ht="14.25">
      <c r="A313" s="37" t="s">
        <v>598</v>
      </c>
      <c r="B313" s="37" t="s">
        <v>310</v>
      </c>
      <c r="C313" s="38">
        <v>0</v>
      </c>
      <c r="D313" s="38">
        <v>98.977106673161202</v>
      </c>
      <c r="E313" s="38">
        <v>1.0228933268387701</v>
      </c>
      <c r="F313" s="38">
        <v>0</v>
      </c>
      <c r="G313" s="39">
        <f>((C313*0)+(D313*1)+(E313*2)+(F313*3))/100</f>
        <v>1.0102289332683874</v>
      </c>
      <c r="I313" s="37" t="s">
        <v>598</v>
      </c>
      <c r="J313" s="37" t="s">
        <v>310</v>
      </c>
      <c r="K313" s="38">
        <v>0</v>
      </c>
      <c r="L313" s="38">
        <v>99.740217567786999</v>
      </c>
      <c r="M313" s="38">
        <v>0.259782432213022</v>
      </c>
      <c r="N313" s="38">
        <v>0</v>
      </c>
      <c r="O313" s="39">
        <f>((K313*0)+(L313*1)+(M313*2)+(N313*3))/100</f>
        <v>1.0025978243221305</v>
      </c>
    </row>
    <row r="314" spans="1:15" ht="14.25">
      <c r="A314" s="37" t="s">
        <v>690</v>
      </c>
      <c r="B314" s="37" t="s">
        <v>311</v>
      </c>
      <c r="C314" s="38">
        <v>75.7866922892145</v>
      </c>
      <c r="D314" s="38">
        <v>22.788053487068598</v>
      </c>
      <c r="E314" s="38">
        <v>1.4252542237168699</v>
      </c>
      <c r="F314" s="38">
        <v>0</v>
      </c>
      <c r="G314" s="39">
        <f>((C314*0)+(D314*1)+(E314*2)+(F314*3))/100</f>
        <v>0.25638561934502335</v>
      </c>
      <c r="I314" s="37" t="s">
        <v>690</v>
      </c>
      <c r="J314" s="37" t="s">
        <v>311</v>
      </c>
      <c r="K314" s="38">
        <v>2.6583393386179801</v>
      </c>
      <c r="L314" s="38">
        <v>30.154535991672699</v>
      </c>
      <c r="M314" s="38">
        <v>67.187124669709306</v>
      </c>
      <c r="N314" s="38">
        <v>0</v>
      </c>
      <c r="O314" s="39">
        <f>((K314*0)+(L314*1)+(M314*2)+(N314*3))/100</f>
        <v>1.6452878533109132</v>
      </c>
    </row>
    <row r="315" spans="1:15" ht="14.25">
      <c r="A315" s="37" t="s">
        <v>466</v>
      </c>
      <c r="B315" s="37" t="s">
        <v>312</v>
      </c>
      <c r="C315" s="38">
        <v>41.029053005100899</v>
      </c>
      <c r="D315" s="38">
        <v>58.2612552672433</v>
      </c>
      <c r="E315" s="38">
        <v>0.70969172765579902</v>
      </c>
      <c r="F315" s="38">
        <v>0</v>
      </c>
      <c r="G315" s="39">
        <f>((C315*0)+(D315*1)+(E315*2)+(F315*3))/100</f>
        <v>0.59680638722554891</v>
      </c>
      <c r="I315" s="37" t="s">
        <v>466</v>
      </c>
      <c r="J315" s="37" t="s">
        <v>312</v>
      </c>
      <c r="K315" s="38">
        <v>81.060102018185901</v>
      </c>
      <c r="L315" s="38">
        <v>18.895542248835699</v>
      </c>
      <c r="M315" s="38">
        <v>4.4355732978487501E-2</v>
      </c>
      <c r="N315" s="38">
        <v>0</v>
      </c>
      <c r="O315" s="39">
        <f>((K315*0)+(L315*1)+(M315*2)+(N315*3))/100</f>
        <v>0.18984253714792676</v>
      </c>
    </row>
    <row r="316" spans="1:15" ht="14.25">
      <c r="A316" s="37" t="s">
        <v>428</v>
      </c>
      <c r="B316" s="37" t="s">
        <v>313</v>
      </c>
      <c r="C316" s="38">
        <v>3.9983844911147002</v>
      </c>
      <c r="D316" s="38">
        <v>94.204361873990294</v>
      </c>
      <c r="E316" s="38">
        <v>1.6659935379644599</v>
      </c>
      <c r="F316" s="38">
        <v>0.131260096930533</v>
      </c>
      <c r="G316" s="39">
        <f>((C316*0)+(D316*1)+(E316*2)+(F316*3))/100</f>
        <v>0.97930129240710817</v>
      </c>
      <c r="I316" s="37" t="s">
        <v>428</v>
      </c>
      <c r="J316" s="37" t="s">
        <v>313</v>
      </c>
      <c r="K316" s="38">
        <v>95.951130856219706</v>
      </c>
      <c r="L316" s="38">
        <v>0.626009693053312</v>
      </c>
      <c r="M316" s="38">
        <v>3.4228594507269801</v>
      </c>
      <c r="N316" s="38">
        <v>0</v>
      </c>
      <c r="O316" s="39">
        <f>((K316*0)+(L316*1)+(M316*2)+(N316*3))/100</f>
        <v>7.4717285945072723E-2</v>
      </c>
    </row>
    <row r="317" spans="1:15" ht="14.25">
      <c r="A317" s="37" t="s">
        <v>404</v>
      </c>
      <c r="B317" s="37" t="s">
        <v>405</v>
      </c>
      <c r="C317" s="38">
        <v>71.021021021020999</v>
      </c>
      <c r="D317" s="38">
        <v>28.003003003002998</v>
      </c>
      <c r="E317" s="38">
        <v>0.97597597597597596</v>
      </c>
      <c r="F317" s="38">
        <v>0</v>
      </c>
      <c r="G317" s="39">
        <f>((C317*0)+(D317*1)+(E317*2)+(F317*3))/100</f>
        <v>0.29954954954954949</v>
      </c>
      <c r="I317" s="37" t="s">
        <v>404</v>
      </c>
      <c r="J317" s="37" t="s">
        <v>405</v>
      </c>
      <c r="K317" s="38">
        <v>96.734234234234194</v>
      </c>
      <c r="L317" s="38">
        <v>2.0645645645645598</v>
      </c>
      <c r="M317" s="38">
        <v>1.2012012012012001</v>
      </c>
      <c r="N317" s="38">
        <v>0</v>
      </c>
      <c r="O317" s="39">
        <f>((K317*0)+(L317*1)+(M317*2)+(N317*3))/100</f>
        <v>4.46696696696696E-2</v>
      </c>
    </row>
    <row r="318" spans="1:15" ht="14.25">
      <c r="A318" s="37" t="s">
        <v>384</v>
      </c>
      <c r="B318" s="37" t="s">
        <v>385</v>
      </c>
      <c r="C318" s="38">
        <v>0.273123588423762</v>
      </c>
      <c r="D318" s="38">
        <v>97.137454698251005</v>
      </c>
      <c r="E318" s="38">
        <v>2.3845790220074599</v>
      </c>
      <c r="F318" s="38">
        <v>0.20484269131782101</v>
      </c>
      <c r="G318" s="39">
        <f>((C318*0)+(D318*1)+(E318*2)+(F318*3))/100</f>
        <v>1.0252114081621939</v>
      </c>
      <c r="I318" s="37" t="s">
        <v>384</v>
      </c>
      <c r="J318" s="37" t="s">
        <v>385</v>
      </c>
      <c r="K318" s="38">
        <v>98.124901517936905</v>
      </c>
      <c r="L318" s="38">
        <v>1.8015652082567399</v>
      </c>
      <c r="M318" s="38">
        <v>7.3533273806397403E-2</v>
      </c>
      <c r="N318" s="38">
        <v>0</v>
      </c>
      <c r="O318" s="39">
        <f>((K318*0)+(L318*1)+(M318*2)+(N318*3))/100</f>
        <v>1.9486317558695346E-2</v>
      </c>
    </row>
    <row r="319" spans="1:15" ht="14.25">
      <c r="A319" s="37" t="s">
        <v>753</v>
      </c>
      <c r="B319" s="37" t="s">
        <v>316</v>
      </c>
      <c r="C319" s="38">
        <v>0.23437810352361699</v>
      </c>
      <c r="D319" s="38">
        <v>0.73888690263377399</v>
      </c>
      <c r="E319" s="38">
        <v>79.001310928375602</v>
      </c>
      <c r="F319" s="38">
        <v>20.025424065467</v>
      </c>
      <c r="G319" s="39">
        <f>((C319*0)+(D319*1)+(E319*2)+(F319*3))/100</f>
        <v>2.1881778095578595</v>
      </c>
      <c r="I319" s="37" t="s">
        <v>753</v>
      </c>
      <c r="J319" s="37" t="s">
        <v>316</v>
      </c>
      <c r="K319" s="38">
        <v>0.401223533150598</v>
      </c>
      <c r="L319" s="38">
        <v>0.957374965240535</v>
      </c>
      <c r="M319" s="38">
        <v>98.641401501608897</v>
      </c>
      <c r="N319" s="38">
        <v>0</v>
      </c>
      <c r="O319" s="39">
        <f>((K319*0)+(L319*1)+(M319*2)+(N319*3))/100</f>
        <v>1.9824017796845834</v>
      </c>
    </row>
    <row r="320" spans="1:15" ht="14.25">
      <c r="A320" s="37" t="s">
        <v>513</v>
      </c>
      <c r="B320" s="37" t="s">
        <v>317</v>
      </c>
      <c r="C320" s="38">
        <v>4.4256337121037896</v>
      </c>
      <c r="D320" s="38">
        <v>81.299167318397195</v>
      </c>
      <c r="E320" s="38">
        <v>13.84735704099</v>
      </c>
      <c r="F320" s="38">
        <v>0.427841928508994</v>
      </c>
      <c r="G320" s="39">
        <f>((C320*0)+(D320*1)+(E320*2)+(F320*3))/100</f>
        <v>1.1027740718590417</v>
      </c>
      <c r="I320" s="37" t="s">
        <v>513</v>
      </c>
      <c r="J320" s="37" t="s">
        <v>317</v>
      </c>
      <c r="K320" s="38">
        <v>32.336568983760401</v>
      </c>
      <c r="L320" s="38">
        <v>66.582325067856701</v>
      </c>
      <c r="M320" s="38">
        <v>1.0811059483829399</v>
      </c>
      <c r="N320" s="38">
        <v>0</v>
      </c>
      <c r="O320" s="39">
        <f>((K320*0)+(L320*1)+(M320*2)+(N320*3))/100</f>
        <v>0.68744536964622582</v>
      </c>
    </row>
    <row r="321" spans="1:15" ht="14.25">
      <c r="A321" s="37" t="s">
        <v>750</v>
      </c>
      <c r="B321" s="37" t="s">
        <v>318</v>
      </c>
      <c r="C321" s="38">
        <v>0</v>
      </c>
      <c r="D321" s="38">
        <v>3.32441188899845</v>
      </c>
      <c r="E321" s="38">
        <v>95.717706719256199</v>
      </c>
      <c r="F321" s="38">
        <v>0.95788139174531595</v>
      </c>
      <c r="G321" s="39">
        <f>((C321*0)+(D321*1)+(E321*2)+(F321*3))/100</f>
        <v>1.9763346950274678</v>
      </c>
      <c r="I321" s="37" t="s">
        <v>750</v>
      </c>
      <c r="J321" s="37" t="s">
        <v>318</v>
      </c>
      <c r="K321" s="38">
        <v>0.28172982110156403</v>
      </c>
      <c r="L321" s="38">
        <v>2.74686575574025</v>
      </c>
      <c r="M321" s="38">
        <v>96.971404423158205</v>
      </c>
      <c r="N321" s="38">
        <v>0</v>
      </c>
      <c r="O321" s="39">
        <f>((K321*0)+(L321*1)+(M321*2)+(N321*3))/100</f>
        <v>1.9668967460205666</v>
      </c>
    </row>
    <row r="322" spans="1:15" ht="14.25">
      <c r="A322" s="37" t="s">
        <v>752</v>
      </c>
      <c r="B322" s="37" t="s">
        <v>319</v>
      </c>
      <c r="C322" s="38">
        <v>0</v>
      </c>
      <c r="D322" s="38">
        <v>44.152930849507499</v>
      </c>
      <c r="E322" s="38">
        <v>55.778796449819602</v>
      </c>
      <c r="F322" s="38">
        <v>6.8272700672973793E-2</v>
      </c>
      <c r="G322" s="39">
        <f>((C322*0)+(D322*1)+(E322*2)+(F322*3))/100</f>
        <v>1.5591534185116565</v>
      </c>
      <c r="I322" s="37" t="s">
        <v>752</v>
      </c>
      <c r="J322" s="37" t="s">
        <v>319</v>
      </c>
      <c r="K322" s="38">
        <v>2.9259728859845902E-2</v>
      </c>
      <c r="L322" s="38">
        <v>1.95064859065639</v>
      </c>
      <c r="M322" s="38">
        <v>98.020091680483802</v>
      </c>
      <c r="N322" s="38">
        <v>0</v>
      </c>
      <c r="O322" s="39">
        <f>((K322*0)+(L322*1)+(M322*2)+(N322*3))/100</f>
        <v>1.9799083195162399</v>
      </c>
    </row>
    <row r="323" spans="1:15" ht="14.25">
      <c r="A323" s="37" t="s">
        <v>618</v>
      </c>
      <c r="B323" s="37" t="s">
        <v>320</v>
      </c>
      <c r="C323" s="38">
        <v>31.892934104570699</v>
      </c>
      <c r="D323" s="38">
        <v>66.122263808551693</v>
      </c>
      <c r="E323" s="38">
        <v>1.3496654190767801</v>
      </c>
      <c r="F323" s="38">
        <v>0.63513666780083899</v>
      </c>
      <c r="G323" s="39">
        <f>((C323*0)+(D323*1)+(E323*2)+(F323*3))/100</f>
        <v>0.70727004650107772</v>
      </c>
      <c r="I323" s="37" t="s">
        <v>618</v>
      </c>
      <c r="J323" s="37" t="s">
        <v>320</v>
      </c>
      <c r="K323" s="38">
        <v>0.77123738232959005</v>
      </c>
      <c r="L323" s="38">
        <v>96.041737552455501</v>
      </c>
      <c r="M323" s="38">
        <v>3.1870250652149301</v>
      </c>
      <c r="N323" s="38">
        <v>0</v>
      </c>
      <c r="O323" s="39">
        <f>((K323*0)+(L323*1)+(M323*2)+(N323*3))/100</f>
        <v>1.0241578768288537</v>
      </c>
    </row>
    <row r="324" spans="1:15" ht="14.25">
      <c r="A324" s="37" t="s">
        <v>746</v>
      </c>
      <c r="B324" s="37" t="s">
        <v>296</v>
      </c>
      <c r="C324" s="38">
        <v>1.50186230926349</v>
      </c>
      <c r="D324" s="38">
        <v>91.397332692538697</v>
      </c>
      <c r="E324" s="38">
        <v>7.1008049981977699</v>
      </c>
      <c r="F324" s="38">
        <v>0</v>
      </c>
      <c r="G324" s="39">
        <f>((C324*0)+(D324*1)+(E324*2)+(F324*3))/100</f>
        <v>1.0559894268893424</v>
      </c>
      <c r="I324" s="37" t="s">
        <v>746</v>
      </c>
      <c r="J324" s="37" t="s">
        <v>296</v>
      </c>
      <c r="K324" s="38">
        <v>3.6044695422323698E-2</v>
      </c>
      <c r="L324" s="38">
        <v>3.6405142376546902</v>
      </c>
      <c r="M324" s="38">
        <v>96.323441066922996</v>
      </c>
      <c r="N324" s="38">
        <v>0</v>
      </c>
      <c r="O324" s="39">
        <f>((K324*0)+(L324*1)+(M324*2)+(N324*3))/100</f>
        <v>1.9628739637150068</v>
      </c>
    </row>
    <row r="325" spans="1:15" ht="14.25">
      <c r="A325" s="37" t="s">
        <v>626</v>
      </c>
      <c r="B325" s="37" t="s">
        <v>321</v>
      </c>
      <c r="C325" s="38">
        <v>0.94254937163375196</v>
      </c>
      <c r="D325" s="38">
        <v>2.1095152603231599</v>
      </c>
      <c r="E325" s="38">
        <v>29.3985637342908</v>
      </c>
      <c r="F325" s="38">
        <v>67.549371633752202</v>
      </c>
      <c r="G325" s="39">
        <f>((C325*0)+(D325*1)+(E325*2)+(F325*3))/100</f>
        <v>2.6355475763016134</v>
      </c>
      <c r="I325" s="37" t="s">
        <v>626</v>
      </c>
      <c r="J325" s="37" t="s">
        <v>321</v>
      </c>
      <c r="K325" s="38">
        <v>0</v>
      </c>
      <c r="L325" s="38">
        <v>95.870736086175896</v>
      </c>
      <c r="M325" s="38">
        <v>4.1292639138240599</v>
      </c>
      <c r="N325" s="38">
        <v>0</v>
      </c>
      <c r="O325" s="39">
        <f>((K325*0)+(L325*1)+(M325*2)+(N325*3))/100</f>
        <v>1.0412926391382402</v>
      </c>
    </row>
    <row r="326" spans="1:15" ht="14.25">
      <c r="A326" s="37" t="s">
        <v>604</v>
      </c>
      <c r="B326" s="37" t="s">
        <v>322</v>
      </c>
      <c r="C326" s="38">
        <v>63.215555394326302</v>
      </c>
      <c r="D326" s="38">
        <v>36.682870202423302</v>
      </c>
      <c r="E326" s="38">
        <v>0.101574403250381</v>
      </c>
      <c r="F326" s="38">
        <v>0</v>
      </c>
      <c r="G326" s="39">
        <f>((C326*0)+(D326*1)+(E326*2)+(F326*3))/100</f>
        <v>0.36886019008924065</v>
      </c>
      <c r="I326" s="37" t="s">
        <v>604</v>
      </c>
      <c r="J326" s="37" t="s">
        <v>322</v>
      </c>
      <c r="K326" s="38">
        <v>0</v>
      </c>
      <c r="L326" s="38">
        <v>99.2019154030327</v>
      </c>
      <c r="M326" s="38">
        <v>0.79808459696727896</v>
      </c>
      <c r="N326" s="38">
        <v>0</v>
      </c>
      <c r="O326" s="39">
        <f>((K326*0)+(L326*1)+(M326*2)+(N326*3))/100</f>
        <v>1.0079808459696726</v>
      </c>
    </row>
    <row r="327" spans="1:15" ht="14.25">
      <c r="A327" s="37" t="s">
        <v>591</v>
      </c>
      <c r="B327" s="37" t="s">
        <v>323</v>
      </c>
      <c r="C327" s="38">
        <v>5.4931836407377697</v>
      </c>
      <c r="D327" s="38">
        <v>94.134494214686697</v>
      </c>
      <c r="E327" s="38">
        <v>0.37232214457555302</v>
      </c>
      <c r="F327" s="38">
        <v>0</v>
      </c>
      <c r="G327" s="39">
        <f>((C327*0)+(D327*1)+(E327*2)+(F327*3))/100</f>
        <v>0.94879138503837812</v>
      </c>
      <c r="I327" s="37" t="s">
        <v>591</v>
      </c>
      <c r="J327" s="37" t="s">
        <v>323</v>
      </c>
      <c r="K327" s="38">
        <v>0.41807456617604899</v>
      </c>
      <c r="L327" s="38">
        <v>99.209667258461707</v>
      </c>
      <c r="M327" s="38">
        <v>0.37225817536223599</v>
      </c>
      <c r="N327" s="38">
        <v>0</v>
      </c>
      <c r="O327" s="39">
        <f>((K327*0)+(L327*1)+(M327*2)+(N327*3))/100</f>
        <v>0.99954183609186176</v>
      </c>
    </row>
    <row r="328" spans="1:15" ht="14.25">
      <c r="A328" s="37" t="s">
        <v>616</v>
      </c>
      <c r="B328" s="37" t="s">
        <v>324</v>
      </c>
      <c r="C328" s="38">
        <v>0</v>
      </c>
      <c r="D328" s="38">
        <v>3.12611012433393</v>
      </c>
      <c r="E328" s="38">
        <v>96.873889875666094</v>
      </c>
      <c r="F328" s="38">
        <v>0</v>
      </c>
      <c r="G328" s="39">
        <f>((C328*0)+(D328*1)+(E328*2)+(F328*3))/100</f>
        <v>1.9687388987566612</v>
      </c>
      <c r="I328" s="37" t="s">
        <v>616</v>
      </c>
      <c r="J328" s="37" t="s">
        <v>324</v>
      </c>
      <c r="K328" s="38">
        <v>0</v>
      </c>
      <c r="L328" s="38">
        <v>98.365896980461798</v>
      </c>
      <c r="M328" s="38">
        <v>1.63410301953819</v>
      </c>
      <c r="N328" s="38">
        <v>0</v>
      </c>
      <c r="O328" s="39">
        <f>((K328*0)+(L328*1)+(M328*2)+(N328*3))/100</f>
        <v>1.0163410301953817</v>
      </c>
    </row>
    <row r="329" spans="1:15" ht="14.25">
      <c r="A329" s="37" t="s">
        <v>578</v>
      </c>
      <c r="B329" s="37" t="s">
        <v>325</v>
      </c>
      <c r="C329" s="38">
        <v>0</v>
      </c>
      <c r="D329" s="38">
        <v>3.6420395421435998</v>
      </c>
      <c r="E329" s="38">
        <v>58.659134829790403</v>
      </c>
      <c r="F329" s="38">
        <v>37.698825628065997</v>
      </c>
      <c r="G329" s="39">
        <f>((C329*0)+(D329*1)+(E329*2)+(F329*3))/100</f>
        <v>2.340567860859224</v>
      </c>
      <c r="I329" s="37" t="s">
        <v>578</v>
      </c>
      <c r="J329" s="37" t="s">
        <v>325</v>
      </c>
      <c r="K329" s="38">
        <v>2.5271294782220899</v>
      </c>
      <c r="L329" s="38">
        <v>97.472870521777907</v>
      </c>
      <c r="M329" s="38">
        <v>0</v>
      </c>
      <c r="N329" s="38">
        <v>0</v>
      </c>
      <c r="O329" s="39">
        <f>((K329*0)+(L329*1)+(M329*2)+(N329*3))/100</f>
        <v>0.9747287052177791</v>
      </c>
    </row>
    <row r="330" spans="1:15" ht="14.25">
      <c r="A330" s="37" t="s">
        <v>370</v>
      </c>
      <c r="B330" s="37" t="s">
        <v>371</v>
      </c>
      <c r="C330" s="38">
        <v>0</v>
      </c>
      <c r="D330" s="38">
        <v>84.172661870503603</v>
      </c>
      <c r="E330" s="38">
        <v>15.8273381294964</v>
      </c>
      <c r="F330" s="38">
        <v>0</v>
      </c>
      <c r="G330" s="39">
        <f>((C330*0)+(D330*1)+(E330*2)+(F330*3))/100</f>
        <v>1.1582733812949642</v>
      </c>
      <c r="I330" s="37" t="s">
        <v>370</v>
      </c>
      <c r="J330" s="37" t="s">
        <v>371</v>
      </c>
      <c r="K330" s="38">
        <v>100</v>
      </c>
      <c r="L330" s="38">
        <v>0</v>
      </c>
      <c r="M330" s="38">
        <v>0</v>
      </c>
      <c r="N330" s="38">
        <v>0</v>
      </c>
      <c r="O330" s="39">
        <f>((K330*0)+(L330*1)+(M330*2)+(N330*3))/100</f>
        <v>0</v>
      </c>
    </row>
    <row r="331" spans="1:15" ht="14.25">
      <c r="A331" s="37" t="s">
        <v>434</v>
      </c>
      <c r="B331" s="37" t="s">
        <v>327</v>
      </c>
      <c r="C331" s="38">
        <v>3.4635879218472501</v>
      </c>
      <c r="D331" s="38">
        <v>93.605683836589705</v>
      </c>
      <c r="E331" s="38">
        <v>2.93072824156306</v>
      </c>
      <c r="F331" s="38">
        <v>0</v>
      </c>
      <c r="G331" s="39">
        <f>((C331*0)+(D331*1)+(E331*2)+(F331*3))/100</f>
        <v>0.99467140319715819</v>
      </c>
      <c r="I331" s="37" t="s">
        <v>434</v>
      </c>
      <c r="J331" s="37" t="s">
        <v>327</v>
      </c>
      <c r="K331" s="38">
        <v>93.072824156305501</v>
      </c>
      <c r="L331" s="38">
        <v>5.5062166962699797</v>
      </c>
      <c r="M331" s="38">
        <v>1.42095914742451</v>
      </c>
      <c r="N331" s="38">
        <v>0</v>
      </c>
      <c r="O331" s="39">
        <f>((K331*0)+(L331*1)+(M331*2)+(N331*3))/100</f>
        <v>8.3481349911189995E-2</v>
      </c>
    </row>
    <row r="332" spans="1:15" ht="14.25">
      <c r="A332" s="37" t="s">
        <v>761</v>
      </c>
      <c r="B332" s="37" t="s">
        <v>328</v>
      </c>
      <c r="C332" s="38">
        <v>0</v>
      </c>
      <c r="D332" s="38">
        <v>84.779645615629306</v>
      </c>
      <c r="E332" s="38">
        <v>15.220354384370699</v>
      </c>
      <c r="F332" s="38">
        <v>0</v>
      </c>
      <c r="G332" s="39">
        <f>((C332*0)+(D332*1)+(E332*2)+(F332*3))/100</f>
        <v>1.152203543843707</v>
      </c>
      <c r="I332" s="37" t="s">
        <v>761</v>
      </c>
      <c r="J332" s="37" t="s">
        <v>328</v>
      </c>
      <c r="K332" s="38">
        <v>0.86324398000908698</v>
      </c>
      <c r="L332" s="38">
        <v>1.3175829168559701</v>
      </c>
      <c r="M332" s="38">
        <v>80.599727396637903</v>
      </c>
      <c r="N332" s="38">
        <v>17.219445706497002</v>
      </c>
      <c r="O332" s="39">
        <f>((K332*0)+(L332*1)+(M332*2)+(N332*3))/100</f>
        <v>2.1417537482962281</v>
      </c>
    </row>
    <row r="333" spans="1:15" ht="14.25">
      <c r="A333" s="37" t="s">
        <v>625</v>
      </c>
      <c r="B333" s="37" t="s">
        <v>329</v>
      </c>
      <c r="C333" s="38">
        <v>0.63547082611207395</v>
      </c>
      <c r="D333" s="38">
        <v>29.9826689774697</v>
      </c>
      <c r="E333" s="38">
        <v>69.381860196418302</v>
      </c>
      <c r="F333" s="38">
        <v>0</v>
      </c>
      <c r="G333" s="39">
        <f>((C333*0)+(D333*1)+(E333*2)+(F333*3))/100</f>
        <v>1.687463893703063</v>
      </c>
      <c r="I333" s="37" t="s">
        <v>625</v>
      </c>
      <c r="J333" s="37" t="s">
        <v>329</v>
      </c>
      <c r="K333" s="38">
        <v>0</v>
      </c>
      <c r="L333" s="38">
        <v>97.669940304255704</v>
      </c>
      <c r="M333" s="38">
        <v>0.55844405931061003</v>
      </c>
      <c r="N333" s="38">
        <v>1.7716156364336599</v>
      </c>
      <c r="O333" s="39">
        <f>((K333*0)+(L333*1)+(M333*2)+(N333*3))/100</f>
        <v>1.0410167533217791</v>
      </c>
    </row>
    <row r="334" spans="1:15" ht="14.25">
      <c r="A334" s="37" t="s">
        <v>682</v>
      </c>
      <c r="B334" s="37" t="s">
        <v>683</v>
      </c>
      <c r="C334" s="38">
        <v>18.330012678862499</v>
      </c>
      <c r="D334" s="38">
        <v>80.166636478898695</v>
      </c>
      <c r="E334" s="38">
        <v>1.5033508422387201</v>
      </c>
      <c r="F334" s="38">
        <v>0</v>
      </c>
      <c r="G334" s="39">
        <f>((C334*0)+(D334*1)+(E334*2)+(F334*3))/100</f>
        <v>0.83173338163376132</v>
      </c>
      <c r="I334" s="37" t="s">
        <v>682</v>
      </c>
      <c r="J334" s="37" t="s">
        <v>683</v>
      </c>
      <c r="K334" s="38">
        <v>0</v>
      </c>
      <c r="L334" s="38">
        <v>45.462778482159003</v>
      </c>
      <c r="M334" s="38">
        <v>53.233109943850799</v>
      </c>
      <c r="N334" s="38">
        <v>1.30411157399022</v>
      </c>
      <c r="O334" s="39">
        <f>((K334*0)+(L334*1)+(M334*2)+(N334*3))/100</f>
        <v>1.5584133309183128</v>
      </c>
    </row>
    <row r="335" spans="1:15" ht="14.25">
      <c r="A335" s="37" t="s">
        <v>630</v>
      </c>
      <c r="B335" s="37" t="s">
        <v>293</v>
      </c>
      <c r="C335" s="38">
        <v>0</v>
      </c>
      <c r="D335" s="38">
        <v>49.522184300341301</v>
      </c>
      <c r="E335" s="38">
        <v>50.477815699658699</v>
      </c>
      <c r="F335" s="38">
        <v>0</v>
      </c>
      <c r="G335" s="39">
        <f>((C335*0)+(D335*1)+(E335*2)+(F335*3))/100</f>
        <v>1.504778156996587</v>
      </c>
      <c r="I335" s="37" t="s">
        <v>630</v>
      </c>
      <c r="J335" s="37" t="s">
        <v>293</v>
      </c>
      <c r="K335" s="38">
        <v>0</v>
      </c>
      <c r="L335" s="38">
        <v>96.996587030716697</v>
      </c>
      <c r="M335" s="38">
        <v>0.78498293515358397</v>
      </c>
      <c r="N335" s="38">
        <v>2.2184300341296899</v>
      </c>
      <c r="O335" s="39">
        <f>((K335*0)+(L335*1)+(M335*2)+(N335*3))/100</f>
        <v>1.0522184300341295</v>
      </c>
    </row>
    <row r="336" spans="1:15" ht="14.25">
      <c r="A336" s="37" t="s">
        <v>602</v>
      </c>
      <c r="B336" s="37" t="s">
        <v>331</v>
      </c>
      <c r="C336" s="38">
        <v>0.39089645587213301</v>
      </c>
      <c r="D336" s="38">
        <v>95.022585128561502</v>
      </c>
      <c r="E336" s="38">
        <v>4.5865184155663696</v>
      </c>
      <c r="F336" s="38">
        <v>0</v>
      </c>
      <c r="G336" s="39">
        <f>((C336*0)+(D336*1)+(E336*2)+(F336*3))/100</f>
        <v>1.0419562195969423</v>
      </c>
      <c r="I336" s="37" t="s">
        <v>602</v>
      </c>
      <c r="J336" s="37" t="s">
        <v>331</v>
      </c>
      <c r="K336" s="38">
        <v>0.48644892286309899</v>
      </c>
      <c r="L336" s="38">
        <v>98.479847116052795</v>
      </c>
      <c r="M336" s="38">
        <v>1.0337039610840899</v>
      </c>
      <c r="N336" s="38">
        <v>0</v>
      </c>
      <c r="O336" s="39">
        <f>((K336*0)+(L336*1)+(M336*2)+(N336*3))/100</f>
        <v>1.0054725503822097</v>
      </c>
    </row>
    <row r="337" spans="1:15" ht="14.25">
      <c r="A337" s="37" t="s">
        <v>592</v>
      </c>
      <c r="B337" s="37" t="s">
        <v>593</v>
      </c>
      <c r="C337" s="38">
        <v>0</v>
      </c>
      <c r="D337" s="38">
        <v>6.58263305322129</v>
      </c>
      <c r="E337" s="38">
        <v>93.417366946778699</v>
      </c>
      <c r="F337" s="38">
        <v>0</v>
      </c>
      <c r="G337" s="39">
        <f>((C337*0)+(D337*1)+(E337*2)+(F337*3))/100</f>
        <v>1.9341736694677869</v>
      </c>
      <c r="I337" s="37" t="s">
        <v>592</v>
      </c>
      <c r="J337" s="37" t="s">
        <v>593</v>
      </c>
      <c r="K337" s="38">
        <v>0</v>
      </c>
      <c r="L337" s="38">
        <v>100</v>
      </c>
      <c r="M337" s="38">
        <v>0</v>
      </c>
      <c r="N337" s="38">
        <v>0</v>
      </c>
      <c r="O337" s="39">
        <f>((K337*0)+(L337*1)+(M337*2)+(N337*3))/100</f>
        <v>1</v>
      </c>
    </row>
    <row r="338" spans="1:15" ht="14.25">
      <c r="A338" s="37" t="s">
        <v>622</v>
      </c>
      <c r="B338" s="37" t="s">
        <v>333</v>
      </c>
      <c r="C338" s="38">
        <v>0.78125</v>
      </c>
      <c r="D338" s="38">
        <v>34.230324074074097</v>
      </c>
      <c r="E338" s="38">
        <v>64.988425925925895</v>
      </c>
      <c r="F338" s="38">
        <v>0</v>
      </c>
      <c r="G338" s="39">
        <f>((C338*0)+(D338*1)+(E338*2)+(F338*3))/100</f>
        <v>1.6420717592592589</v>
      </c>
      <c r="I338" s="37" t="s">
        <v>622</v>
      </c>
      <c r="J338" s="37" t="s">
        <v>333</v>
      </c>
      <c r="K338" s="38">
        <v>0</v>
      </c>
      <c r="L338" s="38">
        <v>96.817129629629605</v>
      </c>
      <c r="M338" s="38">
        <v>3.1828703703703698</v>
      </c>
      <c r="N338" s="38">
        <v>0</v>
      </c>
      <c r="O338" s="39">
        <f>((K338*0)+(L338*1)+(M338*2)+(N338*3))/100</f>
        <v>1.0318287037037033</v>
      </c>
    </row>
    <row r="339" spans="1:15" ht="14.25">
      <c r="A339" s="37" t="s">
        <v>754</v>
      </c>
      <c r="B339" s="37" t="s">
        <v>334</v>
      </c>
      <c r="C339" s="38">
        <v>0.25700334104343397</v>
      </c>
      <c r="D339" s="38">
        <v>92.662554613210006</v>
      </c>
      <c r="E339" s="38">
        <v>7.0804420457465902</v>
      </c>
      <c r="F339" s="38">
        <v>0</v>
      </c>
      <c r="G339" s="39">
        <f>((C339*0)+(D339*1)+(E339*2)+(F339*3))/100</f>
        <v>1.0682343870470319</v>
      </c>
      <c r="I339" s="37" t="s">
        <v>754</v>
      </c>
      <c r="J339" s="37" t="s">
        <v>334</v>
      </c>
      <c r="K339" s="38">
        <v>0</v>
      </c>
      <c r="L339" s="38">
        <v>1.47776921099974</v>
      </c>
      <c r="M339" s="38">
        <v>98.522230789000204</v>
      </c>
      <c r="N339" s="38">
        <v>0</v>
      </c>
      <c r="O339" s="39">
        <f>((K339*0)+(L339*1)+(M339*2)+(N339*3))/100</f>
        <v>1.9852223078900015</v>
      </c>
    </row>
    <row r="340" spans="1:15" ht="14.25">
      <c r="A340" s="37" t="s">
        <v>767</v>
      </c>
      <c r="B340" s="37" t="s">
        <v>313</v>
      </c>
      <c r="C340" s="38">
        <v>0</v>
      </c>
      <c r="D340" s="38">
        <v>30.987762237762201</v>
      </c>
      <c r="E340" s="38">
        <v>69.012237762237802</v>
      </c>
      <c r="F340" s="38">
        <v>0</v>
      </c>
      <c r="G340" s="39">
        <f>((C340*0)+(D340*1)+(E340*2)+(F340*3))/100</f>
        <v>1.6901223776223782</v>
      </c>
      <c r="I340" s="37" t="s">
        <v>767</v>
      </c>
      <c r="J340" s="37" t="s">
        <v>313</v>
      </c>
      <c r="K340" s="38">
        <v>0</v>
      </c>
      <c r="L340" s="38">
        <v>1.7045454545454499</v>
      </c>
      <c r="M340" s="38">
        <v>4.1739510489510501</v>
      </c>
      <c r="N340" s="38">
        <v>94.121503496503493</v>
      </c>
      <c r="O340" s="39">
        <f>((K340*0)+(L340*1)+(M340*2)+(N340*3))/100</f>
        <v>2.9241695804195809</v>
      </c>
    </row>
    <row r="341" spans="1:15" ht="14.25">
      <c r="A341" s="37" t="s">
        <v>768</v>
      </c>
      <c r="B341" s="37" t="s">
        <v>336</v>
      </c>
      <c r="C341" s="38">
        <v>0</v>
      </c>
      <c r="D341" s="38">
        <v>3.6505630221576499</v>
      </c>
      <c r="E341" s="38">
        <v>96.349436977842302</v>
      </c>
      <c r="F341" s="38">
        <v>0</v>
      </c>
      <c r="G341" s="39">
        <f>((C341*0)+(D341*1)+(E341*2)+(F341*3))/100</f>
        <v>1.9634943697784226</v>
      </c>
      <c r="I341" s="37" t="s">
        <v>768</v>
      </c>
      <c r="J341" s="37" t="s">
        <v>336</v>
      </c>
      <c r="K341" s="38">
        <v>0</v>
      </c>
      <c r="L341" s="38">
        <v>2.4700326916091502</v>
      </c>
      <c r="M341" s="38">
        <v>2.4881946966945101</v>
      </c>
      <c r="N341" s="38">
        <v>95.041772611696302</v>
      </c>
      <c r="O341" s="39">
        <f>((K341*0)+(L341*1)+(M341*2)+(N341*3))/100</f>
        <v>2.9257173992008711</v>
      </c>
    </row>
    <row r="342" spans="1:15" ht="14.25">
      <c r="A342" s="37" t="s">
        <v>755</v>
      </c>
      <c r="B342" s="37" t="s">
        <v>337</v>
      </c>
      <c r="C342" s="38">
        <v>0</v>
      </c>
      <c r="D342" s="38">
        <v>43.240875912408796</v>
      </c>
      <c r="E342" s="38">
        <v>56.759124087591204</v>
      </c>
      <c r="F342" s="38">
        <v>0</v>
      </c>
      <c r="G342" s="39">
        <f>((C342*0)+(D342*1)+(E342*2)+(F342*3))/100</f>
        <v>1.5675912408759121</v>
      </c>
      <c r="I342" s="37" t="s">
        <v>755</v>
      </c>
      <c r="J342" s="37" t="s">
        <v>337</v>
      </c>
      <c r="K342" s="38">
        <v>0</v>
      </c>
      <c r="L342" s="38">
        <v>1.34306569343066</v>
      </c>
      <c r="M342" s="38">
        <v>98.656934306569298</v>
      </c>
      <c r="N342" s="38">
        <v>0</v>
      </c>
      <c r="O342" s="39">
        <f>((K342*0)+(L342*1)+(M342*2)+(N342*3))/100</f>
        <v>1.9865693430656928</v>
      </c>
    </row>
    <row r="343" spans="1:15" ht="14.25">
      <c r="A343" s="37" t="s">
        <v>612</v>
      </c>
      <c r="B343" s="37" t="s">
        <v>613</v>
      </c>
      <c r="C343" s="38">
        <v>0</v>
      </c>
      <c r="D343" s="38">
        <v>3.5785953177257501</v>
      </c>
      <c r="E343" s="38">
        <v>96.421404682274201</v>
      </c>
      <c r="F343" s="38">
        <v>0</v>
      </c>
      <c r="G343" s="39">
        <f>((C343*0)+(D343*1)+(E343*2)+(F343*3))/100</f>
        <v>1.9642140468227416</v>
      </c>
      <c r="I343" s="37" t="s">
        <v>612</v>
      </c>
      <c r="J343" s="37" t="s">
        <v>613</v>
      </c>
      <c r="K343" s="38">
        <v>0</v>
      </c>
      <c r="L343" s="38">
        <v>99.331103678929793</v>
      </c>
      <c r="M343" s="38">
        <v>0</v>
      </c>
      <c r="N343" s="38">
        <v>0.668896321070234</v>
      </c>
      <c r="O343" s="39">
        <f>((K343*0)+(L343*1)+(M343*2)+(N343*3))/100</f>
        <v>1.0133779264214049</v>
      </c>
    </row>
    <row r="344" spans="1:15" ht="14.25">
      <c r="A344" s="37" t="s">
        <v>606</v>
      </c>
      <c r="B344" s="37" t="s">
        <v>339</v>
      </c>
      <c r="C344" s="38">
        <v>0</v>
      </c>
      <c r="D344" s="38">
        <v>51.100318713006502</v>
      </c>
      <c r="E344" s="38">
        <v>48.899681286993498</v>
      </c>
      <c r="F344" s="38">
        <v>0</v>
      </c>
      <c r="G344" s="39">
        <f>((C344*0)+(D344*1)+(E344*2)+(F344*3))/100</f>
        <v>1.4889968128699349</v>
      </c>
      <c r="I344" s="37" t="s">
        <v>606</v>
      </c>
      <c r="J344" s="37" t="s">
        <v>339</v>
      </c>
      <c r="K344" s="38">
        <v>0</v>
      </c>
      <c r="L344" s="38">
        <v>99.317043557444194</v>
      </c>
      <c r="M344" s="38">
        <v>0.34906662619517398</v>
      </c>
      <c r="N344" s="38">
        <v>0.333889816360601</v>
      </c>
      <c r="O344" s="39">
        <f>((K344*0)+(L344*1)+(M344*2)+(N344*3))/100</f>
        <v>1.0101684625891634</v>
      </c>
    </row>
    <row r="346" spans="1:15" ht="15">
      <c r="A346" s="43" t="s">
        <v>363</v>
      </c>
      <c r="B346" s="43" t="s">
        <v>364</v>
      </c>
      <c r="C346" s="43" t="s">
        <v>365</v>
      </c>
      <c r="D346" s="43" t="s">
        <v>366</v>
      </c>
      <c r="E346" s="43" t="s">
        <v>367</v>
      </c>
      <c r="F346" s="47" t="s">
        <v>771</v>
      </c>
      <c r="I346" s="43" t="s">
        <v>363</v>
      </c>
      <c r="J346" s="43" t="s">
        <v>364</v>
      </c>
      <c r="K346" s="43" t="s">
        <v>365</v>
      </c>
      <c r="L346" s="43" t="s">
        <v>366</v>
      </c>
      <c r="M346" s="43" t="s">
        <v>367</v>
      </c>
      <c r="N346" s="47" t="s">
        <v>772</v>
      </c>
    </row>
    <row r="347" spans="1:15">
      <c r="A347" s="44" t="s">
        <v>343</v>
      </c>
      <c r="B347" s="44">
        <v>13.8756050692029</v>
      </c>
      <c r="C347" s="45">
        <v>55.772907494344601</v>
      </c>
      <c r="D347" s="45">
        <v>25.934664688282901</v>
      </c>
      <c r="E347" s="45">
        <v>4.4168227481695901</v>
      </c>
      <c r="F347" s="41">
        <f>((B347*0)+(C347*1)+(D347*2)+(E347*3))/100</f>
        <v>1.2089270511541919</v>
      </c>
      <c r="I347" s="44" t="s">
        <v>343</v>
      </c>
      <c r="J347" s="44">
        <v>21.7782815555707</v>
      </c>
      <c r="K347" s="45">
        <v>45.733077768804897</v>
      </c>
      <c r="L347" s="45">
        <v>32.488640675624403</v>
      </c>
      <c r="M347" s="45">
        <v>0</v>
      </c>
      <c r="N347" s="41">
        <f>((J347*0)+(K347*1)+(L347*2)+(M347*3))/100</f>
        <v>1.1071035912005371</v>
      </c>
    </row>
    <row r="348" spans="1:15">
      <c r="A348" s="44" t="s">
        <v>342</v>
      </c>
      <c r="B348" s="44">
        <v>2.9168438551049598</v>
      </c>
      <c r="C348" s="45">
        <v>40.783623922372101</v>
      </c>
      <c r="D348" s="45">
        <v>47.465883171608603</v>
      </c>
      <c r="E348" s="45">
        <v>8.8336490509142909</v>
      </c>
      <c r="F348" s="41">
        <f t="shared" ref="F348:F361" si="0">((B348*0)+(C348*1)+(D348*2)+(E348*3))/100</f>
        <v>1.6221633741833217</v>
      </c>
      <c r="I348" s="44" t="s">
        <v>342</v>
      </c>
      <c r="J348" s="44">
        <v>48.760969575134297</v>
      </c>
      <c r="K348" s="45">
        <v>40.551668148606304</v>
      </c>
      <c r="L348" s="45">
        <v>9.7556732516333593</v>
      </c>
      <c r="M348" s="45">
        <v>0.93168902462597103</v>
      </c>
      <c r="N348" s="41">
        <f t="shared" ref="N348:N361" si="1">((J348*0)+(K348*1)+(L348*2)+(M348*3))/100</f>
        <v>0.62858081725750936</v>
      </c>
    </row>
    <row r="349" spans="1:15">
      <c r="A349" s="44" t="s">
        <v>345</v>
      </c>
      <c r="B349" s="44">
        <v>3.4787810670195598</v>
      </c>
      <c r="C349" s="45">
        <v>35.003534978155599</v>
      </c>
      <c r="D349" s="45">
        <v>55.178289795696401</v>
      </c>
      <c r="E349" s="45">
        <v>6.3393941591283998</v>
      </c>
      <c r="F349" s="41">
        <f t="shared" si="0"/>
        <v>1.6437829704693359</v>
      </c>
      <c r="I349" s="44" t="s">
        <v>345</v>
      </c>
      <c r="J349" s="44">
        <v>36.132915178652397</v>
      </c>
      <c r="K349" s="45">
        <v>49.324728531805697</v>
      </c>
      <c r="L349" s="45">
        <v>13.264325725576899</v>
      </c>
      <c r="M349" s="45">
        <v>1.27803056396498</v>
      </c>
      <c r="N349" s="41">
        <f t="shared" si="1"/>
        <v>0.79687471674854438</v>
      </c>
    </row>
    <row r="350" spans="1:15">
      <c r="A350" s="44" t="s">
        <v>31</v>
      </c>
      <c r="B350" s="44">
        <v>12.101108828922399</v>
      </c>
      <c r="C350" s="45">
        <v>65.086447733943999</v>
      </c>
      <c r="D350" s="45">
        <v>22.757356123741801</v>
      </c>
      <c r="E350" s="45">
        <v>5.5087313391725901E-2</v>
      </c>
      <c r="F350" s="41">
        <f t="shared" si="0"/>
        <v>1.1076642192160278</v>
      </c>
      <c r="I350" s="44" t="s">
        <v>31</v>
      </c>
      <c r="J350" s="44">
        <v>24.8860873055221</v>
      </c>
      <c r="K350" s="45">
        <v>49.033217649975199</v>
      </c>
      <c r="L350" s="45">
        <v>26.076760236403299</v>
      </c>
      <c r="M350" s="45">
        <v>3.9348080994089903E-3</v>
      </c>
      <c r="N350" s="41">
        <f t="shared" si="1"/>
        <v>1.0119854254708003</v>
      </c>
    </row>
    <row r="351" spans="1:15">
      <c r="A351" s="44" t="s">
        <v>166</v>
      </c>
      <c r="B351" s="44">
        <v>3.9046798736721202</v>
      </c>
      <c r="C351" s="45">
        <v>57.278208440999101</v>
      </c>
      <c r="D351" s="45">
        <v>38.7884008039047</v>
      </c>
      <c r="E351" s="45">
        <v>2.8710881424059701E-2</v>
      </c>
      <c r="F351" s="41">
        <f t="shared" si="0"/>
        <v>1.3494114269308068</v>
      </c>
      <c r="I351" s="44" t="s">
        <v>166</v>
      </c>
      <c r="J351" s="44">
        <v>20.794881259997499</v>
      </c>
      <c r="K351" s="45">
        <v>41.1960132890365</v>
      </c>
      <c r="L351" s="45">
        <v>38.005003896476801</v>
      </c>
      <c r="M351" s="45">
        <v>4.1015544891513898E-3</v>
      </c>
      <c r="N351" s="41">
        <f t="shared" si="1"/>
        <v>1.1721832574545756</v>
      </c>
    </row>
    <row r="352" spans="1:15">
      <c r="A352" s="44" t="s">
        <v>347</v>
      </c>
      <c r="B352" s="44">
        <v>1.7202036159382099</v>
      </c>
      <c r="C352" s="45">
        <v>57.117781288397403</v>
      </c>
      <c r="D352" s="45">
        <v>41.162015095664401</v>
      </c>
      <c r="E352" s="45">
        <v>0</v>
      </c>
      <c r="F352" s="41">
        <f t="shared" si="0"/>
        <v>1.3944181147972621</v>
      </c>
      <c r="I352" s="44" t="s">
        <v>347</v>
      </c>
      <c r="J352" s="44">
        <v>2.29466864537955</v>
      </c>
      <c r="K352" s="45">
        <v>56.407678682560203</v>
      </c>
      <c r="L352" s="45">
        <v>25.550927920596202</v>
      </c>
      <c r="M352" s="45">
        <v>15.7467247514641</v>
      </c>
      <c r="N352" s="41">
        <f t="shared" si="1"/>
        <v>1.5474970877814491</v>
      </c>
    </row>
    <row r="353" spans="1:14">
      <c r="A353" s="44" t="s">
        <v>201</v>
      </c>
      <c r="B353" s="44">
        <v>6.49052321377909</v>
      </c>
      <c r="C353" s="45">
        <v>30.523396816971299</v>
      </c>
      <c r="D353" s="45">
        <v>56.757300923426101</v>
      </c>
      <c r="E353" s="45">
        <v>6.2287790458235301</v>
      </c>
      <c r="F353" s="41">
        <f t="shared" si="0"/>
        <v>1.6272433580129408</v>
      </c>
      <c r="I353" s="44" t="s">
        <v>201</v>
      </c>
      <c r="J353" s="44">
        <v>9.4941748194788893</v>
      </c>
      <c r="K353" s="45">
        <v>37.463278025387403</v>
      </c>
      <c r="L353" s="45">
        <v>50.172513201607103</v>
      </c>
      <c r="M353" s="45">
        <v>2.8700339535266801</v>
      </c>
      <c r="N353" s="41">
        <f t="shared" si="1"/>
        <v>1.4641840628918166</v>
      </c>
    </row>
    <row r="354" spans="1:14">
      <c r="A354" s="44" t="s">
        <v>348</v>
      </c>
      <c r="B354" s="44">
        <v>26.701026391348801</v>
      </c>
      <c r="C354" s="45">
        <v>52.172693369709897</v>
      </c>
      <c r="D354" s="45">
        <v>21.116379357762799</v>
      </c>
      <c r="E354" s="45">
        <v>9.9008811784248793E-3</v>
      </c>
      <c r="F354" s="41">
        <f t="shared" si="0"/>
        <v>0.94435154728770765</v>
      </c>
      <c r="I354" s="44" t="s">
        <v>348</v>
      </c>
      <c r="J354" s="44">
        <v>35.303517013014201</v>
      </c>
      <c r="K354" s="45">
        <v>35.764733061242403</v>
      </c>
      <c r="L354" s="45">
        <v>28.908647869660399</v>
      </c>
      <c r="M354" s="45">
        <v>2.3102056082991401E-2</v>
      </c>
      <c r="N354" s="41">
        <f t="shared" si="1"/>
        <v>0.93651334968812161</v>
      </c>
    </row>
    <row r="355" spans="1:14">
      <c r="A355" s="44" t="s">
        <v>243</v>
      </c>
      <c r="B355" s="44">
        <v>36.736092080021898</v>
      </c>
      <c r="C355" s="45">
        <v>35.417922718553001</v>
      </c>
      <c r="D355" s="45">
        <v>27.103315976979999</v>
      </c>
      <c r="E355" s="45">
        <v>0.74266922444505301</v>
      </c>
      <c r="F355" s="41">
        <f t="shared" si="0"/>
        <v>0.91852562345848154</v>
      </c>
      <c r="I355" s="44" t="s">
        <v>243</v>
      </c>
      <c r="J355" s="44">
        <v>63.8932280961386</v>
      </c>
      <c r="K355" s="45">
        <v>27.4767738222478</v>
      </c>
      <c r="L355" s="45">
        <v>8.6053331140891807</v>
      </c>
      <c r="M355" s="45">
        <v>2.4664967524459399E-2</v>
      </c>
      <c r="N355" s="41">
        <f t="shared" si="1"/>
        <v>0.44761434952999535</v>
      </c>
    </row>
    <row r="356" spans="1:14">
      <c r="F356" s="41"/>
      <c r="N356" s="41"/>
    </row>
    <row r="357" spans="1:14" ht="15">
      <c r="A357" s="43" t="s">
        <v>363</v>
      </c>
      <c r="B357" s="43" t="s">
        <v>364</v>
      </c>
      <c r="C357" s="43" t="s">
        <v>365</v>
      </c>
      <c r="D357" s="43" t="s">
        <v>366</v>
      </c>
      <c r="E357" s="43" t="s">
        <v>367</v>
      </c>
      <c r="F357" s="41"/>
      <c r="I357" s="43" t="s">
        <v>363</v>
      </c>
      <c r="J357" s="43" t="s">
        <v>364</v>
      </c>
      <c r="K357" s="43" t="s">
        <v>365</v>
      </c>
      <c r="L357" s="43" t="s">
        <v>366</v>
      </c>
      <c r="M357" s="43" t="s">
        <v>367</v>
      </c>
      <c r="N357" s="41"/>
    </row>
    <row r="358" spans="1:14">
      <c r="A358" s="44" t="s">
        <v>346</v>
      </c>
      <c r="B358" s="44">
        <v>69.784672377865206</v>
      </c>
      <c r="C358" s="45">
        <v>23.0087983329474</v>
      </c>
      <c r="D358" s="45">
        <v>7.2065292891873103</v>
      </c>
      <c r="E358" s="45">
        <v>0</v>
      </c>
      <c r="F358" s="41">
        <f t="shared" si="0"/>
        <v>0.37421856911322027</v>
      </c>
      <c r="I358" s="44" t="s">
        <v>346</v>
      </c>
      <c r="J358" s="44">
        <v>87.710564399421102</v>
      </c>
      <c r="K358" s="45">
        <v>12.2894356005789</v>
      </c>
      <c r="L358" s="45">
        <v>0</v>
      </c>
      <c r="M358" s="45">
        <v>0</v>
      </c>
      <c r="N358" s="41">
        <f t="shared" si="1"/>
        <v>0.12289435600578899</v>
      </c>
    </row>
    <row r="359" spans="1:14">
      <c r="F359" s="41"/>
      <c r="N359" s="41"/>
    </row>
    <row r="360" spans="1:14" ht="15">
      <c r="A360" s="36"/>
      <c r="B360" s="43" t="s">
        <v>364</v>
      </c>
      <c r="C360" s="43" t="s">
        <v>365</v>
      </c>
      <c r="D360" s="43" t="s">
        <v>366</v>
      </c>
      <c r="E360" s="43" t="s">
        <v>367</v>
      </c>
      <c r="F360" s="41"/>
      <c r="I360" s="36"/>
      <c r="J360" s="43" t="s">
        <v>364</v>
      </c>
      <c r="K360" s="43" t="s">
        <v>365</v>
      </c>
      <c r="L360" s="43" t="s">
        <v>366</v>
      </c>
      <c r="M360" s="43" t="s">
        <v>367</v>
      </c>
      <c r="N360" s="41"/>
    </row>
    <row r="361" spans="1:14" ht="14.25">
      <c r="A361" s="36" t="s">
        <v>344</v>
      </c>
      <c r="B361" s="44">
        <v>15.8625756701603</v>
      </c>
      <c r="C361" s="44">
        <v>50.755489740034001</v>
      </c>
      <c r="D361" s="45">
        <v>31.134522511664802</v>
      </c>
      <c r="E361" s="45">
        <v>2.2474120781409401</v>
      </c>
      <c r="F361" s="41">
        <f t="shared" si="0"/>
        <v>1.1976677099778643</v>
      </c>
      <c r="I361" s="36" t="s">
        <v>344</v>
      </c>
      <c r="J361" s="44">
        <v>27.855310469241999</v>
      </c>
      <c r="K361" s="44">
        <v>41.567492094390197</v>
      </c>
      <c r="L361" s="45">
        <v>29.2349308669035</v>
      </c>
      <c r="M361" s="45">
        <v>1.3422665694643401</v>
      </c>
      <c r="N361" s="41">
        <f t="shared" si="1"/>
        <v>1.0406415353659022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outlinePr summaryBelow="0" summaryRight="0"/>
  </sheetPr>
  <dimension ref="A1:G1013"/>
  <sheetViews>
    <sheetView workbookViewId="0">
      <selection activeCell="F7" sqref="F7"/>
    </sheetView>
  </sheetViews>
  <sheetFormatPr baseColWidth="10" defaultColWidth="12.5703125" defaultRowHeight="15.75" customHeight="1"/>
  <sheetData>
    <row r="1" spans="1:7" ht="15.75" customHeight="1">
      <c r="A1" s="13" t="s">
        <v>340</v>
      </c>
      <c r="B1" s="14" t="s">
        <v>1</v>
      </c>
      <c r="C1" s="10" t="s">
        <v>362</v>
      </c>
      <c r="D1" s="10" t="s">
        <v>361</v>
      </c>
      <c r="E1" s="46" t="s">
        <v>773</v>
      </c>
      <c r="F1" s="15"/>
    </row>
    <row r="2" spans="1:7" ht="15.75" customHeight="1">
      <c r="A2" s="6">
        <v>10101</v>
      </c>
      <c r="B2" s="14" t="s">
        <v>2</v>
      </c>
      <c r="C2" s="42">
        <v>1.0344641895530433</v>
      </c>
      <c r="D2" s="42">
        <v>0.16208939149165311</v>
      </c>
      <c r="E2" s="48"/>
      <c r="F2" s="16"/>
      <c r="G2" s="41"/>
    </row>
    <row r="3" spans="1:7" ht="15.75" customHeight="1">
      <c r="A3" s="6">
        <v>10102</v>
      </c>
      <c r="B3" s="14" t="s">
        <v>3</v>
      </c>
      <c r="C3" s="42">
        <v>2.3669354838709675</v>
      </c>
      <c r="D3" s="42">
        <v>1.3528225806451615</v>
      </c>
      <c r="E3" s="48"/>
      <c r="F3" s="16"/>
      <c r="G3" s="41"/>
    </row>
    <row r="4" spans="1:7" ht="15.75" customHeight="1">
      <c r="A4" s="6">
        <v>10103</v>
      </c>
      <c r="B4" s="14" t="s">
        <v>4</v>
      </c>
      <c r="C4" s="42">
        <v>2.3595223130106837</v>
      </c>
      <c r="D4" s="42">
        <v>1.8309239472030179</v>
      </c>
      <c r="E4" s="48"/>
      <c r="F4" s="16"/>
      <c r="G4" s="41"/>
    </row>
    <row r="5" spans="1:7" ht="15.75" customHeight="1">
      <c r="A5" s="6">
        <v>10201</v>
      </c>
      <c r="B5" s="14" t="s">
        <v>5</v>
      </c>
      <c r="C5" s="42">
        <v>2.145083288554539</v>
      </c>
      <c r="D5" s="42">
        <v>0.20634067705534639</v>
      </c>
      <c r="E5" s="48"/>
      <c r="F5" s="16"/>
      <c r="G5" s="41"/>
    </row>
    <row r="6" spans="1:7" ht="15.75" customHeight="1">
      <c r="A6" s="6">
        <v>10202</v>
      </c>
      <c r="B6" s="14" t="s">
        <v>6</v>
      </c>
      <c r="C6" s="42">
        <v>1.9243986254295544</v>
      </c>
      <c r="D6" s="42">
        <v>0.25154639175257737</v>
      </c>
      <c r="E6" s="48"/>
      <c r="F6" s="16"/>
      <c r="G6" s="41"/>
    </row>
    <row r="7" spans="1:7" ht="15.75" customHeight="1">
      <c r="A7" s="6">
        <v>10301</v>
      </c>
      <c r="B7" s="14" t="s">
        <v>7</v>
      </c>
      <c r="C7" s="42">
        <v>1.4891304347826086</v>
      </c>
      <c r="D7" s="42">
        <v>0.49184782608695615</v>
      </c>
      <c r="E7" s="48"/>
      <c r="F7" s="16"/>
      <c r="G7" s="41"/>
    </row>
    <row r="8" spans="1:7" ht="15.75" customHeight="1">
      <c r="A8" s="6">
        <v>10302</v>
      </c>
      <c r="B8" s="14" t="s">
        <v>8</v>
      </c>
      <c r="C8" s="42">
        <v>1.967145790554413</v>
      </c>
      <c r="D8" s="42">
        <v>1.4079397672826834</v>
      </c>
      <c r="E8" s="48"/>
      <c r="F8" s="16"/>
      <c r="G8" s="41"/>
    </row>
    <row r="9" spans="1:7" ht="15.75" customHeight="1">
      <c r="A9" s="6">
        <v>10303</v>
      </c>
      <c r="B9" s="14" t="s">
        <v>9</v>
      </c>
      <c r="C9" s="42">
        <v>2.406881077038145</v>
      </c>
      <c r="D9" s="42">
        <v>0.48990276738967814</v>
      </c>
      <c r="E9" s="48"/>
      <c r="F9" s="16"/>
      <c r="G9" s="41"/>
    </row>
    <row r="10" spans="1:7" ht="15.75" customHeight="1">
      <c r="A10" s="6">
        <v>10304</v>
      </c>
      <c r="B10" s="14" t="s">
        <v>10</v>
      </c>
      <c r="C10" s="42">
        <v>2.2579545454545462</v>
      </c>
      <c r="D10" s="42">
        <v>0.38068181818181834</v>
      </c>
      <c r="E10" s="48"/>
      <c r="F10" s="16"/>
      <c r="G10" s="41"/>
    </row>
    <row r="11" spans="1:7" ht="15.75" customHeight="1">
      <c r="A11" s="6">
        <v>10401</v>
      </c>
      <c r="B11" s="14" t="s">
        <v>11</v>
      </c>
      <c r="C11" s="42">
        <v>1.8054626532887414</v>
      </c>
      <c r="D11" s="42">
        <v>0.35785953177257512</v>
      </c>
      <c r="E11" s="48"/>
      <c r="F11" s="15"/>
      <c r="G11" s="41"/>
    </row>
    <row r="12" spans="1:7" ht="15.75" customHeight="1">
      <c r="A12" s="6">
        <v>10402</v>
      </c>
      <c r="B12" s="14" t="s">
        <v>12</v>
      </c>
      <c r="C12" s="42">
        <v>2.3403314917127069</v>
      </c>
      <c r="D12" s="42">
        <v>0.41546961325966897</v>
      </c>
      <c r="E12" s="48"/>
      <c r="F12" s="16"/>
      <c r="G12" s="41"/>
    </row>
    <row r="13" spans="1:7" ht="15.75" customHeight="1">
      <c r="A13" s="6">
        <v>10403</v>
      </c>
      <c r="B13" s="14" t="s">
        <v>13</v>
      </c>
      <c r="C13" s="42">
        <v>1.8351145038167942</v>
      </c>
      <c r="D13" s="42">
        <v>1.099236641221373</v>
      </c>
      <c r="E13" s="48"/>
      <c r="F13" s="16"/>
      <c r="G13" s="41"/>
    </row>
    <row r="14" spans="1:7" ht="15.75" customHeight="1">
      <c r="A14" s="6">
        <v>10404</v>
      </c>
      <c r="B14" s="14" t="s">
        <v>14</v>
      </c>
      <c r="C14" s="42">
        <v>1.7709497206703904</v>
      </c>
      <c r="D14" s="42">
        <v>0.80726256983240163</v>
      </c>
      <c r="E14" s="48"/>
      <c r="F14" s="16"/>
      <c r="G14" s="41"/>
    </row>
    <row r="15" spans="1:7" ht="15.75" customHeight="1">
      <c r="A15" s="6">
        <v>10405</v>
      </c>
      <c r="B15" s="14" t="s">
        <v>15</v>
      </c>
      <c r="C15" s="42">
        <v>2.2570239334027047</v>
      </c>
      <c r="D15" s="42">
        <v>1.2518210197710729</v>
      </c>
      <c r="E15" s="48"/>
      <c r="F15" s="16"/>
      <c r="G15" s="41"/>
    </row>
    <row r="16" spans="1:7" ht="15">
      <c r="A16" s="6">
        <v>10501</v>
      </c>
      <c r="B16" s="14" t="s">
        <v>16</v>
      </c>
      <c r="C16" s="42">
        <v>1.0096792035398241</v>
      </c>
      <c r="D16" s="42">
        <v>0.16841814159292021</v>
      </c>
      <c r="E16" s="48"/>
      <c r="F16" s="16"/>
      <c r="G16" s="41"/>
    </row>
    <row r="17" spans="1:7" ht="15">
      <c r="A17" s="6">
        <v>10502</v>
      </c>
      <c r="B17" s="14" t="s">
        <v>17</v>
      </c>
      <c r="C17" s="42">
        <v>1.602112676056338</v>
      </c>
      <c r="D17" s="42">
        <v>8.0025608194622261E-3</v>
      </c>
      <c r="E17" s="48"/>
      <c r="F17" s="16"/>
      <c r="G17" s="41"/>
    </row>
    <row r="18" spans="1:7" ht="15">
      <c r="A18" s="6">
        <v>10601</v>
      </c>
      <c r="B18" s="14" t="s">
        <v>18</v>
      </c>
      <c r="C18" s="42">
        <v>2.2175000000000007</v>
      </c>
      <c r="D18" s="42">
        <v>2.1091666666666655</v>
      </c>
      <c r="E18" s="48"/>
      <c r="F18" s="16"/>
      <c r="G18" s="41"/>
    </row>
    <row r="19" spans="1:7" ht="15">
      <c r="A19" s="6">
        <v>10602</v>
      </c>
      <c r="B19" s="14" t="s">
        <v>19</v>
      </c>
      <c r="C19" s="42">
        <v>2.3264177040110656</v>
      </c>
      <c r="D19" s="42">
        <v>0.94467496542185347</v>
      </c>
      <c r="E19" s="48"/>
      <c r="F19" s="16"/>
      <c r="G19" s="41"/>
    </row>
    <row r="20" spans="1:7" ht="15">
      <c r="A20" s="6">
        <v>10701</v>
      </c>
      <c r="B20" s="14" t="s">
        <v>20</v>
      </c>
      <c r="C20" s="42">
        <v>1.8546931407942233</v>
      </c>
      <c r="D20" s="42">
        <v>0.26128158844765303</v>
      </c>
      <c r="E20" s="48"/>
      <c r="F20" s="16"/>
      <c r="G20" s="41"/>
    </row>
    <row r="21" spans="1:7" ht="15">
      <c r="A21" s="6">
        <v>10702</v>
      </c>
      <c r="B21" s="14" t="s">
        <v>21</v>
      </c>
      <c r="C21" s="42">
        <v>2.1474811389632511</v>
      </c>
      <c r="D21" s="42">
        <v>0.19055731321489386</v>
      </c>
      <c r="E21" s="48"/>
      <c r="F21" s="16"/>
      <c r="G21" s="41"/>
    </row>
    <row r="22" spans="1:7" ht="15">
      <c r="A22" s="6">
        <v>10703</v>
      </c>
      <c r="B22" s="14" t="s">
        <v>22</v>
      </c>
      <c r="C22" s="42">
        <v>2.1662382176520989</v>
      </c>
      <c r="D22" s="42">
        <v>1.1499571550985441</v>
      </c>
      <c r="E22" s="48"/>
      <c r="F22" s="16"/>
      <c r="G22" s="41"/>
    </row>
    <row r="23" spans="1:7" ht="15">
      <c r="A23" s="6">
        <v>10704</v>
      </c>
      <c r="B23" s="14" t="s">
        <v>23</v>
      </c>
      <c r="C23" s="42">
        <v>2.1439688715953293</v>
      </c>
      <c r="D23" s="42">
        <v>0.215304798962386</v>
      </c>
      <c r="E23" s="48"/>
      <c r="F23" s="16"/>
      <c r="G23" s="41"/>
    </row>
    <row r="24" spans="1:7" ht="15">
      <c r="A24" s="6">
        <v>10801</v>
      </c>
      <c r="B24" s="14" t="s">
        <v>24</v>
      </c>
      <c r="C24" s="42">
        <v>1.81547619047619</v>
      </c>
      <c r="D24" s="42">
        <v>9.2532467532467605E-2</v>
      </c>
      <c r="E24" s="48"/>
      <c r="F24" s="16"/>
      <c r="G24" s="41"/>
    </row>
    <row r="25" spans="1:7" ht="15">
      <c r="A25" s="6">
        <v>10901</v>
      </c>
      <c r="B25" s="14" t="s">
        <v>25</v>
      </c>
      <c r="C25" s="42">
        <v>1.6127717391304344</v>
      </c>
      <c r="D25" s="42">
        <v>0.12771739130434781</v>
      </c>
      <c r="E25" s="48"/>
      <c r="F25" s="16"/>
      <c r="G25" s="41"/>
    </row>
    <row r="26" spans="1:7" ht="15">
      <c r="A26" s="6">
        <v>10902</v>
      </c>
      <c r="B26" s="14" t="s">
        <v>26</v>
      </c>
      <c r="C26" s="42">
        <v>1.7026112185686642</v>
      </c>
      <c r="D26" s="42">
        <v>1.0887330754352038</v>
      </c>
      <c r="E26" s="48"/>
      <c r="F26" s="16"/>
      <c r="G26" s="41"/>
    </row>
    <row r="27" spans="1:7" ht="15">
      <c r="A27" s="6">
        <v>10903</v>
      </c>
      <c r="B27" s="14" t="s">
        <v>27</v>
      </c>
      <c r="C27" s="42">
        <v>2.019153225806452</v>
      </c>
      <c r="D27" s="42">
        <v>1.0786290322580641</v>
      </c>
      <c r="E27" s="48"/>
      <c r="F27" s="16"/>
      <c r="G27" s="41"/>
    </row>
    <row r="28" spans="1:7" ht="15">
      <c r="A28" s="6">
        <v>11001</v>
      </c>
      <c r="B28" s="14" t="s">
        <v>28</v>
      </c>
      <c r="C28" s="42">
        <v>0.885749385749386</v>
      </c>
      <c r="D28" s="42">
        <v>4.4963144963144998E-2</v>
      </c>
      <c r="E28" s="48"/>
      <c r="F28" s="16"/>
      <c r="G28" s="41"/>
    </row>
    <row r="29" spans="1:7" ht="15">
      <c r="A29" s="6">
        <v>11002</v>
      </c>
      <c r="B29" s="14" t="s">
        <v>29</v>
      </c>
      <c r="C29" s="42">
        <v>0.96783625730994105</v>
      </c>
      <c r="D29" s="42">
        <v>1.6600877192982448</v>
      </c>
      <c r="E29" s="48"/>
      <c r="F29" s="16"/>
      <c r="G29" s="41"/>
    </row>
    <row r="30" spans="1:7" ht="15">
      <c r="A30" s="6">
        <v>11003</v>
      </c>
      <c r="B30" s="14" t="s">
        <v>30</v>
      </c>
      <c r="C30" s="42">
        <v>0.9821000882390013</v>
      </c>
      <c r="D30" s="42">
        <v>1.0021429471826548</v>
      </c>
      <c r="E30" s="48"/>
      <c r="F30" s="16"/>
      <c r="G30" s="41"/>
    </row>
    <row r="31" spans="1:7" ht="15">
      <c r="A31" s="6">
        <v>20101</v>
      </c>
      <c r="B31" s="14" t="s">
        <v>31</v>
      </c>
      <c r="C31" s="42">
        <v>0.18136589778380807</v>
      </c>
      <c r="D31" s="42">
        <v>4.2966983265490699E-2</v>
      </c>
      <c r="E31" s="48"/>
      <c r="F31" s="16"/>
      <c r="G31" s="41"/>
    </row>
    <row r="32" spans="1:7" ht="15">
      <c r="A32" s="6">
        <v>20102</v>
      </c>
      <c r="B32" s="14" t="s">
        <v>32</v>
      </c>
      <c r="C32" s="42">
        <v>1.448359659781288</v>
      </c>
      <c r="D32" s="42">
        <v>1.0060753341433775</v>
      </c>
      <c r="E32" s="48"/>
      <c r="F32" s="16"/>
      <c r="G32" s="41"/>
    </row>
    <row r="33" spans="1:7" ht="15">
      <c r="A33" s="6">
        <v>20103</v>
      </c>
      <c r="B33" s="14" t="s">
        <v>33</v>
      </c>
      <c r="C33" s="42">
        <v>1.4133333333333331</v>
      </c>
      <c r="D33" s="42">
        <v>0.13833333333333334</v>
      </c>
      <c r="E33" s="48"/>
      <c r="F33" s="16"/>
      <c r="G33" s="41"/>
    </row>
    <row r="34" spans="1:7" ht="15">
      <c r="A34" s="6">
        <v>20104</v>
      </c>
      <c r="B34" s="14" t="s">
        <v>34</v>
      </c>
      <c r="C34" s="42">
        <v>0.22477064220183501</v>
      </c>
      <c r="D34" s="42">
        <v>1.3761467889908301E-2</v>
      </c>
      <c r="E34" s="48"/>
      <c r="F34" s="16"/>
      <c r="G34" s="41"/>
    </row>
    <row r="35" spans="1:7" ht="15">
      <c r="A35" s="6">
        <v>20105</v>
      </c>
      <c r="B35" s="14" t="s">
        <v>35</v>
      </c>
      <c r="C35" s="42">
        <v>9.41176470588235E-2</v>
      </c>
      <c r="D35" s="42">
        <v>0</v>
      </c>
      <c r="E35" s="48"/>
      <c r="F35" s="16"/>
      <c r="G35" s="41"/>
    </row>
    <row r="36" spans="1:7" ht="15">
      <c r="A36" s="6">
        <v>20201</v>
      </c>
      <c r="B36" s="14" t="s">
        <v>36</v>
      </c>
      <c r="C36" s="42">
        <v>1.7287449392712559</v>
      </c>
      <c r="D36" s="42">
        <v>0.97975708502024272</v>
      </c>
      <c r="E36" s="48"/>
      <c r="F36" s="16"/>
      <c r="G36" s="41"/>
    </row>
    <row r="37" spans="1:7" ht="15">
      <c r="A37" s="6">
        <v>20202</v>
      </c>
      <c r="B37" s="14" t="s">
        <v>37</v>
      </c>
      <c r="C37" s="42">
        <v>1.4984894259818731</v>
      </c>
      <c r="D37" s="42">
        <v>3.62537764350453E-2</v>
      </c>
      <c r="E37" s="48"/>
      <c r="F37" s="16"/>
      <c r="G37" s="41"/>
    </row>
    <row r="38" spans="1:7" ht="15">
      <c r="A38" s="6">
        <v>20203</v>
      </c>
      <c r="B38" s="14" t="s">
        <v>38</v>
      </c>
      <c r="C38" s="42">
        <v>1.976470588235294</v>
      </c>
      <c r="D38" s="42">
        <v>0.97647058823529409</v>
      </c>
      <c r="E38" s="48"/>
      <c r="F38" s="16"/>
      <c r="G38" s="41"/>
    </row>
    <row r="39" spans="1:7" ht="15">
      <c r="A39" s="6">
        <v>20204</v>
      </c>
      <c r="B39" s="14" t="s">
        <v>39</v>
      </c>
      <c r="C39" s="42">
        <v>1.8092783505154639</v>
      </c>
      <c r="D39" s="42">
        <v>0.98453608247422697</v>
      </c>
      <c r="E39" s="48"/>
      <c r="F39" s="16"/>
      <c r="G39" s="41"/>
    </row>
    <row r="40" spans="1:7" ht="15">
      <c r="A40" s="6">
        <v>20205</v>
      </c>
      <c r="B40" s="14" t="s">
        <v>40</v>
      </c>
      <c r="C40" s="42">
        <v>2</v>
      </c>
      <c r="D40" s="42">
        <v>1.032258064516129</v>
      </c>
      <c r="E40" s="48"/>
      <c r="F40" s="16"/>
      <c r="G40" s="41"/>
    </row>
    <row r="41" spans="1:7" ht="15">
      <c r="A41" s="6">
        <v>20206</v>
      </c>
      <c r="B41" s="14" t="s">
        <v>41</v>
      </c>
      <c r="C41" s="42">
        <v>1.214285714285714</v>
      </c>
      <c r="D41" s="42">
        <v>0.214285714285714</v>
      </c>
      <c r="E41" s="48"/>
      <c r="F41" s="16"/>
      <c r="G41" s="41"/>
    </row>
    <row r="42" spans="1:7" ht="15">
      <c r="A42" s="6">
        <v>20301</v>
      </c>
      <c r="B42" s="14" t="s">
        <v>42</v>
      </c>
      <c r="C42" s="42">
        <v>1.5248397435897432</v>
      </c>
      <c r="D42" s="42">
        <v>0.98637820512820495</v>
      </c>
      <c r="E42" s="48"/>
      <c r="F42" s="16"/>
      <c r="G42" s="41"/>
    </row>
    <row r="43" spans="1:7" ht="15">
      <c r="A43" s="6">
        <v>20302</v>
      </c>
      <c r="B43" s="14" t="s">
        <v>43</v>
      </c>
      <c r="C43" s="42">
        <v>1.186806771745476</v>
      </c>
      <c r="D43" s="42">
        <v>1.1447752481027438</v>
      </c>
      <c r="E43" s="48"/>
      <c r="F43" s="16"/>
      <c r="G43" s="41"/>
    </row>
    <row r="44" spans="1:7" ht="15">
      <c r="A44" s="6">
        <v>20303</v>
      </c>
      <c r="B44" s="14" t="s">
        <v>44</v>
      </c>
      <c r="C44" s="42">
        <v>1.8130455868089239</v>
      </c>
      <c r="D44" s="42">
        <v>0.61542192046556732</v>
      </c>
      <c r="E44" s="48"/>
      <c r="F44" s="16"/>
      <c r="G44" s="41"/>
    </row>
    <row r="45" spans="1:7" ht="15">
      <c r="A45" s="6">
        <v>20304</v>
      </c>
      <c r="B45" s="14" t="s">
        <v>45</v>
      </c>
      <c r="C45" s="42">
        <v>1.7528957528957521</v>
      </c>
      <c r="D45" s="42">
        <v>1.1969111969111961</v>
      </c>
      <c r="E45" s="48"/>
      <c r="F45" s="16"/>
      <c r="G45" s="41"/>
    </row>
    <row r="46" spans="1:7" ht="15">
      <c r="A46" s="6">
        <v>20305</v>
      </c>
      <c r="B46" s="14" t="s">
        <v>46</v>
      </c>
      <c r="C46" s="42">
        <v>1.3470648815653958</v>
      </c>
      <c r="D46" s="42">
        <v>1.3347064881565389</v>
      </c>
      <c r="E46" s="48"/>
      <c r="F46" s="16"/>
      <c r="G46" s="41"/>
    </row>
    <row r="47" spans="1:7" ht="15">
      <c r="A47" s="6">
        <v>20306</v>
      </c>
      <c r="B47" s="14" t="s">
        <v>47</v>
      </c>
      <c r="C47" s="42">
        <v>0.71538461538461551</v>
      </c>
      <c r="D47" s="42">
        <v>0.15384615384615338</v>
      </c>
      <c r="E47" s="48"/>
      <c r="F47" s="16"/>
      <c r="G47" s="41"/>
    </row>
    <row r="48" spans="1:7" ht="15">
      <c r="A48" s="6">
        <v>20307</v>
      </c>
      <c r="B48" s="14" t="s">
        <v>48</v>
      </c>
      <c r="C48" s="42">
        <v>1.0416666666666665</v>
      </c>
      <c r="D48" s="42">
        <v>0.91666666666666696</v>
      </c>
      <c r="E48" s="48"/>
      <c r="F48" s="16"/>
      <c r="G48" s="41"/>
    </row>
    <row r="49" spans="1:7" ht="15">
      <c r="A49" s="6">
        <v>20308</v>
      </c>
      <c r="B49" s="14" t="s">
        <v>49</v>
      </c>
      <c r="C49" s="42">
        <v>1.81328125</v>
      </c>
      <c r="D49" s="42">
        <v>1.0125</v>
      </c>
      <c r="E49" s="48"/>
      <c r="F49" s="16"/>
      <c r="G49" s="41"/>
    </row>
    <row r="50" spans="1:7" ht="15">
      <c r="A50" s="6">
        <v>20401</v>
      </c>
      <c r="B50" s="14" t="s">
        <v>50</v>
      </c>
      <c r="C50" s="42">
        <v>1.9654255319148946</v>
      </c>
      <c r="D50" s="42">
        <v>0.96010638297872286</v>
      </c>
      <c r="E50" s="48"/>
      <c r="F50" s="16"/>
      <c r="G50" s="41"/>
    </row>
    <row r="51" spans="1:7" ht="15">
      <c r="A51" s="6">
        <v>20402</v>
      </c>
      <c r="B51" s="14" t="s">
        <v>51</v>
      </c>
      <c r="C51" s="42">
        <v>1.9603825136612014</v>
      </c>
      <c r="D51" s="42">
        <v>1.0642076502732238</v>
      </c>
      <c r="E51" s="48"/>
      <c r="F51" s="16"/>
      <c r="G51" s="41"/>
    </row>
    <row r="52" spans="1:7" ht="15">
      <c r="A52" s="6">
        <v>20403</v>
      </c>
      <c r="B52" s="14" t="s">
        <v>52</v>
      </c>
      <c r="C52" s="42">
        <v>1.2829268292682925</v>
      </c>
      <c r="D52" s="42">
        <v>0.15853658536585399</v>
      </c>
      <c r="E52" s="48"/>
      <c r="F52" s="16"/>
      <c r="G52" s="41"/>
    </row>
    <row r="53" spans="1:7" ht="15">
      <c r="A53" s="6">
        <v>20404</v>
      </c>
      <c r="B53" s="14" t="s">
        <v>53</v>
      </c>
      <c r="C53" s="42">
        <v>2</v>
      </c>
      <c r="D53" s="42">
        <v>1</v>
      </c>
      <c r="E53" s="48"/>
      <c r="F53" s="16"/>
      <c r="G53" s="41"/>
    </row>
    <row r="54" spans="1:7" ht="15">
      <c r="A54" s="6">
        <v>20405</v>
      </c>
      <c r="B54" s="14" t="s">
        <v>54</v>
      </c>
      <c r="C54" s="42">
        <v>1.5579710144927541</v>
      </c>
      <c r="D54" s="42">
        <v>0.108695652173913</v>
      </c>
      <c r="E54" s="48"/>
      <c r="F54" s="16"/>
      <c r="G54" s="41"/>
    </row>
    <row r="55" spans="1:7" ht="15">
      <c r="A55" s="6">
        <v>20501</v>
      </c>
      <c r="B55" s="14" t="s">
        <v>55</v>
      </c>
      <c r="C55" s="42">
        <v>1.4542857142857146</v>
      </c>
      <c r="D55" s="42">
        <v>1.2585714285714282</v>
      </c>
      <c r="E55" s="48"/>
      <c r="F55" s="16"/>
      <c r="G55" s="41"/>
    </row>
    <row r="56" spans="1:7" ht="15">
      <c r="A56" s="6">
        <v>20502</v>
      </c>
      <c r="B56" s="14" t="s">
        <v>56</v>
      </c>
      <c r="C56" s="42">
        <v>1.9031505250875147</v>
      </c>
      <c r="D56" s="42">
        <v>1.1761960326721108</v>
      </c>
      <c r="E56" s="48"/>
      <c r="F56" s="16"/>
      <c r="G56" s="41"/>
    </row>
    <row r="57" spans="1:7" ht="15">
      <c r="A57" s="6">
        <v>20503</v>
      </c>
      <c r="B57" s="14" t="s">
        <v>57</v>
      </c>
      <c r="C57" s="42">
        <v>1.3571428571428568</v>
      </c>
      <c r="D57" s="42">
        <v>1.101503759398496</v>
      </c>
      <c r="E57" s="48"/>
      <c r="F57" s="16"/>
      <c r="G57" s="41"/>
    </row>
    <row r="58" spans="1:7" ht="15">
      <c r="A58" s="6">
        <v>20601</v>
      </c>
      <c r="B58" s="14" t="s">
        <v>58</v>
      </c>
      <c r="C58" s="42">
        <v>1.2220595412396291</v>
      </c>
      <c r="D58" s="42">
        <v>0.26939970717423178</v>
      </c>
      <c r="E58" s="48"/>
      <c r="F58" s="16"/>
      <c r="G58" s="41"/>
    </row>
    <row r="59" spans="1:7" ht="15">
      <c r="A59" s="6">
        <v>20602</v>
      </c>
      <c r="B59" s="14" t="s">
        <v>59</v>
      </c>
      <c r="C59" s="42">
        <v>0.42931528247852102</v>
      </c>
      <c r="D59" s="42">
        <v>0.19395990627440762</v>
      </c>
      <c r="E59" s="48"/>
      <c r="F59" s="16"/>
      <c r="G59" s="41"/>
    </row>
    <row r="60" spans="1:7" ht="15">
      <c r="A60" s="6">
        <v>20603</v>
      </c>
      <c r="B60" s="14" t="s">
        <v>60</v>
      </c>
      <c r="C60" s="42">
        <v>1.2202643171806171</v>
      </c>
      <c r="D60" s="42">
        <v>1.1674008810572689</v>
      </c>
      <c r="E60" s="48"/>
      <c r="F60" s="16"/>
      <c r="G60" s="41"/>
    </row>
    <row r="61" spans="1:7" ht="15">
      <c r="A61" s="6">
        <v>20604</v>
      </c>
      <c r="B61" s="14" t="s">
        <v>61</v>
      </c>
      <c r="C61" s="42">
        <v>1.598639455782312</v>
      </c>
      <c r="D61" s="42">
        <v>1.401360544217688</v>
      </c>
      <c r="E61" s="48"/>
      <c r="F61" s="16"/>
      <c r="G61" s="41"/>
    </row>
    <row r="62" spans="1:7" ht="15">
      <c r="A62" s="6">
        <v>20605</v>
      </c>
      <c r="B62" s="14" t="s">
        <v>62</v>
      </c>
      <c r="C62" s="42">
        <v>1.3362068965517238</v>
      </c>
      <c r="D62" s="42">
        <v>0.37068965517241381</v>
      </c>
      <c r="E62" s="48"/>
      <c r="F62" s="16"/>
      <c r="G62" s="41"/>
    </row>
    <row r="63" spans="1:7" ht="15">
      <c r="A63" s="6">
        <v>20606</v>
      </c>
      <c r="B63" s="14" t="s">
        <v>63</v>
      </c>
      <c r="C63" s="42">
        <v>0.97651006711409427</v>
      </c>
      <c r="D63" s="42">
        <v>0.16778523489932901</v>
      </c>
      <c r="E63" s="48"/>
      <c r="F63" s="16"/>
      <c r="G63" s="41"/>
    </row>
    <row r="64" spans="1:7" ht="15">
      <c r="A64" s="6">
        <v>20607</v>
      </c>
      <c r="B64" s="14" t="s">
        <v>64</v>
      </c>
      <c r="C64" s="42">
        <v>0.98586355255070646</v>
      </c>
      <c r="D64" s="42">
        <v>0.11493546404425363</v>
      </c>
      <c r="E64" s="48"/>
      <c r="F64" s="16"/>
      <c r="G64" s="41"/>
    </row>
    <row r="65" spans="1:7" ht="15">
      <c r="A65" s="6">
        <v>20608</v>
      </c>
      <c r="B65" s="14" t="s">
        <v>65</v>
      </c>
      <c r="C65" s="42">
        <v>1.4517833553500652</v>
      </c>
      <c r="D65" s="42">
        <v>1.4359313077939231</v>
      </c>
      <c r="E65" s="48"/>
      <c r="F65" s="16"/>
      <c r="G65" s="41"/>
    </row>
    <row r="66" spans="1:7" ht="15">
      <c r="A66" s="6">
        <v>20701</v>
      </c>
      <c r="B66" s="14" t="s">
        <v>66</v>
      </c>
      <c r="C66" s="42">
        <v>0.56543775602305091</v>
      </c>
      <c r="D66" s="42">
        <v>1.0152051655905014</v>
      </c>
      <c r="E66" s="48"/>
      <c r="F66" s="16"/>
      <c r="G66" s="41"/>
    </row>
    <row r="67" spans="1:7" ht="15">
      <c r="A67" s="6">
        <v>20702</v>
      </c>
      <c r="B67" s="14" t="s">
        <v>67</v>
      </c>
      <c r="C67" s="42">
        <v>1.0443531827515404</v>
      </c>
      <c r="D67" s="42">
        <v>1.0632443531827518</v>
      </c>
      <c r="E67" s="48"/>
      <c r="F67" s="16"/>
      <c r="G67" s="41"/>
    </row>
    <row r="68" spans="1:7" ht="15">
      <c r="A68" s="6">
        <v>20801</v>
      </c>
      <c r="B68" s="14" t="s">
        <v>68</v>
      </c>
      <c r="C68" s="42">
        <v>7.4353448275862113E-2</v>
      </c>
      <c r="D68" s="42">
        <v>3.3405172413793101E-2</v>
      </c>
      <c r="E68" s="48"/>
      <c r="F68" s="16"/>
      <c r="G68" s="41"/>
    </row>
    <row r="69" spans="1:7" ht="15">
      <c r="A69" s="6">
        <v>20802</v>
      </c>
      <c r="B69" s="14" t="s">
        <v>69</v>
      </c>
      <c r="C69" s="42">
        <v>1.7371134020618562</v>
      </c>
      <c r="D69" s="42">
        <v>0.96391752577319589</v>
      </c>
      <c r="E69" s="48"/>
      <c r="F69" s="16"/>
      <c r="G69" s="41"/>
    </row>
    <row r="70" spans="1:7" ht="15">
      <c r="A70" s="6">
        <v>20803</v>
      </c>
      <c r="B70" s="14" t="s">
        <v>70</v>
      </c>
      <c r="C70" s="42">
        <v>1.025125628140704</v>
      </c>
      <c r="D70" s="42">
        <v>0.93467336683417057</v>
      </c>
      <c r="E70" s="48"/>
      <c r="F70" s="16"/>
      <c r="G70" s="41"/>
    </row>
    <row r="71" spans="1:7" ht="15">
      <c r="A71" s="6">
        <v>20804</v>
      </c>
      <c r="B71" s="14" t="s">
        <v>71</v>
      </c>
      <c r="C71" s="42">
        <v>7.5949367088607694E-2</v>
      </c>
      <c r="D71" s="42">
        <v>3.7974683544303799E-2</v>
      </c>
      <c r="E71" s="48"/>
      <c r="F71" s="16"/>
      <c r="G71" s="41"/>
    </row>
    <row r="72" spans="1:7" ht="15">
      <c r="A72" s="6">
        <v>20805</v>
      </c>
      <c r="B72" s="14" t="s">
        <v>72</v>
      </c>
      <c r="C72" s="42">
        <v>1.0037783375314864</v>
      </c>
      <c r="D72" s="42">
        <v>5.1637279596977344E-2</v>
      </c>
      <c r="E72" s="48"/>
      <c r="F72" s="16"/>
      <c r="G72" s="41"/>
    </row>
    <row r="73" spans="1:7" ht="15">
      <c r="A73" s="6">
        <v>20806</v>
      </c>
      <c r="B73" s="14" t="s">
        <v>73</v>
      </c>
      <c r="C73" s="42">
        <v>1.0357142857142854</v>
      </c>
      <c r="D73" s="42">
        <v>0.95970695970695985</v>
      </c>
      <c r="E73" s="48"/>
      <c r="F73" s="16"/>
      <c r="G73" s="41"/>
    </row>
    <row r="74" spans="1:7" ht="15">
      <c r="A74" s="6">
        <v>20807</v>
      </c>
      <c r="B74" s="14" t="s">
        <v>74</v>
      </c>
      <c r="C74" s="42">
        <v>1.7349397590361448</v>
      </c>
      <c r="D74" s="42">
        <v>1</v>
      </c>
      <c r="E74" s="48"/>
      <c r="F74" s="16"/>
      <c r="G74" s="41"/>
    </row>
    <row r="75" spans="1:7" ht="15">
      <c r="A75" s="6">
        <v>20901</v>
      </c>
      <c r="B75" s="14" t="s">
        <v>75</v>
      </c>
      <c r="C75" s="42">
        <v>1.1988527724665401</v>
      </c>
      <c r="D75" s="42">
        <v>0.46845124282982842</v>
      </c>
      <c r="E75" s="48"/>
      <c r="F75" s="16"/>
      <c r="G75" s="41"/>
    </row>
    <row r="76" spans="1:7" ht="15">
      <c r="A76" s="6">
        <v>20902</v>
      </c>
      <c r="B76" s="14" t="s">
        <v>76</v>
      </c>
      <c r="C76" s="42">
        <v>1.46725860155383</v>
      </c>
      <c r="D76" s="42">
        <v>0.14428412874583815</v>
      </c>
      <c r="E76" s="48"/>
      <c r="F76" s="16"/>
      <c r="G76" s="41"/>
    </row>
    <row r="77" spans="1:7" ht="15">
      <c r="A77" s="6">
        <v>20903</v>
      </c>
      <c r="B77" s="14" t="s">
        <v>77</v>
      </c>
      <c r="C77" s="42">
        <v>1.223880597014926</v>
      </c>
      <c r="D77" s="42">
        <v>1.2402985074626869</v>
      </c>
      <c r="E77" s="48"/>
      <c r="F77" s="16"/>
      <c r="G77" s="41"/>
    </row>
    <row r="78" spans="1:7" ht="15">
      <c r="A78" s="6">
        <v>20904</v>
      </c>
      <c r="B78" s="14" t="s">
        <v>78</v>
      </c>
      <c r="C78" s="42">
        <v>1.3075000000000001</v>
      </c>
      <c r="D78" s="42">
        <v>0.42749999999999999</v>
      </c>
      <c r="E78" s="48"/>
      <c r="F78" s="16"/>
      <c r="G78" s="41"/>
    </row>
    <row r="79" spans="1:7" ht="15">
      <c r="A79" s="6">
        <v>20905</v>
      </c>
      <c r="B79" s="14" t="s">
        <v>79</v>
      </c>
      <c r="C79" s="42">
        <v>1.2793733681462141</v>
      </c>
      <c r="D79" s="42">
        <v>1.0339425587467359</v>
      </c>
      <c r="E79" s="48"/>
      <c r="F79" s="16"/>
      <c r="G79" s="41"/>
    </row>
    <row r="80" spans="1:7" ht="15">
      <c r="A80" s="6">
        <v>21001</v>
      </c>
      <c r="B80" s="14" t="s">
        <v>80</v>
      </c>
      <c r="C80" s="42">
        <v>1.257052389176742</v>
      </c>
      <c r="D80" s="42">
        <v>1.0043177892918826</v>
      </c>
      <c r="E80" s="48"/>
      <c r="F80" s="16"/>
      <c r="G80" s="41"/>
    </row>
    <row r="81" spans="1:7" ht="15">
      <c r="A81" s="6">
        <v>21002</v>
      </c>
      <c r="B81" s="14" t="s">
        <v>81</v>
      </c>
      <c r="C81" s="42">
        <v>0.90784671532846761</v>
      </c>
      <c r="D81" s="42">
        <v>1.0036496350364965</v>
      </c>
      <c r="E81" s="48"/>
      <c r="F81" s="16"/>
      <c r="G81" s="41"/>
    </row>
    <row r="82" spans="1:7" ht="15">
      <c r="A82" s="6">
        <v>21003</v>
      </c>
      <c r="B82" s="14" t="s">
        <v>82</v>
      </c>
      <c r="C82" s="42">
        <v>1.269377382465056</v>
      </c>
      <c r="D82" s="42">
        <v>8.2592121982210914E-2</v>
      </c>
      <c r="E82" s="48"/>
      <c r="F82" s="16"/>
      <c r="G82" s="41"/>
    </row>
    <row r="83" spans="1:7" ht="15">
      <c r="A83" s="6">
        <v>21004</v>
      </c>
      <c r="B83" s="14" t="s">
        <v>83</v>
      </c>
      <c r="C83" s="42">
        <v>1.0947176684881605</v>
      </c>
      <c r="D83" s="42">
        <v>0.47723132969034582</v>
      </c>
      <c r="E83" s="48"/>
      <c r="F83" s="16"/>
      <c r="G83" s="41"/>
    </row>
    <row r="84" spans="1:7" ht="15">
      <c r="A84" s="6">
        <v>21005</v>
      </c>
      <c r="B84" s="14" t="s">
        <v>84</v>
      </c>
      <c r="C84" s="42">
        <v>1.3097055616139586</v>
      </c>
      <c r="D84" s="42">
        <v>1.0425299890948745</v>
      </c>
      <c r="E84" s="48"/>
      <c r="F84" s="16"/>
      <c r="G84" s="41"/>
    </row>
    <row r="85" spans="1:7" ht="15">
      <c r="A85" s="6">
        <v>21006</v>
      </c>
      <c r="B85" s="14" t="s">
        <v>85</v>
      </c>
      <c r="C85" s="42">
        <v>1.0127118644067792</v>
      </c>
      <c r="D85" s="42">
        <v>0.40677966101694901</v>
      </c>
      <c r="E85" s="48"/>
      <c r="F85" s="16"/>
      <c r="G85" s="41"/>
    </row>
    <row r="86" spans="1:7" ht="15">
      <c r="A86" s="6">
        <v>21101</v>
      </c>
      <c r="B86" s="14" t="s">
        <v>86</v>
      </c>
      <c r="C86" s="42">
        <v>1.4812680115273782</v>
      </c>
      <c r="D86" s="42">
        <v>1.3458213256484159</v>
      </c>
      <c r="E86" s="48"/>
      <c r="F86" s="16"/>
      <c r="G86" s="41"/>
    </row>
    <row r="87" spans="1:7" ht="15">
      <c r="A87" s="6">
        <v>21102</v>
      </c>
      <c r="B87" s="14" t="s">
        <v>87</v>
      </c>
      <c r="C87" s="42">
        <v>1.2809139784946229</v>
      </c>
      <c r="D87" s="42">
        <v>0.99865591397849451</v>
      </c>
      <c r="E87" s="48"/>
      <c r="F87" s="16"/>
      <c r="G87" s="41"/>
    </row>
    <row r="88" spans="1:7" ht="15">
      <c r="A88" s="6">
        <v>21103</v>
      </c>
      <c r="B88" s="14" t="s">
        <v>88</v>
      </c>
      <c r="C88" s="42">
        <v>1.1880733944954138</v>
      </c>
      <c r="D88" s="42">
        <v>0.17584097859327219</v>
      </c>
      <c r="E88" s="48"/>
      <c r="F88" s="16"/>
      <c r="G88" s="41"/>
    </row>
    <row r="89" spans="1:7" ht="15">
      <c r="A89" s="6">
        <v>21104</v>
      </c>
      <c r="B89" s="14" t="s">
        <v>89</v>
      </c>
      <c r="C89" s="42">
        <v>1.326004548900682</v>
      </c>
      <c r="D89" s="42">
        <v>4.2203689663886795E-2</v>
      </c>
      <c r="E89" s="48"/>
      <c r="F89" s="16"/>
      <c r="G89" s="41"/>
    </row>
    <row r="90" spans="1:7" ht="15">
      <c r="A90" s="6">
        <v>21105</v>
      </c>
      <c r="B90" s="14" t="s">
        <v>90</v>
      </c>
      <c r="C90" s="42">
        <v>1.22438044206296</v>
      </c>
      <c r="D90" s="42">
        <v>0.48660415271265939</v>
      </c>
      <c r="E90" s="48"/>
      <c r="F90" s="16"/>
      <c r="G90" s="41"/>
    </row>
    <row r="91" spans="1:7" ht="15">
      <c r="A91" s="6">
        <v>21201</v>
      </c>
      <c r="B91" s="14" t="s">
        <v>91</v>
      </c>
      <c r="C91" s="42">
        <v>1.0116703136396794</v>
      </c>
      <c r="D91" s="42">
        <v>4.6681254558716238E-2</v>
      </c>
      <c r="E91" s="48"/>
      <c r="F91" s="16"/>
      <c r="G91" s="41"/>
    </row>
    <row r="92" spans="1:7" ht="15">
      <c r="A92" s="6">
        <v>21202</v>
      </c>
      <c r="B92" s="14" t="s">
        <v>92</v>
      </c>
      <c r="C92" s="42">
        <v>0.96108949416342371</v>
      </c>
      <c r="D92" s="42">
        <v>2.3346303501945501E-2</v>
      </c>
      <c r="E92" s="48"/>
      <c r="F92" s="16"/>
      <c r="G92" s="41"/>
    </row>
    <row r="93" spans="1:7" ht="15">
      <c r="A93" s="6">
        <v>21203</v>
      </c>
      <c r="B93" s="14" t="s">
        <v>93</v>
      </c>
      <c r="C93" s="42">
        <v>1.6426076833527361</v>
      </c>
      <c r="D93" s="42">
        <v>0.94761350407450484</v>
      </c>
      <c r="E93" s="48"/>
      <c r="F93" s="16"/>
      <c r="G93" s="41"/>
    </row>
    <row r="94" spans="1:7" ht="15">
      <c r="A94" s="6">
        <v>21204</v>
      </c>
      <c r="B94" s="14" t="s">
        <v>94</v>
      </c>
      <c r="C94" s="42">
        <v>1.825</v>
      </c>
      <c r="D94" s="42">
        <v>0.82499999999999996</v>
      </c>
      <c r="E94" s="48"/>
      <c r="F94" s="16"/>
      <c r="G94" s="41"/>
    </row>
    <row r="95" spans="1:7" ht="15">
      <c r="A95" s="6">
        <v>21301</v>
      </c>
      <c r="B95" s="14" t="s">
        <v>95</v>
      </c>
      <c r="C95" s="42">
        <v>0.86390532544378729</v>
      </c>
      <c r="D95" s="42">
        <v>6.5088757396449703E-2</v>
      </c>
      <c r="E95" s="48"/>
      <c r="F95" s="16"/>
      <c r="G95" s="41"/>
    </row>
    <row r="96" spans="1:7" ht="15">
      <c r="A96" s="6">
        <v>21302</v>
      </c>
      <c r="B96" s="14" t="s">
        <v>96</v>
      </c>
      <c r="C96" s="42">
        <v>1.794952681388013</v>
      </c>
      <c r="D96" s="42">
        <v>0.84647739221871698</v>
      </c>
      <c r="E96" s="48"/>
      <c r="F96" s="16"/>
      <c r="G96" s="41"/>
    </row>
    <row r="97" spans="1:7" ht="15">
      <c r="A97" s="6">
        <v>21303</v>
      </c>
      <c r="B97" s="14" t="s">
        <v>97</v>
      </c>
      <c r="C97" s="42">
        <v>1.4207999999999998</v>
      </c>
      <c r="D97" s="42">
        <v>1.3248000000000002</v>
      </c>
      <c r="E97" s="48"/>
      <c r="F97" s="16"/>
      <c r="G97" s="41"/>
    </row>
    <row r="98" spans="1:7" ht="15">
      <c r="A98" s="6">
        <v>21304</v>
      </c>
      <c r="B98" s="14" t="s">
        <v>98</v>
      </c>
      <c r="C98" s="42">
        <v>1.115027829313544</v>
      </c>
      <c r="D98" s="42">
        <v>0.93320964749536151</v>
      </c>
      <c r="E98" s="48"/>
      <c r="F98" s="16"/>
      <c r="G98" s="41"/>
    </row>
    <row r="99" spans="1:7" ht="15">
      <c r="A99" s="6">
        <v>21305</v>
      </c>
      <c r="B99" s="14" t="s">
        <v>99</v>
      </c>
      <c r="C99" s="42">
        <v>1.0031496062992127</v>
      </c>
      <c r="D99" s="42">
        <v>8.8188976377952796E-2</v>
      </c>
      <c r="E99" s="48"/>
      <c r="F99" s="16"/>
      <c r="G99" s="41"/>
    </row>
    <row r="100" spans="1:7" ht="15">
      <c r="A100" s="6">
        <v>21306</v>
      </c>
      <c r="B100" s="14" t="s">
        <v>100</v>
      </c>
      <c r="C100" s="42">
        <v>0.96202531645569589</v>
      </c>
      <c r="D100" s="42">
        <v>0.11139240506329109</v>
      </c>
      <c r="E100" s="48"/>
      <c r="F100" s="16"/>
      <c r="G100" s="41"/>
    </row>
    <row r="101" spans="1:7" ht="15">
      <c r="A101" s="6">
        <v>21307</v>
      </c>
      <c r="B101" s="14" t="s">
        <v>101</v>
      </c>
      <c r="C101" s="42">
        <v>0.20000000000000021</v>
      </c>
      <c r="D101" s="42">
        <v>0.23571428571428527</v>
      </c>
      <c r="E101" s="48"/>
      <c r="F101" s="16"/>
      <c r="G101" s="41"/>
    </row>
    <row r="102" spans="1:7" ht="15">
      <c r="A102" s="6">
        <v>21401</v>
      </c>
      <c r="B102" s="14" t="s">
        <v>102</v>
      </c>
      <c r="C102" s="42">
        <v>1.174468085106384</v>
      </c>
      <c r="D102" s="42">
        <v>0.96765957446808526</v>
      </c>
      <c r="E102" s="48"/>
      <c r="F102" s="16"/>
      <c r="G102" s="41"/>
    </row>
    <row r="103" spans="1:7" ht="15">
      <c r="A103" s="6">
        <v>21402</v>
      </c>
      <c r="B103" s="14" t="s">
        <v>103</v>
      </c>
      <c r="C103" s="42">
        <v>1.289707750952986</v>
      </c>
      <c r="D103" s="42">
        <v>0.97585768742058432</v>
      </c>
      <c r="E103" s="48"/>
      <c r="F103" s="16"/>
      <c r="G103" s="41"/>
    </row>
    <row r="104" spans="1:7" ht="15">
      <c r="A104" s="6">
        <v>21501</v>
      </c>
      <c r="B104" s="14" t="s">
        <v>104</v>
      </c>
      <c r="C104" s="42">
        <v>1.0931127253161139</v>
      </c>
      <c r="D104" s="42">
        <v>1.7132364810330909</v>
      </c>
      <c r="E104" s="48"/>
      <c r="F104" s="16"/>
      <c r="G104" s="41"/>
    </row>
    <row r="105" spans="1:7" ht="15">
      <c r="A105" s="6">
        <v>21502</v>
      </c>
      <c r="B105" s="14" t="s">
        <v>105</v>
      </c>
      <c r="C105" s="42">
        <v>1.1982731052126649</v>
      </c>
      <c r="D105" s="42">
        <v>0.61080908218739982</v>
      </c>
      <c r="E105" s="48"/>
      <c r="F105" s="16"/>
      <c r="G105" s="41"/>
    </row>
    <row r="106" spans="1:7" ht="15">
      <c r="A106" s="6">
        <v>21601</v>
      </c>
      <c r="B106" s="14" t="s">
        <v>106</v>
      </c>
      <c r="C106" s="42">
        <v>1.0359767891682781</v>
      </c>
      <c r="D106" s="42">
        <v>0.18994197292069662</v>
      </c>
      <c r="E106" s="48"/>
      <c r="F106" s="16"/>
      <c r="G106" s="41"/>
    </row>
    <row r="107" spans="1:7" ht="15">
      <c r="A107" s="6">
        <v>21602</v>
      </c>
      <c r="B107" s="14" t="s">
        <v>107</v>
      </c>
      <c r="C107" s="42">
        <v>1.0582089552238807</v>
      </c>
      <c r="D107" s="42">
        <v>0.93582089552238823</v>
      </c>
      <c r="E107" s="48"/>
      <c r="F107" s="16"/>
      <c r="G107" s="41"/>
    </row>
    <row r="108" spans="1:7" ht="15">
      <c r="A108" s="6">
        <v>21701</v>
      </c>
      <c r="B108" s="14" t="s">
        <v>108</v>
      </c>
      <c r="C108" s="42">
        <v>0.97938144329896903</v>
      </c>
      <c r="D108" s="42">
        <v>0.97938144329896903</v>
      </c>
      <c r="E108" s="48"/>
      <c r="F108" s="16"/>
      <c r="G108" s="41"/>
    </row>
    <row r="109" spans="1:7" ht="15">
      <c r="A109" s="6">
        <v>21702</v>
      </c>
      <c r="B109" s="14" t="s">
        <v>109</v>
      </c>
      <c r="C109" s="42">
        <v>1.9375</v>
      </c>
      <c r="D109" s="42">
        <v>3.125E-2</v>
      </c>
      <c r="E109" s="48"/>
      <c r="F109" s="16"/>
      <c r="G109" s="41"/>
    </row>
    <row r="110" spans="1:7" ht="15">
      <c r="A110" s="6">
        <v>21703</v>
      </c>
      <c r="B110" s="14" t="s">
        <v>110</v>
      </c>
      <c r="C110" s="42">
        <v>0.3</v>
      </c>
      <c r="D110" s="42">
        <v>0.1</v>
      </c>
      <c r="E110" s="48"/>
      <c r="F110" s="16"/>
      <c r="G110" s="41"/>
    </row>
    <row r="111" spans="1:7" ht="15">
      <c r="A111" s="6">
        <v>21801</v>
      </c>
      <c r="B111" s="14" t="s">
        <v>111</v>
      </c>
      <c r="C111" s="42">
        <v>1.9862068965517239</v>
      </c>
      <c r="D111" s="42">
        <v>1.9505747126436779</v>
      </c>
      <c r="E111" s="48"/>
      <c r="F111" s="16"/>
      <c r="G111" s="41"/>
    </row>
    <row r="112" spans="1:7" ht="15">
      <c r="A112" s="6">
        <v>21802</v>
      </c>
      <c r="B112" s="14" t="s">
        <v>112</v>
      </c>
      <c r="C112" s="42">
        <v>1.9680851063829794</v>
      </c>
      <c r="D112" s="42">
        <v>1.9287234042553201</v>
      </c>
      <c r="E112" s="48"/>
      <c r="F112" s="16"/>
      <c r="G112" s="41"/>
    </row>
    <row r="113" spans="1:7" ht="15">
      <c r="A113" s="6">
        <v>21803</v>
      </c>
      <c r="B113" s="14" t="s">
        <v>113</v>
      </c>
      <c r="C113" s="42">
        <v>1.9287410926365802</v>
      </c>
      <c r="D113" s="42">
        <v>1.8836104513064131</v>
      </c>
      <c r="E113" s="48"/>
      <c r="F113" s="16"/>
      <c r="G113" s="41"/>
    </row>
    <row r="114" spans="1:7" ht="15">
      <c r="A114" s="6">
        <v>21901</v>
      </c>
      <c r="B114" s="14" t="s">
        <v>114</v>
      </c>
      <c r="C114" s="42">
        <v>1.038211968276856</v>
      </c>
      <c r="D114" s="42">
        <v>1.1571737563085802</v>
      </c>
      <c r="E114" s="48"/>
      <c r="F114" s="16"/>
      <c r="G114" s="41"/>
    </row>
    <row r="115" spans="1:7" ht="15">
      <c r="A115" s="6">
        <v>21902</v>
      </c>
      <c r="B115" s="14" t="s">
        <v>115</v>
      </c>
      <c r="C115" s="42">
        <v>0.99802371541501989</v>
      </c>
      <c r="D115" s="42">
        <v>6.1264822134387324E-2</v>
      </c>
      <c r="E115" s="48"/>
      <c r="F115" s="16"/>
      <c r="G115" s="41"/>
    </row>
    <row r="116" spans="1:7" ht="15">
      <c r="A116" s="6">
        <v>22001</v>
      </c>
      <c r="B116" s="14" t="s">
        <v>116</v>
      </c>
      <c r="C116" s="42">
        <v>0.99758745476477728</v>
      </c>
      <c r="D116" s="42">
        <v>0.96260554885404137</v>
      </c>
      <c r="E116" s="48"/>
      <c r="F116" s="16"/>
      <c r="G116" s="41"/>
    </row>
    <row r="117" spans="1:7" ht="15">
      <c r="A117" s="6">
        <v>22002</v>
      </c>
      <c r="B117" s="14" t="s">
        <v>117</v>
      </c>
      <c r="C117" s="42">
        <v>1.4509466437177281</v>
      </c>
      <c r="D117" s="42">
        <v>0.5938037865748711</v>
      </c>
      <c r="E117" s="48"/>
      <c r="F117" s="16"/>
      <c r="G117" s="41"/>
    </row>
    <row r="118" spans="1:7" ht="15">
      <c r="A118" s="6">
        <v>30101</v>
      </c>
      <c r="B118" s="14" t="s">
        <v>118</v>
      </c>
      <c r="C118" s="42">
        <v>0.73235294117647032</v>
      </c>
      <c r="D118" s="42">
        <v>1.4705882352941201E-2</v>
      </c>
      <c r="E118" s="48"/>
      <c r="F118" s="16"/>
      <c r="G118" s="41"/>
    </row>
    <row r="119" spans="1:7" ht="15">
      <c r="A119" s="6">
        <v>30201</v>
      </c>
      <c r="B119" s="14" t="s">
        <v>119</v>
      </c>
      <c r="C119" s="42">
        <v>1.9067648089730107</v>
      </c>
      <c r="D119" s="42">
        <v>0.12968804766912023</v>
      </c>
      <c r="E119" s="48"/>
      <c r="F119" s="16"/>
      <c r="G119" s="41"/>
    </row>
    <row r="120" spans="1:7" ht="15">
      <c r="A120" s="6">
        <v>30202</v>
      </c>
      <c r="B120" s="14" t="s">
        <v>120</v>
      </c>
      <c r="C120" s="42">
        <v>1.0625000000000013</v>
      </c>
      <c r="D120" s="42">
        <v>0.88853503184713389</v>
      </c>
      <c r="E120" s="48"/>
      <c r="F120" s="16"/>
      <c r="G120" s="41"/>
    </row>
    <row r="121" spans="1:7" ht="15">
      <c r="A121" s="6">
        <v>30203</v>
      </c>
      <c r="B121" s="14" t="s">
        <v>121</v>
      </c>
      <c r="C121" s="42">
        <v>1.912941176470589</v>
      </c>
      <c r="D121" s="42">
        <v>1.8329411764705887</v>
      </c>
      <c r="E121" s="48"/>
      <c r="F121" s="16"/>
      <c r="G121" s="41"/>
    </row>
    <row r="122" spans="1:7" ht="15">
      <c r="A122" s="6">
        <v>30301</v>
      </c>
      <c r="B122" s="14" t="s">
        <v>122</v>
      </c>
      <c r="C122" s="42">
        <v>1.6446637877853181</v>
      </c>
      <c r="D122" s="42">
        <v>1.1677976557680438</v>
      </c>
      <c r="E122" s="48"/>
      <c r="F122" s="16"/>
      <c r="G122" s="41"/>
    </row>
    <row r="123" spans="1:7" ht="15">
      <c r="A123" s="6">
        <v>30302</v>
      </c>
      <c r="B123" s="14" t="s">
        <v>123</v>
      </c>
      <c r="C123" s="42">
        <v>2.1198044009779964</v>
      </c>
      <c r="D123" s="42">
        <v>1.191931540342299</v>
      </c>
      <c r="E123" s="48"/>
      <c r="F123" s="16"/>
      <c r="G123" s="41"/>
    </row>
    <row r="124" spans="1:7" ht="15">
      <c r="A124" s="6">
        <v>30303</v>
      </c>
      <c r="B124" s="14" t="s">
        <v>124</v>
      </c>
      <c r="C124" s="42">
        <v>1.7716770861647193</v>
      </c>
      <c r="D124" s="42">
        <v>1.0250067953248161</v>
      </c>
      <c r="E124" s="48"/>
      <c r="F124" s="16"/>
      <c r="G124" s="41"/>
    </row>
    <row r="125" spans="1:7" ht="15">
      <c r="A125" s="6">
        <v>30401</v>
      </c>
      <c r="B125" s="14" t="s">
        <v>125</v>
      </c>
      <c r="C125" s="42">
        <v>1.1059431524547794</v>
      </c>
      <c r="D125" s="42">
        <v>0.87338501291989634</v>
      </c>
      <c r="E125" s="48"/>
      <c r="F125" s="16"/>
      <c r="G125" s="41"/>
    </row>
    <row r="126" spans="1:7" ht="15">
      <c r="A126" s="6">
        <v>30402</v>
      </c>
      <c r="B126" s="14" t="s">
        <v>126</v>
      </c>
      <c r="C126" s="42">
        <v>2.2183754993342224</v>
      </c>
      <c r="D126" s="42">
        <v>0.86817576564580534</v>
      </c>
      <c r="E126" s="48"/>
      <c r="F126" s="16"/>
      <c r="G126" s="41"/>
    </row>
    <row r="127" spans="1:7" ht="15">
      <c r="A127" s="6">
        <v>30403</v>
      </c>
      <c r="B127" s="14" t="s">
        <v>127</v>
      </c>
      <c r="C127" s="42">
        <v>1.5625000000000011</v>
      </c>
      <c r="D127" s="42">
        <v>0.14583333333333301</v>
      </c>
      <c r="E127" s="48"/>
      <c r="F127" s="16"/>
      <c r="G127" s="41"/>
    </row>
    <row r="128" spans="1:7" ht="15">
      <c r="A128" s="6">
        <v>30404</v>
      </c>
      <c r="B128" s="14" t="s">
        <v>128</v>
      </c>
      <c r="C128" s="42">
        <v>2.1000000000000019</v>
      </c>
      <c r="D128" s="42">
        <v>0.87826086956521721</v>
      </c>
      <c r="E128" s="48"/>
      <c r="F128" s="16"/>
      <c r="G128" s="41"/>
    </row>
    <row r="129" spans="1:7" ht="15">
      <c r="A129" s="6">
        <v>30501</v>
      </c>
      <c r="B129" s="14" t="s">
        <v>129</v>
      </c>
      <c r="C129" s="42">
        <v>1.502164502164502</v>
      </c>
      <c r="D129" s="42">
        <v>0.89610389610389585</v>
      </c>
      <c r="E129" s="48"/>
      <c r="F129" s="16"/>
      <c r="G129" s="41"/>
    </row>
    <row r="130" spans="1:7" ht="15">
      <c r="A130" s="6">
        <v>30502</v>
      </c>
      <c r="B130" s="14" t="s">
        <v>130</v>
      </c>
      <c r="C130" s="42">
        <v>2.1691176470588225</v>
      </c>
      <c r="D130" s="42">
        <v>1.688725490196078</v>
      </c>
      <c r="E130" s="48"/>
      <c r="F130" s="16"/>
      <c r="G130" s="41"/>
    </row>
    <row r="131" spans="1:7" ht="15">
      <c r="A131" s="6">
        <v>30601</v>
      </c>
      <c r="B131" s="14" t="s">
        <v>131</v>
      </c>
      <c r="C131" s="42">
        <v>2.1728187919463089</v>
      </c>
      <c r="D131" s="42">
        <v>1.575503355704698</v>
      </c>
      <c r="E131" s="48"/>
      <c r="F131" s="16"/>
      <c r="G131" s="41"/>
    </row>
    <row r="132" spans="1:7" ht="15">
      <c r="A132" s="6">
        <v>30602</v>
      </c>
      <c r="B132" s="14" t="s">
        <v>132</v>
      </c>
      <c r="C132" s="42">
        <v>2.1510574018126896</v>
      </c>
      <c r="D132" s="42">
        <v>2.0513595166163126</v>
      </c>
      <c r="E132" s="48"/>
      <c r="F132" s="16"/>
      <c r="G132" s="41"/>
    </row>
    <row r="133" spans="1:7" ht="15">
      <c r="A133" s="6">
        <v>30701</v>
      </c>
      <c r="B133" s="14" t="s">
        <v>133</v>
      </c>
      <c r="C133" s="42">
        <v>1.2087227414330226</v>
      </c>
      <c r="D133" s="42">
        <v>1.2040498442367591</v>
      </c>
      <c r="E133" s="48"/>
      <c r="F133" s="16"/>
      <c r="G133" s="41"/>
    </row>
    <row r="134" spans="1:7" ht="15">
      <c r="A134" s="6">
        <v>30702</v>
      </c>
      <c r="B134" s="14" t="s">
        <v>134</v>
      </c>
      <c r="C134" s="42">
        <v>1.6260869565217391</v>
      </c>
      <c r="D134" s="42">
        <v>0.69275362318840594</v>
      </c>
      <c r="E134" s="48"/>
      <c r="F134" s="16"/>
      <c r="G134" s="41"/>
    </row>
    <row r="135" spans="1:7" ht="15">
      <c r="A135" s="6">
        <v>30703</v>
      </c>
      <c r="B135" s="14" t="s">
        <v>135</v>
      </c>
      <c r="C135" s="42">
        <v>1.8493150684931521</v>
      </c>
      <c r="D135" s="42">
        <v>1.3356164383561639</v>
      </c>
      <c r="E135" s="48"/>
      <c r="F135" s="16"/>
      <c r="G135" s="41"/>
    </row>
    <row r="136" spans="1:7" ht="15">
      <c r="A136" s="6">
        <v>30801</v>
      </c>
      <c r="B136" s="14" t="s">
        <v>136</v>
      </c>
      <c r="C136" s="42">
        <v>1.1038961038961039</v>
      </c>
      <c r="D136" s="42">
        <v>0.14285714285714302</v>
      </c>
      <c r="E136" s="48"/>
      <c r="F136" s="16"/>
      <c r="G136" s="41"/>
    </row>
    <row r="137" spans="1:7" ht="15">
      <c r="A137" s="6">
        <v>30802</v>
      </c>
      <c r="B137" s="14" t="s">
        <v>137</v>
      </c>
      <c r="C137" s="42">
        <v>1.7906976744186052</v>
      </c>
      <c r="D137" s="42">
        <v>0.87209302325581373</v>
      </c>
      <c r="E137" s="48"/>
      <c r="F137" s="16"/>
      <c r="G137" s="41"/>
    </row>
    <row r="138" spans="1:7" ht="15">
      <c r="A138" s="6">
        <v>30803</v>
      </c>
      <c r="B138" s="14" t="s">
        <v>138</v>
      </c>
      <c r="C138" s="42">
        <v>0.88421052631579</v>
      </c>
      <c r="D138" s="42">
        <v>0.81052631578947332</v>
      </c>
      <c r="E138" s="48"/>
      <c r="F138" s="16"/>
      <c r="G138" s="41"/>
    </row>
    <row r="139" spans="1:7" ht="15">
      <c r="A139" s="6">
        <v>30901</v>
      </c>
      <c r="B139" s="14" t="s">
        <v>139</v>
      </c>
      <c r="C139" s="42">
        <v>0.55760368663594506</v>
      </c>
      <c r="D139" s="42">
        <v>0.45929339477726577</v>
      </c>
      <c r="E139" s="48"/>
      <c r="F139" s="16"/>
      <c r="G139" s="41"/>
    </row>
    <row r="140" spans="1:7" ht="15">
      <c r="A140" s="6">
        <v>30902</v>
      </c>
      <c r="B140" s="14" t="s">
        <v>140</v>
      </c>
      <c r="C140" s="42">
        <v>1.1270627062706275</v>
      </c>
      <c r="D140" s="42">
        <v>0.14686468646864689</v>
      </c>
      <c r="E140" s="48"/>
      <c r="F140" s="16"/>
      <c r="G140" s="41"/>
    </row>
    <row r="141" spans="1:7" ht="15">
      <c r="A141" s="6">
        <v>30903</v>
      </c>
      <c r="B141" s="14" t="s">
        <v>141</v>
      </c>
      <c r="C141" s="42">
        <v>0.50393700787401596</v>
      </c>
      <c r="D141" s="42">
        <v>3.4120734908136503E-2</v>
      </c>
      <c r="E141" s="48"/>
      <c r="F141" s="16"/>
      <c r="G141" s="41"/>
    </row>
    <row r="142" spans="1:7" ht="15">
      <c r="A142" s="6">
        <v>30904</v>
      </c>
      <c r="B142" s="14" t="s">
        <v>142</v>
      </c>
      <c r="C142" s="42">
        <v>0.57707509881422958</v>
      </c>
      <c r="D142" s="42">
        <v>5.1383399209486195E-2</v>
      </c>
      <c r="E142" s="48"/>
      <c r="F142" s="16"/>
      <c r="G142" s="41"/>
    </row>
    <row r="143" spans="1:7" ht="15">
      <c r="A143" s="6">
        <v>30905</v>
      </c>
      <c r="B143" s="14" t="s">
        <v>143</v>
      </c>
      <c r="C143" s="42">
        <v>0.97297297297297303</v>
      </c>
      <c r="D143" s="42">
        <v>2.7027027027027001E-2</v>
      </c>
      <c r="E143" s="48"/>
      <c r="F143" s="16"/>
      <c r="G143" s="41"/>
    </row>
    <row r="144" spans="1:7" ht="15">
      <c r="A144" s="6">
        <v>31001</v>
      </c>
      <c r="B144" s="14" t="s">
        <v>144</v>
      </c>
      <c r="C144" s="42">
        <v>0.67022538552787625</v>
      </c>
      <c r="D144" s="42">
        <v>2.3724792408066433E-2</v>
      </c>
      <c r="E144" s="48"/>
      <c r="F144" s="16"/>
      <c r="G144" s="41"/>
    </row>
    <row r="145" spans="1:7" ht="15">
      <c r="A145" s="6">
        <v>31002</v>
      </c>
      <c r="B145" s="14" t="s">
        <v>145</v>
      </c>
      <c r="C145" s="42">
        <v>1.5762711864406791</v>
      </c>
      <c r="D145" s="42">
        <v>0.14406779661016916</v>
      </c>
      <c r="E145" s="48"/>
      <c r="F145" s="16"/>
      <c r="G145" s="41"/>
    </row>
    <row r="146" spans="1:7" ht="15">
      <c r="A146" s="6">
        <v>31003</v>
      </c>
      <c r="B146" s="14" t="s">
        <v>146</v>
      </c>
      <c r="C146" s="42">
        <v>1.6944444444444442</v>
      </c>
      <c r="D146" s="42">
        <v>0.48636991028295418</v>
      </c>
      <c r="E146" s="48"/>
      <c r="F146" s="16"/>
      <c r="G146" s="41"/>
    </row>
    <row r="147" spans="1:7" ht="15">
      <c r="A147" s="6">
        <v>31101</v>
      </c>
      <c r="B147" s="14" t="s">
        <v>147</v>
      </c>
      <c r="C147" s="42">
        <v>2.0820633059788971</v>
      </c>
      <c r="D147" s="42">
        <v>1.1219226260257904</v>
      </c>
      <c r="E147" s="48"/>
      <c r="F147" s="16"/>
      <c r="G147" s="41"/>
    </row>
    <row r="148" spans="1:7" ht="15">
      <c r="A148" s="6">
        <v>31201</v>
      </c>
      <c r="B148" s="14" t="s">
        <v>148</v>
      </c>
      <c r="C148" s="42">
        <v>2.2986111111111116</v>
      </c>
      <c r="D148" s="42">
        <v>1.7955729166666672</v>
      </c>
      <c r="E148" s="48"/>
      <c r="F148" s="16"/>
      <c r="G148" s="41"/>
    </row>
    <row r="149" spans="1:7" ht="15">
      <c r="A149" s="6">
        <v>31202</v>
      </c>
      <c r="B149" s="14" t="s">
        <v>149</v>
      </c>
      <c r="C149" s="42">
        <v>1.524089306698003</v>
      </c>
      <c r="D149" s="42">
        <v>0.83783783783783727</v>
      </c>
      <c r="E149" s="48"/>
      <c r="F149" s="16"/>
      <c r="G149" s="41"/>
    </row>
    <row r="150" spans="1:7" ht="15">
      <c r="A150" s="6">
        <v>31203</v>
      </c>
      <c r="B150" s="14" t="s">
        <v>150</v>
      </c>
      <c r="C150" s="42">
        <v>2.0409356725146184</v>
      </c>
      <c r="D150" s="42">
        <v>1.8089668615984404</v>
      </c>
      <c r="E150" s="48"/>
      <c r="F150" s="16"/>
      <c r="G150" s="41"/>
    </row>
    <row r="151" spans="1:7" ht="15">
      <c r="A151" s="6">
        <v>31204</v>
      </c>
      <c r="B151" s="14" t="s">
        <v>151</v>
      </c>
      <c r="C151" s="42">
        <v>1.1703539823008859</v>
      </c>
      <c r="D151" s="42">
        <v>0.21744627054361523</v>
      </c>
      <c r="E151" s="48"/>
      <c r="F151" s="16"/>
      <c r="G151" s="41"/>
    </row>
    <row r="152" spans="1:7" ht="15">
      <c r="A152" s="6">
        <v>31205</v>
      </c>
      <c r="B152" s="14" t="s">
        <v>152</v>
      </c>
      <c r="C152" s="42">
        <v>0.99488847583643159</v>
      </c>
      <c r="D152" s="42">
        <v>2.69516728624535E-2</v>
      </c>
      <c r="E152" s="48"/>
      <c r="F152" s="16"/>
      <c r="G152" s="41"/>
    </row>
    <row r="153" spans="1:7" ht="15">
      <c r="A153" s="6">
        <v>31206</v>
      </c>
      <c r="B153" s="14" t="s">
        <v>153</v>
      </c>
      <c r="C153" s="42">
        <v>0.92970711297071107</v>
      </c>
      <c r="D153" s="42">
        <v>0.86569037656903802</v>
      </c>
      <c r="E153" s="48"/>
      <c r="F153" s="16"/>
      <c r="G153" s="41"/>
    </row>
    <row r="154" spans="1:7" ht="15">
      <c r="A154" s="6">
        <v>31301</v>
      </c>
      <c r="B154" s="14" t="s">
        <v>154</v>
      </c>
      <c r="C154" s="42">
        <v>2.0504840940525577</v>
      </c>
      <c r="D154" s="42">
        <v>0.46196403872752406</v>
      </c>
      <c r="E154" s="48"/>
      <c r="F154" s="16"/>
      <c r="G154" s="41"/>
    </row>
    <row r="155" spans="1:7" ht="15">
      <c r="A155" s="6">
        <v>31302</v>
      </c>
      <c r="B155" s="14" t="s">
        <v>155</v>
      </c>
      <c r="C155" s="42">
        <v>2.2313432835820906</v>
      </c>
      <c r="D155" s="42">
        <v>0.29850746268656736</v>
      </c>
      <c r="E155" s="48"/>
      <c r="F155" s="16"/>
      <c r="G155" s="41"/>
    </row>
    <row r="156" spans="1:7" ht="15">
      <c r="A156" s="6">
        <v>31303</v>
      </c>
      <c r="B156" s="14" t="s">
        <v>156</v>
      </c>
      <c r="C156" s="42">
        <v>2.1092436974789921</v>
      </c>
      <c r="D156" s="42">
        <v>1.0735294117647061</v>
      </c>
      <c r="E156" s="48"/>
      <c r="F156" s="16"/>
      <c r="G156" s="41"/>
    </row>
    <row r="157" spans="1:7" ht="15">
      <c r="A157" s="6">
        <v>31304</v>
      </c>
      <c r="B157" s="14" t="s">
        <v>157</v>
      </c>
      <c r="C157" s="42">
        <v>2.3229329173166948</v>
      </c>
      <c r="D157" s="42">
        <v>2.1606864274570969</v>
      </c>
      <c r="E157" s="48"/>
      <c r="F157" s="16"/>
      <c r="G157" s="41"/>
    </row>
    <row r="158" spans="1:7" ht="15">
      <c r="A158" s="6">
        <v>31401</v>
      </c>
      <c r="B158" s="14" t="s">
        <v>158</v>
      </c>
      <c r="C158" s="42">
        <v>1.045045045045045</v>
      </c>
      <c r="D158" s="42">
        <v>0.12612612612612609</v>
      </c>
      <c r="E158" s="48"/>
      <c r="F158" s="16"/>
      <c r="G158" s="41"/>
    </row>
    <row r="159" spans="1:7" ht="15">
      <c r="A159" s="6">
        <v>31402</v>
      </c>
      <c r="B159" s="14" t="s">
        <v>159</v>
      </c>
      <c r="C159" s="42">
        <v>1.8372093023255811</v>
      </c>
      <c r="D159" s="42">
        <v>0.85271317829457327</v>
      </c>
      <c r="E159" s="48"/>
      <c r="F159" s="16"/>
      <c r="G159" s="41"/>
    </row>
    <row r="160" spans="1:7" ht="15">
      <c r="A160" s="6">
        <v>31403</v>
      </c>
      <c r="B160" s="14" t="s">
        <v>160</v>
      </c>
      <c r="C160" s="42">
        <v>0.86390532544378673</v>
      </c>
      <c r="D160" s="42">
        <v>6.5088757396449606E-2</v>
      </c>
      <c r="E160" s="48"/>
      <c r="F160" s="16"/>
      <c r="G160" s="41"/>
    </row>
    <row r="161" spans="1:7" ht="15">
      <c r="A161" s="6">
        <v>31404</v>
      </c>
      <c r="B161" s="14" t="s">
        <v>161</v>
      </c>
      <c r="C161" s="42">
        <v>1.774193548387097</v>
      </c>
      <c r="D161" s="42">
        <v>0.96774193548387122</v>
      </c>
      <c r="E161" s="48"/>
      <c r="F161" s="16"/>
      <c r="G161" s="41"/>
    </row>
    <row r="162" spans="1:7" ht="15">
      <c r="A162" s="6">
        <v>31405</v>
      </c>
      <c r="B162" s="14" t="s">
        <v>162</v>
      </c>
      <c r="C162" s="42">
        <v>1.827956989247312</v>
      </c>
      <c r="D162" s="42">
        <v>1.56989247311828</v>
      </c>
      <c r="E162" s="48"/>
      <c r="F162" s="16"/>
      <c r="G162" s="41"/>
    </row>
    <row r="163" spans="1:7" ht="15">
      <c r="A163" s="6">
        <v>31501</v>
      </c>
      <c r="B163" s="14" t="s">
        <v>163</v>
      </c>
      <c r="C163" s="42">
        <v>1.9418758256274777</v>
      </c>
      <c r="D163" s="42">
        <v>0.87186261558784683</v>
      </c>
      <c r="E163" s="48"/>
      <c r="F163" s="16"/>
      <c r="G163" s="41"/>
    </row>
    <row r="164" spans="1:7" ht="15">
      <c r="A164" s="6">
        <v>31601</v>
      </c>
      <c r="B164" s="14" t="s">
        <v>164</v>
      </c>
      <c r="C164" s="42">
        <v>2.2334128878281621</v>
      </c>
      <c r="D164" s="42">
        <v>1.7088305489260138</v>
      </c>
      <c r="E164" s="48"/>
      <c r="F164" s="16"/>
      <c r="G164" s="41"/>
    </row>
    <row r="165" spans="1:7" ht="15">
      <c r="A165" s="6">
        <v>31602</v>
      </c>
      <c r="B165" s="14" t="s">
        <v>165</v>
      </c>
      <c r="C165" s="42">
        <v>1.101918465227818</v>
      </c>
      <c r="D165" s="42">
        <v>8.0335731414867995E-2</v>
      </c>
      <c r="E165" s="48"/>
      <c r="F165" s="16"/>
      <c r="G165" s="41"/>
    </row>
    <row r="166" spans="1:7" ht="15">
      <c r="A166" s="6">
        <v>40101</v>
      </c>
      <c r="B166" s="14" t="s">
        <v>166</v>
      </c>
      <c r="C166" s="42">
        <v>0.98239436619718279</v>
      </c>
      <c r="D166" s="42">
        <v>0.1091549295774647</v>
      </c>
      <c r="E166" s="48"/>
      <c r="F166" s="16"/>
      <c r="G166" s="41"/>
    </row>
    <row r="167" spans="1:7" ht="15">
      <c r="A167" s="6">
        <v>40102</v>
      </c>
      <c r="B167" s="14" t="s">
        <v>167</v>
      </c>
      <c r="C167" s="42">
        <v>1.673929961089494</v>
      </c>
      <c r="D167" s="42">
        <v>0.83424124513618669</v>
      </c>
      <c r="E167" s="48"/>
      <c r="F167" s="16"/>
      <c r="G167" s="41"/>
    </row>
    <row r="168" spans="1:7" ht="15">
      <c r="A168" s="6">
        <v>40103</v>
      </c>
      <c r="B168" s="14" t="s">
        <v>168</v>
      </c>
      <c r="C168" s="42">
        <v>1.707097933513027</v>
      </c>
      <c r="D168" s="42">
        <v>1.9047619047619042</v>
      </c>
      <c r="E168" s="48"/>
      <c r="F168" s="16"/>
      <c r="G168" s="41"/>
    </row>
    <row r="169" spans="1:7" ht="15">
      <c r="A169" s="6">
        <v>40104</v>
      </c>
      <c r="B169" s="14" t="s">
        <v>169</v>
      </c>
      <c r="C169" s="42">
        <v>1.4635845471817601</v>
      </c>
      <c r="D169" s="42">
        <v>0.81190626979100644</v>
      </c>
      <c r="E169" s="48"/>
      <c r="F169" s="16"/>
      <c r="G169" s="41"/>
    </row>
    <row r="170" spans="1:7" ht="15">
      <c r="A170" s="6">
        <v>40201</v>
      </c>
      <c r="B170" s="14" t="s">
        <v>170</v>
      </c>
      <c r="C170" s="42">
        <v>1.0759358288770058</v>
      </c>
      <c r="D170" s="42">
        <v>7.5935828877005382E-2</v>
      </c>
      <c r="E170" s="48"/>
      <c r="F170" s="16"/>
      <c r="G170" s="41"/>
    </row>
    <row r="171" spans="1:7" ht="15">
      <c r="A171" s="6">
        <v>40202</v>
      </c>
      <c r="B171" s="14" t="s">
        <v>171</v>
      </c>
      <c r="C171" s="42">
        <v>1.6650342801175324</v>
      </c>
      <c r="D171" s="42">
        <v>1.8932419196865811</v>
      </c>
      <c r="E171" s="48"/>
      <c r="F171" s="16"/>
      <c r="G171" s="41"/>
    </row>
    <row r="172" spans="1:7" ht="15">
      <c r="A172" s="6">
        <v>40301</v>
      </c>
      <c r="B172" s="14" t="s">
        <v>172</v>
      </c>
      <c r="C172" s="42">
        <v>1.6480774875256821</v>
      </c>
      <c r="D172" s="42">
        <v>5.5767537422952762E-2</v>
      </c>
      <c r="E172" s="48"/>
      <c r="F172" s="16"/>
      <c r="G172" s="41"/>
    </row>
    <row r="173" spans="1:7" ht="15">
      <c r="A173" s="6">
        <v>40302</v>
      </c>
      <c r="B173" s="14" t="s">
        <v>173</v>
      </c>
      <c r="C173" s="42">
        <v>1.7593908629441619</v>
      </c>
      <c r="D173" s="42">
        <v>0.94517766497461964</v>
      </c>
      <c r="E173" s="48"/>
      <c r="F173" s="16"/>
      <c r="G173" s="41"/>
    </row>
    <row r="174" spans="1:7" ht="15">
      <c r="A174" s="6">
        <v>40401</v>
      </c>
      <c r="B174" s="14" t="s">
        <v>174</v>
      </c>
      <c r="C174" s="42">
        <v>1.0350350350350348</v>
      </c>
      <c r="D174" s="42">
        <v>0.76242909576242912</v>
      </c>
      <c r="E174" s="48"/>
      <c r="F174" s="16"/>
      <c r="G174" s="41"/>
    </row>
    <row r="175" spans="1:7" ht="15">
      <c r="A175" s="6">
        <v>40402</v>
      </c>
      <c r="B175" s="14" t="s">
        <v>175</v>
      </c>
      <c r="C175" s="42">
        <v>1.6390495867768597</v>
      </c>
      <c r="D175" s="42">
        <v>1.8219008264462802</v>
      </c>
      <c r="E175" s="48"/>
      <c r="F175" s="16"/>
      <c r="G175" s="41"/>
    </row>
    <row r="176" spans="1:7" ht="15">
      <c r="A176" s="6">
        <v>40501</v>
      </c>
      <c r="B176" s="14" t="s">
        <v>176</v>
      </c>
      <c r="C176" s="42">
        <v>1.5625</v>
      </c>
      <c r="D176" s="42">
        <v>0.75</v>
      </c>
      <c r="E176" s="48"/>
      <c r="F176" s="16"/>
      <c r="G176" s="41"/>
    </row>
    <row r="177" spans="1:7" ht="15">
      <c r="A177" s="6">
        <v>40502</v>
      </c>
      <c r="B177" s="14" t="s">
        <v>177</v>
      </c>
      <c r="C177" s="42">
        <v>1.2084781097984711</v>
      </c>
      <c r="D177" s="42">
        <v>0.99027102154273805</v>
      </c>
      <c r="E177" s="48"/>
      <c r="F177" s="16"/>
      <c r="G177" s="41"/>
    </row>
    <row r="178" spans="1:7" ht="15">
      <c r="A178" s="6">
        <v>40503</v>
      </c>
      <c r="B178" s="14" t="s">
        <v>178</v>
      </c>
      <c r="C178" s="42">
        <v>1.2547008547008551</v>
      </c>
      <c r="D178" s="42">
        <v>1.8974358974358976</v>
      </c>
      <c r="E178" s="48"/>
      <c r="F178" s="16"/>
      <c r="G178" s="41"/>
    </row>
    <row r="179" spans="1:7" ht="15">
      <c r="A179" s="6">
        <v>40504</v>
      </c>
      <c r="B179" s="14" t="s">
        <v>179</v>
      </c>
      <c r="C179" s="42">
        <v>1.595454545454545</v>
      </c>
      <c r="D179" s="42">
        <v>1.1409090909090911</v>
      </c>
      <c r="E179" s="48"/>
      <c r="F179" s="16"/>
      <c r="G179" s="41"/>
    </row>
    <row r="180" spans="1:7" ht="15">
      <c r="A180" s="6">
        <v>40505</v>
      </c>
      <c r="B180" s="14" t="s">
        <v>180</v>
      </c>
      <c r="C180" s="42">
        <v>1.203812316715543</v>
      </c>
      <c r="D180" s="42">
        <v>1.0601173020527854</v>
      </c>
      <c r="E180" s="48"/>
      <c r="F180" s="16"/>
      <c r="G180" s="41"/>
    </row>
    <row r="181" spans="1:7" ht="15">
      <c r="A181" s="6">
        <v>40601</v>
      </c>
      <c r="B181" s="14" t="s">
        <v>181</v>
      </c>
      <c r="C181" s="42">
        <v>1.0893561103810772</v>
      </c>
      <c r="D181" s="42">
        <v>0.15111695137976353</v>
      </c>
      <c r="E181" s="48"/>
      <c r="F181" s="16"/>
      <c r="G181" s="41"/>
    </row>
    <row r="182" spans="1:7" ht="15">
      <c r="A182" s="6">
        <v>40602</v>
      </c>
      <c r="B182" s="14" t="s">
        <v>182</v>
      </c>
      <c r="C182" s="42">
        <v>1.6360294117647061</v>
      </c>
      <c r="D182" s="42">
        <v>7.3529411764705899E-2</v>
      </c>
      <c r="E182" s="48"/>
      <c r="F182" s="16"/>
      <c r="G182" s="41"/>
    </row>
    <row r="183" spans="1:7" ht="15">
      <c r="A183" s="6">
        <v>40603</v>
      </c>
      <c r="B183" s="14" t="s">
        <v>183</v>
      </c>
      <c r="C183" s="42">
        <v>1.6646153846153842</v>
      </c>
      <c r="D183" s="42">
        <v>1.5169230769230762</v>
      </c>
      <c r="E183" s="48"/>
      <c r="F183" s="16"/>
      <c r="G183" s="41"/>
    </row>
    <row r="184" spans="1:7" ht="15">
      <c r="A184" s="6">
        <v>40701</v>
      </c>
      <c r="B184" s="14" t="s">
        <v>184</v>
      </c>
      <c r="C184" s="42">
        <v>0.76047904191616722</v>
      </c>
      <c r="D184" s="42">
        <v>0.1452095808383233</v>
      </c>
      <c r="E184" s="48"/>
      <c r="F184" s="16"/>
      <c r="G184" s="41"/>
    </row>
    <row r="185" spans="1:7" ht="15">
      <c r="A185" s="6">
        <v>40702</v>
      </c>
      <c r="B185" s="14" t="s">
        <v>185</v>
      </c>
      <c r="C185" s="42">
        <v>0.84109589041095911</v>
      </c>
      <c r="D185" s="42">
        <v>2.7397260273972619E-2</v>
      </c>
      <c r="E185" s="48"/>
      <c r="F185" s="16"/>
      <c r="G185" s="41"/>
    </row>
    <row r="186" spans="1:7" ht="15">
      <c r="A186" s="6">
        <v>40801</v>
      </c>
      <c r="B186" s="14" t="s">
        <v>186</v>
      </c>
      <c r="C186" s="42">
        <v>1.09564311751432</v>
      </c>
      <c r="D186" s="42">
        <v>1.9555632702655792</v>
      </c>
      <c r="E186" s="48"/>
      <c r="F186" s="16"/>
      <c r="G186" s="41"/>
    </row>
    <row r="187" spans="1:7" ht="15">
      <c r="A187" s="6">
        <v>40802</v>
      </c>
      <c r="B187" s="14" t="s">
        <v>187</v>
      </c>
      <c r="C187" s="42">
        <v>1.9324817518248176</v>
      </c>
      <c r="D187" s="42">
        <v>1.0538321167883216</v>
      </c>
      <c r="E187" s="48"/>
      <c r="F187" s="16"/>
      <c r="G187" s="41"/>
    </row>
    <row r="188" spans="1:7" ht="15">
      <c r="A188" s="6">
        <v>40901</v>
      </c>
      <c r="B188" s="14" t="s">
        <v>188</v>
      </c>
      <c r="C188" s="42">
        <v>1.3726673984632278</v>
      </c>
      <c r="D188" s="42">
        <v>1.8282107574094399</v>
      </c>
      <c r="E188" s="48"/>
      <c r="F188" s="16"/>
      <c r="G188" s="41"/>
    </row>
    <row r="189" spans="1:7" ht="15">
      <c r="A189" s="6">
        <v>40902</v>
      </c>
      <c r="B189" s="14" t="s">
        <v>189</v>
      </c>
      <c r="C189" s="42">
        <v>1.101941747572817</v>
      </c>
      <c r="D189" s="42">
        <v>0.80582524271844658</v>
      </c>
      <c r="E189" s="48"/>
      <c r="F189" s="16"/>
      <c r="G189" s="41"/>
    </row>
    <row r="190" spans="1:7" ht="15">
      <c r="A190" s="6">
        <v>40903</v>
      </c>
      <c r="B190" s="14" t="s">
        <v>190</v>
      </c>
      <c r="C190" s="42">
        <v>1.0281329923273654</v>
      </c>
      <c r="D190" s="42">
        <v>1.9309462915601017</v>
      </c>
      <c r="E190" s="48"/>
      <c r="F190" s="16"/>
      <c r="G190" s="41"/>
    </row>
    <row r="191" spans="1:7" ht="15">
      <c r="A191" s="6">
        <v>41001</v>
      </c>
      <c r="B191" s="14" t="s">
        <v>191</v>
      </c>
      <c r="C191" s="42">
        <v>1.1387499999999999</v>
      </c>
      <c r="D191" s="42">
        <v>1.0106250000000001</v>
      </c>
      <c r="E191" s="48"/>
      <c r="F191" s="16"/>
      <c r="G191" s="41"/>
    </row>
    <row r="192" spans="1:7" ht="15">
      <c r="A192" s="6">
        <v>41101</v>
      </c>
      <c r="B192" s="14" t="s">
        <v>192</v>
      </c>
      <c r="C192" s="42">
        <v>1.035799522673031</v>
      </c>
      <c r="D192" s="42">
        <v>0.9689737470167068</v>
      </c>
      <c r="E192" s="48"/>
      <c r="F192" s="16"/>
      <c r="G192" s="41"/>
    </row>
    <row r="193" spans="1:7" ht="15">
      <c r="A193" s="6">
        <v>41201</v>
      </c>
      <c r="B193" s="14" t="s">
        <v>193</v>
      </c>
      <c r="C193" s="42">
        <v>1.7621399176954731</v>
      </c>
      <c r="D193" s="42">
        <v>1.9489711934156368</v>
      </c>
      <c r="E193" s="48"/>
      <c r="F193" s="16"/>
      <c r="G193" s="41"/>
    </row>
    <row r="194" spans="1:7" ht="15">
      <c r="A194" s="6">
        <v>41202</v>
      </c>
      <c r="B194" s="14" t="s">
        <v>194</v>
      </c>
      <c r="C194" s="42">
        <v>1.9527896995708147</v>
      </c>
      <c r="D194" s="42">
        <v>1.0454935622317598</v>
      </c>
      <c r="E194" s="48"/>
      <c r="F194" s="16"/>
      <c r="G194" s="41"/>
    </row>
    <row r="195" spans="1:7" ht="15">
      <c r="A195" s="6">
        <v>41301</v>
      </c>
      <c r="B195" s="14" t="s">
        <v>195</v>
      </c>
      <c r="C195" s="42">
        <v>1.695886716115981</v>
      </c>
      <c r="D195" s="42">
        <v>1.011463250168577</v>
      </c>
      <c r="E195" s="48"/>
      <c r="F195" s="16"/>
      <c r="G195" s="41"/>
    </row>
    <row r="196" spans="1:7" ht="15">
      <c r="A196" s="6">
        <v>41401</v>
      </c>
      <c r="B196" s="14" t="s">
        <v>196</v>
      </c>
      <c r="C196" s="42">
        <v>0.55221518987341733</v>
      </c>
      <c r="D196" s="42">
        <v>1.0601265822784804</v>
      </c>
      <c r="E196" s="48"/>
      <c r="F196" s="16"/>
      <c r="G196" s="41"/>
    </row>
    <row r="197" spans="1:7" ht="15">
      <c r="A197" s="6">
        <v>41501</v>
      </c>
      <c r="B197" s="14" t="s">
        <v>197</v>
      </c>
      <c r="C197" s="42">
        <v>1.435146443514645</v>
      </c>
      <c r="D197" s="42">
        <v>1.6610878661087869</v>
      </c>
      <c r="E197" s="48"/>
      <c r="F197" s="16"/>
      <c r="G197" s="41"/>
    </row>
    <row r="198" spans="1:7" ht="15">
      <c r="A198" s="6">
        <v>41502</v>
      </c>
      <c r="B198" s="14" t="s">
        <v>198</v>
      </c>
      <c r="C198" s="42">
        <v>1.3931623931623929</v>
      </c>
      <c r="D198" s="42">
        <v>1.7307692307692308</v>
      </c>
      <c r="E198" s="48"/>
      <c r="F198" s="16"/>
      <c r="G198" s="41"/>
    </row>
    <row r="199" spans="1:7" ht="15">
      <c r="A199" s="6">
        <v>41503</v>
      </c>
      <c r="B199" s="14" t="s">
        <v>199</v>
      </c>
      <c r="C199" s="42">
        <v>1.128205128205128</v>
      </c>
      <c r="D199" s="42">
        <v>1.6739926739926738</v>
      </c>
      <c r="E199" s="48"/>
      <c r="F199" s="16"/>
      <c r="G199" s="41"/>
    </row>
    <row r="200" spans="1:7" ht="15">
      <c r="A200" s="6">
        <v>41601</v>
      </c>
      <c r="B200" s="14" t="s">
        <v>200</v>
      </c>
      <c r="C200" s="42">
        <v>1.0362173038229372</v>
      </c>
      <c r="D200" s="42">
        <v>0.85714285714285732</v>
      </c>
      <c r="E200" s="48"/>
      <c r="F200" s="16"/>
      <c r="G200" s="41"/>
    </row>
    <row r="201" spans="1:7" ht="15">
      <c r="A201" s="6">
        <v>50101</v>
      </c>
      <c r="B201" s="14" t="s">
        <v>201</v>
      </c>
      <c r="C201" s="42">
        <v>0.80844645550527938</v>
      </c>
      <c r="D201" s="42">
        <v>0.32352941176470607</v>
      </c>
      <c r="E201" s="48"/>
      <c r="F201" s="16"/>
      <c r="G201" s="41"/>
    </row>
    <row r="202" spans="1:7" ht="15">
      <c r="A202" s="6">
        <v>50102</v>
      </c>
      <c r="B202" s="14" t="s">
        <v>202</v>
      </c>
      <c r="C202" s="42">
        <v>2.1996086105675134</v>
      </c>
      <c r="D202" s="42">
        <v>2.1709067188519242</v>
      </c>
      <c r="E202" s="48"/>
      <c r="F202" s="16"/>
      <c r="G202" s="41"/>
    </row>
    <row r="203" spans="1:7" ht="15">
      <c r="A203" s="6">
        <v>50103</v>
      </c>
      <c r="B203" s="14" t="s">
        <v>203</v>
      </c>
      <c r="C203" s="42">
        <v>2.1317122593718336</v>
      </c>
      <c r="D203" s="42">
        <v>1.1945288753799408</v>
      </c>
      <c r="E203" s="48"/>
      <c r="F203" s="16"/>
      <c r="G203" s="41"/>
    </row>
    <row r="204" spans="1:7" ht="15">
      <c r="A204" s="6">
        <v>50104</v>
      </c>
      <c r="B204" s="14" t="s">
        <v>204</v>
      </c>
      <c r="C204" s="42">
        <v>1.2475618904726178</v>
      </c>
      <c r="D204" s="42">
        <v>1.0817704426106527</v>
      </c>
      <c r="E204" s="48"/>
      <c r="F204" s="16"/>
      <c r="G204" s="41"/>
    </row>
    <row r="205" spans="1:7" ht="15">
      <c r="A205" s="6">
        <v>50201</v>
      </c>
      <c r="B205" s="14" t="s">
        <v>205</v>
      </c>
      <c r="C205" s="42">
        <v>1.7450722733245729</v>
      </c>
      <c r="D205" s="42">
        <v>6.7017082785808146E-2</v>
      </c>
      <c r="E205" s="48"/>
      <c r="F205" s="16"/>
      <c r="G205" s="41"/>
    </row>
    <row r="206" spans="1:7" ht="15">
      <c r="A206" s="6">
        <v>50202</v>
      </c>
      <c r="B206" s="14" t="s">
        <v>206</v>
      </c>
      <c r="C206" s="42">
        <v>2.2433566433566448</v>
      </c>
      <c r="D206" s="42">
        <v>2.1538461538461551</v>
      </c>
      <c r="E206" s="48"/>
      <c r="F206" s="16"/>
      <c r="G206" s="41"/>
    </row>
    <row r="207" spans="1:7" ht="15">
      <c r="A207" s="6">
        <v>50203</v>
      </c>
      <c r="B207" s="14" t="s">
        <v>207</v>
      </c>
      <c r="C207" s="42">
        <v>0.8741496598639461</v>
      </c>
      <c r="D207" s="42">
        <v>9.18367346938775E-2</v>
      </c>
      <c r="E207" s="48"/>
      <c r="F207" s="16"/>
      <c r="G207" s="41"/>
    </row>
    <row r="208" spans="1:7" ht="15">
      <c r="A208" s="6">
        <v>50204</v>
      </c>
      <c r="B208" s="14" t="s">
        <v>208</v>
      </c>
      <c r="C208" s="42">
        <v>2.2871287128712869</v>
      </c>
      <c r="D208" s="42">
        <v>1.755775577557755</v>
      </c>
      <c r="E208" s="48"/>
      <c r="F208" s="16"/>
      <c r="G208" s="41"/>
    </row>
    <row r="209" spans="1:7" ht="15">
      <c r="A209" s="6">
        <v>50301</v>
      </c>
      <c r="B209" s="14" t="s">
        <v>209</v>
      </c>
      <c r="C209" s="42">
        <v>2.2952755905511806</v>
      </c>
      <c r="D209" s="42">
        <v>0.9704724409448825</v>
      </c>
      <c r="E209" s="48"/>
      <c r="F209" s="16"/>
      <c r="G209" s="41"/>
    </row>
    <row r="210" spans="1:7" ht="15">
      <c r="A210" s="6">
        <v>50302</v>
      </c>
      <c r="B210" s="14" t="s">
        <v>210</v>
      </c>
      <c r="C210" s="42">
        <v>2.0521415270018619</v>
      </c>
      <c r="D210" s="42">
        <v>1.852886405959032</v>
      </c>
      <c r="E210" s="48"/>
      <c r="F210" s="16"/>
      <c r="G210" s="41"/>
    </row>
    <row r="211" spans="1:7" ht="15">
      <c r="A211" s="6">
        <v>50303</v>
      </c>
      <c r="B211" s="14" t="s">
        <v>211</v>
      </c>
      <c r="C211" s="42">
        <v>2.1979695431472073</v>
      </c>
      <c r="D211" s="42">
        <v>2.1390862944162436</v>
      </c>
      <c r="E211" s="48"/>
      <c r="F211" s="16"/>
      <c r="G211" s="41"/>
    </row>
    <row r="212" spans="1:7" ht="15">
      <c r="A212" s="6">
        <v>50401</v>
      </c>
      <c r="B212" s="14" t="s">
        <v>212</v>
      </c>
      <c r="C212" s="42">
        <v>1.8434670116429501</v>
      </c>
      <c r="D212" s="42">
        <v>1.4191461836998693</v>
      </c>
      <c r="E212" s="48"/>
      <c r="F212" s="16"/>
      <c r="G212" s="41"/>
    </row>
    <row r="213" spans="1:7" ht="15">
      <c r="A213" s="6">
        <v>50402</v>
      </c>
      <c r="B213" s="14" t="s">
        <v>213</v>
      </c>
      <c r="C213" s="42">
        <v>2.2684745762711866</v>
      </c>
      <c r="D213" s="42">
        <v>1.8867796610169494</v>
      </c>
      <c r="E213" s="48"/>
      <c r="F213" s="16"/>
      <c r="G213" s="41"/>
    </row>
    <row r="214" spans="1:7" ht="15">
      <c r="A214" s="6">
        <v>50403</v>
      </c>
      <c r="B214" s="14" t="s">
        <v>214</v>
      </c>
      <c r="C214" s="42">
        <v>2.3297463489623369</v>
      </c>
      <c r="D214" s="42">
        <v>1.8278247501921596</v>
      </c>
      <c r="E214" s="48"/>
      <c r="F214" s="16"/>
      <c r="G214" s="41"/>
    </row>
    <row r="215" spans="1:7" ht="15">
      <c r="A215" s="6">
        <v>50404</v>
      </c>
      <c r="B215" s="14" t="s">
        <v>215</v>
      </c>
      <c r="C215" s="42">
        <v>2.2806652806652812</v>
      </c>
      <c r="D215" s="42">
        <v>2.254677754677755</v>
      </c>
      <c r="E215" s="48"/>
      <c r="F215" s="16"/>
      <c r="G215" s="41"/>
    </row>
    <row r="216" spans="1:7" ht="15">
      <c r="A216" s="6">
        <v>50405</v>
      </c>
      <c r="B216" s="14" t="s">
        <v>216</v>
      </c>
      <c r="C216" s="42">
        <v>2.1689655172413795</v>
      </c>
      <c r="D216" s="42">
        <v>2.1318965517241373</v>
      </c>
      <c r="E216" s="48"/>
      <c r="F216" s="16"/>
      <c r="G216" s="41"/>
    </row>
    <row r="217" spans="1:7" ht="15">
      <c r="A217" s="6">
        <v>50501</v>
      </c>
      <c r="B217" s="14" t="s">
        <v>217</v>
      </c>
      <c r="C217" s="42">
        <v>2.3409766454352439</v>
      </c>
      <c r="D217" s="42">
        <v>2.3027600849256911</v>
      </c>
      <c r="E217" s="48"/>
      <c r="F217" s="16"/>
      <c r="G217" s="41"/>
    </row>
    <row r="218" spans="1:7" ht="15">
      <c r="A218" s="6">
        <v>50502</v>
      </c>
      <c r="B218" s="14" t="s">
        <v>218</v>
      </c>
      <c r="C218" s="42">
        <v>2.402916346891788</v>
      </c>
      <c r="D218" s="42">
        <v>1.8902532617037602</v>
      </c>
      <c r="E218" s="48"/>
      <c r="F218" s="16"/>
      <c r="G218" s="41"/>
    </row>
    <row r="219" spans="1:7" ht="15">
      <c r="A219" s="6">
        <v>50601</v>
      </c>
      <c r="B219" s="14" t="s">
        <v>219</v>
      </c>
      <c r="C219" s="42">
        <v>1.6666666666666663</v>
      </c>
      <c r="D219" s="42">
        <v>1.8961481481481477</v>
      </c>
      <c r="E219" s="48"/>
      <c r="F219" s="16"/>
      <c r="G219" s="41"/>
    </row>
    <row r="220" spans="1:7" ht="15">
      <c r="A220" s="6">
        <v>50602</v>
      </c>
      <c r="B220" s="14" t="s">
        <v>220</v>
      </c>
      <c r="C220" s="42">
        <v>2.2265224815025628</v>
      </c>
      <c r="D220" s="42">
        <v>0.62948207171314774</v>
      </c>
      <c r="E220" s="48"/>
      <c r="F220" s="16"/>
      <c r="G220" s="41"/>
    </row>
    <row r="221" spans="1:7" ht="15">
      <c r="A221" s="6">
        <v>50701</v>
      </c>
      <c r="B221" s="14" t="s">
        <v>221</v>
      </c>
      <c r="C221" s="42">
        <v>2.1769911504424795</v>
      </c>
      <c r="D221" s="42">
        <v>1.8603736479842681</v>
      </c>
      <c r="E221" s="48"/>
      <c r="F221" s="16"/>
      <c r="G221" s="41"/>
    </row>
    <row r="222" spans="1:7" ht="15">
      <c r="A222" s="6">
        <v>50702</v>
      </c>
      <c r="B222" s="14" t="s">
        <v>222</v>
      </c>
      <c r="C222" s="42">
        <v>2.0402684563758378</v>
      </c>
      <c r="D222" s="42">
        <v>1.6728187919463087</v>
      </c>
      <c r="E222" s="48"/>
      <c r="F222" s="16"/>
      <c r="G222" s="41"/>
    </row>
    <row r="223" spans="1:7" ht="15">
      <c r="A223" s="6">
        <v>50801</v>
      </c>
      <c r="B223" s="14" t="s">
        <v>223</v>
      </c>
      <c r="C223" s="42">
        <v>0.55993788819875745</v>
      </c>
      <c r="D223" s="42">
        <v>0.80590062111801219</v>
      </c>
      <c r="E223" s="48"/>
      <c r="F223" s="16"/>
      <c r="G223" s="41"/>
    </row>
    <row r="224" spans="1:7" ht="15">
      <c r="A224" s="6">
        <v>50802</v>
      </c>
      <c r="B224" s="14" t="s">
        <v>224</v>
      </c>
      <c r="C224" s="42">
        <v>1.2257933279088693</v>
      </c>
      <c r="D224" s="42">
        <v>1.8873067534580956</v>
      </c>
      <c r="E224" s="48"/>
      <c r="F224" s="16"/>
      <c r="G224" s="41"/>
    </row>
    <row r="225" spans="1:7" ht="15">
      <c r="A225" s="6">
        <v>50901</v>
      </c>
      <c r="B225" s="14" t="s">
        <v>225</v>
      </c>
      <c r="C225" s="42">
        <v>1.8529285790769896</v>
      </c>
      <c r="D225" s="42">
        <v>1.9595245743655629</v>
      </c>
      <c r="E225" s="48"/>
      <c r="F225" s="16"/>
      <c r="G225" s="41"/>
    </row>
    <row r="226" spans="1:7" ht="15">
      <c r="A226" s="6">
        <v>50902</v>
      </c>
      <c r="B226" s="14" t="s">
        <v>226</v>
      </c>
      <c r="C226" s="42">
        <v>1.8468529879572821</v>
      </c>
      <c r="D226" s="42">
        <v>1.9247898204953424</v>
      </c>
      <c r="E226" s="48"/>
      <c r="F226" s="16"/>
      <c r="G226" s="41"/>
    </row>
    <row r="227" spans="1:7" ht="15">
      <c r="A227" s="6">
        <v>51001</v>
      </c>
      <c r="B227" s="14" t="s">
        <v>227</v>
      </c>
      <c r="C227" s="42">
        <v>1.649851405928521</v>
      </c>
      <c r="D227" s="42">
        <v>0.90962432370646917</v>
      </c>
      <c r="E227" s="48"/>
      <c r="F227" s="16"/>
      <c r="G227" s="41"/>
    </row>
    <row r="228" spans="1:7" ht="15">
      <c r="A228" s="6">
        <v>51002</v>
      </c>
      <c r="B228" s="14" t="s">
        <v>228</v>
      </c>
      <c r="C228" s="42">
        <v>1.5376344086021509</v>
      </c>
      <c r="D228" s="42">
        <v>1.354838709677419</v>
      </c>
      <c r="E228" s="48"/>
      <c r="F228" s="16"/>
      <c r="G228" s="41"/>
    </row>
    <row r="229" spans="1:7" ht="15">
      <c r="A229" s="6">
        <v>51003</v>
      </c>
      <c r="B229" s="14" t="s">
        <v>229</v>
      </c>
      <c r="C229" s="42">
        <v>1.1468901632112922</v>
      </c>
      <c r="D229" s="42">
        <v>0.92501102779003086</v>
      </c>
      <c r="E229" s="48"/>
      <c r="F229" s="16"/>
      <c r="G229" s="41"/>
    </row>
    <row r="230" spans="1:7" ht="15">
      <c r="A230" s="6">
        <v>51101</v>
      </c>
      <c r="B230" s="14" t="s">
        <v>230</v>
      </c>
      <c r="C230" s="42">
        <v>2.0746359223300979</v>
      </c>
      <c r="D230" s="42">
        <v>0.33313106796116487</v>
      </c>
      <c r="E230" s="48"/>
      <c r="F230" s="16"/>
      <c r="G230" s="41"/>
    </row>
    <row r="231" spans="1:7" ht="15">
      <c r="A231" s="6">
        <v>51102</v>
      </c>
      <c r="B231" s="14" t="s">
        <v>231</v>
      </c>
      <c r="C231" s="42">
        <v>1.8437935843793583</v>
      </c>
      <c r="D231" s="42">
        <v>1.2496513249651329</v>
      </c>
      <c r="E231" s="48"/>
      <c r="F231" s="16"/>
      <c r="G231" s="41"/>
    </row>
    <row r="232" spans="1:7" ht="15">
      <c r="A232" s="6">
        <v>51103</v>
      </c>
      <c r="B232" s="14" t="s">
        <v>232</v>
      </c>
      <c r="C232" s="42">
        <v>2.231142479047199</v>
      </c>
      <c r="D232" s="42">
        <v>2.0758711954124385</v>
      </c>
      <c r="E232" s="48"/>
      <c r="F232" s="16"/>
      <c r="G232" s="41"/>
    </row>
    <row r="233" spans="1:7" ht="15">
      <c r="A233" s="6">
        <v>51201</v>
      </c>
      <c r="B233" s="14" t="s">
        <v>233</v>
      </c>
      <c r="C233" s="42">
        <v>0.71247965953185688</v>
      </c>
      <c r="D233" s="42">
        <v>1.0194016773062964</v>
      </c>
      <c r="E233" s="48"/>
      <c r="F233" s="16"/>
      <c r="G233" s="41"/>
    </row>
    <row r="234" spans="1:7" ht="15">
      <c r="A234" s="6">
        <v>51202</v>
      </c>
      <c r="B234" s="14" t="s">
        <v>234</v>
      </c>
      <c r="C234" s="42">
        <v>1.6610302176295597</v>
      </c>
      <c r="D234" s="42">
        <v>1.4419915453264454</v>
      </c>
      <c r="E234" s="48"/>
      <c r="F234" s="16"/>
      <c r="G234" s="41"/>
    </row>
    <row r="235" spans="1:7" ht="15">
      <c r="A235" s="6">
        <v>51203</v>
      </c>
      <c r="B235" s="14" t="s">
        <v>235</v>
      </c>
      <c r="C235" s="42">
        <v>0.95967002749770847</v>
      </c>
      <c r="D235" s="42">
        <v>0.91659028414298827</v>
      </c>
      <c r="E235" s="48"/>
      <c r="F235" s="16"/>
      <c r="G235" s="41"/>
    </row>
    <row r="236" spans="1:7" ht="15">
      <c r="A236" s="6">
        <v>51204</v>
      </c>
      <c r="B236" s="14" t="s">
        <v>236</v>
      </c>
      <c r="C236" s="42">
        <v>2.3977777777777778</v>
      </c>
      <c r="D236" s="42">
        <v>1.8946666666666658</v>
      </c>
      <c r="E236" s="48"/>
      <c r="F236" s="16"/>
      <c r="G236" s="41"/>
    </row>
    <row r="237" spans="1:7" ht="15">
      <c r="A237" s="6">
        <v>51301</v>
      </c>
      <c r="B237" s="14" t="s">
        <v>237</v>
      </c>
      <c r="C237" s="42">
        <v>2.1322869955156944</v>
      </c>
      <c r="D237" s="42">
        <v>0.84977578475336346</v>
      </c>
      <c r="E237" s="48"/>
      <c r="F237" s="16"/>
      <c r="G237" s="41"/>
    </row>
    <row r="238" spans="1:7" ht="15">
      <c r="A238" s="6">
        <v>51302</v>
      </c>
      <c r="B238" s="14" t="s">
        <v>238</v>
      </c>
      <c r="C238" s="42">
        <v>2.2362385321100904</v>
      </c>
      <c r="D238" s="42">
        <v>0.43577981651376185</v>
      </c>
      <c r="E238" s="48"/>
      <c r="F238" s="16"/>
      <c r="G238" s="41"/>
    </row>
    <row r="239" spans="1:7" ht="15">
      <c r="A239" s="6">
        <v>51401</v>
      </c>
      <c r="B239" s="14" t="s">
        <v>239</v>
      </c>
      <c r="C239" s="42">
        <v>1.3206667861623951</v>
      </c>
      <c r="D239" s="42">
        <v>1.8886897293421767</v>
      </c>
      <c r="E239" s="48"/>
      <c r="F239" s="16"/>
      <c r="G239" s="41"/>
    </row>
    <row r="240" spans="1:7" ht="15">
      <c r="A240" s="6">
        <v>51402</v>
      </c>
      <c r="B240" s="14" t="s">
        <v>240</v>
      </c>
      <c r="C240" s="42">
        <v>1.8296349319971359</v>
      </c>
      <c r="D240" s="42">
        <v>1.9470293486041521</v>
      </c>
      <c r="E240" s="48"/>
      <c r="F240" s="16"/>
      <c r="G240" s="41"/>
    </row>
    <row r="241" spans="1:7" ht="15">
      <c r="A241" s="6">
        <v>51501</v>
      </c>
      <c r="B241" s="14" t="s">
        <v>241</v>
      </c>
      <c r="C241" s="42">
        <v>0.68217698379725855</v>
      </c>
      <c r="D241" s="42">
        <v>4.9023680930619006E-2</v>
      </c>
      <c r="E241" s="48"/>
      <c r="F241" s="16"/>
      <c r="G241" s="41"/>
    </row>
    <row r="242" spans="1:7" ht="15">
      <c r="A242" s="6">
        <v>51601</v>
      </c>
      <c r="B242" s="14" t="s">
        <v>242</v>
      </c>
      <c r="C242" s="42">
        <v>1.870051979208317</v>
      </c>
      <c r="D242" s="42">
        <v>1.9556177528988403</v>
      </c>
      <c r="E242" s="48"/>
      <c r="F242" s="16"/>
      <c r="G242" s="41"/>
    </row>
    <row r="243" spans="1:7" ht="15">
      <c r="A243" s="6">
        <v>60101</v>
      </c>
      <c r="B243" s="14" t="s">
        <v>243</v>
      </c>
      <c r="C243" s="42">
        <v>0.60202286719437115</v>
      </c>
      <c r="D243" s="42">
        <v>8.355321020228669E-2</v>
      </c>
      <c r="E243" s="48"/>
      <c r="F243" s="16"/>
      <c r="G243" s="41"/>
    </row>
    <row r="244" spans="1:7" ht="15">
      <c r="A244" s="6">
        <v>60201</v>
      </c>
      <c r="B244" s="14" t="s">
        <v>244</v>
      </c>
      <c r="C244" s="42">
        <v>1.152793878970555</v>
      </c>
      <c r="D244" s="42">
        <v>0.99118942731277571</v>
      </c>
      <c r="E244" s="48"/>
      <c r="F244" s="16"/>
      <c r="G244" s="41"/>
    </row>
    <row r="245" spans="1:7" ht="15">
      <c r="A245" s="6">
        <v>60202</v>
      </c>
      <c r="B245" s="14" t="s">
        <v>245</v>
      </c>
      <c r="C245" s="42">
        <v>0</v>
      </c>
      <c r="D245" s="42">
        <v>0</v>
      </c>
      <c r="E245" s="48"/>
      <c r="F245" s="16"/>
      <c r="G245" s="41"/>
    </row>
    <row r="246" spans="1:7" ht="15">
      <c r="A246" s="6">
        <v>60301</v>
      </c>
      <c r="B246" s="14" t="s">
        <v>246</v>
      </c>
      <c r="C246" s="42">
        <v>0.59186386599308671</v>
      </c>
      <c r="D246" s="42">
        <v>1.8612071257644201E-3</v>
      </c>
      <c r="E246" s="48"/>
      <c r="F246" s="16"/>
      <c r="G246" s="41"/>
    </row>
    <row r="247" spans="1:7" ht="15">
      <c r="A247" s="6">
        <v>60302</v>
      </c>
      <c r="B247" s="14" t="s">
        <v>247</v>
      </c>
      <c r="C247" s="42">
        <v>1.3928806855636129</v>
      </c>
      <c r="D247" s="42">
        <v>0.68885959129861607</v>
      </c>
      <c r="E247" s="48"/>
      <c r="F247" s="16"/>
      <c r="G247" s="41"/>
    </row>
    <row r="248" spans="1:7" ht="15">
      <c r="A248" s="6">
        <v>60303</v>
      </c>
      <c r="B248" s="14" t="s">
        <v>248</v>
      </c>
      <c r="C248" s="42">
        <v>1.172638436482085E-2</v>
      </c>
      <c r="D248" s="42">
        <v>4.2814594192107204E-3</v>
      </c>
      <c r="E248" s="48"/>
      <c r="F248" s="16"/>
      <c r="G248" s="41"/>
    </row>
    <row r="249" spans="1:7" ht="15">
      <c r="A249" s="6">
        <v>60401</v>
      </c>
      <c r="B249" s="14" t="s">
        <v>249</v>
      </c>
      <c r="C249" s="42">
        <v>1.2957746478873242</v>
      </c>
      <c r="D249" s="42">
        <v>1.302275189599134</v>
      </c>
      <c r="E249" s="48"/>
      <c r="F249" s="16"/>
      <c r="G249" s="41"/>
    </row>
    <row r="250" spans="1:7" ht="15">
      <c r="A250" s="6">
        <v>60402</v>
      </c>
      <c r="B250" s="14" t="s">
        <v>250</v>
      </c>
      <c r="C250" s="42">
        <v>1.9876224858174307</v>
      </c>
      <c r="D250" s="42">
        <v>1.6307374935533769</v>
      </c>
      <c r="E250" s="48"/>
      <c r="F250" s="16"/>
      <c r="G250" s="41"/>
    </row>
    <row r="251" spans="1:7" ht="15">
      <c r="A251" s="6">
        <v>60501</v>
      </c>
      <c r="B251" s="14" t="s">
        <v>251</v>
      </c>
      <c r="C251" s="42">
        <v>1.6884091975598312</v>
      </c>
      <c r="D251" s="42">
        <v>1.0497419052088224</v>
      </c>
      <c r="E251" s="48"/>
      <c r="F251" s="16"/>
      <c r="G251" s="41"/>
    </row>
    <row r="252" spans="1:7" ht="15">
      <c r="A252" s="6">
        <v>60502</v>
      </c>
      <c r="B252" s="14" t="s">
        <v>252</v>
      </c>
      <c r="C252" s="42">
        <v>2.0360847992783051</v>
      </c>
      <c r="D252" s="42">
        <v>1.6409562471808747</v>
      </c>
      <c r="E252" s="48"/>
      <c r="F252" s="16"/>
      <c r="G252" s="41"/>
    </row>
    <row r="253" spans="1:7" ht="15">
      <c r="A253" s="6">
        <v>60601</v>
      </c>
      <c r="B253" s="14" t="s">
        <v>153</v>
      </c>
      <c r="C253" s="42">
        <v>1.421953188054883</v>
      </c>
      <c r="D253" s="42">
        <v>2.9217110573042722E-2</v>
      </c>
      <c r="E253" s="48"/>
      <c r="F253" s="16"/>
      <c r="G253" s="41"/>
    </row>
    <row r="254" spans="1:7" ht="15">
      <c r="A254" s="6">
        <v>70101</v>
      </c>
      <c r="B254" s="14" t="s">
        <v>253</v>
      </c>
      <c r="C254" s="42">
        <v>1.02</v>
      </c>
      <c r="D254" s="42">
        <v>7.0344827586206998E-2</v>
      </c>
      <c r="E254" s="48"/>
      <c r="F254" s="16"/>
      <c r="G254" s="41"/>
    </row>
    <row r="255" spans="1:7" ht="15">
      <c r="A255" s="6">
        <v>70102</v>
      </c>
      <c r="B255" s="14" t="s">
        <v>254</v>
      </c>
      <c r="C255" s="42">
        <v>0.99548872180451142</v>
      </c>
      <c r="D255" s="42">
        <v>2.5563909774436101E-2</v>
      </c>
      <c r="E255" s="48"/>
      <c r="F255" s="16"/>
      <c r="G255" s="41"/>
    </row>
    <row r="256" spans="1:7" ht="15">
      <c r="A256" s="6">
        <v>70103</v>
      </c>
      <c r="B256" s="14" t="s">
        <v>255</v>
      </c>
      <c r="C256" s="42">
        <v>1.9324055666003983</v>
      </c>
      <c r="D256" s="42">
        <v>1.8866799204771381</v>
      </c>
      <c r="E256" s="48"/>
      <c r="F256" s="16"/>
      <c r="G256" s="41"/>
    </row>
    <row r="257" spans="1:7" ht="15">
      <c r="A257" s="6">
        <v>70104</v>
      </c>
      <c r="B257" s="14" t="s">
        <v>256</v>
      </c>
      <c r="C257" s="42">
        <v>1.0702702702702707</v>
      </c>
      <c r="D257" s="42">
        <v>0.11261261261261263</v>
      </c>
      <c r="E257" s="48"/>
      <c r="F257" s="16"/>
      <c r="G257" s="41"/>
    </row>
    <row r="258" spans="1:7" ht="15">
      <c r="A258" s="6">
        <v>70105</v>
      </c>
      <c r="B258" s="14" t="s">
        <v>257</v>
      </c>
      <c r="C258" s="42">
        <v>1.009389671361502</v>
      </c>
      <c r="D258" s="42">
        <v>0.95399061032863886</v>
      </c>
      <c r="E258" s="48"/>
      <c r="F258" s="16"/>
      <c r="G258" s="41"/>
    </row>
    <row r="259" spans="1:7" ht="15">
      <c r="A259" s="6">
        <v>70201</v>
      </c>
      <c r="B259" s="14" t="s">
        <v>258</v>
      </c>
      <c r="C259" s="42">
        <v>1.13351686166552</v>
      </c>
      <c r="D259" s="42">
        <v>1.0543702684101859</v>
      </c>
      <c r="E259" s="48"/>
      <c r="F259" s="16"/>
      <c r="G259" s="41"/>
    </row>
    <row r="260" spans="1:7" ht="15">
      <c r="A260" s="6">
        <v>70202</v>
      </c>
      <c r="B260" s="14" t="s">
        <v>259</v>
      </c>
      <c r="C260" s="42">
        <v>1.7093639575971731</v>
      </c>
      <c r="D260" s="42">
        <v>0.75883392226148361</v>
      </c>
      <c r="E260" s="48"/>
      <c r="F260" s="16"/>
      <c r="G260" s="41"/>
    </row>
    <row r="261" spans="1:7" ht="15">
      <c r="A261" s="6">
        <v>70301</v>
      </c>
      <c r="B261" s="14" t="s">
        <v>260</v>
      </c>
      <c r="C261" s="42">
        <v>0.30586061574871798</v>
      </c>
      <c r="D261" s="42">
        <v>0.61469794477890827</v>
      </c>
      <c r="E261" s="48"/>
      <c r="F261" s="16"/>
      <c r="G261" s="41"/>
    </row>
    <row r="262" spans="1:7" ht="15">
      <c r="A262" s="6">
        <v>70302</v>
      </c>
      <c r="B262" s="14" t="s">
        <v>261</v>
      </c>
      <c r="C262" s="42">
        <v>0.99227956115400218</v>
      </c>
      <c r="D262" s="42">
        <v>1.9633279154815109</v>
      </c>
      <c r="E262" s="48"/>
      <c r="F262" s="16"/>
      <c r="G262" s="41"/>
    </row>
    <row r="263" spans="1:7" ht="15">
      <c r="A263" s="6">
        <v>70303</v>
      </c>
      <c r="B263" s="14" t="s">
        <v>262</v>
      </c>
      <c r="C263" s="42">
        <v>0.11650681474003</v>
      </c>
      <c r="D263" s="42">
        <v>1.797072185764766E-2</v>
      </c>
      <c r="E263" s="48"/>
      <c r="F263" s="16"/>
      <c r="G263" s="41"/>
    </row>
    <row r="264" spans="1:7" ht="15">
      <c r="A264" s="6">
        <v>70401</v>
      </c>
      <c r="B264" s="14" t="s">
        <v>263</v>
      </c>
      <c r="C264" s="42">
        <v>1.7093579234972671</v>
      </c>
      <c r="D264" s="42">
        <v>1.7008196721311482</v>
      </c>
      <c r="E264" s="48"/>
      <c r="F264" s="16"/>
      <c r="G264" s="41"/>
    </row>
    <row r="265" spans="1:7" ht="15">
      <c r="A265" s="6">
        <v>70402</v>
      </c>
      <c r="B265" s="14" t="s">
        <v>264</v>
      </c>
      <c r="C265" s="42">
        <v>1.0209424083769634</v>
      </c>
      <c r="D265" s="42">
        <v>9.1249065071054611E-2</v>
      </c>
      <c r="E265" s="48"/>
      <c r="F265" s="16"/>
      <c r="G265" s="41"/>
    </row>
    <row r="266" spans="1:7" ht="15">
      <c r="A266" s="6">
        <v>70403</v>
      </c>
      <c r="B266" s="14" t="s">
        <v>265</v>
      </c>
      <c r="C266" s="42">
        <v>0.76691729323308255</v>
      </c>
      <c r="D266" s="42">
        <v>0.59368816778789069</v>
      </c>
      <c r="E266" s="48"/>
      <c r="F266" s="16"/>
      <c r="G266" s="41"/>
    </row>
    <row r="267" spans="1:7" ht="15">
      <c r="A267" s="6">
        <v>70404</v>
      </c>
      <c r="B267" s="14" t="s">
        <v>266</v>
      </c>
      <c r="C267" s="42">
        <v>0.53470715835140981</v>
      </c>
      <c r="D267" s="42">
        <v>6.8329718004338402E-2</v>
      </c>
      <c r="E267" s="48"/>
      <c r="F267" s="16"/>
      <c r="G267" s="41"/>
    </row>
    <row r="268" spans="1:7" ht="15">
      <c r="A268" s="6">
        <v>70501</v>
      </c>
      <c r="B268" s="14" t="s">
        <v>267</v>
      </c>
      <c r="C268" s="42">
        <v>1.138920483921001</v>
      </c>
      <c r="D268" s="42">
        <v>1.4993278874987082E-2</v>
      </c>
      <c r="E268" s="48"/>
      <c r="F268" s="16"/>
      <c r="G268" s="41"/>
    </row>
    <row r="269" spans="1:7" ht="15">
      <c r="A269" s="6">
        <v>70502</v>
      </c>
      <c r="B269" s="14" t="s">
        <v>268</v>
      </c>
      <c r="C269" s="42">
        <v>1.4195924204504831</v>
      </c>
      <c r="D269" s="42">
        <v>1.3402216660707911</v>
      </c>
      <c r="E269" s="48"/>
      <c r="F269" s="16"/>
      <c r="G269" s="41"/>
    </row>
    <row r="270" spans="1:7" ht="15">
      <c r="A270" s="6">
        <v>70503</v>
      </c>
      <c r="B270" s="14" t="s">
        <v>269</v>
      </c>
      <c r="C270" s="42">
        <v>0.16648648648648609</v>
      </c>
      <c r="D270" s="42">
        <v>1.6351351351351351E-2</v>
      </c>
      <c r="E270" s="48"/>
      <c r="F270" s="16"/>
      <c r="G270" s="41"/>
    </row>
    <row r="271" spans="1:7" ht="15">
      <c r="A271" s="6">
        <v>70601</v>
      </c>
      <c r="B271" s="14" t="s">
        <v>270</v>
      </c>
      <c r="C271" s="42">
        <v>1.0207125103562553</v>
      </c>
      <c r="D271" s="42">
        <v>0.98177299088649517</v>
      </c>
      <c r="E271" s="48"/>
      <c r="F271" s="16"/>
      <c r="G271" s="41"/>
    </row>
    <row r="272" spans="1:7" ht="15">
      <c r="A272" s="6">
        <v>70602</v>
      </c>
      <c r="B272" s="14" t="s">
        <v>271</v>
      </c>
      <c r="C272" s="42">
        <v>1.63421762589928</v>
      </c>
      <c r="D272" s="42">
        <v>0.19559352517985659</v>
      </c>
      <c r="E272" s="48"/>
      <c r="F272" s="16"/>
      <c r="G272" s="41"/>
    </row>
    <row r="273" spans="1:7" ht="15">
      <c r="A273" s="6">
        <v>70603</v>
      </c>
      <c r="B273" s="14" t="s">
        <v>272</v>
      </c>
      <c r="C273" s="42">
        <v>1.0744047619047619</v>
      </c>
      <c r="D273" s="42">
        <v>0.20833333333333329</v>
      </c>
      <c r="E273" s="48"/>
      <c r="F273" s="16"/>
      <c r="G273" s="41"/>
    </row>
    <row r="274" spans="1:7" ht="15">
      <c r="A274" s="6">
        <v>70701</v>
      </c>
      <c r="B274" s="14" t="s">
        <v>273</v>
      </c>
      <c r="C274" s="42">
        <v>1.3830480847595767</v>
      </c>
      <c r="D274" s="42">
        <v>1.0293398533007332</v>
      </c>
      <c r="E274" s="48"/>
      <c r="F274" s="16"/>
      <c r="G274" s="41"/>
    </row>
    <row r="275" spans="1:7" ht="15">
      <c r="A275" s="6">
        <v>70702</v>
      </c>
      <c r="B275" s="14" t="s">
        <v>274</v>
      </c>
      <c r="C275" s="42">
        <v>1.4099541584806801</v>
      </c>
      <c r="D275" s="42">
        <v>1.8394669779758268</v>
      </c>
      <c r="E275" s="48"/>
      <c r="F275" s="16"/>
      <c r="G275" s="41"/>
    </row>
    <row r="276" spans="1:7" ht="15">
      <c r="A276" s="6">
        <v>70703</v>
      </c>
      <c r="B276" s="14" t="s">
        <v>275</v>
      </c>
      <c r="C276" s="42">
        <v>1.8758132414848827</v>
      </c>
      <c r="D276" s="42">
        <v>0.90968235744355153</v>
      </c>
      <c r="E276" s="48"/>
      <c r="F276" s="16"/>
      <c r="G276" s="41"/>
    </row>
    <row r="277" spans="1:7" ht="15">
      <c r="A277" s="6">
        <v>70704</v>
      </c>
      <c r="B277" s="14" t="s">
        <v>276</v>
      </c>
      <c r="C277" s="42">
        <v>0.84095634095634042</v>
      </c>
      <c r="D277" s="42">
        <v>0.82120582120582097</v>
      </c>
      <c r="E277" s="48"/>
      <c r="F277" s="16"/>
      <c r="G277" s="41"/>
    </row>
    <row r="278" spans="1:7" ht="15">
      <c r="A278" s="6">
        <v>70705</v>
      </c>
      <c r="B278" s="14" t="s">
        <v>277</v>
      </c>
      <c r="C278" s="42">
        <v>1.66601114388725</v>
      </c>
      <c r="D278" s="42">
        <v>0.94231399541134053</v>
      </c>
      <c r="E278" s="48"/>
      <c r="F278" s="16"/>
      <c r="G278" s="41"/>
    </row>
    <row r="279" spans="1:7" ht="15">
      <c r="A279" s="6">
        <v>70706</v>
      </c>
      <c r="B279" s="14" t="s">
        <v>278</v>
      </c>
      <c r="C279" s="42">
        <v>0.39727272727272722</v>
      </c>
      <c r="D279" s="42">
        <v>9.4545454545454585E-2</v>
      </c>
      <c r="E279" s="48"/>
      <c r="F279" s="16"/>
      <c r="G279" s="41"/>
    </row>
    <row r="280" spans="1:7" ht="15">
      <c r="A280" s="6">
        <v>70707</v>
      </c>
      <c r="B280" s="14" t="s">
        <v>279</v>
      </c>
      <c r="C280" s="42">
        <v>0.73251748251748228</v>
      </c>
      <c r="D280" s="42">
        <v>0.98368298368298401</v>
      </c>
      <c r="E280" s="48"/>
      <c r="F280" s="16"/>
      <c r="G280" s="41"/>
    </row>
    <row r="281" spans="1:7" ht="15">
      <c r="A281" s="6">
        <v>70801</v>
      </c>
      <c r="B281" s="14" t="s">
        <v>280</v>
      </c>
      <c r="C281" s="42">
        <v>0.61618798955613552</v>
      </c>
      <c r="D281" s="42">
        <v>8.06498404409631E-2</v>
      </c>
      <c r="E281" s="48"/>
      <c r="F281" s="16"/>
      <c r="G281" s="41"/>
    </row>
    <row r="282" spans="1:7" ht="15">
      <c r="A282" s="6">
        <v>70802</v>
      </c>
      <c r="B282" s="14" t="s">
        <v>281</v>
      </c>
      <c r="C282" s="42">
        <v>1.617777777777778</v>
      </c>
      <c r="D282" s="42">
        <v>0.51999999999999957</v>
      </c>
      <c r="E282" s="48"/>
      <c r="F282" s="16"/>
      <c r="G282" s="41"/>
    </row>
    <row r="283" spans="1:7" ht="15">
      <c r="A283" s="6">
        <v>70803</v>
      </c>
      <c r="B283" s="14" t="s">
        <v>282</v>
      </c>
      <c r="C283" s="42">
        <v>1.5744400527009228</v>
      </c>
      <c r="D283" s="42">
        <v>1.7549407114624491</v>
      </c>
      <c r="E283" s="48"/>
      <c r="F283" s="16"/>
      <c r="G283" s="41"/>
    </row>
    <row r="284" spans="1:7" ht="15">
      <c r="A284" s="6">
        <v>70804</v>
      </c>
      <c r="B284" s="14" t="s">
        <v>283</v>
      </c>
      <c r="C284" s="42">
        <v>1.4697712418300661</v>
      </c>
      <c r="D284" s="42">
        <v>1.7450980392156856</v>
      </c>
      <c r="E284" s="48"/>
      <c r="F284" s="16"/>
      <c r="G284" s="41"/>
    </row>
    <row r="285" spans="1:7" ht="15">
      <c r="A285" s="6">
        <v>70805</v>
      </c>
      <c r="B285" s="14" t="s">
        <v>284</v>
      </c>
      <c r="C285" s="42">
        <v>1.6209150326797399</v>
      </c>
      <c r="D285" s="42">
        <v>1.326797385620915</v>
      </c>
      <c r="E285" s="48"/>
      <c r="F285" s="16"/>
      <c r="G285" s="41"/>
    </row>
    <row r="286" spans="1:7" ht="15">
      <c r="A286" s="6">
        <v>70901</v>
      </c>
      <c r="B286" s="14" t="s">
        <v>285</v>
      </c>
      <c r="C286" s="42">
        <v>1.2290556900726402</v>
      </c>
      <c r="D286" s="42">
        <v>0.94430992736077501</v>
      </c>
      <c r="E286" s="48"/>
      <c r="F286" s="16"/>
      <c r="G286" s="41"/>
    </row>
    <row r="287" spans="1:7" ht="15">
      <c r="A287" s="6">
        <v>70902</v>
      </c>
      <c r="B287" s="14" t="s">
        <v>286</v>
      </c>
      <c r="C287" s="42">
        <v>1.379125780553077</v>
      </c>
      <c r="D287" s="42">
        <v>1.5075825156110612</v>
      </c>
      <c r="E287" s="48"/>
      <c r="F287" s="16"/>
      <c r="G287" s="41"/>
    </row>
    <row r="288" spans="1:7" ht="15">
      <c r="A288" s="6">
        <v>70903</v>
      </c>
      <c r="B288" s="14" t="s">
        <v>287</v>
      </c>
      <c r="C288" s="42">
        <v>0.86883273164861596</v>
      </c>
      <c r="D288" s="42">
        <v>0.98074608904933891</v>
      </c>
      <c r="E288" s="48"/>
      <c r="F288" s="16"/>
      <c r="G288" s="41"/>
    </row>
    <row r="289" spans="1:7" ht="15">
      <c r="A289" s="6">
        <v>70904</v>
      </c>
      <c r="B289" s="14" t="s">
        <v>288</v>
      </c>
      <c r="C289" s="42">
        <v>1.7343283582089553</v>
      </c>
      <c r="D289" s="42">
        <v>1.7134328358208961</v>
      </c>
      <c r="E289" s="48"/>
      <c r="F289" s="16"/>
      <c r="G289" s="41"/>
    </row>
    <row r="290" spans="1:7" ht="15">
      <c r="A290" s="6">
        <v>71001</v>
      </c>
      <c r="B290" s="14" t="s">
        <v>289</v>
      </c>
      <c r="C290" s="42">
        <v>1.034602076124568</v>
      </c>
      <c r="D290" s="42">
        <v>0.965397923875433</v>
      </c>
      <c r="E290" s="48"/>
      <c r="F290" s="16"/>
      <c r="G290" s="41"/>
    </row>
    <row r="291" spans="1:7" ht="15">
      <c r="A291" s="6">
        <v>71002</v>
      </c>
      <c r="B291" s="14" t="s">
        <v>290</v>
      </c>
      <c r="C291" s="42">
        <v>1.8225538971807629</v>
      </c>
      <c r="D291" s="42">
        <v>0.2106135986733004</v>
      </c>
      <c r="E291" s="48"/>
      <c r="F291" s="16"/>
      <c r="G291" s="41"/>
    </row>
    <row r="292" spans="1:7" ht="15">
      <c r="A292" s="6">
        <v>71003</v>
      </c>
      <c r="B292" s="14" t="s">
        <v>291</v>
      </c>
      <c r="C292" s="42">
        <v>1.1242603550295849</v>
      </c>
      <c r="D292" s="42">
        <v>7.49506903353057E-2</v>
      </c>
      <c r="E292" s="48"/>
      <c r="F292" s="16"/>
      <c r="G292" s="41"/>
    </row>
    <row r="293" spans="1:7" ht="15">
      <c r="A293" s="6">
        <v>71004</v>
      </c>
      <c r="B293" s="14" t="s">
        <v>292</v>
      </c>
      <c r="C293" s="42">
        <v>1.2681764004767582</v>
      </c>
      <c r="D293" s="42">
        <v>2.7413587604290801E-2</v>
      </c>
      <c r="E293" s="48"/>
      <c r="F293" s="16"/>
      <c r="G293" s="41"/>
    </row>
    <row r="294" spans="1:7" ht="15">
      <c r="A294" s="6">
        <v>71005</v>
      </c>
      <c r="B294" s="14" t="s">
        <v>293</v>
      </c>
      <c r="C294" s="42">
        <v>1.9242061114439795</v>
      </c>
      <c r="D294" s="42">
        <v>0.97333732774116233</v>
      </c>
      <c r="E294" s="48"/>
      <c r="F294" s="16"/>
      <c r="G294" s="41"/>
    </row>
    <row r="295" spans="1:7" ht="15">
      <c r="A295" s="6">
        <v>71101</v>
      </c>
      <c r="B295" s="14" t="s">
        <v>294</v>
      </c>
      <c r="C295" s="42">
        <v>0.51529165541452859</v>
      </c>
      <c r="D295" s="42">
        <v>1.431980826357008</v>
      </c>
      <c r="E295" s="48"/>
      <c r="F295" s="16"/>
      <c r="G295" s="41"/>
    </row>
    <row r="296" spans="1:7" ht="15">
      <c r="A296" s="6">
        <v>71102</v>
      </c>
      <c r="B296" s="14" t="s">
        <v>295</v>
      </c>
      <c r="C296" s="42">
        <v>1.3959369817578768</v>
      </c>
      <c r="D296" s="42">
        <v>1.0315091210613605</v>
      </c>
      <c r="E296" s="48"/>
      <c r="F296" s="16"/>
      <c r="G296" s="41"/>
    </row>
    <row r="297" spans="1:7" ht="15">
      <c r="A297" s="6">
        <v>71103</v>
      </c>
      <c r="B297" s="14" t="s">
        <v>296</v>
      </c>
      <c r="C297" s="42">
        <v>1.6558219178082192</v>
      </c>
      <c r="D297" s="42">
        <v>0.92294520547945202</v>
      </c>
      <c r="E297" s="48"/>
      <c r="F297" s="16"/>
      <c r="G297" s="41"/>
    </row>
    <row r="298" spans="1:7" ht="15">
      <c r="A298" s="6">
        <v>71104</v>
      </c>
      <c r="B298" s="14" t="s">
        <v>297</v>
      </c>
      <c r="C298" s="42">
        <v>1.9844136095799276</v>
      </c>
      <c r="D298" s="42">
        <v>4.5618703668503999E-2</v>
      </c>
      <c r="E298" s="48"/>
      <c r="F298" s="16"/>
      <c r="G298" s="41"/>
    </row>
    <row r="299" spans="1:7" ht="15">
      <c r="A299" s="6">
        <v>71105</v>
      </c>
      <c r="B299" s="14" t="s">
        <v>298</v>
      </c>
      <c r="C299" s="42">
        <v>1.8002382843526612</v>
      </c>
      <c r="D299" s="42">
        <v>1.341143764892772</v>
      </c>
      <c r="E299" s="48"/>
      <c r="F299" s="16"/>
      <c r="G299" s="41"/>
    </row>
    <row r="300" spans="1:7" ht="15">
      <c r="A300" s="6">
        <v>71106</v>
      </c>
      <c r="B300" s="14" t="s">
        <v>299</v>
      </c>
      <c r="C300" s="42">
        <v>1.107227615965479</v>
      </c>
      <c r="D300" s="42">
        <v>1.9663430420711965</v>
      </c>
      <c r="E300" s="48"/>
      <c r="F300" s="16"/>
      <c r="G300" s="41"/>
    </row>
    <row r="301" spans="1:7" ht="15">
      <c r="A301" s="6">
        <v>71201</v>
      </c>
      <c r="B301" s="14" t="s">
        <v>300</v>
      </c>
      <c r="C301" s="42">
        <v>0.27475098098400197</v>
      </c>
      <c r="D301" s="42">
        <v>9.4325384847570204E-4</v>
      </c>
      <c r="E301" s="48"/>
      <c r="F301" s="16"/>
      <c r="G301" s="41"/>
    </row>
    <row r="302" spans="1:7" ht="15">
      <c r="A302" s="6">
        <v>71301</v>
      </c>
      <c r="B302" s="14" t="s">
        <v>301</v>
      </c>
      <c r="C302" s="42">
        <v>1.105639851130833</v>
      </c>
      <c r="D302" s="42">
        <v>0.4371600343544233</v>
      </c>
      <c r="E302" s="48"/>
      <c r="F302" s="16"/>
      <c r="G302" s="41"/>
    </row>
    <row r="303" spans="1:7" ht="15">
      <c r="A303" s="6">
        <v>71302</v>
      </c>
      <c r="B303" s="14" t="s">
        <v>302</v>
      </c>
      <c r="C303" s="42">
        <v>1.021359223300971</v>
      </c>
      <c r="D303" s="42">
        <v>0.91844660194174776</v>
      </c>
      <c r="E303" s="48"/>
      <c r="F303" s="16"/>
      <c r="G303" s="41"/>
    </row>
    <row r="304" spans="1:7" ht="15">
      <c r="A304" s="6">
        <v>71401</v>
      </c>
      <c r="B304" s="14" t="s">
        <v>303</v>
      </c>
      <c r="C304" s="42">
        <v>0.47387767871109032</v>
      </c>
      <c r="D304" s="42">
        <v>0.34506491475050838</v>
      </c>
      <c r="E304" s="48"/>
      <c r="F304" s="16"/>
      <c r="G304" s="41"/>
    </row>
    <row r="305" spans="1:7" ht="15">
      <c r="A305" s="6">
        <v>71402</v>
      </c>
      <c r="B305" s="14" t="s">
        <v>304</v>
      </c>
      <c r="C305" s="42">
        <v>1.1686143572620999E-2</v>
      </c>
      <c r="D305" s="42">
        <v>0</v>
      </c>
      <c r="E305" s="48"/>
      <c r="F305" s="16"/>
      <c r="G305" s="41"/>
    </row>
    <row r="306" spans="1:7" ht="15">
      <c r="A306" s="6">
        <v>71403</v>
      </c>
      <c r="B306" s="14" t="s">
        <v>305</v>
      </c>
      <c r="C306" s="42">
        <v>0.96682899935679467</v>
      </c>
      <c r="D306" s="42">
        <v>5.2926582743728696E-2</v>
      </c>
      <c r="E306" s="48"/>
      <c r="F306" s="16"/>
      <c r="G306" s="41"/>
    </row>
    <row r="307" spans="1:7" ht="15">
      <c r="A307" s="6">
        <v>71501</v>
      </c>
      <c r="B307" s="14" t="s">
        <v>306</v>
      </c>
      <c r="C307" s="42">
        <v>1.1413992635455019</v>
      </c>
      <c r="D307" s="42">
        <v>1.0163072067332986</v>
      </c>
      <c r="E307" s="48"/>
      <c r="F307" s="16"/>
      <c r="G307" s="41"/>
    </row>
    <row r="308" spans="1:7" ht="15">
      <c r="A308" s="6">
        <v>71502</v>
      </c>
      <c r="B308" s="14" t="s">
        <v>307</v>
      </c>
      <c r="C308" s="42">
        <v>0.99772482337444601</v>
      </c>
      <c r="D308" s="42">
        <v>1.0096994371931505</v>
      </c>
      <c r="E308" s="48"/>
      <c r="F308" s="16"/>
      <c r="G308" s="41"/>
    </row>
    <row r="309" spans="1:7" ht="15">
      <c r="A309" s="6">
        <v>71503</v>
      </c>
      <c r="B309" s="14" t="s">
        <v>252</v>
      </c>
      <c r="C309" s="42">
        <v>1.9725214865028451</v>
      </c>
      <c r="D309" s="42">
        <v>1.9092119598111612</v>
      </c>
      <c r="E309" s="48"/>
      <c r="F309" s="16"/>
      <c r="G309" s="41"/>
    </row>
    <row r="310" spans="1:7" ht="15">
      <c r="A310" s="6">
        <v>80101</v>
      </c>
      <c r="B310" s="14" t="s">
        <v>308</v>
      </c>
      <c r="C310" s="42">
        <v>1.5189320388349503</v>
      </c>
      <c r="D310" s="42">
        <v>1.0587378640776699</v>
      </c>
      <c r="E310" s="48"/>
      <c r="F310" s="16"/>
      <c r="G310" s="41"/>
    </row>
    <row r="311" spans="1:7" ht="15">
      <c r="A311" s="6">
        <v>80102</v>
      </c>
      <c r="B311" s="14" t="s">
        <v>295</v>
      </c>
      <c r="C311" s="42">
        <v>1.5085815524305171</v>
      </c>
      <c r="D311" s="42">
        <v>1.9688849518325759</v>
      </c>
      <c r="E311" s="48"/>
      <c r="F311" s="16"/>
      <c r="G311" s="41"/>
    </row>
    <row r="312" spans="1:7" ht="15">
      <c r="A312" s="6">
        <v>80201</v>
      </c>
      <c r="B312" s="14" t="s">
        <v>309</v>
      </c>
      <c r="C312" s="42">
        <v>1.1401446654611209</v>
      </c>
      <c r="D312" s="42">
        <v>1.0030892103676918</v>
      </c>
      <c r="E312" s="48"/>
      <c r="F312" s="16"/>
      <c r="G312" s="41"/>
    </row>
    <row r="313" spans="1:7" ht="15">
      <c r="A313" s="6">
        <v>80202</v>
      </c>
      <c r="B313" s="14" t="s">
        <v>310</v>
      </c>
      <c r="C313" s="42">
        <v>1.0102289332683874</v>
      </c>
      <c r="D313" s="42">
        <v>1.0025978243221305</v>
      </c>
      <c r="E313" s="48"/>
      <c r="F313" s="16"/>
      <c r="G313" s="41"/>
    </row>
    <row r="314" spans="1:7" ht="15">
      <c r="A314" s="6">
        <v>80301</v>
      </c>
      <c r="B314" s="14" t="s">
        <v>311</v>
      </c>
      <c r="C314" s="42">
        <v>0.25638561934502335</v>
      </c>
      <c r="D314" s="42">
        <v>1.6452878533109132</v>
      </c>
      <c r="E314" s="48"/>
      <c r="F314" s="16"/>
      <c r="G314" s="41"/>
    </row>
    <row r="315" spans="1:7" ht="15">
      <c r="A315" s="6">
        <v>80302</v>
      </c>
      <c r="B315" s="14" t="s">
        <v>312</v>
      </c>
      <c r="C315" s="42">
        <v>0.59680638722554891</v>
      </c>
      <c r="D315" s="42">
        <v>0.18984253714792676</v>
      </c>
      <c r="E315" s="48"/>
      <c r="F315" s="16"/>
      <c r="G315" s="41"/>
    </row>
    <row r="316" spans="1:7" ht="15">
      <c r="A316" s="6">
        <v>80303</v>
      </c>
      <c r="B316" s="14" t="s">
        <v>313</v>
      </c>
      <c r="C316" s="42">
        <v>0.97930129240710817</v>
      </c>
      <c r="D316" s="42">
        <v>7.4717285945072723E-2</v>
      </c>
      <c r="E316" s="48"/>
      <c r="F316" s="16"/>
      <c r="G316" s="41"/>
    </row>
    <row r="317" spans="1:7" ht="15">
      <c r="A317" s="6">
        <v>80304</v>
      </c>
      <c r="B317" s="14" t="s">
        <v>314</v>
      </c>
      <c r="C317" s="42">
        <v>0.29954954954954949</v>
      </c>
      <c r="D317" s="42">
        <v>4.46696696696696E-2</v>
      </c>
      <c r="E317" s="48"/>
      <c r="F317" s="16"/>
      <c r="G317" s="41"/>
    </row>
    <row r="318" spans="1:7" ht="15">
      <c r="A318" s="6">
        <v>80401</v>
      </c>
      <c r="B318" s="14" t="s">
        <v>315</v>
      </c>
      <c r="C318" s="42">
        <v>1.0252114081621939</v>
      </c>
      <c r="D318" s="42">
        <v>1.9486317558695346E-2</v>
      </c>
      <c r="E318" s="48"/>
      <c r="F318" s="16"/>
      <c r="G318" s="41"/>
    </row>
    <row r="319" spans="1:7" ht="15">
      <c r="A319" s="6">
        <v>80402</v>
      </c>
      <c r="B319" s="14" t="s">
        <v>316</v>
      </c>
      <c r="C319" s="42">
        <v>2.1881778095578595</v>
      </c>
      <c r="D319" s="42">
        <v>1.9824017796845834</v>
      </c>
      <c r="E319" s="48"/>
      <c r="F319" s="16"/>
      <c r="G319" s="41"/>
    </row>
    <row r="320" spans="1:7" ht="15">
      <c r="A320" s="6">
        <v>80501</v>
      </c>
      <c r="B320" s="14" t="s">
        <v>317</v>
      </c>
      <c r="C320" s="42">
        <v>1.1027740718590417</v>
      </c>
      <c r="D320" s="42">
        <v>0.68744536964622582</v>
      </c>
      <c r="E320" s="48"/>
      <c r="F320" s="16"/>
      <c r="G320" s="41"/>
    </row>
    <row r="321" spans="1:7" ht="15">
      <c r="A321" s="6">
        <v>80601</v>
      </c>
      <c r="B321" s="14" t="s">
        <v>318</v>
      </c>
      <c r="C321" s="42">
        <v>1.9763346950274678</v>
      </c>
      <c r="D321" s="42">
        <v>1.9668967460205666</v>
      </c>
      <c r="E321" s="48"/>
      <c r="F321" s="16"/>
      <c r="G321" s="41"/>
    </row>
    <row r="322" spans="1:7" ht="15">
      <c r="A322" s="6">
        <v>80602</v>
      </c>
      <c r="B322" s="14" t="s">
        <v>319</v>
      </c>
      <c r="C322" s="42">
        <v>1.5591534185116565</v>
      </c>
      <c r="D322" s="42">
        <v>1.9799083195162399</v>
      </c>
      <c r="E322" s="48"/>
      <c r="F322" s="16"/>
      <c r="G322" s="41"/>
    </row>
    <row r="323" spans="1:7" ht="15">
      <c r="A323" s="6">
        <v>80701</v>
      </c>
      <c r="B323" s="14" t="s">
        <v>320</v>
      </c>
      <c r="C323" s="42">
        <v>0.70727004650107772</v>
      </c>
      <c r="D323" s="42">
        <v>1.0241578768288537</v>
      </c>
      <c r="E323" s="48"/>
      <c r="F323" s="16"/>
      <c r="G323" s="41"/>
    </row>
    <row r="324" spans="1:7" ht="15">
      <c r="A324" s="6">
        <v>80702</v>
      </c>
      <c r="B324" s="14" t="s">
        <v>296</v>
      </c>
      <c r="C324" s="42">
        <v>1.0559894268893424</v>
      </c>
      <c r="D324" s="42">
        <v>1.9628739637150068</v>
      </c>
      <c r="E324" s="48"/>
      <c r="F324" s="16"/>
      <c r="G324" s="41"/>
    </row>
    <row r="325" spans="1:7" ht="15">
      <c r="A325" s="6">
        <v>80703</v>
      </c>
      <c r="B325" s="14" t="s">
        <v>321</v>
      </c>
      <c r="C325" s="42">
        <v>2.6355475763016134</v>
      </c>
      <c r="D325" s="42">
        <v>1.0412926391382402</v>
      </c>
      <c r="E325" s="48"/>
      <c r="F325" s="16"/>
      <c r="G325" s="41"/>
    </row>
    <row r="326" spans="1:7" ht="15">
      <c r="A326" s="6">
        <v>80801</v>
      </c>
      <c r="B326" s="14" t="s">
        <v>322</v>
      </c>
      <c r="C326" s="42">
        <v>0.36886019008924065</v>
      </c>
      <c r="D326" s="42">
        <v>1.0079808459696726</v>
      </c>
      <c r="E326" s="48"/>
      <c r="F326" s="16"/>
      <c r="G326" s="41"/>
    </row>
    <row r="327" spans="1:7" ht="15">
      <c r="A327" s="6">
        <v>80802</v>
      </c>
      <c r="B327" s="14" t="s">
        <v>323</v>
      </c>
      <c r="C327" s="42">
        <v>0.94879138503837812</v>
      </c>
      <c r="D327" s="42">
        <v>0.99954183609186176</v>
      </c>
      <c r="E327" s="48"/>
      <c r="F327" s="16"/>
      <c r="G327" s="41"/>
    </row>
    <row r="328" spans="1:7" ht="15">
      <c r="A328" s="6">
        <v>80803</v>
      </c>
      <c r="B328" s="14" t="s">
        <v>324</v>
      </c>
      <c r="C328" s="42">
        <v>1.9687388987566612</v>
      </c>
      <c r="D328" s="42">
        <v>1.0163410301953817</v>
      </c>
      <c r="E328" s="48"/>
      <c r="F328" s="16"/>
      <c r="G328" s="41"/>
    </row>
    <row r="329" spans="1:7" ht="15">
      <c r="A329" s="6">
        <v>80901</v>
      </c>
      <c r="B329" s="14" t="s">
        <v>325</v>
      </c>
      <c r="C329" s="42">
        <v>2.340567860859224</v>
      </c>
      <c r="D329" s="42">
        <v>0.9747287052177791</v>
      </c>
      <c r="E329" s="48"/>
      <c r="F329" s="16"/>
      <c r="G329" s="41"/>
    </row>
    <row r="330" spans="1:7" ht="15">
      <c r="A330" s="6">
        <v>90101</v>
      </c>
      <c r="B330" s="14" t="s">
        <v>326</v>
      </c>
      <c r="C330" s="42">
        <v>1.1582733812949642</v>
      </c>
      <c r="D330" s="42">
        <v>0</v>
      </c>
      <c r="E330" s="48"/>
      <c r="F330" s="16"/>
      <c r="G330" s="41"/>
    </row>
    <row r="331" spans="1:7" ht="15">
      <c r="A331" s="6">
        <v>90102</v>
      </c>
      <c r="B331" s="14" t="s">
        <v>327</v>
      </c>
      <c r="C331" s="42">
        <v>0.99467140319715819</v>
      </c>
      <c r="D331" s="42">
        <v>8.3481349911189995E-2</v>
      </c>
      <c r="E331" s="48"/>
      <c r="F331" s="16"/>
      <c r="G331" s="41"/>
    </row>
    <row r="332" spans="1:7" ht="15">
      <c r="A332" s="6">
        <v>90103</v>
      </c>
      <c r="B332" s="14" t="s">
        <v>328</v>
      </c>
      <c r="C332" s="42">
        <v>1.152203543843707</v>
      </c>
      <c r="D332" s="42">
        <v>2.1417537482962281</v>
      </c>
      <c r="E332" s="48"/>
      <c r="F332" s="16"/>
      <c r="G332" s="41"/>
    </row>
    <row r="333" spans="1:7" ht="15">
      <c r="A333" s="6">
        <v>90104</v>
      </c>
      <c r="B333" s="14" t="s">
        <v>329</v>
      </c>
      <c r="C333" s="42">
        <v>1.687463893703063</v>
      </c>
      <c r="D333" s="42">
        <v>1.0410167533217791</v>
      </c>
      <c r="E333" s="48"/>
      <c r="F333" s="16"/>
      <c r="G333" s="41"/>
    </row>
    <row r="334" spans="1:7" ht="15">
      <c r="A334" s="6">
        <v>90201</v>
      </c>
      <c r="B334" s="14" t="s">
        <v>330</v>
      </c>
      <c r="C334" s="42">
        <v>0.83173338163376132</v>
      </c>
      <c r="D334" s="42">
        <v>1.5584133309183128</v>
      </c>
      <c r="E334" s="48"/>
      <c r="F334" s="16"/>
      <c r="G334" s="41"/>
    </row>
    <row r="335" spans="1:7" ht="15">
      <c r="A335" s="6">
        <v>90202</v>
      </c>
      <c r="B335" s="14" t="s">
        <v>293</v>
      </c>
      <c r="C335" s="42">
        <v>1.504778156996587</v>
      </c>
      <c r="D335" s="42">
        <v>1.0522184300341295</v>
      </c>
      <c r="E335" s="48"/>
      <c r="F335" s="16"/>
      <c r="G335" s="41"/>
    </row>
    <row r="336" spans="1:7" ht="15">
      <c r="A336" s="6">
        <v>90203</v>
      </c>
      <c r="B336" s="14" t="s">
        <v>331</v>
      </c>
      <c r="C336" s="42">
        <v>1.0419562195969423</v>
      </c>
      <c r="D336" s="42">
        <v>1.0054725503822097</v>
      </c>
      <c r="E336" s="48"/>
      <c r="F336" s="16"/>
      <c r="G336" s="41"/>
    </row>
    <row r="337" spans="1:7" ht="15">
      <c r="A337" s="6">
        <v>90301</v>
      </c>
      <c r="B337" s="14" t="s">
        <v>332</v>
      </c>
      <c r="C337" s="42">
        <v>1.9341736694677869</v>
      </c>
      <c r="D337" s="42">
        <v>1</v>
      </c>
      <c r="E337" s="48"/>
      <c r="F337" s="16"/>
      <c r="G337" s="41"/>
    </row>
    <row r="338" spans="1:7" ht="15">
      <c r="A338" s="6">
        <v>90302</v>
      </c>
      <c r="B338" s="14" t="s">
        <v>333</v>
      </c>
      <c r="C338" s="42">
        <v>1.6420717592592589</v>
      </c>
      <c r="D338" s="42">
        <v>1.0318287037037033</v>
      </c>
      <c r="E338" s="48"/>
      <c r="F338" s="16"/>
      <c r="G338" s="41"/>
    </row>
    <row r="339" spans="1:7" ht="15">
      <c r="A339" s="6">
        <v>90303</v>
      </c>
      <c r="B339" s="14" t="s">
        <v>334</v>
      </c>
      <c r="C339" s="42">
        <v>1.0682343870470319</v>
      </c>
      <c r="D339" s="42">
        <v>1.9852223078900015</v>
      </c>
      <c r="E339" s="48"/>
      <c r="F339" s="16"/>
      <c r="G339" s="41"/>
    </row>
    <row r="340" spans="1:7" ht="15">
      <c r="A340" s="6">
        <v>90401</v>
      </c>
      <c r="B340" s="14" t="s">
        <v>335</v>
      </c>
      <c r="C340" s="42">
        <v>1.6901223776223782</v>
      </c>
      <c r="D340" s="42">
        <v>2.9241695804195809</v>
      </c>
      <c r="E340" s="48"/>
      <c r="F340" s="16"/>
      <c r="G340" s="41"/>
    </row>
    <row r="341" spans="1:7" ht="15">
      <c r="A341" s="6">
        <v>90402</v>
      </c>
      <c r="B341" s="14" t="s">
        <v>336</v>
      </c>
      <c r="C341" s="42">
        <v>1.9634943697784226</v>
      </c>
      <c r="D341" s="42">
        <v>2.9257173992008711</v>
      </c>
      <c r="E341" s="48"/>
      <c r="F341" s="16"/>
      <c r="G341" s="41"/>
    </row>
    <row r="342" spans="1:7" ht="15">
      <c r="A342" s="6">
        <v>90501</v>
      </c>
      <c r="B342" s="14" t="s">
        <v>337</v>
      </c>
      <c r="C342" s="42">
        <v>1.5675912408759121</v>
      </c>
      <c r="D342" s="42">
        <v>1.9865693430656928</v>
      </c>
      <c r="E342" s="48"/>
      <c r="F342" s="16"/>
      <c r="G342" s="41"/>
    </row>
    <row r="343" spans="1:7" ht="15">
      <c r="A343" s="6">
        <v>90502</v>
      </c>
      <c r="B343" s="14" t="s">
        <v>338</v>
      </c>
      <c r="C343" s="42">
        <v>1.9642140468227416</v>
      </c>
      <c r="D343" s="42">
        <v>1.0133779264214049</v>
      </c>
      <c r="E343" s="48"/>
      <c r="F343" s="16"/>
      <c r="G343" s="41"/>
    </row>
    <row r="344" spans="1:7" ht="15">
      <c r="A344" s="6">
        <v>90503</v>
      </c>
      <c r="B344" s="14" t="s">
        <v>339</v>
      </c>
      <c r="C344" s="42">
        <v>1.4889968128699349</v>
      </c>
      <c r="D344" s="42">
        <v>1.0101684625891634</v>
      </c>
      <c r="E344" s="48"/>
      <c r="F344" s="16"/>
      <c r="G344" s="41"/>
    </row>
    <row r="345" spans="1:7" ht="12.75">
      <c r="A345" s="3"/>
      <c r="B345" s="17"/>
      <c r="C345" s="18"/>
      <c r="D345" s="18"/>
      <c r="F345" s="15"/>
    </row>
    <row r="346" spans="1:7" ht="15">
      <c r="A346" s="3"/>
      <c r="B346" s="19"/>
      <c r="C346" s="18"/>
      <c r="D346" s="18"/>
      <c r="F346" s="15"/>
    </row>
    <row r="347" spans="1:7" ht="15">
      <c r="A347" s="3"/>
      <c r="B347" s="19"/>
      <c r="C347" s="18"/>
      <c r="D347" s="18"/>
      <c r="E347" s="2"/>
      <c r="F347" s="15"/>
    </row>
    <row r="348" spans="1:7" ht="12.75">
      <c r="A348" s="3"/>
      <c r="B348" s="17"/>
      <c r="C348" s="18"/>
      <c r="D348" s="18"/>
      <c r="E348" s="1"/>
      <c r="F348" s="15"/>
    </row>
    <row r="349" spans="1:7" ht="15">
      <c r="A349" s="3"/>
      <c r="B349" s="19"/>
      <c r="C349" s="18"/>
      <c r="D349" s="18"/>
      <c r="E349" s="1"/>
      <c r="F349" s="15"/>
    </row>
    <row r="350" spans="1:7" ht="12.75">
      <c r="A350" s="3"/>
      <c r="B350" s="17"/>
      <c r="C350" s="18"/>
      <c r="D350" s="18"/>
      <c r="E350" s="1"/>
      <c r="F350" s="15"/>
    </row>
    <row r="351" spans="1:7" ht="12.75">
      <c r="A351" s="3"/>
      <c r="B351" s="17"/>
      <c r="C351" s="18"/>
      <c r="D351" s="18"/>
      <c r="E351" s="1"/>
      <c r="F351" s="15"/>
    </row>
    <row r="352" spans="1:7" ht="12.75">
      <c r="A352" s="3"/>
      <c r="B352" s="17"/>
      <c r="C352" s="18"/>
      <c r="D352" s="18"/>
      <c r="E352" s="1"/>
      <c r="F352" s="15"/>
    </row>
    <row r="353" spans="1:6" ht="12.75">
      <c r="A353" s="3"/>
      <c r="B353" s="17"/>
      <c r="C353" s="18"/>
      <c r="D353" s="18"/>
      <c r="E353" s="1"/>
      <c r="F353" s="15"/>
    </row>
    <row r="354" spans="1:6" ht="12.75">
      <c r="A354" s="3"/>
      <c r="B354" s="17"/>
      <c r="C354" s="18"/>
      <c r="D354" s="18"/>
      <c r="E354" s="1"/>
      <c r="F354" s="15"/>
    </row>
    <row r="355" spans="1:6" ht="12.75">
      <c r="A355" s="3"/>
      <c r="B355" s="17"/>
      <c r="C355" s="18"/>
      <c r="D355" s="18"/>
      <c r="E355" s="1"/>
      <c r="F355" s="15"/>
    </row>
    <row r="356" spans="1:6" ht="12.75">
      <c r="A356" s="3"/>
      <c r="B356" s="17"/>
      <c r="C356" s="18"/>
      <c r="D356" s="18"/>
      <c r="E356" s="1"/>
      <c r="F356" s="15"/>
    </row>
    <row r="357" spans="1:6" ht="12.75">
      <c r="A357" s="3"/>
      <c r="B357" s="17"/>
      <c r="C357" s="18"/>
      <c r="D357" s="18"/>
      <c r="E357" s="1"/>
      <c r="F357" s="15"/>
    </row>
    <row r="358" spans="1:6" ht="12.75">
      <c r="A358" s="3"/>
      <c r="B358" s="17"/>
      <c r="C358" s="18"/>
      <c r="D358" s="18"/>
      <c r="E358" s="1"/>
      <c r="F358" s="15"/>
    </row>
    <row r="359" spans="1:6" ht="12.75">
      <c r="A359" s="3"/>
      <c r="B359" s="17"/>
      <c r="C359" s="18"/>
      <c r="D359" s="18"/>
      <c r="E359" s="1"/>
      <c r="F359" s="15"/>
    </row>
    <row r="360" spans="1:6" ht="12.75">
      <c r="A360" s="3"/>
      <c r="B360" s="17"/>
      <c r="C360" s="18"/>
      <c r="D360" s="18"/>
      <c r="E360" s="1"/>
      <c r="F360" s="15"/>
    </row>
    <row r="361" spans="1:6" ht="12.75">
      <c r="A361" s="3"/>
      <c r="B361" s="17"/>
      <c r="C361" s="18"/>
      <c r="D361" s="18"/>
      <c r="E361" s="1"/>
      <c r="F361" s="15"/>
    </row>
    <row r="362" spans="1:6" ht="12.75">
      <c r="A362" s="3"/>
      <c r="B362" s="17"/>
      <c r="C362" s="18"/>
      <c r="D362" s="18"/>
      <c r="E362" s="1"/>
      <c r="F362" s="15"/>
    </row>
    <row r="363" spans="1:6" ht="12.75">
      <c r="A363" s="3"/>
      <c r="B363" s="17"/>
      <c r="C363" s="18"/>
      <c r="D363" s="18"/>
      <c r="E363" s="1"/>
      <c r="F363" s="15"/>
    </row>
    <row r="364" spans="1:6" ht="12.75">
      <c r="A364" s="3"/>
      <c r="B364" s="17"/>
      <c r="C364" s="18"/>
      <c r="D364" s="18"/>
      <c r="E364" s="1"/>
      <c r="F364" s="15"/>
    </row>
    <row r="365" spans="1:6" ht="12.75">
      <c r="A365" s="3"/>
      <c r="B365" s="17"/>
      <c r="C365" s="18"/>
      <c r="D365" s="18"/>
      <c r="E365" s="1"/>
      <c r="F365" s="15"/>
    </row>
    <row r="366" spans="1:6" ht="12.75">
      <c r="A366" s="3"/>
      <c r="B366" s="17"/>
      <c r="C366" s="18"/>
      <c r="D366" s="18"/>
      <c r="E366" s="1"/>
      <c r="F366" s="15"/>
    </row>
    <row r="367" spans="1:6" ht="12.75">
      <c r="A367" s="3"/>
      <c r="B367" s="17"/>
      <c r="C367" s="18"/>
      <c r="D367" s="18"/>
      <c r="E367" s="1"/>
      <c r="F367" s="15"/>
    </row>
    <row r="368" spans="1:6" ht="12.75">
      <c r="A368" s="3"/>
      <c r="B368" s="17"/>
      <c r="C368" s="18"/>
      <c r="D368" s="18"/>
      <c r="E368" s="1"/>
      <c r="F368" s="15"/>
    </row>
    <row r="369" spans="1:6" ht="12.75">
      <c r="A369" s="3"/>
      <c r="B369" s="17"/>
      <c r="C369" s="18"/>
      <c r="D369" s="18"/>
      <c r="E369" s="1"/>
      <c r="F369" s="15"/>
    </row>
    <row r="370" spans="1:6" ht="12.75">
      <c r="A370" s="3"/>
      <c r="B370" s="17"/>
      <c r="C370" s="18"/>
      <c r="D370" s="18"/>
      <c r="E370" s="1"/>
      <c r="F370" s="15"/>
    </row>
    <row r="371" spans="1:6" ht="12.75">
      <c r="A371" s="3"/>
      <c r="B371" s="17"/>
      <c r="C371" s="18"/>
      <c r="D371" s="18"/>
      <c r="E371" s="1"/>
      <c r="F371" s="15"/>
    </row>
    <row r="372" spans="1:6" ht="12.75">
      <c r="A372" s="3"/>
      <c r="B372" s="17"/>
      <c r="C372" s="18"/>
      <c r="D372" s="18"/>
      <c r="E372" s="1"/>
      <c r="F372" s="15"/>
    </row>
    <row r="373" spans="1:6" ht="12.75">
      <c r="A373" s="3"/>
      <c r="B373" s="17"/>
      <c r="C373" s="18"/>
      <c r="D373" s="18"/>
      <c r="E373" s="1"/>
      <c r="F373" s="15"/>
    </row>
    <row r="374" spans="1:6" ht="12.75">
      <c r="A374" s="3"/>
      <c r="B374" s="17"/>
      <c r="C374" s="18"/>
      <c r="D374" s="18"/>
      <c r="E374" s="1"/>
      <c r="F374" s="15"/>
    </row>
    <row r="375" spans="1:6" ht="12.75">
      <c r="A375" s="3"/>
      <c r="B375" s="17"/>
      <c r="C375" s="18"/>
      <c r="D375" s="18"/>
      <c r="E375" s="1"/>
      <c r="F375" s="15"/>
    </row>
    <row r="376" spans="1:6" ht="12.75">
      <c r="A376" s="3"/>
      <c r="B376" s="17"/>
      <c r="C376" s="18"/>
      <c r="D376" s="18"/>
      <c r="E376" s="1"/>
      <c r="F376" s="15"/>
    </row>
    <row r="377" spans="1:6" ht="12.75">
      <c r="A377" s="3"/>
      <c r="B377" s="17"/>
      <c r="C377" s="18"/>
      <c r="D377" s="18"/>
      <c r="E377" s="1"/>
      <c r="F377" s="15"/>
    </row>
    <row r="378" spans="1:6" ht="12.75">
      <c r="A378" s="3"/>
      <c r="B378" s="17"/>
      <c r="C378" s="18"/>
      <c r="D378" s="18"/>
      <c r="E378" s="1"/>
      <c r="F378" s="15"/>
    </row>
    <row r="379" spans="1:6" ht="12.75">
      <c r="A379" s="3"/>
      <c r="B379" s="17"/>
      <c r="C379" s="18"/>
      <c r="D379" s="18"/>
      <c r="E379" s="1"/>
      <c r="F379" s="15"/>
    </row>
    <row r="380" spans="1:6" ht="12.75">
      <c r="A380" s="3"/>
      <c r="B380" s="17"/>
      <c r="C380" s="18"/>
      <c r="D380" s="18"/>
      <c r="E380" s="1"/>
      <c r="F380" s="15"/>
    </row>
    <row r="381" spans="1:6" ht="12.75">
      <c r="A381" s="3"/>
      <c r="B381" s="17"/>
      <c r="C381" s="18"/>
      <c r="D381" s="18"/>
      <c r="E381" s="1"/>
      <c r="F381" s="15"/>
    </row>
    <row r="382" spans="1:6" ht="12.75">
      <c r="A382" s="3"/>
      <c r="B382" s="17"/>
      <c r="C382" s="18"/>
      <c r="D382" s="18"/>
      <c r="E382" s="1"/>
      <c r="F382" s="15"/>
    </row>
    <row r="383" spans="1:6" ht="12.75">
      <c r="A383" s="3"/>
      <c r="B383" s="17"/>
      <c r="C383" s="18"/>
      <c r="D383" s="18"/>
      <c r="E383" s="1"/>
      <c r="F383" s="15"/>
    </row>
    <row r="384" spans="1:6" ht="12.75">
      <c r="A384" s="3"/>
      <c r="B384" s="17"/>
      <c r="C384" s="18"/>
      <c r="D384" s="18"/>
      <c r="E384" s="1"/>
      <c r="F384" s="15"/>
    </row>
    <row r="385" spans="1:6" ht="12.75">
      <c r="A385" s="3"/>
      <c r="B385" s="17"/>
      <c r="C385" s="18"/>
      <c r="D385" s="18"/>
      <c r="E385" s="1"/>
      <c r="F385" s="15"/>
    </row>
    <row r="386" spans="1:6" ht="12.75">
      <c r="A386" s="3"/>
      <c r="B386" s="17"/>
      <c r="C386" s="18"/>
      <c r="D386" s="18"/>
      <c r="E386" s="1"/>
      <c r="F386" s="15"/>
    </row>
    <row r="387" spans="1:6" ht="12.75">
      <c r="A387" s="3"/>
      <c r="B387" s="17"/>
      <c r="C387" s="18"/>
      <c r="D387" s="18"/>
      <c r="E387" s="1"/>
      <c r="F387" s="15"/>
    </row>
    <row r="388" spans="1:6" ht="12.75">
      <c r="A388" s="3"/>
      <c r="B388" s="17"/>
      <c r="C388" s="18"/>
      <c r="D388" s="18"/>
      <c r="E388" s="1"/>
      <c r="F388" s="15"/>
    </row>
    <row r="389" spans="1:6" ht="12.75">
      <c r="A389" s="3"/>
      <c r="B389" s="17"/>
      <c r="C389" s="18"/>
      <c r="D389" s="18"/>
      <c r="E389" s="1"/>
      <c r="F389" s="15"/>
    </row>
    <row r="390" spans="1:6" ht="12.75">
      <c r="A390" s="3"/>
      <c r="B390" s="17"/>
      <c r="C390" s="18"/>
      <c r="D390" s="18"/>
      <c r="E390" s="1"/>
      <c r="F390" s="15"/>
    </row>
    <row r="391" spans="1:6" ht="12.75">
      <c r="A391" s="3"/>
      <c r="B391" s="17"/>
      <c r="C391" s="18"/>
      <c r="D391" s="18"/>
      <c r="E391" s="1"/>
      <c r="F391" s="15"/>
    </row>
    <row r="392" spans="1:6" ht="12.75">
      <c r="A392" s="3"/>
      <c r="B392" s="17"/>
      <c r="C392" s="18"/>
      <c r="D392" s="18"/>
      <c r="E392" s="1"/>
      <c r="F392" s="15"/>
    </row>
    <row r="393" spans="1:6" ht="12.75">
      <c r="A393" s="3"/>
      <c r="B393" s="17"/>
      <c r="C393" s="18"/>
      <c r="D393" s="18"/>
      <c r="E393" s="1"/>
      <c r="F393" s="15"/>
    </row>
    <row r="394" spans="1:6" ht="12.75">
      <c r="A394" s="3"/>
      <c r="B394" s="17"/>
      <c r="C394" s="18"/>
      <c r="D394" s="18"/>
      <c r="E394" s="1"/>
      <c r="F394" s="15"/>
    </row>
    <row r="395" spans="1:6" ht="12.75">
      <c r="A395" s="3"/>
      <c r="B395" s="17"/>
      <c r="C395" s="18"/>
      <c r="D395" s="18"/>
      <c r="E395" s="1"/>
      <c r="F395" s="15"/>
    </row>
    <row r="396" spans="1:6" ht="12.75">
      <c r="A396" s="3"/>
      <c r="B396" s="17"/>
      <c r="C396" s="18"/>
      <c r="D396" s="18"/>
      <c r="E396" s="1"/>
      <c r="F396" s="15"/>
    </row>
    <row r="397" spans="1:6" ht="12.75">
      <c r="A397" s="3"/>
      <c r="B397" s="17"/>
      <c r="C397" s="18"/>
      <c r="D397" s="18"/>
      <c r="E397" s="1"/>
      <c r="F397" s="15"/>
    </row>
    <row r="398" spans="1:6" ht="12.75">
      <c r="A398" s="3"/>
      <c r="B398" s="17"/>
      <c r="C398" s="18"/>
      <c r="D398" s="18"/>
      <c r="E398" s="1"/>
      <c r="F398" s="15"/>
    </row>
    <row r="399" spans="1:6" ht="12.75">
      <c r="A399" s="3"/>
      <c r="B399" s="17"/>
      <c r="C399" s="18"/>
      <c r="D399" s="18"/>
      <c r="E399" s="1"/>
      <c r="F399" s="15"/>
    </row>
    <row r="400" spans="1:6" ht="12.75">
      <c r="A400" s="3"/>
      <c r="B400" s="17"/>
      <c r="C400" s="18"/>
      <c r="D400" s="18"/>
      <c r="E400" s="1"/>
      <c r="F400" s="15"/>
    </row>
    <row r="401" spans="1:6" ht="12.75">
      <c r="A401" s="3"/>
      <c r="B401" s="17"/>
      <c r="C401" s="18"/>
      <c r="D401" s="18"/>
      <c r="E401" s="1"/>
      <c r="F401" s="15"/>
    </row>
    <row r="402" spans="1:6" ht="12.75">
      <c r="A402" s="3"/>
      <c r="B402" s="17"/>
      <c r="C402" s="18"/>
      <c r="D402" s="18"/>
      <c r="E402" s="1"/>
      <c r="F402" s="15"/>
    </row>
    <row r="403" spans="1:6" ht="12.75">
      <c r="A403" s="3"/>
      <c r="B403" s="17"/>
      <c r="C403" s="18"/>
      <c r="D403" s="18"/>
      <c r="E403" s="1"/>
      <c r="F403" s="15"/>
    </row>
    <row r="404" spans="1:6" ht="12.75">
      <c r="A404" s="3"/>
      <c r="B404" s="17"/>
      <c r="C404" s="18"/>
      <c r="D404" s="18"/>
      <c r="E404" s="1"/>
      <c r="F404" s="15"/>
    </row>
    <row r="405" spans="1:6" ht="12.75">
      <c r="A405" s="3"/>
      <c r="B405" s="17"/>
      <c r="C405" s="18"/>
      <c r="D405" s="18"/>
      <c r="E405" s="1"/>
      <c r="F405" s="15"/>
    </row>
    <row r="406" spans="1:6" ht="12.75">
      <c r="A406" s="3"/>
      <c r="B406" s="17"/>
      <c r="C406" s="18"/>
      <c r="D406" s="18"/>
      <c r="E406" s="1"/>
      <c r="F406" s="15"/>
    </row>
    <row r="407" spans="1:6" ht="12.75">
      <c r="A407" s="3"/>
      <c r="B407" s="17"/>
      <c r="C407" s="18"/>
      <c r="D407" s="18"/>
      <c r="E407" s="1"/>
      <c r="F407" s="15"/>
    </row>
    <row r="408" spans="1:6" ht="12.75">
      <c r="A408" s="3"/>
      <c r="B408" s="17"/>
      <c r="C408" s="18"/>
      <c r="D408" s="18"/>
      <c r="E408" s="1"/>
      <c r="F408" s="15"/>
    </row>
    <row r="409" spans="1:6" ht="12.75">
      <c r="A409" s="3"/>
      <c r="B409" s="17"/>
      <c r="C409" s="18"/>
      <c r="D409" s="18"/>
      <c r="E409" s="1"/>
      <c r="F409" s="15"/>
    </row>
    <row r="410" spans="1:6" ht="12.75">
      <c r="A410" s="3"/>
      <c r="B410" s="17"/>
      <c r="C410" s="18"/>
      <c r="D410" s="18"/>
      <c r="E410" s="1"/>
      <c r="F410" s="15"/>
    </row>
    <row r="411" spans="1:6" ht="12.75">
      <c r="A411" s="3"/>
      <c r="B411" s="17"/>
      <c r="C411" s="18"/>
      <c r="D411" s="18"/>
      <c r="E411" s="1"/>
      <c r="F411" s="15"/>
    </row>
    <row r="412" spans="1:6" ht="12.75">
      <c r="A412" s="3"/>
      <c r="B412" s="17"/>
      <c r="C412" s="18"/>
      <c r="D412" s="18"/>
      <c r="E412" s="1"/>
      <c r="F412" s="15"/>
    </row>
    <row r="413" spans="1:6" ht="12.75">
      <c r="A413" s="3"/>
      <c r="B413" s="17"/>
      <c r="C413" s="18"/>
      <c r="D413" s="18"/>
      <c r="E413" s="1"/>
      <c r="F413" s="15"/>
    </row>
    <row r="414" spans="1:6" ht="12.75">
      <c r="A414" s="3"/>
      <c r="B414" s="17"/>
      <c r="C414" s="18"/>
      <c r="D414" s="18"/>
      <c r="E414" s="1"/>
      <c r="F414" s="15"/>
    </row>
    <row r="415" spans="1:6" ht="12.75">
      <c r="A415" s="3"/>
      <c r="B415" s="17"/>
      <c r="C415" s="18"/>
      <c r="D415" s="18"/>
      <c r="E415" s="1"/>
      <c r="F415" s="15"/>
    </row>
    <row r="416" spans="1:6" ht="12.75">
      <c r="A416" s="3"/>
      <c r="B416" s="17"/>
      <c r="C416" s="18"/>
      <c r="D416" s="18"/>
      <c r="E416" s="1"/>
      <c r="F416" s="15"/>
    </row>
    <row r="417" spans="1:6" ht="12.75">
      <c r="A417" s="3"/>
      <c r="B417" s="17"/>
      <c r="C417" s="18"/>
      <c r="D417" s="18"/>
      <c r="E417" s="1"/>
      <c r="F417" s="15"/>
    </row>
    <row r="418" spans="1:6" ht="12.75">
      <c r="A418" s="3"/>
      <c r="B418" s="17"/>
      <c r="C418" s="18"/>
      <c r="D418" s="18"/>
      <c r="E418" s="1"/>
      <c r="F418" s="15"/>
    </row>
    <row r="419" spans="1:6" ht="12.75">
      <c r="A419" s="3"/>
      <c r="B419" s="17"/>
      <c r="C419" s="18"/>
      <c r="D419" s="18"/>
      <c r="E419" s="1"/>
      <c r="F419" s="15"/>
    </row>
    <row r="420" spans="1:6" ht="12.75">
      <c r="A420" s="3"/>
      <c r="B420" s="17"/>
      <c r="C420" s="18"/>
      <c r="D420" s="18"/>
      <c r="E420" s="1"/>
      <c r="F420" s="15"/>
    </row>
    <row r="421" spans="1:6" ht="12.75">
      <c r="A421" s="3"/>
      <c r="B421" s="17"/>
      <c r="C421" s="18"/>
      <c r="D421" s="18"/>
      <c r="E421" s="1"/>
      <c r="F421" s="15"/>
    </row>
    <row r="422" spans="1:6" ht="12.75">
      <c r="A422" s="3"/>
      <c r="B422" s="17"/>
      <c r="C422" s="18"/>
      <c r="D422" s="18"/>
      <c r="E422" s="1"/>
      <c r="F422" s="15"/>
    </row>
    <row r="423" spans="1:6" ht="12.75">
      <c r="A423" s="3"/>
      <c r="B423" s="17"/>
      <c r="C423" s="18"/>
      <c r="D423" s="18"/>
      <c r="E423" s="1"/>
      <c r="F423" s="15"/>
    </row>
    <row r="424" spans="1:6" ht="12.75">
      <c r="A424" s="3"/>
      <c r="B424" s="17"/>
      <c r="C424" s="18"/>
      <c r="D424" s="18"/>
      <c r="E424" s="1"/>
      <c r="F424" s="15"/>
    </row>
    <row r="425" spans="1:6" ht="12.75">
      <c r="A425" s="3"/>
      <c r="B425" s="17"/>
      <c r="C425" s="18"/>
      <c r="D425" s="18"/>
      <c r="E425" s="1"/>
      <c r="F425" s="15"/>
    </row>
    <row r="426" spans="1:6" ht="12.75">
      <c r="A426" s="3"/>
      <c r="B426" s="17"/>
      <c r="C426" s="18"/>
      <c r="D426" s="18"/>
      <c r="E426" s="1"/>
      <c r="F426" s="15"/>
    </row>
    <row r="427" spans="1:6" ht="12.75">
      <c r="A427" s="3"/>
      <c r="B427" s="17"/>
      <c r="C427" s="18"/>
      <c r="D427" s="18"/>
      <c r="E427" s="1"/>
      <c r="F427" s="15"/>
    </row>
    <row r="428" spans="1:6" ht="12.75">
      <c r="A428" s="3"/>
      <c r="B428" s="17"/>
      <c r="C428" s="18"/>
      <c r="D428" s="18"/>
      <c r="E428" s="1"/>
      <c r="F428" s="15"/>
    </row>
    <row r="429" spans="1:6" ht="12.75">
      <c r="A429" s="3"/>
      <c r="B429" s="17"/>
      <c r="C429" s="18"/>
      <c r="D429" s="18"/>
      <c r="E429" s="1"/>
      <c r="F429" s="15"/>
    </row>
    <row r="430" spans="1:6" ht="12.75">
      <c r="A430" s="3"/>
      <c r="B430" s="17"/>
      <c r="C430" s="18"/>
      <c r="D430" s="18"/>
      <c r="E430" s="1"/>
      <c r="F430" s="15"/>
    </row>
    <row r="431" spans="1:6" ht="12.75">
      <c r="A431" s="3"/>
      <c r="B431" s="17"/>
      <c r="C431" s="18"/>
      <c r="D431" s="18"/>
      <c r="E431" s="1"/>
      <c r="F431" s="15"/>
    </row>
    <row r="432" spans="1:6" ht="12.75">
      <c r="A432" s="3"/>
      <c r="B432" s="17"/>
      <c r="C432" s="18"/>
      <c r="D432" s="18"/>
      <c r="E432" s="1"/>
      <c r="F432" s="15"/>
    </row>
    <row r="433" spans="1:6" ht="12.75">
      <c r="A433" s="3"/>
      <c r="B433" s="17"/>
      <c r="C433" s="18"/>
      <c r="D433" s="18"/>
      <c r="E433" s="1"/>
      <c r="F433" s="15"/>
    </row>
    <row r="434" spans="1:6" ht="12.75">
      <c r="A434" s="3"/>
      <c r="B434" s="17"/>
      <c r="C434" s="18"/>
      <c r="D434" s="18"/>
      <c r="E434" s="1"/>
      <c r="F434" s="15"/>
    </row>
    <row r="435" spans="1:6" ht="12.75">
      <c r="A435" s="3"/>
      <c r="B435" s="17"/>
      <c r="C435" s="18"/>
      <c r="D435" s="18"/>
      <c r="E435" s="1"/>
      <c r="F435" s="15"/>
    </row>
    <row r="436" spans="1:6" ht="12.75">
      <c r="A436" s="3"/>
      <c r="B436" s="17"/>
      <c r="C436" s="18"/>
      <c r="D436" s="18"/>
      <c r="E436" s="1"/>
      <c r="F436" s="15"/>
    </row>
    <row r="437" spans="1:6" ht="12.75">
      <c r="A437" s="3"/>
      <c r="B437" s="17"/>
      <c r="C437" s="18"/>
      <c r="D437" s="18"/>
      <c r="E437" s="1"/>
      <c r="F437" s="15"/>
    </row>
    <row r="438" spans="1:6" ht="12.75">
      <c r="A438" s="3"/>
      <c r="B438" s="17"/>
      <c r="C438" s="18"/>
      <c r="D438" s="18"/>
      <c r="E438" s="1"/>
      <c r="F438" s="15"/>
    </row>
    <row r="439" spans="1:6" ht="12.75">
      <c r="A439" s="3"/>
      <c r="B439" s="17"/>
      <c r="C439" s="18"/>
      <c r="D439" s="18"/>
      <c r="E439" s="1"/>
      <c r="F439" s="15"/>
    </row>
    <row r="440" spans="1:6" ht="12.75">
      <c r="A440" s="3"/>
      <c r="B440" s="17"/>
      <c r="C440" s="18"/>
      <c r="D440" s="18"/>
      <c r="E440" s="1"/>
      <c r="F440" s="15"/>
    </row>
    <row r="441" spans="1:6" ht="12.75">
      <c r="A441" s="3"/>
      <c r="B441" s="17"/>
      <c r="C441" s="18"/>
      <c r="D441" s="18"/>
      <c r="E441" s="1"/>
      <c r="F441" s="15"/>
    </row>
    <row r="442" spans="1:6" ht="12.75">
      <c r="A442" s="3"/>
      <c r="B442" s="17"/>
      <c r="C442" s="18"/>
      <c r="D442" s="18"/>
      <c r="E442" s="1"/>
      <c r="F442" s="15"/>
    </row>
    <row r="443" spans="1:6" ht="12.75">
      <c r="A443" s="3"/>
      <c r="B443" s="17"/>
      <c r="C443" s="18"/>
      <c r="D443" s="18"/>
      <c r="E443" s="1"/>
      <c r="F443" s="15"/>
    </row>
    <row r="444" spans="1:6" ht="12.75">
      <c r="A444" s="3"/>
      <c r="B444" s="17"/>
      <c r="C444" s="18"/>
      <c r="D444" s="18"/>
      <c r="E444" s="1"/>
      <c r="F444" s="15"/>
    </row>
    <row r="445" spans="1:6" ht="12.75">
      <c r="A445" s="3"/>
      <c r="B445" s="17"/>
      <c r="C445" s="18"/>
      <c r="D445" s="18"/>
      <c r="E445" s="1"/>
      <c r="F445" s="15"/>
    </row>
    <row r="446" spans="1:6" ht="12.75">
      <c r="A446" s="3"/>
      <c r="B446" s="17"/>
      <c r="C446" s="18"/>
      <c r="D446" s="18"/>
      <c r="E446" s="1"/>
      <c r="F446" s="15"/>
    </row>
    <row r="447" spans="1:6" ht="12.75">
      <c r="A447" s="3"/>
      <c r="B447" s="17"/>
      <c r="C447" s="18"/>
      <c r="D447" s="18"/>
      <c r="E447" s="1"/>
      <c r="F447" s="15"/>
    </row>
    <row r="448" spans="1:6" ht="12.75">
      <c r="A448" s="3"/>
      <c r="B448" s="17"/>
      <c r="C448" s="18"/>
      <c r="D448" s="18"/>
      <c r="E448" s="1"/>
      <c r="F448" s="15"/>
    </row>
    <row r="449" spans="1:6" ht="12.75">
      <c r="A449" s="3"/>
      <c r="B449" s="17"/>
      <c r="C449" s="18"/>
      <c r="D449" s="18"/>
      <c r="E449" s="1"/>
      <c r="F449" s="15"/>
    </row>
    <row r="450" spans="1:6" ht="12.75">
      <c r="A450" s="3"/>
      <c r="B450" s="17"/>
      <c r="C450" s="18"/>
      <c r="D450" s="18"/>
      <c r="E450" s="1"/>
      <c r="F450" s="15"/>
    </row>
    <row r="451" spans="1:6" ht="12.75">
      <c r="A451" s="3"/>
      <c r="B451" s="17"/>
      <c r="C451" s="18"/>
      <c r="D451" s="18"/>
      <c r="E451" s="1"/>
      <c r="F451" s="15"/>
    </row>
    <row r="452" spans="1:6" ht="12.75">
      <c r="A452" s="3"/>
      <c r="B452" s="17"/>
      <c r="C452" s="18"/>
      <c r="D452" s="18"/>
      <c r="E452" s="1"/>
      <c r="F452" s="15"/>
    </row>
    <row r="453" spans="1:6" ht="12.75">
      <c r="A453" s="3"/>
      <c r="B453" s="17"/>
      <c r="C453" s="18"/>
      <c r="D453" s="18"/>
      <c r="E453" s="1"/>
      <c r="F453" s="15"/>
    </row>
    <row r="454" spans="1:6" ht="12.75">
      <c r="A454" s="3"/>
      <c r="B454" s="17"/>
      <c r="C454" s="18"/>
      <c r="D454" s="18"/>
      <c r="E454" s="1"/>
      <c r="F454" s="15"/>
    </row>
    <row r="455" spans="1:6" ht="12.75">
      <c r="A455" s="3"/>
      <c r="B455" s="17"/>
      <c r="C455" s="18"/>
      <c r="D455" s="18"/>
      <c r="E455" s="1"/>
      <c r="F455" s="15"/>
    </row>
    <row r="456" spans="1:6" ht="12.75">
      <c r="A456" s="3"/>
      <c r="B456" s="17"/>
      <c r="C456" s="18"/>
      <c r="D456" s="18"/>
      <c r="E456" s="1"/>
      <c r="F456" s="15"/>
    </row>
    <row r="457" spans="1:6" ht="12.75">
      <c r="A457" s="3"/>
      <c r="B457" s="17"/>
      <c r="C457" s="18"/>
      <c r="D457" s="18"/>
      <c r="E457" s="1"/>
      <c r="F457" s="15"/>
    </row>
    <row r="458" spans="1:6" ht="12.75">
      <c r="A458" s="3"/>
      <c r="B458" s="17"/>
      <c r="C458" s="18"/>
      <c r="D458" s="18"/>
      <c r="E458" s="1"/>
      <c r="F458" s="15"/>
    </row>
    <row r="459" spans="1:6" ht="12.75">
      <c r="A459" s="3"/>
      <c r="B459" s="17"/>
      <c r="C459" s="18"/>
      <c r="D459" s="18"/>
      <c r="E459" s="1"/>
      <c r="F459" s="15"/>
    </row>
    <row r="460" spans="1:6" ht="12.75">
      <c r="A460" s="3"/>
      <c r="B460" s="17"/>
      <c r="C460" s="18"/>
      <c r="D460" s="18"/>
      <c r="E460" s="1"/>
      <c r="F460" s="15"/>
    </row>
    <row r="461" spans="1:6" ht="12.75">
      <c r="A461" s="3"/>
      <c r="B461" s="17"/>
      <c r="C461" s="18"/>
      <c r="D461" s="18"/>
      <c r="E461" s="1"/>
      <c r="F461" s="15"/>
    </row>
    <row r="462" spans="1:6" ht="12.75">
      <c r="A462" s="3"/>
      <c r="B462" s="17"/>
      <c r="C462" s="18"/>
      <c r="D462" s="18"/>
      <c r="E462" s="1"/>
      <c r="F462" s="15"/>
    </row>
    <row r="463" spans="1:6" ht="12.75">
      <c r="A463" s="3"/>
      <c r="B463" s="17"/>
      <c r="C463" s="18"/>
      <c r="D463" s="18"/>
      <c r="E463" s="1"/>
      <c r="F463" s="15"/>
    </row>
    <row r="464" spans="1:6" ht="12.75">
      <c r="A464" s="3"/>
      <c r="B464" s="17"/>
      <c r="C464" s="18"/>
      <c r="D464" s="18"/>
      <c r="E464" s="1"/>
      <c r="F464" s="15"/>
    </row>
    <row r="465" spans="1:6" ht="12.75">
      <c r="A465" s="3"/>
      <c r="B465" s="17"/>
      <c r="C465" s="18"/>
      <c r="D465" s="18"/>
      <c r="E465" s="1"/>
      <c r="F465" s="15"/>
    </row>
    <row r="466" spans="1:6" ht="12.75">
      <c r="A466" s="3"/>
      <c r="B466" s="17"/>
      <c r="C466" s="18"/>
      <c r="D466" s="18"/>
      <c r="E466" s="1"/>
      <c r="F466" s="15"/>
    </row>
    <row r="467" spans="1:6" ht="12.75">
      <c r="A467" s="3"/>
      <c r="B467" s="17"/>
      <c r="C467" s="18"/>
      <c r="D467" s="18"/>
      <c r="E467" s="1"/>
      <c r="F467" s="15"/>
    </row>
    <row r="468" spans="1:6" ht="12.75">
      <c r="A468" s="3"/>
      <c r="B468" s="17"/>
      <c r="C468" s="18"/>
      <c r="D468" s="18"/>
      <c r="E468" s="1"/>
      <c r="F468" s="15"/>
    </row>
    <row r="469" spans="1:6" ht="12.75">
      <c r="A469" s="3"/>
      <c r="B469" s="17"/>
      <c r="C469" s="18"/>
      <c r="D469" s="18"/>
      <c r="E469" s="1"/>
      <c r="F469" s="15"/>
    </row>
    <row r="470" spans="1:6" ht="12.75">
      <c r="A470" s="3"/>
      <c r="B470" s="17"/>
      <c r="C470" s="18"/>
      <c r="D470" s="18"/>
      <c r="E470" s="1"/>
      <c r="F470" s="15"/>
    </row>
    <row r="471" spans="1:6" ht="12.75">
      <c r="A471" s="3"/>
      <c r="B471" s="17"/>
      <c r="C471" s="18"/>
      <c r="D471" s="18"/>
      <c r="E471" s="1"/>
      <c r="F471" s="15"/>
    </row>
    <row r="472" spans="1:6" ht="12.75">
      <c r="A472" s="3"/>
      <c r="B472" s="17"/>
      <c r="C472" s="18"/>
      <c r="D472" s="18"/>
      <c r="E472" s="1"/>
      <c r="F472" s="15"/>
    </row>
    <row r="473" spans="1:6" ht="12.75">
      <c r="A473" s="3"/>
      <c r="B473" s="17"/>
      <c r="C473" s="18"/>
      <c r="D473" s="18"/>
      <c r="E473" s="1"/>
      <c r="F473" s="15"/>
    </row>
    <row r="474" spans="1:6" ht="12.75">
      <c r="A474" s="3"/>
      <c r="B474" s="17"/>
      <c r="C474" s="18"/>
      <c r="D474" s="18"/>
      <c r="E474" s="1"/>
      <c r="F474" s="15"/>
    </row>
    <row r="475" spans="1:6" ht="12.75">
      <c r="A475" s="3"/>
      <c r="B475" s="17"/>
      <c r="C475" s="18"/>
      <c r="D475" s="18"/>
      <c r="E475" s="1"/>
      <c r="F475" s="15"/>
    </row>
    <row r="476" spans="1:6" ht="12.75">
      <c r="A476" s="3"/>
      <c r="B476" s="17"/>
      <c r="C476" s="18"/>
      <c r="D476" s="18"/>
      <c r="E476" s="1"/>
      <c r="F476" s="15"/>
    </row>
    <row r="477" spans="1:6" ht="12.75">
      <c r="A477" s="3"/>
      <c r="B477" s="17"/>
      <c r="C477" s="18"/>
      <c r="D477" s="18"/>
      <c r="E477" s="1"/>
      <c r="F477" s="15"/>
    </row>
    <row r="478" spans="1:6" ht="12.75">
      <c r="A478" s="3"/>
      <c r="B478" s="17"/>
      <c r="C478" s="18"/>
      <c r="D478" s="18"/>
      <c r="E478" s="1"/>
      <c r="F478" s="15"/>
    </row>
    <row r="479" spans="1:6" ht="12.75">
      <c r="A479" s="3"/>
      <c r="B479" s="17"/>
      <c r="C479" s="18"/>
      <c r="D479" s="18"/>
      <c r="E479" s="1"/>
      <c r="F479" s="15"/>
    </row>
    <row r="480" spans="1:6" ht="12.75">
      <c r="A480" s="3"/>
      <c r="B480" s="17"/>
      <c r="C480" s="18"/>
      <c r="D480" s="18"/>
      <c r="E480" s="1"/>
      <c r="F480" s="15"/>
    </row>
    <row r="481" spans="1:6" ht="12.75">
      <c r="A481" s="3"/>
      <c r="B481" s="17"/>
      <c r="C481" s="18"/>
      <c r="D481" s="18"/>
      <c r="E481" s="1"/>
      <c r="F481" s="15"/>
    </row>
    <row r="482" spans="1:6" ht="12.75">
      <c r="A482" s="3"/>
      <c r="B482" s="17"/>
      <c r="C482" s="18"/>
      <c r="D482" s="18"/>
      <c r="E482" s="1"/>
      <c r="F482" s="15"/>
    </row>
    <row r="483" spans="1:6" ht="12.75">
      <c r="A483" s="3"/>
      <c r="B483" s="17"/>
      <c r="C483" s="18"/>
      <c r="D483" s="18"/>
      <c r="E483" s="1"/>
      <c r="F483" s="15"/>
    </row>
    <row r="484" spans="1:6" ht="12.75">
      <c r="A484" s="3"/>
      <c r="B484" s="17"/>
      <c r="C484" s="18"/>
      <c r="D484" s="18"/>
      <c r="E484" s="1"/>
      <c r="F484" s="15"/>
    </row>
    <row r="485" spans="1:6" ht="12.75">
      <c r="A485" s="3"/>
      <c r="B485" s="17"/>
      <c r="C485" s="18"/>
      <c r="D485" s="18"/>
      <c r="E485" s="1"/>
      <c r="F485" s="15"/>
    </row>
    <row r="486" spans="1:6" ht="12.75">
      <c r="A486" s="3"/>
      <c r="B486" s="17"/>
      <c r="C486" s="18"/>
      <c r="D486" s="18"/>
      <c r="E486" s="1"/>
      <c r="F486" s="15"/>
    </row>
    <row r="487" spans="1:6" ht="12.75">
      <c r="A487" s="3"/>
      <c r="B487" s="17"/>
      <c r="C487" s="18"/>
      <c r="D487" s="18"/>
      <c r="E487" s="1"/>
      <c r="F487" s="15"/>
    </row>
    <row r="488" spans="1:6" ht="12.75">
      <c r="A488" s="3"/>
      <c r="B488" s="17"/>
      <c r="C488" s="18"/>
      <c r="D488" s="18"/>
      <c r="E488" s="1"/>
      <c r="F488" s="15"/>
    </row>
    <row r="489" spans="1:6" ht="12.75">
      <c r="A489" s="3"/>
      <c r="B489" s="17"/>
      <c r="C489" s="18"/>
      <c r="D489" s="18"/>
      <c r="E489" s="1"/>
      <c r="F489" s="15"/>
    </row>
    <row r="490" spans="1:6" ht="12.75">
      <c r="A490" s="3"/>
      <c r="B490" s="17"/>
      <c r="C490" s="18"/>
      <c r="D490" s="18"/>
      <c r="E490" s="1"/>
      <c r="F490" s="15"/>
    </row>
    <row r="491" spans="1:6" ht="12.75">
      <c r="A491" s="3"/>
      <c r="B491" s="17"/>
      <c r="C491" s="18"/>
      <c r="D491" s="18"/>
      <c r="E491" s="1"/>
      <c r="F491" s="15"/>
    </row>
    <row r="492" spans="1:6" ht="12.75">
      <c r="A492" s="3"/>
      <c r="B492" s="17"/>
      <c r="C492" s="18"/>
      <c r="D492" s="18"/>
      <c r="E492" s="1"/>
      <c r="F492" s="15"/>
    </row>
    <row r="493" spans="1:6" ht="12.75">
      <c r="A493" s="3"/>
      <c r="B493" s="17"/>
      <c r="C493" s="18"/>
      <c r="D493" s="18"/>
      <c r="E493" s="1"/>
      <c r="F493" s="15"/>
    </row>
    <row r="494" spans="1:6" ht="12.75">
      <c r="A494" s="3"/>
      <c r="B494" s="17"/>
      <c r="C494" s="18"/>
      <c r="D494" s="18"/>
      <c r="E494" s="1"/>
      <c r="F494" s="15"/>
    </row>
    <row r="495" spans="1:6" ht="12.75">
      <c r="A495" s="3"/>
      <c r="B495" s="17"/>
      <c r="C495" s="18"/>
      <c r="D495" s="18"/>
      <c r="E495" s="1"/>
      <c r="F495" s="15"/>
    </row>
    <row r="496" spans="1:6" ht="12.75">
      <c r="A496" s="3"/>
      <c r="B496" s="17"/>
      <c r="C496" s="18"/>
      <c r="D496" s="18"/>
      <c r="E496" s="1"/>
      <c r="F496" s="15"/>
    </row>
    <row r="497" spans="1:6" ht="12.75">
      <c r="A497" s="3"/>
      <c r="B497" s="17"/>
      <c r="C497" s="18"/>
      <c r="D497" s="18"/>
      <c r="E497" s="1"/>
      <c r="F497" s="15"/>
    </row>
    <row r="498" spans="1:6" ht="12.75">
      <c r="A498" s="3"/>
      <c r="B498" s="17"/>
      <c r="C498" s="18"/>
      <c r="D498" s="18"/>
      <c r="E498" s="1"/>
      <c r="F498" s="15"/>
    </row>
    <row r="499" spans="1:6" ht="12.75">
      <c r="A499" s="3"/>
      <c r="B499" s="17"/>
      <c r="C499" s="18"/>
      <c r="D499" s="18"/>
      <c r="E499" s="1"/>
      <c r="F499" s="15"/>
    </row>
    <row r="500" spans="1:6" ht="12.75">
      <c r="A500" s="3"/>
      <c r="B500" s="17"/>
      <c r="C500" s="18"/>
      <c r="D500" s="18"/>
      <c r="E500" s="1"/>
      <c r="F500" s="15"/>
    </row>
    <row r="501" spans="1:6" ht="12.75">
      <c r="A501" s="3"/>
      <c r="B501" s="17"/>
      <c r="C501" s="18"/>
      <c r="D501" s="18"/>
      <c r="E501" s="1"/>
      <c r="F501" s="15"/>
    </row>
    <row r="502" spans="1:6" ht="12.75">
      <c r="A502" s="3"/>
      <c r="B502" s="17"/>
      <c r="C502" s="18"/>
      <c r="D502" s="18"/>
      <c r="E502" s="1"/>
      <c r="F502" s="15"/>
    </row>
    <row r="503" spans="1:6" ht="12.75">
      <c r="A503" s="3"/>
      <c r="B503" s="17"/>
      <c r="C503" s="18"/>
      <c r="D503" s="18"/>
      <c r="E503" s="1"/>
      <c r="F503" s="15"/>
    </row>
    <row r="504" spans="1:6" ht="12.75">
      <c r="A504" s="3"/>
      <c r="B504" s="17"/>
      <c r="C504" s="18"/>
      <c r="D504" s="18"/>
      <c r="E504" s="1"/>
      <c r="F504" s="15"/>
    </row>
    <row r="505" spans="1:6" ht="12.75">
      <c r="A505" s="3"/>
      <c r="B505" s="17"/>
      <c r="C505" s="18"/>
      <c r="D505" s="18"/>
      <c r="E505" s="1"/>
      <c r="F505" s="15"/>
    </row>
    <row r="506" spans="1:6" ht="12.75">
      <c r="A506" s="3"/>
      <c r="B506" s="17"/>
      <c r="C506" s="18"/>
      <c r="D506" s="18"/>
      <c r="E506" s="1"/>
      <c r="F506" s="15"/>
    </row>
    <row r="507" spans="1:6" ht="12.75">
      <c r="A507" s="3"/>
      <c r="B507" s="17"/>
      <c r="C507" s="18"/>
      <c r="D507" s="18"/>
      <c r="E507" s="1"/>
      <c r="F507" s="15"/>
    </row>
    <row r="508" spans="1:6" ht="12.75">
      <c r="A508" s="3"/>
      <c r="B508" s="17"/>
      <c r="C508" s="18"/>
      <c r="D508" s="18"/>
      <c r="E508" s="1"/>
      <c r="F508" s="15"/>
    </row>
    <row r="509" spans="1:6" ht="12.75">
      <c r="A509" s="3"/>
      <c r="B509" s="17"/>
      <c r="C509" s="18"/>
      <c r="D509" s="18"/>
      <c r="E509" s="1"/>
      <c r="F509" s="15"/>
    </row>
    <row r="510" spans="1:6" ht="12.75">
      <c r="A510" s="3"/>
      <c r="B510" s="17"/>
      <c r="C510" s="18"/>
      <c r="D510" s="18"/>
      <c r="E510" s="1"/>
      <c r="F510" s="15"/>
    </row>
    <row r="511" spans="1:6" ht="12.75">
      <c r="A511" s="3"/>
      <c r="B511" s="17"/>
      <c r="C511" s="18"/>
      <c r="D511" s="18"/>
      <c r="E511" s="1"/>
      <c r="F511" s="15"/>
    </row>
    <row r="512" spans="1:6" ht="12.75">
      <c r="A512" s="3"/>
      <c r="B512" s="17"/>
      <c r="C512" s="18"/>
      <c r="D512" s="18"/>
      <c r="E512" s="1"/>
      <c r="F512" s="15"/>
    </row>
    <row r="513" spans="1:6" ht="12.75">
      <c r="A513" s="3"/>
      <c r="B513" s="17"/>
      <c r="C513" s="18"/>
      <c r="D513" s="18"/>
      <c r="E513" s="1"/>
      <c r="F513" s="15"/>
    </row>
    <row r="514" spans="1:6" ht="12.75">
      <c r="A514" s="3"/>
      <c r="B514" s="17"/>
      <c r="C514" s="18"/>
      <c r="D514" s="18"/>
      <c r="E514" s="1"/>
      <c r="F514" s="15"/>
    </row>
    <row r="515" spans="1:6" ht="12.75">
      <c r="A515" s="3"/>
      <c r="B515" s="17"/>
      <c r="C515" s="18"/>
      <c r="D515" s="18"/>
      <c r="E515" s="1"/>
      <c r="F515" s="15"/>
    </row>
    <row r="516" spans="1:6" ht="12.75">
      <c r="A516" s="3"/>
      <c r="B516" s="17"/>
      <c r="C516" s="18"/>
      <c r="D516" s="18"/>
      <c r="E516" s="1"/>
      <c r="F516" s="15"/>
    </row>
    <row r="517" spans="1:6" ht="12.75">
      <c r="A517" s="3"/>
      <c r="B517" s="17"/>
      <c r="C517" s="18"/>
      <c r="D517" s="18"/>
      <c r="E517" s="1"/>
      <c r="F517" s="15"/>
    </row>
    <row r="518" spans="1:6" ht="12.75">
      <c r="A518" s="3"/>
      <c r="B518" s="17"/>
      <c r="C518" s="18"/>
      <c r="D518" s="18"/>
      <c r="E518" s="1"/>
      <c r="F518" s="15"/>
    </row>
    <row r="519" spans="1:6" ht="12.75">
      <c r="A519" s="3"/>
      <c r="B519" s="17"/>
      <c r="C519" s="18"/>
      <c r="D519" s="18"/>
      <c r="E519" s="1"/>
      <c r="F519" s="15"/>
    </row>
    <row r="520" spans="1:6" ht="12.75">
      <c r="A520" s="3"/>
      <c r="B520" s="17"/>
      <c r="C520" s="18"/>
      <c r="D520" s="18"/>
      <c r="E520" s="1"/>
      <c r="F520" s="15"/>
    </row>
    <row r="521" spans="1:6" ht="12.75">
      <c r="A521" s="3"/>
      <c r="B521" s="17"/>
      <c r="C521" s="18"/>
      <c r="D521" s="18"/>
      <c r="E521" s="1"/>
      <c r="F521" s="15"/>
    </row>
    <row r="522" spans="1:6" ht="12.75">
      <c r="A522" s="3"/>
      <c r="B522" s="17"/>
      <c r="C522" s="18"/>
      <c r="D522" s="18"/>
      <c r="E522" s="1"/>
      <c r="F522" s="15"/>
    </row>
    <row r="523" spans="1:6" ht="12.75">
      <c r="A523" s="3"/>
      <c r="B523" s="17"/>
      <c r="C523" s="18"/>
      <c r="D523" s="18"/>
      <c r="E523" s="1"/>
      <c r="F523" s="15"/>
    </row>
    <row r="524" spans="1:6" ht="12.75">
      <c r="A524" s="3"/>
      <c r="B524" s="17"/>
      <c r="C524" s="18"/>
      <c r="D524" s="18"/>
      <c r="E524" s="1"/>
      <c r="F524" s="15"/>
    </row>
    <row r="525" spans="1:6" ht="12.75">
      <c r="A525" s="3"/>
      <c r="B525" s="17"/>
      <c r="C525" s="18"/>
      <c r="D525" s="18"/>
      <c r="E525" s="1"/>
      <c r="F525" s="15"/>
    </row>
    <row r="526" spans="1:6" ht="12.75">
      <c r="A526" s="3"/>
      <c r="B526" s="17"/>
      <c r="C526" s="18"/>
      <c r="D526" s="18"/>
      <c r="E526" s="1"/>
      <c r="F526" s="15"/>
    </row>
    <row r="527" spans="1:6" ht="12.75">
      <c r="A527" s="3"/>
      <c r="B527" s="17"/>
      <c r="C527" s="18"/>
      <c r="D527" s="18"/>
      <c r="E527" s="1"/>
      <c r="F527" s="15"/>
    </row>
    <row r="528" spans="1:6" ht="12.75">
      <c r="A528" s="3"/>
      <c r="B528" s="17"/>
      <c r="C528" s="18"/>
      <c r="D528" s="18"/>
      <c r="E528" s="1"/>
      <c r="F528" s="15"/>
    </row>
    <row r="529" spans="1:6" ht="12.75">
      <c r="A529" s="3"/>
      <c r="B529" s="17"/>
      <c r="C529" s="18"/>
      <c r="D529" s="18"/>
      <c r="E529" s="1"/>
      <c r="F529" s="15"/>
    </row>
    <row r="530" spans="1:6" ht="12.75">
      <c r="A530" s="3"/>
      <c r="B530" s="17"/>
      <c r="C530" s="18"/>
      <c r="D530" s="18"/>
      <c r="E530" s="1"/>
      <c r="F530" s="15"/>
    </row>
    <row r="531" spans="1:6" ht="12.75">
      <c r="A531" s="3"/>
      <c r="B531" s="17"/>
      <c r="C531" s="18"/>
      <c r="D531" s="18"/>
      <c r="E531" s="1"/>
      <c r="F531" s="15"/>
    </row>
    <row r="532" spans="1:6" ht="12.75">
      <c r="A532" s="3"/>
      <c r="B532" s="17"/>
      <c r="C532" s="18"/>
      <c r="D532" s="18"/>
      <c r="E532" s="1"/>
      <c r="F532" s="15"/>
    </row>
    <row r="533" spans="1:6" ht="12.75">
      <c r="A533" s="3"/>
      <c r="B533" s="17"/>
      <c r="C533" s="18"/>
      <c r="D533" s="18"/>
      <c r="E533" s="1"/>
      <c r="F533" s="15"/>
    </row>
    <row r="534" spans="1:6" ht="12.75">
      <c r="A534" s="3"/>
      <c r="B534" s="17"/>
      <c r="C534" s="18"/>
      <c r="D534" s="18"/>
      <c r="E534" s="1"/>
      <c r="F534" s="15"/>
    </row>
    <row r="535" spans="1:6" ht="12.75">
      <c r="A535" s="3"/>
      <c r="B535" s="17"/>
      <c r="C535" s="18"/>
      <c r="D535" s="18"/>
      <c r="E535" s="1"/>
      <c r="F535" s="15"/>
    </row>
    <row r="536" spans="1:6" ht="12.75">
      <c r="A536" s="3"/>
      <c r="B536" s="17"/>
      <c r="C536" s="18"/>
      <c r="D536" s="18"/>
      <c r="E536" s="1"/>
      <c r="F536" s="15"/>
    </row>
    <row r="537" spans="1:6" ht="12.75">
      <c r="A537" s="3"/>
      <c r="B537" s="17"/>
      <c r="C537" s="18"/>
      <c r="D537" s="18"/>
      <c r="E537" s="1"/>
      <c r="F537" s="15"/>
    </row>
    <row r="538" spans="1:6" ht="12.75">
      <c r="A538" s="3"/>
      <c r="B538" s="17"/>
      <c r="C538" s="18"/>
      <c r="D538" s="18"/>
      <c r="E538" s="1"/>
      <c r="F538" s="15"/>
    </row>
    <row r="539" spans="1:6" ht="12.75">
      <c r="A539" s="3"/>
      <c r="B539" s="17"/>
      <c r="C539" s="18"/>
      <c r="D539" s="18"/>
      <c r="E539" s="1"/>
      <c r="F539" s="15"/>
    </row>
    <row r="540" spans="1:6" ht="12.75">
      <c r="A540" s="3"/>
      <c r="B540" s="17"/>
      <c r="C540" s="18"/>
      <c r="D540" s="18"/>
      <c r="E540" s="1"/>
      <c r="F540" s="15"/>
    </row>
    <row r="541" spans="1:6" ht="12.75">
      <c r="A541" s="3"/>
      <c r="B541" s="17"/>
      <c r="C541" s="18"/>
      <c r="D541" s="18"/>
      <c r="E541" s="1"/>
      <c r="F541" s="15"/>
    </row>
    <row r="542" spans="1:6" ht="12.75">
      <c r="A542" s="3"/>
      <c r="B542" s="17"/>
      <c r="C542" s="18"/>
      <c r="D542" s="18"/>
      <c r="E542" s="1"/>
      <c r="F542" s="15"/>
    </row>
    <row r="543" spans="1:6" ht="12.75">
      <c r="A543" s="3"/>
      <c r="B543" s="17"/>
      <c r="C543" s="18"/>
      <c r="D543" s="18"/>
      <c r="E543" s="1"/>
      <c r="F543" s="15"/>
    </row>
    <row r="544" spans="1:6" ht="12.75">
      <c r="A544" s="3"/>
      <c r="B544" s="17"/>
      <c r="C544" s="18"/>
      <c r="D544" s="18"/>
      <c r="E544" s="1"/>
      <c r="F544" s="15"/>
    </row>
    <row r="545" spans="1:6" ht="12.75">
      <c r="A545" s="3"/>
      <c r="B545" s="17"/>
      <c r="C545" s="18"/>
      <c r="D545" s="18"/>
      <c r="E545" s="1"/>
      <c r="F545" s="15"/>
    </row>
    <row r="546" spans="1:6" ht="12.75">
      <c r="A546" s="3"/>
      <c r="B546" s="17"/>
      <c r="C546" s="18"/>
      <c r="D546" s="18"/>
      <c r="E546" s="1"/>
      <c r="F546" s="15"/>
    </row>
    <row r="547" spans="1:6" ht="12.75">
      <c r="A547" s="3"/>
      <c r="B547" s="17"/>
      <c r="C547" s="18"/>
      <c r="D547" s="18"/>
      <c r="E547" s="1"/>
      <c r="F547" s="15"/>
    </row>
    <row r="548" spans="1:6" ht="12.75">
      <c r="A548" s="3"/>
      <c r="B548" s="17"/>
      <c r="C548" s="18"/>
      <c r="D548" s="18"/>
      <c r="E548" s="1"/>
      <c r="F548" s="15"/>
    </row>
    <row r="549" spans="1:6" ht="12.75">
      <c r="A549" s="3"/>
      <c r="B549" s="17"/>
      <c r="C549" s="18"/>
      <c r="D549" s="18"/>
      <c r="E549" s="1"/>
      <c r="F549" s="15"/>
    </row>
    <row r="550" spans="1:6" ht="12.75">
      <c r="A550" s="3"/>
      <c r="B550" s="17"/>
      <c r="C550" s="18"/>
      <c r="D550" s="18"/>
      <c r="E550" s="1"/>
      <c r="F550" s="15"/>
    </row>
    <row r="551" spans="1:6" ht="12.75">
      <c r="A551" s="3"/>
      <c r="B551" s="17"/>
      <c r="C551" s="18"/>
      <c r="D551" s="18"/>
      <c r="E551" s="1"/>
      <c r="F551" s="15"/>
    </row>
    <row r="552" spans="1:6" ht="12.75">
      <c r="A552" s="3"/>
      <c r="B552" s="17"/>
      <c r="C552" s="18"/>
      <c r="D552" s="18"/>
      <c r="E552" s="1"/>
      <c r="F552" s="15"/>
    </row>
    <row r="553" spans="1:6" ht="12.75">
      <c r="A553" s="3"/>
      <c r="B553" s="17"/>
      <c r="C553" s="18"/>
      <c r="D553" s="18"/>
      <c r="E553" s="1"/>
      <c r="F553" s="15"/>
    </row>
    <row r="554" spans="1:6" ht="12.75">
      <c r="A554" s="3"/>
      <c r="B554" s="17"/>
      <c r="C554" s="18"/>
      <c r="D554" s="18"/>
      <c r="E554" s="1"/>
      <c r="F554" s="15"/>
    </row>
    <row r="555" spans="1:6" ht="12.75">
      <c r="A555" s="3"/>
      <c r="B555" s="17"/>
      <c r="C555" s="18"/>
      <c r="D555" s="18"/>
      <c r="E555" s="1"/>
      <c r="F555" s="15"/>
    </row>
    <row r="556" spans="1:6" ht="12.75">
      <c r="A556" s="3"/>
      <c r="B556" s="17"/>
      <c r="C556" s="18"/>
      <c r="D556" s="18"/>
      <c r="E556" s="1"/>
      <c r="F556" s="15"/>
    </row>
    <row r="557" spans="1:6" ht="12.75">
      <c r="A557" s="3"/>
      <c r="B557" s="17"/>
      <c r="C557" s="18"/>
      <c r="D557" s="18"/>
      <c r="E557" s="1"/>
      <c r="F557" s="15"/>
    </row>
    <row r="558" spans="1:6" ht="12.75">
      <c r="A558" s="3"/>
      <c r="B558" s="17"/>
      <c r="C558" s="18"/>
      <c r="D558" s="18"/>
      <c r="E558" s="1"/>
      <c r="F558" s="15"/>
    </row>
    <row r="559" spans="1:6" ht="12.75">
      <c r="A559" s="3"/>
      <c r="B559" s="17"/>
      <c r="C559" s="18"/>
      <c r="D559" s="18"/>
      <c r="E559" s="1"/>
      <c r="F559" s="15"/>
    </row>
    <row r="560" spans="1:6" ht="12.75">
      <c r="A560" s="3"/>
      <c r="B560" s="17"/>
      <c r="C560" s="18"/>
      <c r="D560" s="18"/>
      <c r="E560" s="1"/>
      <c r="F560" s="15"/>
    </row>
    <row r="561" spans="1:6" ht="12.75">
      <c r="A561" s="3"/>
      <c r="B561" s="17"/>
      <c r="C561" s="18"/>
      <c r="D561" s="18"/>
      <c r="E561" s="1"/>
      <c r="F561" s="15"/>
    </row>
    <row r="562" spans="1:6" ht="12.75">
      <c r="A562" s="3"/>
      <c r="B562" s="17"/>
      <c r="C562" s="18"/>
      <c r="D562" s="18"/>
      <c r="E562" s="1"/>
      <c r="F562" s="15"/>
    </row>
    <row r="563" spans="1:6" ht="12.75">
      <c r="A563" s="3"/>
      <c r="B563" s="17"/>
      <c r="C563" s="18"/>
      <c r="D563" s="18"/>
      <c r="E563" s="1"/>
      <c r="F563" s="15"/>
    </row>
    <row r="564" spans="1:6" ht="12.75">
      <c r="A564" s="3"/>
      <c r="B564" s="17"/>
      <c r="C564" s="18"/>
      <c r="D564" s="18"/>
      <c r="E564" s="1"/>
      <c r="F564" s="15"/>
    </row>
    <row r="565" spans="1:6" ht="12.75">
      <c r="A565" s="3"/>
      <c r="B565" s="17"/>
      <c r="C565" s="18"/>
      <c r="D565" s="18"/>
      <c r="E565" s="1"/>
      <c r="F565" s="15"/>
    </row>
    <row r="566" spans="1:6" ht="12.75">
      <c r="A566" s="3"/>
      <c r="B566" s="17"/>
      <c r="C566" s="18"/>
      <c r="D566" s="18"/>
      <c r="E566" s="1"/>
      <c r="F566" s="15"/>
    </row>
    <row r="567" spans="1:6" ht="12.75">
      <c r="A567" s="3"/>
      <c r="B567" s="17"/>
      <c r="C567" s="18"/>
      <c r="D567" s="18"/>
      <c r="E567" s="1"/>
      <c r="F567" s="15"/>
    </row>
    <row r="568" spans="1:6" ht="12.75">
      <c r="A568" s="3"/>
      <c r="B568" s="17"/>
      <c r="C568" s="18"/>
      <c r="D568" s="18"/>
      <c r="E568" s="1"/>
      <c r="F568" s="15"/>
    </row>
    <row r="569" spans="1:6" ht="12.75">
      <c r="A569" s="3"/>
      <c r="B569" s="17"/>
      <c r="C569" s="18"/>
      <c r="D569" s="18"/>
      <c r="E569" s="1"/>
      <c r="F569" s="15"/>
    </row>
    <row r="570" spans="1:6" ht="12.75">
      <c r="A570" s="3"/>
      <c r="B570" s="17"/>
      <c r="C570" s="18"/>
      <c r="D570" s="18"/>
      <c r="E570" s="1"/>
      <c r="F570" s="15"/>
    </row>
    <row r="571" spans="1:6" ht="12.75">
      <c r="A571" s="3"/>
      <c r="B571" s="17"/>
      <c r="C571" s="18"/>
      <c r="D571" s="18"/>
      <c r="E571" s="1"/>
      <c r="F571" s="15"/>
    </row>
    <row r="572" spans="1:6" ht="12.75">
      <c r="A572" s="3"/>
      <c r="B572" s="17"/>
      <c r="C572" s="18"/>
      <c r="D572" s="18"/>
      <c r="E572" s="1"/>
      <c r="F572" s="15"/>
    </row>
    <row r="573" spans="1:6" ht="12.75">
      <c r="A573" s="3"/>
      <c r="B573" s="17"/>
      <c r="C573" s="18"/>
      <c r="D573" s="18"/>
      <c r="E573" s="1"/>
      <c r="F573" s="15"/>
    </row>
    <row r="574" spans="1:6" ht="12.75">
      <c r="A574" s="3"/>
      <c r="B574" s="17"/>
      <c r="C574" s="18"/>
      <c r="D574" s="18"/>
      <c r="E574" s="1"/>
      <c r="F574" s="15"/>
    </row>
    <row r="575" spans="1:6" ht="12.75">
      <c r="A575" s="3"/>
      <c r="B575" s="17"/>
      <c r="C575" s="18"/>
      <c r="D575" s="18"/>
      <c r="E575" s="1"/>
      <c r="F575" s="15"/>
    </row>
    <row r="576" spans="1:6" ht="12.75">
      <c r="A576" s="3"/>
      <c r="B576" s="17"/>
      <c r="C576" s="18"/>
      <c r="D576" s="18"/>
      <c r="E576" s="1"/>
      <c r="F576" s="15"/>
    </row>
    <row r="577" spans="1:6" ht="12.75">
      <c r="A577" s="3"/>
      <c r="B577" s="17"/>
      <c r="C577" s="18"/>
      <c r="D577" s="18"/>
      <c r="E577" s="1"/>
      <c r="F577" s="15"/>
    </row>
    <row r="578" spans="1:6" ht="12.75">
      <c r="A578" s="3"/>
      <c r="B578" s="17"/>
      <c r="C578" s="18"/>
      <c r="D578" s="18"/>
      <c r="E578" s="1"/>
      <c r="F578" s="15"/>
    </row>
    <row r="579" spans="1:6" ht="12.75">
      <c r="A579" s="3"/>
      <c r="B579" s="17"/>
      <c r="C579" s="18"/>
      <c r="D579" s="18"/>
      <c r="E579" s="1"/>
      <c r="F579" s="15"/>
    </row>
    <row r="580" spans="1:6" ht="12.75">
      <c r="A580" s="3"/>
      <c r="B580" s="17"/>
      <c r="C580" s="18"/>
      <c r="D580" s="18"/>
      <c r="E580" s="1"/>
      <c r="F580" s="15"/>
    </row>
    <row r="581" spans="1:6" ht="12.75">
      <c r="A581" s="3"/>
      <c r="B581" s="17"/>
      <c r="C581" s="18"/>
      <c r="D581" s="18"/>
      <c r="E581" s="1"/>
      <c r="F581" s="15"/>
    </row>
    <row r="582" spans="1:6" ht="12.75">
      <c r="A582" s="3"/>
      <c r="B582" s="17"/>
      <c r="C582" s="18"/>
      <c r="D582" s="18"/>
      <c r="E582" s="1"/>
      <c r="F582" s="15"/>
    </row>
    <row r="583" spans="1:6" ht="12.75">
      <c r="A583" s="3"/>
      <c r="B583" s="17"/>
      <c r="C583" s="18"/>
      <c r="D583" s="18"/>
      <c r="E583" s="1"/>
      <c r="F583" s="15"/>
    </row>
    <row r="584" spans="1:6" ht="12.75">
      <c r="A584" s="3"/>
      <c r="B584" s="17"/>
      <c r="C584" s="18"/>
      <c r="D584" s="18"/>
      <c r="E584" s="1"/>
      <c r="F584" s="15"/>
    </row>
    <row r="585" spans="1:6" ht="12.75">
      <c r="A585" s="3"/>
      <c r="B585" s="17"/>
      <c r="C585" s="18"/>
      <c r="D585" s="18"/>
      <c r="E585" s="1"/>
      <c r="F585" s="15"/>
    </row>
    <row r="586" spans="1:6" ht="12.75">
      <c r="A586" s="3"/>
      <c r="B586" s="17"/>
      <c r="C586" s="18"/>
      <c r="D586" s="18"/>
      <c r="E586" s="1"/>
      <c r="F586" s="15"/>
    </row>
    <row r="587" spans="1:6" ht="12.75">
      <c r="A587" s="3"/>
      <c r="B587" s="17"/>
      <c r="C587" s="18"/>
      <c r="D587" s="18"/>
      <c r="E587" s="1"/>
      <c r="F587" s="15"/>
    </row>
    <row r="588" spans="1:6" ht="12.75">
      <c r="A588" s="3"/>
      <c r="B588" s="17"/>
      <c r="C588" s="18"/>
      <c r="D588" s="18"/>
      <c r="E588" s="1"/>
      <c r="F588" s="15"/>
    </row>
    <row r="589" spans="1:6" ht="12.75">
      <c r="A589" s="3"/>
      <c r="B589" s="17"/>
      <c r="C589" s="18"/>
      <c r="D589" s="18"/>
      <c r="E589" s="1"/>
      <c r="F589" s="15"/>
    </row>
    <row r="590" spans="1:6" ht="12.75">
      <c r="A590" s="3"/>
      <c r="B590" s="17"/>
      <c r="C590" s="18"/>
      <c r="D590" s="18"/>
      <c r="E590" s="1"/>
      <c r="F590" s="15"/>
    </row>
    <row r="591" spans="1:6" ht="12.75">
      <c r="A591" s="3"/>
      <c r="B591" s="17"/>
      <c r="C591" s="18"/>
      <c r="D591" s="18"/>
      <c r="E591" s="1"/>
      <c r="F591" s="15"/>
    </row>
    <row r="592" spans="1:6" ht="12.75">
      <c r="A592" s="3"/>
      <c r="B592" s="17"/>
      <c r="C592" s="18"/>
      <c r="D592" s="18"/>
      <c r="E592" s="1"/>
      <c r="F592" s="15"/>
    </row>
    <row r="593" spans="1:6" ht="12.75">
      <c r="A593" s="3"/>
      <c r="B593" s="17"/>
      <c r="C593" s="18"/>
      <c r="D593" s="18"/>
      <c r="E593" s="1"/>
      <c r="F593" s="15"/>
    </row>
    <row r="594" spans="1:6" ht="12.75">
      <c r="A594" s="3"/>
      <c r="B594" s="17"/>
      <c r="C594" s="18"/>
      <c r="D594" s="18"/>
      <c r="E594" s="1"/>
      <c r="F594" s="15"/>
    </row>
    <row r="595" spans="1:6" ht="12.75">
      <c r="A595" s="3"/>
      <c r="B595" s="17"/>
      <c r="C595" s="18"/>
      <c r="D595" s="18"/>
      <c r="E595" s="1"/>
      <c r="F595" s="15"/>
    </row>
    <row r="596" spans="1:6" ht="12.75">
      <c r="A596" s="3"/>
      <c r="B596" s="17"/>
      <c r="C596" s="18"/>
      <c r="D596" s="18"/>
      <c r="E596" s="1"/>
      <c r="F596" s="15"/>
    </row>
    <row r="597" spans="1:6" ht="12.75">
      <c r="A597" s="3"/>
      <c r="B597" s="17"/>
      <c r="C597" s="18"/>
      <c r="D597" s="18"/>
      <c r="E597" s="1"/>
      <c r="F597" s="15"/>
    </row>
    <row r="598" spans="1:6" ht="12.75">
      <c r="A598" s="3"/>
      <c r="B598" s="17"/>
      <c r="C598" s="18"/>
      <c r="D598" s="18"/>
      <c r="E598" s="1"/>
      <c r="F598" s="15"/>
    </row>
    <row r="599" spans="1:6" ht="12.75">
      <c r="A599" s="3"/>
      <c r="B599" s="17"/>
      <c r="C599" s="18"/>
      <c r="D599" s="18"/>
      <c r="E599" s="1"/>
      <c r="F599" s="15"/>
    </row>
    <row r="600" spans="1:6" ht="12.75">
      <c r="A600" s="3"/>
      <c r="B600" s="17"/>
      <c r="C600" s="18"/>
      <c r="D600" s="18"/>
      <c r="E600" s="1"/>
      <c r="F600" s="15"/>
    </row>
    <row r="601" spans="1:6" ht="12.75">
      <c r="A601" s="3"/>
      <c r="B601" s="17"/>
      <c r="C601" s="18"/>
      <c r="D601" s="18"/>
      <c r="E601" s="1"/>
      <c r="F601" s="15"/>
    </row>
    <row r="602" spans="1:6" ht="12.75">
      <c r="A602" s="3"/>
      <c r="B602" s="17"/>
      <c r="C602" s="18"/>
      <c r="D602" s="18"/>
      <c r="E602" s="1"/>
      <c r="F602" s="15"/>
    </row>
    <row r="603" spans="1:6" ht="12.75">
      <c r="A603" s="3"/>
      <c r="B603" s="17"/>
      <c r="C603" s="18"/>
      <c r="D603" s="18"/>
      <c r="E603" s="1"/>
      <c r="F603" s="15"/>
    </row>
    <row r="604" spans="1:6" ht="12.75">
      <c r="A604" s="3"/>
      <c r="B604" s="17"/>
      <c r="C604" s="18"/>
      <c r="D604" s="18"/>
      <c r="E604" s="1"/>
      <c r="F604" s="15"/>
    </row>
    <row r="605" spans="1:6" ht="12.75">
      <c r="A605" s="3"/>
      <c r="B605" s="17"/>
      <c r="C605" s="18"/>
      <c r="D605" s="18"/>
      <c r="E605" s="1"/>
      <c r="F605" s="15"/>
    </row>
    <row r="606" spans="1:6" ht="12.75">
      <c r="A606" s="3"/>
      <c r="B606" s="17"/>
      <c r="C606" s="18"/>
      <c r="D606" s="18"/>
      <c r="E606" s="1"/>
      <c r="F606" s="15"/>
    </row>
    <row r="607" spans="1:6" ht="12.75">
      <c r="A607" s="3"/>
      <c r="B607" s="17"/>
      <c r="C607" s="18"/>
      <c r="D607" s="18"/>
      <c r="E607" s="1"/>
      <c r="F607" s="15"/>
    </row>
    <row r="608" spans="1:6" ht="12.75">
      <c r="A608" s="3"/>
      <c r="B608" s="17"/>
      <c r="C608" s="18"/>
      <c r="D608" s="18"/>
      <c r="E608" s="1"/>
      <c r="F608" s="15"/>
    </row>
    <row r="609" spans="1:6" ht="12.75">
      <c r="A609" s="3"/>
      <c r="B609" s="17"/>
      <c r="C609" s="18"/>
      <c r="D609" s="18"/>
      <c r="E609" s="1"/>
      <c r="F609" s="15"/>
    </row>
    <row r="610" spans="1:6" ht="12.75">
      <c r="A610" s="3"/>
      <c r="B610" s="17"/>
      <c r="C610" s="18"/>
      <c r="D610" s="18"/>
      <c r="E610" s="1"/>
      <c r="F610" s="15"/>
    </row>
    <row r="611" spans="1:6" ht="12.75">
      <c r="A611" s="3"/>
      <c r="B611" s="17"/>
      <c r="C611" s="18"/>
      <c r="D611" s="18"/>
      <c r="E611" s="1"/>
      <c r="F611" s="15"/>
    </row>
    <row r="612" spans="1:6" ht="12.75">
      <c r="A612" s="3"/>
      <c r="B612" s="17"/>
      <c r="C612" s="18"/>
      <c r="D612" s="18"/>
      <c r="E612" s="1"/>
      <c r="F612" s="15"/>
    </row>
    <row r="613" spans="1:6" ht="12.75">
      <c r="A613" s="3"/>
      <c r="B613" s="17"/>
      <c r="C613" s="18"/>
      <c r="D613" s="18"/>
      <c r="E613" s="1"/>
      <c r="F613" s="15"/>
    </row>
    <row r="614" spans="1:6" ht="12.75">
      <c r="A614" s="3"/>
      <c r="B614" s="17"/>
      <c r="C614" s="18"/>
      <c r="D614" s="18"/>
      <c r="E614" s="1"/>
      <c r="F614" s="15"/>
    </row>
    <row r="615" spans="1:6" ht="12.75">
      <c r="A615" s="3"/>
      <c r="B615" s="17"/>
      <c r="C615" s="18"/>
      <c r="D615" s="18"/>
      <c r="E615" s="1"/>
      <c r="F615" s="15"/>
    </row>
    <row r="616" spans="1:6" ht="12.75">
      <c r="A616" s="3"/>
      <c r="B616" s="17"/>
      <c r="C616" s="18"/>
      <c r="D616" s="18"/>
      <c r="E616" s="1"/>
      <c r="F616" s="15"/>
    </row>
    <row r="617" spans="1:6" ht="12.75">
      <c r="A617" s="3"/>
      <c r="B617" s="17"/>
      <c r="C617" s="18"/>
      <c r="D617" s="18"/>
      <c r="E617" s="1"/>
      <c r="F617" s="15"/>
    </row>
    <row r="618" spans="1:6" ht="12.75">
      <c r="A618" s="3"/>
      <c r="B618" s="17"/>
      <c r="C618" s="18"/>
      <c r="D618" s="18"/>
      <c r="E618" s="1"/>
      <c r="F618" s="15"/>
    </row>
    <row r="619" spans="1:6" ht="12.75">
      <c r="A619" s="3"/>
      <c r="B619" s="17"/>
      <c r="C619" s="18"/>
      <c r="D619" s="18"/>
      <c r="E619" s="1"/>
      <c r="F619" s="15"/>
    </row>
    <row r="620" spans="1:6" ht="12.75">
      <c r="A620" s="3"/>
      <c r="B620" s="17"/>
      <c r="C620" s="18"/>
      <c r="D620" s="18"/>
      <c r="E620" s="1"/>
      <c r="F620" s="15"/>
    </row>
    <row r="621" spans="1:6" ht="12.75">
      <c r="A621" s="3"/>
      <c r="B621" s="17"/>
      <c r="C621" s="18"/>
      <c r="D621" s="18"/>
      <c r="E621" s="1"/>
      <c r="F621" s="15"/>
    </row>
    <row r="622" spans="1:6" ht="12.75">
      <c r="A622" s="3"/>
      <c r="B622" s="17"/>
      <c r="C622" s="18"/>
      <c r="D622" s="18"/>
      <c r="E622" s="1"/>
      <c r="F622" s="15"/>
    </row>
    <row r="623" spans="1:6" ht="12.75">
      <c r="A623" s="3"/>
      <c r="B623" s="17"/>
      <c r="C623" s="18"/>
      <c r="D623" s="18"/>
      <c r="E623" s="1"/>
      <c r="F623" s="15"/>
    </row>
    <row r="624" spans="1:6" ht="12.75">
      <c r="A624" s="3"/>
      <c r="B624" s="17"/>
      <c r="C624" s="18"/>
      <c r="D624" s="18"/>
      <c r="E624" s="1"/>
      <c r="F624" s="15"/>
    </row>
    <row r="625" spans="1:6" ht="12.75">
      <c r="A625" s="3"/>
      <c r="B625" s="17"/>
      <c r="C625" s="18"/>
      <c r="D625" s="18"/>
      <c r="E625" s="1"/>
      <c r="F625" s="15"/>
    </row>
    <row r="626" spans="1:6" ht="12.75">
      <c r="A626" s="3"/>
      <c r="B626" s="17"/>
      <c r="C626" s="18"/>
      <c r="D626" s="18"/>
      <c r="E626" s="1"/>
      <c r="F626" s="15"/>
    </row>
    <row r="627" spans="1:6" ht="12.75">
      <c r="A627" s="3"/>
      <c r="B627" s="17"/>
      <c r="C627" s="18"/>
      <c r="D627" s="18"/>
      <c r="E627" s="1"/>
      <c r="F627" s="15"/>
    </row>
    <row r="628" spans="1:6" ht="12.75">
      <c r="A628" s="3"/>
      <c r="B628" s="17"/>
      <c r="C628" s="18"/>
      <c r="D628" s="18"/>
      <c r="E628" s="1"/>
      <c r="F628" s="15"/>
    </row>
    <row r="629" spans="1:6" ht="12.75">
      <c r="A629" s="3"/>
      <c r="B629" s="17"/>
      <c r="C629" s="18"/>
      <c r="D629" s="18"/>
      <c r="E629" s="1"/>
      <c r="F629" s="15"/>
    </row>
    <row r="630" spans="1:6" ht="12.75">
      <c r="A630" s="3"/>
      <c r="B630" s="17"/>
      <c r="C630" s="18"/>
      <c r="D630" s="18"/>
      <c r="E630" s="1"/>
      <c r="F630" s="15"/>
    </row>
    <row r="631" spans="1:6" ht="12.75">
      <c r="A631" s="3"/>
      <c r="B631" s="17"/>
      <c r="C631" s="18"/>
      <c r="D631" s="18"/>
      <c r="E631" s="1"/>
      <c r="F631" s="15"/>
    </row>
    <row r="632" spans="1:6" ht="12.75">
      <c r="A632" s="3"/>
      <c r="B632" s="17"/>
      <c r="C632" s="18"/>
      <c r="D632" s="18"/>
      <c r="E632" s="1"/>
      <c r="F632" s="15"/>
    </row>
    <row r="633" spans="1:6" ht="12.75">
      <c r="A633" s="3"/>
      <c r="B633" s="17"/>
      <c r="C633" s="18"/>
      <c r="D633" s="18"/>
      <c r="E633" s="1"/>
      <c r="F633" s="15"/>
    </row>
    <row r="634" spans="1:6" ht="12.75">
      <c r="A634" s="3"/>
      <c r="B634" s="17"/>
      <c r="C634" s="18"/>
      <c r="D634" s="18"/>
      <c r="E634" s="1"/>
      <c r="F634" s="15"/>
    </row>
    <row r="635" spans="1:6" ht="12.75">
      <c r="A635" s="3"/>
      <c r="B635" s="17"/>
      <c r="C635" s="18"/>
      <c r="D635" s="18"/>
      <c r="E635" s="1"/>
      <c r="F635" s="15"/>
    </row>
    <row r="636" spans="1:6" ht="12.75">
      <c r="A636" s="3"/>
      <c r="B636" s="17"/>
      <c r="C636" s="18"/>
      <c r="D636" s="18"/>
      <c r="E636" s="1"/>
      <c r="F636" s="15"/>
    </row>
    <row r="637" spans="1:6" ht="12.75">
      <c r="A637" s="3"/>
      <c r="B637" s="17"/>
      <c r="C637" s="18"/>
      <c r="D637" s="18"/>
      <c r="E637" s="1"/>
      <c r="F637" s="15"/>
    </row>
    <row r="638" spans="1:6" ht="12.75">
      <c r="A638" s="3"/>
      <c r="B638" s="17"/>
      <c r="C638" s="18"/>
      <c r="D638" s="18"/>
      <c r="E638" s="1"/>
      <c r="F638" s="15"/>
    </row>
    <row r="639" spans="1:6" ht="12.75">
      <c r="A639" s="3"/>
      <c r="B639" s="17"/>
      <c r="C639" s="18"/>
      <c r="D639" s="18"/>
      <c r="E639" s="1"/>
      <c r="F639" s="15"/>
    </row>
    <row r="640" spans="1:6" ht="12.75">
      <c r="A640" s="3"/>
      <c r="B640" s="17"/>
      <c r="C640" s="18"/>
      <c r="D640" s="18"/>
      <c r="E640" s="1"/>
      <c r="F640" s="15"/>
    </row>
    <row r="641" spans="1:6" ht="12.75">
      <c r="A641" s="3"/>
      <c r="B641" s="17"/>
      <c r="C641" s="18"/>
      <c r="D641" s="18"/>
      <c r="E641" s="1"/>
      <c r="F641" s="15"/>
    </row>
    <row r="642" spans="1:6" ht="12.75">
      <c r="A642" s="3"/>
      <c r="B642" s="17"/>
      <c r="C642" s="18"/>
      <c r="D642" s="18"/>
      <c r="E642" s="1"/>
      <c r="F642" s="15"/>
    </row>
    <row r="643" spans="1:6" ht="12.75">
      <c r="A643" s="3"/>
      <c r="B643" s="17"/>
      <c r="C643" s="18"/>
      <c r="D643" s="18"/>
      <c r="E643" s="1"/>
      <c r="F643" s="15"/>
    </row>
    <row r="644" spans="1:6" ht="12.75">
      <c r="A644" s="3"/>
      <c r="B644" s="17"/>
      <c r="C644" s="18"/>
      <c r="D644" s="18"/>
      <c r="E644" s="1"/>
      <c r="F644" s="15"/>
    </row>
    <row r="645" spans="1:6" ht="12.75">
      <c r="A645" s="3"/>
      <c r="B645" s="17"/>
      <c r="C645" s="18"/>
      <c r="D645" s="18"/>
      <c r="E645" s="1"/>
      <c r="F645" s="15"/>
    </row>
    <row r="646" spans="1:6" ht="12.75">
      <c r="A646" s="3"/>
      <c r="B646" s="17"/>
      <c r="C646" s="18"/>
      <c r="D646" s="18"/>
      <c r="E646" s="1"/>
      <c r="F646" s="15"/>
    </row>
    <row r="647" spans="1:6" ht="12.75">
      <c r="A647" s="3"/>
      <c r="B647" s="17"/>
      <c r="C647" s="18"/>
      <c r="D647" s="18"/>
      <c r="E647" s="1"/>
      <c r="F647" s="15"/>
    </row>
    <row r="648" spans="1:6" ht="12.75">
      <c r="A648" s="3"/>
      <c r="B648" s="17"/>
      <c r="C648" s="18"/>
      <c r="D648" s="18"/>
      <c r="E648" s="1"/>
      <c r="F648" s="15"/>
    </row>
    <row r="649" spans="1:6" ht="12.75">
      <c r="A649" s="3"/>
      <c r="B649" s="17"/>
      <c r="C649" s="18"/>
      <c r="D649" s="18"/>
      <c r="E649" s="1"/>
      <c r="F649" s="15"/>
    </row>
    <row r="650" spans="1:6" ht="12.75">
      <c r="A650" s="3"/>
      <c r="B650" s="17"/>
      <c r="C650" s="18"/>
      <c r="D650" s="18"/>
      <c r="E650" s="1"/>
      <c r="F650" s="15"/>
    </row>
    <row r="651" spans="1:6" ht="12.75">
      <c r="A651" s="3"/>
      <c r="B651" s="17"/>
      <c r="C651" s="18"/>
      <c r="D651" s="18"/>
      <c r="E651" s="1"/>
      <c r="F651" s="15"/>
    </row>
    <row r="652" spans="1:6" ht="12.75">
      <c r="A652" s="3"/>
      <c r="B652" s="17"/>
      <c r="C652" s="18"/>
      <c r="D652" s="18"/>
      <c r="E652" s="1"/>
      <c r="F652" s="15"/>
    </row>
    <row r="653" spans="1:6" ht="12.75">
      <c r="A653" s="3"/>
      <c r="B653" s="17"/>
      <c r="C653" s="18"/>
      <c r="D653" s="18"/>
      <c r="E653" s="1"/>
      <c r="F653" s="15"/>
    </row>
    <row r="654" spans="1:6" ht="12.75">
      <c r="A654" s="3"/>
      <c r="B654" s="17"/>
      <c r="C654" s="18"/>
      <c r="D654" s="18"/>
      <c r="E654" s="1"/>
      <c r="F654" s="15"/>
    </row>
    <row r="655" spans="1:6" ht="12.75">
      <c r="A655" s="3"/>
      <c r="B655" s="17"/>
      <c r="C655" s="18"/>
      <c r="D655" s="18"/>
      <c r="E655" s="1"/>
      <c r="F655" s="15"/>
    </row>
    <row r="656" spans="1:6" ht="12.75">
      <c r="A656" s="3"/>
      <c r="B656" s="17"/>
      <c r="C656" s="18"/>
      <c r="D656" s="18"/>
      <c r="E656" s="1"/>
      <c r="F656" s="15"/>
    </row>
    <row r="657" spans="1:6" ht="12.75">
      <c r="A657" s="3"/>
      <c r="B657" s="17"/>
      <c r="C657" s="18"/>
      <c r="D657" s="18"/>
      <c r="E657" s="1"/>
      <c r="F657" s="15"/>
    </row>
    <row r="658" spans="1:6" ht="12.75">
      <c r="A658" s="3"/>
      <c r="B658" s="17"/>
      <c r="C658" s="18"/>
      <c r="D658" s="18"/>
      <c r="E658" s="1"/>
      <c r="F658" s="15"/>
    </row>
    <row r="659" spans="1:6" ht="12.75">
      <c r="A659" s="3"/>
      <c r="B659" s="17"/>
      <c r="C659" s="18"/>
      <c r="D659" s="18"/>
      <c r="E659" s="1"/>
      <c r="F659" s="15"/>
    </row>
    <row r="660" spans="1:6" ht="12.75">
      <c r="A660" s="3"/>
      <c r="B660" s="17"/>
      <c r="C660" s="18"/>
      <c r="D660" s="18"/>
      <c r="E660" s="1"/>
      <c r="F660" s="15"/>
    </row>
    <row r="661" spans="1:6" ht="12.75">
      <c r="A661" s="3"/>
      <c r="B661" s="17"/>
      <c r="C661" s="18"/>
      <c r="D661" s="18"/>
      <c r="E661" s="1"/>
      <c r="F661" s="15"/>
    </row>
    <row r="662" spans="1:6" ht="12.75">
      <c r="A662" s="3"/>
      <c r="B662" s="17"/>
      <c r="C662" s="18"/>
      <c r="D662" s="18"/>
      <c r="E662" s="1"/>
      <c r="F662" s="15"/>
    </row>
    <row r="663" spans="1:6" ht="12.75">
      <c r="A663" s="3"/>
      <c r="B663" s="17"/>
      <c r="C663" s="18"/>
      <c r="D663" s="18"/>
      <c r="E663" s="1"/>
      <c r="F663" s="15"/>
    </row>
    <row r="664" spans="1:6" ht="12.75">
      <c r="A664" s="3"/>
      <c r="B664" s="17"/>
      <c r="C664" s="18"/>
      <c r="D664" s="18"/>
      <c r="E664" s="1"/>
      <c r="F664" s="15"/>
    </row>
    <row r="665" spans="1:6" ht="12.75">
      <c r="A665" s="3"/>
      <c r="B665" s="17"/>
      <c r="C665" s="18"/>
      <c r="D665" s="18"/>
      <c r="E665" s="1"/>
      <c r="F665" s="15"/>
    </row>
    <row r="666" spans="1:6" ht="12.75">
      <c r="A666" s="3"/>
      <c r="B666" s="17"/>
      <c r="C666" s="18"/>
      <c r="D666" s="18"/>
      <c r="E666" s="1"/>
      <c r="F666" s="15"/>
    </row>
    <row r="667" spans="1:6" ht="12.75">
      <c r="A667" s="3"/>
      <c r="B667" s="17"/>
      <c r="C667" s="18"/>
      <c r="D667" s="18"/>
      <c r="E667" s="1"/>
      <c r="F667" s="15"/>
    </row>
    <row r="668" spans="1:6" ht="12.75">
      <c r="A668" s="3"/>
      <c r="B668" s="17"/>
      <c r="C668" s="18"/>
      <c r="D668" s="18"/>
      <c r="E668" s="1"/>
      <c r="F668" s="15"/>
    </row>
    <row r="669" spans="1:6" ht="12.75">
      <c r="A669" s="3"/>
      <c r="B669" s="17"/>
      <c r="C669" s="18"/>
      <c r="D669" s="18"/>
      <c r="E669" s="1"/>
      <c r="F669" s="15"/>
    </row>
    <row r="670" spans="1:6" ht="12.75">
      <c r="A670" s="3"/>
      <c r="B670" s="17"/>
      <c r="C670" s="18"/>
      <c r="D670" s="18"/>
      <c r="E670" s="1"/>
      <c r="F670" s="15"/>
    </row>
    <row r="671" spans="1:6" ht="12.75">
      <c r="A671" s="3"/>
      <c r="B671" s="17"/>
      <c r="C671" s="18"/>
      <c r="D671" s="18"/>
      <c r="E671" s="1"/>
      <c r="F671" s="15"/>
    </row>
    <row r="672" spans="1:6" ht="12.75">
      <c r="A672" s="3"/>
      <c r="B672" s="17"/>
      <c r="C672" s="18"/>
      <c r="D672" s="18"/>
      <c r="E672" s="1"/>
      <c r="F672" s="15"/>
    </row>
    <row r="673" spans="1:6" ht="12.75">
      <c r="A673" s="3"/>
      <c r="B673" s="17"/>
      <c r="C673" s="18"/>
      <c r="D673" s="18"/>
      <c r="E673" s="1"/>
      <c r="F673" s="15"/>
    </row>
    <row r="674" spans="1:6" ht="12.75">
      <c r="A674" s="3"/>
      <c r="B674" s="17"/>
      <c r="C674" s="18"/>
      <c r="D674" s="18"/>
      <c r="E674" s="1"/>
      <c r="F674" s="15"/>
    </row>
    <row r="675" spans="1:6" ht="12.75">
      <c r="A675" s="3"/>
      <c r="B675" s="17"/>
      <c r="C675" s="18"/>
      <c r="D675" s="18"/>
      <c r="E675" s="1"/>
      <c r="F675" s="15"/>
    </row>
    <row r="676" spans="1:6" ht="12.75">
      <c r="A676" s="3"/>
      <c r="B676" s="17"/>
      <c r="C676" s="18"/>
      <c r="D676" s="18"/>
      <c r="E676" s="1"/>
      <c r="F676" s="15"/>
    </row>
    <row r="677" spans="1:6" ht="12.75">
      <c r="A677" s="3"/>
      <c r="B677" s="17"/>
      <c r="C677" s="18"/>
      <c r="D677" s="18"/>
      <c r="E677" s="1"/>
      <c r="F677" s="15"/>
    </row>
    <row r="678" spans="1:6" ht="12.75">
      <c r="A678" s="3"/>
      <c r="B678" s="17"/>
      <c r="C678" s="18"/>
      <c r="D678" s="18"/>
      <c r="E678" s="1"/>
      <c r="F678" s="15"/>
    </row>
    <row r="679" spans="1:6" ht="12.75">
      <c r="A679" s="3"/>
      <c r="B679" s="17"/>
      <c r="C679" s="18"/>
      <c r="D679" s="18"/>
      <c r="E679" s="1"/>
      <c r="F679" s="15"/>
    </row>
    <row r="680" spans="1:6" ht="12.75">
      <c r="A680" s="3"/>
      <c r="B680" s="17"/>
      <c r="C680" s="18"/>
      <c r="D680" s="18"/>
      <c r="E680" s="1"/>
      <c r="F680" s="15"/>
    </row>
    <row r="681" spans="1:6" ht="12.75">
      <c r="A681" s="3"/>
      <c r="B681" s="17"/>
      <c r="C681" s="18"/>
      <c r="D681" s="18"/>
      <c r="E681" s="1"/>
      <c r="F681" s="15"/>
    </row>
    <row r="682" spans="1:6" ht="12.75">
      <c r="A682" s="3"/>
      <c r="B682" s="17"/>
      <c r="C682" s="18"/>
      <c r="D682" s="18"/>
      <c r="E682" s="1"/>
      <c r="F682" s="15"/>
    </row>
    <row r="683" spans="1:6" ht="12.75">
      <c r="A683" s="3"/>
      <c r="B683" s="17"/>
      <c r="C683" s="18"/>
      <c r="D683" s="18"/>
      <c r="E683" s="1"/>
      <c r="F683" s="15"/>
    </row>
    <row r="684" spans="1:6" ht="12.75">
      <c r="A684" s="3"/>
      <c r="B684" s="17"/>
      <c r="C684" s="18"/>
      <c r="D684" s="18"/>
      <c r="E684" s="1"/>
      <c r="F684" s="15"/>
    </row>
    <row r="685" spans="1:6" ht="12.75">
      <c r="A685" s="3"/>
      <c r="B685" s="17"/>
      <c r="C685" s="18"/>
      <c r="D685" s="18"/>
      <c r="E685" s="1"/>
      <c r="F685" s="15"/>
    </row>
    <row r="686" spans="1:6" ht="12.75">
      <c r="A686" s="3"/>
      <c r="B686" s="17"/>
      <c r="C686" s="18"/>
      <c r="D686" s="18"/>
      <c r="E686" s="1"/>
      <c r="F686" s="15"/>
    </row>
    <row r="687" spans="1:6" ht="12.75">
      <c r="A687" s="3"/>
      <c r="B687" s="17"/>
      <c r="C687" s="18"/>
      <c r="D687" s="18"/>
      <c r="E687" s="1"/>
      <c r="F687" s="15"/>
    </row>
    <row r="688" spans="1:6" ht="12.75">
      <c r="A688" s="3"/>
      <c r="B688" s="17"/>
      <c r="C688" s="18"/>
      <c r="D688" s="18"/>
      <c r="E688" s="1"/>
      <c r="F688" s="15"/>
    </row>
    <row r="689" spans="1:6" ht="12.75">
      <c r="A689" s="3"/>
      <c r="B689" s="17"/>
      <c r="C689" s="18"/>
      <c r="D689" s="18"/>
      <c r="E689" s="1"/>
      <c r="F689" s="15"/>
    </row>
    <row r="690" spans="1:6" ht="12.75">
      <c r="A690" s="3"/>
      <c r="B690" s="17"/>
      <c r="C690" s="18"/>
      <c r="D690" s="18"/>
      <c r="E690" s="1"/>
      <c r="F690" s="15"/>
    </row>
    <row r="691" spans="1:6" ht="12.75">
      <c r="A691" s="3"/>
      <c r="B691" s="17"/>
      <c r="C691" s="18"/>
      <c r="D691" s="18"/>
      <c r="E691" s="1"/>
      <c r="F691" s="15"/>
    </row>
    <row r="692" spans="1:6" ht="12.75">
      <c r="A692" s="3"/>
      <c r="B692" s="17"/>
      <c r="C692" s="18"/>
      <c r="D692" s="18"/>
      <c r="E692" s="1"/>
      <c r="F692" s="15"/>
    </row>
    <row r="693" spans="1:6" ht="12.75">
      <c r="A693" s="3"/>
      <c r="B693" s="17"/>
      <c r="C693" s="18"/>
      <c r="D693" s="18"/>
      <c r="E693" s="1"/>
      <c r="F693" s="15"/>
    </row>
    <row r="694" spans="1:6" ht="12.75">
      <c r="A694" s="3"/>
      <c r="B694" s="17"/>
      <c r="C694" s="18"/>
      <c r="D694" s="18"/>
      <c r="E694" s="1"/>
      <c r="F694" s="15"/>
    </row>
    <row r="695" spans="1:6" ht="12.75">
      <c r="A695" s="3"/>
      <c r="B695" s="17"/>
      <c r="C695" s="18"/>
      <c r="D695" s="18"/>
      <c r="E695" s="1"/>
      <c r="F695" s="15"/>
    </row>
    <row r="696" spans="1:6" ht="12.75">
      <c r="A696" s="3"/>
      <c r="B696" s="17"/>
      <c r="C696" s="18"/>
      <c r="D696" s="18"/>
      <c r="E696" s="1"/>
      <c r="F696" s="15"/>
    </row>
    <row r="697" spans="1:6" ht="12.75">
      <c r="A697" s="3"/>
      <c r="B697" s="17"/>
      <c r="C697" s="18"/>
      <c r="D697" s="18"/>
      <c r="E697" s="1"/>
      <c r="F697" s="15"/>
    </row>
    <row r="698" spans="1:6" ht="12.75">
      <c r="A698" s="3"/>
      <c r="B698" s="17"/>
      <c r="C698" s="18"/>
      <c r="D698" s="18"/>
      <c r="E698" s="1"/>
      <c r="F698" s="15"/>
    </row>
    <row r="699" spans="1:6" ht="12.75">
      <c r="A699" s="3"/>
      <c r="B699" s="17"/>
      <c r="C699" s="18"/>
      <c r="D699" s="18"/>
      <c r="E699" s="1"/>
      <c r="F699" s="15"/>
    </row>
    <row r="700" spans="1:6" ht="12.75">
      <c r="A700" s="3"/>
      <c r="B700" s="17"/>
      <c r="C700" s="18"/>
      <c r="D700" s="18"/>
      <c r="E700" s="1"/>
      <c r="F700" s="15"/>
    </row>
    <row r="701" spans="1:6" ht="12.75">
      <c r="A701" s="3"/>
      <c r="B701" s="17"/>
      <c r="C701" s="18"/>
      <c r="D701" s="18"/>
      <c r="E701" s="1"/>
      <c r="F701" s="15"/>
    </row>
    <row r="702" spans="1:6" ht="12.75">
      <c r="A702" s="3"/>
      <c r="B702" s="17"/>
      <c r="C702" s="18"/>
      <c r="D702" s="18"/>
      <c r="E702" s="1"/>
      <c r="F702" s="15"/>
    </row>
    <row r="703" spans="1:6" ht="12.75">
      <c r="A703" s="3"/>
      <c r="B703" s="17"/>
      <c r="C703" s="18"/>
      <c r="D703" s="18"/>
      <c r="E703" s="1"/>
      <c r="F703" s="15"/>
    </row>
    <row r="704" spans="1:6" ht="12.75">
      <c r="A704" s="3"/>
      <c r="B704" s="17"/>
      <c r="C704" s="18"/>
      <c r="D704" s="18"/>
      <c r="E704" s="1"/>
      <c r="F704" s="15"/>
    </row>
    <row r="705" spans="1:6" ht="12.75">
      <c r="A705" s="3"/>
      <c r="B705" s="17"/>
      <c r="C705" s="18"/>
      <c r="D705" s="18"/>
      <c r="E705" s="1"/>
      <c r="F705" s="15"/>
    </row>
    <row r="706" spans="1:6" ht="12.75">
      <c r="A706" s="3"/>
      <c r="B706" s="17"/>
      <c r="C706" s="18"/>
      <c r="D706" s="18"/>
      <c r="E706" s="1"/>
      <c r="F706" s="15"/>
    </row>
    <row r="707" spans="1:6" ht="12.75">
      <c r="A707" s="3"/>
      <c r="B707" s="17"/>
      <c r="C707" s="18"/>
      <c r="D707" s="18"/>
      <c r="E707" s="1"/>
      <c r="F707" s="15"/>
    </row>
    <row r="708" spans="1:6" ht="12.75">
      <c r="A708" s="3"/>
      <c r="B708" s="17"/>
      <c r="C708" s="18"/>
      <c r="D708" s="18"/>
      <c r="E708" s="1"/>
      <c r="F708" s="15"/>
    </row>
    <row r="709" spans="1:6" ht="12.75">
      <c r="A709" s="3"/>
      <c r="B709" s="17"/>
      <c r="C709" s="18"/>
      <c r="D709" s="18"/>
      <c r="E709" s="1"/>
      <c r="F709" s="15"/>
    </row>
    <row r="710" spans="1:6" ht="12.75">
      <c r="A710" s="3"/>
      <c r="B710" s="17"/>
      <c r="C710" s="18"/>
      <c r="D710" s="18"/>
      <c r="E710" s="1"/>
      <c r="F710" s="15"/>
    </row>
    <row r="711" spans="1:6" ht="12.75">
      <c r="A711" s="3"/>
      <c r="B711" s="17"/>
      <c r="C711" s="18"/>
      <c r="D711" s="18"/>
      <c r="E711" s="1"/>
      <c r="F711" s="15"/>
    </row>
    <row r="712" spans="1:6" ht="12.75">
      <c r="A712" s="3"/>
      <c r="B712" s="17"/>
      <c r="C712" s="18"/>
      <c r="D712" s="18"/>
      <c r="E712" s="1"/>
      <c r="F712" s="15"/>
    </row>
    <row r="713" spans="1:6" ht="12.75">
      <c r="A713" s="3"/>
      <c r="B713" s="17"/>
      <c r="C713" s="18"/>
      <c r="D713" s="18"/>
      <c r="E713" s="1"/>
      <c r="F713" s="15"/>
    </row>
    <row r="714" spans="1:6" ht="12.75">
      <c r="A714" s="3"/>
      <c r="B714" s="17"/>
      <c r="C714" s="18"/>
      <c r="D714" s="18"/>
      <c r="E714" s="1"/>
      <c r="F714" s="15"/>
    </row>
    <row r="715" spans="1:6" ht="12.75">
      <c r="A715" s="3"/>
      <c r="B715" s="17"/>
      <c r="C715" s="18"/>
      <c r="D715" s="18"/>
      <c r="E715" s="1"/>
      <c r="F715" s="15"/>
    </row>
    <row r="716" spans="1:6" ht="12.75">
      <c r="A716" s="3"/>
      <c r="B716" s="17"/>
      <c r="C716" s="18"/>
      <c r="D716" s="18"/>
      <c r="E716" s="1"/>
      <c r="F716" s="15"/>
    </row>
    <row r="717" spans="1:6" ht="12.75">
      <c r="A717" s="3"/>
      <c r="B717" s="17"/>
      <c r="C717" s="18"/>
      <c r="D717" s="18"/>
      <c r="E717" s="1"/>
      <c r="F717" s="15"/>
    </row>
    <row r="718" spans="1:6" ht="12.75">
      <c r="A718" s="3"/>
      <c r="B718" s="17"/>
      <c r="C718" s="18"/>
      <c r="D718" s="18"/>
      <c r="E718" s="1"/>
      <c r="F718" s="15"/>
    </row>
    <row r="719" spans="1:6" ht="12.75">
      <c r="A719" s="3"/>
      <c r="B719" s="17"/>
      <c r="C719" s="18"/>
      <c r="D719" s="18"/>
      <c r="E719" s="1"/>
      <c r="F719" s="15"/>
    </row>
    <row r="720" spans="1:6" ht="12.75">
      <c r="A720" s="3"/>
      <c r="B720" s="17"/>
      <c r="C720" s="18"/>
      <c r="D720" s="18"/>
      <c r="E720" s="1"/>
      <c r="F720" s="15"/>
    </row>
    <row r="721" spans="1:6" ht="12.75">
      <c r="A721" s="3"/>
      <c r="B721" s="17"/>
      <c r="C721" s="18"/>
      <c r="D721" s="18"/>
      <c r="E721" s="1"/>
      <c r="F721" s="15"/>
    </row>
    <row r="722" spans="1:6" ht="12.75">
      <c r="A722" s="3"/>
      <c r="B722" s="17"/>
      <c r="C722" s="18"/>
      <c r="D722" s="18"/>
      <c r="E722" s="1"/>
      <c r="F722" s="15"/>
    </row>
    <row r="723" spans="1:6" ht="12.75">
      <c r="A723" s="3"/>
      <c r="B723" s="17"/>
      <c r="C723" s="18"/>
      <c r="D723" s="18"/>
      <c r="E723" s="1"/>
      <c r="F723" s="15"/>
    </row>
    <row r="724" spans="1:6" ht="12.75">
      <c r="A724" s="3"/>
      <c r="B724" s="17"/>
      <c r="C724" s="18"/>
      <c r="D724" s="18"/>
      <c r="E724" s="1"/>
      <c r="F724" s="15"/>
    </row>
    <row r="725" spans="1:6" ht="12.75">
      <c r="A725" s="3"/>
      <c r="B725" s="17"/>
      <c r="C725" s="18"/>
      <c r="D725" s="18"/>
      <c r="E725" s="1"/>
      <c r="F725" s="15"/>
    </row>
    <row r="726" spans="1:6" ht="12.75">
      <c r="A726" s="3"/>
      <c r="B726" s="17"/>
      <c r="C726" s="18"/>
      <c r="D726" s="18"/>
      <c r="E726" s="1"/>
      <c r="F726" s="15"/>
    </row>
    <row r="727" spans="1:6" ht="12.75">
      <c r="A727" s="3"/>
      <c r="B727" s="17"/>
      <c r="C727" s="18"/>
      <c r="D727" s="18"/>
      <c r="E727" s="1"/>
      <c r="F727" s="15"/>
    </row>
    <row r="728" spans="1:6" ht="12.75">
      <c r="A728" s="3"/>
      <c r="B728" s="17"/>
      <c r="C728" s="18"/>
      <c r="D728" s="18"/>
      <c r="E728" s="1"/>
      <c r="F728" s="15"/>
    </row>
    <row r="729" spans="1:6" ht="12.75">
      <c r="A729" s="3"/>
      <c r="B729" s="17"/>
      <c r="C729" s="18"/>
      <c r="D729" s="18"/>
      <c r="E729" s="1"/>
      <c r="F729" s="15"/>
    </row>
    <row r="730" spans="1:6" ht="12.75">
      <c r="A730" s="3"/>
      <c r="B730" s="17"/>
      <c r="C730" s="18"/>
      <c r="D730" s="18"/>
      <c r="E730" s="1"/>
      <c r="F730" s="15"/>
    </row>
    <row r="731" spans="1:6" ht="12.75">
      <c r="A731" s="3"/>
      <c r="B731" s="17"/>
      <c r="C731" s="18"/>
      <c r="D731" s="18"/>
      <c r="E731" s="1"/>
      <c r="F731" s="15"/>
    </row>
    <row r="732" spans="1:6" ht="12.75">
      <c r="A732" s="3"/>
      <c r="B732" s="17"/>
      <c r="C732" s="18"/>
      <c r="D732" s="18"/>
      <c r="E732" s="1"/>
      <c r="F732" s="15"/>
    </row>
    <row r="733" spans="1:6" ht="12.75">
      <c r="A733" s="3"/>
      <c r="B733" s="17"/>
      <c r="C733" s="18"/>
      <c r="D733" s="18"/>
      <c r="E733" s="1"/>
      <c r="F733" s="15"/>
    </row>
    <row r="734" spans="1:6" ht="12.75">
      <c r="A734" s="3"/>
      <c r="B734" s="17"/>
      <c r="C734" s="18"/>
      <c r="D734" s="18"/>
      <c r="E734" s="1"/>
      <c r="F734" s="15"/>
    </row>
    <row r="735" spans="1:6" ht="12.75">
      <c r="A735" s="3"/>
      <c r="B735" s="17"/>
      <c r="C735" s="18"/>
      <c r="D735" s="18"/>
      <c r="E735" s="1"/>
      <c r="F735" s="15"/>
    </row>
    <row r="736" spans="1:6" ht="12.75">
      <c r="A736" s="3"/>
      <c r="B736" s="17"/>
      <c r="C736" s="18"/>
      <c r="D736" s="18"/>
      <c r="E736" s="1"/>
      <c r="F736" s="15"/>
    </row>
    <row r="737" spans="1:6" ht="12.75">
      <c r="A737" s="3"/>
      <c r="B737" s="17"/>
      <c r="C737" s="18"/>
      <c r="D737" s="18"/>
      <c r="E737" s="1"/>
      <c r="F737" s="15"/>
    </row>
    <row r="738" spans="1:6" ht="12.75">
      <c r="A738" s="3"/>
      <c r="B738" s="17"/>
      <c r="C738" s="18"/>
      <c r="D738" s="18"/>
      <c r="E738" s="1"/>
      <c r="F738" s="15"/>
    </row>
    <row r="739" spans="1:6" ht="12.75">
      <c r="A739" s="3"/>
      <c r="B739" s="17"/>
      <c r="C739" s="18"/>
      <c r="D739" s="18"/>
      <c r="E739" s="1"/>
      <c r="F739" s="15"/>
    </row>
    <row r="740" spans="1:6" ht="12.75">
      <c r="A740" s="3"/>
      <c r="B740" s="17"/>
      <c r="C740" s="18"/>
      <c r="D740" s="18"/>
      <c r="E740" s="1"/>
      <c r="F740" s="15"/>
    </row>
    <row r="741" spans="1:6" ht="12.75">
      <c r="A741" s="3"/>
      <c r="B741" s="17"/>
      <c r="C741" s="18"/>
      <c r="D741" s="18"/>
      <c r="E741" s="1"/>
      <c r="F741" s="15"/>
    </row>
    <row r="742" spans="1:6" ht="12.75">
      <c r="A742" s="3"/>
      <c r="B742" s="17"/>
      <c r="C742" s="18"/>
      <c r="D742" s="18"/>
      <c r="E742" s="1"/>
      <c r="F742" s="15"/>
    </row>
    <row r="743" spans="1:6" ht="12.75">
      <c r="A743" s="3"/>
      <c r="B743" s="17"/>
      <c r="C743" s="18"/>
      <c r="D743" s="18"/>
      <c r="E743" s="1"/>
      <c r="F743" s="15"/>
    </row>
    <row r="744" spans="1:6" ht="12.75">
      <c r="A744" s="3"/>
      <c r="B744" s="17"/>
      <c r="C744" s="18"/>
      <c r="D744" s="18"/>
      <c r="E744" s="1"/>
      <c r="F744" s="15"/>
    </row>
    <row r="745" spans="1:6" ht="12.75">
      <c r="A745" s="3"/>
      <c r="B745" s="17"/>
      <c r="C745" s="18"/>
      <c r="D745" s="18"/>
      <c r="E745" s="1"/>
      <c r="F745" s="15"/>
    </row>
    <row r="746" spans="1:6" ht="12.75">
      <c r="A746" s="3"/>
      <c r="B746" s="17"/>
      <c r="C746" s="18"/>
      <c r="D746" s="18"/>
      <c r="E746" s="1"/>
      <c r="F746" s="15"/>
    </row>
    <row r="747" spans="1:6" ht="12.75">
      <c r="A747" s="3"/>
      <c r="B747" s="17"/>
      <c r="C747" s="18"/>
      <c r="D747" s="18"/>
      <c r="E747" s="1"/>
      <c r="F747" s="15"/>
    </row>
    <row r="748" spans="1:6" ht="12.75">
      <c r="A748" s="3"/>
      <c r="B748" s="17"/>
      <c r="C748" s="18"/>
      <c r="D748" s="18"/>
      <c r="E748" s="1"/>
      <c r="F748" s="15"/>
    </row>
    <row r="749" spans="1:6" ht="12.75">
      <c r="A749" s="3"/>
      <c r="B749" s="17"/>
      <c r="C749" s="18"/>
      <c r="D749" s="18"/>
      <c r="E749" s="1"/>
      <c r="F749" s="15"/>
    </row>
    <row r="750" spans="1:6" ht="12.75">
      <c r="A750" s="3"/>
      <c r="B750" s="17"/>
      <c r="C750" s="18"/>
      <c r="D750" s="18"/>
      <c r="E750" s="1"/>
      <c r="F750" s="15"/>
    </row>
    <row r="751" spans="1:6" ht="12.75">
      <c r="A751" s="3"/>
      <c r="B751" s="17"/>
      <c r="C751" s="18"/>
      <c r="D751" s="18"/>
      <c r="E751" s="1"/>
      <c r="F751" s="15"/>
    </row>
    <row r="752" spans="1:6" ht="12.75">
      <c r="A752" s="3"/>
      <c r="B752" s="17"/>
      <c r="C752" s="18"/>
      <c r="D752" s="18"/>
      <c r="E752" s="1"/>
      <c r="F752" s="15"/>
    </row>
    <row r="753" spans="1:6" ht="12.75">
      <c r="A753" s="3"/>
      <c r="B753" s="17"/>
      <c r="C753" s="18"/>
      <c r="D753" s="18"/>
      <c r="E753" s="1"/>
      <c r="F753" s="15"/>
    </row>
    <row r="754" spans="1:6" ht="12.75">
      <c r="A754" s="3"/>
      <c r="B754" s="17"/>
      <c r="C754" s="18"/>
      <c r="D754" s="18"/>
      <c r="E754" s="1"/>
      <c r="F754" s="15"/>
    </row>
    <row r="755" spans="1:6" ht="12.75">
      <c r="A755" s="3"/>
      <c r="B755" s="17"/>
      <c r="C755" s="18"/>
      <c r="D755" s="18"/>
      <c r="E755" s="1"/>
      <c r="F755" s="15"/>
    </row>
    <row r="756" spans="1:6" ht="12.75">
      <c r="A756" s="3"/>
      <c r="B756" s="17"/>
      <c r="C756" s="18"/>
      <c r="D756" s="18"/>
      <c r="E756" s="1"/>
      <c r="F756" s="15"/>
    </row>
    <row r="757" spans="1:6" ht="12.75">
      <c r="A757" s="3"/>
      <c r="B757" s="17"/>
      <c r="C757" s="18"/>
      <c r="D757" s="18"/>
      <c r="E757" s="1"/>
      <c r="F757" s="15"/>
    </row>
    <row r="758" spans="1:6" ht="12.75">
      <c r="A758" s="3"/>
      <c r="B758" s="17"/>
      <c r="C758" s="18"/>
      <c r="D758" s="18"/>
      <c r="E758" s="1"/>
      <c r="F758" s="15"/>
    </row>
    <row r="759" spans="1:6" ht="12.75">
      <c r="A759" s="3"/>
      <c r="B759" s="17"/>
      <c r="C759" s="18"/>
      <c r="D759" s="18"/>
      <c r="E759" s="1"/>
      <c r="F759" s="15"/>
    </row>
    <row r="760" spans="1:6" ht="12.75">
      <c r="A760" s="3"/>
      <c r="B760" s="17"/>
      <c r="C760" s="18"/>
      <c r="D760" s="18"/>
      <c r="E760" s="1"/>
      <c r="F760" s="15"/>
    </row>
    <row r="761" spans="1:6" ht="12.75">
      <c r="A761" s="3"/>
      <c r="B761" s="17"/>
      <c r="C761" s="18"/>
      <c r="D761" s="18"/>
      <c r="E761" s="1"/>
      <c r="F761" s="15"/>
    </row>
    <row r="762" spans="1:6" ht="12.75">
      <c r="A762" s="3"/>
      <c r="B762" s="17"/>
      <c r="C762" s="18"/>
      <c r="D762" s="18"/>
      <c r="E762" s="1"/>
      <c r="F762" s="15"/>
    </row>
    <row r="763" spans="1:6" ht="12.75">
      <c r="A763" s="3"/>
      <c r="B763" s="17"/>
      <c r="C763" s="18"/>
      <c r="D763" s="18"/>
      <c r="E763" s="1"/>
      <c r="F763" s="15"/>
    </row>
    <row r="764" spans="1:6" ht="12.75">
      <c r="A764" s="3"/>
      <c r="B764" s="17"/>
      <c r="C764" s="18"/>
      <c r="D764" s="18"/>
      <c r="E764" s="1"/>
      <c r="F764" s="15"/>
    </row>
    <row r="765" spans="1:6" ht="12.75">
      <c r="A765" s="3"/>
      <c r="B765" s="17"/>
      <c r="C765" s="18"/>
      <c r="D765" s="18"/>
      <c r="E765" s="1"/>
      <c r="F765" s="15"/>
    </row>
    <row r="766" spans="1:6" ht="12.75">
      <c r="A766" s="3"/>
      <c r="B766" s="17"/>
      <c r="C766" s="18"/>
      <c r="D766" s="18"/>
      <c r="E766" s="1"/>
      <c r="F766" s="15"/>
    </row>
    <row r="767" spans="1:6" ht="12.75">
      <c r="A767" s="3"/>
      <c r="B767" s="17"/>
      <c r="C767" s="18"/>
      <c r="D767" s="18"/>
      <c r="E767" s="1"/>
      <c r="F767" s="15"/>
    </row>
    <row r="768" spans="1:6" ht="12.75">
      <c r="A768" s="3"/>
      <c r="B768" s="17"/>
      <c r="C768" s="18"/>
      <c r="D768" s="18"/>
      <c r="E768" s="1"/>
      <c r="F768" s="15"/>
    </row>
    <row r="769" spans="1:6" ht="12.75">
      <c r="A769" s="3"/>
      <c r="B769" s="17"/>
      <c r="C769" s="18"/>
      <c r="D769" s="18"/>
      <c r="E769" s="1"/>
      <c r="F769" s="15"/>
    </row>
    <row r="770" spans="1:6" ht="12.75">
      <c r="A770" s="3"/>
      <c r="B770" s="17"/>
      <c r="C770" s="18"/>
      <c r="D770" s="18"/>
      <c r="E770" s="1"/>
      <c r="F770" s="15"/>
    </row>
    <row r="771" spans="1:6" ht="12.75">
      <c r="A771" s="3"/>
      <c r="B771" s="17"/>
      <c r="C771" s="18"/>
      <c r="D771" s="18"/>
      <c r="E771" s="1"/>
      <c r="F771" s="15"/>
    </row>
    <row r="772" spans="1:6" ht="12.75">
      <c r="A772" s="3"/>
      <c r="B772" s="17"/>
      <c r="C772" s="18"/>
      <c r="D772" s="18"/>
      <c r="E772" s="1"/>
      <c r="F772" s="15"/>
    </row>
    <row r="773" spans="1:6" ht="12.75">
      <c r="A773" s="3"/>
      <c r="B773" s="17"/>
      <c r="C773" s="18"/>
      <c r="D773" s="18"/>
      <c r="E773" s="1"/>
      <c r="F773" s="15"/>
    </row>
    <row r="774" spans="1:6" ht="12.75">
      <c r="A774" s="3"/>
      <c r="B774" s="17"/>
      <c r="C774" s="18"/>
      <c r="D774" s="18"/>
      <c r="E774" s="1"/>
      <c r="F774" s="15"/>
    </row>
    <row r="775" spans="1:6" ht="12.75">
      <c r="A775" s="3"/>
      <c r="B775" s="17"/>
      <c r="C775" s="18"/>
      <c r="D775" s="18"/>
      <c r="E775" s="1"/>
      <c r="F775" s="15"/>
    </row>
    <row r="776" spans="1:6" ht="12.75">
      <c r="A776" s="3"/>
      <c r="B776" s="17"/>
      <c r="C776" s="18"/>
      <c r="D776" s="18"/>
      <c r="E776" s="1"/>
      <c r="F776" s="15"/>
    </row>
    <row r="777" spans="1:6" ht="12.75">
      <c r="A777" s="3"/>
      <c r="B777" s="17"/>
      <c r="C777" s="18"/>
      <c r="D777" s="18"/>
      <c r="E777" s="1"/>
      <c r="F777" s="15"/>
    </row>
    <row r="778" spans="1:6" ht="12.75">
      <c r="A778" s="3"/>
      <c r="B778" s="17"/>
      <c r="C778" s="18"/>
      <c r="D778" s="18"/>
      <c r="E778" s="1"/>
      <c r="F778" s="15"/>
    </row>
    <row r="779" spans="1:6" ht="12.75">
      <c r="A779" s="3"/>
      <c r="B779" s="17"/>
      <c r="C779" s="18"/>
      <c r="D779" s="18"/>
      <c r="E779" s="1"/>
      <c r="F779" s="15"/>
    </row>
    <row r="780" spans="1:6" ht="12.75">
      <c r="A780" s="3"/>
      <c r="B780" s="17"/>
      <c r="C780" s="18"/>
      <c r="D780" s="18"/>
      <c r="E780" s="1"/>
      <c r="F780" s="15"/>
    </row>
    <row r="781" spans="1:6" ht="12.75">
      <c r="A781" s="3"/>
      <c r="B781" s="17"/>
      <c r="C781" s="18"/>
      <c r="D781" s="18"/>
      <c r="E781" s="1"/>
      <c r="F781" s="15"/>
    </row>
    <row r="782" spans="1:6" ht="12.75">
      <c r="A782" s="3"/>
      <c r="B782" s="17"/>
      <c r="C782" s="18"/>
      <c r="D782" s="18"/>
      <c r="E782" s="1"/>
      <c r="F782" s="15"/>
    </row>
    <row r="783" spans="1:6" ht="12.75">
      <c r="A783" s="3"/>
      <c r="B783" s="17"/>
      <c r="C783" s="18"/>
      <c r="D783" s="18"/>
      <c r="E783" s="1"/>
      <c r="F783" s="15"/>
    </row>
    <row r="784" spans="1:6" ht="12.75">
      <c r="A784" s="3"/>
      <c r="B784" s="17"/>
      <c r="C784" s="18"/>
      <c r="D784" s="18"/>
      <c r="E784" s="1"/>
      <c r="F784" s="15"/>
    </row>
    <row r="785" spans="1:6" ht="12.75">
      <c r="A785" s="3"/>
      <c r="B785" s="17"/>
      <c r="C785" s="18"/>
      <c r="D785" s="18"/>
      <c r="E785" s="1"/>
      <c r="F785" s="15"/>
    </row>
    <row r="786" spans="1:6" ht="12.75">
      <c r="A786" s="3"/>
      <c r="B786" s="17"/>
      <c r="C786" s="18"/>
      <c r="D786" s="18"/>
      <c r="E786" s="1"/>
      <c r="F786" s="15"/>
    </row>
    <row r="787" spans="1:6" ht="12.75">
      <c r="A787" s="3"/>
      <c r="B787" s="17"/>
      <c r="C787" s="18"/>
      <c r="D787" s="18"/>
      <c r="E787" s="1"/>
      <c r="F787" s="15"/>
    </row>
    <row r="788" spans="1:6" ht="12.75">
      <c r="A788" s="3"/>
      <c r="B788" s="17"/>
      <c r="C788" s="18"/>
      <c r="D788" s="18"/>
      <c r="E788" s="1"/>
      <c r="F788" s="15"/>
    </row>
    <row r="789" spans="1:6" ht="12.75">
      <c r="A789" s="3"/>
      <c r="B789" s="17"/>
      <c r="C789" s="18"/>
      <c r="D789" s="18"/>
      <c r="E789" s="1"/>
      <c r="F789" s="15"/>
    </row>
    <row r="790" spans="1:6" ht="12.75">
      <c r="A790" s="3"/>
      <c r="B790" s="17"/>
      <c r="C790" s="18"/>
      <c r="D790" s="18"/>
      <c r="E790" s="1"/>
      <c r="F790" s="15"/>
    </row>
    <row r="791" spans="1:6" ht="12.75">
      <c r="A791" s="3"/>
      <c r="B791" s="17"/>
      <c r="C791" s="18"/>
      <c r="D791" s="18"/>
      <c r="E791" s="1"/>
      <c r="F791" s="15"/>
    </row>
    <row r="792" spans="1:6" ht="12.75">
      <c r="A792" s="3"/>
      <c r="B792" s="17"/>
      <c r="C792" s="18"/>
      <c r="D792" s="18"/>
      <c r="E792" s="1"/>
      <c r="F792" s="15"/>
    </row>
    <row r="793" spans="1:6" ht="12.75">
      <c r="A793" s="3"/>
      <c r="B793" s="17"/>
      <c r="C793" s="18"/>
      <c r="D793" s="18"/>
      <c r="E793" s="1"/>
      <c r="F793" s="15"/>
    </row>
    <row r="794" spans="1:6" ht="12.75">
      <c r="A794" s="3"/>
      <c r="B794" s="17"/>
      <c r="C794" s="18"/>
      <c r="D794" s="18"/>
      <c r="E794" s="1"/>
      <c r="F794" s="15"/>
    </row>
    <row r="795" spans="1:6" ht="12.75">
      <c r="A795" s="3"/>
      <c r="B795" s="17"/>
      <c r="C795" s="18"/>
      <c r="D795" s="18"/>
      <c r="E795" s="1"/>
      <c r="F795" s="15"/>
    </row>
    <row r="796" spans="1:6" ht="12.75">
      <c r="A796" s="3"/>
      <c r="B796" s="17"/>
      <c r="C796" s="18"/>
      <c r="D796" s="18"/>
      <c r="E796" s="1"/>
      <c r="F796" s="15"/>
    </row>
    <row r="797" spans="1:6" ht="12.75">
      <c r="A797" s="3"/>
      <c r="B797" s="17"/>
      <c r="C797" s="18"/>
      <c r="D797" s="18"/>
      <c r="E797" s="1"/>
      <c r="F797" s="15"/>
    </row>
    <row r="798" spans="1:6" ht="12.75">
      <c r="A798" s="3"/>
      <c r="B798" s="17"/>
      <c r="C798" s="18"/>
      <c r="D798" s="18"/>
      <c r="E798" s="1"/>
      <c r="F798" s="15"/>
    </row>
    <row r="799" spans="1:6" ht="12.75">
      <c r="A799" s="3"/>
      <c r="B799" s="17"/>
      <c r="C799" s="18"/>
      <c r="D799" s="18"/>
      <c r="E799" s="1"/>
      <c r="F799" s="15"/>
    </row>
    <row r="800" spans="1:6" ht="12.75">
      <c r="A800" s="3"/>
      <c r="B800" s="17"/>
      <c r="C800" s="18"/>
      <c r="D800" s="18"/>
      <c r="E800" s="1"/>
      <c r="F800" s="15"/>
    </row>
    <row r="801" spans="1:6" ht="12.75">
      <c r="A801" s="3"/>
      <c r="B801" s="17"/>
      <c r="C801" s="18"/>
      <c r="D801" s="18"/>
      <c r="E801" s="1"/>
      <c r="F801" s="15"/>
    </row>
    <row r="802" spans="1:6" ht="12.75">
      <c r="A802" s="3"/>
      <c r="B802" s="17"/>
      <c r="C802" s="18"/>
      <c r="D802" s="18"/>
      <c r="E802" s="1"/>
      <c r="F802" s="15"/>
    </row>
    <row r="803" spans="1:6" ht="12.75">
      <c r="A803" s="3"/>
      <c r="B803" s="17"/>
      <c r="C803" s="18"/>
      <c r="D803" s="18"/>
      <c r="E803" s="1"/>
      <c r="F803" s="15"/>
    </row>
    <row r="804" spans="1:6" ht="12.75">
      <c r="A804" s="3"/>
      <c r="B804" s="17"/>
      <c r="C804" s="18"/>
      <c r="D804" s="18"/>
      <c r="E804" s="1"/>
      <c r="F804" s="15"/>
    </row>
    <row r="805" spans="1:6" ht="12.75">
      <c r="A805" s="3"/>
      <c r="B805" s="17"/>
      <c r="C805" s="18"/>
      <c r="D805" s="18"/>
      <c r="E805" s="1"/>
      <c r="F805" s="15"/>
    </row>
    <row r="806" spans="1:6" ht="12.75">
      <c r="A806" s="3"/>
      <c r="B806" s="17"/>
      <c r="C806" s="18"/>
      <c r="D806" s="18"/>
      <c r="E806" s="1"/>
      <c r="F806" s="15"/>
    </row>
    <row r="807" spans="1:6" ht="12.75">
      <c r="A807" s="3"/>
      <c r="B807" s="17"/>
      <c r="C807" s="18"/>
      <c r="D807" s="18"/>
      <c r="E807" s="1"/>
      <c r="F807" s="15"/>
    </row>
    <row r="808" spans="1:6" ht="12.75">
      <c r="A808" s="3"/>
      <c r="B808" s="17"/>
      <c r="C808" s="18"/>
      <c r="D808" s="18"/>
      <c r="E808" s="1"/>
      <c r="F808" s="15"/>
    </row>
    <row r="809" spans="1:6" ht="12.75">
      <c r="A809" s="3"/>
      <c r="B809" s="17"/>
      <c r="C809" s="18"/>
      <c r="D809" s="18"/>
      <c r="E809" s="1"/>
      <c r="F809" s="15"/>
    </row>
    <row r="810" spans="1:6" ht="12.75">
      <c r="A810" s="3"/>
      <c r="B810" s="17"/>
      <c r="C810" s="18"/>
      <c r="D810" s="18"/>
      <c r="E810" s="1"/>
      <c r="F810" s="15"/>
    </row>
    <row r="811" spans="1:6" ht="12.75">
      <c r="A811" s="3"/>
      <c r="B811" s="17"/>
      <c r="C811" s="18"/>
      <c r="D811" s="18"/>
      <c r="E811" s="1"/>
      <c r="F811" s="15"/>
    </row>
    <row r="812" spans="1:6" ht="12.75">
      <c r="A812" s="3"/>
      <c r="B812" s="17"/>
      <c r="C812" s="18"/>
      <c r="D812" s="18"/>
      <c r="E812" s="1"/>
      <c r="F812" s="15"/>
    </row>
    <row r="813" spans="1:6" ht="12.75">
      <c r="A813" s="3"/>
      <c r="B813" s="17"/>
      <c r="C813" s="18"/>
      <c r="D813" s="18"/>
      <c r="E813" s="1"/>
      <c r="F813" s="15"/>
    </row>
    <row r="814" spans="1:6" ht="12.75">
      <c r="A814" s="3"/>
      <c r="B814" s="17"/>
      <c r="C814" s="18"/>
      <c r="D814" s="18"/>
      <c r="E814" s="1"/>
      <c r="F814" s="15"/>
    </row>
    <row r="815" spans="1:6" ht="12.75">
      <c r="A815" s="3"/>
      <c r="B815" s="17"/>
      <c r="C815" s="18"/>
      <c r="D815" s="18"/>
      <c r="E815" s="1"/>
      <c r="F815" s="15"/>
    </row>
    <row r="816" spans="1:6" ht="12.75">
      <c r="A816" s="3"/>
      <c r="B816" s="17"/>
      <c r="C816" s="18"/>
      <c r="D816" s="18"/>
      <c r="E816" s="1"/>
      <c r="F816" s="15"/>
    </row>
    <row r="817" spans="1:6" ht="12.75">
      <c r="A817" s="3"/>
      <c r="B817" s="17"/>
      <c r="C817" s="18"/>
      <c r="D817" s="18"/>
      <c r="E817" s="1"/>
      <c r="F817" s="15"/>
    </row>
    <row r="818" spans="1:6" ht="12.75">
      <c r="A818" s="3"/>
      <c r="B818" s="17"/>
      <c r="C818" s="18"/>
      <c r="D818" s="18"/>
      <c r="E818" s="1"/>
      <c r="F818" s="15"/>
    </row>
    <row r="819" spans="1:6" ht="12.75">
      <c r="A819" s="3"/>
      <c r="B819" s="17"/>
      <c r="C819" s="18"/>
      <c r="D819" s="18"/>
      <c r="E819" s="1"/>
      <c r="F819" s="15"/>
    </row>
    <row r="820" spans="1:6" ht="12.75">
      <c r="A820" s="3"/>
      <c r="B820" s="17"/>
      <c r="C820" s="18"/>
      <c r="D820" s="18"/>
      <c r="E820" s="1"/>
      <c r="F820" s="15"/>
    </row>
    <row r="821" spans="1:6" ht="12.75">
      <c r="A821" s="3"/>
      <c r="B821" s="17"/>
      <c r="C821" s="18"/>
      <c r="D821" s="18"/>
      <c r="E821" s="1"/>
      <c r="F821" s="15"/>
    </row>
    <row r="822" spans="1:6" ht="12.75">
      <c r="A822" s="3"/>
      <c r="B822" s="17"/>
      <c r="C822" s="18"/>
      <c r="D822" s="18"/>
      <c r="E822" s="1"/>
      <c r="F822" s="15"/>
    </row>
    <row r="823" spans="1:6" ht="12.75">
      <c r="A823" s="3"/>
      <c r="B823" s="17"/>
      <c r="C823" s="18"/>
      <c r="D823" s="18"/>
      <c r="E823" s="1"/>
      <c r="F823" s="15"/>
    </row>
    <row r="824" spans="1:6" ht="12.75">
      <c r="A824" s="3"/>
      <c r="B824" s="17"/>
      <c r="C824" s="18"/>
      <c r="D824" s="18"/>
      <c r="E824" s="1"/>
      <c r="F824" s="15"/>
    </row>
    <row r="825" spans="1:6" ht="12.75">
      <c r="A825" s="3"/>
      <c r="B825" s="17"/>
      <c r="C825" s="18"/>
      <c r="D825" s="18"/>
      <c r="E825" s="1"/>
      <c r="F825" s="15"/>
    </row>
    <row r="826" spans="1:6" ht="12.75">
      <c r="A826" s="3"/>
      <c r="B826" s="17"/>
      <c r="C826" s="18"/>
      <c r="D826" s="18"/>
      <c r="E826" s="1"/>
      <c r="F826" s="15"/>
    </row>
    <row r="827" spans="1:6" ht="12.75">
      <c r="A827" s="3"/>
      <c r="B827" s="17"/>
      <c r="C827" s="18"/>
      <c r="D827" s="18"/>
      <c r="E827" s="1"/>
      <c r="F827" s="15"/>
    </row>
    <row r="828" spans="1:6" ht="12.75">
      <c r="A828" s="3"/>
      <c r="B828" s="17"/>
      <c r="C828" s="18"/>
      <c r="D828" s="18"/>
      <c r="E828" s="1"/>
      <c r="F828" s="15"/>
    </row>
    <row r="829" spans="1:6" ht="12.75">
      <c r="A829" s="3"/>
      <c r="B829" s="17"/>
      <c r="C829" s="18"/>
      <c r="D829" s="18"/>
      <c r="E829" s="1"/>
      <c r="F829" s="15"/>
    </row>
    <row r="830" spans="1:6" ht="12.75">
      <c r="A830" s="3"/>
      <c r="B830" s="17"/>
      <c r="C830" s="18"/>
      <c r="D830" s="18"/>
      <c r="E830" s="1"/>
      <c r="F830" s="15"/>
    </row>
    <row r="831" spans="1:6" ht="12.75">
      <c r="A831" s="3"/>
      <c r="B831" s="17"/>
      <c r="C831" s="18"/>
      <c r="D831" s="18"/>
      <c r="E831" s="1"/>
      <c r="F831" s="15"/>
    </row>
    <row r="832" spans="1:6" ht="12.75">
      <c r="A832" s="3"/>
      <c r="B832" s="17"/>
      <c r="C832" s="18"/>
      <c r="D832" s="18"/>
      <c r="E832" s="1"/>
      <c r="F832" s="15"/>
    </row>
    <row r="833" spans="1:6" ht="12.75">
      <c r="A833" s="3"/>
      <c r="B833" s="17"/>
      <c r="C833" s="18"/>
      <c r="D833" s="18"/>
      <c r="E833" s="1"/>
      <c r="F833" s="15"/>
    </row>
    <row r="834" spans="1:6" ht="12.75">
      <c r="A834" s="3"/>
      <c r="B834" s="17"/>
      <c r="C834" s="18"/>
      <c r="D834" s="18"/>
      <c r="E834" s="1"/>
      <c r="F834" s="15"/>
    </row>
    <row r="835" spans="1:6" ht="12.75">
      <c r="A835" s="3"/>
      <c r="B835" s="17"/>
      <c r="C835" s="18"/>
      <c r="D835" s="18"/>
      <c r="E835" s="1"/>
      <c r="F835" s="15"/>
    </row>
    <row r="836" spans="1:6" ht="12.75">
      <c r="A836" s="3"/>
      <c r="B836" s="17"/>
      <c r="C836" s="18"/>
      <c r="D836" s="18"/>
      <c r="E836" s="1"/>
      <c r="F836" s="15"/>
    </row>
    <row r="837" spans="1:6" ht="12.75">
      <c r="A837" s="3"/>
      <c r="B837" s="17"/>
      <c r="C837" s="18"/>
      <c r="D837" s="18"/>
      <c r="E837" s="1"/>
      <c r="F837" s="15"/>
    </row>
    <row r="838" spans="1:6" ht="12.75">
      <c r="A838" s="3"/>
      <c r="B838" s="17"/>
      <c r="C838" s="18"/>
      <c r="D838" s="18"/>
      <c r="E838" s="1"/>
      <c r="F838" s="15"/>
    </row>
    <row r="839" spans="1:6" ht="12.75">
      <c r="A839" s="3"/>
      <c r="B839" s="17"/>
      <c r="C839" s="18"/>
      <c r="D839" s="18"/>
      <c r="E839" s="1"/>
      <c r="F839" s="15"/>
    </row>
    <row r="840" spans="1:6" ht="12.75">
      <c r="A840" s="3"/>
      <c r="B840" s="17"/>
      <c r="C840" s="18"/>
      <c r="D840" s="18"/>
      <c r="E840" s="1"/>
      <c r="F840" s="15"/>
    </row>
    <row r="841" spans="1:6" ht="12.75">
      <c r="A841" s="3"/>
      <c r="B841" s="17"/>
      <c r="C841" s="18"/>
      <c r="D841" s="18"/>
      <c r="E841" s="1"/>
      <c r="F841" s="15"/>
    </row>
    <row r="842" spans="1:6" ht="12.75">
      <c r="A842" s="3"/>
      <c r="B842" s="17"/>
      <c r="C842" s="18"/>
      <c r="D842" s="18"/>
      <c r="E842" s="1"/>
      <c r="F842" s="15"/>
    </row>
    <row r="843" spans="1:6" ht="12.75">
      <c r="A843" s="3"/>
      <c r="B843" s="17"/>
      <c r="C843" s="18"/>
      <c r="D843" s="18"/>
      <c r="E843" s="1"/>
      <c r="F843" s="15"/>
    </row>
    <row r="844" spans="1:6" ht="12.75">
      <c r="A844" s="3"/>
      <c r="B844" s="17"/>
      <c r="C844" s="18"/>
      <c r="D844" s="18"/>
      <c r="E844" s="1"/>
      <c r="F844" s="15"/>
    </row>
    <row r="845" spans="1:6" ht="12.75">
      <c r="A845" s="3"/>
      <c r="B845" s="17"/>
      <c r="C845" s="18"/>
      <c r="D845" s="18"/>
      <c r="E845" s="1"/>
      <c r="F845" s="15"/>
    </row>
    <row r="846" spans="1:6" ht="12.75">
      <c r="A846" s="3"/>
      <c r="B846" s="17"/>
      <c r="C846" s="18"/>
      <c r="D846" s="18"/>
      <c r="E846" s="1"/>
      <c r="F846" s="15"/>
    </row>
    <row r="847" spans="1:6" ht="12.75">
      <c r="A847" s="3"/>
      <c r="B847" s="17"/>
      <c r="C847" s="18"/>
      <c r="D847" s="18"/>
      <c r="E847" s="1"/>
      <c r="F847" s="15"/>
    </row>
    <row r="848" spans="1:6" ht="12.75">
      <c r="A848" s="3"/>
      <c r="B848" s="17"/>
      <c r="C848" s="18"/>
      <c r="D848" s="18"/>
      <c r="E848" s="1"/>
      <c r="F848" s="15"/>
    </row>
    <row r="849" spans="1:6" ht="12.75">
      <c r="A849" s="3"/>
      <c r="B849" s="17"/>
      <c r="C849" s="18"/>
      <c r="D849" s="18"/>
      <c r="E849" s="1"/>
      <c r="F849" s="15"/>
    </row>
    <row r="850" spans="1:6" ht="12.75">
      <c r="A850" s="3"/>
      <c r="B850" s="17"/>
      <c r="C850" s="18"/>
      <c r="D850" s="18"/>
      <c r="E850" s="1"/>
      <c r="F850" s="15"/>
    </row>
    <row r="851" spans="1:6" ht="12.75">
      <c r="A851" s="3"/>
      <c r="B851" s="17"/>
      <c r="C851" s="18"/>
      <c r="D851" s="18"/>
      <c r="E851" s="1"/>
      <c r="F851" s="15"/>
    </row>
    <row r="852" spans="1:6" ht="12.75">
      <c r="A852" s="3"/>
      <c r="B852" s="17"/>
      <c r="C852" s="18"/>
      <c r="D852" s="18"/>
      <c r="E852" s="1"/>
      <c r="F852" s="15"/>
    </row>
    <row r="853" spans="1:6" ht="12.75">
      <c r="A853" s="3"/>
      <c r="B853" s="17"/>
      <c r="C853" s="18"/>
      <c r="D853" s="18"/>
      <c r="E853" s="1"/>
      <c r="F853" s="15"/>
    </row>
    <row r="854" spans="1:6" ht="12.75">
      <c r="A854" s="3"/>
      <c r="B854" s="17"/>
      <c r="C854" s="18"/>
      <c r="D854" s="18"/>
      <c r="E854" s="1"/>
      <c r="F854" s="15"/>
    </row>
    <row r="855" spans="1:6" ht="12.75">
      <c r="A855" s="3"/>
      <c r="B855" s="17"/>
      <c r="C855" s="18"/>
      <c r="D855" s="18"/>
      <c r="E855" s="1"/>
      <c r="F855" s="15"/>
    </row>
    <row r="856" spans="1:6" ht="12.75">
      <c r="A856" s="3"/>
      <c r="B856" s="17"/>
      <c r="C856" s="18"/>
      <c r="D856" s="18"/>
      <c r="E856" s="1"/>
      <c r="F856" s="15"/>
    </row>
    <row r="857" spans="1:6" ht="12.75">
      <c r="A857" s="3"/>
      <c r="B857" s="17"/>
      <c r="C857" s="18"/>
      <c r="D857" s="18"/>
      <c r="E857" s="1"/>
      <c r="F857" s="15"/>
    </row>
    <row r="858" spans="1:6" ht="12.75">
      <c r="A858" s="3"/>
      <c r="B858" s="17"/>
      <c r="C858" s="18"/>
      <c r="D858" s="18"/>
      <c r="E858" s="1"/>
      <c r="F858" s="15"/>
    </row>
    <row r="859" spans="1:6" ht="12.75">
      <c r="A859" s="3"/>
      <c r="B859" s="17"/>
      <c r="C859" s="18"/>
      <c r="D859" s="18"/>
      <c r="E859" s="1"/>
      <c r="F859" s="15"/>
    </row>
    <row r="860" spans="1:6" ht="12.75">
      <c r="A860" s="3"/>
      <c r="B860" s="17"/>
      <c r="C860" s="18"/>
      <c r="D860" s="18"/>
      <c r="E860" s="1"/>
      <c r="F860" s="15"/>
    </row>
    <row r="861" spans="1:6" ht="12.75">
      <c r="A861" s="3"/>
      <c r="B861" s="17"/>
      <c r="C861" s="18"/>
      <c r="D861" s="18"/>
      <c r="E861" s="1"/>
      <c r="F861" s="15"/>
    </row>
    <row r="862" spans="1:6" ht="12.75">
      <c r="A862" s="3"/>
      <c r="B862" s="17"/>
      <c r="C862" s="18"/>
      <c r="D862" s="18"/>
      <c r="E862" s="1"/>
      <c r="F862" s="15"/>
    </row>
    <row r="863" spans="1:6" ht="12.75">
      <c r="A863" s="3"/>
      <c r="B863" s="17"/>
      <c r="C863" s="18"/>
      <c r="D863" s="18"/>
      <c r="E863" s="1"/>
      <c r="F863" s="15"/>
    </row>
    <row r="864" spans="1:6" ht="12.75">
      <c r="A864" s="3"/>
      <c r="B864" s="17"/>
      <c r="C864" s="18"/>
      <c r="D864" s="18"/>
      <c r="E864" s="1"/>
      <c r="F864" s="15"/>
    </row>
    <row r="865" spans="1:6" ht="12.75">
      <c r="A865" s="3"/>
      <c r="B865" s="17"/>
      <c r="C865" s="18"/>
      <c r="D865" s="18"/>
      <c r="E865" s="1"/>
      <c r="F865" s="15"/>
    </row>
    <row r="866" spans="1:6" ht="12.75">
      <c r="A866" s="3"/>
      <c r="B866" s="17"/>
      <c r="C866" s="18"/>
      <c r="D866" s="18"/>
      <c r="E866" s="1"/>
      <c r="F866" s="15"/>
    </row>
    <row r="867" spans="1:6" ht="12.75">
      <c r="A867" s="3"/>
      <c r="B867" s="17"/>
      <c r="C867" s="18"/>
      <c r="D867" s="18"/>
      <c r="E867" s="1"/>
      <c r="F867" s="15"/>
    </row>
    <row r="868" spans="1:6" ht="12.75">
      <c r="A868" s="3"/>
      <c r="B868" s="17"/>
      <c r="C868" s="18"/>
      <c r="D868" s="18"/>
      <c r="E868" s="1"/>
      <c r="F868" s="15"/>
    </row>
    <row r="869" spans="1:6" ht="12.75">
      <c r="A869" s="3"/>
      <c r="B869" s="17"/>
      <c r="C869" s="18"/>
      <c r="D869" s="18"/>
      <c r="E869" s="1"/>
      <c r="F869" s="15"/>
    </row>
    <row r="870" spans="1:6" ht="12.75">
      <c r="A870" s="3"/>
      <c r="B870" s="17"/>
      <c r="C870" s="18"/>
      <c r="D870" s="18"/>
      <c r="E870" s="1"/>
      <c r="F870" s="15"/>
    </row>
    <row r="871" spans="1:6" ht="12.75">
      <c r="A871" s="3"/>
      <c r="B871" s="17"/>
      <c r="C871" s="18"/>
      <c r="D871" s="18"/>
      <c r="E871" s="1"/>
      <c r="F871" s="15"/>
    </row>
    <row r="872" spans="1:6" ht="12.75">
      <c r="A872" s="3"/>
      <c r="B872" s="17"/>
      <c r="C872" s="18"/>
      <c r="D872" s="18"/>
      <c r="E872" s="1"/>
      <c r="F872" s="15"/>
    </row>
    <row r="873" spans="1:6" ht="12.75">
      <c r="A873" s="3"/>
      <c r="B873" s="17"/>
      <c r="C873" s="18"/>
      <c r="D873" s="18"/>
      <c r="E873" s="1"/>
      <c r="F873" s="15"/>
    </row>
    <row r="874" spans="1:6" ht="12.75">
      <c r="A874" s="3"/>
      <c r="B874" s="17"/>
      <c r="C874" s="18"/>
      <c r="D874" s="18"/>
      <c r="E874" s="1"/>
      <c r="F874" s="15"/>
    </row>
    <row r="875" spans="1:6" ht="12.75">
      <c r="A875" s="3"/>
      <c r="B875" s="17"/>
      <c r="C875" s="18"/>
      <c r="D875" s="18"/>
      <c r="E875" s="1"/>
      <c r="F875" s="15"/>
    </row>
    <row r="876" spans="1:6" ht="12.75">
      <c r="A876" s="3"/>
      <c r="B876" s="17"/>
      <c r="C876" s="18"/>
      <c r="D876" s="18"/>
      <c r="E876" s="1"/>
      <c r="F876" s="15"/>
    </row>
    <row r="877" spans="1:6" ht="12.75">
      <c r="A877" s="3"/>
      <c r="B877" s="17"/>
      <c r="C877" s="18"/>
      <c r="D877" s="18"/>
      <c r="E877" s="1"/>
      <c r="F877" s="15"/>
    </row>
    <row r="878" spans="1:6" ht="12.75">
      <c r="A878" s="3"/>
      <c r="B878" s="17"/>
      <c r="C878" s="18"/>
      <c r="D878" s="18"/>
      <c r="E878" s="1"/>
      <c r="F878" s="15"/>
    </row>
    <row r="879" spans="1:6" ht="12.75">
      <c r="A879" s="3"/>
      <c r="B879" s="17"/>
      <c r="C879" s="18"/>
      <c r="D879" s="18"/>
      <c r="E879" s="1"/>
      <c r="F879" s="15"/>
    </row>
    <row r="880" spans="1:6" ht="12.75">
      <c r="A880" s="3"/>
      <c r="B880" s="17"/>
      <c r="C880" s="18"/>
      <c r="D880" s="18"/>
      <c r="E880" s="1"/>
      <c r="F880" s="15"/>
    </row>
    <row r="881" spans="1:6" ht="12.75">
      <c r="A881" s="3"/>
      <c r="B881" s="17"/>
      <c r="C881" s="18"/>
      <c r="D881" s="18"/>
      <c r="E881" s="1"/>
      <c r="F881" s="15"/>
    </row>
    <row r="882" spans="1:6" ht="12.75">
      <c r="A882" s="3"/>
      <c r="B882" s="17"/>
      <c r="C882" s="18"/>
      <c r="D882" s="18"/>
      <c r="E882" s="1"/>
      <c r="F882" s="15"/>
    </row>
    <row r="883" spans="1:6" ht="12.75">
      <c r="A883" s="3"/>
      <c r="B883" s="17"/>
      <c r="C883" s="18"/>
      <c r="D883" s="18"/>
      <c r="E883" s="1"/>
      <c r="F883" s="15"/>
    </row>
    <row r="884" spans="1:6" ht="12.75">
      <c r="A884" s="3"/>
      <c r="B884" s="17"/>
      <c r="C884" s="18"/>
      <c r="D884" s="18"/>
      <c r="E884" s="1"/>
      <c r="F884" s="15"/>
    </row>
    <row r="885" spans="1:6" ht="12.75">
      <c r="A885" s="3"/>
      <c r="B885" s="17"/>
      <c r="C885" s="18"/>
      <c r="D885" s="18"/>
      <c r="E885" s="1"/>
      <c r="F885" s="15"/>
    </row>
    <row r="886" spans="1:6" ht="12.75">
      <c r="A886" s="3"/>
      <c r="B886" s="17"/>
      <c r="C886" s="18"/>
      <c r="D886" s="18"/>
      <c r="E886" s="1"/>
      <c r="F886" s="15"/>
    </row>
    <row r="887" spans="1:6" ht="12.75">
      <c r="A887" s="3"/>
      <c r="B887" s="17"/>
      <c r="C887" s="18"/>
      <c r="D887" s="18"/>
      <c r="E887" s="1"/>
      <c r="F887" s="15"/>
    </row>
    <row r="888" spans="1:6" ht="12.75">
      <c r="A888" s="3"/>
      <c r="B888" s="17"/>
      <c r="C888" s="18"/>
      <c r="D888" s="18"/>
      <c r="E888" s="1"/>
      <c r="F888" s="15"/>
    </row>
    <row r="889" spans="1:6" ht="12.75">
      <c r="A889" s="3"/>
      <c r="B889" s="17"/>
      <c r="C889" s="18"/>
      <c r="D889" s="18"/>
      <c r="E889" s="1"/>
      <c r="F889" s="15"/>
    </row>
    <row r="890" spans="1:6" ht="12.75">
      <c r="A890" s="3"/>
      <c r="B890" s="17"/>
      <c r="C890" s="18"/>
      <c r="D890" s="18"/>
      <c r="E890" s="1"/>
      <c r="F890" s="15"/>
    </row>
    <row r="891" spans="1:6" ht="12.75">
      <c r="A891" s="3"/>
      <c r="B891" s="17"/>
      <c r="C891" s="18"/>
      <c r="D891" s="18"/>
      <c r="E891" s="1"/>
      <c r="F891" s="15"/>
    </row>
    <row r="892" spans="1:6" ht="12.75">
      <c r="A892" s="3"/>
      <c r="B892" s="17"/>
      <c r="C892" s="18"/>
      <c r="D892" s="18"/>
      <c r="E892" s="1"/>
      <c r="F892" s="15"/>
    </row>
    <row r="893" spans="1:6" ht="12.75">
      <c r="A893" s="3"/>
      <c r="B893" s="17"/>
      <c r="C893" s="18"/>
      <c r="D893" s="18"/>
      <c r="E893" s="1"/>
      <c r="F893" s="15"/>
    </row>
    <row r="894" spans="1:6" ht="12.75">
      <c r="A894" s="3"/>
      <c r="B894" s="17"/>
      <c r="C894" s="18"/>
      <c r="D894" s="18"/>
      <c r="E894" s="1"/>
      <c r="F894" s="15"/>
    </row>
    <row r="895" spans="1:6" ht="12.75">
      <c r="A895" s="3"/>
      <c r="B895" s="17"/>
      <c r="C895" s="18"/>
      <c r="D895" s="18"/>
      <c r="E895" s="1"/>
      <c r="F895" s="15"/>
    </row>
    <row r="896" spans="1:6" ht="12.75">
      <c r="A896" s="3"/>
      <c r="B896" s="17"/>
      <c r="C896" s="18"/>
      <c r="D896" s="18"/>
      <c r="E896" s="1"/>
      <c r="F896" s="15"/>
    </row>
    <row r="897" spans="1:6" ht="12.75">
      <c r="A897" s="3"/>
      <c r="B897" s="17"/>
      <c r="C897" s="18"/>
      <c r="D897" s="18"/>
      <c r="E897" s="1"/>
      <c r="F897" s="15"/>
    </row>
    <row r="898" spans="1:6" ht="12.75">
      <c r="A898" s="3"/>
      <c r="B898" s="17"/>
      <c r="C898" s="18"/>
      <c r="D898" s="18"/>
      <c r="E898" s="1"/>
      <c r="F898" s="15"/>
    </row>
    <row r="899" spans="1:6" ht="12.75">
      <c r="A899" s="3"/>
      <c r="B899" s="17"/>
      <c r="C899" s="18"/>
      <c r="D899" s="18"/>
      <c r="E899" s="1"/>
      <c r="F899" s="15"/>
    </row>
    <row r="900" spans="1:6" ht="12.75">
      <c r="A900" s="3"/>
      <c r="B900" s="17"/>
      <c r="C900" s="18"/>
      <c r="D900" s="18"/>
      <c r="E900" s="1"/>
      <c r="F900" s="15"/>
    </row>
    <row r="901" spans="1:6" ht="12.75">
      <c r="A901" s="3"/>
      <c r="B901" s="17"/>
      <c r="C901" s="18"/>
      <c r="D901" s="18"/>
      <c r="E901" s="1"/>
      <c r="F901" s="15"/>
    </row>
    <row r="902" spans="1:6" ht="12.75">
      <c r="A902" s="3"/>
      <c r="B902" s="17"/>
      <c r="C902" s="18"/>
      <c r="D902" s="18"/>
      <c r="E902" s="1"/>
      <c r="F902" s="15"/>
    </row>
    <row r="903" spans="1:6" ht="12.75">
      <c r="A903" s="3"/>
      <c r="B903" s="17"/>
      <c r="C903" s="18"/>
      <c r="D903" s="18"/>
      <c r="E903" s="1"/>
      <c r="F903" s="15"/>
    </row>
    <row r="904" spans="1:6" ht="12.75">
      <c r="A904" s="3"/>
      <c r="B904" s="17"/>
      <c r="C904" s="18"/>
      <c r="D904" s="18"/>
      <c r="E904" s="1"/>
      <c r="F904" s="15"/>
    </row>
    <row r="905" spans="1:6" ht="12.75">
      <c r="A905" s="3"/>
      <c r="B905" s="17"/>
      <c r="C905" s="18"/>
      <c r="D905" s="18"/>
      <c r="E905" s="1"/>
      <c r="F905" s="15"/>
    </row>
    <row r="906" spans="1:6" ht="12.75">
      <c r="A906" s="3"/>
      <c r="B906" s="17"/>
      <c r="C906" s="18"/>
      <c r="D906" s="18"/>
      <c r="E906" s="1"/>
      <c r="F906" s="15"/>
    </row>
    <row r="907" spans="1:6" ht="12.75">
      <c r="A907" s="3"/>
      <c r="B907" s="17"/>
      <c r="C907" s="18"/>
      <c r="D907" s="18"/>
      <c r="E907" s="1"/>
      <c r="F907" s="15"/>
    </row>
    <row r="908" spans="1:6" ht="12.75">
      <c r="A908" s="3"/>
      <c r="B908" s="17"/>
      <c r="C908" s="18"/>
      <c r="D908" s="18"/>
      <c r="E908" s="1"/>
      <c r="F908" s="15"/>
    </row>
    <row r="909" spans="1:6" ht="12.75">
      <c r="A909" s="3"/>
      <c r="B909" s="17"/>
      <c r="C909" s="18"/>
      <c r="D909" s="18"/>
      <c r="E909" s="1"/>
      <c r="F909" s="15"/>
    </row>
    <row r="910" spans="1:6" ht="12.75">
      <c r="A910" s="3"/>
      <c r="B910" s="17"/>
      <c r="C910" s="18"/>
      <c r="D910" s="18"/>
      <c r="E910" s="1"/>
      <c r="F910" s="15"/>
    </row>
    <row r="911" spans="1:6" ht="12.75">
      <c r="A911" s="3"/>
      <c r="B911" s="17"/>
      <c r="C911" s="18"/>
      <c r="D911" s="18"/>
      <c r="E911" s="1"/>
      <c r="F911" s="15"/>
    </row>
    <row r="912" spans="1:6" ht="12.75">
      <c r="A912" s="3"/>
      <c r="B912" s="17"/>
      <c r="C912" s="18"/>
      <c r="D912" s="18"/>
      <c r="E912" s="1"/>
      <c r="F912" s="15"/>
    </row>
    <row r="913" spans="1:6" ht="12.75">
      <c r="A913" s="3"/>
      <c r="B913" s="17"/>
      <c r="C913" s="18"/>
      <c r="D913" s="18"/>
      <c r="E913" s="1"/>
      <c r="F913" s="15"/>
    </row>
    <row r="914" spans="1:6" ht="12.75">
      <c r="A914" s="3"/>
      <c r="B914" s="17"/>
      <c r="C914" s="18"/>
      <c r="D914" s="18"/>
      <c r="E914" s="1"/>
      <c r="F914" s="15"/>
    </row>
    <row r="915" spans="1:6" ht="12.75">
      <c r="A915" s="3"/>
      <c r="B915" s="17"/>
      <c r="C915" s="18"/>
      <c r="D915" s="18"/>
      <c r="E915" s="1"/>
      <c r="F915" s="15"/>
    </row>
    <row r="916" spans="1:6" ht="12.75">
      <c r="A916" s="3"/>
      <c r="B916" s="17"/>
      <c r="C916" s="18"/>
      <c r="D916" s="18"/>
      <c r="E916" s="1"/>
      <c r="F916" s="15"/>
    </row>
    <row r="917" spans="1:6" ht="12.75">
      <c r="A917" s="3"/>
      <c r="B917" s="17"/>
      <c r="C917" s="18"/>
      <c r="D917" s="18"/>
      <c r="E917" s="1"/>
      <c r="F917" s="15"/>
    </row>
    <row r="918" spans="1:6" ht="12.75">
      <c r="A918" s="3"/>
      <c r="B918" s="17"/>
      <c r="C918" s="18"/>
      <c r="D918" s="18"/>
      <c r="E918" s="1"/>
      <c r="F918" s="15"/>
    </row>
    <row r="919" spans="1:6" ht="12.75">
      <c r="A919" s="3"/>
      <c r="B919" s="17"/>
      <c r="C919" s="18"/>
      <c r="D919" s="18"/>
      <c r="E919" s="1"/>
      <c r="F919" s="15"/>
    </row>
    <row r="920" spans="1:6" ht="12.75">
      <c r="A920" s="3"/>
      <c r="B920" s="17"/>
      <c r="C920" s="18"/>
      <c r="D920" s="18"/>
      <c r="E920" s="1"/>
      <c r="F920" s="15"/>
    </row>
    <row r="921" spans="1:6" ht="12.75">
      <c r="A921" s="3"/>
      <c r="B921" s="17"/>
      <c r="C921" s="18"/>
      <c r="D921" s="18"/>
      <c r="E921" s="1"/>
      <c r="F921" s="15"/>
    </row>
    <row r="922" spans="1:6" ht="12.75">
      <c r="A922" s="3"/>
      <c r="B922" s="17"/>
      <c r="C922" s="18"/>
      <c r="D922" s="18"/>
      <c r="E922" s="1"/>
      <c r="F922" s="15"/>
    </row>
    <row r="923" spans="1:6" ht="12.75">
      <c r="A923" s="3"/>
      <c r="B923" s="17"/>
      <c r="C923" s="18"/>
      <c r="D923" s="18"/>
      <c r="E923" s="1"/>
      <c r="F923" s="15"/>
    </row>
    <row r="924" spans="1:6" ht="12.75">
      <c r="A924" s="3"/>
      <c r="B924" s="17"/>
      <c r="C924" s="18"/>
      <c r="D924" s="18"/>
      <c r="E924" s="1"/>
      <c r="F924" s="15"/>
    </row>
    <row r="925" spans="1:6" ht="12.75">
      <c r="A925" s="3"/>
      <c r="B925" s="17"/>
      <c r="C925" s="18"/>
      <c r="D925" s="18"/>
      <c r="E925" s="1"/>
      <c r="F925" s="15"/>
    </row>
    <row r="926" spans="1:6" ht="12.75">
      <c r="A926" s="3"/>
      <c r="B926" s="17"/>
      <c r="C926" s="18"/>
      <c r="D926" s="18"/>
      <c r="E926" s="1"/>
      <c r="F926" s="15"/>
    </row>
    <row r="927" spans="1:6" ht="12.75">
      <c r="A927" s="3"/>
      <c r="B927" s="17"/>
      <c r="C927" s="18"/>
      <c r="D927" s="18"/>
      <c r="E927" s="1"/>
      <c r="F927" s="15"/>
    </row>
    <row r="928" spans="1:6" ht="12.75">
      <c r="A928" s="3"/>
      <c r="B928" s="17"/>
      <c r="C928" s="18"/>
      <c r="D928" s="18"/>
      <c r="E928" s="1"/>
      <c r="F928" s="15"/>
    </row>
    <row r="929" spans="1:6" ht="12.75">
      <c r="A929" s="3"/>
      <c r="B929" s="17"/>
      <c r="C929" s="18"/>
      <c r="D929" s="18"/>
      <c r="E929" s="1"/>
      <c r="F929" s="15"/>
    </row>
    <row r="930" spans="1:6" ht="12.75">
      <c r="A930" s="3"/>
      <c r="B930" s="17"/>
      <c r="C930" s="18"/>
      <c r="D930" s="18"/>
      <c r="E930" s="1"/>
      <c r="F930" s="15"/>
    </row>
    <row r="931" spans="1:6" ht="12.75">
      <c r="A931" s="3"/>
      <c r="B931" s="17"/>
      <c r="C931" s="18"/>
      <c r="D931" s="18"/>
      <c r="E931" s="1"/>
      <c r="F931" s="15"/>
    </row>
    <row r="932" spans="1:6" ht="12.75">
      <c r="A932" s="3"/>
      <c r="B932" s="17"/>
      <c r="C932" s="18"/>
      <c r="D932" s="18"/>
      <c r="E932" s="1"/>
      <c r="F932" s="15"/>
    </row>
    <row r="933" spans="1:6" ht="12.75">
      <c r="A933" s="3"/>
      <c r="B933" s="17"/>
      <c r="C933" s="18"/>
      <c r="D933" s="18"/>
      <c r="E933" s="1"/>
      <c r="F933" s="15"/>
    </row>
    <row r="934" spans="1:6" ht="12.75">
      <c r="A934" s="3"/>
      <c r="B934" s="17"/>
      <c r="C934" s="18"/>
      <c r="D934" s="18"/>
      <c r="E934" s="1"/>
      <c r="F934" s="15"/>
    </row>
    <row r="935" spans="1:6" ht="12.75">
      <c r="A935" s="3"/>
      <c r="B935" s="17"/>
      <c r="C935" s="18"/>
      <c r="D935" s="18"/>
      <c r="E935" s="1"/>
      <c r="F935" s="15"/>
    </row>
    <row r="936" spans="1:6" ht="12.75">
      <c r="A936" s="3"/>
      <c r="B936" s="17"/>
      <c r="C936" s="18"/>
      <c r="D936" s="18"/>
      <c r="E936" s="1"/>
      <c r="F936" s="15"/>
    </row>
    <row r="937" spans="1:6" ht="12.75">
      <c r="A937" s="3"/>
      <c r="B937" s="17"/>
      <c r="C937" s="18"/>
      <c r="D937" s="18"/>
      <c r="E937" s="1"/>
      <c r="F937" s="15"/>
    </row>
    <row r="938" spans="1:6" ht="12.75">
      <c r="A938" s="3"/>
      <c r="B938" s="17"/>
      <c r="C938" s="18"/>
      <c r="D938" s="18"/>
      <c r="E938" s="1"/>
      <c r="F938" s="15"/>
    </row>
    <row r="939" spans="1:6" ht="12.75">
      <c r="A939" s="3"/>
      <c r="B939" s="17"/>
      <c r="C939" s="18"/>
      <c r="D939" s="18"/>
      <c r="E939" s="1"/>
      <c r="F939" s="15"/>
    </row>
    <row r="940" spans="1:6" ht="12.75">
      <c r="A940" s="3"/>
      <c r="B940" s="17"/>
      <c r="C940" s="18"/>
      <c r="D940" s="18"/>
      <c r="E940" s="1"/>
      <c r="F940" s="15"/>
    </row>
    <row r="941" spans="1:6" ht="12.75">
      <c r="A941" s="3"/>
      <c r="B941" s="17"/>
      <c r="C941" s="18"/>
      <c r="D941" s="18"/>
      <c r="E941" s="1"/>
      <c r="F941" s="15"/>
    </row>
    <row r="942" spans="1:6" ht="12.75">
      <c r="A942" s="3"/>
      <c r="B942" s="17"/>
      <c r="C942" s="18"/>
      <c r="D942" s="18"/>
      <c r="E942" s="1"/>
      <c r="F942" s="15"/>
    </row>
    <row r="943" spans="1:6" ht="12.75">
      <c r="A943" s="3"/>
      <c r="B943" s="17"/>
      <c r="C943" s="18"/>
      <c r="D943" s="18"/>
      <c r="E943" s="1"/>
      <c r="F943" s="15"/>
    </row>
    <row r="944" spans="1:6" ht="12.75">
      <c r="A944" s="3"/>
      <c r="B944" s="17"/>
      <c r="C944" s="18"/>
      <c r="D944" s="18"/>
      <c r="E944" s="1"/>
      <c r="F944" s="15"/>
    </row>
    <row r="945" spans="1:6" ht="12.75">
      <c r="A945" s="3"/>
      <c r="B945" s="17"/>
      <c r="C945" s="18"/>
      <c r="D945" s="18"/>
      <c r="E945" s="1"/>
      <c r="F945" s="15"/>
    </row>
    <row r="946" spans="1:6" ht="12.75">
      <c r="A946" s="3"/>
      <c r="B946" s="17"/>
      <c r="C946" s="18"/>
      <c r="D946" s="18"/>
      <c r="E946" s="1"/>
      <c r="F946" s="15"/>
    </row>
    <row r="947" spans="1:6" ht="12.75">
      <c r="A947" s="3"/>
      <c r="B947" s="17"/>
      <c r="C947" s="18"/>
      <c r="D947" s="18"/>
      <c r="E947" s="1"/>
      <c r="F947" s="15"/>
    </row>
    <row r="948" spans="1:6" ht="12.75">
      <c r="A948" s="3"/>
      <c r="B948" s="17"/>
      <c r="C948" s="18"/>
      <c r="D948" s="18"/>
      <c r="E948" s="1"/>
      <c r="F948" s="15"/>
    </row>
    <row r="949" spans="1:6" ht="12.75">
      <c r="A949" s="3"/>
      <c r="B949" s="17"/>
      <c r="C949" s="18"/>
      <c r="D949" s="18"/>
      <c r="E949" s="1"/>
      <c r="F949" s="15"/>
    </row>
    <row r="950" spans="1:6" ht="12.75">
      <c r="A950" s="3"/>
      <c r="B950" s="17"/>
      <c r="C950" s="18"/>
      <c r="D950" s="18"/>
      <c r="E950" s="1"/>
      <c r="F950" s="15"/>
    </row>
    <row r="951" spans="1:6" ht="12.75">
      <c r="A951" s="3"/>
      <c r="B951" s="17"/>
      <c r="C951" s="18"/>
      <c r="D951" s="18"/>
      <c r="E951" s="1"/>
      <c r="F951" s="15"/>
    </row>
    <row r="952" spans="1:6" ht="12.75">
      <c r="A952" s="3"/>
      <c r="B952" s="17"/>
      <c r="C952" s="18"/>
      <c r="D952" s="18"/>
      <c r="E952" s="1"/>
      <c r="F952" s="15"/>
    </row>
    <row r="953" spans="1:6" ht="12.75">
      <c r="A953" s="3"/>
      <c r="B953" s="17"/>
      <c r="C953" s="18"/>
      <c r="D953" s="18"/>
      <c r="E953" s="1"/>
      <c r="F953" s="15"/>
    </row>
    <row r="954" spans="1:6" ht="12.75">
      <c r="A954" s="3"/>
      <c r="B954" s="17"/>
      <c r="C954" s="18"/>
      <c r="D954" s="18"/>
      <c r="E954" s="1"/>
      <c r="F954" s="15"/>
    </row>
    <row r="955" spans="1:6" ht="12.75">
      <c r="A955" s="3"/>
      <c r="B955" s="17"/>
      <c r="C955" s="18"/>
      <c r="D955" s="18"/>
      <c r="E955" s="1"/>
      <c r="F955" s="15"/>
    </row>
    <row r="956" spans="1:6" ht="12.75">
      <c r="A956" s="3"/>
      <c r="B956" s="17"/>
      <c r="C956" s="18"/>
      <c r="D956" s="18"/>
      <c r="E956" s="1"/>
      <c r="F956" s="15"/>
    </row>
    <row r="957" spans="1:6" ht="12.75">
      <c r="A957" s="3"/>
      <c r="B957" s="17"/>
      <c r="C957" s="18"/>
      <c r="D957" s="18"/>
      <c r="E957" s="1"/>
      <c r="F957" s="15"/>
    </row>
    <row r="958" spans="1:6" ht="12.75">
      <c r="A958" s="3"/>
      <c r="B958" s="17"/>
      <c r="C958" s="18"/>
      <c r="D958" s="18"/>
      <c r="E958" s="1"/>
      <c r="F958" s="15"/>
    </row>
    <row r="959" spans="1:6" ht="12.75">
      <c r="A959" s="3"/>
      <c r="B959" s="17"/>
      <c r="C959" s="18"/>
      <c r="D959" s="18"/>
      <c r="E959" s="1"/>
      <c r="F959" s="15"/>
    </row>
    <row r="960" spans="1:6" ht="12.75">
      <c r="A960" s="3"/>
      <c r="B960" s="17"/>
      <c r="C960" s="18"/>
      <c r="D960" s="18"/>
      <c r="E960" s="1"/>
      <c r="F960" s="15"/>
    </row>
    <row r="961" spans="1:6" ht="12.75">
      <c r="A961" s="3"/>
      <c r="B961" s="17"/>
      <c r="C961" s="18"/>
      <c r="D961" s="18"/>
      <c r="E961" s="1"/>
      <c r="F961" s="15"/>
    </row>
    <row r="962" spans="1:6" ht="12.75">
      <c r="A962" s="3"/>
      <c r="B962" s="17"/>
      <c r="C962" s="18"/>
      <c r="D962" s="18"/>
      <c r="E962" s="1"/>
      <c r="F962" s="15"/>
    </row>
    <row r="963" spans="1:6" ht="12.75">
      <c r="A963" s="3"/>
      <c r="B963" s="17"/>
      <c r="C963" s="18"/>
      <c r="D963" s="18"/>
      <c r="E963" s="1"/>
      <c r="F963" s="15"/>
    </row>
    <row r="964" spans="1:6" ht="12.75">
      <c r="A964" s="3"/>
      <c r="B964" s="17"/>
      <c r="C964" s="18"/>
      <c r="D964" s="18"/>
      <c r="E964" s="1"/>
      <c r="F964" s="15"/>
    </row>
    <row r="965" spans="1:6" ht="12.75">
      <c r="A965" s="3"/>
      <c r="B965" s="17"/>
      <c r="C965" s="18"/>
      <c r="D965" s="18"/>
      <c r="E965" s="1"/>
      <c r="F965" s="15"/>
    </row>
    <row r="966" spans="1:6" ht="12.75">
      <c r="A966" s="3"/>
      <c r="B966" s="17"/>
      <c r="C966" s="18"/>
      <c r="D966" s="18"/>
      <c r="E966" s="1"/>
      <c r="F966" s="15"/>
    </row>
    <row r="967" spans="1:6" ht="12.75">
      <c r="A967" s="3"/>
      <c r="B967" s="17"/>
      <c r="C967" s="18"/>
      <c r="D967" s="18"/>
      <c r="E967" s="1"/>
      <c r="F967" s="15"/>
    </row>
    <row r="968" spans="1:6" ht="12.75">
      <c r="A968" s="3"/>
      <c r="B968" s="17"/>
      <c r="C968" s="18"/>
      <c r="D968" s="18"/>
      <c r="E968" s="1"/>
      <c r="F968" s="15"/>
    </row>
    <row r="969" spans="1:6" ht="12.75">
      <c r="A969" s="3"/>
      <c r="B969" s="17"/>
      <c r="C969" s="18"/>
      <c r="D969" s="18"/>
      <c r="E969" s="1"/>
      <c r="F969" s="15"/>
    </row>
    <row r="970" spans="1:6" ht="12.75">
      <c r="A970" s="3"/>
      <c r="B970" s="17"/>
      <c r="C970" s="18"/>
      <c r="D970" s="18"/>
      <c r="E970" s="1"/>
      <c r="F970" s="15"/>
    </row>
    <row r="971" spans="1:6" ht="12.75">
      <c r="A971" s="3"/>
      <c r="B971" s="17"/>
      <c r="C971" s="18"/>
      <c r="D971" s="18"/>
      <c r="E971" s="1"/>
      <c r="F971" s="15"/>
    </row>
    <row r="972" spans="1:6" ht="12.75">
      <c r="A972" s="3"/>
      <c r="B972" s="17"/>
      <c r="C972" s="18"/>
      <c r="D972" s="18"/>
      <c r="E972" s="1"/>
      <c r="F972" s="15"/>
    </row>
    <row r="973" spans="1:6" ht="12.75">
      <c r="A973" s="3"/>
      <c r="B973" s="17"/>
      <c r="C973" s="18"/>
      <c r="D973" s="18"/>
      <c r="E973" s="1"/>
      <c r="F973" s="15"/>
    </row>
    <row r="974" spans="1:6" ht="12.75">
      <c r="A974" s="3"/>
      <c r="B974" s="17"/>
      <c r="C974" s="18"/>
      <c r="D974" s="18"/>
      <c r="E974" s="1"/>
      <c r="F974" s="15"/>
    </row>
    <row r="975" spans="1:6" ht="12.75">
      <c r="A975" s="3"/>
      <c r="B975" s="17"/>
      <c r="C975" s="18"/>
      <c r="D975" s="18"/>
      <c r="E975" s="1"/>
      <c r="F975" s="15"/>
    </row>
    <row r="976" spans="1:6" ht="12.75">
      <c r="A976" s="3"/>
      <c r="B976" s="17"/>
      <c r="C976" s="18"/>
      <c r="D976" s="18"/>
      <c r="E976" s="1"/>
      <c r="F976" s="15"/>
    </row>
    <row r="977" spans="1:6" ht="12.75">
      <c r="A977" s="3"/>
      <c r="B977" s="17"/>
      <c r="C977" s="18"/>
      <c r="D977" s="18"/>
      <c r="E977" s="1"/>
      <c r="F977" s="15"/>
    </row>
    <row r="978" spans="1:6" ht="12.75">
      <c r="A978" s="3"/>
      <c r="B978" s="17"/>
      <c r="C978" s="18"/>
      <c r="D978" s="18"/>
      <c r="E978" s="1"/>
      <c r="F978" s="15"/>
    </row>
    <row r="979" spans="1:6" ht="12.75">
      <c r="A979" s="3"/>
      <c r="B979" s="17"/>
      <c r="C979" s="18"/>
      <c r="D979" s="18"/>
      <c r="E979" s="1"/>
      <c r="F979" s="15"/>
    </row>
    <row r="980" spans="1:6" ht="12.75">
      <c r="A980" s="3"/>
      <c r="B980" s="17"/>
      <c r="C980" s="18"/>
      <c r="D980" s="18"/>
      <c r="E980" s="1"/>
      <c r="F980" s="15"/>
    </row>
    <row r="981" spans="1:6" ht="12.75">
      <c r="A981" s="3"/>
      <c r="B981" s="17"/>
      <c r="C981" s="18"/>
      <c r="D981" s="18"/>
      <c r="E981" s="1"/>
      <c r="F981" s="15"/>
    </row>
    <row r="982" spans="1:6" ht="12.75">
      <c r="A982" s="3"/>
      <c r="B982" s="17"/>
      <c r="C982" s="18"/>
      <c r="D982" s="18"/>
      <c r="E982" s="1"/>
      <c r="F982" s="15"/>
    </row>
    <row r="983" spans="1:6" ht="12.75">
      <c r="A983" s="3"/>
      <c r="B983" s="17"/>
      <c r="C983" s="18"/>
      <c r="D983" s="18"/>
      <c r="E983" s="1"/>
      <c r="F983" s="15"/>
    </row>
    <row r="984" spans="1:6" ht="12.75">
      <c r="A984" s="3"/>
      <c r="B984" s="17"/>
      <c r="C984" s="18"/>
      <c r="D984" s="18"/>
      <c r="E984" s="1"/>
      <c r="F984" s="15"/>
    </row>
    <row r="985" spans="1:6" ht="12.75">
      <c r="A985" s="3"/>
      <c r="B985" s="17"/>
      <c r="C985" s="18"/>
      <c r="D985" s="18"/>
      <c r="E985" s="1"/>
      <c r="F985" s="15"/>
    </row>
    <row r="986" spans="1:6" ht="12.75">
      <c r="A986" s="3"/>
      <c r="B986" s="17"/>
      <c r="C986" s="18"/>
      <c r="D986" s="18"/>
      <c r="E986" s="1"/>
      <c r="F986" s="15"/>
    </row>
    <row r="987" spans="1:6" ht="12.75">
      <c r="A987" s="3"/>
      <c r="B987" s="17"/>
      <c r="C987" s="18"/>
      <c r="D987" s="18"/>
      <c r="E987" s="1"/>
      <c r="F987" s="15"/>
    </row>
    <row r="988" spans="1:6" ht="12.75">
      <c r="A988" s="3"/>
      <c r="B988" s="17"/>
      <c r="C988" s="18"/>
      <c r="D988" s="18"/>
      <c r="E988" s="1"/>
      <c r="F988" s="15"/>
    </row>
    <row r="989" spans="1:6" ht="12.75">
      <c r="A989" s="3"/>
      <c r="B989" s="17"/>
      <c r="C989" s="18"/>
      <c r="D989" s="18"/>
      <c r="E989" s="1"/>
      <c r="F989" s="15"/>
    </row>
    <row r="990" spans="1:6" ht="12.75">
      <c r="A990" s="3"/>
      <c r="B990" s="17"/>
      <c r="C990" s="18"/>
      <c r="D990" s="18"/>
      <c r="E990" s="1"/>
      <c r="F990" s="15"/>
    </row>
    <row r="991" spans="1:6" ht="12.75">
      <c r="A991" s="3"/>
      <c r="B991" s="17"/>
      <c r="C991" s="18"/>
      <c r="D991" s="18"/>
      <c r="E991" s="1"/>
      <c r="F991" s="15"/>
    </row>
    <row r="992" spans="1:6" ht="12.75">
      <c r="A992" s="3"/>
      <c r="B992" s="17"/>
      <c r="C992" s="18"/>
      <c r="D992" s="18"/>
      <c r="E992" s="1"/>
      <c r="F992" s="15"/>
    </row>
    <row r="993" spans="1:6" ht="12.75">
      <c r="A993" s="3"/>
      <c r="B993" s="17"/>
      <c r="C993" s="18"/>
      <c r="D993" s="18"/>
      <c r="E993" s="1"/>
      <c r="F993" s="15"/>
    </row>
    <row r="994" spans="1:6" ht="12.75">
      <c r="A994" s="3"/>
      <c r="B994" s="17"/>
      <c r="C994" s="18"/>
      <c r="D994" s="18"/>
      <c r="E994" s="1"/>
      <c r="F994" s="15"/>
    </row>
    <row r="995" spans="1:6" ht="12.75">
      <c r="A995" s="3"/>
      <c r="B995" s="17"/>
      <c r="C995" s="18"/>
      <c r="D995" s="18"/>
      <c r="E995" s="1"/>
      <c r="F995" s="15"/>
    </row>
    <row r="996" spans="1:6" ht="12.75">
      <c r="A996" s="3"/>
      <c r="B996" s="17"/>
      <c r="C996" s="18"/>
      <c r="D996" s="18"/>
      <c r="E996" s="1"/>
      <c r="F996" s="15"/>
    </row>
    <row r="997" spans="1:6" ht="12.75">
      <c r="A997" s="3"/>
      <c r="B997" s="17"/>
      <c r="C997" s="18"/>
      <c r="D997" s="18"/>
      <c r="E997" s="1"/>
      <c r="F997" s="15"/>
    </row>
    <row r="998" spans="1:6" ht="12.75">
      <c r="A998" s="3"/>
      <c r="B998" s="17"/>
      <c r="C998" s="18"/>
      <c r="D998" s="18"/>
      <c r="E998" s="1"/>
      <c r="F998" s="15"/>
    </row>
    <row r="999" spans="1:6" ht="12.75">
      <c r="A999" s="3"/>
      <c r="B999" s="17"/>
      <c r="C999" s="18"/>
      <c r="D999" s="18"/>
      <c r="E999" s="1"/>
      <c r="F999" s="15"/>
    </row>
    <row r="1000" spans="1:6" ht="12.75">
      <c r="A1000" s="3"/>
      <c r="B1000" s="17"/>
      <c r="C1000" s="18"/>
      <c r="D1000" s="18"/>
      <c r="E1000" s="1"/>
      <c r="F1000" s="15"/>
    </row>
    <row r="1001" spans="1:6" ht="12.75">
      <c r="A1001" s="3"/>
      <c r="B1001" s="17"/>
      <c r="C1001" s="18"/>
      <c r="D1001" s="18"/>
      <c r="E1001" s="1"/>
      <c r="F1001" s="15"/>
    </row>
    <row r="1002" spans="1:6" ht="12.75">
      <c r="A1002" s="3"/>
      <c r="B1002" s="17"/>
      <c r="C1002" s="18"/>
      <c r="D1002" s="18"/>
      <c r="E1002" s="1"/>
      <c r="F1002" s="15"/>
    </row>
    <row r="1003" spans="1:6" ht="12.75">
      <c r="A1003" s="3"/>
      <c r="B1003" s="17"/>
      <c r="C1003" s="18"/>
      <c r="D1003" s="18"/>
      <c r="E1003" s="1"/>
      <c r="F1003" s="15"/>
    </row>
    <row r="1004" spans="1:6" ht="12.75">
      <c r="A1004" s="3"/>
      <c r="B1004" s="17"/>
      <c r="C1004" s="18"/>
      <c r="D1004" s="18"/>
      <c r="E1004" s="1"/>
      <c r="F1004" s="15"/>
    </row>
    <row r="1005" spans="1:6" ht="12.75">
      <c r="A1005" s="3"/>
      <c r="B1005" s="17"/>
      <c r="C1005" s="18"/>
      <c r="D1005" s="18"/>
      <c r="F1005" s="15"/>
    </row>
    <row r="1006" spans="1:6" ht="12.75">
      <c r="A1006" s="3"/>
      <c r="B1006" s="17"/>
      <c r="C1006" s="18"/>
      <c r="D1006" s="18"/>
      <c r="F1006" s="15"/>
    </row>
    <row r="1007" spans="1:6" ht="12.75">
      <c r="A1007" s="3"/>
      <c r="B1007" s="17"/>
      <c r="C1007" s="18"/>
      <c r="D1007" s="18"/>
      <c r="F1007" s="15"/>
    </row>
    <row r="1008" spans="1:6" ht="12.75">
      <c r="A1008" s="3"/>
      <c r="B1008" s="17"/>
      <c r="C1008" s="18"/>
      <c r="D1008" s="18"/>
      <c r="F1008" s="15"/>
    </row>
    <row r="1009" spans="1:6" ht="12.75">
      <c r="A1009" s="3"/>
      <c r="B1009" s="17"/>
      <c r="C1009" s="18"/>
      <c r="D1009" s="18"/>
      <c r="F1009" s="15"/>
    </row>
    <row r="1010" spans="1:6" ht="12.75">
      <c r="A1010" s="3"/>
      <c r="B1010" s="17"/>
      <c r="C1010" s="18"/>
      <c r="D1010" s="18"/>
      <c r="F1010" s="15"/>
    </row>
    <row r="1011" spans="1:6" ht="12.75">
      <c r="A1011" s="3"/>
      <c r="B1011" s="17"/>
      <c r="C1011" s="18"/>
      <c r="D1011" s="18"/>
      <c r="F1011" s="15"/>
    </row>
    <row r="1012" spans="1:6" ht="12.75">
      <c r="A1012" s="3"/>
      <c r="B1012" s="17"/>
      <c r="C1012" s="18"/>
      <c r="D1012" s="18"/>
      <c r="F1012" s="15"/>
    </row>
    <row r="1013" spans="1:6" ht="12.75">
      <c r="A1013" s="3"/>
      <c r="B1013" s="17"/>
      <c r="C1013" s="18"/>
      <c r="D1013" s="18"/>
      <c r="F1013" s="15"/>
    </row>
  </sheetData>
  <autoFilter ref="A1:E344" xr:uid="{00000000-0001-0000-0300-000000000000}">
    <sortState xmlns:xlrd2="http://schemas.microsoft.com/office/spreadsheetml/2017/richdata2" ref="A2:E344">
      <sortCondition ref="A1:A344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  <outlinePr summaryBelow="0" summaryRight="0"/>
  </sheetPr>
  <dimension ref="A1:Z1015"/>
  <sheetViews>
    <sheetView workbookViewId="0">
      <selection activeCell="D1" sqref="C1:D1"/>
    </sheetView>
  </sheetViews>
  <sheetFormatPr baseColWidth="10" defaultColWidth="12.5703125" defaultRowHeight="15.75" customHeight="1"/>
  <sheetData>
    <row r="1" spans="1:4" ht="15.75" customHeight="1">
      <c r="A1" s="13" t="s">
        <v>340</v>
      </c>
      <c r="B1" s="14" t="s">
        <v>1</v>
      </c>
      <c r="C1" s="10" t="s">
        <v>362</v>
      </c>
      <c r="D1" s="10" t="s">
        <v>361</v>
      </c>
    </row>
    <row r="2" spans="1:4" ht="15.75" customHeight="1">
      <c r="A2" s="6">
        <v>10101</v>
      </c>
      <c r="B2" s="14" t="s">
        <v>2</v>
      </c>
      <c r="C2" s="5"/>
      <c r="D2" s="5"/>
    </row>
    <row r="3" spans="1:4" ht="15.75" customHeight="1">
      <c r="A3" s="6">
        <v>10102</v>
      </c>
      <c r="B3" s="14" t="s">
        <v>3</v>
      </c>
      <c r="C3" s="5"/>
      <c r="D3" s="5"/>
    </row>
    <row r="4" spans="1:4" ht="15.75" customHeight="1">
      <c r="A4" s="6">
        <v>10103</v>
      </c>
      <c r="B4" s="14" t="s">
        <v>4</v>
      </c>
      <c r="C4" s="5"/>
      <c r="D4" s="5"/>
    </row>
    <row r="5" spans="1:4" ht="15.75" customHeight="1">
      <c r="A5" s="6">
        <v>10201</v>
      </c>
      <c r="B5" s="14" t="s">
        <v>5</v>
      </c>
      <c r="C5" s="5"/>
      <c r="D5" s="5"/>
    </row>
    <row r="6" spans="1:4" ht="15.75" customHeight="1">
      <c r="A6" s="6">
        <v>10202</v>
      </c>
      <c r="B6" s="14" t="s">
        <v>6</v>
      </c>
      <c r="C6" s="5"/>
      <c r="D6" s="5"/>
    </row>
    <row r="7" spans="1:4" ht="15.75" customHeight="1">
      <c r="A7" s="6">
        <v>10301</v>
      </c>
      <c r="B7" s="14" t="s">
        <v>7</v>
      </c>
      <c r="C7" s="5"/>
      <c r="D7" s="5"/>
    </row>
    <row r="8" spans="1:4" ht="15.75" customHeight="1">
      <c r="A8" s="6">
        <v>10302</v>
      </c>
      <c r="B8" s="14" t="s">
        <v>8</v>
      </c>
      <c r="C8" s="5"/>
      <c r="D8" s="5"/>
    </row>
    <row r="9" spans="1:4" ht="15.75" customHeight="1">
      <c r="A9" s="6">
        <v>10303</v>
      </c>
      <c r="B9" s="14" t="s">
        <v>9</v>
      </c>
      <c r="C9" s="5"/>
      <c r="D9" s="5"/>
    </row>
    <row r="10" spans="1:4" ht="15.75" customHeight="1">
      <c r="A10" s="6">
        <v>10304</v>
      </c>
      <c r="B10" s="14" t="s">
        <v>10</v>
      </c>
      <c r="C10" s="5"/>
      <c r="D10" s="5"/>
    </row>
    <row r="11" spans="1:4" ht="15.75" customHeight="1">
      <c r="A11" s="6">
        <v>10401</v>
      </c>
      <c r="B11" s="14" t="s">
        <v>11</v>
      </c>
      <c r="C11" s="5"/>
      <c r="D11" s="5"/>
    </row>
    <row r="12" spans="1:4" ht="15.75" customHeight="1">
      <c r="A12" s="6">
        <v>10402</v>
      </c>
      <c r="B12" s="14" t="s">
        <v>12</v>
      </c>
      <c r="C12" s="5"/>
      <c r="D12" s="5"/>
    </row>
    <row r="13" spans="1:4" ht="15.75" customHeight="1">
      <c r="A13" s="6">
        <v>10403</v>
      </c>
      <c r="B13" s="14" t="s">
        <v>13</v>
      </c>
      <c r="C13" s="5"/>
      <c r="D13" s="5"/>
    </row>
    <row r="14" spans="1:4" ht="15.75" customHeight="1">
      <c r="A14" s="6">
        <v>10404</v>
      </c>
      <c r="B14" s="14" t="s">
        <v>14</v>
      </c>
      <c r="C14" s="5"/>
      <c r="D14" s="5"/>
    </row>
    <row r="15" spans="1:4" ht="15.75" customHeight="1">
      <c r="A15" s="6">
        <v>10405</v>
      </c>
      <c r="B15" s="14" t="s">
        <v>15</v>
      </c>
      <c r="C15" s="5"/>
      <c r="D15" s="5"/>
    </row>
    <row r="16" spans="1:4" ht="15">
      <c r="A16" s="6">
        <v>10501</v>
      </c>
      <c r="B16" s="14" t="s">
        <v>16</v>
      </c>
      <c r="C16" s="5"/>
      <c r="D16" s="5"/>
    </row>
    <row r="17" spans="1:4" ht="15">
      <c r="A17" s="6">
        <v>10502</v>
      </c>
      <c r="B17" s="14" t="s">
        <v>17</v>
      </c>
      <c r="C17" s="5"/>
      <c r="D17" s="5"/>
    </row>
    <row r="18" spans="1:4" ht="15">
      <c r="A18" s="6">
        <v>10601</v>
      </c>
      <c r="B18" s="14" t="s">
        <v>18</v>
      </c>
      <c r="C18" s="5"/>
      <c r="D18" s="5"/>
    </row>
    <row r="19" spans="1:4" ht="15">
      <c r="A19" s="6">
        <v>10602</v>
      </c>
      <c r="B19" s="14" t="s">
        <v>19</v>
      </c>
      <c r="C19" s="5"/>
      <c r="D19" s="5"/>
    </row>
    <row r="20" spans="1:4" ht="15">
      <c r="A20" s="6">
        <v>10701</v>
      </c>
      <c r="B20" s="14" t="s">
        <v>20</v>
      </c>
      <c r="C20" s="5"/>
      <c r="D20" s="5"/>
    </row>
    <row r="21" spans="1:4" ht="15">
      <c r="A21" s="6">
        <v>10702</v>
      </c>
      <c r="B21" s="14" t="s">
        <v>21</v>
      </c>
      <c r="C21" s="5"/>
      <c r="D21" s="5"/>
    </row>
    <row r="22" spans="1:4" ht="15">
      <c r="A22" s="6">
        <v>10703</v>
      </c>
      <c r="B22" s="14" t="s">
        <v>22</v>
      </c>
      <c r="C22" s="5"/>
      <c r="D22" s="5"/>
    </row>
    <row r="23" spans="1:4" ht="15">
      <c r="A23" s="6">
        <v>10704</v>
      </c>
      <c r="B23" s="14" t="s">
        <v>23</v>
      </c>
      <c r="C23" s="5"/>
      <c r="D23" s="5"/>
    </row>
    <row r="24" spans="1:4" ht="15">
      <c r="A24" s="6">
        <v>10801</v>
      </c>
      <c r="B24" s="14" t="s">
        <v>24</v>
      </c>
      <c r="C24" s="5"/>
      <c r="D24" s="5"/>
    </row>
    <row r="25" spans="1:4" ht="15">
      <c r="A25" s="6">
        <v>10901</v>
      </c>
      <c r="B25" s="14" t="s">
        <v>25</v>
      </c>
      <c r="C25" s="5"/>
      <c r="D25" s="5"/>
    </row>
    <row r="26" spans="1:4" ht="15">
      <c r="A26" s="6">
        <v>10902</v>
      </c>
      <c r="B26" s="14" t="s">
        <v>26</v>
      </c>
      <c r="C26" s="5"/>
      <c r="D26" s="5"/>
    </row>
    <row r="27" spans="1:4" ht="15">
      <c r="A27" s="6">
        <v>10903</v>
      </c>
      <c r="B27" s="14" t="s">
        <v>27</v>
      </c>
      <c r="C27" s="5"/>
      <c r="D27" s="5"/>
    </row>
    <row r="28" spans="1:4" ht="15">
      <c r="A28" s="6">
        <v>11001</v>
      </c>
      <c r="B28" s="14" t="s">
        <v>28</v>
      </c>
      <c r="C28" s="5"/>
      <c r="D28" s="5"/>
    </row>
    <row r="29" spans="1:4" ht="15">
      <c r="A29" s="6">
        <v>11002</v>
      </c>
      <c r="B29" s="14" t="s">
        <v>29</v>
      </c>
      <c r="C29" s="5"/>
      <c r="D29" s="5"/>
    </row>
    <row r="30" spans="1:4" ht="15">
      <c r="A30" s="6">
        <v>11003</v>
      </c>
      <c r="B30" s="14" t="s">
        <v>30</v>
      </c>
      <c r="C30" s="5"/>
      <c r="D30" s="5"/>
    </row>
    <row r="31" spans="1:4" ht="15">
      <c r="A31" s="6">
        <v>20101</v>
      </c>
      <c r="B31" s="14" t="s">
        <v>31</v>
      </c>
      <c r="C31" s="5"/>
      <c r="D31" s="5"/>
    </row>
    <row r="32" spans="1:4" ht="15">
      <c r="A32" s="6">
        <v>20102</v>
      </c>
      <c r="B32" s="14" t="s">
        <v>32</v>
      </c>
      <c r="C32" s="5"/>
      <c r="D32" s="5"/>
    </row>
    <row r="33" spans="1:4" ht="15">
      <c r="A33" s="6">
        <v>20103</v>
      </c>
      <c r="B33" s="14" t="s">
        <v>33</v>
      </c>
      <c r="C33" s="5"/>
      <c r="D33" s="5"/>
    </row>
    <row r="34" spans="1:4" ht="15">
      <c r="A34" s="6">
        <v>20104</v>
      </c>
      <c r="B34" s="14" t="s">
        <v>34</v>
      </c>
      <c r="C34" s="5"/>
      <c r="D34" s="5"/>
    </row>
    <row r="35" spans="1:4" ht="15">
      <c r="A35" s="6">
        <v>20105</v>
      </c>
      <c r="B35" s="14" t="s">
        <v>35</v>
      </c>
      <c r="C35" s="5"/>
      <c r="D35" s="5"/>
    </row>
    <row r="36" spans="1:4" ht="15">
      <c r="A36" s="6">
        <v>20201</v>
      </c>
      <c r="B36" s="14" t="s">
        <v>36</v>
      </c>
      <c r="C36" s="5"/>
      <c r="D36" s="5"/>
    </row>
    <row r="37" spans="1:4" ht="15">
      <c r="A37" s="6">
        <v>20202</v>
      </c>
      <c r="B37" s="14" t="s">
        <v>37</v>
      </c>
      <c r="C37" s="5"/>
      <c r="D37" s="5"/>
    </row>
    <row r="38" spans="1:4" ht="15">
      <c r="A38" s="6">
        <v>20203</v>
      </c>
      <c r="B38" s="14" t="s">
        <v>38</v>
      </c>
      <c r="C38" s="5"/>
      <c r="D38" s="5"/>
    </row>
    <row r="39" spans="1:4" ht="15">
      <c r="A39" s="6">
        <v>20204</v>
      </c>
      <c r="B39" s="14" t="s">
        <v>39</v>
      </c>
      <c r="C39" s="5"/>
      <c r="D39" s="5"/>
    </row>
    <row r="40" spans="1:4" ht="15">
      <c r="A40" s="6">
        <v>20205</v>
      </c>
      <c r="B40" s="14" t="s">
        <v>40</v>
      </c>
      <c r="C40" s="5"/>
      <c r="D40" s="5"/>
    </row>
    <row r="41" spans="1:4" ht="15">
      <c r="A41" s="6">
        <v>20206</v>
      </c>
      <c r="B41" s="14" t="s">
        <v>41</v>
      </c>
      <c r="C41" s="5"/>
      <c r="D41" s="5"/>
    </row>
    <row r="42" spans="1:4" ht="15">
      <c r="A42" s="6">
        <v>20301</v>
      </c>
      <c r="B42" s="14" t="s">
        <v>42</v>
      </c>
      <c r="C42" s="5"/>
      <c r="D42" s="5"/>
    </row>
    <row r="43" spans="1:4" ht="15">
      <c r="A43" s="6">
        <v>20302</v>
      </c>
      <c r="B43" s="14" t="s">
        <v>43</v>
      </c>
      <c r="C43" s="5"/>
      <c r="D43" s="5"/>
    </row>
    <row r="44" spans="1:4" ht="15">
      <c r="A44" s="6">
        <v>20303</v>
      </c>
      <c r="B44" s="14" t="s">
        <v>44</v>
      </c>
      <c r="C44" s="5"/>
      <c r="D44" s="5"/>
    </row>
    <row r="45" spans="1:4" ht="15">
      <c r="A45" s="6">
        <v>20304</v>
      </c>
      <c r="B45" s="14" t="s">
        <v>45</v>
      </c>
      <c r="C45" s="5"/>
      <c r="D45" s="5"/>
    </row>
    <row r="46" spans="1:4" ht="15">
      <c r="A46" s="6">
        <v>20305</v>
      </c>
      <c r="B46" s="14" t="s">
        <v>46</v>
      </c>
      <c r="C46" s="5"/>
      <c r="D46" s="5"/>
    </row>
    <row r="47" spans="1:4" ht="15">
      <c r="A47" s="6">
        <v>20306</v>
      </c>
      <c r="B47" s="14" t="s">
        <v>47</v>
      </c>
      <c r="C47" s="5"/>
      <c r="D47" s="5"/>
    </row>
    <row r="48" spans="1:4" ht="15">
      <c r="A48" s="6">
        <v>20307</v>
      </c>
      <c r="B48" s="14" t="s">
        <v>48</v>
      </c>
      <c r="C48" s="5"/>
      <c r="D48" s="5"/>
    </row>
    <row r="49" spans="1:4" ht="15">
      <c r="A49" s="6">
        <v>20308</v>
      </c>
      <c r="B49" s="14" t="s">
        <v>49</v>
      </c>
      <c r="C49" s="5"/>
      <c r="D49" s="5"/>
    </row>
    <row r="50" spans="1:4" ht="15">
      <c r="A50" s="6">
        <v>20401</v>
      </c>
      <c r="B50" s="14" t="s">
        <v>50</v>
      </c>
      <c r="C50" s="5"/>
      <c r="D50" s="5"/>
    </row>
    <row r="51" spans="1:4" ht="15">
      <c r="A51" s="6">
        <v>20402</v>
      </c>
      <c r="B51" s="14" t="s">
        <v>51</v>
      </c>
      <c r="C51" s="5"/>
      <c r="D51" s="5"/>
    </row>
    <row r="52" spans="1:4" ht="15">
      <c r="A52" s="6">
        <v>20403</v>
      </c>
      <c r="B52" s="14" t="s">
        <v>52</v>
      </c>
      <c r="C52" s="5"/>
      <c r="D52" s="5"/>
    </row>
    <row r="53" spans="1:4" ht="15">
      <c r="A53" s="6">
        <v>20404</v>
      </c>
      <c r="B53" s="14" t="s">
        <v>53</v>
      </c>
      <c r="C53" s="5"/>
      <c r="D53" s="5"/>
    </row>
    <row r="54" spans="1:4" ht="15">
      <c r="A54" s="6">
        <v>20405</v>
      </c>
      <c r="B54" s="14" t="s">
        <v>54</v>
      </c>
      <c r="C54" s="5"/>
      <c r="D54" s="5"/>
    </row>
    <row r="55" spans="1:4" ht="15">
      <c r="A55" s="6">
        <v>20501</v>
      </c>
      <c r="B55" s="14" t="s">
        <v>55</v>
      </c>
      <c r="C55" s="5"/>
      <c r="D55" s="5"/>
    </row>
    <row r="56" spans="1:4" ht="15">
      <c r="A56" s="6">
        <v>20502</v>
      </c>
      <c r="B56" s="14" t="s">
        <v>56</v>
      </c>
      <c r="C56" s="5"/>
      <c r="D56" s="5"/>
    </row>
    <row r="57" spans="1:4" ht="15">
      <c r="A57" s="6">
        <v>20503</v>
      </c>
      <c r="B57" s="14" t="s">
        <v>57</v>
      </c>
      <c r="C57" s="5"/>
      <c r="D57" s="5"/>
    </row>
    <row r="58" spans="1:4" ht="15">
      <c r="A58" s="6">
        <v>20601</v>
      </c>
      <c r="B58" s="14" t="s">
        <v>58</v>
      </c>
      <c r="C58" s="5"/>
      <c r="D58" s="5"/>
    </row>
    <row r="59" spans="1:4" ht="15">
      <c r="A59" s="6">
        <v>20602</v>
      </c>
      <c r="B59" s="14" t="s">
        <v>59</v>
      </c>
      <c r="C59" s="5"/>
      <c r="D59" s="5"/>
    </row>
    <row r="60" spans="1:4" ht="15">
      <c r="A60" s="6">
        <v>20603</v>
      </c>
      <c r="B60" s="14" t="s">
        <v>60</v>
      </c>
      <c r="C60" s="5"/>
      <c r="D60" s="5"/>
    </row>
    <row r="61" spans="1:4" ht="15">
      <c r="A61" s="6">
        <v>20604</v>
      </c>
      <c r="B61" s="14" t="s">
        <v>61</v>
      </c>
      <c r="C61" s="5"/>
      <c r="D61" s="5"/>
    </row>
    <row r="62" spans="1:4" ht="15">
      <c r="A62" s="6">
        <v>20605</v>
      </c>
      <c r="B62" s="14" t="s">
        <v>62</v>
      </c>
      <c r="C62" s="5"/>
      <c r="D62" s="5"/>
    </row>
    <row r="63" spans="1:4" ht="15">
      <c r="A63" s="6">
        <v>20606</v>
      </c>
      <c r="B63" s="14" t="s">
        <v>63</v>
      </c>
      <c r="C63" s="5"/>
      <c r="D63" s="5"/>
    </row>
    <row r="64" spans="1:4" ht="15">
      <c r="A64" s="6">
        <v>20607</v>
      </c>
      <c r="B64" s="14" t="s">
        <v>64</v>
      </c>
      <c r="C64" s="5"/>
      <c r="D64" s="5"/>
    </row>
    <row r="65" spans="1:4" ht="15">
      <c r="A65" s="6">
        <v>20608</v>
      </c>
      <c r="B65" s="14" t="s">
        <v>65</v>
      </c>
      <c r="C65" s="5"/>
      <c r="D65" s="5"/>
    </row>
    <row r="66" spans="1:4" ht="15">
      <c r="A66" s="6">
        <v>20701</v>
      </c>
      <c r="B66" s="14" t="s">
        <v>66</v>
      </c>
      <c r="C66" s="5"/>
      <c r="D66" s="5"/>
    </row>
    <row r="67" spans="1:4" ht="15">
      <c r="A67" s="6">
        <v>20702</v>
      </c>
      <c r="B67" s="14" t="s">
        <v>67</v>
      </c>
      <c r="C67" s="5"/>
      <c r="D67" s="5"/>
    </row>
    <row r="68" spans="1:4" ht="15">
      <c r="A68" s="6">
        <v>20801</v>
      </c>
      <c r="B68" s="14" t="s">
        <v>68</v>
      </c>
      <c r="C68" s="5"/>
      <c r="D68" s="5"/>
    </row>
    <row r="69" spans="1:4" ht="15">
      <c r="A69" s="6">
        <v>20802</v>
      </c>
      <c r="B69" s="14" t="s">
        <v>69</v>
      </c>
      <c r="C69" s="5"/>
      <c r="D69" s="5"/>
    </row>
    <row r="70" spans="1:4" ht="15">
      <c r="A70" s="6">
        <v>20803</v>
      </c>
      <c r="B70" s="14" t="s">
        <v>70</v>
      </c>
      <c r="C70" s="5"/>
      <c r="D70" s="5"/>
    </row>
    <row r="71" spans="1:4" ht="15">
      <c r="A71" s="6">
        <v>20804</v>
      </c>
      <c r="B71" s="14" t="s">
        <v>71</v>
      </c>
      <c r="C71" s="5"/>
      <c r="D71" s="5"/>
    </row>
    <row r="72" spans="1:4" ht="15">
      <c r="A72" s="6">
        <v>20805</v>
      </c>
      <c r="B72" s="14" t="s">
        <v>72</v>
      </c>
      <c r="C72" s="5"/>
      <c r="D72" s="5"/>
    </row>
    <row r="73" spans="1:4" ht="15">
      <c r="A73" s="6">
        <v>20806</v>
      </c>
      <c r="B73" s="14" t="s">
        <v>73</v>
      </c>
      <c r="C73" s="5"/>
      <c r="D73" s="5"/>
    </row>
    <row r="74" spans="1:4" ht="15">
      <c r="A74" s="6">
        <v>20807</v>
      </c>
      <c r="B74" s="14" t="s">
        <v>74</v>
      </c>
      <c r="C74" s="5"/>
      <c r="D74" s="5"/>
    </row>
    <row r="75" spans="1:4" ht="15">
      <c r="A75" s="6">
        <v>20901</v>
      </c>
      <c r="B75" s="14" t="s">
        <v>75</v>
      </c>
      <c r="C75" s="5"/>
      <c r="D75" s="5"/>
    </row>
    <row r="76" spans="1:4" ht="15">
      <c r="A76" s="6">
        <v>20902</v>
      </c>
      <c r="B76" s="14" t="s">
        <v>76</v>
      </c>
      <c r="C76" s="5"/>
      <c r="D76" s="5"/>
    </row>
    <row r="77" spans="1:4" ht="15">
      <c r="A77" s="6">
        <v>20903</v>
      </c>
      <c r="B77" s="14" t="s">
        <v>77</v>
      </c>
      <c r="C77" s="5"/>
      <c r="D77" s="5"/>
    </row>
    <row r="78" spans="1:4" ht="15">
      <c r="A78" s="6">
        <v>20904</v>
      </c>
      <c r="B78" s="14" t="s">
        <v>78</v>
      </c>
      <c r="C78" s="5"/>
      <c r="D78" s="5"/>
    </row>
    <row r="79" spans="1:4" ht="15">
      <c r="A79" s="6">
        <v>20905</v>
      </c>
      <c r="B79" s="14" t="s">
        <v>79</v>
      </c>
      <c r="C79" s="5"/>
      <c r="D79" s="5"/>
    </row>
    <row r="80" spans="1:4" ht="15">
      <c r="A80" s="6">
        <v>21001</v>
      </c>
      <c r="B80" s="14" t="s">
        <v>80</v>
      </c>
      <c r="C80" s="5"/>
      <c r="D80" s="5"/>
    </row>
    <row r="81" spans="1:4" ht="15">
      <c r="A81" s="6">
        <v>21002</v>
      </c>
      <c r="B81" s="14" t="s">
        <v>81</v>
      </c>
      <c r="C81" s="5"/>
      <c r="D81" s="5"/>
    </row>
    <row r="82" spans="1:4" ht="15">
      <c r="A82" s="6">
        <v>21003</v>
      </c>
      <c r="B82" s="14" t="s">
        <v>82</v>
      </c>
      <c r="C82" s="5"/>
      <c r="D82" s="5"/>
    </row>
    <row r="83" spans="1:4" ht="15">
      <c r="A83" s="6">
        <v>21004</v>
      </c>
      <c r="B83" s="14" t="s">
        <v>83</v>
      </c>
      <c r="C83" s="5"/>
      <c r="D83" s="5"/>
    </row>
    <row r="84" spans="1:4" ht="15">
      <c r="A84" s="6">
        <v>21005</v>
      </c>
      <c r="B84" s="14" t="s">
        <v>84</v>
      </c>
      <c r="C84" s="5"/>
      <c r="D84" s="5"/>
    </row>
    <row r="85" spans="1:4" ht="15">
      <c r="A85" s="6">
        <v>21006</v>
      </c>
      <c r="B85" s="14" t="s">
        <v>85</v>
      </c>
      <c r="C85" s="5"/>
      <c r="D85" s="5"/>
    </row>
    <row r="86" spans="1:4" ht="15">
      <c r="A86" s="6">
        <v>21101</v>
      </c>
      <c r="B86" s="14" t="s">
        <v>86</v>
      </c>
      <c r="C86" s="5"/>
      <c r="D86" s="5"/>
    </row>
    <row r="87" spans="1:4" ht="15">
      <c r="A87" s="6">
        <v>21102</v>
      </c>
      <c r="B87" s="14" t="s">
        <v>87</v>
      </c>
      <c r="C87" s="5"/>
      <c r="D87" s="5"/>
    </row>
    <row r="88" spans="1:4" ht="15">
      <c r="A88" s="6">
        <v>21103</v>
      </c>
      <c r="B88" s="14" t="s">
        <v>88</v>
      </c>
      <c r="C88" s="5"/>
      <c r="D88" s="5"/>
    </row>
    <row r="89" spans="1:4" ht="15">
      <c r="A89" s="6">
        <v>21104</v>
      </c>
      <c r="B89" s="14" t="s">
        <v>89</v>
      </c>
      <c r="C89" s="5"/>
      <c r="D89" s="5"/>
    </row>
    <row r="90" spans="1:4" ht="15">
      <c r="A90" s="6">
        <v>21105</v>
      </c>
      <c r="B90" s="14" t="s">
        <v>90</v>
      </c>
      <c r="C90" s="5"/>
      <c r="D90" s="5"/>
    </row>
    <row r="91" spans="1:4" ht="15">
      <c r="A91" s="6">
        <v>21201</v>
      </c>
      <c r="B91" s="14" t="s">
        <v>91</v>
      </c>
      <c r="C91" s="5"/>
      <c r="D91" s="5"/>
    </row>
    <row r="92" spans="1:4" ht="15">
      <c r="A92" s="6">
        <v>21202</v>
      </c>
      <c r="B92" s="14" t="s">
        <v>92</v>
      </c>
      <c r="C92" s="5"/>
      <c r="D92" s="5"/>
    </row>
    <row r="93" spans="1:4" ht="15">
      <c r="A93" s="6">
        <v>21203</v>
      </c>
      <c r="B93" s="14" t="s">
        <v>93</v>
      </c>
      <c r="C93" s="5"/>
      <c r="D93" s="5"/>
    </row>
    <row r="94" spans="1:4" ht="15">
      <c r="A94" s="6">
        <v>21204</v>
      </c>
      <c r="B94" s="14" t="s">
        <v>94</v>
      </c>
      <c r="C94" s="5"/>
      <c r="D94" s="5"/>
    </row>
    <row r="95" spans="1:4" ht="15">
      <c r="A95" s="6">
        <v>21301</v>
      </c>
      <c r="B95" s="14" t="s">
        <v>95</v>
      </c>
      <c r="C95" s="5"/>
      <c r="D95" s="5"/>
    </row>
    <row r="96" spans="1:4" ht="15">
      <c r="A96" s="6">
        <v>21302</v>
      </c>
      <c r="B96" s="14" t="s">
        <v>96</v>
      </c>
      <c r="C96" s="5"/>
      <c r="D96" s="5"/>
    </row>
    <row r="97" spans="1:4" ht="15">
      <c r="A97" s="6">
        <v>21303</v>
      </c>
      <c r="B97" s="14" t="s">
        <v>97</v>
      </c>
      <c r="C97" s="5"/>
      <c r="D97" s="5"/>
    </row>
    <row r="98" spans="1:4" ht="15">
      <c r="A98" s="6">
        <v>21304</v>
      </c>
      <c r="B98" s="14" t="s">
        <v>98</v>
      </c>
      <c r="C98" s="5"/>
      <c r="D98" s="5"/>
    </row>
    <row r="99" spans="1:4" ht="15">
      <c r="A99" s="6">
        <v>21305</v>
      </c>
      <c r="B99" s="14" t="s">
        <v>99</v>
      </c>
      <c r="C99" s="5"/>
      <c r="D99" s="5"/>
    </row>
    <row r="100" spans="1:4" ht="15">
      <c r="A100" s="6">
        <v>21306</v>
      </c>
      <c r="B100" s="14" t="s">
        <v>100</v>
      </c>
      <c r="C100" s="5"/>
      <c r="D100" s="5"/>
    </row>
    <row r="101" spans="1:4" ht="15">
      <c r="A101" s="6">
        <v>21307</v>
      </c>
      <c r="B101" s="14" t="s">
        <v>101</v>
      </c>
      <c r="C101" s="5"/>
      <c r="D101" s="5"/>
    </row>
    <row r="102" spans="1:4" ht="15">
      <c r="A102" s="6">
        <v>21401</v>
      </c>
      <c r="B102" s="14" t="s">
        <v>102</v>
      </c>
      <c r="C102" s="5"/>
      <c r="D102" s="5"/>
    </row>
    <row r="103" spans="1:4" ht="15">
      <c r="A103" s="6">
        <v>21402</v>
      </c>
      <c r="B103" s="14" t="s">
        <v>103</v>
      </c>
      <c r="C103" s="5"/>
      <c r="D103" s="5"/>
    </row>
    <row r="104" spans="1:4" ht="15">
      <c r="A104" s="6">
        <v>21501</v>
      </c>
      <c r="B104" s="14" t="s">
        <v>104</v>
      </c>
      <c r="C104" s="5"/>
      <c r="D104" s="5"/>
    </row>
    <row r="105" spans="1:4" ht="15">
      <c r="A105" s="6">
        <v>21502</v>
      </c>
      <c r="B105" s="14" t="s">
        <v>105</v>
      </c>
      <c r="C105" s="5"/>
      <c r="D105" s="5"/>
    </row>
    <row r="106" spans="1:4" ht="15">
      <c r="A106" s="6">
        <v>21601</v>
      </c>
      <c r="B106" s="14" t="s">
        <v>106</v>
      </c>
      <c r="C106" s="5"/>
      <c r="D106" s="5"/>
    </row>
    <row r="107" spans="1:4" ht="15">
      <c r="A107" s="6">
        <v>21602</v>
      </c>
      <c r="B107" s="14" t="s">
        <v>107</v>
      </c>
      <c r="C107" s="5"/>
      <c r="D107" s="5"/>
    </row>
    <row r="108" spans="1:4" ht="15">
      <c r="A108" s="6">
        <v>21701</v>
      </c>
      <c r="B108" s="14" t="s">
        <v>108</v>
      </c>
      <c r="C108" s="5"/>
      <c r="D108" s="5"/>
    </row>
    <row r="109" spans="1:4" ht="15">
      <c r="A109" s="6">
        <v>21702</v>
      </c>
      <c r="B109" s="14" t="s">
        <v>109</v>
      </c>
      <c r="C109" s="5"/>
      <c r="D109" s="5"/>
    </row>
    <row r="110" spans="1:4" ht="15">
      <c r="A110" s="6">
        <v>21703</v>
      </c>
      <c r="B110" s="14" t="s">
        <v>110</v>
      </c>
      <c r="C110" s="5"/>
      <c r="D110" s="5"/>
    </row>
    <row r="111" spans="1:4" ht="15">
      <c r="A111" s="6">
        <v>21801</v>
      </c>
      <c r="B111" s="14" t="s">
        <v>111</v>
      </c>
      <c r="C111" s="5"/>
      <c r="D111" s="5"/>
    </row>
    <row r="112" spans="1:4" ht="15">
      <c r="A112" s="6">
        <v>21802</v>
      </c>
      <c r="B112" s="14" t="s">
        <v>112</v>
      </c>
      <c r="C112" s="5"/>
      <c r="D112" s="5"/>
    </row>
    <row r="113" spans="1:4" ht="15">
      <c r="A113" s="6">
        <v>21803</v>
      </c>
      <c r="B113" s="14" t="s">
        <v>113</v>
      </c>
      <c r="C113" s="5"/>
      <c r="D113" s="5"/>
    </row>
    <row r="114" spans="1:4" ht="15">
      <c r="A114" s="6">
        <v>21901</v>
      </c>
      <c r="B114" s="14" t="s">
        <v>114</v>
      </c>
      <c r="C114" s="5"/>
      <c r="D114" s="5"/>
    </row>
    <row r="115" spans="1:4" ht="15">
      <c r="A115" s="6">
        <v>21902</v>
      </c>
      <c r="B115" s="14" t="s">
        <v>115</v>
      </c>
      <c r="C115" s="5"/>
      <c r="D115" s="5"/>
    </row>
    <row r="116" spans="1:4" ht="15">
      <c r="A116" s="6">
        <v>22001</v>
      </c>
      <c r="B116" s="14" t="s">
        <v>116</v>
      </c>
      <c r="C116" s="5"/>
      <c r="D116" s="5"/>
    </row>
    <row r="117" spans="1:4" ht="15">
      <c r="A117" s="6">
        <v>22002</v>
      </c>
      <c r="B117" s="14" t="s">
        <v>117</v>
      </c>
      <c r="C117" s="5"/>
      <c r="D117" s="5"/>
    </row>
    <row r="118" spans="1:4" ht="15">
      <c r="A118" s="6">
        <v>30101</v>
      </c>
      <c r="B118" s="14" t="s">
        <v>118</v>
      </c>
      <c r="C118" s="5"/>
      <c r="D118" s="5"/>
    </row>
    <row r="119" spans="1:4" ht="15">
      <c r="A119" s="6">
        <v>30201</v>
      </c>
      <c r="B119" s="14" t="s">
        <v>119</v>
      </c>
      <c r="C119" s="5"/>
      <c r="D119" s="5"/>
    </row>
    <row r="120" spans="1:4" ht="15">
      <c r="A120" s="6">
        <v>30202</v>
      </c>
      <c r="B120" s="14" t="s">
        <v>120</v>
      </c>
      <c r="C120" s="5"/>
      <c r="D120" s="5"/>
    </row>
    <row r="121" spans="1:4" ht="15">
      <c r="A121" s="6">
        <v>30203</v>
      </c>
      <c r="B121" s="14" t="s">
        <v>121</v>
      </c>
      <c r="C121" s="5"/>
      <c r="D121" s="5"/>
    </row>
    <row r="122" spans="1:4" ht="15">
      <c r="A122" s="6">
        <v>30301</v>
      </c>
      <c r="B122" s="14" t="s">
        <v>122</v>
      </c>
      <c r="C122" s="5"/>
      <c r="D122" s="5"/>
    </row>
    <row r="123" spans="1:4" ht="15">
      <c r="A123" s="6">
        <v>30302</v>
      </c>
      <c r="B123" s="14" t="s">
        <v>123</v>
      </c>
      <c r="C123" s="5"/>
      <c r="D123" s="5"/>
    </row>
    <row r="124" spans="1:4" ht="15">
      <c r="A124" s="6">
        <v>30303</v>
      </c>
      <c r="B124" s="14" t="s">
        <v>124</v>
      </c>
      <c r="C124" s="5"/>
      <c r="D124" s="5"/>
    </row>
    <row r="125" spans="1:4" ht="15">
      <c r="A125" s="6">
        <v>30401</v>
      </c>
      <c r="B125" s="14" t="s">
        <v>125</v>
      </c>
      <c r="C125" s="5"/>
      <c r="D125" s="5"/>
    </row>
    <row r="126" spans="1:4" ht="15">
      <c r="A126" s="6">
        <v>30402</v>
      </c>
      <c r="B126" s="14" t="s">
        <v>126</v>
      </c>
      <c r="C126" s="5"/>
      <c r="D126" s="5"/>
    </row>
    <row r="127" spans="1:4" ht="15">
      <c r="A127" s="6">
        <v>30403</v>
      </c>
      <c r="B127" s="14" t="s">
        <v>127</v>
      </c>
      <c r="C127" s="5"/>
      <c r="D127" s="5"/>
    </row>
    <row r="128" spans="1:4" ht="15">
      <c r="A128" s="6">
        <v>30404</v>
      </c>
      <c r="B128" s="14" t="s">
        <v>128</v>
      </c>
      <c r="C128" s="5"/>
      <c r="D128" s="5"/>
    </row>
    <row r="129" spans="1:4" ht="15">
      <c r="A129" s="6">
        <v>30501</v>
      </c>
      <c r="B129" s="14" t="s">
        <v>129</v>
      </c>
      <c r="C129" s="5"/>
      <c r="D129" s="5"/>
    </row>
    <row r="130" spans="1:4" ht="15">
      <c r="A130" s="6">
        <v>30502</v>
      </c>
      <c r="B130" s="14" t="s">
        <v>130</v>
      </c>
      <c r="C130" s="5"/>
      <c r="D130" s="5"/>
    </row>
    <row r="131" spans="1:4" ht="15">
      <c r="A131" s="6">
        <v>30601</v>
      </c>
      <c r="B131" s="14" t="s">
        <v>131</v>
      </c>
      <c r="C131" s="5"/>
      <c r="D131" s="5"/>
    </row>
    <row r="132" spans="1:4" ht="15">
      <c r="A132" s="6">
        <v>30602</v>
      </c>
      <c r="B132" s="14" t="s">
        <v>132</v>
      </c>
      <c r="C132" s="5"/>
      <c r="D132" s="5"/>
    </row>
    <row r="133" spans="1:4" ht="15">
      <c r="A133" s="6">
        <v>30701</v>
      </c>
      <c r="B133" s="14" t="s">
        <v>133</v>
      </c>
      <c r="C133" s="5"/>
      <c r="D133" s="5"/>
    </row>
    <row r="134" spans="1:4" ht="15">
      <c r="A134" s="6">
        <v>30702</v>
      </c>
      <c r="B134" s="14" t="s">
        <v>134</v>
      </c>
      <c r="C134" s="5"/>
      <c r="D134" s="5"/>
    </row>
    <row r="135" spans="1:4" ht="15">
      <c r="A135" s="6">
        <v>30703</v>
      </c>
      <c r="B135" s="14" t="s">
        <v>135</v>
      </c>
      <c r="C135" s="5"/>
      <c r="D135" s="5"/>
    </row>
    <row r="136" spans="1:4" ht="15">
      <c r="A136" s="6">
        <v>30801</v>
      </c>
      <c r="B136" s="14" t="s">
        <v>136</v>
      </c>
      <c r="C136" s="5"/>
      <c r="D136" s="5"/>
    </row>
    <row r="137" spans="1:4" ht="15">
      <c r="A137" s="6">
        <v>30802</v>
      </c>
      <c r="B137" s="14" t="s">
        <v>137</v>
      </c>
      <c r="C137" s="5"/>
      <c r="D137" s="5"/>
    </row>
    <row r="138" spans="1:4" ht="15">
      <c r="A138" s="6">
        <v>30803</v>
      </c>
      <c r="B138" s="14" t="s">
        <v>138</v>
      </c>
      <c r="C138" s="5"/>
      <c r="D138" s="5"/>
    </row>
    <row r="139" spans="1:4" ht="15">
      <c r="A139" s="6">
        <v>30901</v>
      </c>
      <c r="B139" s="14" t="s">
        <v>139</v>
      </c>
      <c r="C139" s="5"/>
      <c r="D139" s="5"/>
    </row>
    <row r="140" spans="1:4" ht="15">
      <c r="A140" s="6">
        <v>30902</v>
      </c>
      <c r="B140" s="14" t="s">
        <v>140</v>
      </c>
      <c r="C140" s="5"/>
      <c r="D140" s="5"/>
    </row>
    <row r="141" spans="1:4" ht="15">
      <c r="A141" s="6">
        <v>30903</v>
      </c>
      <c r="B141" s="14" t="s">
        <v>141</v>
      </c>
      <c r="C141" s="5"/>
      <c r="D141" s="5"/>
    </row>
    <row r="142" spans="1:4" ht="15">
      <c r="A142" s="6">
        <v>30904</v>
      </c>
      <c r="B142" s="14" t="s">
        <v>142</v>
      </c>
      <c r="C142" s="5"/>
      <c r="D142" s="5"/>
    </row>
    <row r="143" spans="1:4" ht="15">
      <c r="A143" s="6">
        <v>30905</v>
      </c>
      <c r="B143" s="14" t="s">
        <v>143</v>
      </c>
      <c r="C143" s="5"/>
      <c r="D143" s="5"/>
    </row>
    <row r="144" spans="1:4" ht="15">
      <c r="A144" s="6">
        <v>31001</v>
      </c>
      <c r="B144" s="14" t="s">
        <v>144</v>
      </c>
      <c r="C144" s="5"/>
      <c r="D144" s="5"/>
    </row>
    <row r="145" spans="1:4" ht="15">
      <c r="A145" s="6">
        <v>31002</v>
      </c>
      <c r="B145" s="14" t="s">
        <v>145</v>
      </c>
      <c r="C145" s="5"/>
      <c r="D145" s="5"/>
    </row>
    <row r="146" spans="1:4" ht="15">
      <c r="A146" s="6">
        <v>31003</v>
      </c>
      <c r="B146" s="14" t="s">
        <v>146</v>
      </c>
      <c r="C146" s="5"/>
      <c r="D146" s="5"/>
    </row>
    <row r="147" spans="1:4" ht="15">
      <c r="A147" s="6">
        <v>31101</v>
      </c>
      <c r="B147" s="14" t="s">
        <v>147</v>
      </c>
      <c r="C147" s="5"/>
      <c r="D147" s="5"/>
    </row>
    <row r="148" spans="1:4" ht="15">
      <c r="A148" s="6">
        <v>31201</v>
      </c>
      <c r="B148" s="14" t="s">
        <v>148</v>
      </c>
      <c r="C148" s="5"/>
      <c r="D148" s="5"/>
    </row>
    <row r="149" spans="1:4" ht="15">
      <c r="A149" s="6">
        <v>31202</v>
      </c>
      <c r="B149" s="14" t="s">
        <v>149</v>
      </c>
      <c r="C149" s="5"/>
      <c r="D149" s="5"/>
    </row>
    <row r="150" spans="1:4" ht="15">
      <c r="A150" s="6">
        <v>31203</v>
      </c>
      <c r="B150" s="14" t="s">
        <v>150</v>
      </c>
      <c r="C150" s="5"/>
      <c r="D150" s="5"/>
    </row>
    <row r="151" spans="1:4" ht="15">
      <c r="A151" s="6">
        <v>31204</v>
      </c>
      <c r="B151" s="14" t="s">
        <v>151</v>
      </c>
      <c r="C151" s="5"/>
      <c r="D151" s="5"/>
    </row>
    <row r="152" spans="1:4" ht="15">
      <c r="A152" s="6">
        <v>31205</v>
      </c>
      <c r="B152" s="14" t="s">
        <v>152</v>
      </c>
      <c r="C152" s="5"/>
      <c r="D152" s="5"/>
    </row>
    <row r="153" spans="1:4" ht="15">
      <c r="A153" s="6">
        <v>31206</v>
      </c>
      <c r="B153" s="14" t="s">
        <v>153</v>
      </c>
      <c r="C153" s="5"/>
      <c r="D153" s="5"/>
    </row>
    <row r="154" spans="1:4" ht="15">
      <c r="A154" s="6">
        <v>31301</v>
      </c>
      <c r="B154" s="14" t="s">
        <v>154</v>
      </c>
      <c r="C154" s="5"/>
      <c r="D154" s="5"/>
    </row>
    <row r="155" spans="1:4" ht="15">
      <c r="A155" s="6">
        <v>31302</v>
      </c>
      <c r="B155" s="14" t="s">
        <v>155</v>
      </c>
      <c r="C155" s="5"/>
      <c r="D155" s="5"/>
    </row>
    <row r="156" spans="1:4" ht="15">
      <c r="A156" s="6">
        <v>31303</v>
      </c>
      <c r="B156" s="14" t="s">
        <v>156</v>
      </c>
      <c r="C156" s="5"/>
      <c r="D156" s="5"/>
    </row>
    <row r="157" spans="1:4" ht="15">
      <c r="A157" s="6">
        <v>31304</v>
      </c>
      <c r="B157" s="14" t="s">
        <v>157</v>
      </c>
      <c r="C157" s="5"/>
      <c r="D157" s="5"/>
    </row>
    <row r="158" spans="1:4" ht="15">
      <c r="A158" s="6">
        <v>31401</v>
      </c>
      <c r="B158" s="14" t="s">
        <v>158</v>
      </c>
      <c r="C158" s="5"/>
      <c r="D158" s="5"/>
    </row>
    <row r="159" spans="1:4" ht="15">
      <c r="A159" s="6">
        <v>31402</v>
      </c>
      <c r="B159" s="14" t="s">
        <v>159</v>
      </c>
      <c r="C159" s="5"/>
      <c r="D159" s="5"/>
    </row>
    <row r="160" spans="1:4" ht="15">
      <c r="A160" s="6">
        <v>31403</v>
      </c>
      <c r="B160" s="14" t="s">
        <v>160</v>
      </c>
      <c r="C160" s="5"/>
      <c r="D160" s="5"/>
    </row>
    <row r="161" spans="1:4" ht="15">
      <c r="A161" s="6">
        <v>31404</v>
      </c>
      <c r="B161" s="14" t="s">
        <v>161</v>
      </c>
      <c r="C161" s="5"/>
      <c r="D161" s="5"/>
    </row>
    <row r="162" spans="1:4" ht="15">
      <c r="A162" s="6">
        <v>31405</v>
      </c>
      <c r="B162" s="14" t="s">
        <v>162</v>
      </c>
      <c r="C162" s="5"/>
      <c r="D162" s="5"/>
    </row>
    <row r="163" spans="1:4" ht="15">
      <c r="A163" s="6">
        <v>31501</v>
      </c>
      <c r="B163" s="14" t="s">
        <v>163</v>
      </c>
      <c r="C163" s="5"/>
      <c r="D163" s="5"/>
    </row>
    <row r="164" spans="1:4" ht="15">
      <c r="A164" s="6">
        <v>31601</v>
      </c>
      <c r="B164" s="14" t="s">
        <v>164</v>
      </c>
      <c r="C164" s="5"/>
      <c r="D164" s="5"/>
    </row>
    <row r="165" spans="1:4" ht="15">
      <c r="A165" s="6">
        <v>31602</v>
      </c>
      <c r="B165" s="14" t="s">
        <v>165</v>
      </c>
      <c r="C165" s="5"/>
      <c r="D165" s="5"/>
    </row>
    <row r="166" spans="1:4" ht="15">
      <c r="A166" s="6">
        <v>40101</v>
      </c>
      <c r="B166" s="14" t="s">
        <v>166</v>
      </c>
      <c r="C166" s="5"/>
      <c r="D166" s="5"/>
    </row>
    <row r="167" spans="1:4" ht="15">
      <c r="A167" s="6">
        <v>40102</v>
      </c>
      <c r="B167" s="14" t="s">
        <v>167</v>
      </c>
      <c r="C167" s="5"/>
      <c r="D167" s="5"/>
    </row>
    <row r="168" spans="1:4" ht="15">
      <c r="A168" s="6">
        <v>40103</v>
      </c>
      <c r="B168" s="14" t="s">
        <v>168</v>
      </c>
      <c r="C168" s="5"/>
      <c r="D168" s="5"/>
    </row>
    <row r="169" spans="1:4" ht="15">
      <c r="A169" s="6">
        <v>40104</v>
      </c>
      <c r="B169" s="14" t="s">
        <v>169</v>
      </c>
      <c r="C169" s="5"/>
      <c r="D169" s="5"/>
    </row>
    <row r="170" spans="1:4" ht="15">
      <c r="A170" s="6">
        <v>40201</v>
      </c>
      <c r="B170" s="14" t="s">
        <v>170</v>
      </c>
      <c r="C170" s="5"/>
      <c r="D170" s="5"/>
    </row>
    <row r="171" spans="1:4" ht="15">
      <c r="A171" s="6">
        <v>40202</v>
      </c>
      <c r="B171" s="14" t="s">
        <v>171</v>
      </c>
      <c r="C171" s="5"/>
      <c r="D171" s="5"/>
    </row>
    <row r="172" spans="1:4" ht="15">
      <c r="A172" s="6">
        <v>40301</v>
      </c>
      <c r="B172" s="14" t="s">
        <v>172</v>
      </c>
      <c r="C172" s="5"/>
      <c r="D172" s="5"/>
    </row>
    <row r="173" spans="1:4" ht="15">
      <c r="A173" s="6">
        <v>40302</v>
      </c>
      <c r="B173" s="14" t="s">
        <v>173</v>
      </c>
      <c r="C173" s="5"/>
      <c r="D173" s="5"/>
    </row>
    <row r="174" spans="1:4" ht="15">
      <c r="A174" s="6">
        <v>40401</v>
      </c>
      <c r="B174" s="14" t="s">
        <v>174</v>
      </c>
      <c r="C174" s="5"/>
      <c r="D174" s="5"/>
    </row>
    <row r="175" spans="1:4" ht="15">
      <c r="A175" s="6">
        <v>40402</v>
      </c>
      <c r="B175" s="14" t="s">
        <v>175</v>
      </c>
      <c r="C175" s="5"/>
      <c r="D175" s="5"/>
    </row>
    <row r="176" spans="1:4" ht="15">
      <c r="A176" s="6">
        <v>40501</v>
      </c>
      <c r="B176" s="14" t="s">
        <v>176</v>
      </c>
      <c r="C176" s="5"/>
      <c r="D176" s="5"/>
    </row>
    <row r="177" spans="1:4" ht="15">
      <c r="A177" s="6">
        <v>40502</v>
      </c>
      <c r="B177" s="14" t="s">
        <v>177</v>
      </c>
      <c r="C177" s="5"/>
      <c r="D177" s="5"/>
    </row>
    <row r="178" spans="1:4" ht="15">
      <c r="A178" s="6">
        <v>40503</v>
      </c>
      <c r="B178" s="14" t="s">
        <v>178</v>
      </c>
      <c r="C178" s="5"/>
      <c r="D178" s="5"/>
    </row>
    <row r="179" spans="1:4" ht="15">
      <c r="A179" s="6">
        <v>40504</v>
      </c>
      <c r="B179" s="14" t="s">
        <v>179</v>
      </c>
      <c r="C179" s="5"/>
      <c r="D179" s="5"/>
    </row>
    <row r="180" spans="1:4" ht="15">
      <c r="A180" s="6">
        <v>40505</v>
      </c>
      <c r="B180" s="14" t="s">
        <v>180</v>
      </c>
      <c r="C180" s="5"/>
      <c r="D180" s="5"/>
    </row>
    <row r="181" spans="1:4" ht="15">
      <c r="A181" s="6">
        <v>40601</v>
      </c>
      <c r="B181" s="14" t="s">
        <v>181</v>
      </c>
      <c r="C181" s="5"/>
      <c r="D181" s="5"/>
    </row>
    <row r="182" spans="1:4" ht="15">
      <c r="A182" s="6">
        <v>40602</v>
      </c>
      <c r="B182" s="14" t="s">
        <v>182</v>
      </c>
      <c r="C182" s="5"/>
      <c r="D182" s="5"/>
    </row>
    <row r="183" spans="1:4" ht="15">
      <c r="A183" s="6">
        <v>40603</v>
      </c>
      <c r="B183" s="14" t="s">
        <v>183</v>
      </c>
      <c r="C183" s="5"/>
      <c r="D183" s="5"/>
    </row>
    <row r="184" spans="1:4" ht="15">
      <c r="A184" s="6">
        <v>40701</v>
      </c>
      <c r="B184" s="14" t="s">
        <v>184</v>
      </c>
      <c r="C184" s="5"/>
      <c r="D184" s="5"/>
    </row>
    <row r="185" spans="1:4" ht="15">
      <c r="A185" s="6">
        <v>40702</v>
      </c>
      <c r="B185" s="14" t="s">
        <v>185</v>
      </c>
      <c r="C185" s="5"/>
      <c r="D185" s="5"/>
    </row>
    <row r="186" spans="1:4" ht="15">
      <c r="A186" s="6">
        <v>40801</v>
      </c>
      <c r="B186" s="14" t="s">
        <v>186</v>
      </c>
      <c r="C186" s="5"/>
      <c r="D186" s="5"/>
    </row>
    <row r="187" spans="1:4" ht="15">
      <c r="A187" s="6">
        <v>40802</v>
      </c>
      <c r="B187" s="14" t="s">
        <v>187</v>
      </c>
      <c r="C187" s="5"/>
      <c r="D187" s="5"/>
    </row>
    <row r="188" spans="1:4" ht="15">
      <c r="A188" s="6">
        <v>40901</v>
      </c>
      <c r="B188" s="14" t="s">
        <v>188</v>
      </c>
      <c r="C188" s="5"/>
      <c r="D188" s="5"/>
    </row>
    <row r="189" spans="1:4" ht="15">
      <c r="A189" s="6">
        <v>40902</v>
      </c>
      <c r="B189" s="14" t="s">
        <v>189</v>
      </c>
      <c r="C189" s="5"/>
      <c r="D189" s="5"/>
    </row>
    <row r="190" spans="1:4" ht="15">
      <c r="A190" s="6">
        <v>40903</v>
      </c>
      <c r="B190" s="14" t="s">
        <v>190</v>
      </c>
      <c r="C190" s="5"/>
      <c r="D190" s="5"/>
    </row>
    <row r="191" spans="1:4" ht="15">
      <c r="A191" s="6">
        <v>41001</v>
      </c>
      <c r="B191" s="14" t="s">
        <v>191</v>
      </c>
      <c r="C191" s="5"/>
      <c r="D191" s="5"/>
    </row>
    <row r="192" spans="1:4" ht="15">
      <c r="A192" s="6">
        <v>41101</v>
      </c>
      <c r="B192" s="14" t="s">
        <v>192</v>
      </c>
      <c r="C192" s="5"/>
      <c r="D192" s="5"/>
    </row>
    <row r="193" spans="1:4" ht="15">
      <c r="A193" s="6">
        <v>41201</v>
      </c>
      <c r="B193" s="14" t="s">
        <v>193</v>
      </c>
      <c r="C193" s="5"/>
      <c r="D193" s="5"/>
    </row>
    <row r="194" spans="1:4" ht="15">
      <c r="A194" s="6">
        <v>41202</v>
      </c>
      <c r="B194" s="14" t="s">
        <v>194</v>
      </c>
      <c r="C194" s="5"/>
      <c r="D194" s="5"/>
    </row>
    <row r="195" spans="1:4" ht="15">
      <c r="A195" s="6">
        <v>41301</v>
      </c>
      <c r="B195" s="14" t="s">
        <v>195</v>
      </c>
      <c r="C195" s="5"/>
      <c r="D195" s="5"/>
    </row>
    <row r="196" spans="1:4" ht="15">
      <c r="A196" s="6">
        <v>41401</v>
      </c>
      <c r="B196" s="14" t="s">
        <v>196</v>
      </c>
      <c r="C196" s="5"/>
      <c r="D196" s="5"/>
    </row>
    <row r="197" spans="1:4" ht="15">
      <c r="A197" s="6">
        <v>41501</v>
      </c>
      <c r="B197" s="14" t="s">
        <v>197</v>
      </c>
      <c r="C197" s="5"/>
      <c r="D197" s="5"/>
    </row>
    <row r="198" spans="1:4" ht="15">
      <c r="A198" s="6">
        <v>41502</v>
      </c>
      <c r="B198" s="14" t="s">
        <v>198</v>
      </c>
      <c r="C198" s="5"/>
      <c r="D198" s="5"/>
    </row>
    <row r="199" spans="1:4" ht="15">
      <c r="A199" s="6">
        <v>41503</v>
      </c>
      <c r="B199" s="14" t="s">
        <v>199</v>
      </c>
      <c r="C199" s="5"/>
      <c r="D199" s="5"/>
    </row>
    <row r="200" spans="1:4" ht="15">
      <c r="A200" s="6">
        <v>41601</v>
      </c>
      <c r="B200" s="14" t="s">
        <v>200</v>
      </c>
      <c r="C200" s="5"/>
      <c r="D200" s="5"/>
    </row>
    <row r="201" spans="1:4" ht="15">
      <c r="A201" s="6">
        <v>50101</v>
      </c>
      <c r="B201" s="14" t="s">
        <v>201</v>
      </c>
      <c r="C201" s="5"/>
      <c r="D201" s="5"/>
    </row>
    <row r="202" spans="1:4" ht="15">
      <c r="A202" s="6">
        <v>50102</v>
      </c>
      <c r="B202" s="14" t="s">
        <v>202</v>
      </c>
      <c r="C202" s="5"/>
      <c r="D202" s="5"/>
    </row>
    <row r="203" spans="1:4" ht="15">
      <c r="A203" s="6">
        <v>50103</v>
      </c>
      <c r="B203" s="14" t="s">
        <v>203</v>
      </c>
      <c r="C203" s="5"/>
      <c r="D203" s="5"/>
    </row>
    <row r="204" spans="1:4" ht="15">
      <c r="A204" s="6">
        <v>50104</v>
      </c>
      <c r="B204" s="14" t="s">
        <v>204</v>
      </c>
      <c r="C204" s="5"/>
      <c r="D204" s="5"/>
    </row>
    <row r="205" spans="1:4" ht="15">
      <c r="A205" s="6">
        <v>50201</v>
      </c>
      <c r="B205" s="14" t="s">
        <v>205</v>
      </c>
      <c r="C205" s="5"/>
      <c r="D205" s="5"/>
    </row>
    <row r="206" spans="1:4" ht="15">
      <c r="A206" s="6">
        <v>50202</v>
      </c>
      <c r="B206" s="14" t="s">
        <v>206</v>
      </c>
      <c r="C206" s="5"/>
      <c r="D206" s="5"/>
    </row>
    <row r="207" spans="1:4" ht="15">
      <c r="A207" s="6">
        <v>50203</v>
      </c>
      <c r="B207" s="14" t="s">
        <v>207</v>
      </c>
      <c r="C207" s="5"/>
      <c r="D207" s="5"/>
    </row>
    <row r="208" spans="1:4" ht="15">
      <c r="A208" s="6">
        <v>50204</v>
      </c>
      <c r="B208" s="14" t="s">
        <v>208</v>
      </c>
      <c r="C208" s="5"/>
      <c r="D208" s="5"/>
    </row>
    <row r="209" spans="1:4" ht="15">
      <c r="A209" s="6">
        <v>50301</v>
      </c>
      <c r="B209" s="14" t="s">
        <v>209</v>
      </c>
      <c r="C209" s="5"/>
      <c r="D209" s="5"/>
    </row>
    <row r="210" spans="1:4" ht="15">
      <c r="A210" s="6">
        <v>50302</v>
      </c>
      <c r="B210" s="14" t="s">
        <v>210</v>
      </c>
      <c r="C210" s="5"/>
      <c r="D210" s="5"/>
    </row>
    <row r="211" spans="1:4" ht="15">
      <c r="A211" s="6">
        <v>50303</v>
      </c>
      <c r="B211" s="14" t="s">
        <v>211</v>
      </c>
      <c r="C211" s="5"/>
      <c r="D211" s="5"/>
    </row>
    <row r="212" spans="1:4" ht="15">
      <c r="A212" s="6">
        <v>50401</v>
      </c>
      <c r="B212" s="14" t="s">
        <v>212</v>
      </c>
      <c r="C212" s="5"/>
      <c r="D212" s="5"/>
    </row>
    <row r="213" spans="1:4" ht="15">
      <c r="A213" s="6">
        <v>50402</v>
      </c>
      <c r="B213" s="14" t="s">
        <v>213</v>
      </c>
      <c r="C213" s="5"/>
      <c r="D213" s="5"/>
    </row>
    <row r="214" spans="1:4" ht="15">
      <c r="A214" s="6">
        <v>50403</v>
      </c>
      <c r="B214" s="14" t="s">
        <v>214</v>
      </c>
      <c r="C214" s="5"/>
      <c r="D214" s="5"/>
    </row>
    <row r="215" spans="1:4" ht="15">
      <c r="A215" s="6">
        <v>50404</v>
      </c>
      <c r="B215" s="14" t="s">
        <v>215</v>
      </c>
      <c r="C215" s="5"/>
      <c r="D215" s="5"/>
    </row>
    <row r="216" spans="1:4" ht="15">
      <c r="A216" s="6">
        <v>50405</v>
      </c>
      <c r="B216" s="14" t="s">
        <v>216</v>
      </c>
      <c r="C216" s="5"/>
      <c r="D216" s="5"/>
    </row>
    <row r="217" spans="1:4" ht="15">
      <c r="A217" s="6">
        <v>50501</v>
      </c>
      <c r="B217" s="14" t="s">
        <v>217</v>
      </c>
      <c r="C217" s="5"/>
      <c r="D217" s="5"/>
    </row>
    <row r="218" spans="1:4" ht="15">
      <c r="A218" s="6">
        <v>50502</v>
      </c>
      <c r="B218" s="14" t="s">
        <v>218</v>
      </c>
      <c r="C218" s="5"/>
      <c r="D218" s="5"/>
    </row>
    <row r="219" spans="1:4" ht="15">
      <c r="A219" s="6">
        <v>50601</v>
      </c>
      <c r="B219" s="14" t="s">
        <v>219</v>
      </c>
      <c r="C219" s="5"/>
      <c r="D219" s="5"/>
    </row>
    <row r="220" spans="1:4" ht="15">
      <c r="A220" s="6">
        <v>50602</v>
      </c>
      <c r="B220" s="14" t="s">
        <v>220</v>
      </c>
      <c r="C220" s="5"/>
      <c r="D220" s="5"/>
    </row>
    <row r="221" spans="1:4" ht="15">
      <c r="A221" s="6">
        <v>50701</v>
      </c>
      <c r="B221" s="14" t="s">
        <v>221</v>
      </c>
      <c r="C221" s="5"/>
      <c r="D221" s="5"/>
    </row>
    <row r="222" spans="1:4" ht="15">
      <c r="A222" s="6">
        <v>50702</v>
      </c>
      <c r="B222" s="14" t="s">
        <v>222</v>
      </c>
      <c r="C222" s="5"/>
      <c r="D222" s="5"/>
    </row>
    <row r="223" spans="1:4" ht="15">
      <c r="A223" s="6">
        <v>50801</v>
      </c>
      <c r="B223" s="14" t="s">
        <v>223</v>
      </c>
      <c r="C223" s="5"/>
      <c r="D223" s="5"/>
    </row>
    <row r="224" spans="1:4" ht="15">
      <c r="A224" s="6">
        <v>50802</v>
      </c>
      <c r="B224" s="14" t="s">
        <v>224</v>
      </c>
      <c r="C224" s="5"/>
      <c r="D224" s="5"/>
    </row>
    <row r="225" spans="1:4" ht="15">
      <c r="A225" s="6">
        <v>50901</v>
      </c>
      <c r="B225" s="14" t="s">
        <v>225</v>
      </c>
      <c r="C225" s="5"/>
      <c r="D225" s="5"/>
    </row>
    <row r="226" spans="1:4" ht="15">
      <c r="A226" s="6">
        <v>50902</v>
      </c>
      <c r="B226" s="14" t="s">
        <v>226</v>
      </c>
      <c r="C226" s="5"/>
      <c r="D226" s="5"/>
    </row>
    <row r="227" spans="1:4" ht="15">
      <c r="A227" s="6">
        <v>51001</v>
      </c>
      <c r="B227" s="14" t="s">
        <v>227</v>
      </c>
      <c r="C227" s="5"/>
      <c r="D227" s="5"/>
    </row>
    <row r="228" spans="1:4" ht="15">
      <c r="A228" s="6">
        <v>51002</v>
      </c>
      <c r="B228" s="14" t="s">
        <v>228</v>
      </c>
      <c r="C228" s="5"/>
      <c r="D228" s="5"/>
    </row>
    <row r="229" spans="1:4" ht="15">
      <c r="A229" s="6">
        <v>51003</v>
      </c>
      <c r="B229" s="14" t="s">
        <v>229</v>
      </c>
      <c r="C229" s="5"/>
      <c r="D229" s="5"/>
    </row>
    <row r="230" spans="1:4" ht="15">
      <c r="A230" s="6">
        <v>51101</v>
      </c>
      <c r="B230" s="14" t="s">
        <v>230</v>
      </c>
      <c r="C230" s="5"/>
      <c r="D230" s="5"/>
    </row>
    <row r="231" spans="1:4" ht="15">
      <c r="A231" s="6">
        <v>51102</v>
      </c>
      <c r="B231" s="14" t="s">
        <v>231</v>
      </c>
      <c r="C231" s="5"/>
      <c r="D231" s="5"/>
    </row>
    <row r="232" spans="1:4" ht="15">
      <c r="A232" s="6">
        <v>51103</v>
      </c>
      <c r="B232" s="14" t="s">
        <v>232</v>
      </c>
      <c r="C232" s="5"/>
      <c r="D232" s="5"/>
    </row>
    <row r="233" spans="1:4" ht="15">
      <c r="A233" s="6">
        <v>51201</v>
      </c>
      <c r="B233" s="14" t="s">
        <v>233</v>
      </c>
      <c r="C233" s="5"/>
      <c r="D233" s="5"/>
    </row>
    <row r="234" spans="1:4" ht="15">
      <c r="A234" s="6">
        <v>51202</v>
      </c>
      <c r="B234" s="14" t="s">
        <v>234</v>
      </c>
      <c r="C234" s="5"/>
      <c r="D234" s="5"/>
    </row>
    <row r="235" spans="1:4" ht="15">
      <c r="A235" s="6">
        <v>51203</v>
      </c>
      <c r="B235" s="14" t="s">
        <v>235</v>
      </c>
      <c r="C235" s="5"/>
      <c r="D235" s="5"/>
    </row>
    <row r="236" spans="1:4" ht="15">
      <c r="A236" s="6">
        <v>51204</v>
      </c>
      <c r="B236" s="14" t="s">
        <v>236</v>
      </c>
      <c r="C236" s="5"/>
      <c r="D236" s="5"/>
    </row>
    <row r="237" spans="1:4" ht="15">
      <c r="A237" s="6">
        <v>51301</v>
      </c>
      <c r="B237" s="14" t="s">
        <v>237</v>
      </c>
      <c r="C237" s="5"/>
      <c r="D237" s="5"/>
    </row>
    <row r="238" spans="1:4" ht="15">
      <c r="A238" s="6">
        <v>51302</v>
      </c>
      <c r="B238" s="14" t="s">
        <v>238</v>
      </c>
      <c r="C238" s="5"/>
      <c r="D238" s="5"/>
    </row>
    <row r="239" spans="1:4" ht="15">
      <c r="A239" s="6">
        <v>51401</v>
      </c>
      <c r="B239" s="14" t="s">
        <v>239</v>
      </c>
      <c r="C239" s="5"/>
      <c r="D239" s="5"/>
    </row>
    <row r="240" spans="1:4" ht="15">
      <c r="A240" s="6">
        <v>51402</v>
      </c>
      <c r="B240" s="14" t="s">
        <v>240</v>
      </c>
      <c r="C240" s="5"/>
      <c r="D240" s="5"/>
    </row>
    <row r="241" spans="1:4" ht="15">
      <c r="A241" s="6">
        <v>51501</v>
      </c>
      <c r="B241" s="14" t="s">
        <v>241</v>
      </c>
      <c r="C241" s="5"/>
      <c r="D241" s="5"/>
    </row>
    <row r="242" spans="1:4" ht="15">
      <c r="A242" s="6">
        <v>51601</v>
      </c>
      <c r="B242" s="14" t="s">
        <v>242</v>
      </c>
      <c r="C242" s="5"/>
      <c r="D242" s="5"/>
    </row>
    <row r="243" spans="1:4" ht="15">
      <c r="A243" s="6">
        <v>60101</v>
      </c>
      <c r="B243" s="14" t="s">
        <v>243</v>
      </c>
      <c r="C243" s="5"/>
      <c r="D243" s="5"/>
    </row>
    <row r="244" spans="1:4" ht="15">
      <c r="A244" s="6">
        <v>60201</v>
      </c>
      <c r="B244" s="14" t="s">
        <v>244</v>
      </c>
      <c r="C244" s="5"/>
      <c r="D244" s="5"/>
    </row>
    <row r="245" spans="1:4" ht="15">
      <c r="A245" s="6">
        <v>60202</v>
      </c>
      <c r="B245" s="14" t="s">
        <v>245</v>
      </c>
      <c r="C245" s="5"/>
      <c r="D245" s="5"/>
    </row>
    <row r="246" spans="1:4" ht="15">
      <c r="A246" s="6">
        <v>60301</v>
      </c>
      <c r="B246" s="14" t="s">
        <v>246</v>
      </c>
      <c r="C246" s="5"/>
      <c r="D246" s="5"/>
    </row>
    <row r="247" spans="1:4" ht="15">
      <c r="A247" s="6">
        <v>60302</v>
      </c>
      <c r="B247" s="14" t="s">
        <v>247</v>
      </c>
      <c r="C247" s="5"/>
      <c r="D247" s="5"/>
    </row>
    <row r="248" spans="1:4" ht="15">
      <c r="A248" s="6">
        <v>60303</v>
      </c>
      <c r="B248" s="14" t="s">
        <v>248</v>
      </c>
      <c r="C248" s="5"/>
      <c r="D248" s="5"/>
    </row>
    <row r="249" spans="1:4" ht="15">
      <c r="A249" s="6">
        <v>60401</v>
      </c>
      <c r="B249" s="14" t="s">
        <v>249</v>
      </c>
      <c r="C249" s="5"/>
      <c r="D249" s="5"/>
    </row>
    <row r="250" spans="1:4" ht="15">
      <c r="A250" s="6">
        <v>60402</v>
      </c>
      <c r="B250" s="14" t="s">
        <v>250</v>
      </c>
      <c r="C250" s="5"/>
      <c r="D250" s="5"/>
    </row>
    <row r="251" spans="1:4" ht="15">
      <c r="A251" s="6">
        <v>60501</v>
      </c>
      <c r="B251" s="14" t="s">
        <v>251</v>
      </c>
      <c r="C251" s="5"/>
      <c r="D251" s="5"/>
    </row>
    <row r="252" spans="1:4" ht="15">
      <c r="A252" s="6">
        <v>60502</v>
      </c>
      <c r="B252" s="14" t="s">
        <v>252</v>
      </c>
      <c r="C252" s="5"/>
      <c r="D252" s="5"/>
    </row>
    <row r="253" spans="1:4" ht="15">
      <c r="A253" s="6">
        <v>60601</v>
      </c>
      <c r="B253" s="14" t="s">
        <v>153</v>
      </c>
      <c r="C253" s="5"/>
      <c r="D253" s="5"/>
    </row>
    <row r="254" spans="1:4" ht="15">
      <c r="A254" s="6">
        <v>70101</v>
      </c>
      <c r="B254" s="14" t="s">
        <v>253</v>
      </c>
      <c r="C254" s="5"/>
      <c r="D254" s="5"/>
    </row>
    <row r="255" spans="1:4" ht="15">
      <c r="A255" s="6">
        <v>70102</v>
      </c>
      <c r="B255" s="14" t="s">
        <v>254</v>
      </c>
      <c r="C255" s="5"/>
      <c r="D255" s="5"/>
    </row>
    <row r="256" spans="1:4" ht="15">
      <c r="A256" s="6">
        <v>70103</v>
      </c>
      <c r="B256" s="14" t="s">
        <v>255</v>
      </c>
      <c r="C256" s="5"/>
      <c r="D256" s="5"/>
    </row>
    <row r="257" spans="1:4" ht="15">
      <c r="A257" s="6">
        <v>70104</v>
      </c>
      <c r="B257" s="14" t="s">
        <v>256</v>
      </c>
      <c r="C257" s="5"/>
      <c r="D257" s="5"/>
    </row>
    <row r="258" spans="1:4" ht="15">
      <c r="A258" s="6">
        <v>70105</v>
      </c>
      <c r="B258" s="14" t="s">
        <v>257</v>
      </c>
      <c r="C258" s="5"/>
      <c r="D258" s="5"/>
    </row>
    <row r="259" spans="1:4" ht="15">
      <c r="A259" s="6">
        <v>70201</v>
      </c>
      <c r="B259" s="14" t="s">
        <v>258</v>
      </c>
      <c r="C259" s="5"/>
      <c r="D259" s="5"/>
    </row>
    <row r="260" spans="1:4" ht="15">
      <c r="A260" s="6">
        <v>70202</v>
      </c>
      <c r="B260" s="14" t="s">
        <v>259</v>
      </c>
      <c r="C260" s="5"/>
      <c r="D260" s="5"/>
    </row>
    <row r="261" spans="1:4" ht="15">
      <c r="A261" s="6">
        <v>70301</v>
      </c>
      <c r="B261" s="14" t="s">
        <v>260</v>
      </c>
      <c r="C261" s="5"/>
      <c r="D261" s="5"/>
    </row>
    <row r="262" spans="1:4" ht="15">
      <c r="A262" s="6">
        <v>70302</v>
      </c>
      <c r="B262" s="14" t="s">
        <v>261</v>
      </c>
      <c r="C262" s="5"/>
      <c r="D262" s="5"/>
    </row>
    <row r="263" spans="1:4" ht="15">
      <c r="A263" s="6">
        <v>70303</v>
      </c>
      <c r="B263" s="14" t="s">
        <v>262</v>
      </c>
      <c r="C263" s="5"/>
      <c r="D263" s="5"/>
    </row>
    <row r="264" spans="1:4" ht="15">
      <c r="A264" s="6">
        <v>70401</v>
      </c>
      <c r="B264" s="14" t="s">
        <v>263</v>
      </c>
      <c r="C264" s="5"/>
      <c r="D264" s="5"/>
    </row>
    <row r="265" spans="1:4" ht="15">
      <c r="A265" s="6">
        <v>70402</v>
      </c>
      <c r="B265" s="14" t="s">
        <v>264</v>
      </c>
      <c r="C265" s="5"/>
      <c r="D265" s="5"/>
    </row>
    <row r="266" spans="1:4" ht="15">
      <c r="A266" s="6">
        <v>70403</v>
      </c>
      <c r="B266" s="14" t="s">
        <v>265</v>
      </c>
      <c r="C266" s="5"/>
      <c r="D266" s="5"/>
    </row>
    <row r="267" spans="1:4" ht="15">
      <c r="A267" s="6">
        <v>70404</v>
      </c>
      <c r="B267" s="14" t="s">
        <v>266</v>
      </c>
      <c r="C267" s="5"/>
      <c r="D267" s="5"/>
    </row>
    <row r="268" spans="1:4" ht="15">
      <c r="A268" s="6">
        <v>70501</v>
      </c>
      <c r="B268" s="14" t="s">
        <v>267</v>
      </c>
      <c r="C268" s="5"/>
      <c r="D268" s="5"/>
    </row>
    <row r="269" spans="1:4" ht="15">
      <c r="A269" s="6">
        <v>70502</v>
      </c>
      <c r="B269" s="14" t="s">
        <v>268</v>
      </c>
      <c r="C269" s="5"/>
      <c r="D269" s="5"/>
    </row>
    <row r="270" spans="1:4" ht="15">
      <c r="A270" s="6">
        <v>70503</v>
      </c>
      <c r="B270" s="14" t="s">
        <v>269</v>
      </c>
      <c r="C270" s="5"/>
      <c r="D270" s="5"/>
    </row>
    <row r="271" spans="1:4" ht="15">
      <c r="A271" s="6">
        <v>70601</v>
      </c>
      <c r="B271" s="14" t="s">
        <v>270</v>
      </c>
      <c r="C271" s="5"/>
      <c r="D271" s="5"/>
    </row>
    <row r="272" spans="1:4" ht="15">
      <c r="A272" s="6">
        <v>70602</v>
      </c>
      <c r="B272" s="14" t="s">
        <v>271</v>
      </c>
      <c r="C272" s="5"/>
      <c r="D272" s="5"/>
    </row>
    <row r="273" spans="1:4" ht="15">
      <c r="A273" s="6">
        <v>70603</v>
      </c>
      <c r="B273" s="14" t="s">
        <v>272</v>
      </c>
      <c r="C273" s="5"/>
      <c r="D273" s="5"/>
    </row>
    <row r="274" spans="1:4" ht="15">
      <c r="A274" s="6">
        <v>70701</v>
      </c>
      <c r="B274" s="14" t="s">
        <v>273</v>
      </c>
      <c r="C274" s="5"/>
      <c r="D274" s="5"/>
    </row>
    <row r="275" spans="1:4" ht="15">
      <c r="A275" s="6">
        <v>70702</v>
      </c>
      <c r="B275" s="14" t="s">
        <v>274</v>
      </c>
      <c r="C275" s="5"/>
      <c r="D275" s="5"/>
    </row>
    <row r="276" spans="1:4" ht="15">
      <c r="A276" s="6">
        <v>70703</v>
      </c>
      <c r="B276" s="14" t="s">
        <v>275</v>
      </c>
      <c r="C276" s="5"/>
      <c r="D276" s="5"/>
    </row>
    <row r="277" spans="1:4" ht="15">
      <c r="A277" s="6">
        <v>70704</v>
      </c>
      <c r="B277" s="14" t="s">
        <v>276</v>
      </c>
      <c r="C277" s="5"/>
      <c r="D277" s="5"/>
    </row>
    <row r="278" spans="1:4" ht="15">
      <c r="A278" s="6">
        <v>70705</v>
      </c>
      <c r="B278" s="14" t="s">
        <v>277</v>
      </c>
      <c r="C278" s="5"/>
      <c r="D278" s="5"/>
    </row>
    <row r="279" spans="1:4" ht="15">
      <c r="A279" s="6">
        <v>70706</v>
      </c>
      <c r="B279" s="14" t="s">
        <v>278</v>
      </c>
      <c r="C279" s="5"/>
      <c r="D279" s="5"/>
    </row>
    <row r="280" spans="1:4" ht="15">
      <c r="A280" s="6">
        <v>70707</v>
      </c>
      <c r="B280" s="14" t="s">
        <v>279</v>
      </c>
      <c r="C280" s="5"/>
      <c r="D280" s="5"/>
    </row>
    <row r="281" spans="1:4" ht="15">
      <c r="A281" s="6">
        <v>70801</v>
      </c>
      <c r="B281" s="14" t="s">
        <v>280</v>
      </c>
      <c r="C281" s="5"/>
      <c r="D281" s="5"/>
    </row>
    <row r="282" spans="1:4" ht="15">
      <c r="A282" s="6">
        <v>70802</v>
      </c>
      <c r="B282" s="14" t="s">
        <v>281</v>
      </c>
      <c r="C282" s="5"/>
      <c r="D282" s="5"/>
    </row>
    <row r="283" spans="1:4" ht="15">
      <c r="A283" s="6">
        <v>70803</v>
      </c>
      <c r="B283" s="14" t="s">
        <v>282</v>
      </c>
      <c r="C283" s="5"/>
      <c r="D283" s="5"/>
    </row>
    <row r="284" spans="1:4" ht="15">
      <c r="A284" s="6">
        <v>70804</v>
      </c>
      <c r="B284" s="14" t="s">
        <v>283</v>
      </c>
      <c r="C284" s="5"/>
      <c r="D284" s="5"/>
    </row>
    <row r="285" spans="1:4" ht="15">
      <c r="A285" s="6">
        <v>70805</v>
      </c>
      <c r="B285" s="14" t="s">
        <v>284</v>
      </c>
      <c r="C285" s="5"/>
      <c r="D285" s="5"/>
    </row>
    <row r="286" spans="1:4" ht="15">
      <c r="A286" s="6">
        <v>70901</v>
      </c>
      <c r="B286" s="14" t="s">
        <v>285</v>
      </c>
      <c r="C286" s="5"/>
      <c r="D286" s="5"/>
    </row>
    <row r="287" spans="1:4" ht="15">
      <c r="A287" s="6">
        <v>70902</v>
      </c>
      <c r="B287" s="14" t="s">
        <v>286</v>
      </c>
      <c r="C287" s="5"/>
      <c r="D287" s="5"/>
    </row>
    <row r="288" spans="1:4" ht="15">
      <c r="A288" s="6">
        <v>70903</v>
      </c>
      <c r="B288" s="14" t="s">
        <v>287</v>
      </c>
      <c r="C288" s="5"/>
      <c r="D288" s="5"/>
    </row>
    <row r="289" spans="1:4" ht="15">
      <c r="A289" s="6">
        <v>70904</v>
      </c>
      <c r="B289" s="14" t="s">
        <v>288</v>
      </c>
      <c r="C289" s="5"/>
      <c r="D289" s="5"/>
    </row>
    <row r="290" spans="1:4" ht="15">
      <c r="A290" s="6">
        <v>71001</v>
      </c>
      <c r="B290" s="14" t="s">
        <v>289</v>
      </c>
      <c r="C290" s="5"/>
      <c r="D290" s="5"/>
    </row>
    <row r="291" spans="1:4" ht="15">
      <c r="A291" s="6">
        <v>71002</v>
      </c>
      <c r="B291" s="14" t="s">
        <v>290</v>
      </c>
      <c r="C291" s="5"/>
      <c r="D291" s="5"/>
    </row>
    <row r="292" spans="1:4" ht="15">
      <c r="A292" s="6">
        <v>71003</v>
      </c>
      <c r="B292" s="14" t="s">
        <v>291</v>
      </c>
      <c r="C292" s="5"/>
      <c r="D292" s="5"/>
    </row>
    <row r="293" spans="1:4" ht="15">
      <c r="A293" s="6">
        <v>71004</v>
      </c>
      <c r="B293" s="14" t="s">
        <v>292</v>
      </c>
      <c r="C293" s="5"/>
      <c r="D293" s="5"/>
    </row>
    <row r="294" spans="1:4" ht="15">
      <c r="A294" s="6">
        <v>71005</v>
      </c>
      <c r="B294" s="14" t="s">
        <v>293</v>
      </c>
      <c r="C294" s="5"/>
      <c r="D294" s="5"/>
    </row>
    <row r="295" spans="1:4" ht="15">
      <c r="A295" s="6">
        <v>71101</v>
      </c>
      <c r="B295" s="14" t="s">
        <v>294</v>
      </c>
      <c r="C295" s="5"/>
      <c r="D295" s="5"/>
    </row>
    <row r="296" spans="1:4" ht="15">
      <c r="A296" s="6">
        <v>71102</v>
      </c>
      <c r="B296" s="14" t="s">
        <v>295</v>
      </c>
      <c r="C296" s="5"/>
      <c r="D296" s="5"/>
    </row>
    <row r="297" spans="1:4" ht="15">
      <c r="A297" s="6">
        <v>71103</v>
      </c>
      <c r="B297" s="14" t="s">
        <v>296</v>
      </c>
      <c r="C297" s="5"/>
      <c r="D297" s="5"/>
    </row>
    <row r="298" spans="1:4" ht="15">
      <c r="A298" s="6">
        <v>71104</v>
      </c>
      <c r="B298" s="14" t="s">
        <v>297</v>
      </c>
      <c r="C298" s="5"/>
      <c r="D298" s="5"/>
    </row>
    <row r="299" spans="1:4" ht="15">
      <c r="A299" s="6">
        <v>71105</v>
      </c>
      <c r="B299" s="14" t="s">
        <v>298</v>
      </c>
      <c r="C299" s="5"/>
      <c r="D299" s="5"/>
    </row>
    <row r="300" spans="1:4" ht="15">
      <c r="A300" s="6">
        <v>71106</v>
      </c>
      <c r="B300" s="14" t="s">
        <v>299</v>
      </c>
      <c r="C300" s="5"/>
      <c r="D300" s="5"/>
    </row>
    <row r="301" spans="1:4" ht="15">
      <c r="A301" s="6">
        <v>71201</v>
      </c>
      <c r="B301" s="14" t="s">
        <v>300</v>
      </c>
      <c r="C301" s="5"/>
      <c r="D301" s="5"/>
    </row>
    <row r="302" spans="1:4" ht="15">
      <c r="A302" s="6">
        <v>71301</v>
      </c>
      <c r="B302" s="14" t="s">
        <v>301</v>
      </c>
      <c r="C302" s="5"/>
      <c r="D302" s="5"/>
    </row>
    <row r="303" spans="1:4" ht="15">
      <c r="A303" s="6">
        <v>71302</v>
      </c>
      <c r="B303" s="14" t="s">
        <v>302</v>
      </c>
      <c r="C303" s="5"/>
      <c r="D303" s="5"/>
    </row>
    <row r="304" spans="1:4" ht="15">
      <c r="A304" s="6">
        <v>71401</v>
      </c>
      <c r="B304" s="14" t="s">
        <v>303</v>
      </c>
      <c r="C304" s="5"/>
      <c r="D304" s="5"/>
    </row>
    <row r="305" spans="1:4" ht="15">
      <c r="A305" s="6">
        <v>71402</v>
      </c>
      <c r="B305" s="14" t="s">
        <v>304</v>
      </c>
      <c r="C305" s="5"/>
      <c r="D305" s="5"/>
    </row>
    <row r="306" spans="1:4" ht="15">
      <c r="A306" s="6">
        <v>71403</v>
      </c>
      <c r="B306" s="14" t="s">
        <v>305</v>
      </c>
      <c r="C306" s="5"/>
      <c r="D306" s="5"/>
    </row>
    <row r="307" spans="1:4" ht="15">
      <c r="A307" s="6">
        <v>71501</v>
      </c>
      <c r="B307" s="14" t="s">
        <v>306</v>
      </c>
      <c r="C307" s="5"/>
      <c r="D307" s="5"/>
    </row>
    <row r="308" spans="1:4" ht="15">
      <c r="A308" s="6">
        <v>71502</v>
      </c>
      <c r="B308" s="14" t="s">
        <v>307</v>
      </c>
      <c r="C308" s="5"/>
      <c r="D308" s="5"/>
    </row>
    <row r="309" spans="1:4" ht="15">
      <c r="A309" s="6">
        <v>71503</v>
      </c>
      <c r="B309" s="14" t="s">
        <v>252</v>
      </c>
      <c r="C309" s="5"/>
      <c r="D309" s="5"/>
    </row>
    <row r="310" spans="1:4" ht="15">
      <c r="A310" s="6">
        <v>80101</v>
      </c>
      <c r="B310" s="14" t="s">
        <v>308</v>
      </c>
      <c r="C310" s="5"/>
      <c r="D310" s="5"/>
    </row>
    <row r="311" spans="1:4" ht="15">
      <c r="A311" s="6">
        <v>80102</v>
      </c>
      <c r="B311" s="14" t="s">
        <v>295</v>
      </c>
      <c r="C311" s="5"/>
      <c r="D311" s="5"/>
    </row>
    <row r="312" spans="1:4" ht="15">
      <c r="A312" s="6">
        <v>80201</v>
      </c>
      <c r="B312" s="14" t="s">
        <v>309</v>
      </c>
      <c r="C312" s="5"/>
      <c r="D312" s="5"/>
    </row>
    <row r="313" spans="1:4" ht="15">
      <c r="A313" s="6">
        <v>80202</v>
      </c>
      <c r="B313" s="14" t="s">
        <v>310</v>
      </c>
      <c r="C313" s="5"/>
      <c r="D313" s="5"/>
    </row>
    <row r="314" spans="1:4" ht="15">
      <c r="A314" s="6">
        <v>80301</v>
      </c>
      <c r="B314" s="14" t="s">
        <v>311</v>
      </c>
      <c r="C314" s="5"/>
      <c r="D314" s="5"/>
    </row>
    <row r="315" spans="1:4" ht="15">
      <c r="A315" s="6">
        <v>80302</v>
      </c>
      <c r="B315" s="14" t="s">
        <v>312</v>
      </c>
      <c r="C315" s="5"/>
      <c r="D315" s="5"/>
    </row>
    <row r="316" spans="1:4" ht="15">
      <c r="A316" s="6">
        <v>80303</v>
      </c>
      <c r="B316" s="14" t="s">
        <v>313</v>
      </c>
      <c r="C316" s="5"/>
      <c r="D316" s="5"/>
    </row>
    <row r="317" spans="1:4" ht="15">
      <c r="A317" s="6">
        <v>80304</v>
      </c>
      <c r="B317" s="14" t="s">
        <v>314</v>
      </c>
      <c r="C317" s="5"/>
      <c r="D317" s="5"/>
    </row>
    <row r="318" spans="1:4" ht="15">
      <c r="A318" s="6">
        <v>80401</v>
      </c>
      <c r="B318" s="14" t="s">
        <v>315</v>
      </c>
      <c r="C318" s="5"/>
      <c r="D318" s="5"/>
    </row>
    <row r="319" spans="1:4" ht="15">
      <c r="A319" s="6">
        <v>80402</v>
      </c>
      <c r="B319" s="14" t="s">
        <v>316</v>
      </c>
      <c r="C319" s="5"/>
      <c r="D319" s="5"/>
    </row>
    <row r="320" spans="1:4" ht="15">
      <c r="A320" s="6">
        <v>80501</v>
      </c>
      <c r="B320" s="14" t="s">
        <v>317</v>
      </c>
      <c r="C320" s="5"/>
      <c r="D320" s="5"/>
    </row>
    <row r="321" spans="1:4" ht="15">
      <c r="A321" s="6">
        <v>80601</v>
      </c>
      <c r="B321" s="14" t="s">
        <v>318</v>
      </c>
      <c r="C321" s="5"/>
      <c r="D321" s="5"/>
    </row>
    <row r="322" spans="1:4" ht="15">
      <c r="A322" s="6">
        <v>80602</v>
      </c>
      <c r="B322" s="14" t="s">
        <v>319</v>
      </c>
      <c r="C322" s="5"/>
      <c r="D322" s="5"/>
    </row>
    <row r="323" spans="1:4" ht="15">
      <c r="A323" s="6">
        <v>80701</v>
      </c>
      <c r="B323" s="14" t="s">
        <v>320</v>
      </c>
      <c r="C323" s="5"/>
      <c r="D323" s="5"/>
    </row>
    <row r="324" spans="1:4" ht="15">
      <c r="A324" s="6">
        <v>80702</v>
      </c>
      <c r="B324" s="14" t="s">
        <v>296</v>
      </c>
      <c r="C324" s="5"/>
      <c r="D324" s="5"/>
    </row>
    <row r="325" spans="1:4" ht="15">
      <c r="A325" s="6">
        <v>80703</v>
      </c>
      <c r="B325" s="14" t="s">
        <v>321</v>
      </c>
      <c r="C325" s="5"/>
      <c r="D325" s="5"/>
    </row>
    <row r="326" spans="1:4" ht="15">
      <c r="A326" s="6">
        <v>80801</v>
      </c>
      <c r="B326" s="14" t="s">
        <v>322</v>
      </c>
      <c r="C326" s="5"/>
      <c r="D326" s="5"/>
    </row>
    <row r="327" spans="1:4" ht="15">
      <c r="A327" s="6">
        <v>80802</v>
      </c>
      <c r="B327" s="14" t="s">
        <v>323</v>
      </c>
      <c r="C327" s="5"/>
      <c r="D327" s="5"/>
    </row>
    <row r="328" spans="1:4" ht="15">
      <c r="A328" s="6">
        <v>80803</v>
      </c>
      <c r="B328" s="14" t="s">
        <v>324</v>
      </c>
      <c r="C328" s="5"/>
      <c r="D328" s="5"/>
    </row>
    <row r="329" spans="1:4" ht="15">
      <c r="A329" s="6">
        <v>80901</v>
      </c>
      <c r="B329" s="14" t="s">
        <v>325</v>
      </c>
      <c r="C329" s="5"/>
      <c r="D329" s="5"/>
    </row>
    <row r="330" spans="1:4" ht="15">
      <c r="A330" s="6">
        <v>90101</v>
      </c>
      <c r="B330" s="14" t="s">
        <v>326</v>
      </c>
      <c r="C330" s="5"/>
      <c r="D330" s="5"/>
    </row>
    <row r="331" spans="1:4" ht="15">
      <c r="A331" s="6">
        <v>90102</v>
      </c>
      <c r="B331" s="14" t="s">
        <v>327</v>
      </c>
      <c r="C331" s="5"/>
      <c r="D331" s="5"/>
    </row>
    <row r="332" spans="1:4" ht="15">
      <c r="A332" s="6">
        <v>90103</v>
      </c>
      <c r="B332" s="14" t="s">
        <v>328</v>
      </c>
      <c r="C332" s="5"/>
      <c r="D332" s="5"/>
    </row>
    <row r="333" spans="1:4" ht="15">
      <c r="A333" s="6">
        <v>90104</v>
      </c>
      <c r="B333" s="14" t="s">
        <v>329</v>
      </c>
      <c r="C333" s="5"/>
      <c r="D333" s="5"/>
    </row>
    <row r="334" spans="1:4" ht="15">
      <c r="A334" s="6">
        <v>90201</v>
      </c>
      <c r="B334" s="14" t="s">
        <v>330</v>
      </c>
      <c r="C334" s="5"/>
      <c r="D334" s="5"/>
    </row>
    <row r="335" spans="1:4" ht="15">
      <c r="A335" s="6">
        <v>90202</v>
      </c>
      <c r="B335" s="14" t="s">
        <v>293</v>
      </c>
      <c r="C335" s="5"/>
      <c r="D335" s="5"/>
    </row>
    <row r="336" spans="1:4" ht="15">
      <c r="A336" s="6">
        <v>90203</v>
      </c>
      <c r="B336" s="14" t="s">
        <v>331</v>
      </c>
      <c r="C336" s="5"/>
      <c r="D336" s="5"/>
    </row>
    <row r="337" spans="1:26" ht="15">
      <c r="A337" s="6">
        <v>90301</v>
      </c>
      <c r="B337" s="14" t="s">
        <v>332</v>
      </c>
      <c r="C337" s="5"/>
      <c r="D337" s="5"/>
    </row>
    <row r="338" spans="1:26" ht="15">
      <c r="A338" s="6">
        <v>90302</v>
      </c>
      <c r="B338" s="14" t="s">
        <v>333</v>
      </c>
      <c r="C338" s="5"/>
      <c r="D338" s="5"/>
    </row>
    <row r="339" spans="1:26" ht="15">
      <c r="A339" s="6">
        <v>90303</v>
      </c>
      <c r="B339" s="14" t="s">
        <v>334</v>
      </c>
      <c r="C339" s="5"/>
      <c r="D339" s="5"/>
    </row>
    <row r="340" spans="1:26" ht="15">
      <c r="A340" s="6">
        <v>90401</v>
      </c>
      <c r="B340" s="14" t="s">
        <v>335</v>
      </c>
      <c r="C340" s="5"/>
      <c r="D340" s="5"/>
    </row>
    <row r="341" spans="1:26" ht="15">
      <c r="A341" s="6">
        <v>90402</v>
      </c>
      <c r="B341" s="14" t="s">
        <v>336</v>
      </c>
      <c r="C341" s="5"/>
      <c r="D341" s="5"/>
    </row>
    <row r="342" spans="1:26" ht="15">
      <c r="A342" s="6">
        <v>90501</v>
      </c>
      <c r="B342" s="14" t="s">
        <v>337</v>
      </c>
      <c r="C342" s="5"/>
      <c r="D342" s="5"/>
    </row>
    <row r="343" spans="1:26" ht="15">
      <c r="A343" s="6">
        <v>90502</v>
      </c>
      <c r="B343" s="14" t="s">
        <v>338</v>
      </c>
      <c r="C343" s="5"/>
      <c r="D343" s="5"/>
    </row>
    <row r="344" spans="1:26" ht="15">
      <c r="A344" s="6">
        <v>90503</v>
      </c>
      <c r="B344" s="14" t="s">
        <v>339</v>
      </c>
      <c r="C344" s="5"/>
      <c r="D344" s="5"/>
    </row>
    <row r="345" spans="1:26" ht="12.75">
      <c r="A345" s="3"/>
      <c r="B345" s="17"/>
      <c r="C345" s="18"/>
      <c r="D345" s="18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2.75">
      <c r="A346" s="3"/>
      <c r="B346" s="17"/>
      <c r="C346" s="18"/>
      <c r="D346" s="18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2.75">
      <c r="A347" s="3"/>
      <c r="B347" s="17"/>
      <c r="C347" s="18"/>
      <c r="D347" s="18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">
      <c r="A348" s="3"/>
      <c r="B348" s="19"/>
      <c r="C348" s="8"/>
      <c r="D348" s="8"/>
    </row>
    <row r="349" spans="1:26" ht="15">
      <c r="A349" s="3"/>
      <c r="B349" s="19"/>
      <c r="C349" s="8"/>
      <c r="D349" s="8"/>
    </row>
    <row r="350" spans="1:26" ht="12.75">
      <c r="A350" s="3"/>
      <c r="B350" s="17"/>
      <c r="C350" s="18"/>
      <c r="D350" s="18"/>
    </row>
    <row r="351" spans="1:26" ht="15">
      <c r="A351" s="3"/>
      <c r="B351" s="19"/>
      <c r="C351" s="8"/>
      <c r="D351" s="8"/>
    </row>
    <row r="352" spans="1:26" ht="12.75">
      <c r="A352" s="3"/>
      <c r="B352" s="17"/>
      <c r="C352" s="18"/>
      <c r="D352" s="18"/>
    </row>
    <row r="353" spans="1:4" ht="12.75">
      <c r="A353" s="3"/>
      <c r="B353" s="17"/>
      <c r="C353" s="18"/>
      <c r="D353" s="18"/>
    </row>
    <row r="354" spans="1:4" ht="12.75">
      <c r="A354" s="3"/>
      <c r="B354" s="17"/>
      <c r="C354" s="18"/>
      <c r="D354" s="18"/>
    </row>
    <row r="355" spans="1:4" ht="12.75">
      <c r="A355" s="3"/>
      <c r="B355" s="17"/>
      <c r="C355" s="18"/>
      <c r="D355" s="18"/>
    </row>
    <row r="356" spans="1:4" ht="12.75">
      <c r="A356" s="3"/>
      <c r="B356" s="17"/>
      <c r="C356" s="18"/>
      <c r="D356" s="18"/>
    </row>
    <row r="357" spans="1:4" ht="12.75">
      <c r="A357" s="3"/>
      <c r="B357" s="17"/>
      <c r="C357" s="18"/>
      <c r="D357" s="18"/>
    </row>
    <row r="358" spans="1:4" ht="12.75">
      <c r="A358" s="3"/>
      <c r="B358" s="17"/>
      <c r="C358" s="18"/>
      <c r="D358" s="18"/>
    </row>
    <row r="359" spans="1:4" ht="12.75">
      <c r="A359" s="3"/>
      <c r="B359" s="17"/>
      <c r="C359" s="18"/>
      <c r="D359" s="18"/>
    </row>
    <row r="360" spans="1:4" ht="12.75">
      <c r="A360" s="3"/>
      <c r="B360" s="17"/>
      <c r="C360" s="18"/>
      <c r="D360" s="18"/>
    </row>
    <row r="361" spans="1:4" ht="12.75">
      <c r="A361" s="3"/>
      <c r="B361" s="17"/>
      <c r="C361" s="18"/>
      <c r="D361" s="18"/>
    </row>
    <row r="362" spans="1:4" ht="12.75">
      <c r="A362" s="3"/>
      <c r="B362" s="17"/>
      <c r="C362" s="18"/>
      <c r="D362" s="18"/>
    </row>
    <row r="363" spans="1:4" ht="12.75">
      <c r="A363" s="3"/>
      <c r="B363" s="17"/>
      <c r="C363" s="18"/>
      <c r="D363" s="18"/>
    </row>
    <row r="364" spans="1:4" ht="12.75">
      <c r="A364" s="3"/>
      <c r="B364" s="17"/>
      <c r="C364" s="18"/>
      <c r="D364" s="18"/>
    </row>
    <row r="365" spans="1:4" ht="12.75">
      <c r="A365" s="3"/>
      <c r="B365" s="17"/>
      <c r="C365" s="18"/>
      <c r="D365" s="18"/>
    </row>
    <row r="366" spans="1:4" ht="12.75">
      <c r="A366" s="3"/>
      <c r="B366" s="17"/>
      <c r="C366" s="18"/>
      <c r="D366" s="18"/>
    </row>
    <row r="367" spans="1:4" ht="12.75">
      <c r="A367" s="3"/>
      <c r="B367" s="17"/>
      <c r="C367" s="18"/>
      <c r="D367" s="18"/>
    </row>
    <row r="368" spans="1:4" ht="12.75">
      <c r="A368" s="3"/>
      <c r="B368" s="17"/>
      <c r="C368" s="18"/>
      <c r="D368" s="18"/>
    </row>
    <row r="369" spans="1:4" ht="12.75">
      <c r="A369" s="3"/>
      <c r="B369" s="17"/>
      <c r="C369" s="18"/>
      <c r="D369" s="18"/>
    </row>
    <row r="370" spans="1:4" ht="12.75">
      <c r="A370" s="3"/>
      <c r="B370" s="17"/>
      <c r="C370" s="18"/>
      <c r="D370" s="18"/>
    </row>
    <row r="371" spans="1:4" ht="12.75">
      <c r="A371" s="3"/>
      <c r="B371" s="17"/>
      <c r="C371" s="18"/>
      <c r="D371" s="18"/>
    </row>
    <row r="372" spans="1:4" ht="12.75">
      <c r="A372" s="3"/>
      <c r="B372" s="17"/>
      <c r="C372" s="18"/>
      <c r="D372" s="18"/>
    </row>
    <row r="373" spans="1:4" ht="12.75">
      <c r="A373" s="3"/>
      <c r="B373" s="17"/>
      <c r="C373" s="18"/>
      <c r="D373" s="18"/>
    </row>
    <row r="374" spans="1:4" ht="12.75">
      <c r="A374" s="3"/>
      <c r="B374" s="17"/>
      <c r="C374" s="18"/>
      <c r="D374" s="18"/>
    </row>
    <row r="375" spans="1:4" ht="12.75">
      <c r="A375" s="3"/>
      <c r="B375" s="17"/>
      <c r="C375" s="18"/>
      <c r="D375" s="18"/>
    </row>
    <row r="376" spans="1:4" ht="12.75">
      <c r="A376" s="3"/>
      <c r="B376" s="17"/>
      <c r="C376" s="18"/>
      <c r="D376" s="18"/>
    </row>
    <row r="377" spans="1:4" ht="12.75">
      <c r="A377" s="3"/>
      <c r="B377" s="17"/>
      <c r="C377" s="18"/>
      <c r="D377" s="18"/>
    </row>
    <row r="378" spans="1:4" ht="12.75">
      <c r="A378" s="3"/>
      <c r="B378" s="17"/>
      <c r="C378" s="18"/>
      <c r="D378" s="18"/>
    </row>
    <row r="379" spans="1:4" ht="12.75">
      <c r="A379" s="3"/>
      <c r="B379" s="17"/>
      <c r="C379" s="18"/>
      <c r="D379" s="18"/>
    </row>
    <row r="380" spans="1:4" ht="12.75">
      <c r="A380" s="3"/>
      <c r="B380" s="17"/>
      <c r="C380" s="18"/>
      <c r="D380" s="18"/>
    </row>
    <row r="381" spans="1:4" ht="12.75">
      <c r="A381" s="3"/>
      <c r="B381" s="17"/>
      <c r="C381" s="18"/>
      <c r="D381" s="18"/>
    </row>
    <row r="382" spans="1:4" ht="12.75">
      <c r="A382" s="3"/>
      <c r="B382" s="17"/>
      <c r="C382" s="18"/>
      <c r="D382" s="18"/>
    </row>
    <row r="383" spans="1:4" ht="12.75">
      <c r="A383" s="3"/>
      <c r="B383" s="17"/>
      <c r="C383" s="18"/>
      <c r="D383" s="18"/>
    </row>
    <row r="384" spans="1:4" ht="12.75">
      <c r="A384" s="3"/>
      <c r="B384" s="17"/>
      <c r="C384" s="18"/>
      <c r="D384" s="18"/>
    </row>
    <row r="385" spans="1:4" ht="12.75">
      <c r="A385" s="3"/>
      <c r="B385" s="17"/>
      <c r="C385" s="18"/>
      <c r="D385" s="18"/>
    </row>
    <row r="386" spans="1:4" ht="12.75">
      <c r="A386" s="3"/>
      <c r="B386" s="17"/>
      <c r="C386" s="18"/>
      <c r="D386" s="18"/>
    </row>
    <row r="387" spans="1:4" ht="12.75">
      <c r="A387" s="3"/>
      <c r="B387" s="17"/>
      <c r="C387" s="18"/>
      <c r="D387" s="18"/>
    </row>
    <row r="388" spans="1:4" ht="12.75">
      <c r="A388" s="3"/>
      <c r="B388" s="17"/>
      <c r="C388" s="18"/>
      <c r="D388" s="18"/>
    </row>
    <row r="389" spans="1:4" ht="12.75">
      <c r="A389" s="3"/>
      <c r="B389" s="17"/>
      <c r="C389" s="18"/>
      <c r="D389" s="18"/>
    </row>
    <row r="390" spans="1:4" ht="12.75">
      <c r="A390" s="3"/>
      <c r="B390" s="17"/>
      <c r="C390" s="18"/>
      <c r="D390" s="18"/>
    </row>
    <row r="391" spans="1:4" ht="12.75">
      <c r="A391" s="3"/>
      <c r="B391" s="17"/>
      <c r="C391" s="18"/>
      <c r="D391" s="18"/>
    </row>
    <row r="392" spans="1:4" ht="12.75">
      <c r="A392" s="3"/>
      <c r="B392" s="17"/>
      <c r="C392" s="18"/>
      <c r="D392" s="18"/>
    </row>
    <row r="393" spans="1:4" ht="12.75">
      <c r="A393" s="3"/>
      <c r="B393" s="17"/>
      <c r="C393" s="18"/>
      <c r="D393" s="18"/>
    </row>
    <row r="394" spans="1:4" ht="12.75">
      <c r="A394" s="3"/>
      <c r="B394" s="17"/>
      <c r="C394" s="18"/>
      <c r="D394" s="18"/>
    </row>
    <row r="395" spans="1:4" ht="12.75">
      <c r="A395" s="3"/>
      <c r="B395" s="17"/>
      <c r="C395" s="18"/>
      <c r="D395" s="18"/>
    </row>
    <row r="396" spans="1:4" ht="12.75">
      <c r="A396" s="3"/>
      <c r="B396" s="17"/>
      <c r="C396" s="18"/>
      <c r="D396" s="18"/>
    </row>
    <row r="397" spans="1:4" ht="12.75">
      <c r="A397" s="3"/>
      <c r="B397" s="17"/>
      <c r="C397" s="18"/>
      <c r="D397" s="18"/>
    </row>
    <row r="398" spans="1:4" ht="12.75">
      <c r="A398" s="3"/>
      <c r="B398" s="17"/>
      <c r="C398" s="18"/>
      <c r="D398" s="18"/>
    </row>
    <row r="399" spans="1:4" ht="12.75">
      <c r="A399" s="3"/>
      <c r="B399" s="17"/>
      <c r="C399" s="18"/>
      <c r="D399" s="18"/>
    </row>
    <row r="400" spans="1:4" ht="12.75">
      <c r="A400" s="3"/>
      <c r="B400" s="17"/>
      <c r="C400" s="18"/>
      <c r="D400" s="18"/>
    </row>
    <row r="401" spans="1:4" ht="12.75">
      <c r="A401" s="3"/>
      <c r="B401" s="17"/>
      <c r="C401" s="18"/>
      <c r="D401" s="18"/>
    </row>
    <row r="402" spans="1:4" ht="12.75">
      <c r="A402" s="3"/>
      <c r="B402" s="17"/>
      <c r="C402" s="18"/>
      <c r="D402" s="18"/>
    </row>
    <row r="403" spans="1:4" ht="12.75">
      <c r="A403" s="3"/>
      <c r="B403" s="17"/>
      <c r="C403" s="18"/>
      <c r="D403" s="18"/>
    </row>
    <row r="404" spans="1:4" ht="12.75">
      <c r="A404" s="3"/>
      <c r="B404" s="17"/>
      <c r="C404" s="18"/>
      <c r="D404" s="18"/>
    </row>
    <row r="405" spans="1:4" ht="12.75">
      <c r="A405" s="3"/>
      <c r="B405" s="17"/>
      <c r="C405" s="18"/>
      <c r="D405" s="18"/>
    </row>
    <row r="406" spans="1:4" ht="12.75">
      <c r="A406" s="3"/>
      <c r="B406" s="17"/>
      <c r="C406" s="18"/>
      <c r="D406" s="18"/>
    </row>
    <row r="407" spans="1:4" ht="12.75">
      <c r="A407" s="3"/>
      <c r="B407" s="17"/>
      <c r="C407" s="18"/>
      <c r="D407" s="18"/>
    </row>
    <row r="408" spans="1:4" ht="12.75">
      <c r="A408" s="3"/>
      <c r="B408" s="17"/>
      <c r="C408" s="18"/>
      <c r="D408" s="18"/>
    </row>
    <row r="409" spans="1:4" ht="12.75">
      <c r="A409" s="3"/>
      <c r="B409" s="17"/>
      <c r="C409" s="18"/>
      <c r="D409" s="18"/>
    </row>
    <row r="410" spans="1:4" ht="12.75">
      <c r="A410" s="3"/>
      <c r="B410" s="17"/>
      <c r="C410" s="18"/>
      <c r="D410" s="18"/>
    </row>
    <row r="411" spans="1:4" ht="12.75">
      <c r="A411" s="3"/>
      <c r="B411" s="17"/>
      <c r="C411" s="18"/>
      <c r="D411" s="18"/>
    </row>
    <row r="412" spans="1:4" ht="12.75">
      <c r="A412" s="3"/>
      <c r="B412" s="17"/>
      <c r="C412" s="18"/>
      <c r="D412" s="18"/>
    </row>
    <row r="413" spans="1:4" ht="12.75">
      <c r="A413" s="3"/>
      <c r="B413" s="17"/>
      <c r="C413" s="18"/>
      <c r="D413" s="18"/>
    </row>
    <row r="414" spans="1:4" ht="12.75">
      <c r="A414" s="3"/>
      <c r="B414" s="17"/>
      <c r="C414" s="18"/>
      <c r="D414" s="18"/>
    </row>
    <row r="415" spans="1:4" ht="12.75">
      <c r="A415" s="3"/>
      <c r="B415" s="17"/>
      <c r="C415" s="18"/>
      <c r="D415" s="18"/>
    </row>
    <row r="416" spans="1:4" ht="12.75">
      <c r="A416" s="3"/>
      <c r="B416" s="17"/>
      <c r="C416" s="18"/>
      <c r="D416" s="18"/>
    </row>
    <row r="417" spans="1:4" ht="12.75">
      <c r="A417" s="3"/>
      <c r="B417" s="17"/>
      <c r="C417" s="18"/>
      <c r="D417" s="18"/>
    </row>
    <row r="418" spans="1:4" ht="12.75">
      <c r="A418" s="3"/>
      <c r="B418" s="17"/>
      <c r="C418" s="18"/>
      <c r="D418" s="18"/>
    </row>
    <row r="419" spans="1:4" ht="12.75">
      <c r="A419" s="3"/>
      <c r="B419" s="17"/>
      <c r="C419" s="18"/>
      <c r="D419" s="18"/>
    </row>
    <row r="420" spans="1:4" ht="12.75">
      <c r="A420" s="3"/>
      <c r="B420" s="17"/>
      <c r="C420" s="18"/>
      <c r="D420" s="18"/>
    </row>
    <row r="421" spans="1:4" ht="12.75">
      <c r="A421" s="3"/>
      <c r="B421" s="17"/>
      <c r="C421" s="18"/>
      <c r="D421" s="18"/>
    </row>
    <row r="422" spans="1:4" ht="12.75">
      <c r="A422" s="3"/>
      <c r="B422" s="17"/>
      <c r="C422" s="18"/>
      <c r="D422" s="18"/>
    </row>
    <row r="423" spans="1:4" ht="12.75">
      <c r="A423" s="3"/>
      <c r="B423" s="17"/>
      <c r="C423" s="18"/>
      <c r="D423" s="18"/>
    </row>
    <row r="424" spans="1:4" ht="12.75">
      <c r="A424" s="3"/>
      <c r="B424" s="17"/>
      <c r="C424" s="18"/>
      <c r="D424" s="18"/>
    </row>
    <row r="425" spans="1:4" ht="12.75">
      <c r="A425" s="3"/>
      <c r="B425" s="17"/>
      <c r="C425" s="18"/>
      <c r="D425" s="18"/>
    </row>
    <row r="426" spans="1:4" ht="12.75">
      <c r="A426" s="3"/>
      <c r="B426" s="17"/>
      <c r="C426" s="18"/>
      <c r="D426" s="18"/>
    </row>
    <row r="427" spans="1:4" ht="12.75">
      <c r="A427" s="3"/>
      <c r="B427" s="17"/>
      <c r="C427" s="18"/>
      <c r="D427" s="18"/>
    </row>
    <row r="428" spans="1:4" ht="12.75">
      <c r="A428" s="3"/>
      <c r="B428" s="17"/>
      <c r="C428" s="18"/>
      <c r="D428" s="18"/>
    </row>
    <row r="429" spans="1:4" ht="12.75">
      <c r="A429" s="3"/>
      <c r="B429" s="17"/>
      <c r="C429" s="18"/>
      <c r="D429" s="18"/>
    </row>
    <row r="430" spans="1:4" ht="12.75">
      <c r="A430" s="3"/>
      <c r="B430" s="17"/>
      <c r="C430" s="18"/>
      <c r="D430" s="18"/>
    </row>
    <row r="431" spans="1:4" ht="12.75">
      <c r="A431" s="3"/>
      <c r="B431" s="17"/>
      <c r="C431" s="18"/>
      <c r="D431" s="18"/>
    </row>
    <row r="432" spans="1:4" ht="12.75">
      <c r="A432" s="3"/>
      <c r="B432" s="17"/>
      <c r="C432" s="18"/>
      <c r="D432" s="18"/>
    </row>
    <row r="433" spans="1:4" ht="12.75">
      <c r="A433" s="3"/>
      <c r="B433" s="17"/>
      <c r="C433" s="18"/>
      <c r="D433" s="18"/>
    </row>
    <row r="434" spans="1:4" ht="12.75">
      <c r="A434" s="3"/>
      <c r="B434" s="17"/>
      <c r="C434" s="18"/>
      <c r="D434" s="18"/>
    </row>
    <row r="435" spans="1:4" ht="12.75">
      <c r="A435" s="3"/>
      <c r="B435" s="17"/>
      <c r="C435" s="18"/>
      <c r="D435" s="18"/>
    </row>
    <row r="436" spans="1:4" ht="12.75">
      <c r="A436" s="3"/>
      <c r="B436" s="17"/>
      <c r="C436" s="18"/>
      <c r="D436" s="18"/>
    </row>
    <row r="437" spans="1:4" ht="12.75">
      <c r="A437" s="3"/>
      <c r="B437" s="17"/>
      <c r="C437" s="18"/>
      <c r="D437" s="18"/>
    </row>
    <row r="438" spans="1:4" ht="12.75">
      <c r="A438" s="3"/>
      <c r="B438" s="17"/>
      <c r="C438" s="18"/>
      <c r="D438" s="18"/>
    </row>
    <row r="439" spans="1:4" ht="12.75">
      <c r="A439" s="3"/>
      <c r="B439" s="17"/>
      <c r="C439" s="18"/>
      <c r="D439" s="18"/>
    </row>
    <row r="440" spans="1:4" ht="12.75">
      <c r="A440" s="3"/>
      <c r="B440" s="17"/>
      <c r="C440" s="18"/>
      <c r="D440" s="18"/>
    </row>
    <row r="441" spans="1:4" ht="12.75">
      <c r="A441" s="3"/>
      <c r="B441" s="17"/>
      <c r="C441" s="18"/>
      <c r="D441" s="18"/>
    </row>
    <row r="442" spans="1:4" ht="12.75">
      <c r="A442" s="3"/>
      <c r="B442" s="17"/>
      <c r="C442" s="18"/>
      <c r="D442" s="18"/>
    </row>
    <row r="443" spans="1:4" ht="12.75">
      <c r="A443" s="3"/>
      <c r="B443" s="17"/>
      <c r="C443" s="18"/>
      <c r="D443" s="18"/>
    </row>
    <row r="444" spans="1:4" ht="12.75">
      <c r="A444" s="3"/>
      <c r="B444" s="17"/>
      <c r="C444" s="18"/>
      <c r="D444" s="18"/>
    </row>
    <row r="445" spans="1:4" ht="12.75">
      <c r="A445" s="3"/>
      <c r="B445" s="17"/>
      <c r="C445" s="18"/>
      <c r="D445" s="18"/>
    </row>
    <row r="446" spans="1:4" ht="12.75">
      <c r="A446" s="3"/>
      <c r="B446" s="17"/>
      <c r="C446" s="18"/>
      <c r="D446" s="18"/>
    </row>
    <row r="447" spans="1:4" ht="12.75">
      <c r="A447" s="3"/>
      <c r="B447" s="17"/>
      <c r="C447" s="18"/>
      <c r="D447" s="18"/>
    </row>
    <row r="448" spans="1:4" ht="12.75">
      <c r="A448" s="3"/>
      <c r="B448" s="17"/>
      <c r="C448" s="18"/>
      <c r="D448" s="18"/>
    </row>
    <row r="449" spans="1:4" ht="12.75">
      <c r="A449" s="3"/>
      <c r="B449" s="17"/>
      <c r="C449" s="18"/>
      <c r="D449" s="18"/>
    </row>
    <row r="450" spans="1:4" ht="12.75">
      <c r="A450" s="3"/>
      <c r="B450" s="17"/>
      <c r="C450" s="18"/>
      <c r="D450" s="18"/>
    </row>
    <row r="451" spans="1:4" ht="12.75">
      <c r="A451" s="3"/>
      <c r="B451" s="17"/>
      <c r="C451" s="18"/>
      <c r="D451" s="18"/>
    </row>
    <row r="452" spans="1:4" ht="12.75">
      <c r="A452" s="3"/>
      <c r="B452" s="17"/>
      <c r="C452" s="18"/>
      <c r="D452" s="18"/>
    </row>
    <row r="453" spans="1:4" ht="12.75">
      <c r="A453" s="3"/>
      <c r="B453" s="17"/>
      <c r="C453" s="18"/>
      <c r="D453" s="18"/>
    </row>
    <row r="454" spans="1:4" ht="12.75">
      <c r="A454" s="3"/>
      <c r="B454" s="17"/>
      <c r="C454" s="18"/>
      <c r="D454" s="18"/>
    </row>
    <row r="455" spans="1:4" ht="12.75">
      <c r="A455" s="3"/>
      <c r="B455" s="17"/>
      <c r="C455" s="18"/>
      <c r="D455" s="18"/>
    </row>
    <row r="456" spans="1:4" ht="12.75">
      <c r="A456" s="3"/>
      <c r="B456" s="17"/>
      <c r="C456" s="18"/>
      <c r="D456" s="18"/>
    </row>
    <row r="457" spans="1:4" ht="12.75">
      <c r="A457" s="3"/>
      <c r="B457" s="17"/>
      <c r="C457" s="18"/>
      <c r="D457" s="18"/>
    </row>
    <row r="458" spans="1:4" ht="12.75">
      <c r="A458" s="3"/>
      <c r="B458" s="17"/>
      <c r="C458" s="18"/>
      <c r="D458" s="18"/>
    </row>
    <row r="459" spans="1:4" ht="12.75">
      <c r="A459" s="3"/>
      <c r="B459" s="17"/>
      <c r="C459" s="18"/>
      <c r="D459" s="18"/>
    </row>
    <row r="460" spans="1:4" ht="12.75">
      <c r="A460" s="3"/>
      <c r="B460" s="17"/>
      <c r="C460" s="18"/>
      <c r="D460" s="18"/>
    </row>
    <row r="461" spans="1:4" ht="12.75">
      <c r="A461" s="3"/>
      <c r="B461" s="17"/>
      <c r="C461" s="18"/>
      <c r="D461" s="18"/>
    </row>
    <row r="462" spans="1:4" ht="12.75">
      <c r="A462" s="3"/>
      <c r="B462" s="17"/>
      <c r="C462" s="18"/>
      <c r="D462" s="18"/>
    </row>
    <row r="463" spans="1:4" ht="12.75">
      <c r="A463" s="3"/>
      <c r="B463" s="17"/>
      <c r="C463" s="18"/>
      <c r="D463" s="18"/>
    </row>
    <row r="464" spans="1:4" ht="12.75">
      <c r="A464" s="3"/>
      <c r="B464" s="17"/>
      <c r="C464" s="18"/>
      <c r="D464" s="18"/>
    </row>
    <row r="465" spans="1:4" ht="12.75">
      <c r="A465" s="3"/>
      <c r="B465" s="17"/>
      <c r="C465" s="18"/>
      <c r="D465" s="18"/>
    </row>
    <row r="466" spans="1:4" ht="12.75">
      <c r="A466" s="3"/>
      <c r="B466" s="17"/>
      <c r="C466" s="18"/>
      <c r="D466" s="18"/>
    </row>
    <row r="467" spans="1:4" ht="12.75">
      <c r="A467" s="3"/>
      <c r="B467" s="17"/>
      <c r="C467" s="18"/>
      <c r="D467" s="18"/>
    </row>
    <row r="468" spans="1:4" ht="12.75">
      <c r="A468" s="3"/>
      <c r="B468" s="17"/>
      <c r="C468" s="18"/>
      <c r="D468" s="18"/>
    </row>
    <row r="469" spans="1:4" ht="12.75">
      <c r="A469" s="3"/>
      <c r="B469" s="17"/>
      <c r="C469" s="18"/>
      <c r="D469" s="18"/>
    </row>
    <row r="470" spans="1:4" ht="12.75">
      <c r="A470" s="3"/>
      <c r="B470" s="17"/>
      <c r="C470" s="18"/>
      <c r="D470" s="18"/>
    </row>
    <row r="471" spans="1:4" ht="12.75">
      <c r="A471" s="3"/>
      <c r="B471" s="17"/>
      <c r="C471" s="18"/>
      <c r="D471" s="18"/>
    </row>
    <row r="472" spans="1:4" ht="12.75">
      <c r="A472" s="3"/>
      <c r="B472" s="17"/>
      <c r="C472" s="18"/>
      <c r="D472" s="18"/>
    </row>
    <row r="473" spans="1:4" ht="12.75">
      <c r="A473" s="3"/>
      <c r="B473" s="17"/>
      <c r="C473" s="18"/>
      <c r="D473" s="18"/>
    </row>
    <row r="474" spans="1:4" ht="12.75">
      <c r="A474" s="3"/>
      <c r="B474" s="17"/>
      <c r="C474" s="18"/>
      <c r="D474" s="18"/>
    </row>
    <row r="475" spans="1:4" ht="12.75">
      <c r="A475" s="3"/>
      <c r="B475" s="17"/>
      <c r="C475" s="18"/>
      <c r="D475" s="18"/>
    </row>
    <row r="476" spans="1:4" ht="12.75">
      <c r="A476" s="3"/>
      <c r="B476" s="17"/>
      <c r="C476" s="18"/>
      <c r="D476" s="18"/>
    </row>
    <row r="477" spans="1:4" ht="12.75">
      <c r="A477" s="3"/>
      <c r="B477" s="17"/>
      <c r="C477" s="18"/>
      <c r="D477" s="18"/>
    </row>
    <row r="478" spans="1:4" ht="12.75">
      <c r="A478" s="3"/>
      <c r="B478" s="17"/>
      <c r="C478" s="18"/>
      <c r="D478" s="18"/>
    </row>
    <row r="479" spans="1:4" ht="12.75">
      <c r="A479" s="3"/>
      <c r="B479" s="17"/>
      <c r="C479" s="18"/>
      <c r="D479" s="18"/>
    </row>
    <row r="480" spans="1:4" ht="12.75">
      <c r="A480" s="3"/>
      <c r="B480" s="17"/>
      <c r="C480" s="18"/>
      <c r="D480" s="18"/>
    </row>
    <row r="481" spans="1:4" ht="12.75">
      <c r="A481" s="3"/>
      <c r="B481" s="17"/>
      <c r="C481" s="18"/>
      <c r="D481" s="18"/>
    </row>
    <row r="482" spans="1:4" ht="12.75">
      <c r="A482" s="3"/>
      <c r="B482" s="17"/>
      <c r="C482" s="18"/>
      <c r="D482" s="18"/>
    </row>
    <row r="483" spans="1:4" ht="12.75">
      <c r="A483" s="3"/>
      <c r="B483" s="17"/>
      <c r="C483" s="18"/>
      <c r="D483" s="18"/>
    </row>
    <row r="484" spans="1:4" ht="12.75">
      <c r="A484" s="3"/>
      <c r="B484" s="17"/>
      <c r="C484" s="18"/>
      <c r="D484" s="18"/>
    </row>
    <row r="485" spans="1:4" ht="12.75">
      <c r="A485" s="3"/>
      <c r="B485" s="17"/>
      <c r="C485" s="18"/>
      <c r="D485" s="18"/>
    </row>
    <row r="486" spans="1:4" ht="12.75">
      <c r="A486" s="3"/>
      <c r="B486" s="17"/>
      <c r="C486" s="18"/>
      <c r="D486" s="18"/>
    </row>
    <row r="487" spans="1:4" ht="12.75">
      <c r="A487" s="3"/>
      <c r="B487" s="17"/>
      <c r="C487" s="18"/>
      <c r="D487" s="18"/>
    </row>
    <row r="488" spans="1:4" ht="12.75">
      <c r="A488" s="3"/>
      <c r="B488" s="17"/>
      <c r="C488" s="18"/>
      <c r="D488" s="18"/>
    </row>
    <row r="489" spans="1:4" ht="12.75">
      <c r="A489" s="3"/>
      <c r="B489" s="17"/>
      <c r="C489" s="18"/>
      <c r="D489" s="18"/>
    </row>
    <row r="490" spans="1:4" ht="12.75">
      <c r="A490" s="3"/>
      <c r="B490" s="17"/>
      <c r="C490" s="18"/>
      <c r="D490" s="18"/>
    </row>
    <row r="491" spans="1:4" ht="12.75">
      <c r="A491" s="3"/>
      <c r="B491" s="17"/>
      <c r="C491" s="18"/>
      <c r="D491" s="18"/>
    </row>
    <row r="492" spans="1:4" ht="12.75">
      <c r="A492" s="3"/>
      <c r="B492" s="17"/>
      <c r="C492" s="18"/>
      <c r="D492" s="18"/>
    </row>
    <row r="493" spans="1:4" ht="12.75">
      <c r="A493" s="3"/>
      <c r="B493" s="17"/>
      <c r="C493" s="18"/>
      <c r="D493" s="18"/>
    </row>
    <row r="494" spans="1:4" ht="12.75">
      <c r="A494" s="3"/>
      <c r="B494" s="17"/>
      <c r="C494" s="18"/>
      <c r="D494" s="18"/>
    </row>
    <row r="495" spans="1:4" ht="12.75">
      <c r="A495" s="3"/>
      <c r="B495" s="17"/>
      <c r="C495" s="18"/>
      <c r="D495" s="18"/>
    </row>
    <row r="496" spans="1:4" ht="12.75">
      <c r="A496" s="3"/>
      <c r="B496" s="17"/>
      <c r="C496" s="18"/>
      <c r="D496" s="18"/>
    </row>
    <row r="497" spans="1:4" ht="12.75">
      <c r="A497" s="3"/>
      <c r="B497" s="17"/>
      <c r="C497" s="18"/>
      <c r="D497" s="18"/>
    </row>
    <row r="498" spans="1:4" ht="12.75">
      <c r="A498" s="3"/>
      <c r="B498" s="17"/>
      <c r="C498" s="18"/>
      <c r="D498" s="18"/>
    </row>
    <row r="499" spans="1:4" ht="12.75">
      <c r="A499" s="3"/>
      <c r="B499" s="17"/>
      <c r="C499" s="18"/>
      <c r="D499" s="18"/>
    </row>
    <row r="500" spans="1:4" ht="12.75">
      <c r="A500" s="3"/>
      <c r="B500" s="17"/>
      <c r="C500" s="18"/>
      <c r="D500" s="18"/>
    </row>
    <row r="501" spans="1:4" ht="12.75">
      <c r="A501" s="3"/>
      <c r="B501" s="17"/>
      <c r="C501" s="18"/>
      <c r="D501" s="18"/>
    </row>
    <row r="502" spans="1:4" ht="12.75">
      <c r="A502" s="3"/>
      <c r="B502" s="17"/>
      <c r="C502" s="18"/>
      <c r="D502" s="18"/>
    </row>
    <row r="503" spans="1:4" ht="12.75">
      <c r="A503" s="3"/>
      <c r="B503" s="17"/>
      <c r="C503" s="18"/>
      <c r="D503" s="18"/>
    </row>
    <row r="504" spans="1:4" ht="12.75">
      <c r="A504" s="3"/>
      <c r="B504" s="17"/>
      <c r="C504" s="18"/>
      <c r="D504" s="18"/>
    </row>
    <row r="505" spans="1:4" ht="12.75">
      <c r="A505" s="3"/>
      <c r="B505" s="17"/>
      <c r="C505" s="18"/>
      <c r="D505" s="18"/>
    </row>
    <row r="506" spans="1:4" ht="12.75">
      <c r="A506" s="3"/>
      <c r="B506" s="17"/>
      <c r="C506" s="18"/>
      <c r="D506" s="18"/>
    </row>
    <row r="507" spans="1:4" ht="12.75">
      <c r="A507" s="3"/>
      <c r="B507" s="17"/>
      <c r="C507" s="18"/>
      <c r="D507" s="18"/>
    </row>
    <row r="508" spans="1:4" ht="12.75">
      <c r="A508" s="3"/>
      <c r="B508" s="17"/>
      <c r="C508" s="18"/>
      <c r="D508" s="18"/>
    </row>
    <row r="509" spans="1:4" ht="12.75">
      <c r="A509" s="3"/>
      <c r="B509" s="17"/>
      <c r="C509" s="18"/>
      <c r="D509" s="18"/>
    </row>
    <row r="510" spans="1:4" ht="12.75">
      <c r="A510" s="3"/>
      <c r="B510" s="17"/>
      <c r="C510" s="18"/>
      <c r="D510" s="18"/>
    </row>
    <row r="511" spans="1:4" ht="12.75">
      <c r="A511" s="3"/>
      <c r="B511" s="17"/>
      <c r="C511" s="18"/>
      <c r="D511" s="18"/>
    </row>
    <row r="512" spans="1:4" ht="12.75">
      <c r="A512" s="3"/>
      <c r="B512" s="17"/>
      <c r="C512" s="18"/>
      <c r="D512" s="18"/>
    </row>
    <row r="513" spans="1:4" ht="12.75">
      <c r="A513" s="3"/>
      <c r="B513" s="17"/>
      <c r="C513" s="18"/>
      <c r="D513" s="18"/>
    </row>
    <row r="514" spans="1:4" ht="12.75">
      <c r="A514" s="3"/>
      <c r="B514" s="17"/>
      <c r="C514" s="18"/>
      <c r="D514" s="18"/>
    </row>
    <row r="515" spans="1:4" ht="12.75">
      <c r="A515" s="3"/>
      <c r="B515" s="17"/>
      <c r="C515" s="18"/>
      <c r="D515" s="18"/>
    </row>
    <row r="516" spans="1:4" ht="12.75">
      <c r="A516" s="3"/>
      <c r="B516" s="17"/>
      <c r="C516" s="18"/>
      <c r="D516" s="18"/>
    </row>
    <row r="517" spans="1:4" ht="12.75">
      <c r="A517" s="3"/>
      <c r="B517" s="17"/>
      <c r="C517" s="18"/>
      <c r="D517" s="18"/>
    </row>
    <row r="518" spans="1:4" ht="12.75">
      <c r="A518" s="3"/>
      <c r="B518" s="17"/>
      <c r="C518" s="18"/>
      <c r="D518" s="18"/>
    </row>
    <row r="519" spans="1:4" ht="12.75">
      <c r="A519" s="3"/>
      <c r="B519" s="17"/>
      <c r="C519" s="18"/>
      <c r="D519" s="18"/>
    </row>
    <row r="520" spans="1:4" ht="12.75">
      <c r="A520" s="3"/>
      <c r="B520" s="17"/>
      <c r="C520" s="18"/>
      <c r="D520" s="18"/>
    </row>
    <row r="521" spans="1:4" ht="12.75">
      <c r="A521" s="3"/>
      <c r="B521" s="17"/>
      <c r="C521" s="18"/>
      <c r="D521" s="18"/>
    </row>
    <row r="522" spans="1:4" ht="12.75">
      <c r="A522" s="3"/>
      <c r="B522" s="17"/>
      <c r="C522" s="18"/>
      <c r="D522" s="18"/>
    </row>
    <row r="523" spans="1:4" ht="12.75">
      <c r="A523" s="3"/>
      <c r="B523" s="17"/>
      <c r="C523" s="18"/>
      <c r="D523" s="18"/>
    </row>
    <row r="524" spans="1:4" ht="12.75">
      <c r="A524" s="3"/>
      <c r="B524" s="17"/>
      <c r="C524" s="18"/>
      <c r="D524" s="18"/>
    </row>
    <row r="525" spans="1:4" ht="12.75">
      <c r="A525" s="3"/>
      <c r="B525" s="17"/>
      <c r="C525" s="18"/>
      <c r="D525" s="18"/>
    </row>
    <row r="526" spans="1:4" ht="12.75">
      <c r="A526" s="3"/>
      <c r="B526" s="17"/>
      <c r="C526" s="18"/>
      <c r="D526" s="18"/>
    </row>
    <row r="527" spans="1:4" ht="12.75">
      <c r="A527" s="3"/>
      <c r="B527" s="17"/>
      <c r="C527" s="18"/>
      <c r="D527" s="18"/>
    </row>
    <row r="528" spans="1:4" ht="12.75">
      <c r="A528" s="3"/>
      <c r="B528" s="17"/>
      <c r="C528" s="18"/>
      <c r="D528" s="18"/>
    </row>
    <row r="529" spans="1:4" ht="12.75">
      <c r="A529" s="3"/>
      <c r="B529" s="17"/>
      <c r="C529" s="18"/>
      <c r="D529" s="18"/>
    </row>
    <row r="530" spans="1:4" ht="12.75">
      <c r="A530" s="3"/>
      <c r="B530" s="17"/>
      <c r="C530" s="18"/>
      <c r="D530" s="18"/>
    </row>
    <row r="531" spans="1:4" ht="12.75">
      <c r="A531" s="3"/>
      <c r="B531" s="17"/>
      <c r="C531" s="18"/>
      <c r="D531" s="18"/>
    </row>
    <row r="532" spans="1:4" ht="12.75">
      <c r="A532" s="3"/>
      <c r="B532" s="17"/>
      <c r="C532" s="18"/>
      <c r="D532" s="18"/>
    </row>
    <row r="533" spans="1:4" ht="12.75">
      <c r="A533" s="3"/>
      <c r="B533" s="17"/>
      <c r="C533" s="18"/>
      <c r="D533" s="18"/>
    </row>
    <row r="534" spans="1:4" ht="12.75">
      <c r="A534" s="3"/>
      <c r="B534" s="17"/>
      <c r="C534" s="18"/>
      <c r="D534" s="18"/>
    </row>
    <row r="535" spans="1:4" ht="12.75">
      <c r="A535" s="3"/>
      <c r="B535" s="17"/>
      <c r="C535" s="18"/>
      <c r="D535" s="18"/>
    </row>
    <row r="536" spans="1:4" ht="12.75">
      <c r="A536" s="3"/>
      <c r="B536" s="17"/>
      <c r="C536" s="18"/>
      <c r="D536" s="18"/>
    </row>
    <row r="537" spans="1:4" ht="12.75">
      <c r="A537" s="3"/>
      <c r="B537" s="17"/>
      <c r="C537" s="18"/>
      <c r="D537" s="18"/>
    </row>
    <row r="538" spans="1:4" ht="12.75">
      <c r="A538" s="3"/>
      <c r="B538" s="17"/>
      <c r="C538" s="18"/>
      <c r="D538" s="18"/>
    </row>
    <row r="539" spans="1:4" ht="12.75">
      <c r="A539" s="3"/>
      <c r="B539" s="17"/>
      <c r="C539" s="18"/>
      <c r="D539" s="18"/>
    </row>
    <row r="540" spans="1:4" ht="12.75">
      <c r="A540" s="3"/>
      <c r="B540" s="17"/>
      <c r="C540" s="18"/>
      <c r="D540" s="18"/>
    </row>
    <row r="541" spans="1:4" ht="12.75">
      <c r="A541" s="3"/>
      <c r="B541" s="17"/>
      <c r="C541" s="18"/>
      <c r="D541" s="18"/>
    </row>
    <row r="542" spans="1:4" ht="12.75">
      <c r="A542" s="3"/>
      <c r="B542" s="17"/>
      <c r="C542" s="18"/>
      <c r="D542" s="18"/>
    </row>
    <row r="543" spans="1:4" ht="12.75">
      <c r="A543" s="3"/>
      <c r="B543" s="17"/>
      <c r="C543" s="18"/>
      <c r="D543" s="18"/>
    </row>
    <row r="544" spans="1:4" ht="12.75">
      <c r="A544" s="3"/>
      <c r="B544" s="17"/>
      <c r="C544" s="18"/>
      <c r="D544" s="18"/>
    </row>
    <row r="545" spans="1:4" ht="12.75">
      <c r="A545" s="3"/>
      <c r="B545" s="17"/>
      <c r="C545" s="18"/>
      <c r="D545" s="18"/>
    </row>
    <row r="546" spans="1:4" ht="12.75">
      <c r="A546" s="3"/>
      <c r="B546" s="17"/>
      <c r="C546" s="18"/>
      <c r="D546" s="18"/>
    </row>
    <row r="547" spans="1:4" ht="12.75">
      <c r="A547" s="3"/>
      <c r="B547" s="17"/>
      <c r="C547" s="18"/>
      <c r="D547" s="18"/>
    </row>
    <row r="548" spans="1:4" ht="12.75">
      <c r="A548" s="3"/>
      <c r="B548" s="17"/>
      <c r="C548" s="18"/>
      <c r="D548" s="18"/>
    </row>
    <row r="549" spans="1:4" ht="12.75">
      <c r="A549" s="3"/>
      <c r="B549" s="17"/>
      <c r="C549" s="18"/>
      <c r="D549" s="18"/>
    </row>
    <row r="550" spans="1:4" ht="12.75">
      <c r="A550" s="3"/>
      <c r="B550" s="17"/>
      <c r="C550" s="18"/>
      <c r="D550" s="18"/>
    </row>
    <row r="551" spans="1:4" ht="12.75">
      <c r="A551" s="3"/>
      <c r="B551" s="17"/>
      <c r="C551" s="18"/>
      <c r="D551" s="18"/>
    </row>
    <row r="552" spans="1:4" ht="12.75">
      <c r="A552" s="3"/>
      <c r="B552" s="17"/>
      <c r="C552" s="18"/>
      <c r="D552" s="18"/>
    </row>
    <row r="553" spans="1:4" ht="12.75">
      <c r="A553" s="3"/>
      <c r="B553" s="17"/>
      <c r="C553" s="18"/>
      <c r="D553" s="18"/>
    </row>
    <row r="554" spans="1:4" ht="12.75">
      <c r="A554" s="3"/>
      <c r="B554" s="17"/>
      <c r="C554" s="18"/>
      <c r="D554" s="18"/>
    </row>
    <row r="555" spans="1:4" ht="12.75">
      <c r="A555" s="3"/>
      <c r="B555" s="17"/>
      <c r="C555" s="18"/>
      <c r="D555" s="18"/>
    </row>
    <row r="556" spans="1:4" ht="12.75">
      <c r="A556" s="3"/>
      <c r="B556" s="17"/>
      <c r="C556" s="18"/>
      <c r="D556" s="18"/>
    </row>
    <row r="557" spans="1:4" ht="12.75">
      <c r="A557" s="3"/>
      <c r="B557" s="17"/>
      <c r="C557" s="18"/>
      <c r="D557" s="18"/>
    </row>
    <row r="558" spans="1:4" ht="12.75">
      <c r="A558" s="3"/>
      <c r="B558" s="17"/>
      <c r="C558" s="18"/>
      <c r="D558" s="18"/>
    </row>
    <row r="559" spans="1:4" ht="12.75">
      <c r="A559" s="3"/>
      <c r="B559" s="17"/>
      <c r="C559" s="18"/>
      <c r="D559" s="18"/>
    </row>
    <row r="560" spans="1:4" ht="12.75">
      <c r="A560" s="3"/>
      <c r="B560" s="17"/>
      <c r="C560" s="18"/>
      <c r="D560" s="18"/>
    </row>
    <row r="561" spans="1:4" ht="12.75">
      <c r="A561" s="3"/>
      <c r="B561" s="17"/>
      <c r="C561" s="18"/>
      <c r="D561" s="18"/>
    </row>
    <row r="562" spans="1:4" ht="12.75">
      <c r="A562" s="3"/>
      <c r="B562" s="17"/>
      <c r="C562" s="18"/>
      <c r="D562" s="18"/>
    </row>
    <row r="563" spans="1:4" ht="12.75">
      <c r="A563" s="3"/>
      <c r="B563" s="17"/>
      <c r="C563" s="18"/>
      <c r="D563" s="18"/>
    </row>
    <row r="564" spans="1:4" ht="12.75">
      <c r="A564" s="3"/>
      <c r="B564" s="17"/>
      <c r="C564" s="18"/>
      <c r="D564" s="18"/>
    </row>
    <row r="565" spans="1:4" ht="12.75">
      <c r="A565" s="3"/>
      <c r="B565" s="17"/>
      <c r="C565" s="18"/>
      <c r="D565" s="18"/>
    </row>
    <row r="566" spans="1:4" ht="12.75">
      <c r="A566" s="3"/>
      <c r="B566" s="17"/>
      <c r="C566" s="18"/>
      <c r="D566" s="18"/>
    </row>
    <row r="567" spans="1:4" ht="12.75">
      <c r="A567" s="3"/>
      <c r="B567" s="17"/>
      <c r="C567" s="18"/>
      <c r="D567" s="18"/>
    </row>
    <row r="568" spans="1:4" ht="12.75">
      <c r="A568" s="3"/>
      <c r="B568" s="17"/>
      <c r="C568" s="18"/>
      <c r="D568" s="18"/>
    </row>
    <row r="569" spans="1:4" ht="12.75">
      <c r="A569" s="3"/>
      <c r="B569" s="17"/>
      <c r="C569" s="18"/>
      <c r="D569" s="18"/>
    </row>
    <row r="570" spans="1:4" ht="12.75">
      <c r="A570" s="3"/>
      <c r="B570" s="17"/>
      <c r="C570" s="18"/>
      <c r="D570" s="18"/>
    </row>
    <row r="571" spans="1:4" ht="12.75">
      <c r="A571" s="3"/>
      <c r="B571" s="17"/>
      <c r="C571" s="18"/>
      <c r="D571" s="18"/>
    </row>
    <row r="572" spans="1:4" ht="12.75">
      <c r="A572" s="3"/>
      <c r="B572" s="17"/>
      <c r="C572" s="18"/>
      <c r="D572" s="18"/>
    </row>
    <row r="573" spans="1:4" ht="12.75">
      <c r="A573" s="3"/>
      <c r="B573" s="17"/>
      <c r="C573" s="18"/>
      <c r="D573" s="18"/>
    </row>
    <row r="574" spans="1:4" ht="12.75">
      <c r="A574" s="3"/>
      <c r="B574" s="17"/>
      <c r="C574" s="18"/>
      <c r="D574" s="18"/>
    </row>
    <row r="575" spans="1:4" ht="12.75">
      <c r="A575" s="3"/>
      <c r="B575" s="17"/>
      <c r="C575" s="18"/>
      <c r="D575" s="18"/>
    </row>
    <row r="576" spans="1:4" ht="12.75">
      <c r="A576" s="3"/>
      <c r="B576" s="17"/>
      <c r="C576" s="18"/>
      <c r="D576" s="18"/>
    </row>
    <row r="577" spans="1:4" ht="12.75">
      <c r="A577" s="3"/>
      <c r="B577" s="17"/>
      <c r="C577" s="18"/>
      <c r="D577" s="18"/>
    </row>
    <row r="578" spans="1:4" ht="12.75">
      <c r="A578" s="3"/>
      <c r="B578" s="17"/>
      <c r="C578" s="18"/>
      <c r="D578" s="18"/>
    </row>
    <row r="579" spans="1:4" ht="12.75">
      <c r="A579" s="3"/>
      <c r="B579" s="17"/>
      <c r="C579" s="18"/>
      <c r="D579" s="18"/>
    </row>
    <row r="580" spans="1:4" ht="12.75">
      <c r="A580" s="3"/>
      <c r="B580" s="17"/>
      <c r="C580" s="18"/>
      <c r="D580" s="18"/>
    </row>
    <row r="581" spans="1:4" ht="12.75">
      <c r="A581" s="3"/>
      <c r="B581" s="17"/>
      <c r="C581" s="18"/>
      <c r="D581" s="18"/>
    </row>
    <row r="582" spans="1:4" ht="12.75">
      <c r="A582" s="3"/>
      <c r="B582" s="17"/>
      <c r="C582" s="18"/>
      <c r="D582" s="18"/>
    </row>
    <row r="583" spans="1:4" ht="12.75">
      <c r="A583" s="3"/>
      <c r="B583" s="17"/>
      <c r="C583" s="18"/>
      <c r="D583" s="18"/>
    </row>
    <row r="584" spans="1:4" ht="12.75">
      <c r="A584" s="3"/>
      <c r="B584" s="17"/>
      <c r="C584" s="18"/>
      <c r="D584" s="18"/>
    </row>
    <row r="585" spans="1:4" ht="12.75">
      <c r="A585" s="3"/>
      <c r="B585" s="17"/>
      <c r="C585" s="18"/>
      <c r="D585" s="18"/>
    </row>
    <row r="586" spans="1:4" ht="12.75">
      <c r="A586" s="3"/>
      <c r="B586" s="17"/>
      <c r="C586" s="18"/>
      <c r="D586" s="18"/>
    </row>
    <row r="587" spans="1:4" ht="12.75">
      <c r="A587" s="3"/>
      <c r="B587" s="17"/>
      <c r="C587" s="18"/>
      <c r="D587" s="18"/>
    </row>
    <row r="588" spans="1:4" ht="12.75">
      <c r="A588" s="3"/>
      <c r="B588" s="17"/>
      <c r="C588" s="18"/>
      <c r="D588" s="18"/>
    </row>
    <row r="589" spans="1:4" ht="12.75">
      <c r="A589" s="3"/>
      <c r="B589" s="17"/>
      <c r="C589" s="18"/>
      <c r="D589" s="18"/>
    </row>
    <row r="590" spans="1:4" ht="12.75">
      <c r="A590" s="3"/>
      <c r="B590" s="17"/>
      <c r="C590" s="18"/>
      <c r="D590" s="18"/>
    </row>
    <row r="591" spans="1:4" ht="12.75">
      <c r="A591" s="3"/>
      <c r="B591" s="17"/>
      <c r="C591" s="18"/>
      <c r="D591" s="18"/>
    </row>
    <row r="592" spans="1:4" ht="12.75">
      <c r="A592" s="3"/>
      <c r="B592" s="17"/>
      <c r="C592" s="18"/>
      <c r="D592" s="18"/>
    </row>
    <row r="593" spans="1:4" ht="12.75">
      <c r="A593" s="3"/>
      <c r="B593" s="17"/>
      <c r="C593" s="18"/>
      <c r="D593" s="18"/>
    </row>
    <row r="594" spans="1:4" ht="12.75">
      <c r="A594" s="3"/>
      <c r="B594" s="17"/>
      <c r="C594" s="18"/>
      <c r="D594" s="18"/>
    </row>
    <row r="595" spans="1:4" ht="12.75">
      <c r="A595" s="3"/>
      <c r="B595" s="17"/>
      <c r="C595" s="18"/>
      <c r="D595" s="18"/>
    </row>
    <row r="596" spans="1:4" ht="12.75">
      <c r="A596" s="3"/>
      <c r="B596" s="17"/>
      <c r="C596" s="18"/>
      <c r="D596" s="18"/>
    </row>
    <row r="597" spans="1:4" ht="12.75">
      <c r="A597" s="3"/>
      <c r="B597" s="17"/>
      <c r="C597" s="18"/>
      <c r="D597" s="18"/>
    </row>
    <row r="598" spans="1:4" ht="12.75">
      <c r="A598" s="3"/>
      <c r="B598" s="17"/>
      <c r="C598" s="18"/>
      <c r="D598" s="18"/>
    </row>
    <row r="599" spans="1:4" ht="12.75">
      <c r="A599" s="3"/>
      <c r="B599" s="17"/>
      <c r="C599" s="18"/>
      <c r="D599" s="18"/>
    </row>
    <row r="600" spans="1:4" ht="12.75">
      <c r="A600" s="3"/>
      <c r="B600" s="17"/>
      <c r="C600" s="18"/>
      <c r="D600" s="18"/>
    </row>
    <row r="601" spans="1:4" ht="12.75">
      <c r="A601" s="3"/>
      <c r="B601" s="17"/>
      <c r="C601" s="18"/>
      <c r="D601" s="18"/>
    </row>
    <row r="602" spans="1:4" ht="12.75">
      <c r="A602" s="3"/>
      <c r="B602" s="17"/>
      <c r="C602" s="18"/>
      <c r="D602" s="18"/>
    </row>
    <row r="603" spans="1:4" ht="12.75">
      <c r="A603" s="3"/>
      <c r="B603" s="17"/>
      <c r="C603" s="18"/>
      <c r="D603" s="18"/>
    </row>
    <row r="604" spans="1:4" ht="12.75">
      <c r="A604" s="3"/>
      <c r="B604" s="17"/>
      <c r="C604" s="18"/>
      <c r="D604" s="18"/>
    </row>
    <row r="605" spans="1:4" ht="12.75">
      <c r="A605" s="3"/>
      <c r="B605" s="17"/>
      <c r="C605" s="18"/>
      <c r="D605" s="18"/>
    </row>
    <row r="606" spans="1:4" ht="12.75">
      <c r="A606" s="3"/>
      <c r="B606" s="17"/>
      <c r="C606" s="18"/>
      <c r="D606" s="18"/>
    </row>
    <row r="607" spans="1:4" ht="12.75">
      <c r="A607" s="3"/>
      <c r="B607" s="17"/>
      <c r="C607" s="18"/>
      <c r="D607" s="18"/>
    </row>
    <row r="608" spans="1:4" ht="12.75">
      <c r="A608" s="3"/>
      <c r="B608" s="17"/>
      <c r="C608" s="18"/>
      <c r="D608" s="18"/>
    </row>
    <row r="609" spans="1:4" ht="12.75">
      <c r="A609" s="3"/>
      <c r="B609" s="17"/>
      <c r="C609" s="18"/>
      <c r="D609" s="18"/>
    </row>
    <row r="610" spans="1:4" ht="12.75">
      <c r="A610" s="3"/>
      <c r="B610" s="17"/>
      <c r="C610" s="18"/>
      <c r="D610" s="18"/>
    </row>
    <row r="611" spans="1:4" ht="12.75">
      <c r="A611" s="3"/>
      <c r="B611" s="17"/>
      <c r="C611" s="18"/>
      <c r="D611" s="18"/>
    </row>
    <row r="612" spans="1:4" ht="12.75">
      <c r="A612" s="3"/>
      <c r="B612" s="17"/>
      <c r="C612" s="18"/>
      <c r="D612" s="18"/>
    </row>
    <row r="613" spans="1:4" ht="12.75">
      <c r="A613" s="3"/>
      <c r="B613" s="17"/>
      <c r="C613" s="18"/>
      <c r="D613" s="18"/>
    </row>
    <row r="614" spans="1:4" ht="12.75">
      <c r="A614" s="3"/>
      <c r="B614" s="17"/>
      <c r="C614" s="18"/>
      <c r="D614" s="18"/>
    </row>
    <row r="615" spans="1:4" ht="12.75">
      <c r="A615" s="3"/>
      <c r="B615" s="17"/>
      <c r="C615" s="18"/>
      <c r="D615" s="18"/>
    </row>
    <row r="616" spans="1:4" ht="12.75">
      <c r="A616" s="3"/>
      <c r="B616" s="17"/>
      <c r="C616" s="18"/>
      <c r="D616" s="18"/>
    </row>
    <row r="617" spans="1:4" ht="12.75">
      <c r="A617" s="3"/>
      <c r="B617" s="17"/>
      <c r="C617" s="18"/>
      <c r="D617" s="18"/>
    </row>
    <row r="618" spans="1:4" ht="12.75">
      <c r="A618" s="3"/>
      <c r="B618" s="17"/>
      <c r="C618" s="18"/>
      <c r="D618" s="18"/>
    </row>
    <row r="619" spans="1:4" ht="12.75">
      <c r="A619" s="3"/>
      <c r="B619" s="17"/>
      <c r="C619" s="18"/>
      <c r="D619" s="18"/>
    </row>
    <row r="620" spans="1:4" ht="12.75">
      <c r="A620" s="3"/>
      <c r="B620" s="17"/>
      <c r="C620" s="18"/>
      <c r="D620" s="18"/>
    </row>
    <row r="621" spans="1:4" ht="12.75">
      <c r="A621" s="3"/>
      <c r="B621" s="17"/>
      <c r="C621" s="18"/>
      <c r="D621" s="18"/>
    </row>
    <row r="622" spans="1:4" ht="12.75">
      <c r="A622" s="3"/>
      <c r="B622" s="17"/>
      <c r="C622" s="18"/>
      <c r="D622" s="18"/>
    </row>
    <row r="623" spans="1:4" ht="12.75">
      <c r="A623" s="3"/>
      <c r="B623" s="17"/>
      <c r="C623" s="18"/>
      <c r="D623" s="18"/>
    </row>
    <row r="624" spans="1:4" ht="12.75">
      <c r="A624" s="3"/>
      <c r="B624" s="17"/>
      <c r="C624" s="18"/>
      <c r="D624" s="18"/>
    </row>
    <row r="625" spans="1:4" ht="12.75">
      <c r="A625" s="3"/>
      <c r="B625" s="17"/>
      <c r="C625" s="18"/>
      <c r="D625" s="18"/>
    </row>
    <row r="626" spans="1:4" ht="12.75">
      <c r="A626" s="3"/>
      <c r="B626" s="17"/>
      <c r="C626" s="18"/>
      <c r="D626" s="18"/>
    </row>
    <row r="627" spans="1:4" ht="12.75">
      <c r="A627" s="3"/>
      <c r="B627" s="17"/>
      <c r="C627" s="18"/>
      <c r="D627" s="18"/>
    </row>
    <row r="628" spans="1:4" ht="12.75">
      <c r="A628" s="3"/>
      <c r="B628" s="17"/>
      <c r="C628" s="18"/>
      <c r="D628" s="18"/>
    </row>
    <row r="629" spans="1:4" ht="12.75">
      <c r="A629" s="3"/>
      <c r="B629" s="17"/>
      <c r="C629" s="18"/>
      <c r="D629" s="18"/>
    </row>
    <row r="630" spans="1:4" ht="12.75">
      <c r="A630" s="3"/>
      <c r="B630" s="17"/>
      <c r="C630" s="18"/>
      <c r="D630" s="18"/>
    </row>
    <row r="631" spans="1:4" ht="12.75">
      <c r="A631" s="3"/>
      <c r="B631" s="17"/>
      <c r="C631" s="18"/>
      <c r="D631" s="18"/>
    </row>
    <row r="632" spans="1:4" ht="12.75">
      <c r="A632" s="3"/>
      <c r="B632" s="17"/>
      <c r="C632" s="18"/>
      <c r="D632" s="18"/>
    </row>
    <row r="633" spans="1:4" ht="12.75">
      <c r="A633" s="3"/>
      <c r="B633" s="17"/>
      <c r="C633" s="18"/>
      <c r="D633" s="18"/>
    </row>
    <row r="634" spans="1:4" ht="12.75">
      <c r="A634" s="3"/>
      <c r="B634" s="17"/>
      <c r="C634" s="18"/>
      <c r="D634" s="18"/>
    </row>
    <row r="635" spans="1:4" ht="12.75">
      <c r="A635" s="3"/>
      <c r="B635" s="17"/>
      <c r="C635" s="18"/>
      <c r="D635" s="18"/>
    </row>
    <row r="636" spans="1:4" ht="12.75">
      <c r="A636" s="3"/>
      <c r="B636" s="17"/>
      <c r="C636" s="18"/>
      <c r="D636" s="18"/>
    </row>
    <row r="637" spans="1:4" ht="12.75">
      <c r="A637" s="3"/>
      <c r="B637" s="17"/>
      <c r="C637" s="18"/>
      <c r="D637" s="18"/>
    </row>
    <row r="638" spans="1:4" ht="12.75">
      <c r="A638" s="3"/>
      <c r="B638" s="17"/>
      <c r="C638" s="18"/>
      <c r="D638" s="18"/>
    </row>
    <row r="639" spans="1:4" ht="12.75">
      <c r="A639" s="3"/>
      <c r="B639" s="17"/>
      <c r="C639" s="18"/>
      <c r="D639" s="18"/>
    </row>
    <row r="640" spans="1:4" ht="12.75">
      <c r="A640" s="3"/>
      <c r="B640" s="17"/>
      <c r="C640" s="18"/>
      <c r="D640" s="18"/>
    </row>
    <row r="641" spans="1:4" ht="12.75">
      <c r="A641" s="3"/>
      <c r="B641" s="17"/>
      <c r="C641" s="18"/>
      <c r="D641" s="18"/>
    </row>
    <row r="642" spans="1:4" ht="12.75">
      <c r="A642" s="3"/>
      <c r="B642" s="17"/>
      <c r="C642" s="18"/>
      <c r="D642" s="18"/>
    </row>
    <row r="643" spans="1:4" ht="12.75">
      <c r="A643" s="3"/>
      <c r="B643" s="17"/>
      <c r="C643" s="18"/>
      <c r="D643" s="18"/>
    </row>
    <row r="644" spans="1:4" ht="12.75">
      <c r="A644" s="3"/>
      <c r="B644" s="17"/>
      <c r="C644" s="18"/>
      <c r="D644" s="18"/>
    </row>
    <row r="645" spans="1:4" ht="12.75">
      <c r="A645" s="3"/>
      <c r="B645" s="17"/>
      <c r="C645" s="18"/>
      <c r="D645" s="18"/>
    </row>
    <row r="646" spans="1:4" ht="12.75">
      <c r="A646" s="3"/>
      <c r="B646" s="17"/>
      <c r="C646" s="18"/>
      <c r="D646" s="18"/>
    </row>
    <row r="647" spans="1:4" ht="12.75">
      <c r="A647" s="3"/>
      <c r="B647" s="17"/>
      <c r="C647" s="18"/>
      <c r="D647" s="18"/>
    </row>
    <row r="648" spans="1:4" ht="12.75">
      <c r="A648" s="3"/>
      <c r="B648" s="17"/>
      <c r="C648" s="18"/>
      <c r="D648" s="18"/>
    </row>
    <row r="649" spans="1:4" ht="12.75">
      <c r="A649" s="3"/>
      <c r="B649" s="17"/>
      <c r="C649" s="18"/>
      <c r="D649" s="18"/>
    </row>
    <row r="650" spans="1:4" ht="12.75">
      <c r="A650" s="3"/>
      <c r="B650" s="17"/>
      <c r="C650" s="18"/>
      <c r="D650" s="18"/>
    </row>
    <row r="651" spans="1:4" ht="12.75">
      <c r="A651" s="3"/>
      <c r="B651" s="17"/>
      <c r="C651" s="18"/>
      <c r="D651" s="18"/>
    </row>
    <row r="652" spans="1:4" ht="12.75">
      <c r="A652" s="3"/>
      <c r="B652" s="17"/>
      <c r="C652" s="18"/>
      <c r="D652" s="18"/>
    </row>
    <row r="653" spans="1:4" ht="12.75">
      <c r="A653" s="3"/>
      <c r="B653" s="17"/>
      <c r="C653" s="18"/>
      <c r="D653" s="18"/>
    </row>
    <row r="654" spans="1:4" ht="12.75">
      <c r="A654" s="3"/>
      <c r="B654" s="17"/>
      <c r="C654" s="18"/>
      <c r="D654" s="18"/>
    </row>
    <row r="655" spans="1:4" ht="12.75">
      <c r="A655" s="3"/>
      <c r="B655" s="17"/>
      <c r="C655" s="18"/>
      <c r="D655" s="18"/>
    </row>
    <row r="656" spans="1:4" ht="12.75">
      <c r="A656" s="3"/>
      <c r="B656" s="17"/>
      <c r="C656" s="18"/>
      <c r="D656" s="18"/>
    </row>
    <row r="657" spans="1:4" ht="12.75">
      <c r="A657" s="3"/>
      <c r="B657" s="17"/>
      <c r="C657" s="18"/>
      <c r="D657" s="18"/>
    </row>
    <row r="658" spans="1:4" ht="12.75">
      <c r="A658" s="3"/>
      <c r="B658" s="17"/>
      <c r="C658" s="18"/>
      <c r="D658" s="18"/>
    </row>
    <row r="659" spans="1:4" ht="12.75">
      <c r="A659" s="3"/>
      <c r="B659" s="17"/>
      <c r="C659" s="18"/>
      <c r="D659" s="18"/>
    </row>
    <row r="660" spans="1:4" ht="12.75">
      <c r="A660" s="3"/>
      <c r="B660" s="17"/>
      <c r="C660" s="18"/>
      <c r="D660" s="18"/>
    </row>
    <row r="661" spans="1:4" ht="12.75">
      <c r="A661" s="3"/>
      <c r="B661" s="17"/>
      <c r="C661" s="18"/>
      <c r="D661" s="18"/>
    </row>
    <row r="662" spans="1:4" ht="12.75">
      <c r="A662" s="3"/>
      <c r="B662" s="17"/>
      <c r="C662" s="18"/>
      <c r="D662" s="18"/>
    </row>
    <row r="663" spans="1:4" ht="12.75">
      <c r="A663" s="3"/>
      <c r="B663" s="17"/>
      <c r="C663" s="18"/>
      <c r="D663" s="18"/>
    </row>
    <row r="664" spans="1:4" ht="12.75">
      <c r="A664" s="3"/>
      <c r="B664" s="17"/>
      <c r="C664" s="18"/>
      <c r="D664" s="18"/>
    </row>
    <row r="665" spans="1:4" ht="12.75">
      <c r="A665" s="3"/>
      <c r="B665" s="17"/>
      <c r="C665" s="18"/>
      <c r="D665" s="18"/>
    </row>
    <row r="666" spans="1:4" ht="12.75">
      <c r="A666" s="3"/>
      <c r="B666" s="17"/>
      <c r="C666" s="18"/>
      <c r="D666" s="18"/>
    </row>
    <row r="667" spans="1:4" ht="12.75">
      <c r="A667" s="3"/>
      <c r="B667" s="17"/>
      <c r="C667" s="18"/>
      <c r="D667" s="18"/>
    </row>
    <row r="668" spans="1:4" ht="12.75">
      <c r="A668" s="3"/>
      <c r="B668" s="17"/>
      <c r="C668" s="18"/>
      <c r="D668" s="18"/>
    </row>
    <row r="669" spans="1:4" ht="12.75">
      <c r="A669" s="3"/>
      <c r="B669" s="17"/>
      <c r="C669" s="18"/>
      <c r="D669" s="18"/>
    </row>
    <row r="670" spans="1:4" ht="12.75">
      <c r="A670" s="3"/>
      <c r="B670" s="17"/>
      <c r="C670" s="18"/>
      <c r="D670" s="18"/>
    </row>
    <row r="671" spans="1:4" ht="12.75">
      <c r="A671" s="3"/>
      <c r="B671" s="17"/>
      <c r="C671" s="18"/>
      <c r="D671" s="18"/>
    </row>
    <row r="672" spans="1:4" ht="12.75">
      <c r="A672" s="3"/>
      <c r="B672" s="17"/>
      <c r="C672" s="18"/>
      <c r="D672" s="18"/>
    </row>
    <row r="673" spans="1:4" ht="12.75">
      <c r="A673" s="3"/>
      <c r="B673" s="17"/>
      <c r="C673" s="18"/>
      <c r="D673" s="18"/>
    </row>
    <row r="674" spans="1:4" ht="12.75">
      <c r="A674" s="3"/>
      <c r="B674" s="17"/>
      <c r="C674" s="18"/>
      <c r="D674" s="18"/>
    </row>
    <row r="675" spans="1:4" ht="12.75">
      <c r="A675" s="3"/>
      <c r="B675" s="17"/>
      <c r="C675" s="18"/>
      <c r="D675" s="18"/>
    </row>
    <row r="676" spans="1:4" ht="12.75">
      <c r="A676" s="3"/>
      <c r="B676" s="17"/>
      <c r="C676" s="18"/>
      <c r="D676" s="18"/>
    </row>
    <row r="677" spans="1:4" ht="12.75">
      <c r="A677" s="3"/>
      <c r="B677" s="17"/>
      <c r="C677" s="18"/>
      <c r="D677" s="18"/>
    </row>
    <row r="678" spans="1:4" ht="12.75">
      <c r="A678" s="3"/>
      <c r="B678" s="17"/>
      <c r="C678" s="18"/>
      <c r="D678" s="18"/>
    </row>
    <row r="679" spans="1:4" ht="12.75">
      <c r="A679" s="3"/>
      <c r="B679" s="17"/>
      <c r="C679" s="18"/>
      <c r="D679" s="18"/>
    </row>
    <row r="680" spans="1:4" ht="12.75">
      <c r="A680" s="3"/>
      <c r="B680" s="17"/>
      <c r="C680" s="18"/>
      <c r="D680" s="18"/>
    </row>
    <row r="681" spans="1:4" ht="12.75">
      <c r="A681" s="3"/>
      <c r="B681" s="17"/>
      <c r="C681" s="18"/>
      <c r="D681" s="18"/>
    </row>
    <row r="682" spans="1:4" ht="12.75">
      <c r="A682" s="3"/>
      <c r="B682" s="17"/>
      <c r="C682" s="18"/>
      <c r="D682" s="18"/>
    </row>
    <row r="683" spans="1:4" ht="12.75">
      <c r="A683" s="3"/>
      <c r="B683" s="17"/>
      <c r="C683" s="18"/>
      <c r="D683" s="18"/>
    </row>
    <row r="684" spans="1:4" ht="12.75">
      <c r="A684" s="3"/>
      <c r="B684" s="17"/>
      <c r="C684" s="18"/>
      <c r="D684" s="18"/>
    </row>
    <row r="685" spans="1:4" ht="12.75">
      <c r="A685" s="3"/>
      <c r="B685" s="17"/>
      <c r="C685" s="18"/>
      <c r="D685" s="18"/>
    </row>
    <row r="686" spans="1:4" ht="12.75">
      <c r="A686" s="3"/>
      <c r="B686" s="17"/>
      <c r="C686" s="18"/>
      <c r="D686" s="18"/>
    </row>
    <row r="687" spans="1:4" ht="12.75">
      <c r="A687" s="3"/>
      <c r="B687" s="17"/>
      <c r="C687" s="18"/>
      <c r="D687" s="18"/>
    </row>
    <row r="688" spans="1:4" ht="12.75">
      <c r="A688" s="3"/>
      <c r="B688" s="17"/>
      <c r="C688" s="18"/>
      <c r="D688" s="18"/>
    </row>
    <row r="689" spans="1:4" ht="12.75">
      <c r="A689" s="3"/>
      <c r="B689" s="17"/>
      <c r="C689" s="18"/>
      <c r="D689" s="18"/>
    </row>
    <row r="690" spans="1:4" ht="12.75">
      <c r="A690" s="3"/>
      <c r="B690" s="17"/>
      <c r="C690" s="18"/>
      <c r="D690" s="18"/>
    </row>
    <row r="691" spans="1:4" ht="12.75">
      <c r="A691" s="3"/>
      <c r="B691" s="17"/>
      <c r="C691" s="18"/>
      <c r="D691" s="18"/>
    </row>
    <row r="692" spans="1:4" ht="12.75">
      <c r="A692" s="3"/>
      <c r="B692" s="17"/>
      <c r="C692" s="18"/>
      <c r="D692" s="18"/>
    </row>
    <row r="693" spans="1:4" ht="12.75">
      <c r="A693" s="3"/>
      <c r="B693" s="17"/>
      <c r="C693" s="18"/>
      <c r="D693" s="18"/>
    </row>
    <row r="694" spans="1:4" ht="12.75">
      <c r="A694" s="3"/>
      <c r="B694" s="17"/>
      <c r="C694" s="18"/>
      <c r="D694" s="18"/>
    </row>
    <row r="695" spans="1:4" ht="12.75">
      <c r="A695" s="3"/>
      <c r="B695" s="17"/>
      <c r="C695" s="18"/>
      <c r="D695" s="18"/>
    </row>
    <row r="696" spans="1:4" ht="12.75">
      <c r="A696" s="3"/>
      <c r="B696" s="17"/>
      <c r="C696" s="18"/>
      <c r="D696" s="18"/>
    </row>
    <row r="697" spans="1:4" ht="12.75">
      <c r="A697" s="3"/>
      <c r="B697" s="17"/>
      <c r="C697" s="18"/>
      <c r="D697" s="18"/>
    </row>
    <row r="698" spans="1:4" ht="12.75">
      <c r="A698" s="3"/>
      <c r="B698" s="17"/>
      <c r="C698" s="18"/>
      <c r="D698" s="18"/>
    </row>
    <row r="699" spans="1:4" ht="12.75">
      <c r="A699" s="3"/>
      <c r="B699" s="17"/>
      <c r="C699" s="18"/>
      <c r="D699" s="18"/>
    </row>
    <row r="700" spans="1:4" ht="12.75">
      <c r="A700" s="3"/>
      <c r="B700" s="17"/>
      <c r="C700" s="18"/>
      <c r="D700" s="18"/>
    </row>
    <row r="701" spans="1:4" ht="12.75">
      <c r="A701" s="3"/>
      <c r="B701" s="17"/>
      <c r="C701" s="18"/>
      <c r="D701" s="18"/>
    </row>
    <row r="702" spans="1:4" ht="12.75">
      <c r="A702" s="3"/>
      <c r="B702" s="17"/>
      <c r="C702" s="18"/>
      <c r="D702" s="18"/>
    </row>
    <row r="703" spans="1:4" ht="12.75">
      <c r="A703" s="3"/>
      <c r="B703" s="17"/>
      <c r="C703" s="18"/>
      <c r="D703" s="18"/>
    </row>
    <row r="704" spans="1:4" ht="12.75">
      <c r="A704" s="3"/>
      <c r="B704" s="17"/>
      <c r="C704" s="18"/>
      <c r="D704" s="18"/>
    </row>
    <row r="705" spans="1:4" ht="12.75">
      <c r="A705" s="3"/>
      <c r="B705" s="17"/>
      <c r="C705" s="18"/>
      <c r="D705" s="18"/>
    </row>
    <row r="706" spans="1:4" ht="12.75">
      <c r="A706" s="3"/>
      <c r="B706" s="17"/>
      <c r="C706" s="18"/>
      <c r="D706" s="18"/>
    </row>
    <row r="707" spans="1:4" ht="12.75">
      <c r="A707" s="3"/>
      <c r="B707" s="17"/>
      <c r="C707" s="18"/>
      <c r="D707" s="18"/>
    </row>
    <row r="708" spans="1:4" ht="12.75">
      <c r="A708" s="3"/>
      <c r="B708" s="17"/>
      <c r="C708" s="18"/>
      <c r="D708" s="18"/>
    </row>
    <row r="709" spans="1:4" ht="12.75">
      <c r="A709" s="3"/>
      <c r="B709" s="17"/>
      <c r="C709" s="18"/>
      <c r="D709" s="18"/>
    </row>
    <row r="710" spans="1:4" ht="12.75">
      <c r="A710" s="3"/>
      <c r="B710" s="17"/>
      <c r="C710" s="18"/>
      <c r="D710" s="18"/>
    </row>
    <row r="711" spans="1:4" ht="12.75">
      <c r="A711" s="3"/>
      <c r="B711" s="17"/>
      <c r="C711" s="18"/>
      <c r="D711" s="18"/>
    </row>
    <row r="712" spans="1:4" ht="12.75">
      <c r="A712" s="3"/>
      <c r="B712" s="17"/>
      <c r="C712" s="18"/>
      <c r="D712" s="18"/>
    </row>
    <row r="713" spans="1:4" ht="12.75">
      <c r="A713" s="3"/>
      <c r="B713" s="17"/>
      <c r="C713" s="18"/>
      <c r="D713" s="18"/>
    </row>
    <row r="714" spans="1:4" ht="12.75">
      <c r="A714" s="3"/>
      <c r="B714" s="17"/>
      <c r="C714" s="18"/>
      <c r="D714" s="18"/>
    </row>
    <row r="715" spans="1:4" ht="12.75">
      <c r="A715" s="3"/>
      <c r="B715" s="17"/>
      <c r="C715" s="18"/>
      <c r="D715" s="18"/>
    </row>
    <row r="716" spans="1:4" ht="12.75">
      <c r="A716" s="3"/>
      <c r="B716" s="17"/>
      <c r="C716" s="18"/>
      <c r="D716" s="18"/>
    </row>
    <row r="717" spans="1:4" ht="12.75">
      <c r="A717" s="3"/>
      <c r="B717" s="17"/>
      <c r="C717" s="18"/>
      <c r="D717" s="18"/>
    </row>
    <row r="718" spans="1:4" ht="12.75">
      <c r="A718" s="3"/>
      <c r="B718" s="17"/>
      <c r="C718" s="18"/>
      <c r="D718" s="18"/>
    </row>
    <row r="719" spans="1:4" ht="12.75">
      <c r="A719" s="3"/>
      <c r="B719" s="17"/>
      <c r="C719" s="18"/>
      <c r="D719" s="18"/>
    </row>
    <row r="720" spans="1:4" ht="12.75">
      <c r="A720" s="3"/>
      <c r="B720" s="17"/>
      <c r="C720" s="18"/>
      <c r="D720" s="18"/>
    </row>
    <row r="721" spans="1:4" ht="12.75">
      <c r="A721" s="3"/>
      <c r="B721" s="17"/>
      <c r="C721" s="18"/>
      <c r="D721" s="18"/>
    </row>
    <row r="722" spans="1:4" ht="12.75">
      <c r="A722" s="3"/>
      <c r="B722" s="17"/>
      <c r="C722" s="18"/>
      <c r="D722" s="18"/>
    </row>
    <row r="723" spans="1:4" ht="12.75">
      <c r="A723" s="3"/>
      <c r="B723" s="17"/>
      <c r="C723" s="18"/>
      <c r="D723" s="18"/>
    </row>
    <row r="724" spans="1:4" ht="12.75">
      <c r="A724" s="3"/>
      <c r="B724" s="17"/>
      <c r="C724" s="18"/>
      <c r="D724" s="18"/>
    </row>
    <row r="725" spans="1:4" ht="12.75">
      <c r="A725" s="3"/>
      <c r="B725" s="17"/>
      <c r="C725" s="18"/>
      <c r="D725" s="18"/>
    </row>
    <row r="726" spans="1:4" ht="12.75">
      <c r="A726" s="3"/>
      <c r="B726" s="17"/>
      <c r="C726" s="18"/>
      <c r="D726" s="18"/>
    </row>
    <row r="727" spans="1:4" ht="12.75">
      <c r="A727" s="3"/>
      <c r="B727" s="17"/>
      <c r="C727" s="18"/>
      <c r="D727" s="18"/>
    </row>
    <row r="728" spans="1:4" ht="12.75">
      <c r="A728" s="3"/>
      <c r="B728" s="17"/>
      <c r="C728" s="18"/>
      <c r="D728" s="18"/>
    </row>
    <row r="729" spans="1:4" ht="12.75">
      <c r="A729" s="3"/>
      <c r="B729" s="17"/>
      <c r="C729" s="18"/>
      <c r="D729" s="18"/>
    </row>
    <row r="730" spans="1:4" ht="12.75">
      <c r="A730" s="3"/>
      <c r="B730" s="17"/>
      <c r="C730" s="18"/>
      <c r="D730" s="18"/>
    </row>
    <row r="731" spans="1:4" ht="12.75">
      <c r="A731" s="3"/>
      <c r="B731" s="17"/>
      <c r="C731" s="18"/>
      <c r="D731" s="18"/>
    </row>
    <row r="732" spans="1:4" ht="12.75">
      <c r="A732" s="3"/>
      <c r="B732" s="17"/>
      <c r="C732" s="18"/>
      <c r="D732" s="18"/>
    </row>
    <row r="733" spans="1:4" ht="12.75">
      <c r="A733" s="3"/>
      <c r="B733" s="17"/>
      <c r="C733" s="18"/>
      <c r="D733" s="18"/>
    </row>
    <row r="734" spans="1:4" ht="12.75">
      <c r="A734" s="3"/>
      <c r="B734" s="17"/>
      <c r="C734" s="18"/>
      <c r="D734" s="18"/>
    </row>
    <row r="735" spans="1:4" ht="12.75">
      <c r="A735" s="3"/>
      <c r="B735" s="17"/>
      <c r="C735" s="18"/>
      <c r="D735" s="18"/>
    </row>
    <row r="736" spans="1:4" ht="12.75">
      <c r="A736" s="3"/>
      <c r="B736" s="17"/>
      <c r="C736" s="18"/>
      <c r="D736" s="18"/>
    </row>
    <row r="737" spans="1:4" ht="12.75">
      <c r="A737" s="3"/>
      <c r="B737" s="17"/>
      <c r="C737" s="18"/>
      <c r="D737" s="18"/>
    </row>
    <row r="738" spans="1:4" ht="12.75">
      <c r="A738" s="3"/>
      <c r="B738" s="17"/>
      <c r="C738" s="18"/>
      <c r="D738" s="18"/>
    </row>
    <row r="739" spans="1:4" ht="12.75">
      <c r="A739" s="3"/>
      <c r="B739" s="17"/>
      <c r="C739" s="18"/>
      <c r="D739" s="18"/>
    </row>
    <row r="740" spans="1:4" ht="12.75">
      <c r="A740" s="3"/>
      <c r="B740" s="17"/>
      <c r="C740" s="18"/>
      <c r="D740" s="18"/>
    </row>
    <row r="741" spans="1:4" ht="12.75">
      <c r="A741" s="3"/>
      <c r="B741" s="17"/>
      <c r="C741" s="18"/>
      <c r="D741" s="18"/>
    </row>
    <row r="742" spans="1:4" ht="12.75">
      <c r="A742" s="3"/>
      <c r="B742" s="17"/>
      <c r="C742" s="18"/>
      <c r="D742" s="18"/>
    </row>
    <row r="743" spans="1:4" ht="12.75">
      <c r="A743" s="3"/>
      <c r="B743" s="17"/>
      <c r="C743" s="18"/>
      <c r="D743" s="18"/>
    </row>
    <row r="744" spans="1:4" ht="12.75">
      <c r="A744" s="3"/>
      <c r="B744" s="17"/>
      <c r="C744" s="18"/>
      <c r="D744" s="18"/>
    </row>
    <row r="745" spans="1:4" ht="12.75">
      <c r="A745" s="3"/>
      <c r="B745" s="17"/>
      <c r="C745" s="18"/>
      <c r="D745" s="18"/>
    </row>
    <row r="746" spans="1:4" ht="12.75">
      <c r="A746" s="3"/>
      <c r="B746" s="17"/>
      <c r="C746" s="18"/>
      <c r="D746" s="18"/>
    </row>
    <row r="747" spans="1:4" ht="12.75">
      <c r="A747" s="3"/>
      <c r="B747" s="17"/>
      <c r="C747" s="18"/>
      <c r="D747" s="18"/>
    </row>
    <row r="748" spans="1:4" ht="12.75">
      <c r="A748" s="3"/>
      <c r="B748" s="17"/>
      <c r="C748" s="18"/>
      <c r="D748" s="18"/>
    </row>
    <row r="749" spans="1:4" ht="12.75">
      <c r="A749" s="3"/>
      <c r="B749" s="17"/>
      <c r="C749" s="18"/>
      <c r="D749" s="18"/>
    </row>
    <row r="750" spans="1:4" ht="12.75">
      <c r="A750" s="3"/>
      <c r="B750" s="17"/>
      <c r="C750" s="18"/>
      <c r="D750" s="18"/>
    </row>
    <row r="751" spans="1:4" ht="12.75">
      <c r="A751" s="3"/>
      <c r="B751" s="17"/>
      <c r="C751" s="18"/>
      <c r="D751" s="18"/>
    </row>
    <row r="752" spans="1:4" ht="12.75">
      <c r="A752" s="3"/>
      <c r="B752" s="17"/>
      <c r="C752" s="18"/>
      <c r="D752" s="18"/>
    </row>
    <row r="753" spans="1:4" ht="12.75">
      <c r="A753" s="3"/>
      <c r="B753" s="17"/>
      <c r="C753" s="18"/>
      <c r="D753" s="18"/>
    </row>
    <row r="754" spans="1:4" ht="12.75">
      <c r="A754" s="3"/>
      <c r="B754" s="17"/>
      <c r="C754" s="18"/>
      <c r="D754" s="18"/>
    </row>
    <row r="755" spans="1:4" ht="12.75">
      <c r="A755" s="3"/>
      <c r="B755" s="17"/>
      <c r="C755" s="18"/>
      <c r="D755" s="18"/>
    </row>
    <row r="756" spans="1:4" ht="12.75">
      <c r="A756" s="3"/>
      <c r="B756" s="17"/>
      <c r="C756" s="18"/>
      <c r="D756" s="18"/>
    </row>
    <row r="757" spans="1:4" ht="12.75">
      <c r="A757" s="3"/>
      <c r="B757" s="17"/>
      <c r="C757" s="18"/>
      <c r="D757" s="18"/>
    </row>
    <row r="758" spans="1:4" ht="12.75">
      <c r="A758" s="3"/>
      <c r="B758" s="17"/>
      <c r="C758" s="18"/>
      <c r="D758" s="18"/>
    </row>
    <row r="759" spans="1:4" ht="12.75">
      <c r="A759" s="3"/>
      <c r="B759" s="17"/>
      <c r="C759" s="18"/>
      <c r="D759" s="18"/>
    </row>
    <row r="760" spans="1:4" ht="12.75">
      <c r="A760" s="3"/>
      <c r="B760" s="17"/>
      <c r="C760" s="18"/>
      <c r="D760" s="18"/>
    </row>
    <row r="761" spans="1:4" ht="12.75">
      <c r="A761" s="3"/>
      <c r="B761" s="17"/>
      <c r="C761" s="18"/>
      <c r="D761" s="18"/>
    </row>
    <row r="762" spans="1:4" ht="12.75">
      <c r="A762" s="3"/>
      <c r="B762" s="17"/>
      <c r="C762" s="18"/>
      <c r="D762" s="18"/>
    </row>
    <row r="763" spans="1:4" ht="12.75">
      <c r="A763" s="3"/>
      <c r="B763" s="17"/>
      <c r="C763" s="18"/>
      <c r="D763" s="18"/>
    </row>
    <row r="764" spans="1:4" ht="12.75">
      <c r="A764" s="3"/>
      <c r="B764" s="17"/>
      <c r="C764" s="18"/>
      <c r="D764" s="18"/>
    </row>
    <row r="765" spans="1:4" ht="12.75">
      <c r="A765" s="3"/>
      <c r="B765" s="17"/>
      <c r="C765" s="18"/>
      <c r="D765" s="18"/>
    </row>
    <row r="766" spans="1:4" ht="12.75">
      <c r="A766" s="3"/>
      <c r="B766" s="17"/>
      <c r="C766" s="18"/>
      <c r="D766" s="18"/>
    </row>
    <row r="767" spans="1:4" ht="12.75">
      <c r="A767" s="3"/>
      <c r="B767" s="17"/>
      <c r="C767" s="18"/>
      <c r="D767" s="18"/>
    </row>
    <row r="768" spans="1:4" ht="12.75">
      <c r="A768" s="3"/>
      <c r="B768" s="17"/>
      <c r="C768" s="18"/>
      <c r="D768" s="18"/>
    </row>
    <row r="769" spans="1:4" ht="12.75">
      <c r="A769" s="3"/>
      <c r="B769" s="17"/>
      <c r="C769" s="18"/>
      <c r="D769" s="18"/>
    </row>
    <row r="770" spans="1:4" ht="12.75">
      <c r="A770" s="3"/>
      <c r="B770" s="17"/>
      <c r="C770" s="18"/>
      <c r="D770" s="18"/>
    </row>
    <row r="771" spans="1:4" ht="12.75">
      <c r="A771" s="3"/>
      <c r="B771" s="17"/>
      <c r="C771" s="18"/>
      <c r="D771" s="18"/>
    </row>
    <row r="772" spans="1:4" ht="12.75">
      <c r="A772" s="3"/>
      <c r="B772" s="17"/>
      <c r="C772" s="18"/>
      <c r="D772" s="18"/>
    </row>
    <row r="773" spans="1:4" ht="12.75">
      <c r="A773" s="3"/>
      <c r="B773" s="17"/>
      <c r="C773" s="18"/>
      <c r="D773" s="18"/>
    </row>
    <row r="774" spans="1:4" ht="12.75">
      <c r="A774" s="3"/>
      <c r="B774" s="17"/>
      <c r="C774" s="18"/>
      <c r="D774" s="18"/>
    </row>
    <row r="775" spans="1:4" ht="12.75">
      <c r="A775" s="3"/>
      <c r="B775" s="17"/>
      <c r="C775" s="18"/>
      <c r="D775" s="18"/>
    </row>
    <row r="776" spans="1:4" ht="12.75">
      <c r="A776" s="3"/>
      <c r="B776" s="17"/>
      <c r="C776" s="18"/>
      <c r="D776" s="18"/>
    </row>
    <row r="777" spans="1:4" ht="12.75">
      <c r="A777" s="3"/>
      <c r="B777" s="17"/>
      <c r="C777" s="18"/>
      <c r="D777" s="18"/>
    </row>
    <row r="778" spans="1:4" ht="12.75">
      <c r="A778" s="3"/>
      <c r="B778" s="17"/>
      <c r="C778" s="18"/>
      <c r="D778" s="18"/>
    </row>
    <row r="779" spans="1:4" ht="12.75">
      <c r="A779" s="3"/>
      <c r="B779" s="17"/>
      <c r="C779" s="18"/>
      <c r="D779" s="18"/>
    </row>
    <row r="780" spans="1:4" ht="12.75">
      <c r="A780" s="3"/>
      <c r="B780" s="17"/>
      <c r="C780" s="18"/>
      <c r="D780" s="18"/>
    </row>
    <row r="781" spans="1:4" ht="12.75">
      <c r="A781" s="3"/>
      <c r="B781" s="17"/>
      <c r="C781" s="18"/>
      <c r="D781" s="18"/>
    </row>
    <row r="782" spans="1:4" ht="12.75">
      <c r="A782" s="3"/>
      <c r="B782" s="17"/>
      <c r="C782" s="18"/>
      <c r="D782" s="18"/>
    </row>
    <row r="783" spans="1:4" ht="12.75">
      <c r="A783" s="3"/>
      <c r="B783" s="17"/>
      <c r="C783" s="18"/>
      <c r="D783" s="18"/>
    </row>
    <row r="784" spans="1:4" ht="12.75">
      <c r="A784" s="3"/>
      <c r="B784" s="17"/>
      <c r="C784" s="18"/>
      <c r="D784" s="18"/>
    </row>
    <row r="785" spans="1:4" ht="12.75">
      <c r="A785" s="3"/>
      <c r="B785" s="17"/>
      <c r="C785" s="18"/>
      <c r="D785" s="18"/>
    </row>
    <row r="786" spans="1:4" ht="12.75">
      <c r="A786" s="3"/>
      <c r="B786" s="17"/>
      <c r="C786" s="18"/>
      <c r="D786" s="18"/>
    </row>
    <row r="787" spans="1:4" ht="12.75">
      <c r="A787" s="3"/>
      <c r="B787" s="17"/>
      <c r="C787" s="18"/>
      <c r="D787" s="18"/>
    </row>
    <row r="788" spans="1:4" ht="12.75">
      <c r="A788" s="3"/>
      <c r="B788" s="17"/>
      <c r="C788" s="18"/>
      <c r="D788" s="18"/>
    </row>
    <row r="789" spans="1:4" ht="12.75">
      <c r="A789" s="3"/>
      <c r="B789" s="17"/>
      <c r="C789" s="18"/>
      <c r="D789" s="18"/>
    </row>
    <row r="790" spans="1:4" ht="12.75">
      <c r="A790" s="3"/>
      <c r="B790" s="17"/>
      <c r="C790" s="18"/>
      <c r="D790" s="18"/>
    </row>
    <row r="791" spans="1:4" ht="12.75">
      <c r="A791" s="3"/>
      <c r="B791" s="17"/>
      <c r="C791" s="18"/>
      <c r="D791" s="18"/>
    </row>
    <row r="792" spans="1:4" ht="12.75">
      <c r="A792" s="3"/>
      <c r="B792" s="17"/>
      <c r="C792" s="18"/>
      <c r="D792" s="18"/>
    </row>
    <row r="793" spans="1:4" ht="12.75">
      <c r="A793" s="3"/>
      <c r="B793" s="17"/>
      <c r="C793" s="18"/>
      <c r="D793" s="18"/>
    </row>
    <row r="794" spans="1:4" ht="12.75">
      <c r="A794" s="3"/>
      <c r="B794" s="17"/>
      <c r="C794" s="18"/>
      <c r="D794" s="18"/>
    </row>
    <row r="795" spans="1:4" ht="12.75">
      <c r="A795" s="3"/>
      <c r="B795" s="17"/>
      <c r="C795" s="18"/>
      <c r="D795" s="18"/>
    </row>
    <row r="796" spans="1:4" ht="12.75">
      <c r="A796" s="3"/>
      <c r="B796" s="17"/>
      <c r="C796" s="18"/>
      <c r="D796" s="18"/>
    </row>
    <row r="797" spans="1:4" ht="12.75">
      <c r="A797" s="3"/>
      <c r="B797" s="17"/>
      <c r="C797" s="18"/>
      <c r="D797" s="18"/>
    </row>
    <row r="798" spans="1:4" ht="12.75">
      <c r="A798" s="3"/>
      <c r="B798" s="17"/>
      <c r="C798" s="18"/>
      <c r="D798" s="18"/>
    </row>
    <row r="799" spans="1:4" ht="12.75">
      <c r="A799" s="3"/>
      <c r="B799" s="17"/>
      <c r="C799" s="18"/>
      <c r="D799" s="18"/>
    </row>
    <row r="800" spans="1:4" ht="12.75">
      <c r="A800" s="3"/>
      <c r="B800" s="17"/>
      <c r="C800" s="18"/>
      <c r="D800" s="18"/>
    </row>
    <row r="801" spans="1:4" ht="12.75">
      <c r="A801" s="3"/>
      <c r="B801" s="17"/>
      <c r="C801" s="18"/>
      <c r="D801" s="18"/>
    </row>
    <row r="802" spans="1:4" ht="12.75">
      <c r="A802" s="3"/>
      <c r="B802" s="17"/>
      <c r="C802" s="18"/>
      <c r="D802" s="18"/>
    </row>
    <row r="803" spans="1:4" ht="12.75">
      <c r="A803" s="3"/>
      <c r="B803" s="17"/>
      <c r="C803" s="18"/>
      <c r="D803" s="18"/>
    </row>
    <row r="804" spans="1:4" ht="12.75">
      <c r="A804" s="3"/>
      <c r="B804" s="17"/>
      <c r="C804" s="18"/>
      <c r="D804" s="18"/>
    </row>
    <row r="805" spans="1:4" ht="12.75">
      <c r="A805" s="3"/>
      <c r="B805" s="17"/>
      <c r="C805" s="18"/>
      <c r="D805" s="18"/>
    </row>
    <row r="806" spans="1:4" ht="12.75">
      <c r="A806" s="3"/>
      <c r="B806" s="17"/>
      <c r="C806" s="18"/>
      <c r="D806" s="18"/>
    </row>
    <row r="807" spans="1:4" ht="12.75">
      <c r="A807" s="3"/>
      <c r="B807" s="17"/>
      <c r="C807" s="18"/>
      <c r="D807" s="18"/>
    </row>
    <row r="808" spans="1:4" ht="12.75">
      <c r="A808" s="3"/>
      <c r="B808" s="17"/>
      <c r="C808" s="18"/>
      <c r="D808" s="18"/>
    </row>
    <row r="809" spans="1:4" ht="12.75">
      <c r="A809" s="3"/>
      <c r="B809" s="17"/>
      <c r="C809" s="18"/>
      <c r="D809" s="18"/>
    </row>
    <row r="810" spans="1:4" ht="12.75">
      <c r="A810" s="3"/>
      <c r="B810" s="17"/>
      <c r="C810" s="18"/>
      <c r="D810" s="18"/>
    </row>
    <row r="811" spans="1:4" ht="12.75">
      <c r="A811" s="3"/>
      <c r="B811" s="17"/>
      <c r="C811" s="18"/>
      <c r="D811" s="18"/>
    </row>
    <row r="812" spans="1:4" ht="12.75">
      <c r="A812" s="3"/>
      <c r="B812" s="17"/>
      <c r="C812" s="18"/>
      <c r="D812" s="18"/>
    </row>
    <row r="813" spans="1:4" ht="12.75">
      <c r="A813" s="3"/>
      <c r="B813" s="17"/>
      <c r="C813" s="18"/>
      <c r="D813" s="18"/>
    </row>
    <row r="814" spans="1:4" ht="12.75">
      <c r="A814" s="3"/>
      <c r="B814" s="17"/>
      <c r="C814" s="18"/>
      <c r="D814" s="18"/>
    </row>
    <row r="815" spans="1:4" ht="12.75">
      <c r="A815" s="3"/>
      <c r="B815" s="17"/>
      <c r="C815" s="18"/>
      <c r="D815" s="18"/>
    </row>
    <row r="816" spans="1:4" ht="12.75">
      <c r="A816" s="3"/>
      <c r="B816" s="17"/>
      <c r="C816" s="18"/>
      <c r="D816" s="18"/>
    </row>
    <row r="817" spans="1:4" ht="12.75">
      <c r="A817" s="3"/>
      <c r="B817" s="17"/>
      <c r="C817" s="18"/>
      <c r="D817" s="18"/>
    </row>
    <row r="818" spans="1:4" ht="12.75">
      <c r="A818" s="3"/>
      <c r="B818" s="17"/>
      <c r="C818" s="18"/>
      <c r="D818" s="18"/>
    </row>
    <row r="819" spans="1:4" ht="12.75">
      <c r="A819" s="3"/>
      <c r="B819" s="17"/>
      <c r="C819" s="18"/>
      <c r="D819" s="18"/>
    </row>
    <row r="820" spans="1:4" ht="12.75">
      <c r="A820" s="3"/>
      <c r="B820" s="17"/>
      <c r="C820" s="18"/>
      <c r="D820" s="18"/>
    </row>
    <row r="821" spans="1:4" ht="12.75">
      <c r="A821" s="3"/>
      <c r="B821" s="17"/>
      <c r="C821" s="18"/>
      <c r="D821" s="18"/>
    </row>
    <row r="822" spans="1:4" ht="12.75">
      <c r="A822" s="3"/>
      <c r="B822" s="17"/>
      <c r="C822" s="18"/>
      <c r="D822" s="18"/>
    </row>
    <row r="823" spans="1:4" ht="12.75">
      <c r="A823" s="3"/>
      <c r="B823" s="17"/>
      <c r="C823" s="18"/>
      <c r="D823" s="18"/>
    </row>
    <row r="824" spans="1:4" ht="12.75">
      <c r="A824" s="3"/>
      <c r="B824" s="17"/>
      <c r="C824" s="18"/>
      <c r="D824" s="18"/>
    </row>
    <row r="825" spans="1:4" ht="12.75">
      <c r="A825" s="3"/>
      <c r="B825" s="17"/>
      <c r="C825" s="18"/>
      <c r="D825" s="18"/>
    </row>
    <row r="826" spans="1:4" ht="12.75">
      <c r="A826" s="3"/>
      <c r="B826" s="17"/>
      <c r="C826" s="18"/>
      <c r="D826" s="18"/>
    </row>
    <row r="827" spans="1:4" ht="12.75">
      <c r="A827" s="3"/>
      <c r="B827" s="17"/>
      <c r="C827" s="18"/>
      <c r="D827" s="18"/>
    </row>
    <row r="828" spans="1:4" ht="12.75">
      <c r="A828" s="3"/>
      <c r="B828" s="17"/>
      <c r="C828" s="18"/>
      <c r="D828" s="18"/>
    </row>
    <row r="829" spans="1:4" ht="12.75">
      <c r="A829" s="3"/>
      <c r="B829" s="17"/>
      <c r="C829" s="18"/>
      <c r="D829" s="18"/>
    </row>
    <row r="830" spans="1:4" ht="12.75">
      <c r="A830" s="3"/>
      <c r="B830" s="17"/>
      <c r="C830" s="18"/>
      <c r="D830" s="18"/>
    </row>
    <row r="831" spans="1:4" ht="12.75">
      <c r="A831" s="3"/>
      <c r="B831" s="17"/>
      <c r="C831" s="18"/>
      <c r="D831" s="18"/>
    </row>
    <row r="832" spans="1:4" ht="12.75">
      <c r="A832" s="3"/>
      <c r="B832" s="17"/>
      <c r="C832" s="18"/>
      <c r="D832" s="18"/>
    </row>
    <row r="833" spans="1:4" ht="12.75">
      <c r="A833" s="3"/>
      <c r="B833" s="17"/>
      <c r="C833" s="18"/>
      <c r="D833" s="18"/>
    </row>
    <row r="834" spans="1:4" ht="12.75">
      <c r="A834" s="3"/>
      <c r="B834" s="17"/>
      <c r="C834" s="18"/>
      <c r="D834" s="18"/>
    </row>
    <row r="835" spans="1:4" ht="12.75">
      <c r="A835" s="3"/>
      <c r="B835" s="17"/>
      <c r="C835" s="18"/>
      <c r="D835" s="18"/>
    </row>
    <row r="836" spans="1:4" ht="12.75">
      <c r="A836" s="3"/>
      <c r="B836" s="17"/>
      <c r="C836" s="18"/>
      <c r="D836" s="18"/>
    </row>
    <row r="837" spans="1:4" ht="12.75">
      <c r="A837" s="3"/>
      <c r="B837" s="17"/>
      <c r="C837" s="18"/>
      <c r="D837" s="18"/>
    </row>
    <row r="838" spans="1:4" ht="12.75">
      <c r="A838" s="3"/>
      <c r="B838" s="17"/>
      <c r="C838" s="18"/>
      <c r="D838" s="18"/>
    </row>
    <row r="839" spans="1:4" ht="12.75">
      <c r="A839" s="3"/>
      <c r="B839" s="17"/>
      <c r="C839" s="18"/>
      <c r="D839" s="18"/>
    </row>
    <row r="840" spans="1:4" ht="12.75">
      <c r="A840" s="3"/>
      <c r="B840" s="17"/>
      <c r="C840" s="18"/>
      <c r="D840" s="18"/>
    </row>
    <row r="841" spans="1:4" ht="12.75">
      <c r="A841" s="3"/>
      <c r="B841" s="17"/>
      <c r="C841" s="18"/>
      <c r="D841" s="18"/>
    </row>
    <row r="842" spans="1:4" ht="12.75">
      <c r="A842" s="3"/>
      <c r="B842" s="17"/>
      <c r="C842" s="18"/>
      <c r="D842" s="18"/>
    </row>
    <row r="843" spans="1:4" ht="12.75">
      <c r="A843" s="3"/>
      <c r="B843" s="17"/>
      <c r="C843" s="18"/>
      <c r="D843" s="18"/>
    </row>
    <row r="844" spans="1:4" ht="12.75">
      <c r="A844" s="3"/>
      <c r="B844" s="17"/>
      <c r="C844" s="18"/>
      <c r="D844" s="18"/>
    </row>
    <row r="845" spans="1:4" ht="12.75">
      <c r="A845" s="3"/>
      <c r="B845" s="17"/>
      <c r="C845" s="18"/>
      <c r="D845" s="18"/>
    </row>
    <row r="846" spans="1:4" ht="12.75">
      <c r="A846" s="3"/>
      <c r="B846" s="17"/>
      <c r="C846" s="18"/>
      <c r="D846" s="18"/>
    </row>
    <row r="847" spans="1:4" ht="12.75">
      <c r="A847" s="3"/>
      <c r="B847" s="17"/>
      <c r="C847" s="18"/>
      <c r="D847" s="18"/>
    </row>
    <row r="848" spans="1:4" ht="12.75">
      <c r="A848" s="3"/>
      <c r="B848" s="17"/>
      <c r="C848" s="18"/>
      <c r="D848" s="18"/>
    </row>
    <row r="849" spans="1:4" ht="12.75">
      <c r="A849" s="3"/>
      <c r="B849" s="17"/>
      <c r="C849" s="18"/>
      <c r="D849" s="18"/>
    </row>
    <row r="850" spans="1:4" ht="12.75">
      <c r="A850" s="3"/>
      <c r="B850" s="17"/>
      <c r="C850" s="18"/>
      <c r="D850" s="18"/>
    </row>
    <row r="851" spans="1:4" ht="12.75">
      <c r="A851" s="3"/>
      <c r="B851" s="17"/>
      <c r="C851" s="18"/>
      <c r="D851" s="18"/>
    </row>
    <row r="852" spans="1:4" ht="12.75">
      <c r="A852" s="3"/>
      <c r="B852" s="17"/>
      <c r="C852" s="18"/>
      <c r="D852" s="18"/>
    </row>
    <row r="853" spans="1:4" ht="12.75">
      <c r="A853" s="3"/>
      <c r="B853" s="17"/>
      <c r="C853" s="18"/>
      <c r="D853" s="18"/>
    </row>
    <row r="854" spans="1:4" ht="12.75">
      <c r="A854" s="3"/>
      <c r="B854" s="17"/>
      <c r="C854" s="18"/>
      <c r="D854" s="18"/>
    </row>
    <row r="855" spans="1:4" ht="12.75">
      <c r="A855" s="3"/>
      <c r="B855" s="17"/>
      <c r="C855" s="18"/>
      <c r="D855" s="18"/>
    </row>
    <row r="856" spans="1:4" ht="12.75">
      <c r="A856" s="3"/>
      <c r="B856" s="17"/>
      <c r="C856" s="18"/>
      <c r="D856" s="18"/>
    </row>
    <row r="857" spans="1:4" ht="12.75">
      <c r="A857" s="3"/>
      <c r="B857" s="17"/>
      <c r="C857" s="18"/>
      <c r="D857" s="18"/>
    </row>
    <row r="858" spans="1:4" ht="12.75">
      <c r="A858" s="3"/>
      <c r="B858" s="17"/>
      <c r="C858" s="18"/>
      <c r="D858" s="18"/>
    </row>
    <row r="859" spans="1:4" ht="12.75">
      <c r="A859" s="3"/>
      <c r="B859" s="17"/>
      <c r="C859" s="18"/>
      <c r="D859" s="18"/>
    </row>
    <row r="860" spans="1:4" ht="12.75">
      <c r="A860" s="3"/>
      <c r="B860" s="17"/>
      <c r="C860" s="18"/>
      <c r="D860" s="18"/>
    </row>
    <row r="861" spans="1:4" ht="12.75">
      <c r="A861" s="3"/>
      <c r="B861" s="17"/>
      <c r="C861" s="18"/>
      <c r="D861" s="18"/>
    </row>
    <row r="862" spans="1:4" ht="12.75">
      <c r="A862" s="3"/>
      <c r="B862" s="17"/>
      <c r="C862" s="18"/>
      <c r="D862" s="18"/>
    </row>
    <row r="863" spans="1:4" ht="12.75">
      <c r="A863" s="3"/>
      <c r="B863" s="17"/>
      <c r="C863" s="18"/>
      <c r="D863" s="18"/>
    </row>
    <row r="864" spans="1:4" ht="12.75">
      <c r="A864" s="3"/>
      <c r="B864" s="17"/>
      <c r="C864" s="18"/>
      <c r="D864" s="18"/>
    </row>
    <row r="865" spans="1:4" ht="12.75">
      <c r="A865" s="3"/>
      <c r="B865" s="17"/>
      <c r="C865" s="18"/>
      <c r="D865" s="18"/>
    </row>
    <row r="866" spans="1:4" ht="12.75">
      <c r="A866" s="3"/>
      <c r="B866" s="17"/>
      <c r="C866" s="18"/>
      <c r="D866" s="18"/>
    </row>
    <row r="867" spans="1:4" ht="12.75">
      <c r="A867" s="3"/>
      <c r="B867" s="17"/>
      <c r="C867" s="18"/>
      <c r="D867" s="18"/>
    </row>
    <row r="868" spans="1:4" ht="12.75">
      <c r="A868" s="3"/>
      <c r="B868" s="17"/>
      <c r="C868" s="18"/>
      <c r="D868" s="18"/>
    </row>
    <row r="869" spans="1:4" ht="12.75">
      <c r="A869" s="3"/>
      <c r="B869" s="17"/>
      <c r="C869" s="18"/>
      <c r="D869" s="18"/>
    </row>
    <row r="870" spans="1:4" ht="12.75">
      <c r="A870" s="3"/>
      <c r="B870" s="17"/>
      <c r="C870" s="18"/>
      <c r="D870" s="18"/>
    </row>
    <row r="871" spans="1:4" ht="12.75">
      <c r="A871" s="3"/>
      <c r="B871" s="17"/>
      <c r="C871" s="18"/>
      <c r="D871" s="18"/>
    </row>
    <row r="872" spans="1:4" ht="12.75">
      <c r="A872" s="3"/>
      <c r="B872" s="17"/>
      <c r="C872" s="18"/>
      <c r="D872" s="18"/>
    </row>
    <row r="873" spans="1:4" ht="12.75">
      <c r="A873" s="3"/>
      <c r="B873" s="17"/>
      <c r="C873" s="18"/>
      <c r="D873" s="18"/>
    </row>
    <row r="874" spans="1:4" ht="12.75">
      <c r="A874" s="3"/>
      <c r="B874" s="17"/>
      <c r="C874" s="18"/>
      <c r="D874" s="18"/>
    </row>
    <row r="875" spans="1:4" ht="12.75">
      <c r="A875" s="3"/>
      <c r="B875" s="17"/>
      <c r="C875" s="18"/>
      <c r="D875" s="18"/>
    </row>
    <row r="876" spans="1:4" ht="12.75">
      <c r="A876" s="3"/>
      <c r="B876" s="17"/>
      <c r="C876" s="18"/>
      <c r="D876" s="18"/>
    </row>
    <row r="877" spans="1:4" ht="12.75">
      <c r="A877" s="3"/>
      <c r="B877" s="17"/>
      <c r="C877" s="18"/>
      <c r="D877" s="18"/>
    </row>
    <row r="878" spans="1:4" ht="12.75">
      <c r="A878" s="3"/>
      <c r="B878" s="17"/>
      <c r="C878" s="18"/>
      <c r="D878" s="18"/>
    </row>
    <row r="879" spans="1:4" ht="12.75">
      <c r="A879" s="3"/>
      <c r="B879" s="17"/>
      <c r="C879" s="18"/>
      <c r="D879" s="18"/>
    </row>
    <row r="880" spans="1:4" ht="12.75">
      <c r="A880" s="3"/>
      <c r="B880" s="17"/>
      <c r="C880" s="18"/>
      <c r="D880" s="18"/>
    </row>
    <row r="881" spans="1:4" ht="12.75">
      <c r="A881" s="3"/>
      <c r="B881" s="17"/>
      <c r="C881" s="18"/>
      <c r="D881" s="18"/>
    </row>
    <row r="882" spans="1:4" ht="12.75">
      <c r="A882" s="3"/>
      <c r="B882" s="17"/>
      <c r="C882" s="18"/>
      <c r="D882" s="18"/>
    </row>
    <row r="883" spans="1:4" ht="12.75">
      <c r="A883" s="3"/>
      <c r="B883" s="17"/>
      <c r="C883" s="18"/>
      <c r="D883" s="18"/>
    </row>
    <row r="884" spans="1:4" ht="12.75">
      <c r="A884" s="3"/>
      <c r="B884" s="17"/>
      <c r="C884" s="18"/>
      <c r="D884" s="18"/>
    </row>
    <row r="885" spans="1:4" ht="12.75">
      <c r="A885" s="3"/>
      <c r="B885" s="17"/>
      <c r="C885" s="18"/>
      <c r="D885" s="18"/>
    </row>
    <row r="886" spans="1:4" ht="12.75">
      <c r="A886" s="3"/>
      <c r="B886" s="17"/>
      <c r="C886" s="18"/>
      <c r="D886" s="18"/>
    </row>
    <row r="887" spans="1:4" ht="12.75">
      <c r="A887" s="3"/>
      <c r="B887" s="17"/>
      <c r="C887" s="18"/>
      <c r="D887" s="18"/>
    </row>
    <row r="888" spans="1:4" ht="12.75">
      <c r="A888" s="3"/>
      <c r="B888" s="17"/>
      <c r="C888" s="18"/>
      <c r="D888" s="18"/>
    </row>
    <row r="889" spans="1:4" ht="12.75">
      <c r="A889" s="3"/>
      <c r="B889" s="17"/>
      <c r="C889" s="18"/>
      <c r="D889" s="18"/>
    </row>
    <row r="890" spans="1:4" ht="12.75">
      <c r="A890" s="3"/>
      <c r="B890" s="17"/>
      <c r="C890" s="18"/>
      <c r="D890" s="18"/>
    </row>
    <row r="891" spans="1:4" ht="12.75">
      <c r="A891" s="3"/>
      <c r="B891" s="17"/>
      <c r="C891" s="18"/>
      <c r="D891" s="18"/>
    </row>
    <row r="892" spans="1:4" ht="12.75">
      <c r="A892" s="3"/>
      <c r="B892" s="17"/>
      <c r="C892" s="18"/>
      <c r="D892" s="18"/>
    </row>
    <row r="893" spans="1:4" ht="12.75">
      <c r="A893" s="3"/>
      <c r="B893" s="17"/>
      <c r="C893" s="18"/>
      <c r="D893" s="18"/>
    </row>
    <row r="894" spans="1:4" ht="12.75">
      <c r="A894" s="3"/>
      <c r="B894" s="17"/>
      <c r="C894" s="18"/>
      <c r="D894" s="18"/>
    </row>
    <row r="895" spans="1:4" ht="12.75">
      <c r="A895" s="3"/>
      <c r="B895" s="17"/>
      <c r="C895" s="18"/>
      <c r="D895" s="18"/>
    </row>
    <row r="896" spans="1:4" ht="12.75">
      <c r="A896" s="3"/>
      <c r="B896" s="17"/>
      <c r="C896" s="18"/>
      <c r="D896" s="18"/>
    </row>
    <row r="897" spans="1:4" ht="12.75">
      <c r="A897" s="3"/>
      <c r="B897" s="17"/>
      <c r="C897" s="18"/>
      <c r="D897" s="18"/>
    </row>
    <row r="898" spans="1:4" ht="12.75">
      <c r="A898" s="3"/>
      <c r="B898" s="17"/>
      <c r="C898" s="18"/>
      <c r="D898" s="18"/>
    </row>
    <row r="899" spans="1:4" ht="12.75">
      <c r="A899" s="3"/>
      <c r="B899" s="17"/>
      <c r="C899" s="18"/>
      <c r="D899" s="18"/>
    </row>
    <row r="900" spans="1:4" ht="12.75">
      <c r="A900" s="3"/>
      <c r="B900" s="17"/>
      <c r="C900" s="18"/>
      <c r="D900" s="18"/>
    </row>
    <row r="901" spans="1:4" ht="12.75">
      <c r="A901" s="3"/>
      <c r="B901" s="17"/>
      <c r="C901" s="18"/>
      <c r="D901" s="18"/>
    </row>
    <row r="902" spans="1:4" ht="12.75">
      <c r="A902" s="3"/>
      <c r="B902" s="17"/>
      <c r="C902" s="18"/>
      <c r="D902" s="18"/>
    </row>
    <row r="903" spans="1:4" ht="12.75">
      <c r="A903" s="3"/>
      <c r="B903" s="17"/>
      <c r="C903" s="18"/>
      <c r="D903" s="18"/>
    </row>
    <row r="904" spans="1:4" ht="12.75">
      <c r="A904" s="3"/>
      <c r="B904" s="17"/>
      <c r="C904" s="18"/>
      <c r="D904" s="18"/>
    </row>
    <row r="905" spans="1:4" ht="12.75">
      <c r="A905" s="3"/>
      <c r="B905" s="17"/>
      <c r="C905" s="18"/>
      <c r="D905" s="18"/>
    </row>
    <row r="906" spans="1:4" ht="12.75">
      <c r="A906" s="3"/>
      <c r="B906" s="17"/>
      <c r="C906" s="18"/>
      <c r="D906" s="18"/>
    </row>
    <row r="907" spans="1:4" ht="12.75">
      <c r="A907" s="3"/>
      <c r="B907" s="17"/>
      <c r="C907" s="18"/>
      <c r="D907" s="18"/>
    </row>
    <row r="908" spans="1:4" ht="12.75">
      <c r="A908" s="3"/>
      <c r="B908" s="17"/>
      <c r="C908" s="18"/>
      <c r="D908" s="18"/>
    </row>
    <row r="909" spans="1:4" ht="12.75">
      <c r="A909" s="3"/>
      <c r="B909" s="17"/>
      <c r="C909" s="18"/>
      <c r="D909" s="18"/>
    </row>
    <row r="910" spans="1:4" ht="12.75">
      <c r="A910" s="3"/>
      <c r="B910" s="17"/>
      <c r="C910" s="18"/>
      <c r="D910" s="18"/>
    </row>
    <row r="911" spans="1:4" ht="12.75">
      <c r="A911" s="3"/>
      <c r="B911" s="17"/>
      <c r="C911" s="18"/>
      <c r="D911" s="18"/>
    </row>
    <row r="912" spans="1:4" ht="12.75">
      <c r="A912" s="3"/>
      <c r="B912" s="17"/>
      <c r="C912" s="18"/>
      <c r="D912" s="18"/>
    </row>
    <row r="913" spans="1:4" ht="12.75">
      <c r="A913" s="3"/>
      <c r="B913" s="17"/>
      <c r="C913" s="18"/>
      <c r="D913" s="18"/>
    </row>
    <row r="914" spans="1:4" ht="12.75">
      <c r="A914" s="3"/>
      <c r="B914" s="17"/>
      <c r="C914" s="18"/>
      <c r="D914" s="18"/>
    </row>
    <row r="915" spans="1:4" ht="12.75">
      <c r="A915" s="3"/>
      <c r="B915" s="17"/>
      <c r="C915" s="18"/>
      <c r="D915" s="18"/>
    </row>
    <row r="916" spans="1:4" ht="12.75">
      <c r="A916" s="3"/>
      <c r="B916" s="17"/>
      <c r="C916" s="18"/>
      <c r="D916" s="18"/>
    </row>
    <row r="917" spans="1:4" ht="12.75">
      <c r="A917" s="3"/>
      <c r="B917" s="17"/>
      <c r="C917" s="18"/>
      <c r="D917" s="18"/>
    </row>
    <row r="918" spans="1:4" ht="12.75">
      <c r="A918" s="3"/>
      <c r="B918" s="17"/>
      <c r="C918" s="18"/>
      <c r="D918" s="18"/>
    </row>
    <row r="919" spans="1:4" ht="12.75">
      <c r="A919" s="3"/>
      <c r="B919" s="17"/>
      <c r="C919" s="18"/>
      <c r="D919" s="18"/>
    </row>
    <row r="920" spans="1:4" ht="12.75">
      <c r="A920" s="3"/>
      <c r="B920" s="17"/>
      <c r="C920" s="18"/>
      <c r="D920" s="18"/>
    </row>
    <row r="921" spans="1:4" ht="12.75">
      <c r="A921" s="3"/>
      <c r="B921" s="17"/>
      <c r="C921" s="18"/>
      <c r="D921" s="18"/>
    </row>
    <row r="922" spans="1:4" ht="12.75">
      <c r="A922" s="3"/>
      <c r="B922" s="17"/>
      <c r="C922" s="18"/>
      <c r="D922" s="18"/>
    </row>
    <row r="923" spans="1:4" ht="12.75">
      <c r="A923" s="3"/>
      <c r="B923" s="17"/>
      <c r="C923" s="18"/>
      <c r="D923" s="18"/>
    </row>
    <row r="924" spans="1:4" ht="12.75">
      <c r="A924" s="3"/>
      <c r="B924" s="17"/>
      <c r="C924" s="18"/>
      <c r="D924" s="18"/>
    </row>
    <row r="925" spans="1:4" ht="12.75">
      <c r="A925" s="3"/>
      <c r="B925" s="17"/>
      <c r="C925" s="18"/>
      <c r="D925" s="18"/>
    </row>
    <row r="926" spans="1:4" ht="12.75">
      <c r="A926" s="3"/>
      <c r="B926" s="17"/>
      <c r="C926" s="18"/>
      <c r="D926" s="18"/>
    </row>
    <row r="927" spans="1:4" ht="12.75">
      <c r="A927" s="3"/>
      <c r="B927" s="17"/>
      <c r="C927" s="18"/>
      <c r="D927" s="18"/>
    </row>
    <row r="928" spans="1:4" ht="12.75">
      <c r="A928" s="3"/>
      <c r="B928" s="17"/>
      <c r="C928" s="18"/>
      <c r="D928" s="18"/>
    </row>
    <row r="929" spans="1:4" ht="12.75">
      <c r="A929" s="3"/>
      <c r="B929" s="17"/>
      <c r="C929" s="18"/>
      <c r="D929" s="18"/>
    </row>
    <row r="930" spans="1:4" ht="12.75">
      <c r="A930" s="3"/>
      <c r="B930" s="17"/>
      <c r="C930" s="18"/>
      <c r="D930" s="18"/>
    </row>
    <row r="931" spans="1:4" ht="12.75">
      <c r="A931" s="3"/>
      <c r="B931" s="17"/>
      <c r="C931" s="18"/>
      <c r="D931" s="18"/>
    </row>
    <row r="932" spans="1:4" ht="12.75">
      <c r="A932" s="3"/>
      <c r="B932" s="17"/>
      <c r="C932" s="18"/>
      <c r="D932" s="18"/>
    </row>
    <row r="933" spans="1:4" ht="12.75">
      <c r="A933" s="3"/>
      <c r="B933" s="17"/>
      <c r="C933" s="18"/>
      <c r="D933" s="18"/>
    </row>
    <row r="934" spans="1:4" ht="12.75">
      <c r="A934" s="3"/>
      <c r="B934" s="17"/>
      <c r="C934" s="18"/>
      <c r="D934" s="18"/>
    </row>
    <row r="935" spans="1:4" ht="12.75">
      <c r="A935" s="3"/>
      <c r="B935" s="17"/>
      <c r="C935" s="18"/>
      <c r="D935" s="18"/>
    </row>
    <row r="936" spans="1:4" ht="12.75">
      <c r="A936" s="3"/>
      <c r="B936" s="17"/>
      <c r="C936" s="18"/>
      <c r="D936" s="18"/>
    </row>
    <row r="937" spans="1:4" ht="12.75">
      <c r="A937" s="3"/>
      <c r="B937" s="17"/>
      <c r="C937" s="18"/>
      <c r="D937" s="18"/>
    </row>
    <row r="938" spans="1:4" ht="12.75">
      <c r="A938" s="3"/>
      <c r="B938" s="17"/>
      <c r="C938" s="18"/>
      <c r="D938" s="18"/>
    </row>
    <row r="939" spans="1:4" ht="12.75">
      <c r="A939" s="3"/>
      <c r="B939" s="17"/>
      <c r="C939" s="18"/>
      <c r="D939" s="18"/>
    </row>
    <row r="940" spans="1:4" ht="12.75">
      <c r="A940" s="3"/>
      <c r="B940" s="17"/>
      <c r="C940" s="18"/>
      <c r="D940" s="18"/>
    </row>
    <row r="941" spans="1:4" ht="12.75">
      <c r="A941" s="3"/>
      <c r="B941" s="17"/>
      <c r="C941" s="18"/>
      <c r="D941" s="18"/>
    </row>
    <row r="942" spans="1:4" ht="12.75">
      <c r="A942" s="3"/>
      <c r="B942" s="17"/>
      <c r="C942" s="18"/>
      <c r="D942" s="18"/>
    </row>
    <row r="943" spans="1:4" ht="12.75">
      <c r="A943" s="3"/>
      <c r="B943" s="17"/>
      <c r="C943" s="18"/>
      <c r="D943" s="18"/>
    </row>
    <row r="944" spans="1:4" ht="12.75">
      <c r="A944" s="3"/>
      <c r="B944" s="17"/>
      <c r="C944" s="18"/>
      <c r="D944" s="18"/>
    </row>
    <row r="945" spans="1:4" ht="12.75">
      <c r="A945" s="3"/>
      <c r="B945" s="17"/>
      <c r="C945" s="18"/>
      <c r="D945" s="18"/>
    </row>
    <row r="946" spans="1:4" ht="12.75">
      <c r="A946" s="3"/>
      <c r="B946" s="17"/>
      <c r="C946" s="18"/>
      <c r="D946" s="18"/>
    </row>
    <row r="947" spans="1:4" ht="12.75">
      <c r="A947" s="3"/>
      <c r="B947" s="17"/>
      <c r="C947" s="18"/>
      <c r="D947" s="18"/>
    </row>
    <row r="948" spans="1:4" ht="12.75">
      <c r="A948" s="3"/>
      <c r="B948" s="17"/>
      <c r="C948" s="18"/>
      <c r="D948" s="18"/>
    </row>
    <row r="949" spans="1:4" ht="12.75">
      <c r="A949" s="3"/>
      <c r="B949" s="17"/>
      <c r="C949" s="18"/>
      <c r="D949" s="18"/>
    </row>
    <row r="950" spans="1:4" ht="12.75">
      <c r="A950" s="3"/>
      <c r="B950" s="17"/>
      <c r="C950" s="18"/>
      <c r="D950" s="18"/>
    </row>
    <row r="951" spans="1:4" ht="12.75">
      <c r="A951" s="3"/>
      <c r="B951" s="17"/>
      <c r="C951" s="18"/>
      <c r="D951" s="18"/>
    </row>
    <row r="952" spans="1:4" ht="12.75">
      <c r="A952" s="3"/>
      <c r="B952" s="17"/>
      <c r="C952" s="18"/>
      <c r="D952" s="18"/>
    </row>
    <row r="953" spans="1:4" ht="12.75">
      <c r="A953" s="3"/>
      <c r="B953" s="17"/>
      <c r="C953" s="18"/>
      <c r="D953" s="18"/>
    </row>
    <row r="954" spans="1:4" ht="12.75">
      <c r="A954" s="3"/>
      <c r="B954" s="17"/>
      <c r="C954" s="18"/>
      <c r="D954" s="18"/>
    </row>
    <row r="955" spans="1:4" ht="12.75">
      <c r="A955" s="3"/>
      <c r="B955" s="17"/>
      <c r="C955" s="18"/>
      <c r="D955" s="18"/>
    </row>
    <row r="956" spans="1:4" ht="12.75">
      <c r="A956" s="3"/>
      <c r="B956" s="17"/>
      <c r="C956" s="18"/>
      <c r="D956" s="18"/>
    </row>
    <row r="957" spans="1:4" ht="12.75">
      <c r="A957" s="3"/>
      <c r="B957" s="17"/>
      <c r="C957" s="18"/>
      <c r="D957" s="18"/>
    </row>
    <row r="958" spans="1:4" ht="12.75">
      <c r="A958" s="3"/>
      <c r="B958" s="17"/>
      <c r="C958" s="18"/>
      <c r="D958" s="18"/>
    </row>
    <row r="959" spans="1:4" ht="12.75">
      <c r="A959" s="3"/>
      <c r="B959" s="17"/>
      <c r="C959" s="18"/>
      <c r="D959" s="18"/>
    </row>
    <row r="960" spans="1:4" ht="12.75">
      <c r="A960" s="3"/>
      <c r="B960" s="17"/>
      <c r="C960" s="18"/>
      <c r="D960" s="18"/>
    </row>
    <row r="961" spans="1:4" ht="12.75">
      <c r="A961" s="3"/>
      <c r="B961" s="17"/>
      <c r="C961" s="18"/>
      <c r="D961" s="18"/>
    </row>
    <row r="962" spans="1:4" ht="12.75">
      <c r="A962" s="3"/>
      <c r="B962" s="17"/>
      <c r="C962" s="18"/>
      <c r="D962" s="18"/>
    </row>
    <row r="963" spans="1:4" ht="12.75">
      <c r="A963" s="3"/>
      <c r="B963" s="17"/>
      <c r="C963" s="18"/>
      <c r="D963" s="18"/>
    </row>
    <row r="964" spans="1:4" ht="12.75">
      <c r="A964" s="3"/>
      <c r="B964" s="17"/>
      <c r="C964" s="18"/>
      <c r="D964" s="18"/>
    </row>
    <row r="965" spans="1:4" ht="12.75">
      <c r="A965" s="3"/>
      <c r="B965" s="17"/>
      <c r="C965" s="18"/>
      <c r="D965" s="18"/>
    </row>
    <row r="966" spans="1:4" ht="12.75">
      <c r="A966" s="3"/>
      <c r="B966" s="17"/>
      <c r="C966" s="18"/>
      <c r="D966" s="18"/>
    </row>
    <row r="967" spans="1:4" ht="12.75">
      <c r="A967" s="3"/>
      <c r="B967" s="17"/>
      <c r="C967" s="18"/>
      <c r="D967" s="18"/>
    </row>
    <row r="968" spans="1:4" ht="12.75">
      <c r="A968" s="3"/>
      <c r="B968" s="17"/>
      <c r="C968" s="18"/>
      <c r="D968" s="18"/>
    </row>
    <row r="969" spans="1:4" ht="12.75">
      <c r="A969" s="3"/>
      <c r="B969" s="17"/>
      <c r="C969" s="18"/>
      <c r="D969" s="18"/>
    </row>
    <row r="970" spans="1:4" ht="12.75">
      <c r="A970" s="3"/>
      <c r="B970" s="17"/>
      <c r="C970" s="18"/>
      <c r="D970" s="18"/>
    </row>
    <row r="971" spans="1:4" ht="12.75">
      <c r="A971" s="3"/>
      <c r="B971" s="17"/>
      <c r="C971" s="18"/>
      <c r="D971" s="18"/>
    </row>
    <row r="972" spans="1:4" ht="12.75">
      <c r="A972" s="3"/>
      <c r="B972" s="17"/>
      <c r="C972" s="18"/>
      <c r="D972" s="18"/>
    </row>
    <row r="973" spans="1:4" ht="12.75">
      <c r="A973" s="3"/>
      <c r="B973" s="17"/>
      <c r="C973" s="18"/>
      <c r="D973" s="18"/>
    </row>
    <row r="974" spans="1:4" ht="12.75">
      <c r="A974" s="3"/>
      <c r="B974" s="17"/>
      <c r="C974" s="18"/>
      <c r="D974" s="18"/>
    </row>
    <row r="975" spans="1:4" ht="12.75">
      <c r="A975" s="3"/>
      <c r="B975" s="17"/>
      <c r="C975" s="18"/>
      <c r="D975" s="18"/>
    </row>
    <row r="976" spans="1:4" ht="12.75">
      <c r="A976" s="3"/>
      <c r="B976" s="17"/>
      <c r="C976" s="18"/>
      <c r="D976" s="18"/>
    </row>
    <row r="977" spans="1:4" ht="12.75">
      <c r="A977" s="3"/>
      <c r="B977" s="17"/>
      <c r="C977" s="18"/>
      <c r="D977" s="18"/>
    </row>
    <row r="978" spans="1:4" ht="12.75">
      <c r="A978" s="3"/>
      <c r="B978" s="17"/>
      <c r="C978" s="18"/>
      <c r="D978" s="18"/>
    </row>
    <row r="979" spans="1:4" ht="12.75">
      <c r="A979" s="3"/>
      <c r="B979" s="17"/>
      <c r="C979" s="18"/>
      <c r="D979" s="18"/>
    </row>
    <row r="980" spans="1:4" ht="12.75">
      <c r="A980" s="3"/>
      <c r="B980" s="17"/>
      <c r="C980" s="18"/>
      <c r="D980" s="18"/>
    </row>
    <row r="981" spans="1:4" ht="12.75">
      <c r="A981" s="3"/>
      <c r="B981" s="17"/>
      <c r="C981" s="18"/>
      <c r="D981" s="18"/>
    </row>
    <row r="982" spans="1:4" ht="12.75">
      <c r="A982" s="3"/>
      <c r="B982" s="17"/>
      <c r="C982" s="18"/>
      <c r="D982" s="18"/>
    </row>
    <row r="983" spans="1:4" ht="12.75">
      <c r="A983" s="3"/>
      <c r="B983" s="17"/>
      <c r="C983" s="18"/>
      <c r="D983" s="18"/>
    </row>
    <row r="984" spans="1:4" ht="12.75">
      <c r="A984" s="3"/>
      <c r="B984" s="17"/>
      <c r="C984" s="18"/>
      <c r="D984" s="18"/>
    </row>
    <row r="985" spans="1:4" ht="12.75">
      <c r="A985" s="3"/>
      <c r="B985" s="17"/>
      <c r="C985" s="18"/>
      <c r="D985" s="18"/>
    </row>
    <row r="986" spans="1:4" ht="12.75">
      <c r="A986" s="3"/>
      <c r="B986" s="17"/>
      <c r="C986" s="18"/>
      <c r="D986" s="18"/>
    </row>
    <row r="987" spans="1:4" ht="12.75">
      <c r="A987" s="3"/>
      <c r="B987" s="17"/>
      <c r="C987" s="18"/>
      <c r="D987" s="18"/>
    </row>
    <row r="988" spans="1:4" ht="12.75">
      <c r="A988" s="3"/>
      <c r="B988" s="17"/>
      <c r="C988" s="18"/>
      <c r="D988" s="18"/>
    </row>
    <row r="989" spans="1:4" ht="12.75">
      <c r="A989" s="3"/>
      <c r="B989" s="17"/>
      <c r="C989" s="18"/>
      <c r="D989" s="18"/>
    </row>
    <row r="990" spans="1:4" ht="12.75">
      <c r="A990" s="3"/>
      <c r="B990" s="17"/>
      <c r="C990" s="18"/>
      <c r="D990" s="18"/>
    </row>
    <row r="991" spans="1:4" ht="12.75">
      <c r="A991" s="3"/>
      <c r="B991" s="17"/>
      <c r="C991" s="18"/>
      <c r="D991" s="18"/>
    </row>
    <row r="992" spans="1:4" ht="12.75">
      <c r="A992" s="3"/>
      <c r="B992" s="17"/>
      <c r="C992" s="18"/>
      <c r="D992" s="18"/>
    </row>
    <row r="993" spans="1:4" ht="12.75">
      <c r="A993" s="3"/>
      <c r="B993" s="17"/>
      <c r="C993" s="18"/>
      <c r="D993" s="18"/>
    </row>
    <row r="994" spans="1:4" ht="12.75">
      <c r="A994" s="3"/>
      <c r="B994" s="17"/>
      <c r="C994" s="18"/>
      <c r="D994" s="18"/>
    </row>
    <row r="995" spans="1:4" ht="12.75">
      <c r="A995" s="3"/>
      <c r="B995" s="17"/>
      <c r="C995" s="18"/>
      <c r="D995" s="18"/>
    </row>
    <row r="996" spans="1:4" ht="12.75">
      <c r="A996" s="3"/>
      <c r="B996" s="17"/>
      <c r="C996" s="18"/>
      <c r="D996" s="18"/>
    </row>
    <row r="997" spans="1:4" ht="12.75">
      <c r="A997" s="3"/>
      <c r="B997" s="17"/>
      <c r="C997" s="18"/>
      <c r="D997" s="18"/>
    </row>
    <row r="998" spans="1:4" ht="12.75">
      <c r="A998" s="3"/>
      <c r="B998" s="17"/>
      <c r="C998" s="18"/>
      <c r="D998" s="18"/>
    </row>
    <row r="999" spans="1:4" ht="12.75">
      <c r="A999" s="3"/>
      <c r="B999" s="17"/>
      <c r="C999" s="18"/>
      <c r="D999" s="18"/>
    </row>
    <row r="1000" spans="1:4" ht="12.75">
      <c r="A1000" s="3"/>
      <c r="B1000" s="17"/>
      <c r="C1000" s="18"/>
      <c r="D1000" s="18"/>
    </row>
    <row r="1001" spans="1:4" ht="12.75">
      <c r="A1001" s="3"/>
      <c r="B1001" s="17"/>
      <c r="C1001" s="18"/>
      <c r="D1001" s="18"/>
    </row>
    <row r="1002" spans="1:4" ht="12.75">
      <c r="A1002" s="3"/>
      <c r="B1002" s="17"/>
      <c r="C1002" s="18"/>
      <c r="D1002" s="18"/>
    </row>
    <row r="1003" spans="1:4" ht="12.75">
      <c r="A1003" s="3"/>
      <c r="B1003" s="17"/>
      <c r="C1003" s="18"/>
      <c r="D1003" s="18"/>
    </row>
    <row r="1004" spans="1:4" ht="12.75">
      <c r="A1004" s="3"/>
      <c r="B1004" s="17"/>
      <c r="C1004" s="18"/>
      <c r="D1004" s="18"/>
    </row>
    <row r="1005" spans="1:4" ht="12.75">
      <c r="A1005" s="3"/>
      <c r="B1005" s="17"/>
      <c r="C1005" s="18"/>
      <c r="D1005" s="18"/>
    </row>
    <row r="1006" spans="1:4" ht="12.75">
      <c r="A1006" s="3"/>
      <c r="B1006" s="17"/>
      <c r="C1006" s="18"/>
      <c r="D1006" s="18"/>
    </row>
    <row r="1007" spans="1:4" ht="12.75">
      <c r="A1007" s="3"/>
      <c r="B1007" s="17"/>
      <c r="C1007" s="18"/>
      <c r="D1007" s="18"/>
    </row>
    <row r="1008" spans="1:4" ht="12.75">
      <c r="A1008" s="3"/>
      <c r="B1008" s="17"/>
      <c r="C1008" s="18"/>
      <c r="D1008" s="18"/>
    </row>
    <row r="1009" spans="1:4" ht="12.75">
      <c r="A1009" s="3"/>
      <c r="B1009" s="17"/>
      <c r="C1009" s="18"/>
      <c r="D1009" s="18"/>
    </row>
    <row r="1010" spans="1:4" ht="12.75">
      <c r="A1010" s="3"/>
      <c r="B1010" s="17"/>
      <c r="C1010" s="18"/>
      <c r="D1010" s="18"/>
    </row>
    <row r="1011" spans="1:4" ht="12.75">
      <c r="A1011" s="3"/>
      <c r="B1011" s="17"/>
      <c r="C1011" s="18"/>
      <c r="D1011" s="18"/>
    </row>
    <row r="1012" spans="1:4" ht="12.75">
      <c r="A1012" s="3"/>
      <c r="B1012" s="17"/>
      <c r="C1012" s="18"/>
      <c r="D1012" s="18"/>
    </row>
    <row r="1013" spans="1:4" ht="12.75">
      <c r="A1013" s="3"/>
      <c r="B1013" s="17"/>
      <c r="C1013" s="18"/>
      <c r="D1013" s="18"/>
    </row>
    <row r="1014" spans="1:4" ht="12.75">
      <c r="A1014" s="3"/>
      <c r="B1014" s="17"/>
      <c r="C1014" s="18"/>
      <c r="D1014" s="18"/>
    </row>
    <row r="1015" spans="1:4" ht="12.75">
      <c r="A1015" s="3"/>
      <c r="B1015" s="17"/>
      <c r="C1015" s="18"/>
      <c r="D1015" s="1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  <outlinePr summaryBelow="0" summaryRight="0"/>
  </sheetPr>
  <dimension ref="A1:F1000"/>
  <sheetViews>
    <sheetView workbookViewId="0">
      <selection activeCell="C14" sqref="C14"/>
    </sheetView>
  </sheetViews>
  <sheetFormatPr baseColWidth="10" defaultColWidth="12.5703125" defaultRowHeight="15.75" customHeight="1"/>
  <cols>
    <col min="1" max="1" width="14" customWidth="1"/>
    <col min="3" max="4" width="12.140625" customWidth="1"/>
  </cols>
  <sheetData>
    <row r="1" spans="1:6" ht="15.75" customHeight="1">
      <c r="A1" s="7" t="s">
        <v>349</v>
      </c>
      <c r="B1" s="14" t="s">
        <v>341</v>
      </c>
      <c r="C1" s="10" t="s">
        <v>362</v>
      </c>
      <c r="D1" s="10" t="s">
        <v>361</v>
      </c>
    </row>
    <row r="2" spans="1:6" ht="15.75" customHeight="1">
      <c r="A2" s="5">
        <v>1</v>
      </c>
      <c r="B2" s="14" t="s">
        <v>342</v>
      </c>
      <c r="C2" s="33">
        <v>1.6221633741833217</v>
      </c>
      <c r="D2" s="33">
        <v>0.62858081725750936</v>
      </c>
      <c r="E2" s="20"/>
      <c r="F2" s="20"/>
    </row>
    <row r="3" spans="1:6" ht="15.75" customHeight="1">
      <c r="A3" s="5">
        <v>2</v>
      </c>
      <c r="B3" s="14" t="s">
        <v>31</v>
      </c>
      <c r="C3" s="33">
        <v>1.1076642192160278</v>
      </c>
      <c r="D3" s="33">
        <v>1.0119854254708003</v>
      </c>
      <c r="E3" s="20"/>
      <c r="F3" s="20"/>
    </row>
    <row r="4" spans="1:6" ht="15.75" customHeight="1">
      <c r="A4" s="5">
        <v>3</v>
      </c>
      <c r="B4" s="14" t="s">
        <v>345</v>
      </c>
      <c r="C4" s="33">
        <v>1.6437829704693359</v>
      </c>
      <c r="D4" s="33">
        <v>0.79687471674854438</v>
      </c>
      <c r="E4" s="20"/>
      <c r="F4" s="20"/>
    </row>
    <row r="5" spans="1:6" ht="15.75" customHeight="1">
      <c r="A5" s="5">
        <v>4</v>
      </c>
      <c r="B5" s="14" t="s">
        <v>166</v>
      </c>
      <c r="C5" s="33">
        <v>1.3494114269308068</v>
      </c>
      <c r="D5" s="33">
        <v>1.1721832574545756</v>
      </c>
      <c r="E5" s="20"/>
      <c r="F5" s="20"/>
    </row>
    <row r="6" spans="1:6" ht="15.75" customHeight="1">
      <c r="A6" s="5">
        <v>5</v>
      </c>
      <c r="B6" s="14" t="s">
        <v>201</v>
      </c>
      <c r="C6" s="33">
        <v>1.6272433580129408</v>
      </c>
      <c r="D6" s="33">
        <v>1.4641840628918166</v>
      </c>
      <c r="E6" s="20"/>
      <c r="F6" s="20"/>
    </row>
    <row r="7" spans="1:6" ht="15.75" customHeight="1">
      <c r="A7" s="5">
        <v>6</v>
      </c>
      <c r="B7" s="14" t="s">
        <v>243</v>
      </c>
      <c r="C7" s="33">
        <v>0.91852562345848154</v>
      </c>
      <c r="D7" s="33">
        <v>0.44761434952999535</v>
      </c>
      <c r="E7" s="20"/>
      <c r="F7" s="20"/>
    </row>
    <row r="8" spans="1:6" ht="15.75" customHeight="1">
      <c r="A8" s="5">
        <v>7</v>
      </c>
      <c r="B8" s="14" t="s">
        <v>348</v>
      </c>
      <c r="C8" s="33">
        <v>0.94435154728770765</v>
      </c>
      <c r="D8" s="33">
        <v>0.93651334968812161</v>
      </c>
      <c r="E8" s="20"/>
      <c r="F8" s="20"/>
    </row>
    <row r="9" spans="1:6" ht="15.75" customHeight="1">
      <c r="A9" s="5">
        <v>8</v>
      </c>
      <c r="B9" s="14" t="s">
        <v>343</v>
      </c>
      <c r="C9" s="33">
        <v>1.2089270511541919</v>
      </c>
      <c r="D9" s="33">
        <v>1.1071035912005371</v>
      </c>
      <c r="E9" s="20"/>
      <c r="F9" s="20"/>
    </row>
    <row r="10" spans="1:6" ht="15.75" customHeight="1">
      <c r="A10" s="5">
        <v>9</v>
      </c>
      <c r="B10" s="14" t="s">
        <v>347</v>
      </c>
      <c r="C10" s="33">
        <v>1.3944181147972621</v>
      </c>
      <c r="D10" s="33">
        <v>1.5474970877814491</v>
      </c>
      <c r="E10" s="20"/>
      <c r="F10" s="20"/>
    </row>
    <row r="11" spans="1:6" ht="15.75" customHeight="1">
      <c r="A11" s="5">
        <v>10</v>
      </c>
      <c r="B11" s="14" t="s">
        <v>346</v>
      </c>
      <c r="C11" s="49">
        <v>0.4</v>
      </c>
      <c r="D11" s="49">
        <v>0.1</v>
      </c>
      <c r="E11" s="20"/>
      <c r="F11" s="20"/>
    </row>
    <row r="12" spans="1:6" ht="15.75" customHeight="1">
      <c r="A12" s="5">
        <v>11</v>
      </c>
      <c r="B12" s="14" t="s">
        <v>344</v>
      </c>
      <c r="C12" s="49">
        <v>1.2</v>
      </c>
      <c r="D12" s="49">
        <v>1</v>
      </c>
      <c r="E12" s="20"/>
      <c r="F12" s="20"/>
    </row>
    <row r="13" spans="1:6">
      <c r="A13" s="21"/>
      <c r="B13" s="22"/>
      <c r="C13" s="21"/>
      <c r="D13" s="21"/>
    </row>
    <row r="14" spans="1:6">
      <c r="A14" s="21"/>
      <c r="B14" s="22"/>
      <c r="C14" s="21"/>
      <c r="D14" s="21"/>
    </row>
    <row r="15" spans="1:6">
      <c r="A15" s="21"/>
      <c r="B15" s="22"/>
      <c r="C15" s="21"/>
      <c r="D15" s="21"/>
    </row>
    <row r="16" spans="1:6" ht="12.75">
      <c r="A16" s="21"/>
      <c r="B16" s="22"/>
      <c r="C16" s="21"/>
      <c r="D16" s="21"/>
    </row>
    <row r="17" spans="1:4" ht="12.75">
      <c r="A17" s="21"/>
      <c r="B17" s="22"/>
      <c r="C17" s="21"/>
      <c r="D17" s="21"/>
    </row>
    <row r="18" spans="1:4" ht="12.75">
      <c r="A18" s="21"/>
      <c r="B18" s="22"/>
      <c r="C18" s="21"/>
      <c r="D18" s="21"/>
    </row>
    <row r="19" spans="1:4" ht="12.75">
      <c r="A19" s="21"/>
      <c r="B19" s="22"/>
      <c r="C19" s="21"/>
      <c r="D19" s="21"/>
    </row>
    <row r="20" spans="1:4" ht="12.75">
      <c r="A20" s="21"/>
      <c r="B20" s="22"/>
      <c r="C20" s="21"/>
      <c r="D20" s="21"/>
    </row>
    <row r="21" spans="1:4" ht="12.75">
      <c r="A21" s="21"/>
      <c r="B21" s="22"/>
      <c r="C21" s="21"/>
      <c r="D21" s="21"/>
    </row>
    <row r="22" spans="1:4" ht="12.75">
      <c r="A22" s="21"/>
      <c r="B22" s="22"/>
      <c r="C22" s="21"/>
      <c r="D22" s="21"/>
    </row>
    <row r="23" spans="1:4" ht="12.75">
      <c r="A23" s="21"/>
      <c r="B23" s="22"/>
      <c r="C23" s="21"/>
      <c r="D23" s="21"/>
    </row>
    <row r="24" spans="1:4" ht="12.75">
      <c r="A24" s="21"/>
      <c r="B24" s="22"/>
      <c r="C24" s="21"/>
      <c r="D24" s="21"/>
    </row>
    <row r="25" spans="1:4" ht="12.75">
      <c r="A25" s="21"/>
      <c r="B25" s="22"/>
      <c r="C25" s="21"/>
      <c r="D25" s="21"/>
    </row>
    <row r="26" spans="1:4" ht="12.75">
      <c r="A26" s="21"/>
      <c r="B26" s="22"/>
      <c r="C26" s="21"/>
      <c r="D26" s="21"/>
    </row>
    <row r="27" spans="1:4" ht="12.75">
      <c r="A27" s="21"/>
      <c r="B27" s="22"/>
      <c r="C27" s="21"/>
      <c r="D27" s="21"/>
    </row>
    <row r="28" spans="1:4" ht="12.75">
      <c r="A28" s="21"/>
      <c r="B28" s="22"/>
      <c r="C28" s="21"/>
      <c r="D28" s="21"/>
    </row>
    <row r="29" spans="1:4" ht="12.75">
      <c r="A29" s="21"/>
      <c r="B29" s="22"/>
      <c r="C29" s="21"/>
      <c r="D29" s="21"/>
    </row>
    <row r="30" spans="1:4" ht="12.75">
      <c r="A30" s="21"/>
      <c r="B30" s="22"/>
      <c r="C30" s="21"/>
      <c r="D30" s="21"/>
    </row>
    <row r="31" spans="1:4" ht="12.75">
      <c r="A31" s="21"/>
      <c r="B31" s="22"/>
      <c r="C31" s="21"/>
      <c r="D31" s="21"/>
    </row>
    <row r="32" spans="1:4" ht="12.75">
      <c r="A32" s="21"/>
      <c r="B32" s="22"/>
      <c r="C32" s="21"/>
      <c r="D32" s="21"/>
    </row>
    <row r="33" spans="1:4" ht="12.75">
      <c r="A33" s="21"/>
      <c r="B33" s="22"/>
      <c r="C33" s="21"/>
      <c r="D33" s="21"/>
    </row>
    <row r="34" spans="1:4" ht="12.75">
      <c r="A34" s="21"/>
      <c r="B34" s="22"/>
      <c r="C34" s="21"/>
      <c r="D34" s="21"/>
    </row>
    <row r="35" spans="1:4" ht="12.75">
      <c r="A35" s="21"/>
      <c r="B35" s="22"/>
      <c r="C35" s="21"/>
      <c r="D35" s="21"/>
    </row>
    <row r="36" spans="1:4" ht="12.75">
      <c r="A36" s="21"/>
      <c r="B36" s="22"/>
      <c r="C36" s="21"/>
      <c r="D36" s="21"/>
    </row>
    <row r="37" spans="1:4" ht="12.75">
      <c r="A37" s="21"/>
      <c r="B37" s="22"/>
      <c r="C37" s="21"/>
      <c r="D37" s="21"/>
    </row>
    <row r="38" spans="1:4" ht="12.75">
      <c r="A38" s="21"/>
      <c r="B38" s="22"/>
      <c r="C38" s="21"/>
      <c r="D38" s="21"/>
    </row>
    <row r="39" spans="1:4" ht="12.75">
      <c r="A39" s="21"/>
      <c r="B39" s="22"/>
      <c r="C39" s="21"/>
      <c r="D39" s="21"/>
    </row>
    <row r="40" spans="1:4" ht="12.75">
      <c r="A40" s="21"/>
      <c r="B40" s="22"/>
      <c r="C40" s="21"/>
      <c r="D40" s="21"/>
    </row>
    <row r="41" spans="1:4" ht="12.75">
      <c r="A41" s="21"/>
      <c r="B41" s="22"/>
      <c r="C41" s="21"/>
      <c r="D41" s="21"/>
    </row>
    <row r="42" spans="1:4" ht="12.75">
      <c r="A42" s="21"/>
      <c r="B42" s="22"/>
      <c r="C42" s="21"/>
      <c r="D42" s="21"/>
    </row>
    <row r="43" spans="1:4" ht="12.75">
      <c r="A43" s="21"/>
      <c r="B43" s="22"/>
      <c r="C43" s="21"/>
      <c r="D43" s="21"/>
    </row>
    <row r="44" spans="1:4" ht="12.75">
      <c r="A44" s="21"/>
      <c r="B44" s="22"/>
      <c r="C44" s="21"/>
      <c r="D44" s="21"/>
    </row>
    <row r="45" spans="1:4" ht="12.75">
      <c r="A45" s="21"/>
      <c r="B45" s="22"/>
      <c r="C45" s="21"/>
      <c r="D45" s="21"/>
    </row>
    <row r="46" spans="1:4" ht="12.75">
      <c r="A46" s="21"/>
      <c r="B46" s="22"/>
      <c r="C46" s="21"/>
      <c r="D46" s="21"/>
    </row>
    <row r="47" spans="1:4" ht="12.75">
      <c r="A47" s="21"/>
      <c r="B47" s="22"/>
      <c r="C47" s="21"/>
      <c r="D47" s="21"/>
    </row>
    <row r="48" spans="1:4" ht="12.75">
      <c r="A48" s="21"/>
      <c r="B48" s="22"/>
      <c r="C48" s="21"/>
      <c r="D48" s="21"/>
    </row>
    <row r="49" spans="1:4" ht="12.75">
      <c r="A49" s="21"/>
      <c r="B49" s="22"/>
      <c r="C49" s="21"/>
      <c r="D49" s="21"/>
    </row>
    <row r="50" spans="1:4" ht="12.75">
      <c r="A50" s="21"/>
      <c r="B50" s="22"/>
      <c r="C50" s="21"/>
      <c r="D50" s="21"/>
    </row>
    <row r="51" spans="1:4" ht="12.75">
      <c r="A51" s="21"/>
      <c r="B51" s="22"/>
      <c r="C51" s="21"/>
      <c r="D51" s="21"/>
    </row>
    <row r="52" spans="1:4" ht="12.75">
      <c r="A52" s="21"/>
      <c r="B52" s="22"/>
      <c r="C52" s="21"/>
      <c r="D52" s="21"/>
    </row>
    <row r="53" spans="1:4" ht="12.75">
      <c r="A53" s="21"/>
      <c r="B53" s="22"/>
      <c r="C53" s="21"/>
      <c r="D53" s="21"/>
    </row>
    <row r="54" spans="1:4" ht="12.75">
      <c r="A54" s="21"/>
      <c r="B54" s="22"/>
      <c r="C54" s="21"/>
      <c r="D54" s="21"/>
    </row>
    <row r="55" spans="1:4" ht="12.75">
      <c r="A55" s="21"/>
      <c r="B55" s="22"/>
      <c r="C55" s="21"/>
      <c r="D55" s="21"/>
    </row>
    <row r="56" spans="1:4" ht="12.75">
      <c r="A56" s="21"/>
      <c r="B56" s="22"/>
      <c r="C56" s="21"/>
      <c r="D56" s="21"/>
    </row>
    <row r="57" spans="1:4" ht="12.75">
      <c r="A57" s="21"/>
      <c r="B57" s="22"/>
      <c r="C57" s="21"/>
      <c r="D57" s="21"/>
    </row>
    <row r="58" spans="1:4" ht="12.75">
      <c r="A58" s="21"/>
      <c r="B58" s="22"/>
      <c r="C58" s="21"/>
      <c r="D58" s="21"/>
    </row>
    <row r="59" spans="1:4" ht="12.75">
      <c r="A59" s="21"/>
      <c r="B59" s="22"/>
      <c r="C59" s="21"/>
      <c r="D59" s="21"/>
    </row>
    <row r="60" spans="1:4" ht="12.75">
      <c r="A60" s="21"/>
      <c r="B60" s="22"/>
      <c r="C60" s="21"/>
      <c r="D60" s="21"/>
    </row>
    <row r="61" spans="1:4" ht="12.75">
      <c r="A61" s="21"/>
      <c r="B61" s="22"/>
      <c r="C61" s="21"/>
      <c r="D61" s="21"/>
    </row>
    <row r="62" spans="1:4" ht="12.75">
      <c r="A62" s="21"/>
      <c r="B62" s="22"/>
      <c r="C62" s="21"/>
      <c r="D62" s="21"/>
    </row>
    <row r="63" spans="1:4" ht="12.75">
      <c r="A63" s="21"/>
      <c r="B63" s="22"/>
      <c r="C63" s="21"/>
      <c r="D63" s="21"/>
    </row>
    <row r="64" spans="1:4" ht="12.75">
      <c r="A64" s="21"/>
      <c r="B64" s="22"/>
      <c r="C64" s="21"/>
      <c r="D64" s="21"/>
    </row>
    <row r="65" spans="1:4" ht="12.75">
      <c r="A65" s="21"/>
      <c r="B65" s="22"/>
      <c r="C65" s="21"/>
      <c r="D65" s="21"/>
    </row>
    <row r="66" spans="1:4" ht="12.75">
      <c r="A66" s="21"/>
      <c r="B66" s="22"/>
      <c r="C66" s="21"/>
      <c r="D66" s="21"/>
    </row>
    <row r="67" spans="1:4" ht="12.75">
      <c r="A67" s="21"/>
      <c r="B67" s="22"/>
      <c r="C67" s="21"/>
      <c r="D67" s="21"/>
    </row>
    <row r="68" spans="1:4" ht="12.75">
      <c r="A68" s="21"/>
      <c r="B68" s="22"/>
      <c r="C68" s="21"/>
      <c r="D68" s="21"/>
    </row>
    <row r="69" spans="1:4" ht="12.75">
      <c r="A69" s="21"/>
      <c r="B69" s="22"/>
      <c r="C69" s="21"/>
      <c r="D69" s="21"/>
    </row>
    <row r="70" spans="1:4" ht="12.75">
      <c r="A70" s="21"/>
      <c r="B70" s="22"/>
      <c r="C70" s="21"/>
      <c r="D70" s="21"/>
    </row>
    <row r="71" spans="1:4" ht="12.75">
      <c r="A71" s="21"/>
      <c r="B71" s="22"/>
      <c r="C71" s="21"/>
      <c r="D71" s="21"/>
    </row>
    <row r="72" spans="1:4" ht="12.75">
      <c r="A72" s="21"/>
      <c r="B72" s="22"/>
      <c r="C72" s="21"/>
      <c r="D72" s="21"/>
    </row>
    <row r="73" spans="1:4" ht="12.75">
      <c r="A73" s="21"/>
      <c r="B73" s="22"/>
      <c r="C73" s="21"/>
      <c r="D73" s="21"/>
    </row>
    <row r="74" spans="1:4" ht="12.75">
      <c r="A74" s="21"/>
      <c r="B74" s="22"/>
      <c r="C74" s="21"/>
      <c r="D74" s="21"/>
    </row>
    <row r="75" spans="1:4" ht="12.75">
      <c r="A75" s="21"/>
      <c r="B75" s="22"/>
      <c r="C75" s="21"/>
      <c r="D75" s="21"/>
    </row>
    <row r="76" spans="1:4" ht="12.75">
      <c r="A76" s="21"/>
      <c r="B76" s="22"/>
      <c r="C76" s="21"/>
      <c r="D76" s="21"/>
    </row>
    <row r="77" spans="1:4" ht="12.75">
      <c r="A77" s="21"/>
      <c r="B77" s="22"/>
      <c r="C77" s="21"/>
      <c r="D77" s="21"/>
    </row>
    <row r="78" spans="1:4" ht="12.75">
      <c r="A78" s="21"/>
      <c r="B78" s="22"/>
      <c r="C78" s="21"/>
      <c r="D78" s="21"/>
    </row>
    <row r="79" spans="1:4" ht="12.75">
      <c r="A79" s="21"/>
      <c r="B79" s="22"/>
      <c r="C79" s="21"/>
      <c r="D79" s="21"/>
    </row>
    <row r="80" spans="1:4" ht="12.75">
      <c r="A80" s="21"/>
      <c r="B80" s="22"/>
      <c r="C80" s="21"/>
      <c r="D80" s="21"/>
    </row>
    <row r="81" spans="1:4" ht="12.75">
      <c r="A81" s="21"/>
      <c r="B81" s="22"/>
      <c r="C81" s="21"/>
      <c r="D81" s="21"/>
    </row>
    <row r="82" spans="1:4" ht="12.75">
      <c r="A82" s="21"/>
      <c r="B82" s="22"/>
      <c r="C82" s="21"/>
      <c r="D82" s="21"/>
    </row>
    <row r="83" spans="1:4" ht="12.75">
      <c r="A83" s="21"/>
      <c r="B83" s="22"/>
      <c r="C83" s="21"/>
      <c r="D83" s="21"/>
    </row>
    <row r="84" spans="1:4" ht="12.75">
      <c r="A84" s="21"/>
      <c r="B84" s="22"/>
      <c r="C84" s="21"/>
      <c r="D84" s="21"/>
    </row>
    <row r="85" spans="1:4" ht="12.75">
      <c r="A85" s="21"/>
      <c r="B85" s="22"/>
      <c r="C85" s="21"/>
      <c r="D85" s="21"/>
    </row>
    <row r="86" spans="1:4" ht="12.75">
      <c r="A86" s="21"/>
      <c r="B86" s="22"/>
      <c r="C86" s="21"/>
      <c r="D86" s="21"/>
    </row>
    <row r="87" spans="1:4" ht="12.75">
      <c r="A87" s="21"/>
      <c r="B87" s="22"/>
      <c r="C87" s="21"/>
      <c r="D87" s="21"/>
    </row>
    <row r="88" spans="1:4" ht="12.75">
      <c r="A88" s="21"/>
      <c r="B88" s="22"/>
      <c r="C88" s="21"/>
      <c r="D88" s="21"/>
    </row>
    <row r="89" spans="1:4" ht="12.75">
      <c r="A89" s="21"/>
      <c r="B89" s="22"/>
      <c r="C89" s="21"/>
      <c r="D89" s="21"/>
    </row>
    <row r="90" spans="1:4" ht="12.75">
      <c r="A90" s="21"/>
      <c r="B90" s="22"/>
      <c r="C90" s="21"/>
      <c r="D90" s="21"/>
    </row>
    <row r="91" spans="1:4" ht="12.75">
      <c r="A91" s="21"/>
      <c r="B91" s="22"/>
      <c r="C91" s="21"/>
      <c r="D91" s="21"/>
    </row>
    <row r="92" spans="1:4" ht="12.75">
      <c r="A92" s="21"/>
      <c r="B92" s="22"/>
      <c r="C92" s="21"/>
      <c r="D92" s="21"/>
    </row>
    <row r="93" spans="1:4" ht="12.75">
      <c r="A93" s="21"/>
      <c r="B93" s="22"/>
      <c r="C93" s="21"/>
      <c r="D93" s="21"/>
    </row>
    <row r="94" spans="1:4" ht="12.75">
      <c r="A94" s="21"/>
      <c r="B94" s="22"/>
      <c r="C94" s="21"/>
      <c r="D94" s="21"/>
    </row>
    <row r="95" spans="1:4" ht="12.75">
      <c r="A95" s="21"/>
      <c r="B95" s="22"/>
      <c r="C95" s="21"/>
      <c r="D95" s="21"/>
    </row>
    <row r="96" spans="1:4" ht="12.75">
      <c r="A96" s="21"/>
      <c r="B96" s="22"/>
      <c r="C96" s="21"/>
      <c r="D96" s="21"/>
    </row>
    <row r="97" spans="1:4" ht="12.75">
      <c r="A97" s="21"/>
      <c r="B97" s="22"/>
      <c r="C97" s="21"/>
      <c r="D97" s="21"/>
    </row>
    <row r="98" spans="1:4" ht="12.75">
      <c r="A98" s="21"/>
      <c r="B98" s="22"/>
      <c r="C98" s="21"/>
      <c r="D98" s="21"/>
    </row>
    <row r="99" spans="1:4" ht="12.75">
      <c r="A99" s="21"/>
      <c r="B99" s="22"/>
      <c r="C99" s="21"/>
      <c r="D99" s="21"/>
    </row>
    <row r="100" spans="1:4" ht="12.75">
      <c r="A100" s="21"/>
      <c r="B100" s="22"/>
      <c r="C100" s="21"/>
      <c r="D100" s="21"/>
    </row>
    <row r="101" spans="1:4" ht="12.75">
      <c r="A101" s="21"/>
      <c r="B101" s="22"/>
      <c r="C101" s="21"/>
      <c r="D101" s="21"/>
    </row>
    <row r="102" spans="1:4" ht="12.75">
      <c r="A102" s="21"/>
      <c r="B102" s="22"/>
      <c r="C102" s="21"/>
      <c r="D102" s="21"/>
    </row>
    <row r="103" spans="1:4" ht="12.75">
      <c r="A103" s="21"/>
      <c r="B103" s="22"/>
      <c r="C103" s="21"/>
      <c r="D103" s="21"/>
    </row>
    <row r="104" spans="1:4" ht="12.75">
      <c r="A104" s="21"/>
      <c r="B104" s="22"/>
      <c r="C104" s="21"/>
      <c r="D104" s="21"/>
    </row>
    <row r="105" spans="1:4" ht="12.75">
      <c r="A105" s="21"/>
      <c r="B105" s="22"/>
      <c r="C105" s="21"/>
      <c r="D105" s="21"/>
    </row>
    <row r="106" spans="1:4" ht="12.75">
      <c r="A106" s="21"/>
      <c r="B106" s="22"/>
      <c r="C106" s="21"/>
      <c r="D106" s="21"/>
    </row>
    <row r="107" spans="1:4" ht="12.75">
      <c r="A107" s="21"/>
      <c r="B107" s="22"/>
      <c r="C107" s="21"/>
      <c r="D107" s="21"/>
    </row>
    <row r="108" spans="1:4" ht="12.75">
      <c r="A108" s="21"/>
      <c r="B108" s="22"/>
      <c r="C108" s="21"/>
      <c r="D108" s="21"/>
    </row>
    <row r="109" spans="1:4" ht="12.75">
      <c r="A109" s="21"/>
      <c r="B109" s="22"/>
      <c r="C109" s="21"/>
      <c r="D109" s="21"/>
    </row>
    <row r="110" spans="1:4" ht="12.75">
      <c r="A110" s="21"/>
      <c r="B110" s="22"/>
      <c r="C110" s="21"/>
      <c r="D110" s="21"/>
    </row>
    <row r="111" spans="1:4" ht="12.75">
      <c r="A111" s="21"/>
      <c r="B111" s="22"/>
      <c r="C111" s="21"/>
      <c r="D111" s="21"/>
    </row>
    <row r="112" spans="1:4" ht="12.75">
      <c r="A112" s="21"/>
      <c r="B112" s="22"/>
      <c r="C112" s="21"/>
      <c r="D112" s="21"/>
    </row>
    <row r="113" spans="1:4" ht="12.75">
      <c r="A113" s="21"/>
      <c r="B113" s="22"/>
      <c r="C113" s="21"/>
      <c r="D113" s="21"/>
    </row>
    <row r="114" spans="1:4" ht="12.75">
      <c r="A114" s="21"/>
      <c r="B114" s="22"/>
      <c r="C114" s="21"/>
      <c r="D114" s="21"/>
    </row>
    <row r="115" spans="1:4" ht="12.75">
      <c r="A115" s="21"/>
      <c r="B115" s="22"/>
      <c r="C115" s="21"/>
      <c r="D115" s="21"/>
    </row>
    <row r="116" spans="1:4" ht="12.75">
      <c r="A116" s="21"/>
      <c r="B116" s="22"/>
      <c r="C116" s="21"/>
      <c r="D116" s="21"/>
    </row>
    <row r="117" spans="1:4" ht="12.75">
      <c r="A117" s="21"/>
      <c r="B117" s="22"/>
      <c r="C117" s="21"/>
      <c r="D117" s="21"/>
    </row>
    <row r="118" spans="1:4" ht="12.75">
      <c r="A118" s="21"/>
      <c r="B118" s="22"/>
      <c r="C118" s="21"/>
      <c r="D118" s="21"/>
    </row>
    <row r="119" spans="1:4" ht="12.75">
      <c r="A119" s="21"/>
      <c r="B119" s="22"/>
      <c r="C119" s="21"/>
      <c r="D119" s="21"/>
    </row>
    <row r="120" spans="1:4" ht="12.75">
      <c r="A120" s="21"/>
      <c r="B120" s="22"/>
      <c r="C120" s="21"/>
      <c r="D120" s="21"/>
    </row>
    <row r="121" spans="1:4" ht="12.75">
      <c r="A121" s="21"/>
      <c r="B121" s="22"/>
      <c r="C121" s="21"/>
      <c r="D121" s="21"/>
    </row>
    <row r="122" spans="1:4" ht="12.75">
      <c r="A122" s="21"/>
      <c r="B122" s="22"/>
      <c r="C122" s="21"/>
      <c r="D122" s="21"/>
    </row>
    <row r="123" spans="1:4" ht="12.75">
      <c r="A123" s="21"/>
      <c r="B123" s="22"/>
      <c r="C123" s="21"/>
      <c r="D123" s="21"/>
    </row>
    <row r="124" spans="1:4" ht="12.75">
      <c r="A124" s="21"/>
      <c r="B124" s="22"/>
      <c r="C124" s="21"/>
      <c r="D124" s="21"/>
    </row>
    <row r="125" spans="1:4" ht="12.75">
      <c r="A125" s="21"/>
      <c r="B125" s="22"/>
      <c r="C125" s="21"/>
      <c r="D125" s="21"/>
    </row>
    <row r="126" spans="1:4" ht="12.75">
      <c r="A126" s="21"/>
      <c r="B126" s="22"/>
      <c r="C126" s="21"/>
      <c r="D126" s="21"/>
    </row>
    <row r="127" spans="1:4" ht="12.75">
      <c r="A127" s="21"/>
      <c r="B127" s="22"/>
      <c r="C127" s="21"/>
      <c r="D127" s="21"/>
    </row>
    <row r="128" spans="1:4" ht="12.75">
      <c r="A128" s="21"/>
      <c r="B128" s="22"/>
      <c r="C128" s="21"/>
      <c r="D128" s="21"/>
    </row>
    <row r="129" spans="1:4" ht="12.75">
      <c r="A129" s="21"/>
      <c r="B129" s="22"/>
      <c r="C129" s="21"/>
      <c r="D129" s="21"/>
    </row>
    <row r="130" spans="1:4" ht="12.75">
      <c r="A130" s="21"/>
      <c r="B130" s="22"/>
      <c r="C130" s="21"/>
      <c r="D130" s="21"/>
    </row>
    <row r="131" spans="1:4" ht="12.75">
      <c r="A131" s="21"/>
      <c r="B131" s="22"/>
      <c r="C131" s="21"/>
      <c r="D131" s="21"/>
    </row>
    <row r="132" spans="1:4" ht="12.75">
      <c r="A132" s="21"/>
      <c r="B132" s="22"/>
      <c r="C132" s="21"/>
      <c r="D132" s="21"/>
    </row>
    <row r="133" spans="1:4" ht="12.75">
      <c r="A133" s="21"/>
      <c r="B133" s="22"/>
      <c r="C133" s="21"/>
      <c r="D133" s="21"/>
    </row>
    <row r="134" spans="1:4" ht="12.75">
      <c r="A134" s="21"/>
      <c r="B134" s="22"/>
      <c r="C134" s="21"/>
      <c r="D134" s="21"/>
    </row>
    <row r="135" spans="1:4" ht="12.75">
      <c r="A135" s="21"/>
      <c r="B135" s="22"/>
      <c r="C135" s="21"/>
      <c r="D135" s="21"/>
    </row>
    <row r="136" spans="1:4" ht="12.75">
      <c r="A136" s="21"/>
      <c r="B136" s="22"/>
      <c r="C136" s="21"/>
      <c r="D136" s="21"/>
    </row>
    <row r="137" spans="1:4" ht="12.75">
      <c r="A137" s="21"/>
      <c r="B137" s="22"/>
      <c r="C137" s="21"/>
      <c r="D137" s="21"/>
    </row>
    <row r="138" spans="1:4" ht="12.75">
      <c r="A138" s="21"/>
      <c r="B138" s="22"/>
      <c r="C138" s="21"/>
      <c r="D138" s="21"/>
    </row>
    <row r="139" spans="1:4" ht="12.75">
      <c r="A139" s="21"/>
      <c r="B139" s="22"/>
      <c r="C139" s="21"/>
      <c r="D139" s="21"/>
    </row>
    <row r="140" spans="1:4" ht="12.75">
      <c r="A140" s="21"/>
      <c r="B140" s="22"/>
      <c r="C140" s="21"/>
      <c r="D140" s="21"/>
    </row>
    <row r="141" spans="1:4" ht="12.75">
      <c r="A141" s="21"/>
      <c r="B141" s="22"/>
      <c r="C141" s="21"/>
      <c r="D141" s="21"/>
    </row>
    <row r="142" spans="1:4" ht="12.75">
      <c r="A142" s="21"/>
      <c r="B142" s="22"/>
      <c r="C142" s="21"/>
      <c r="D142" s="21"/>
    </row>
    <row r="143" spans="1:4" ht="12.75">
      <c r="A143" s="21"/>
      <c r="B143" s="22"/>
      <c r="C143" s="21"/>
      <c r="D143" s="21"/>
    </row>
    <row r="144" spans="1:4" ht="12.75">
      <c r="A144" s="21"/>
      <c r="B144" s="22"/>
      <c r="C144" s="21"/>
      <c r="D144" s="21"/>
    </row>
    <row r="145" spans="1:4" ht="12.75">
      <c r="A145" s="21"/>
      <c r="B145" s="22"/>
      <c r="C145" s="21"/>
      <c r="D145" s="21"/>
    </row>
    <row r="146" spans="1:4" ht="12.75">
      <c r="A146" s="21"/>
      <c r="B146" s="22"/>
      <c r="C146" s="21"/>
      <c r="D146" s="21"/>
    </row>
    <row r="147" spans="1:4" ht="12.75">
      <c r="A147" s="21"/>
      <c r="B147" s="22"/>
      <c r="C147" s="21"/>
      <c r="D147" s="21"/>
    </row>
    <row r="148" spans="1:4" ht="12.75">
      <c r="A148" s="21"/>
      <c r="B148" s="22"/>
      <c r="C148" s="21"/>
      <c r="D148" s="21"/>
    </row>
    <row r="149" spans="1:4" ht="12.75">
      <c r="A149" s="21"/>
      <c r="B149" s="22"/>
      <c r="C149" s="21"/>
      <c r="D149" s="21"/>
    </row>
    <row r="150" spans="1:4" ht="12.75">
      <c r="A150" s="21"/>
      <c r="B150" s="22"/>
      <c r="C150" s="21"/>
      <c r="D150" s="21"/>
    </row>
    <row r="151" spans="1:4" ht="12.75">
      <c r="A151" s="21"/>
      <c r="B151" s="22"/>
      <c r="C151" s="21"/>
      <c r="D151" s="21"/>
    </row>
    <row r="152" spans="1:4" ht="12.75">
      <c r="A152" s="21"/>
      <c r="B152" s="22"/>
      <c r="C152" s="21"/>
      <c r="D152" s="21"/>
    </row>
    <row r="153" spans="1:4" ht="12.75">
      <c r="A153" s="21"/>
      <c r="B153" s="22"/>
      <c r="C153" s="21"/>
      <c r="D153" s="21"/>
    </row>
    <row r="154" spans="1:4" ht="12.75">
      <c r="A154" s="21"/>
      <c r="B154" s="22"/>
      <c r="C154" s="21"/>
      <c r="D154" s="21"/>
    </row>
    <row r="155" spans="1:4" ht="12.75">
      <c r="A155" s="21"/>
      <c r="B155" s="22"/>
      <c r="C155" s="21"/>
      <c r="D155" s="21"/>
    </row>
    <row r="156" spans="1:4" ht="12.75">
      <c r="A156" s="21"/>
      <c r="B156" s="22"/>
      <c r="C156" s="21"/>
      <c r="D156" s="21"/>
    </row>
    <row r="157" spans="1:4" ht="12.75">
      <c r="A157" s="21"/>
      <c r="B157" s="22"/>
      <c r="C157" s="21"/>
      <c r="D157" s="21"/>
    </row>
    <row r="158" spans="1:4" ht="12.75">
      <c r="A158" s="21"/>
      <c r="B158" s="22"/>
      <c r="C158" s="21"/>
      <c r="D158" s="21"/>
    </row>
    <row r="159" spans="1:4" ht="12.75">
      <c r="A159" s="21"/>
      <c r="B159" s="22"/>
      <c r="C159" s="21"/>
      <c r="D159" s="21"/>
    </row>
    <row r="160" spans="1:4" ht="12.75">
      <c r="A160" s="21"/>
      <c r="B160" s="22"/>
      <c r="C160" s="21"/>
      <c r="D160" s="21"/>
    </row>
    <row r="161" spans="1:4" ht="12.75">
      <c r="A161" s="21"/>
      <c r="B161" s="22"/>
      <c r="C161" s="21"/>
      <c r="D161" s="21"/>
    </row>
    <row r="162" spans="1:4" ht="12.75">
      <c r="A162" s="21"/>
      <c r="B162" s="22"/>
      <c r="C162" s="21"/>
      <c r="D162" s="21"/>
    </row>
    <row r="163" spans="1:4" ht="12.75">
      <c r="A163" s="21"/>
      <c r="B163" s="22"/>
      <c r="C163" s="21"/>
      <c r="D163" s="21"/>
    </row>
    <row r="164" spans="1:4" ht="12.75">
      <c r="A164" s="21"/>
      <c r="B164" s="22"/>
      <c r="C164" s="21"/>
      <c r="D164" s="21"/>
    </row>
    <row r="165" spans="1:4" ht="12.75">
      <c r="A165" s="21"/>
      <c r="B165" s="22"/>
      <c r="C165" s="21"/>
      <c r="D165" s="21"/>
    </row>
    <row r="166" spans="1:4" ht="12.75">
      <c r="A166" s="21"/>
      <c r="B166" s="22"/>
      <c r="C166" s="21"/>
      <c r="D166" s="21"/>
    </row>
    <row r="167" spans="1:4" ht="12.75">
      <c r="A167" s="21"/>
      <c r="B167" s="22"/>
      <c r="C167" s="21"/>
      <c r="D167" s="21"/>
    </row>
    <row r="168" spans="1:4" ht="12.75">
      <c r="A168" s="21"/>
      <c r="B168" s="22"/>
      <c r="C168" s="21"/>
      <c r="D168" s="21"/>
    </row>
    <row r="169" spans="1:4" ht="12.75">
      <c r="A169" s="21"/>
      <c r="B169" s="22"/>
      <c r="C169" s="21"/>
      <c r="D169" s="21"/>
    </row>
    <row r="170" spans="1:4" ht="12.75">
      <c r="A170" s="21"/>
      <c r="B170" s="22"/>
      <c r="C170" s="21"/>
      <c r="D170" s="21"/>
    </row>
    <row r="171" spans="1:4" ht="12.75">
      <c r="A171" s="21"/>
      <c r="B171" s="22"/>
      <c r="C171" s="21"/>
      <c r="D171" s="21"/>
    </row>
    <row r="172" spans="1:4" ht="12.75">
      <c r="A172" s="21"/>
      <c r="B172" s="22"/>
      <c r="C172" s="21"/>
      <c r="D172" s="21"/>
    </row>
    <row r="173" spans="1:4" ht="12.75">
      <c r="A173" s="21"/>
      <c r="B173" s="22"/>
      <c r="C173" s="21"/>
      <c r="D173" s="21"/>
    </row>
    <row r="174" spans="1:4" ht="12.75">
      <c r="A174" s="21"/>
      <c r="B174" s="22"/>
      <c r="C174" s="21"/>
      <c r="D174" s="21"/>
    </row>
    <row r="175" spans="1:4" ht="12.75">
      <c r="A175" s="21"/>
      <c r="B175" s="22"/>
      <c r="C175" s="21"/>
      <c r="D175" s="21"/>
    </row>
    <row r="176" spans="1:4" ht="12.75">
      <c r="A176" s="21"/>
      <c r="B176" s="22"/>
      <c r="C176" s="21"/>
      <c r="D176" s="21"/>
    </row>
    <row r="177" spans="1:4" ht="12.75">
      <c r="A177" s="21"/>
      <c r="B177" s="22"/>
      <c r="C177" s="21"/>
      <c r="D177" s="21"/>
    </row>
    <row r="178" spans="1:4" ht="12.75">
      <c r="A178" s="21"/>
      <c r="B178" s="22"/>
      <c r="C178" s="21"/>
      <c r="D178" s="21"/>
    </row>
    <row r="179" spans="1:4" ht="12.75">
      <c r="A179" s="21"/>
      <c r="B179" s="22"/>
      <c r="C179" s="21"/>
      <c r="D179" s="21"/>
    </row>
    <row r="180" spans="1:4" ht="12.75">
      <c r="A180" s="21"/>
      <c r="B180" s="22"/>
      <c r="C180" s="21"/>
      <c r="D180" s="21"/>
    </row>
    <row r="181" spans="1:4" ht="12.75">
      <c r="A181" s="21"/>
      <c r="B181" s="22"/>
      <c r="C181" s="21"/>
      <c r="D181" s="21"/>
    </row>
    <row r="182" spans="1:4" ht="12.75">
      <c r="A182" s="21"/>
      <c r="B182" s="22"/>
      <c r="C182" s="21"/>
      <c r="D182" s="21"/>
    </row>
    <row r="183" spans="1:4" ht="12.75">
      <c r="A183" s="21"/>
      <c r="B183" s="22"/>
      <c r="C183" s="21"/>
      <c r="D183" s="21"/>
    </row>
    <row r="184" spans="1:4" ht="12.75">
      <c r="A184" s="21"/>
      <c r="B184" s="22"/>
      <c r="C184" s="21"/>
      <c r="D184" s="21"/>
    </row>
    <row r="185" spans="1:4" ht="12.75">
      <c r="A185" s="21"/>
      <c r="B185" s="22"/>
      <c r="C185" s="21"/>
      <c r="D185" s="21"/>
    </row>
    <row r="186" spans="1:4" ht="12.75">
      <c r="A186" s="21"/>
      <c r="B186" s="22"/>
      <c r="C186" s="21"/>
      <c r="D186" s="21"/>
    </row>
    <row r="187" spans="1:4" ht="12.75">
      <c r="A187" s="21"/>
      <c r="B187" s="22"/>
      <c r="C187" s="21"/>
      <c r="D187" s="21"/>
    </row>
    <row r="188" spans="1:4" ht="12.75">
      <c r="A188" s="21"/>
      <c r="B188" s="22"/>
      <c r="C188" s="21"/>
      <c r="D188" s="21"/>
    </row>
    <row r="189" spans="1:4" ht="12.75">
      <c r="A189" s="21"/>
      <c r="B189" s="22"/>
      <c r="C189" s="21"/>
      <c r="D189" s="21"/>
    </row>
    <row r="190" spans="1:4" ht="12.75">
      <c r="A190" s="21"/>
      <c r="B190" s="22"/>
      <c r="C190" s="21"/>
      <c r="D190" s="21"/>
    </row>
    <row r="191" spans="1:4" ht="12.75">
      <c r="A191" s="21"/>
      <c r="B191" s="22"/>
      <c r="C191" s="21"/>
      <c r="D191" s="21"/>
    </row>
    <row r="192" spans="1:4" ht="12.75">
      <c r="A192" s="21"/>
      <c r="B192" s="22"/>
      <c r="C192" s="21"/>
      <c r="D192" s="21"/>
    </row>
    <row r="193" spans="1:4" ht="12.75">
      <c r="A193" s="21"/>
      <c r="B193" s="22"/>
      <c r="C193" s="21"/>
      <c r="D193" s="21"/>
    </row>
    <row r="194" spans="1:4" ht="12.75">
      <c r="A194" s="21"/>
      <c r="B194" s="22"/>
      <c r="C194" s="21"/>
      <c r="D194" s="21"/>
    </row>
    <row r="195" spans="1:4" ht="12.75">
      <c r="A195" s="21"/>
      <c r="B195" s="22"/>
      <c r="C195" s="21"/>
      <c r="D195" s="21"/>
    </row>
    <row r="196" spans="1:4" ht="12.75">
      <c r="A196" s="21"/>
      <c r="B196" s="22"/>
      <c r="C196" s="21"/>
      <c r="D196" s="21"/>
    </row>
    <row r="197" spans="1:4" ht="12.75">
      <c r="A197" s="21"/>
      <c r="B197" s="22"/>
      <c r="C197" s="21"/>
      <c r="D197" s="21"/>
    </row>
    <row r="198" spans="1:4" ht="12.75">
      <c r="A198" s="21"/>
      <c r="B198" s="22"/>
      <c r="C198" s="21"/>
      <c r="D198" s="21"/>
    </row>
    <row r="199" spans="1:4" ht="12.75">
      <c r="A199" s="21"/>
      <c r="B199" s="22"/>
      <c r="C199" s="21"/>
      <c r="D199" s="21"/>
    </row>
    <row r="200" spans="1:4" ht="12.75">
      <c r="A200" s="21"/>
      <c r="B200" s="22"/>
      <c r="C200" s="21"/>
      <c r="D200" s="21"/>
    </row>
    <row r="201" spans="1:4" ht="12.75">
      <c r="A201" s="21"/>
      <c r="B201" s="22"/>
      <c r="C201" s="21"/>
      <c r="D201" s="21"/>
    </row>
    <row r="202" spans="1:4" ht="12.75">
      <c r="A202" s="21"/>
      <c r="B202" s="22"/>
      <c r="C202" s="21"/>
      <c r="D202" s="21"/>
    </row>
    <row r="203" spans="1:4" ht="12.75">
      <c r="A203" s="21"/>
      <c r="B203" s="22"/>
      <c r="C203" s="21"/>
      <c r="D203" s="21"/>
    </row>
    <row r="204" spans="1:4" ht="12.75">
      <c r="A204" s="21"/>
      <c r="B204" s="22"/>
      <c r="C204" s="21"/>
      <c r="D204" s="21"/>
    </row>
    <row r="205" spans="1:4" ht="12.75">
      <c r="A205" s="21"/>
      <c r="B205" s="22"/>
      <c r="C205" s="21"/>
      <c r="D205" s="21"/>
    </row>
    <row r="206" spans="1:4" ht="12.75">
      <c r="A206" s="21"/>
      <c r="B206" s="22"/>
      <c r="C206" s="21"/>
      <c r="D206" s="21"/>
    </row>
    <row r="207" spans="1:4" ht="12.75">
      <c r="A207" s="21"/>
      <c r="B207" s="22"/>
      <c r="C207" s="21"/>
      <c r="D207" s="21"/>
    </row>
    <row r="208" spans="1:4" ht="12.75">
      <c r="A208" s="21"/>
      <c r="B208" s="22"/>
      <c r="C208" s="21"/>
      <c r="D208" s="21"/>
    </row>
    <row r="209" spans="1:4" ht="12.75">
      <c r="A209" s="21"/>
      <c r="B209" s="22"/>
      <c r="C209" s="21"/>
      <c r="D209" s="21"/>
    </row>
    <row r="210" spans="1:4" ht="12.75">
      <c r="A210" s="21"/>
      <c r="B210" s="22"/>
      <c r="C210" s="21"/>
      <c r="D210" s="21"/>
    </row>
    <row r="211" spans="1:4" ht="12.75">
      <c r="A211" s="21"/>
      <c r="B211" s="22"/>
      <c r="C211" s="21"/>
      <c r="D211" s="21"/>
    </row>
    <row r="212" spans="1:4" ht="12.75">
      <c r="A212" s="21"/>
      <c r="B212" s="22"/>
      <c r="C212" s="21"/>
      <c r="D212" s="21"/>
    </row>
    <row r="213" spans="1:4" ht="12.75">
      <c r="A213" s="21"/>
      <c r="B213" s="22"/>
      <c r="C213" s="21"/>
      <c r="D213" s="21"/>
    </row>
    <row r="214" spans="1:4" ht="12.75">
      <c r="A214" s="21"/>
      <c r="B214" s="22"/>
      <c r="C214" s="21"/>
      <c r="D214" s="21"/>
    </row>
    <row r="215" spans="1:4" ht="12.75">
      <c r="A215" s="21"/>
      <c r="B215" s="22"/>
      <c r="C215" s="21"/>
      <c r="D215" s="21"/>
    </row>
    <row r="216" spans="1:4" ht="12.75">
      <c r="A216" s="21"/>
      <c r="B216" s="22"/>
      <c r="C216" s="21"/>
      <c r="D216" s="21"/>
    </row>
    <row r="217" spans="1:4" ht="12.75">
      <c r="A217" s="21"/>
      <c r="B217" s="22"/>
      <c r="C217" s="21"/>
      <c r="D217" s="21"/>
    </row>
    <row r="218" spans="1:4" ht="12.75">
      <c r="A218" s="21"/>
      <c r="B218" s="22"/>
      <c r="C218" s="21"/>
      <c r="D218" s="21"/>
    </row>
    <row r="219" spans="1:4" ht="12.75">
      <c r="A219" s="21"/>
      <c r="B219" s="22"/>
      <c r="C219" s="21"/>
      <c r="D219" s="21"/>
    </row>
    <row r="220" spans="1:4" ht="12.75">
      <c r="A220" s="21"/>
      <c r="B220" s="22"/>
      <c r="C220" s="21"/>
      <c r="D220" s="21"/>
    </row>
    <row r="221" spans="1:4" ht="12.75">
      <c r="A221" s="21"/>
      <c r="B221" s="22"/>
      <c r="C221" s="21"/>
      <c r="D221" s="21"/>
    </row>
    <row r="222" spans="1:4" ht="12.75">
      <c r="A222" s="21"/>
      <c r="B222" s="22"/>
      <c r="C222" s="21"/>
      <c r="D222" s="21"/>
    </row>
    <row r="223" spans="1:4" ht="12.75">
      <c r="A223" s="21"/>
      <c r="B223" s="22"/>
      <c r="C223" s="21"/>
      <c r="D223" s="21"/>
    </row>
    <row r="224" spans="1:4" ht="12.75">
      <c r="A224" s="21"/>
      <c r="B224" s="22"/>
      <c r="C224" s="21"/>
      <c r="D224" s="21"/>
    </row>
    <row r="225" spans="1:4" ht="12.75">
      <c r="A225" s="21"/>
      <c r="B225" s="22"/>
      <c r="C225" s="21"/>
      <c r="D225" s="21"/>
    </row>
    <row r="226" spans="1:4" ht="12.75">
      <c r="A226" s="21"/>
      <c r="B226" s="22"/>
      <c r="C226" s="21"/>
      <c r="D226" s="21"/>
    </row>
    <row r="227" spans="1:4" ht="12.75">
      <c r="A227" s="21"/>
      <c r="B227" s="22"/>
      <c r="C227" s="21"/>
      <c r="D227" s="21"/>
    </row>
    <row r="228" spans="1:4" ht="12.75">
      <c r="A228" s="21"/>
      <c r="B228" s="22"/>
      <c r="C228" s="21"/>
      <c r="D228" s="21"/>
    </row>
    <row r="229" spans="1:4" ht="12.75">
      <c r="A229" s="21"/>
      <c r="B229" s="22"/>
      <c r="C229" s="21"/>
      <c r="D229" s="21"/>
    </row>
    <row r="230" spans="1:4" ht="12.75">
      <c r="A230" s="21"/>
      <c r="B230" s="22"/>
      <c r="C230" s="21"/>
      <c r="D230" s="21"/>
    </row>
    <row r="231" spans="1:4" ht="12.75">
      <c r="A231" s="21"/>
      <c r="B231" s="22"/>
      <c r="C231" s="21"/>
      <c r="D231" s="21"/>
    </row>
    <row r="232" spans="1:4" ht="12.75">
      <c r="A232" s="21"/>
      <c r="B232" s="22"/>
      <c r="C232" s="21"/>
      <c r="D232" s="21"/>
    </row>
    <row r="233" spans="1:4" ht="12.75">
      <c r="A233" s="21"/>
      <c r="B233" s="22"/>
      <c r="C233" s="21"/>
      <c r="D233" s="21"/>
    </row>
    <row r="234" spans="1:4" ht="12.75">
      <c r="A234" s="21"/>
      <c r="B234" s="22"/>
      <c r="C234" s="21"/>
      <c r="D234" s="21"/>
    </row>
    <row r="235" spans="1:4" ht="12.75">
      <c r="A235" s="21"/>
      <c r="B235" s="22"/>
      <c r="C235" s="21"/>
      <c r="D235" s="21"/>
    </row>
    <row r="236" spans="1:4" ht="12.75">
      <c r="A236" s="21"/>
      <c r="B236" s="22"/>
      <c r="C236" s="21"/>
      <c r="D236" s="21"/>
    </row>
    <row r="237" spans="1:4" ht="12.75">
      <c r="A237" s="21"/>
      <c r="B237" s="22"/>
      <c r="C237" s="21"/>
      <c r="D237" s="21"/>
    </row>
    <row r="238" spans="1:4" ht="12.75">
      <c r="A238" s="21"/>
      <c r="B238" s="22"/>
      <c r="C238" s="21"/>
      <c r="D238" s="21"/>
    </row>
    <row r="239" spans="1:4" ht="12.75">
      <c r="A239" s="21"/>
      <c r="B239" s="22"/>
      <c r="C239" s="21"/>
      <c r="D239" s="21"/>
    </row>
    <row r="240" spans="1:4" ht="12.75">
      <c r="A240" s="21"/>
      <c r="B240" s="22"/>
      <c r="C240" s="21"/>
      <c r="D240" s="21"/>
    </row>
    <row r="241" spans="1:4" ht="12.75">
      <c r="A241" s="21"/>
      <c r="B241" s="22"/>
      <c r="C241" s="21"/>
      <c r="D241" s="21"/>
    </row>
    <row r="242" spans="1:4" ht="12.75">
      <c r="A242" s="21"/>
      <c r="B242" s="22"/>
      <c r="C242" s="21"/>
      <c r="D242" s="21"/>
    </row>
    <row r="243" spans="1:4" ht="12.75">
      <c r="A243" s="21"/>
      <c r="B243" s="22"/>
      <c r="C243" s="21"/>
      <c r="D243" s="21"/>
    </row>
    <row r="244" spans="1:4" ht="12.75">
      <c r="A244" s="21"/>
      <c r="B244" s="22"/>
      <c r="C244" s="21"/>
      <c r="D244" s="21"/>
    </row>
    <row r="245" spans="1:4" ht="12.75">
      <c r="A245" s="21"/>
      <c r="B245" s="22"/>
      <c r="C245" s="21"/>
      <c r="D245" s="21"/>
    </row>
    <row r="246" spans="1:4" ht="12.75">
      <c r="A246" s="21"/>
      <c r="B246" s="22"/>
      <c r="C246" s="21"/>
      <c r="D246" s="21"/>
    </row>
    <row r="247" spans="1:4" ht="12.75">
      <c r="A247" s="21"/>
      <c r="B247" s="22"/>
      <c r="C247" s="21"/>
      <c r="D247" s="21"/>
    </row>
    <row r="248" spans="1:4" ht="12.75">
      <c r="A248" s="21"/>
      <c r="B248" s="22"/>
      <c r="C248" s="21"/>
      <c r="D248" s="21"/>
    </row>
    <row r="249" spans="1:4" ht="12.75">
      <c r="A249" s="21"/>
      <c r="B249" s="22"/>
      <c r="C249" s="21"/>
      <c r="D249" s="21"/>
    </row>
    <row r="250" spans="1:4" ht="12.75">
      <c r="A250" s="21"/>
      <c r="B250" s="22"/>
      <c r="C250" s="21"/>
      <c r="D250" s="21"/>
    </row>
    <row r="251" spans="1:4" ht="12.75">
      <c r="A251" s="21"/>
      <c r="B251" s="22"/>
      <c r="C251" s="21"/>
      <c r="D251" s="21"/>
    </row>
    <row r="252" spans="1:4" ht="12.75">
      <c r="A252" s="21"/>
      <c r="B252" s="22"/>
      <c r="C252" s="21"/>
      <c r="D252" s="21"/>
    </row>
    <row r="253" spans="1:4" ht="12.75">
      <c r="A253" s="21"/>
      <c r="B253" s="22"/>
      <c r="C253" s="21"/>
      <c r="D253" s="21"/>
    </row>
    <row r="254" spans="1:4" ht="12.75">
      <c r="A254" s="21"/>
      <c r="B254" s="22"/>
      <c r="C254" s="21"/>
      <c r="D254" s="21"/>
    </row>
    <row r="255" spans="1:4" ht="12.75">
      <c r="A255" s="21"/>
      <c r="B255" s="22"/>
      <c r="C255" s="21"/>
      <c r="D255" s="21"/>
    </row>
    <row r="256" spans="1:4" ht="12.75">
      <c r="A256" s="21"/>
      <c r="B256" s="22"/>
      <c r="C256" s="21"/>
      <c r="D256" s="21"/>
    </row>
    <row r="257" spans="1:4" ht="12.75">
      <c r="A257" s="21"/>
      <c r="B257" s="22"/>
      <c r="C257" s="21"/>
      <c r="D257" s="21"/>
    </row>
    <row r="258" spans="1:4" ht="12.75">
      <c r="A258" s="21"/>
      <c r="B258" s="22"/>
      <c r="C258" s="21"/>
      <c r="D258" s="21"/>
    </row>
    <row r="259" spans="1:4" ht="12.75">
      <c r="A259" s="21"/>
      <c r="B259" s="22"/>
      <c r="C259" s="21"/>
      <c r="D259" s="21"/>
    </row>
    <row r="260" spans="1:4" ht="12.75">
      <c r="A260" s="21"/>
      <c r="B260" s="22"/>
      <c r="C260" s="21"/>
      <c r="D260" s="21"/>
    </row>
    <row r="261" spans="1:4" ht="12.75">
      <c r="A261" s="21"/>
      <c r="B261" s="22"/>
      <c r="C261" s="21"/>
      <c r="D261" s="21"/>
    </row>
    <row r="262" spans="1:4" ht="12.75">
      <c r="A262" s="21"/>
      <c r="B262" s="22"/>
      <c r="C262" s="21"/>
      <c r="D262" s="21"/>
    </row>
    <row r="263" spans="1:4" ht="12.75">
      <c r="A263" s="21"/>
      <c r="B263" s="22"/>
      <c r="C263" s="21"/>
      <c r="D263" s="21"/>
    </row>
    <row r="264" spans="1:4" ht="12.75">
      <c r="A264" s="21"/>
      <c r="B264" s="22"/>
      <c r="C264" s="21"/>
      <c r="D264" s="21"/>
    </row>
    <row r="265" spans="1:4" ht="12.75">
      <c r="A265" s="21"/>
      <c r="B265" s="22"/>
      <c r="C265" s="21"/>
      <c r="D265" s="21"/>
    </row>
    <row r="266" spans="1:4" ht="12.75">
      <c r="A266" s="21"/>
      <c r="B266" s="22"/>
      <c r="C266" s="21"/>
      <c r="D266" s="21"/>
    </row>
    <row r="267" spans="1:4" ht="12.75">
      <c r="A267" s="21"/>
      <c r="B267" s="22"/>
      <c r="C267" s="21"/>
      <c r="D267" s="21"/>
    </row>
    <row r="268" spans="1:4" ht="12.75">
      <c r="A268" s="21"/>
      <c r="B268" s="22"/>
      <c r="C268" s="21"/>
      <c r="D268" s="21"/>
    </row>
    <row r="269" spans="1:4" ht="12.75">
      <c r="A269" s="21"/>
      <c r="B269" s="22"/>
      <c r="C269" s="21"/>
      <c r="D269" s="21"/>
    </row>
    <row r="270" spans="1:4" ht="12.75">
      <c r="A270" s="21"/>
      <c r="B270" s="22"/>
      <c r="C270" s="21"/>
      <c r="D270" s="21"/>
    </row>
    <row r="271" spans="1:4" ht="12.75">
      <c r="A271" s="21"/>
      <c r="B271" s="22"/>
      <c r="C271" s="21"/>
      <c r="D271" s="21"/>
    </row>
    <row r="272" spans="1:4" ht="12.75">
      <c r="A272" s="21"/>
      <c r="B272" s="22"/>
      <c r="C272" s="21"/>
      <c r="D272" s="21"/>
    </row>
    <row r="273" spans="1:4" ht="12.75">
      <c r="A273" s="21"/>
      <c r="B273" s="22"/>
      <c r="C273" s="21"/>
      <c r="D273" s="21"/>
    </row>
    <row r="274" spans="1:4" ht="12.75">
      <c r="A274" s="21"/>
      <c r="B274" s="22"/>
      <c r="C274" s="21"/>
      <c r="D274" s="21"/>
    </row>
    <row r="275" spans="1:4" ht="12.75">
      <c r="A275" s="21"/>
      <c r="B275" s="22"/>
      <c r="C275" s="21"/>
      <c r="D275" s="21"/>
    </row>
    <row r="276" spans="1:4" ht="12.75">
      <c r="A276" s="21"/>
      <c r="B276" s="22"/>
      <c r="C276" s="21"/>
      <c r="D276" s="21"/>
    </row>
    <row r="277" spans="1:4" ht="12.75">
      <c r="A277" s="21"/>
      <c r="B277" s="22"/>
      <c r="C277" s="21"/>
      <c r="D277" s="21"/>
    </row>
    <row r="278" spans="1:4" ht="12.75">
      <c r="A278" s="21"/>
      <c r="B278" s="22"/>
      <c r="C278" s="21"/>
      <c r="D278" s="21"/>
    </row>
    <row r="279" spans="1:4" ht="12.75">
      <c r="A279" s="21"/>
      <c r="B279" s="22"/>
      <c r="C279" s="21"/>
      <c r="D279" s="21"/>
    </row>
    <row r="280" spans="1:4" ht="12.75">
      <c r="A280" s="21"/>
      <c r="B280" s="22"/>
      <c r="C280" s="21"/>
      <c r="D280" s="21"/>
    </row>
    <row r="281" spans="1:4" ht="12.75">
      <c r="A281" s="21"/>
      <c r="B281" s="22"/>
      <c r="C281" s="21"/>
      <c r="D281" s="21"/>
    </row>
    <row r="282" spans="1:4" ht="12.75">
      <c r="A282" s="21"/>
      <c r="B282" s="22"/>
      <c r="C282" s="21"/>
      <c r="D282" s="21"/>
    </row>
    <row r="283" spans="1:4" ht="12.75">
      <c r="A283" s="21"/>
      <c r="B283" s="22"/>
      <c r="C283" s="21"/>
      <c r="D283" s="21"/>
    </row>
    <row r="284" spans="1:4" ht="12.75">
      <c r="A284" s="21"/>
      <c r="B284" s="22"/>
      <c r="C284" s="21"/>
      <c r="D284" s="21"/>
    </row>
    <row r="285" spans="1:4" ht="12.75">
      <c r="A285" s="21"/>
      <c r="B285" s="22"/>
      <c r="C285" s="21"/>
      <c r="D285" s="21"/>
    </row>
    <row r="286" spans="1:4" ht="12.75">
      <c r="A286" s="21"/>
      <c r="B286" s="22"/>
      <c r="C286" s="21"/>
      <c r="D286" s="21"/>
    </row>
    <row r="287" spans="1:4" ht="12.75">
      <c r="A287" s="21"/>
      <c r="B287" s="22"/>
      <c r="C287" s="21"/>
      <c r="D287" s="21"/>
    </row>
    <row r="288" spans="1:4" ht="12.75">
      <c r="A288" s="21"/>
      <c r="B288" s="22"/>
      <c r="C288" s="21"/>
      <c r="D288" s="21"/>
    </row>
    <row r="289" spans="1:4" ht="12.75">
      <c r="A289" s="21"/>
      <c r="B289" s="22"/>
      <c r="C289" s="21"/>
      <c r="D289" s="21"/>
    </row>
    <row r="290" spans="1:4" ht="12.75">
      <c r="A290" s="21"/>
      <c r="B290" s="22"/>
      <c r="C290" s="21"/>
      <c r="D290" s="21"/>
    </row>
    <row r="291" spans="1:4" ht="12.75">
      <c r="A291" s="21"/>
      <c r="B291" s="22"/>
      <c r="C291" s="21"/>
      <c r="D291" s="21"/>
    </row>
    <row r="292" spans="1:4" ht="12.75">
      <c r="A292" s="21"/>
      <c r="B292" s="22"/>
      <c r="C292" s="21"/>
      <c r="D292" s="21"/>
    </row>
    <row r="293" spans="1:4" ht="12.75">
      <c r="A293" s="21"/>
      <c r="B293" s="22"/>
      <c r="C293" s="21"/>
      <c r="D293" s="21"/>
    </row>
    <row r="294" spans="1:4" ht="12.75">
      <c r="A294" s="21"/>
      <c r="B294" s="22"/>
      <c r="C294" s="21"/>
      <c r="D294" s="21"/>
    </row>
    <row r="295" spans="1:4" ht="12.75">
      <c r="A295" s="21"/>
      <c r="B295" s="22"/>
      <c r="C295" s="21"/>
      <c r="D295" s="21"/>
    </row>
    <row r="296" spans="1:4" ht="12.75">
      <c r="A296" s="21"/>
      <c r="B296" s="22"/>
      <c r="C296" s="21"/>
      <c r="D296" s="21"/>
    </row>
    <row r="297" spans="1:4" ht="12.75">
      <c r="A297" s="21"/>
      <c r="B297" s="22"/>
      <c r="C297" s="21"/>
      <c r="D297" s="21"/>
    </row>
    <row r="298" spans="1:4" ht="12.75">
      <c r="A298" s="21"/>
      <c r="B298" s="22"/>
      <c r="C298" s="21"/>
      <c r="D298" s="21"/>
    </row>
    <row r="299" spans="1:4" ht="12.75">
      <c r="A299" s="21"/>
      <c r="B299" s="22"/>
      <c r="C299" s="21"/>
      <c r="D299" s="21"/>
    </row>
    <row r="300" spans="1:4" ht="12.75">
      <c r="A300" s="21"/>
      <c r="B300" s="22"/>
      <c r="C300" s="21"/>
      <c r="D300" s="21"/>
    </row>
    <row r="301" spans="1:4" ht="12.75">
      <c r="A301" s="21"/>
      <c r="B301" s="22"/>
      <c r="C301" s="21"/>
      <c r="D301" s="21"/>
    </row>
    <row r="302" spans="1:4" ht="12.75">
      <c r="A302" s="21"/>
      <c r="B302" s="22"/>
      <c r="C302" s="21"/>
      <c r="D302" s="21"/>
    </row>
    <row r="303" spans="1:4" ht="12.75">
      <c r="A303" s="21"/>
      <c r="B303" s="22"/>
      <c r="C303" s="21"/>
      <c r="D303" s="21"/>
    </row>
    <row r="304" spans="1:4" ht="12.75">
      <c r="A304" s="21"/>
      <c r="B304" s="22"/>
      <c r="C304" s="21"/>
      <c r="D304" s="21"/>
    </row>
    <row r="305" spans="1:4" ht="12.75">
      <c r="A305" s="21"/>
      <c r="B305" s="22"/>
      <c r="C305" s="21"/>
      <c r="D305" s="21"/>
    </row>
    <row r="306" spans="1:4" ht="12.75">
      <c r="A306" s="21"/>
      <c r="B306" s="22"/>
      <c r="C306" s="21"/>
      <c r="D306" s="21"/>
    </row>
    <row r="307" spans="1:4" ht="12.75">
      <c r="A307" s="21"/>
      <c r="B307" s="22"/>
      <c r="C307" s="21"/>
      <c r="D307" s="21"/>
    </row>
    <row r="308" spans="1:4" ht="12.75">
      <c r="A308" s="21"/>
      <c r="B308" s="22"/>
      <c r="C308" s="21"/>
      <c r="D308" s="21"/>
    </row>
    <row r="309" spans="1:4" ht="12.75">
      <c r="A309" s="21"/>
      <c r="B309" s="22"/>
      <c r="C309" s="21"/>
      <c r="D309" s="21"/>
    </row>
    <row r="310" spans="1:4" ht="12.75">
      <c r="A310" s="21"/>
      <c r="B310" s="22"/>
      <c r="C310" s="21"/>
      <c r="D310" s="21"/>
    </row>
    <row r="311" spans="1:4" ht="12.75">
      <c r="A311" s="21"/>
      <c r="B311" s="22"/>
      <c r="C311" s="21"/>
      <c r="D311" s="21"/>
    </row>
    <row r="312" spans="1:4" ht="12.75">
      <c r="A312" s="21"/>
      <c r="B312" s="22"/>
      <c r="C312" s="21"/>
      <c r="D312" s="21"/>
    </row>
    <row r="313" spans="1:4" ht="12.75">
      <c r="A313" s="21"/>
      <c r="B313" s="22"/>
      <c r="C313" s="21"/>
      <c r="D313" s="21"/>
    </row>
    <row r="314" spans="1:4" ht="12.75">
      <c r="A314" s="21"/>
      <c r="B314" s="22"/>
      <c r="C314" s="21"/>
      <c r="D314" s="21"/>
    </row>
    <row r="315" spans="1:4" ht="12.75">
      <c r="A315" s="21"/>
      <c r="B315" s="22"/>
      <c r="C315" s="21"/>
      <c r="D315" s="21"/>
    </row>
    <row r="316" spans="1:4" ht="12.75">
      <c r="A316" s="21"/>
      <c r="B316" s="22"/>
      <c r="C316" s="21"/>
      <c r="D316" s="21"/>
    </row>
    <row r="317" spans="1:4" ht="12.75">
      <c r="A317" s="21"/>
      <c r="B317" s="22"/>
      <c r="C317" s="21"/>
      <c r="D317" s="21"/>
    </row>
    <row r="318" spans="1:4" ht="12.75">
      <c r="A318" s="21"/>
      <c r="B318" s="22"/>
      <c r="C318" s="21"/>
      <c r="D318" s="21"/>
    </row>
    <row r="319" spans="1:4" ht="12.75">
      <c r="A319" s="21"/>
      <c r="B319" s="22"/>
      <c r="C319" s="21"/>
      <c r="D319" s="21"/>
    </row>
    <row r="320" spans="1:4" ht="12.75">
      <c r="A320" s="21"/>
      <c r="B320" s="22"/>
      <c r="C320" s="21"/>
      <c r="D320" s="21"/>
    </row>
    <row r="321" spans="1:4" ht="12.75">
      <c r="A321" s="21"/>
      <c r="B321" s="22"/>
      <c r="C321" s="21"/>
      <c r="D321" s="21"/>
    </row>
    <row r="322" spans="1:4" ht="12.75">
      <c r="A322" s="21"/>
      <c r="B322" s="22"/>
      <c r="C322" s="21"/>
      <c r="D322" s="21"/>
    </row>
    <row r="323" spans="1:4" ht="12.75">
      <c r="A323" s="21"/>
      <c r="B323" s="22"/>
      <c r="C323" s="21"/>
      <c r="D323" s="21"/>
    </row>
    <row r="324" spans="1:4" ht="12.75">
      <c r="A324" s="21"/>
      <c r="B324" s="22"/>
      <c r="C324" s="21"/>
      <c r="D324" s="21"/>
    </row>
    <row r="325" spans="1:4" ht="12.75">
      <c r="A325" s="21"/>
      <c r="B325" s="22"/>
      <c r="C325" s="21"/>
      <c r="D325" s="21"/>
    </row>
    <row r="326" spans="1:4" ht="12.75">
      <c r="A326" s="21"/>
      <c r="B326" s="22"/>
      <c r="C326" s="21"/>
      <c r="D326" s="21"/>
    </row>
    <row r="327" spans="1:4" ht="12.75">
      <c r="A327" s="21"/>
      <c r="B327" s="22"/>
      <c r="C327" s="21"/>
      <c r="D327" s="21"/>
    </row>
    <row r="328" spans="1:4" ht="12.75">
      <c r="A328" s="21"/>
      <c r="B328" s="22"/>
      <c r="C328" s="21"/>
      <c r="D328" s="21"/>
    </row>
    <row r="329" spans="1:4" ht="12.75">
      <c r="A329" s="21"/>
      <c r="B329" s="22"/>
      <c r="C329" s="21"/>
      <c r="D329" s="21"/>
    </row>
    <row r="330" spans="1:4" ht="12.75">
      <c r="A330" s="21"/>
      <c r="B330" s="22"/>
      <c r="C330" s="21"/>
      <c r="D330" s="21"/>
    </row>
    <row r="331" spans="1:4" ht="12.75">
      <c r="A331" s="21"/>
      <c r="B331" s="22"/>
      <c r="C331" s="21"/>
      <c r="D331" s="21"/>
    </row>
    <row r="332" spans="1:4" ht="12.75">
      <c r="A332" s="21"/>
      <c r="B332" s="22"/>
      <c r="C332" s="21"/>
      <c r="D332" s="21"/>
    </row>
    <row r="333" spans="1:4" ht="12.75">
      <c r="A333" s="21"/>
      <c r="B333" s="22"/>
      <c r="C333" s="21"/>
      <c r="D333" s="21"/>
    </row>
    <row r="334" spans="1:4" ht="12.75">
      <c r="A334" s="21"/>
      <c r="B334" s="22"/>
      <c r="C334" s="21"/>
      <c r="D334" s="21"/>
    </row>
    <row r="335" spans="1:4" ht="12.75">
      <c r="A335" s="21"/>
      <c r="B335" s="22"/>
      <c r="C335" s="21"/>
      <c r="D335" s="21"/>
    </row>
    <row r="336" spans="1:4" ht="12.75">
      <c r="A336" s="21"/>
      <c r="B336" s="22"/>
      <c r="C336" s="21"/>
      <c r="D336" s="21"/>
    </row>
    <row r="337" spans="1:4" ht="12.75">
      <c r="A337" s="21"/>
      <c r="B337" s="22"/>
      <c r="C337" s="21"/>
      <c r="D337" s="21"/>
    </row>
    <row r="338" spans="1:4" ht="12.75">
      <c r="A338" s="21"/>
      <c r="B338" s="22"/>
      <c r="C338" s="21"/>
      <c r="D338" s="21"/>
    </row>
    <row r="339" spans="1:4" ht="12.75">
      <c r="A339" s="21"/>
      <c r="B339" s="22"/>
      <c r="C339" s="21"/>
      <c r="D339" s="21"/>
    </row>
    <row r="340" spans="1:4" ht="12.75">
      <c r="A340" s="21"/>
      <c r="B340" s="22"/>
      <c r="C340" s="21"/>
      <c r="D340" s="21"/>
    </row>
    <row r="341" spans="1:4" ht="12.75">
      <c r="A341" s="21"/>
      <c r="B341" s="22"/>
      <c r="C341" s="21"/>
      <c r="D341" s="21"/>
    </row>
    <row r="342" spans="1:4" ht="12.75">
      <c r="A342" s="21"/>
      <c r="B342" s="22"/>
      <c r="C342" s="21"/>
      <c r="D342" s="21"/>
    </row>
    <row r="343" spans="1:4" ht="12.75">
      <c r="A343" s="21"/>
      <c r="B343" s="22"/>
      <c r="C343" s="21"/>
      <c r="D343" s="21"/>
    </row>
    <row r="344" spans="1:4" ht="12.75">
      <c r="A344" s="21"/>
      <c r="B344" s="22"/>
      <c r="C344" s="21"/>
      <c r="D344" s="21"/>
    </row>
    <row r="345" spans="1:4" ht="12.75">
      <c r="A345" s="21"/>
      <c r="B345" s="22"/>
      <c r="C345" s="21"/>
      <c r="D345" s="21"/>
    </row>
    <row r="346" spans="1:4" ht="12.75">
      <c r="A346" s="21"/>
      <c r="B346" s="22"/>
      <c r="C346" s="21"/>
      <c r="D346" s="21"/>
    </row>
    <row r="347" spans="1:4" ht="12.75">
      <c r="A347" s="21"/>
      <c r="B347" s="22"/>
      <c r="C347" s="21"/>
      <c r="D347" s="21"/>
    </row>
    <row r="348" spans="1:4" ht="12.75">
      <c r="A348" s="21"/>
      <c r="B348" s="22"/>
      <c r="C348" s="21"/>
      <c r="D348" s="21"/>
    </row>
    <row r="349" spans="1:4" ht="12.75">
      <c r="A349" s="21"/>
      <c r="B349" s="22"/>
      <c r="C349" s="21"/>
      <c r="D349" s="21"/>
    </row>
    <row r="350" spans="1:4" ht="12.75">
      <c r="A350" s="21"/>
      <c r="B350" s="22"/>
      <c r="C350" s="21"/>
      <c r="D350" s="21"/>
    </row>
    <row r="351" spans="1:4" ht="12.75">
      <c r="A351" s="21"/>
      <c r="B351" s="22"/>
      <c r="C351" s="21"/>
      <c r="D351" s="21"/>
    </row>
    <row r="352" spans="1:4" ht="12.75">
      <c r="A352" s="21"/>
      <c r="B352" s="22"/>
      <c r="C352" s="21"/>
      <c r="D352" s="21"/>
    </row>
    <row r="353" spans="1:4" ht="12.75">
      <c r="A353" s="21"/>
      <c r="B353" s="22"/>
      <c r="C353" s="21"/>
      <c r="D353" s="21"/>
    </row>
    <row r="354" spans="1:4" ht="12.75">
      <c r="A354" s="21"/>
      <c r="B354" s="22"/>
      <c r="C354" s="21"/>
      <c r="D354" s="21"/>
    </row>
    <row r="355" spans="1:4" ht="12.75">
      <c r="A355" s="21"/>
      <c r="B355" s="22"/>
      <c r="C355" s="21"/>
      <c r="D355" s="21"/>
    </row>
    <row r="356" spans="1:4" ht="12.75">
      <c r="A356" s="21"/>
      <c r="B356" s="22"/>
      <c r="C356" s="21"/>
      <c r="D356" s="21"/>
    </row>
    <row r="357" spans="1:4" ht="12.75">
      <c r="A357" s="21"/>
      <c r="B357" s="22"/>
      <c r="C357" s="21"/>
      <c r="D357" s="21"/>
    </row>
    <row r="358" spans="1:4" ht="12.75">
      <c r="A358" s="21"/>
      <c r="B358" s="22"/>
      <c r="C358" s="21"/>
      <c r="D358" s="21"/>
    </row>
    <row r="359" spans="1:4" ht="12.75">
      <c r="A359" s="21"/>
      <c r="B359" s="22"/>
      <c r="C359" s="21"/>
      <c r="D359" s="21"/>
    </row>
    <row r="360" spans="1:4" ht="12.75">
      <c r="A360" s="21"/>
      <c r="B360" s="22"/>
      <c r="C360" s="21"/>
      <c r="D360" s="21"/>
    </row>
    <row r="361" spans="1:4" ht="12.75">
      <c r="A361" s="21"/>
      <c r="B361" s="22"/>
      <c r="C361" s="21"/>
      <c r="D361" s="21"/>
    </row>
    <row r="362" spans="1:4" ht="12.75">
      <c r="A362" s="21"/>
      <c r="B362" s="22"/>
      <c r="C362" s="21"/>
      <c r="D362" s="21"/>
    </row>
    <row r="363" spans="1:4" ht="12.75">
      <c r="A363" s="21"/>
      <c r="B363" s="22"/>
      <c r="C363" s="21"/>
      <c r="D363" s="21"/>
    </row>
    <row r="364" spans="1:4" ht="12.75">
      <c r="A364" s="21"/>
      <c r="B364" s="22"/>
      <c r="C364" s="21"/>
      <c r="D364" s="21"/>
    </row>
    <row r="365" spans="1:4" ht="12.75">
      <c r="A365" s="21"/>
      <c r="B365" s="22"/>
      <c r="C365" s="21"/>
      <c r="D365" s="21"/>
    </row>
    <row r="366" spans="1:4" ht="12.75">
      <c r="A366" s="21"/>
      <c r="B366" s="22"/>
      <c r="C366" s="21"/>
      <c r="D366" s="21"/>
    </row>
    <row r="367" spans="1:4" ht="12.75">
      <c r="A367" s="21"/>
      <c r="B367" s="22"/>
      <c r="C367" s="21"/>
      <c r="D367" s="21"/>
    </row>
    <row r="368" spans="1:4" ht="12.75">
      <c r="A368" s="21"/>
      <c r="B368" s="22"/>
      <c r="C368" s="21"/>
      <c r="D368" s="21"/>
    </row>
    <row r="369" spans="1:4" ht="12.75">
      <c r="A369" s="21"/>
      <c r="B369" s="22"/>
      <c r="C369" s="21"/>
      <c r="D369" s="21"/>
    </row>
    <row r="370" spans="1:4" ht="12.75">
      <c r="A370" s="21"/>
      <c r="B370" s="22"/>
      <c r="C370" s="21"/>
      <c r="D370" s="21"/>
    </row>
    <row r="371" spans="1:4" ht="12.75">
      <c r="A371" s="21"/>
      <c r="B371" s="22"/>
      <c r="C371" s="21"/>
      <c r="D371" s="21"/>
    </row>
    <row r="372" spans="1:4" ht="12.75">
      <c r="A372" s="21"/>
      <c r="B372" s="22"/>
      <c r="C372" s="21"/>
      <c r="D372" s="21"/>
    </row>
    <row r="373" spans="1:4" ht="12.75">
      <c r="A373" s="21"/>
      <c r="B373" s="22"/>
      <c r="C373" s="21"/>
      <c r="D373" s="21"/>
    </row>
    <row r="374" spans="1:4" ht="12.75">
      <c r="A374" s="21"/>
      <c r="B374" s="22"/>
      <c r="C374" s="21"/>
      <c r="D374" s="21"/>
    </row>
    <row r="375" spans="1:4" ht="12.75">
      <c r="A375" s="21"/>
      <c r="B375" s="22"/>
      <c r="C375" s="21"/>
      <c r="D375" s="21"/>
    </row>
    <row r="376" spans="1:4" ht="12.75">
      <c r="A376" s="21"/>
      <c r="B376" s="22"/>
      <c r="C376" s="21"/>
      <c r="D376" s="21"/>
    </row>
    <row r="377" spans="1:4" ht="12.75">
      <c r="A377" s="21"/>
      <c r="B377" s="22"/>
      <c r="C377" s="21"/>
      <c r="D377" s="21"/>
    </row>
    <row r="378" spans="1:4" ht="12.75">
      <c r="A378" s="21"/>
      <c r="B378" s="22"/>
      <c r="C378" s="21"/>
      <c r="D378" s="21"/>
    </row>
    <row r="379" spans="1:4" ht="12.75">
      <c r="A379" s="21"/>
      <c r="B379" s="22"/>
      <c r="C379" s="21"/>
      <c r="D379" s="21"/>
    </row>
    <row r="380" spans="1:4" ht="12.75">
      <c r="A380" s="21"/>
      <c r="B380" s="22"/>
      <c r="C380" s="21"/>
      <c r="D380" s="21"/>
    </row>
    <row r="381" spans="1:4" ht="12.75">
      <c r="A381" s="21"/>
      <c r="B381" s="22"/>
      <c r="C381" s="21"/>
      <c r="D381" s="21"/>
    </row>
    <row r="382" spans="1:4" ht="12.75">
      <c r="A382" s="21"/>
      <c r="B382" s="22"/>
      <c r="C382" s="21"/>
      <c r="D382" s="21"/>
    </row>
    <row r="383" spans="1:4" ht="12.75">
      <c r="A383" s="21"/>
      <c r="B383" s="22"/>
      <c r="C383" s="21"/>
      <c r="D383" s="21"/>
    </row>
    <row r="384" spans="1:4" ht="12.75">
      <c r="A384" s="21"/>
      <c r="B384" s="22"/>
      <c r="C384" s="21"/>
      <c r="D384" s="21"/>
    </row>
    <row r="385" spans="1:4" ht="12.75">
      <c r="A385" s="21"/>
      <c r="B385" s="22"/>
      <c r="C385" s="21"/>
      <c r="D385" s="21"/>
    </row>
    <row r="386" spans="1:4" ht="12.75">
      <c r="A386" s="21"/>
      <c r="B386" s="22"/>
      <c r="C386" s="21"/>
      <c r="D386" s="21"/>
    </row>
    <row r="387" spans="1:4" ht="12.75">
      <c r="A387" s="21"/>
      <c r="B387" s="22"/>
      <c r="C387" s="21"/>
      <c r="D387" s="21"/>
    </row>
    <row r="388" spans="1:4" ht="12.75">
      <c r="A388" s="21"/>
      <c r="B388" s="22"/>
      <c r="C388" s="21"/>
      <c r="D388" s="21"/>
    </row>
    <row r="389" spans="1:4" ht="12.75">
      <c r="A389" s="21"/>
      <c r="B389" s="22"/>
      <c r="C389" s="21"/>
      <c r="D389" s="21"/>
    </row>
    <row r="390" spans="1:4" ht="12.75">
      <c r="A390" s="21"/>
      <c r="B390" s="22"/>
      <c r="C390" s="21"/>
      <c r="D390" s="21"/>
    </row>
    <row r="391" spans="1:4" ht="12.75">
      <c r="A391" s="21"/>
      <c r="B391" s="22"/>
      <c r="C391" s="21"/>
      <c r="D391" s="21"/>
    </row>
    <row r="392" spans="1:4" ht="12.75">
      <c r="A392" s="21"/>
      <c r="B392" s="22"/>
      <c r="C392" s="21"/>
      <c r="D392" s="21"/>
    </row>
    <row r="393" spans="1:4" ht="12.75">
      <c r="A393" s="21"/>
      <c r="B393" s="22"/>
      <c r="C393" s="21"/>
      <c r="D393" s="21"/>
    </row>
    <row r="394" spans="1:4" ht="12.75">
      <c r="A394" s="21"/>
      <c r="B394" s="22"/>
      <c r="C394" s="21"/>
      <c r="D394" s="21"/>
    </row>
    <row r="395" spans="1:4" ht="12.75">
      <c r="A395" s="21"/>
      <c r="B395" s="22"/>
      <c r="C395" s="21"/>
      <c r="D395" s="21"/>
    </row>
    <row r="396" spans="1:4" ht="12.75">
      <c r="A396" s="21"/>
      <c r="B396" s="22"/>
      <c r="C396" s="21"/>
      <c r="D396" s="21"/>
    </row>
    <row r="397" spans="1:4" ht="12.75">
      <c r="A397" s="21"/>
      <c r="B397" s="22"/>
      <c r="C397" s="21"/>
      <c r="D397" s="21"/>
    </row>
    <row r="398" spans="1:4" ht="12.75">
      <c r="A398" s="21"/>
      <c r="B398" s="22"/>
      <c r="C398" s="21"/>
      <c r="D398" s="21"/>
    </row>
    <row r="399" spans="1:4" ht="12.75">
      <c r="A399" s="21"/>
      <c r="B399" s="22"/>
      <c r="C399" s="21"/>
      <c r="D399" s="21"/>
    </row>
    <row r="400" spans="1:4" ht="12.75">
      <c r="A400" s="21"/>
      <c r="B400" s="22"/>
      <c r="C400" s="21"/>
      <c r="D400" s="21"/>
    </row>
    <row r="401" spans="1:4" ht="12.75">
      <c r="A401" s="21"/>
      <c r="B401" s="22"/>
      <c r="C401" s="21"/>
      <c r="D401" s="21"/>
    </row>
    <row r="402" spans="1:4" ht="12.75">
      <c r="A402" s="21"/>
      <c r="B402" s="22"/>
      <c r="C402" s="21"/>
      <c r="D402" s="21"/>
    </row>
    <row r="403" spans="1:4" ht="12.75">
      <c r="A403" s="21"/>
      <c r="B403" s="22"/>
      <c r="C403" s="21"/>
      <c r="D403" s="21"/>
    </row>
    <row r="404" spans="1:4" ht="12.75">
      <c r="A404" s="21"/>
      <c r="B404" s="22"/>
      <c r="C404" s="21"/>
      <c r="D404" s="21"/>
    </row>
    <row r="405" spans="1:4" ht="12.75">
      <c r="A405" s="21"/>
      <c r="B405" s="22"/>
      <c r="C405" s="21"/>
      <c r="D405" s="21"/>
    </row>
    <row r="406" spans="1:4" ht="12.75">
      <c r="A406" s="21"/>
      <c r="B406" s="22"/>
      <c r="C406" s="21"/>
      <c r="D406" s="21"/>
    </row>
    <row r="407" spans="1:4" ht="12.75">
      <c r="A407" s="21"/>
      <c r="B407" s="22"/>
      <c r="C407" s="21"/>
      <c r="D407" s="21"/>
    </row>
    <row r="408" spans="1:4" ht="12.75">
      <c r="A408" s="21"/>
      <c r="B408" s="22"/>
      <c r="C408" s="21"/>
      <c r="D408" s="21"/>
    </row>
    <row r="409" spans="1:4" ht="12.75">
      <c r="A409" s="21"/>
      <c r="B409" s="22"/>
      <c r="C409" s="21"/>
      <c r="D409" s="21"/>
    </row>
    <row r="410" spans="1:4" ht="12.75">
      <c r="A410" s="21"/>
      <c r="B410" s="22"/>
      <c r="C410" s="21"/>
      <c r="D410" s="21"/>
    </row>
    <row r="411" spans="1:4" ht="12.75">
      <c r="A411" s="21"/>
      <c r="B411" s="22"/>
      <c r="C411" s="21"/>
      <c r="D411" s="21"/>
    </row>
    <row r="412" spans="1:4" ht="12.75">
      <c r="A412" s="21"/>
      <c r="B412" s="22"/>
      <c r="C412" s="21"/>
      <c r="D412" s="21"/>
    </row>
    <row r="413" spans="1:4" ht="12.75">
      <c r="A413" s="21"/>
      <c r="B413" s="22"/>
      <c r="C413" s="21"/>
      <c r="D413" s="21"/>
    </row>
    <row r="414" spans="1:4" ht="12.75">
      <c r="A414" s="21"/>
      <c r="B414" s="22"/>
      <c r="C414" s="21"/>
      <c r="D414" s="21"/>
    </row>
    <row r="415" spans="1:4" ht="12.75">
      <c r="A415" s="21"/>
      <c r="B415" s="22"/>
      <c r="C415" s="21"/>
      <c r="D415" s="21"/>
    </row>
    <row r="416" spans="1:4" ht="12.75">
      <c r="A416" s="21"/>
      <c r="B416" s="22"/>
      <c r="C416" s="21"/>
      <c r="D416" s="21"/>
    </row>
    <row r="417" spans="1:4" ht="12.75">
      <c r="A417" s="21"/>
      <c r="B417" s="22"/>
      <c r="C417" s="21"/>
      <c r="D417" s="21"/>
    </row>
    <row r="418" spans="1:4" ht="12.75">
      <c r="A418" s="21"/>
      <c r="B418" s="22"/>
      <c r="C418" s="21"/>
      <c r="D418" s="21"/>
    </row>
    <row r="419" spans="1:4" ht="12.75">
      <c r="A419" s="21"/>
      <c r="B419" s="22"/>
      <c r="C419" s="21"/>
      <c r="D419" s="21"/>
    </row>
    <row r="420" spans="1:4" ht="12.75">
      <c r="A420" s="21"/>
      <c r="B420" s="22"/>
      <c r="C420" s="21"/>
      <c r="D420" s="21"/>
    </row>
    <row r="421" spans="1:4" ht="12.75">
      <c r="A421" s="21"/>
      <c r="B421" s="22"/>
      <c r="C421" s="21"/>
      <c r="D421" s="21"/>
    </row>
    <row r="422" spans="1:4" ht="12.75">
      <c r="A422" s="21"/>
      <c r="B422" s="22"/>
      <c r="C422" s="21"/>
      <c r="D422" s="21"/>
    </row>
    <row r="423" spans="1:4" ht="12.75">
      <c r="A423" s="21"/>
      <c r="B423" s="22"/>
      <c r="C423" s="21"/>
      <c r="D423" s="21"/>
    </row>
    <row r="424" spans="1:4" ht="12.75">
      <c r="A424" s="21"/>
      <c r="B424" s="22"/>
      <c r="C424" s="21"/>
      <c r="D424" s="21"/>
    </row>
    <row r="425" spans="1:4" ht="12.75">
      <c r="A425" s="21"/>
      <c r="B425" s="22"/>
      <c r="C425" s="21"/>
      <c r="D425" s="21"/>
    </row>
    <row r="426" spans="1:4" ht="12.75">
      <c r="A426" s="21"/>
      <c r="B426" s="22"/>
      <c r="C426" s="21"/>
      <c r="D426" s="21"/>
    </row>
    <row r="427" spans="1:4" ht="12.75">
      <c r="A427" s="21"/>
      <c r="B427" s="22"/>
      <c r="C427" s="21"/>
      <c r="D427" s="21"/>
    </row>
    <row r="428" spans="1:4" ht="12.75">
      <c r="A428" s="21"/>
      <c r="B428" s="22"/>
      <c r="C428" s="21"/>
      <c r="D428" s="21"/>
    </row>
    <row r="429" spans="1:4" ht="12.75">
      <c r="A429" s="21"/>
      <c r="B429" s="22"/>
      <c r="C429" s="21"/>
      <c r="D429" s="21"/>
    </row>
    <row r="430" spans="1:4" ht="12.75">
      <c r="A430" s="21"/>
      <c r="B430" s="22"/>
      <c r="C430" s="21"/>
      <c r="D430" s="21"/>
    </row>
    <row r="431" spans="1:4" ht="12.75">
      <c r="A431" s="21"/>
      <c r="B431" s="22"/>
      <c r="C431" s="21"/>
      <c r="D431" s="21"/>
    </row>
    <row r="432" spans="1:4" ht="12.75">
      <c r="A432" s="21"/>
      <c r="B432" s="22"/>
      <c r="C432" s="21"/>
      <c r="D432" s="21"/>
    </row>
    <row r="433" spans="1:4" ht="12.75">
      <c r="A433" s="21"/>
      <c r="B433" s="22"/>
      <c r="C433" s="21"/>
      <c r="D433" s="21"/>
    </row>
    <row r="434" spans="1:4" ht="12.75">
      <c r="A434" s="21"/>
      <c r="B434" s="22"/>
      <c r="C434" s="21"/>
      <c r="D434" s="21"/>
    </row>
    <row r="435" spans="1:4" ht="12.75">
      <c r="A435" s="21"/>
      <c r="B435" s="22"/>
      <c r="C435" s="21"/>
      <c r="D435" s="21"/>
    </row>
    <row r="436" spans="1:4" ht="12.75">
      <c r="A436" s="21"/>
      <c r="B436" s="22"/>
      <c r="C436" s="21"/>
      <c r="D436" s="21"/>
    </row>
    <row r="437" spans="1:4" ht="12.75">
      <c r="A437" s="21"/>
      <c r="B437" s="22"/>
      <c r="C437" s="21"/>
      <c r="D437" s="21"/>
    </row>
    <row r="438" spans="1:4" ht="12.75">
      <c r="A438" s="21"/>
      <c r="B438" s="22"/>
      <c r="C438" s="21"/>
      <c r="D438" s="21"/>
    </row>
    <row r="439" spans="1:4" ht="12.75">
      <c r="A439" s="21"/>
      <c r="B439" s="22"/>
      <c r="C439" s="21"/>
      <c r="D439" s="21"/>
    </row>
    <row r="440" spans="1:4" ht="12.75">
      <c r="A440" s="21"/>
      <c r="B440" s="22"/>
      <c r="C440" s="21"/>
      <c r="D440" s="21"/>
    </row>
    <row r="441" spans="1:4" ht="12.75">
      <c r="A441" s="21"/>
      <c r="B441" s="22"/>
      <c r="C441" s="21"/>
      <c r="D441" s="21"/>
    </row>
    <row r="442" spans="1:4" ht="12.75">
      <c r="A442" s="21"/>
      <c r="B442" s="22"/>
      <c r="C442" s="21"/>
      <c r="D442" s="21"/>
    </row>
    <row r="443" spans="1:4" ht="12.75">
      <c r="A443" s="21"/>
      <c r="B443" s="22"/>
      <c r="C443" s="21"/>
      <c r="D443" s="21"/>
    </row>
    <row r="444" spans="1:4" ht="12.75">
      <c r="A444" s="21"/>
      <c r="B444" s="22"/>
      <c r="C444" s="21"/>
      <c r="D444" s="21"/>
    </row>
    <row r="445" spans="1:4" ht="12.75">
      <c r="A445" s="21"/>
      <c r="B445" s="22"/>
      <c r="C445" s="21"/>
      <c r="D445" s="21"/>
    </row>
    <row r="446" spans="1:4" ht="12.75">
      <c r="A446" s="21"/>
      <c r="B446" s="22"/>
      <c r="C446" s="21"/>
      <c r="D446" s="21"/>
    </row>
    <row r="447" spans="1:4" ht="12.75">
      <c r="A447" s="21"/>
      <c r="B447" s="22"/>
      <c r="C447" s="21"/>
      <c r="D447" s="21"/>
    </row>
    <row r="448" spans="1:4" ht="12.75">
      <c r="A448" s="21"/>
      <c r="B448" s="22"/>
      <c r="C448" s="21"/>
      <c r="D448" s="21"/>
    </row>
    <row r="449" spans="1:4" ht="12.75">
      <c r="A449" s="21"/>
      <c r="B449" s="22"/>
      <c r="C449" s="21"/>
      <c r="D449" s="21"/>
    </row>
    <row r="450" spans="1:4" ht="12.75">
      <c r="A450" s="21"/>
      <c r="B450" s="22"/>
      <c r="C450" s="21"/>
      <c r="D450" s="21"/>
    </row>
    <row r="451" spans="1:4" ht="12.75">
      <c r="A451" s="21"/>
      <c r="B451" s="22"/>
      <c r="C451" s="21"/>
      <c r="D451" s="21"/>
    </row>
    <row r="452" spans="1:4" ht="12.75">
      <c r="A452" s="21"/>
      <c r="B452" s="22"/>
      <c r="C452" s="21"/>
      <c r="D452" s="21"/>
    </row>
    <row r="453" spans="1:4" ht="12.75">
      <c r="A453" s="21"/>
      <c r="B453" s="22"/>
      <c r="C453" s="21"/>
      <c r="D453" s="21"/>
    </row>
    <row r="454" spans="1:4" ht="12.75">
      <c r="A454" s="21"/>
      <c r="B454" s="22"/>
      <c r="C454" s="21"/>
      <c r="D454" s="21"/>
    </row>
    <row r="455" spans="1:4" ht="12.75">
      <c r="A455" s="21"/>
      <c r="B455" s="22"/>
      <c r="C455" s="21"/>
      <c r="D455" s="21"/>
    </row>
    <row r="456" spans="1:4" ht="12.75">
      <c r="A456" s="21"/>
      <c r="B456" s="22"/>
      <c r="C456" s="21"/>
      <c r="D456" s="21"/>
    </row>
    <row r="457" spans="1:4" ht="12.75">
      <c r="A457" s="21"/>
      <c r="B457" s="22"/>
      <c r="C457" s="21"/>
      <c r="D457" s="21"/>
    </row>
    <row r="458" spans="1:4" ht="12.75">
      <c r="A458" s="21"/>
      <c r="B458" s="22"/>
      <c r="C458" s="21"/>
      <c r="D458" s="21"/>
    </row>
    <row r="459" spans="1:4" ht="12.75">
      <c r="A459" s="21"/>
      <c r="B459" s="22"/>
      <c r="C459" s="21"/>
      <c r="D459" s="21"/>
    </row>
    <row r="460" spans="1:4" ht="12.75">
      <c r="A460" s="21"/>
      <c r="B460" s="22"/>
      <c r="C460" s="21"/>
      <c r="D460" s="21"/>
    </row>
    <row r="461" spans="1:4" ht="12.75">
      <c r="A461" s="21"/>
      <c r="B461" s="22"/>
      <c r="C461" s="21"/>
      <c r="D461" s="21"/>
    </row>
    <row r="462" spans="1:4" ht="12.75">
      <c r="A462" s="21"/>
      <c r="B462" s="22"/>
      <c r="C462" s="21"/>
      <c r="D462" s="21"/>
    </row>
    <row r="463" spans="1:4" ht="12.75">
      <c r="A463" s="21"/>
      <c r="B463" s="22"/>
      <c r="C463" s="21"/>
      <c r="D463" s="21"/>
    </row>
    <row r="464" spans="1:4" ht="12.75">
      <c r="A464" s="21"/>
      <c r="B464" s="22"/>
      <c r="C464" s="21"/>
      <c r="D464" s="21"/>
    </row>
    <row r="465" spans="1:4" ht="12.75">
      <c r="A465" s="21"/>
      <c r="B465" s="22"/>
      <c r="C465" s="21"/>
      <c r="D465" s="21"/>
    </row>
    <row r="466" spans="1:4" ht="12.75">
      <c r="A466" s="21"/>
      <c r="B466" s="22"/>
      <c r="C466" s="21"/>
      <c r="D466" s="21"/>
    </row>
    <row r="467" spans="1:4" ht="12.75">
      <c r="A467" s="21"/>
      <c r="B467" s="22"/>
      <c r="C467" s="21"/>
      <c r="D467" s="21"/>
    </row>
    <row r="468" spans="1:4" ht="12.75">
      <c r="A468" s="21"/>
      <c r="B468" s="22"/>
      <c r="C468" s="21"/>
      <c r="D468" s="21"/>
    </row>
    <row r="469" spans="1:4" ht="12.75">
      <c r="A469" s="21"/>
      <c r="B469" s="22"/>
      <c r="C469" s="21"/>
      <c r="D469" s="21"/>
    </row>
    <row r="470" spans="1:4" ht="12.75">
      <c r="A470" s="21"/>
      <c r="B470" s="22"/>
      <c r="C470" s="21"/>
      <c r="D470" s="21"/>
    </row>
    <row r="471" spans="1:4" ht="12.75">
      <c r="A471" s="21"/>
      <c r="B471" s="22"/>
      <c r="C471" s="21"/>
      <c r="D471" s="21"/>
    </row>
    <row r="472" spans="1:4" ht="12.75">
      <c r="A472" s="21"/>
      <c r="B472" s="22"/>
      <c r="C472" s="21"/>
      <c r="D472" s="21"/>
    </row>
    <row r="473" spans="1:4" ht="12.75">
      <c r="A473" s="21"/>
      <c r="B473" s="22"/>
      <c r="C473" s="21"/>
      <c r="D473" s="21"/>
    </row>
    <row r="474" spans="1:4" ht="12.75">
      <c r="A474" s="21"/>
      <c r="B474" s="22"/>
      <c r="C474" s="21"/>
      <c r="D474" s="21"/>
    </row>
    <row r="475" spans="1:4" ht="12.75">
      <c r="A475" s="21"/>
      <c r="B475" s="22"/>
      <c r="C475" s="21"/>
      <c r="D475" s="21"/>
    </row>
    <row r="476" spans="1:4" ht="12.75">
      <c r="A476" s="21"/>
      <c r="B476" s="22"/>
      <c r="C476" s="21"/>
      <c r="D476" s="21"/>
    </row>
    <row r="477" spans="1:4" ht="12.75">
      <c r="A477" s="21"/>
      <c r="B477" s="22"/>
      <c r="C477" s="21"/>
      <c r="D477" s="21"/>
    </row>
    <row r="478" spans="1:4" ht="12.75">
      <c r="A478" s="21"/>
      <c r="B478" s="22"/>
      <c r="C478" s="21"/>
      <c r="D478" s="21"/>
    </row>
    <row r="479" spans="1:4" ht="12.75">
      <c r="A479" s="21"/>
      <c r="B479" s="22"/>
      <c r="C479" s="21"/>
      <c r="D479" s="21"/>
    </row>
    <row r="480" spans="1:4" ht="12.75">
      <c r="A480" s="21"/>
      <c r="B480" s="22"/>
      <c r="C480" s="21"/>
      <c r="D480" s="21"/>
    </row>
    <row r="481" spans="1:4" ht="12.75">
      <c r="A481" s="21"/>
      <c r="B481" s="22"/>
      <c r="C481" s="21"/>
      <c r="D481" s="21"/>
    </row>
    <row r="482" spans="1:4" ht="12.75">
      <c r="A482" s="21"/>
      <c r="B482" s="22"/>
      <c r="C482" s="21"/>
      <c r="D482" s="21"/>
    </row>
    <row r="483" spans="1:4" ht="12.75">
      <c r="A483" s="21"/>
      <c r="B483" s="22"/>
      <c r="C483" s="21"/>
      <c r="D483" s="21"/>
    </row>
    <row r="484" spans="1:4" ht="12.75">
      <c r="A484" s="21"/>
      <c r="B484" s="22"/>
      <c r="C484" s="21"/>
      <c r="D484" s="21"/>
    </row>
    <row r="485" spans="1:4" ht="12.75">
      <c r="A485" s="21"/>
      <c r="B485" s="22"/>
      <c r="C485" s="21"/>
      <c r="D485" s="21"/>
    </row>
    <row r="486" spans="1:4" ht="12.75">
      <c r="A486" s="21"/>
      <c r="B486" s="22"/>
      <c r="C486" s="21"/>
      <c r="D486" s="21"/>
    </row>
    <row r="487" spans="1:4" ht="12.75">
      <c r="A487" s="21"/>
      <c r="B487" s="22"/>
      <c r="C487" s="21"/>
      <c r="D487" s="21"/>
    </row>
    <row r="488" spans="1:4" ht="12.75">
      <c r="A488" s="21"/>
      <c r="B488" s="22"/>
      <c r="C488" s="21"/>
      <c r="D488" s="21"/>
    </row>
    <row r="489" spans="1:4" ht="12.75">
      <c r="A489" s="21"/>
      <c r="B489" s="22"/>
      <c r="C489" s="21"/>
      <c r="D489" s="21"/>
    </row>
    <row r="490" spans="1:4" ht="12.75">
      <c r="A490" s="21"/>
      <c r="B490" s="22"/>
      <c r="C490" s="21"/>
      <c r="D490" s="21"/>
    </row>
    <row r="491" spans="1:4" ht="12.75">
      <c r="A491" s="21"/>
      <c r="B491" s="22"/>
      <c r="C491" s="21"/>
      <c r="D491" s="21"/>
    </row>
    <row r="492" spans="1:4" ht="12.75">
      <c r="A492" s="21"/>
      <c r="B492" s="22"/>
      <c r="C492" s="21"/>
      <c r="D492" s="21"/>
    </row>
    <row r="493" spans="1:4" ht="12.75">
      <c r="A493" s="21"/>
      <c r="B493" s="22"/>
      <c r="C493" s="21"/>
      <c r="D493" s="21"/>
    </row>
    <row r="494" spans="1:4" ht="12.75">
      <c r="A494" s="21"/>
      <c r="B494" s="22"/>
      <c r="C494" s="21"/>
      <c r="D494" s="21"/>
    </row>
    <row r="495" spans="1:4" ht="12.75">
      <c r="A495" s="21"/>
      <c r="B495" s="22"/>
      <c r="C495" s="21"/>
      <c r="D495" s="21"/>
    </row>
    <row r="496" spans="1:4" ht="12.75">
      <c r="A496" s="21"/>
      <c r="B496" s="22"/>
      <c r="C496" s="21"/>
      <c r="D496" s="21"/>
    </row>
    <row r="497" spans="1:4" ht="12.75">
      <c r="A497" s="21"/>
      <c r="B497" s="22"/>
      <c r="C497" s="21"/>
      <c r="D497" s="21"/>
    </row>
    <row r="498" spans="1:4" ht="12.75">
      <c r="A498" s="21"/>
      <c r="B498" s="22"/>
      <c r="C498" s="21"/>
      <c r="D498" s="21"/>
    </row>
    <row r="499" spans="1:4" ht="12.75">
      <c r="A499" s="21"/>
      <c r="B499" s="22"/>
      <c r="C499" s="21"/>
      <c r="D499" s="21"/>
    </row>
    <row r="500" spans="1:4" ht="12.75">
      <c r="A500" s="21"/>
      <c r="B500" s="22"/>
      <c r="C500" s="21"/>
      <c r="D500" s="21"/>
    </row>
    <row r="501" spans="1:4" ht="12.75">
      <c r="A501" s="21"/>
      <c r="B501" s="22"/>
      <c r="C501" s="21"/>
      <c r="D501" s="21"/>
    </row>
    <row r="502" spans="1:4" ht="12.75">
      <c r="A502" s="21"/>
      <c r="B502" s="22"/>
      <c r="C502" s="21"/>
      <c r="D502" s="21"/>
    </row>
    <row r="503" spans="1:4" ht="12.75">
      <c r="A503" s="21"/>
      <c r="B503" s="22"/>
      <c r="C503" s="21"/>
      <c r="D503" s="21"/>
    </row>
    <row r="504" spans="1:4" ht="12.75">
      <c r="A504" s="21"/>
      <c r="B504" s="22"/>
      <c r="C504" s="21"/>
      <c r="D504" s="21"/>
    </row>
    <row r="505" spans="1:4" ht="12.75">
      <c r="A505" s="21"/>
      <c r="B505" s="22"/>
      <c r="C505" s="21"/>
      <c r="D505" s="21"/>
    </row>
    <row r="506" spans="1:4" ht="12.75">
      <c r="A506" s="21"/>
      <c r="B506" s="22"/>
      <c r="C506" s="21"/>
      <c r="D506" s="21"/>
    </row>
    <row r="507" spans="1:4" ht="12.75">
      <c r="A507" s="21"/>
      <c r="B507" s="22"/>
      <c r="C507" s="21"/>
      <c r="D507" s="21"/>
    </row>
    <row r="508" spans="1:4" ht="12.75">
      <c r="A508" s="21"/>
      <c r="B508" s="22"/>
      <c r="C508" s="21"/>
      <c r="D508" s="21"/>
    </row>
    <row r="509" spans="1:4" ht="12.75">
      <c r="A509" s="21"/>
      <c r="B509" s="22"/>
      <c r="C509" s="21"/>
      <c r="D509" s="21"/>
    </row>
    <row r="510" spans="1:4" ht="12.75">
      <c r="A510" s="21"/>
      <c r="B510" s="22"/>
      <c r="C510" s="21"/>
      <c r="D510" s="21"/>
    </row>
    <row r="511" spans="1:4" ht="12.75">
      <c r="A511" s="21"/>
      <c r="B511" s="22"/>
      <c r="C511" s="21"/>
      <c r="D511" s="21"/>
    </row>
    <row r="512" spans="1:4" ht="12.75">
      <c r="A512" s="21"/>
      <c r="B512" s="22"/>
      <c r="C512" s="21"/>
      <c r="D512" s="21"/>
    </row>
    <row r="513" spans="1:4" ht="12.75">
      <c r="A513" s="21"/>
      <c r="B513" s="22"/>
      <c r="C513" s="21"/>
      <c r="D513" s="21"/>
    </row>
    <row r="514" spans="1:4" ht="12.75">
      <c r="A514" s="21"/>
      <c r="B514" s="22"/>
      <c r="C514" s="21"/>
      <c r="D514" s="21"/>
    </row>
    <row r="515" spans="1:4" ht="12.75">
      <c r="A515" s="21"/>
      <c r="B515" s="22"/>
      <c r="C515" s="21"/>
      <c r="D515" s="21"/>
    </row>
    <row r="516" spans="1:4" ht="12.75">
      <c r="A516" s="21"/>
      <c r="B516" s="22"/>
      <c r="C516" s="21"/>
      <c r="D516" s="21"/>
    </row>
    <row r="517" spans="1:4" ht="12.75">
      <c r="A517" s="21"/>
      <c r="B517" s="22"/>
      <c r="C517" s="21"/>
      <c r="D517" s="21"/>
    </row>
    <row r="518" spans="1:4" ht="12.75">
      <c r="A518" s="21"/>
      <c r="B518" s="22"/>
      <c r="C518" s="21"/>
      <c r="D518" s="21"/>
    </row>
    <row r="519" spans="1:4" ht="12.75">
      <c r="A519" s="21"/>
      <c r="B519" s="22"/>
      <c r="C519" s="21"/>
      <c r="D519" s="21"/>
    </row>
    <row r="520" spans="1:4" ht="12.75">
      <c r="A520" s="21"/>
      <c r="B520" s="22"/>
      <c r="C520" s="21"/>
      <c r="D520" s="21"/>
    </row>
    <row r="521" spans="1:4" ht="12.75">
      <c r="A521" s="21"/>
      <c r="B521" s="22"/>
      <c r="C521" s="21"/>
      <c r="D521" s="21"/>
    </row>
    <row r="522" spans="1:4" ht="12.75">
      <c r="A522" s="21"/>
      <c r="B522" s="22"/>
      <c r="C522" s="21"/>
      <c r="D522" s="21"/>
    </row>
    <row r="523" spans="1:4" ht="12.75">
      <c r="A523" s="21"/>
      <c r="B523" s="22"/>
      <c r="C523" s="21"/>
      <c r="D523" s="21"/>
    </row>
    <row r="524" spans="1:4" ht="12.75">
      <c r="A524" s="21"/>
      <c r="B524" s="22"/>
      <c r="C524" s="21"/>
      <c r="D524" s="21"/>
    </row>
    <row r="525" spans="1:4" ht="12.75">
      <c r="A525" s="21"/>
      <c r="B525" s="22"/>
      <c r="C525" s="21"/>
      <c r="D525" s="21"/>
    </row>
    <row r="526" spans="1:4" ht="12.75">
      <c r="A526" s="21"/>
      <c r="B526" s="22"/>
      <c r="C526" s="21"/>
      <c r="D526" s="21"/>
    </row>
    <row r="527" spans="1:4" ht="12.75">
      <c r="A527" s="21"/>
      <c r="B527" s="22"/>
      <c r="C527" s="21"/>
      <c r="D527" s="21"/>
    </row>
    <row r="528" spans="1:4" ht="12.75">
      <c r="A528" s="21"/>
      <c r="B528" s="22"/>
      <c r="C528" s="21"/>
      <c r="D528" s="21"/>
    </row>
    <row r="529" spans="1:4" ht="12.75">
      <c r="A529" s="21"/>
      <c r="B529" s="22"/>
      <c r="C529" s="21"/>
      <c r="D529" s="21"/>
    </row>
    <row r="530" spans="1:4" ht="12.75">
      <c r="A530" s="21"/>
      <c r="B530" s="22"/>
      <c r="C530" s="21"/>
      <c r="D530" s="21"/>
    </row>
    <row r="531" spans="1:4" ht="12.75">
      <c r="A531" s="21"/>
      <c r="B531" s="22"/>
      <c r="C531" s="21"/>
      <c r="D531" s="21"/>
    </row>
    <row r="532" spans="1:4" ht="12.75">
      <c r="A532" s="21"/>
      <c r="B532" s="22"/>
      <c r="C532" s="21"/>
      <c r="D532" s="21"/>
    </row>
    <row r="533" spans="1:4" ht="12.75">
      <c r="A533" s="21"/>
      <c r="B533" s="22"/>
      <c r="C533" s="21"/>
      <c r="D533" s="21"/>
    </row>
    <row r="534" spans="1:4" ht="12.75">
      <c r="A534" s="21"/>
      <c r="B534" s="22"/>
      <c r="C534" s="21"/>
      <c r="D534" s="21"/>
    </row>
    <row r="535" spans="1:4" ht="12.75">
      <c r="A535" s="21"/>
      <c r="B535" s="22"/>
      <c r="C535" s="21"/>
      <c r="D535" s="21"/>
    </row>
    <row r="536" spans="1:4" ht="12.75">
      <c r="A536" s="21"/>
      <c r="B536" s="22"/>
      <c r="C536" s="21"/>
      <c r="D536" s="21"/>
    </row>
    <row r="537" spans="1:4" ht="12.75">
      <c r="A537" s="21"/>
      <c r="B537" s="22"/>
      <c r="C537" s="21"/>
      <c r="D537" s="21"/>
    </row>
    <row r="538" spans="1:4" ht="12.75">
      <c r="A538" s="21"/>
      <c r="B538" s="22"/>
      <c r="C538" s="21"/>
      <c r="D538" s="21"/>
    </row>
    <row r="539" spans="1:4" ht="12.75">
      <c r="A539" s="21"/>
      <c r="B539" s="22"/>
      <c r="C539" s="21"/>
      <c r="D539" s="21"/>
    </row>
    <row r="540" spans="1:4" ht="12.75">
      <c r="A540" s="21"/>
      <c r="B540" s="22"/>
      <c r="C540" s="21"/>
      <c r="D540" s="21"/>
    </row>
    <row r="541" spans="1:4" ht="12.75">
      <c r="A541" s="21"/>
      <c r="B541" s="22"/>
      <c r="C541" s="21"/>
      <c r="D541" s="21"/>
    </row>
    <row r="542" spans="1:4" ht="12.75">
      <c r="A542" s="21"/>
      <c r="B542" s="22"/>
      <c r="C542" s="21"/>
      <c r="D542" s="21"/>
    </row>
    <row r="543" spans="1:4" ht="12.75">
      <c r="A543" s="21"/>
      <c r="B543" s="22"/>
      <c r="C543" s="21"/>
      <c r="D543" s="21"/>
    </row>
    <row r="544" spans="1:4" ht="12.75">
      <c r="A544" s="21"/>
      <c r="B544" s="22"/>
      <c r="C544" s="21"/>
      <c r="D544" s="21"/>
    </row>
    <row r="545" spans="1:4" ht="12.75">
      <c r="A545" s="21"/>
      <c r="B545" s="22"/>
      <c r="C545" s="21"/>
      <c r="D545" s="21"/>
    </row>
    <row r="546" spans="1:4" ht="12.75">
      <c r="A546" s="21"/>
      <c r="B546" s="22"/>
      <c r="C546" s="21"/>
      <c r="D546" s="21"/>
    </row>
    <row r="547" spans="1:4" ht="12.75">
      <c r="A547" s="21"/>
      <c r="B547" s="22"/>
      <c r="C547" s="21"/>
      <c r="D547" s="21"/>
    </row>
    <row r="548" spans="1:4" ht="12.75">
      <c r="A548" s="21"/>
      <c r="B548" s="22"/>
      <c r="C548" s="21"/>
      <c r="D548" s="21"/>
    </row>
    <row r="549" spans="1:4" ht="12.75">
      <c r="A549" s="21"/>
      <c r="B549" s="22"/>
      <c r="C549" s="21"/>
      <c r="D549" s="21"/>
    </row>
    <row r="550" spans="1:4" ht="12.75">
      <c r="A550" s="21"/>
      <c r="B550" s="22"/>
      <c r="C550" s="21"/>
      <c r="D550" s="21"/>
    </row>
    <row r="551" spans="1:4" ht="12.75">
      <c r="A551" s="21"/>
      <c r="B551" s="22"/>
      <c r="C551" s="21"/>
      <c r="D551" s="21"/>
    </row>
    <row r="552" spans="1:4" ht="12.75">
      <c r="A552" s="21"/>
      <c r="B552" s="22"/>
      <c r="C552" s="21"/>
      <c r="D552" s="21"/>
    </row>
    <row r="553" spans="1:4" ht="12.75">
      <c r="A553" s="21"/>
      <c r="B553" s="22"/>
      <c r="C553" s="21"/>
      <c r="D553" s="21"/>
    </row>
    <row r="554" spans="1:4" ht="12.75">
      <c r="A554" s="21"/>
      <c r="B554" s="22"/>
      <c r="C554" s="21"/>
      <c r="D554" s="21"/>
    </row>
    <row r="555" spans="1:4" ht="12.75">
      <c r="A555" s="21"/>
      <c r="B555" s="22"/>
      <c r="C555" s="21"/>
      <c r="D555" s="21"/>
    </row>
    <row r="556" spans="1:4" ht="12.75">
      <c r="A556" s="21"/>
      <c r="B556" s="22"/>
      <c r="C556" s="21"/>
      <c r="D556" s="21"/>
    </row>
    <row r="557" spans="1:4" ht="12.75">
      <c r="A557" s="21"/>
      <c r="B557" s="22"/>
      <c r="C557" s="21"/>
      <c r="D557" s="21"/>
    </row>
    <row r="558" spans="1:4" ht="12.75">
      <c r="A558" s="21"/>
      <c r="B558" s="22"/>
      <c r="C558" s="21"/>
      <c r="D558" s="21"/>
    </row>
    <row r="559" spans="1:4" ht="12.75">
      <c r="A559" s="21"/>
      <c r="B559" s="22"/>
      <c r="C559" s="21"/>
      <c r="D559" s="21"/>
    </row>
    <row r="560" spans="1:4" ht="12.75">
      <c r="A560" s="21"/>
      <c r="B560" s="22"/>
      <c r="C560" s="21"/>
      <c r="D560" s="21"/>
    </row>
    <row r="561" spans="1:4" ht="12.75">
      <c r="A561" s="21"/>
      <c r="B561" s="22"/>
      <c r="C561" s="21"/>
      <c r="D561" s="21"/>
    </row>
    <row r="562" spans="1:4" ht="12.75">
      <c r="A562" s="21"/>
      <c r="B562" s="22"/>
      <c r="C562" s="21"/>
      <c r="D562" s="21"/>
    </row>
    <row r="563" spans="1:4" ht="12.75">
      <c r="A563" s="21"/>
      <c r="B563" s="22"/>
      <c r="C563" s="21"/>
      <c r="D563" s="21"/>
    </row>
    <row r="564" spans="1:4" ht="12.75">
      <c r="A564" s="21"/>
      <c r="B564" s="22"/>
      <c r="C564" s="21"/>
      <c r="D564" s="21"/>
    </row>
    <row r="565" spans="1:4" ht="12.75">
      <c r="A565" s="21"/>
      <c r="B565" s="22"/>
      <c r="C565" s="21"/>
      <c r="D565" s="21"/>
    </row>
    <row r="566" spans="1:4" ht="12.75">
      <c r="A566" s="21"/>
      <c r="B566" s="22"/>
      <c r="C566" s="21"/>
      <c r="D566" s="21"/>
    </row>
    <row r="567" spans="1:4" ht="12.75">
      <c r="A567" s="21"/>
      <c r="B567" s="22"/>
      <c r="C567" s="21"/>
      <c r="D567" s="21"/>
    </row>
    <row r="568" spans="1:4" ht="12.75">
      <c r="A568" s="21"/>
      <c r="B568" s="22"/>
      <c r="C568" s="21"/>
      <c r="D568" s="21"/>
    </row>
    <row r="569" spans="1:4" ht="12.75">
      <c r="A569" s="21"/>
      <c r="B569" s="22"/>
      <c r="C569" s="21"/>
      <c r="D569" s="21"/>
    </row>
    <row r="570" spans="1:4" ht="12.75">
      <c r="A570" s="21"/>
      <c r="B570" s="22"/>
      <c r="C570" s="21"/>
      <c r="D570" s="21"/>
    </row>
    <row r="571" spans="1:4" ht="12.75">
      <c r="A571" s="21"/>
      <c r="B571" s="22"/>
      <c r="C571" s="21"/>
      <c r="D571" s="21"/>
    </row>
    <row r="572" spans="1:4" ht="12.75">
      <c r="A572" s="21"/>
      <c r="B572" s="22"/>
      <c r="C572" s="21"/>
      <c r="D572" s="21"/>
    </row>
    <row r="573" spans="1:4" ht="12.75">
      <c r="A573" s="21"/>
      <c r="B573" s="22"/>
      <c r="C573" s="21"/>
      <c r="D573" s="21"/>
    </row>
    <row r="574" spans="1:4" ht="12.75">
      <c r="A574" s="21"/>
      <c r="B574" s="22"/>
      <c r="C574" s="21"/>
      <c r="D574" s="21"/>
    </row>
    <row r="575" spans="1:4" ht="12.75">
      <c r="A575" s="21"/>
      <c r="B575" s="22"/>
      <c r="C575" s="21"/>
      <c r="D575" s="21"/>
    </row>
    <row r="576" spans="1:4" ht="12.75">
      <c r="A576" s="21"/>
      <c r="B576" s="22"/>
      <c r="C576" s="21"/>
      <c r="D576" s="21"/>
    </row>
    <row r="577" spans="1:4" ht="12.75">
      <c r="A577" s="21"/>
      <c r="B577" s="22"/>
      <c r="C577" s="21"/>
      <c r="D577" s="21"/>
    </row>
    <row r="578" spans="1:4" ht="12.75">
      <c r="A578" s="21"/>
      <c r="B578" s="22"/>
      <c r="C578" s="21"/>
      <c r="D578" s="21"/>
    </row>
    <row r="579" spans="1:4" ht="12.75">
      <c r="A579" s="21"/>
      <c r="B579" s="22"/>
      <c r="C579" s="21"/>
      <c r="D579" s="21"/>
    </row>
    <row r="580" spans="1:4" ht="12.75">
      <c r="A580" s="21"/>
      <c r="B580" s="22"/>
      <c r="C580" s="21"/>
      <c r="D580" s="21"/>
    </row>
    <row r="581" spans="1:4" ht="12.75">
      <c r="A581" s="21"/>
      <c r="B581" s="22"/>
      <c r="C581" s="21"/>
      <c r="D581" s="21"/>
    </row>
    <row r="582" spans="1:4" ht="12.75">
      <c r="A582" s="21"/>
      <c r="B582" s="22"/>
      <c r="C582" s="21"/>
      <c r="D582" s="21"/>
    </row>
    <row r="583" spans="1:4" ht="12.75">
      <c r="A583" s="21"/>
      <c r="B583" s="22"/>
      <c r="C583" s="21"/>
      <c r="D583" s="21"/>
    </row>
    <row r="584" spans="1:4" ht="12.75">
      <c r="A584" s="21"/>
      <c r="B584" s="22"/>
      <c r="C584" s="21"/>
      <c r="D584" s="21"/>
    </row>
    <row r="585" spans="1:4" ht="12.75">
      <c r="A585" s="21"/>
      <c r="B585" s="22"/>
      <c r="C585" s="21"/>
      <c r="D585" s="21"/>
    </row>
    <row r="586" spans="1:4" ht="12.75">
      <c r="A586" s="21"/>
      <c r="B586" s="22"/>
      <c r="C586" s="21"/>
      <c r="D586" s="21"/>
    </row>
    <row r="587" spans="1:4" ht="12.75">
      <c r="A587" s="21"/>
      <c r="B587" s="22"/>
      <c r="C587" s="21"/>
      <c r="D587" s="21"/>
    </row>
    <row r="588" spans="1:4" ht="12.75">
      <c r="A588" s="21"/>
      <c r="B588" s="22"/>
      <c r="C588" s="21"/>
      <c r="D588" s="21"/>
    </row>
    <row r="589" spans="1:4" ht="12.75">
      <c r="A589" s="21"/>
      <c r="B589" s="22"/>
      <c r="C589" s="21"/>
      <c r="D589" s="21"/>
    </row>
    <row r="590" spans="1:4" ht="12.75">
      <c r="A590" s="21"/>
      <c r="B590" s="22"/>
      <c r="C590" s="21"/>
      <c r="D590" s="21"/>
    </row>
    <row r="591" spans="1:4" ht="12.75">
      <c r="A591" s="21"/>
      <c r="B591" s="22"/>
      <c r="C591" s="21"/>
      <c r="D591" s="21"/>
    </row>
    <row r="592" spans="1:4" ht="12.75">
      <c r="A592" s="21"/>
      <c r="B592" s="22"/>
      <c r="C592" s="21"/>
      <c r="D592" s="21"/>
    </row>
    <row r="593" spans="1:4" ht="12.75">
      <c r="A593" s="21"/>
      <c r="B593" s="22"/>
      <c r="C593" s="21"/>
      <c r="D593" s="21"/>
    </row>
    <row r="594" spans="1:4" ht="12.75">
      <c r="A594" s="21"/>
      <c r="B594" s="22"/>
      <c r="C594" s="21"/>
      <c r="D594" s="21"/>
    </row>
    <row r="595" spans="1:4" ht="12.75">
      <c r="A595" s="21"/>
      <c r="B595" s="22"/>
      <c r="C595" s="21"/>
      <c r="D595" s="21"/>
    </row>
    <row r="596" spans="1:4" ht="12.75">
      <c r="A596" s="21"/>
      <c r="B596" s="22"/>
      <c r="C596" s="21"/>
      <c r="D596" s="21"/>
    </row>
    <row r="597" spans="1:4" ht="12.75">
      <c r="A597" s="21"/>
      <c r="B597" s="22"/>
      <c r="C597" s="21"/>
      <c r="D597" s="21"/>
    </row>
    <row r="598" spans="1:4" ht="12.75">
      <c r="A598" s="21"/>
      <c r="B598" s="22"/>
      <c r="C598" s="21"/>
      <c r="D598" s="21"/>
    </row>
    <row r="599" spans="1:4" ht="12.75">
      <c r="A599" s="21"/>
      <c r="B599" s="22"/>
      <c r="C599" s="21"/>
      <c r="D599" s="21"/>
    </row>
    <row r="600" spans="1:4" ht="12.75">
      <c r="A600" s="21"/>
      <c r="B600" s="22"/>
      <c r="C600" s="21"/>
      <c r="D600" s="21"/>
    </row>
    <row r="601" spans="1:4" ht="12.75">
      <c r="A601" s="21"/>
      <c r="B601" s="22"/>
      <c r="C601" s="21"/>
      <c r="D601" s="21"/>
    </row>
    <row r="602" spans="1:4" ht="12.75">
      <c r="A602" s="21"/>
      <c r="B602" s="22"/>
      <c r="C602" s="21"/>
      <c r="D602" s="21"/>
    </row>
    <row r="603" spans="1:4" ht="12.75">
      <c r="A603" s="21"/>
      <c r="B603" s="22"/>
      <c r="C603" s="21"/>
      <c r="D603" s="21"/>
    </row>
    <row r="604" spans="1:4" ht="12.75">
      <c r="A604" s="21"/>
      <c r="B604" s="22"/>
      <c r="C604" s="21"/>
      <c r="D604" s="21"/>
    </row>
    <row r="605" spans="1:4" ht="12.75">
      <c r="A605" s="21"/>
      <c r="B605" s="22"/>
      <c r="C605" s="21"/>
      <c r="D605" s="21"/>
    </row>
    <row r="606" spans="1:4" ht="12.75">
      <c r="A606" s="21"/>
      <c r="B606" s="22"/>
      <c r="C606" s="21"/>
      <c r="D606" s="21"/>
    </row>
    <row r="607" spans="1:4" ht="12.75">
      <c r="A607" s="21"/>
      <c r="B607" s="22"/>
      <c r="C607" s="21"/>
      <c r="D607" s="21"/>
    </row>
    <row r="608" spans="1:4" ht="12.75">
      <c r="A608" s="21"/>
      <c r="B608" s="22"/>
      <c r="C608" s="21"/>
      <c r="D608" s="21"/>
    </row>
    <row r="609" spans="1:4" ht="12.75">
      <c r="A609" s="21"/>
      <c r="B609" s="22"/>
      <c r="C609" s="21"/>
      <c r="D609" s="21"/>
    </row>
    <row r="610" spans="1:4" ht="12.75">
      <c r="A610" s="21"/>
      <c r="B610" s="22"/>
      <c r="C610" s="21"/>
      <c r="D610" s="21"/>
    </row>
    <row r="611" spans="1:4" ht="12.75">
      <c r="A611" s="21"/>
      <c r="B611" s="22"/>
      <c r="C611" s="21"/>
      <c r="D611" s="21"/>
    </row>
    <row r="612" spans="1:4" ht="12.75">
      <c r="A612" s="21"/>
      <c r="B612" s="22"/>
      <c r="C612" s="21"/>
      <c r="D612" s="21"/>
    </row>
    <row r="613" spans="1:4" ht="12.75">
      <c r="A613" s="21"/>
      <c r="B613" s="22"/>
      <c r="C613" s="21"/>
      <c r="D613" s="21"/>
    </row>
    <row r="614" spans="1:4" ht="12.75">
      <c r="A614" s="21"/>
      <c r="B614" s="22"/>
      <c r="C614" s="21"/>
      <c r="D614" s="21"/>
    </row>
    <row r="615" spans="1:4" ht="12.75">
      <c r="A615" s="21"/>
      <c r="B615" s="22"/>
      <c r="C615" s="21"/>
      <c r="D615" s="21"/>
    </row>
    <row r="616" spans="1:4" ht="12.75">
      <c r="A616" s="21"/>
      <c r="B616" s="22"/>
      <c r="C616" s="21"/>
      <c r="D616" s="21"/>
    </row>
    <row r="617" spans="1:4" ht="12.75">
      <c r="A617" s="21"/>
      <c r="B617" s="22"/>
      <c r="C617" s="21"/>
      <c r="D617" s="21"/>
    </row>
    <row r="618" spans="1:4" ht="12.75">
      <c r="A618" s="21"/>
      <c r="B618" s="22"/>
      <c r="C618" s="21"/>
      <c r="D618" s="21"/>
    </row>
    <row r="619" spans="1:4" ht="12.75">
      <c r="A619" s="21"/>
      <c r="B619" s="22"/>
      <c r="C619" s="21"/>
      <c r="D619" s="21"/>
    </row>
    <row r="620" spans="1:4" ht="12.75">
      <c r="A620" s="21"/>
      <c r="B620" s="22"/>
      <c r="C620" s="21"/>
      <c r="D620" s="21"/>
    </row>
    <row r="621" spans="1:4" ht="12.75">
      <c r="A621" s="21"/>
      <c r="B621" s="22"/>
      <c r="C621" s="21"/>
      <c r="D621" s="21"/>
    </row>
    <row r="622" spans="1:4" ht="12.75">
      <c r="A622" s="21"/>
      <c r="B622" s="22"/>
      <c r="C622" s="21"/>
      <c r="D622" s="21"/>
    </row>
    <row r="623" spans="1:4" ht="12.75">
      <c r="A623" s="21"/>
      <c r="B623" s="22"/>
      <c r="C623" s="21"/>
      <c r="D623" s="21"/>
    </row>
    <row r="624" spans="1:4" ht="12.75">
      <c r="A624" s="21"/>
      <c r="B624" s="22"/>
      <c r="C624" s="21"/>
      <c r="D624" s="21"/>
    </row>
    <row r="625" spans="1:4" ht="12.75">
      <c r="A625" s="21"/>
      <c r="B625" s="22"/>
      <c r="C625" s="21"/>
      <c r="D625" s="21"/>
    </row>
    <row r="626" spans="1:4" ht="12.75">
      <c r="A626" s="21"/>
      <c r="B626" s="22"/>
      <c r="C626" s="21"/>
      <c r="D626" s="21"/>
    </row>
    <row r="627" spans="1:4" ht="12.75">
      <c r="A627" s="21"/>
      <c r="B627" s="22"/>
      <c r="C627" s="21"/>
      <c r="D627" s="21"/>
    </row>
    <row r="628" spans="1:4" ht="12.75">
      <c r="A628" s="21"/>
      <c r="B628" s="22"/>
      <c r="C628" s="21"/>
      <c r="D628" s="21"/>
    </row>
    <row r="629" spans="1:4" ht="12.75">
      <c r="A629" s="21"/>
      <c r="B629" s="22"/>
      <c r="C629" s="21"/>
      <c r="D629" s="21"/>
    </row>
    <row r="630" spans="1:4" ht="12.75">
      <c r="A630" s="21"/>
      <c r="B630" s="22"/>
      <c r="C630" s="21"/>
      <c r="D630" s="21"/>
    </row>
    <row r="631" spans="1:4" ht="12.75">
      <c r="A631" s="21"/>
      <c r="B631" s="22"/>
      <c r="C631" s="21"/>
      <c r="D631" s="21"/>
    </row>
    <row r="632" spans="1:4" ht="12.75">
      <c r="A632" s="21"/>
      <c r="B632" s="22"/>
      <c r="C632" s="21"/>
      <c r="D632" s="21"/>
    </row>
    <row r="633" spans="1:4" ht="12.75">
      <c r="A633" s="21"/>
      <c r="B633" s="22"/>
      <c r="C633" s="21"/>
      <c r="D633" s="21"/>
    </row>
    <row r="634" spans="1:4" ht="12.75">
      <c r="A634" s="21"/>
      <c r="B634" s="22"/>
      <c r="C634" s="21"/>
      <c r="D634" s="21"/>
    </row>
    <row r="635" spans="1:4" ht="12.75">
      <c r="A635" s="21"/>
      <c r="B635" s="22"/>
      <c r="C635" s="21"/>
      <c r="D635" s="21"/>
    </row>
    <row r="636" spans="1:4" ht="12.75">
      <c r="A636" s="21"/>
      <c r="B636" s="22"/>
      <c r="C636" s="21"/>
      <c r="D636" s="21"/>
    </row>
    <row r="637" spans="1:4" ht="12.75">
      <c r="A637" s="21"/>
      <c r="B637" s="22"/>
      <c r="C637" s="21"/>
      <c r="D637" s="21"/>
    </row>
    <row r="638" spans="1:4" ht="12.75">
      <c r="A638" s="21"/>
      <c r="B638" s="22"/>
      <c r="C638" s="21"/>
      <c r="D638" s="21"/>
    </row>
    <row r="639" spans="1:4" ht="12.75">
      <c r="A639" s="21"/>
      <c r="B639" s="22"/>
      <c r="C639" s="21"/>
      <c r="D639" s="21"/>
    </row>
    <row r="640" spans="1:4" ht="12.75">
      <c r="A640" s="21"/>
      <c r="B640" s="22"/>
      <c r="C640" s="21"/>
      <c r="D640" s="21"/>
    </row>
    <row r="641" spans="1:4" ht="12.75">
      <c r="A641" s="21"/>
      <c r="B641" s="22"/>
      <c r="C641" s="21"/>
      <c r="D641" s="21"/>
    </row>
    <row r="642" spans="1:4" ht="12.75">
      <c r="A642" s="21"/>
      <c r="B642" s="22"/>
      <c r="C642" s="21"/>
      <c r="D642" s="21"/>
    </row>
    <row r="643" spans="1:4" ht="12.75">
      <c r="A643" s="21"/>
      <c r="B643" s="22"/>
      <c r="C643" s="21"/>
      <c r="D643" s="21"/>
    </row>
    <row r="644" spans="1:4" ht="12.75">
      <c r="A644" s="21"/>
      <c r="B644" s="22"/>
      <c r="C644" s="21"/>
      <c r="D644" s="21"/>
    </row>
    <row r="645" spans="1:4" ht="12.75">
      <c r="A645" s="21"/>
      <c r="B645" s="22"/>
      <c r="C645" s="21"/>
      <c r="D645" s="21"/>
    </row>
    <row r="646" spans="1:4" ht="12.75">
      <c r="A646" s="21"/>
      <c r="B646" s="22"/>
      <c r="C646" s="21"/>
      <c r="D646" s="21"/>
    </row>
    <row r="647" spans="1:4" ht="12.75">
      <c r="A647" s="21"/>
      <c r="B647" s="22"/>
      <c r="C647" s="21"/>
      <c r="D647" s="21"/>
    </row>
    <row r="648" spans="1:4" ht="12.75">
      <c r="A648" s="21"/>
      <c r="B648" s="22"/>
      <c r="C648" s="21"/>
      <c r="D648" s="21"/>
    </row>
    <row r="649" spans="1:4" ht="12.75">
      <c r="A649" s="21"/>
      <c r="B649" s="22"/>
      <c r="C649" s="21"/>
      <c r="D649" s="21"/>
    </row>
    <row r="650" spans="1:4" ht="12.75">
      <c r="A650" s="21"/>
      <c r="B650" s="22"/>
      <c r="C650" s="21"/>
      <c r="D650" s="21"/>
    </row>
    <row r="651" spans="1:4" ht="12.75">
      <c r="A651" s="21"/>
      <c r="B651" s="22"/>
      <c r="C651" s="21"/>
      <c r="D651" s="21"/>
    </row>
    <row r="652" spans="1:4" ht="12.75">
      <c r="A652" s="21"/>
      <c r="B652" s="22"/>
      <c r="C652" s="21"/>
      <c r="D652" s="21"/>
    </row>
    <row r="653" spans="1:4" ht="12.75">
      <c r="A653" s="21"/>
      <c r="B653" s="22"/>
      <c r="C653" s="21"/>
      <c r="D653" s="21"/>
    </row>
    <row r="654" spans="1:4" ht="12.75">
      <c r="A654" s="21"/>
      <c r="B654" s="22"/>
      <c r="C654" s="21"/>
      <c r="D654" s="21"/>
    </row>
    <row r="655" spans="1:4" ht="12.75">
      <c r="A655" s="21"/>
      <c r="B655" s="22"/>
      <c r="C655" s="21"/>
      <c r="D655" s="21"/>
    </row>
    <row r="656" spans="1:4" ht="12.75">
      <c r="A656" s="21"/>
      <c r="B656" s="22"/>
      <c r="C656" s="21"/>
      <c r="D656" s="21"/>
    </row>
    <row r="657" spans="1:4" ht="12.75">
      <c r="A657" s="21"/>
      <c r="B657" s="22"/>
      <c r="C657" s="21"/>
      <c r="D657" s="21"/>
    </row>
    <row r="658" spans="1:4" ht="12.75">
      <c r="A658" s="21"/>
      <c r="B658" s="22"/>
      <c r="C658" s="21"/>
      <c r="D658" s="21"/>
    </row>
    <row r="659" spans="1:4" ht="12.75">
      <c r="A659" s="21"/>
      <c r="B659" s="22"/>
      <c r="C659" s="21"/>
      <c r="D659" s="21"/>
    </row>
    <row r="660" spans="1:4" ht="12.75">
      <c r="A660" s="21"/>
      <c r="B660" s="22"/>
      <c r="C660" s="21"/>
      <c r="D660" s="21"/>
    </row>
    <row r="661" spans="1:4" ht="12.75">
      <c r="A661" s="21"/>
      <c r="B661" s="22"/>
      <c r="C661" s="21"/>
      <c r="D661" s="21"/>
    </row>
    <row r="662" spans="1:4" ht="12.75">
      <c r="A662" s="21"/>
      <c r="B662" s="22"/>
      <c r="C662" s="21"/>
      <c r="D662" s="21"/>
    </row>
    <row r="663" spans="1:4" ht="12.75">
      <c r="A663" s="21"/>
      <c r="B663" s="22"/>
      <c r="C663" s="21"/>
      <c r="D663" s="21"/>
    </row>
    <row r="664" spans="1:4" ht="12.75">
      <c r="A664" s="21"/>
      <c r="B664" s="22"/>
      <c r="C664" s="21"/>
      <c r="D664" s="21"/>
    </row>
    <row r="665" spans="1:4" ht="12.75">
      <c r="A665" s="21"/>
      <c r="B665" s="22"/>
      <c r="C665" s="21"/>
      <c r="D665" s="21"/>
    </row>
    <row r="666" spans="1:4" ht="12.75">
      <c r="A666" s="21"/>
      <c r="B666" s="22"/>
      <c r="C666" s="21"/>
      <c r="D666" s="21"/>
    </row>
    <row r="667" spans="1:4" ht="12.75">
      <c r="A667" s="21"/>
      <c r="B667" s="22"/>
      <c r="C667" s="21"/>
      <c r="D667" s="21"/>
    </row>
    <row r="668" spans="1:4" ht="12.75">
      <c r="A668" s="21"/>
      <c r="B668" s="22"/>
      <c r="C668" s="21"/>
      <c r="D668" s="21"/>
    </row>
    <row r="669" spans="1:4" ht="12.75">
      <c r="A669" s="21"/>
      <c r="B669" s="22"/>
      <c r="C669" s="21"/>
      <c r="D669" s="21"/>
    </row>
    <row r="670" spans="1:4" ht="12.75">
      <c r="A670" s="21"/>
      <c r="B670" s="22"/>
      <c r="C670" s="21"/>
      <c r="D670" s="21"/>
    </row>
    <row r="671" spans="1:4" ht="12.75">
      <c r="A671" s="21"/>
      <c r="B671" s="22"/>
      <c r="C671" s="21"/>
      <c r="D671" s="21"/>
    </row>
    <row r="672" spans="1:4" ht="12.75">
      <c r="A672" s="21"/>
      <c r="B672" s="22"/>
      <c r="C672" s="21"/>
      <c r="D672" s="21"/>
    </row>
    <row r="673" spans="1:4" ht="12.75">
      <c r="A673" s="21"/>
      <c r="B673" s="22"/>
      <c r="C673" s="21"/>
      <c r="D673" s="21"/>
    </row>
    <row r="674" spans="1:4" ht="12.75">
      <c r="A674" s="21"/>
      <c r="B674" s="22"/>
      <c r="C674" s="21"/>
      <c r="D674" s="21"/>
    </row>
    <row r="675" spans="1:4" ht="12.75">
      <c r="A675" s="21"/>
      <c r="B675" s="22"/>
      <c r="C675" s="21"/>
      <c r="D675" s="21"/>
    </row>
    <row r="676" spans="1:4" ht="12.75">
      <c r="A676" s="21"/>
      <c r="B676" s="22"/>
      <c r="C676" s="21"/>
      <c r="D676" s="21"/>
    </row>
    <row r="677" spans="1:4" ht="12.75">
      <c r="A677" s="21"/>
      <c r="B677" s="22"/>
      <c r="C677" s="21"/>
      <c r="D677" s="21"/>
    </row>
    <row r="678" spans="1:4" ht="12.75">
      <c r="A678" s="21"/>
      <c r="B678" s="22"/>
      <c r="C678" s="21"/>
      <c r="D678" s="21"/>
    </row>
    <row r="679" spans="1:4" ht="12.75">
      <c r="A679" s="21"/>
      <c r="B679" s="22"/>
      <c r="C679" s="21"/>
      <c r="D679" s="21"/>
    </row>
    <row r="680" spans="1:4" ht="12.75">
      <c r="A680" s="21"/>
      <c r="B680" s="22"/>
      <c r="C680" s="21"/>
      <c r="D680" s="21"/>
    </row>
    <row r="681" spans="1:4" ht="12.75">
      <c r="A681" s="21"/>
      <c r="B681" s="22"/>
      <c r="C681" s="21"/>
      <c r="D681" s="21"/>
    </row>
    <row r="682" spans="1:4" ht="12.75">
      <c r="A682" s="21"/>
      <c r="B682" s="22"/>
      <c r="C682" s="21"/>
      <c r="D682" s="21"/>
    </row>
    <row r="683" spans="1:4" ht="12.75">
      <c r="A683" s="21"/>
      <c r="B683" s="22"/>
      <c r="C683" s="21"/>
      <c r="D683" s="21"/>
    </row>
    <row r="684" spans="1:4" ht="12.75">
      <c r="A684" s="21"/>
      <c r="B684" s="22"/>
      <c r="C684" s="21"/>
      <c r="D684" s="21"/>
    </row>
    <row r="685" spans="1:4" ht="12.75">
      <c r="A685" s="21"/>
      <c r="B685" s="22"/>
      <c r="C685" s="21"/>
      <c r="D685" s="21"/>
    </row>
    <row r="686" spans="1:4" ht="12.75">
      <c r="A686" s="21"/>
      <c r="B686" s="22"/>
      <c r="C686" s="21"/>
      <c r="D686" s="21"/>
    </row>
    <row r="687" spans="1:4" ht="12.75">
      <c r="A687" s="21"/>
      <c r="B687" s="22"/>
      <c r="C687" s="21"/>
      <c r="D687" s="21"/>
    </row>
    <row r="688" spans="1:4" ht="12.75">
      <c r="A688" s="21"/>
      <c r="B688" s="22"/>
      <c r="C688" s="21"/>
      <c r="D688" s="21"/>
    </row>
    <row r="689" spans="1:4" ht="12.75">
      <c r="A689" s="21"/>
      <c r="B689" s="22"/>
      <c r="C689" s="21"/>
      <c r="D689" s="21"/>
    </row>
    <row r="690" spans="1:4" ht="12.75">
      <c r="A690" s="21"/>
      <c r="B690" s="22"/>
      <c r="C690" s="21"/>
      <c r="D690" s="21"/>
    </row>
    <row r="691" spans="1:4" ht="12.75">
      <c r="A691" s="21"/>
      <c r="B691" s="22"/>
      <c r="C691" s="21"/>
      <c r="D691" s="21"/>
    </row>
    <row r="692" spans="1:4" ht="12.75">
      <c r="A692" s="21"/>
      <c r="B692" s="22"/>
      <c r="C692" s="21"/>
      <c r="D692" s="21"/>
    </row>
    <row r="693" spans="1:4" ht="12.75">
      <c r="A693" s="21"/>
      <c r="B693" s="22"/>
      <c r="C693" s="21"/>
      <c r="D693" s="21"/>
    </row>
    <row r="694" spans="1:4" ht="12.75">
      <c r="A694" s="21"/>
      <c r="B694" s="22"/>
      <c r="C694" s="21"/>
      <c r="D694" s="21"/>
    </row>
    <row r="695" spans="1:4" ht="12.75">
      <c r="A695" s="21"/>
      <c r="B695" s="22"/>
      <c r="C695" s="21"/>
      <c r="D695" s="21"/>
    </row>
    <row r="696" spans="1:4" ht="12.75">
      <c r="A696" s="21"/>
      <c r="B696" s="22"/>
      <c r="C696" s="21"/>
      <c r="D696" s="21"/>
    </row>
    <row r="697" spans="1:4" ht="12.75">
      <c r="A697" s="21"/>
      <c r="B697" s="22"/>
      <c r="C697" s="21"/>
      <c r="D697" s="21"/>
    </row>
    <row r="698" spans="1:4" ht="12.75">
      <c r="A698" s="21"/>
      <c r="B698" s="22"/>
      <c r="C698" s="21"/>
      <c r="D698" s="21"/>
    </row>
    <row r="699" spans="1:4" ht="12.75">
      <c r="A699" s="21"/>
      <c r="B699" s="22"/>
      <c r="C699" s="21"/>
      <c r="D699" s="21"/>
    </row>
    <row r="700" spans="1:4" ht="12.75">
      <c r="A700" s="21"/>
      <c r="B700" s="22"/>
      <c r="C700" s="21"/>
      <c r="D700" s="21"/>
    </row>
    <row r="701" spans="1:4" ht="12.75">
      <c r="A701" s="21"/>
      <c r="B701" s="22"/>
      <c r="C701" s="21"/>
      <c r="D701" s="21"/>
    </row>
    <row r="702" spans="1:4" ht="12.75">
      <c r="A702" s="21"/>
      <c r="B702" s="22"/>
      <c r="C702" s="21"/>
      <c r="D702" s="21"/>
    </row>
    <row r="703" spans="1:4" ht="12.75">
      <c r="A703" s="21"/>
      <c r="B703" s="22"/>
      <c r="C703" s="21"/>
      <c r="D703" s="21"/>
    </row>
    <row r="704" spans="1:4" ht="12.75">
      <c r="A704" s="21"/>
      <c r="B704" s="22"/>
      <c r="C704" s="21"/>
      <c r="D704" s="21"/>
    </row>
    <row r="705" spans="1:4" ht="12.75">
      <c r="A705" s="21"/>
      <c r="B705" s="22"/>
      <c r="C705" s="21"/>
      <c r="D705" s="21"/>
    </row>
    <row r="706" spans="1:4" ht="12.75">
      <c r="A706" s="21"/>
      <c r="B706" s="22"/>
      <c r="C706" s="21"/>
      <c r="D706" s="21"/>
    </row>
    <row r="707" spans="1:4" ht="12.75">
      <c r="A707" s="21"/>
      <c r="B707" s="22"/>
      <c r="C707" s="21"/>
      <c r="D707" s="21"/>
    </row>
    <row r="708" spans="1:4" ht="12.75">
      <c r="A708" s="21"/>
      <c r="B708" s="22"/>
      <c r="C708" s="21"/>
      <c r="D708" s="21"/>
    </row>
    <row r="709" spans="1:4" ht="12.75">
      <c r="A709" s="21"/>
      <c r="B709" s="22"/>
      <c r="C709" s="21"/>
      <c r="D709" s="21"/>
    </row>
    <row r="710" spans="1:4" ht="12.75">
      <c r="A710" s="21"/>
      <c r="B710" s="22"/>
      <c r="C710" s="21"/>
      <c r="D710" s="21"/>
    </row>
    <row r="711" spans="1:4" ht="12.75">
      <c r="A711" s="21"/>
      <c r="B711" s="22"/>
      <c r="C711" s="21"/>
      <c r="D711" s="21"/>
    </row>
    <row r="712" spans="1:4" ht="12.75">
      <c r="A712" s="21"/>
      <c r="B712" s="22"/>
      <c r="C712" s="21"/>
      <c r="D712" s="21"/>
    </row>
    <row r="713" spans="1:4" ht="12.75">
      <c r="A713" s="21"/>
      <c r="B713" s="22"/>
      <c r="C713" s="21"/>
      <c r="D713" s="21"/>
    </row>
    <row r="714" spans="1:4" ht="12.75">
      <c r="A714" s="21"/>
      <c r="B714" s="22"/>
      <c r="C714" s="21"/>
      <c r="D714" s="21"/>
    </row>
    <row r="715" spans="1:4" ht="12.75">
      <c r="A715" s="21"/>
      <c r="B715" s="22"/>
      <c r="C715" s="21"/>
      <c r="D715" s="21"/>
    </row>
    <row r="716" spans="1:4" ht="12.75">
      <c r="A716" s="21"/>
      <c r="B716" s="22"/>
      <c r="C716" s="21"/>
      <c r="D716" s="21"/>
    </row>
    <row r="717" spans="1:4" ht="12.75">
      <c r="A717" s="21"/>
      <c r="B717" s="22"/>
      <c r="C717" s="21"/>
      <c r="D717" s="21"/>
    </row>
    <row r="718" spans="1:4" ht="12.75">
      <c r="A718" s="21"/>
      <c r="B718" s="22"/>
      <c r="C718" s="21"/>
      <c r="D718" s="21"/>
    </row>
    <row r="719" spans="1:4" ht="12.75">
      <c r="A719" s="21"/>
      <c r="B719" s="22"/>
      <c r="C719" s="21"/>
      <c r="D719" s="21"/>
    </row>
    <row r="720" spans="1:4" ht="12.75">
      <c r="A720" s="21"/>
      <c r="B720" s="22"/>
      <c r="C720" s="21"/>
      <c r="D720" s="21"/>
    </row>
    <row r="721" spans="1:4" ht="12.75">
      <c r="A721" s="21"/>
      <c r="B721" s="22"/>
      <c r="C721" s="21"/>
      <c r="D721" s="21"/>
    </row>
    <row r="722" spans="1:4" ht="12.75">
      <c r="A722" s="21"/>
      <c r="B722" s="22"/>
      <c r="C722" s="21"/>
      <c r="D722" s="21"/>
    </row>
    <row r="723" spans="1:4" ht="12.75">
      <c r="A723" s="21"/>
      <c r="B723" s="22"/>
      <c r="C723" s="21"/>
      <c r="D723" s="21"/>
    </row>
    <row r="724" spans="1:4" ht="12.75">
      <c r="A724" s="21"/>
      <c r="B724" s="22"/>
      <c r="C724" s="21"/>
      <c r="D724" s="21"/>
    </row>
    <row r="725" spans="1:4" ht="12.75">
      <c r="A725" s="21"/>
      <c r="B725" s="22"/>
      <c r="C725" s="21"/>
      <c r="D725" s="21"/>
    </row>
    <row r="726" spans="1:4" ht="12.75">
      <c r="A726" s="21"/>
      <c r="B726" s="22"/>
      <c r="C726" s="21"/>
      <c r="D726" s="21"/>
    </row>
    <row r="727" spans="1:4" ht="12.75">
      <c r="A727" s="21"/>
      <c r="B727" s="22"/>
      <c r="C727" s="21"/>
      <c r="D727" s="21"/>
    </row>
    <row r="728" spans="1:4" ht="12.75">
      <c r="A728" s="21"/>
      <c r="B728" s="22"/>
      <c r="C728" s="21"/>
      <c r="D728" s="21"/>
    </row>
    <row r="729" spans="1:4" ht="12.75">
      <c r="A729" s="21"/>
      <c r="B729" s="22"/>
      <c r="C729" s="21"/>
      <c r="D729" s="21"/>
    </row>
    <row r="730" spans="1:4" ht="12.75">
      <c r="A730" s="21"/>
      <c r="B730" s="22"/>
      <c r="C730" s="21"/>
      <c r="D730" s="21"/>
    </row>
    <row r="731" spans="1:4" ht="12.75">
      <c r="A731" s="21"/>
      <c r="B731" s="22"/>
      <c r="C731" s="21"/>
      <c r="D731" s="21"/>
    </row>
    <row r="732" spans="1:4" ht="12.75">
      <c r="A732" s="21"/>
      <c r="B732" s="22"/>
      <c r="C732" s="21"/>
      <c r="D732" s="21"/>
    </row>
    <row r="733" spans="1:4" ht="12.75">
      <c r="A733" s="21"/>
      <c r="B733" s="22"/>
      <c r="C733" s="21"/>
      <c r="D733" s="21"/>
    </row>
    <row r="734" spans="1:4" ht="12.75">
      <c r="A734" s="21"/>
      <c r="B734" s="22"/>
      <c r="C734" s="21"/>
      <c r="D734" s="21"/>
    </row>
    <row r="735" spans="1:4" ht="12.75">
      <c r="A735" s="21"/>
      <c r="B735" s="22"/>
      <c r="C735" s="21"/>
      <c r="D735" s="21"/>
    </row>
    <row r="736" spans="1:4" ht="12.75">
      <c r="A736" s="21"/>
      <c r="B736" s="22"/>
      <c r="C736" s="21"/>
      <c r="D736" s="21"/>
    </row>
    <row r="737" spans="1:4" ht="12.75">
      <c r="A737" s="21"/>
      <c r="B737" s="22"/>
      <c r="C737" s="21"/>
      <c r="D737" s="21"/>
    </row>
    <row r="738" spans="1:4" ht="12.75">
      <c r="A738" s="21"/>
      <c r="B738" s="22"/>
      <c r="C738" s="21"/>
      <c r="D738" s="21"/>
    </row>
    <row r="739" spans="1:4" ht="12.75">
      <c r="A739" s="21"/>
      <c r="B739" s="22"/>
      <c r="C739" s="21"/>
      <c r="D739" s="21"/>
    </row>
    <row r="740" spans="1:4" ht="12.75">
      <c r="A740" s="21"/>
      <c r="B740" s="22"/>
      <c r="C740" s="21"/>
      <c r="D740" s="21"/>
    </row>
    <row r="741" spans="1:4" ht="12.75">
      <c r="A741" s="21"/>
      <c r="B741" s="22"/>
      <c r="C741" s="21"/>
      <c r="D741" s="21"/>
    </row>
    <row r="742" spans="1:4" ht="12.75">
      <c r="A742" s="21"/>
      <c r="B742" s="22"/>
      <c r="C742" s="21"/>
      <c r="D742" s="21"/>
    </row>
    <row r="743" spans="1:4" ht="12.75">
      <c r="A743" s="21"/>
      <c r="B743" s="22"/>
      <c r="C743" s="21"/>
      <c r="D743" s="21"/>
    </row>
    <row r="744" spans="1:4" ht="12.75">
      <c r="A744" s="21"/>
      <c r="B744" s="22"/>
      <c r="C744" s="21"/>
      <c r="D744" s="21"/>
    </row>
    <row r="745" spans="1:4" ht="12.75">
      <c r="A745" s="21"/>
      <c r="B745" s="22"/>
      <c r="C745" s="21"/>
      <c r="D745" s="21"/>
    </row>
    <row r="746" spans="1:4" ht="12.75">
      <c r="A746" s="21"/>
      <c r="B746" s="22"/>
      <c r="C746" s="21"/>
      <c r="D746" s="21"/>
    </row>
    <row r="747" spans="1:4" ht="12.75">
      <c r="A747" s="21"/>
      <c r="B747" s="22"/>
      <c r="C747" s="21"/>
      <c r="D747" s="21"/>
    </row>
    <row r="748" spans="1:4" ht="12.75">
      <c r="A748" s="21"/>
      <c r="B748" s="22"/>
      <c r="C748" s="21"/>
      <c r="D748" s="21"/>
    </row>
    <row r="749" spans="1:4" ht="12.75">
      <c r="A749" s="21"/>
      <c r="B749" s="22"/>
      <c r="C749" s="21"/>
      <c r="D749" s="21"/>
    </row>
    <row r="750" spans="1:4" ht="12.75">
      <c r="A750" s="21"/>
      <c r="B750" s="22"/>
      <c r="C750" s="21"/>
      <c r="D750" s="21"/>
    </row>
    <row r="751" spans="1:4" ht="12.75">
      <c r="A751" s="21"/>
      <c r="B751" s="22"/>
      <c r="C751" s="21"/>
      <c r="D751" s="21"/>
    </row>
    <row r="752" spans="1:4" ht="12.75">
      <c r="A752" s="21"/>
      <c r="B752" s="22"/>
      <c r="C752" s="21"/>
      <c r="D752" s="21"/>
    </row>
    <row r="753" spans="1:4" ht="12.75">
      <c r="A753" s="21"/>
      <c r="B753" s="22"/>
      <c r="C753" s="21"/>
      <c r="D753" s="21"/>
    </row>
    <row r="754" spans="1:4" ht="12.75">
      <c r="A754" s="21"/>
      <c r="B754" s="22"/>
      <c r="C754" s="21"/>
      <c r="D754" s="21"/>
    </row>
    <row r="755" spans="1:4" ht="12.75">
      <c r="A755" s="21"/>
      <c r="B755" s="22"/>
      <c r="C755" s="21"/>
      <c r="D755" s="21"/>
    </row>
    <row r="756" spans="1:4" ht="12.75">
      <c r="A756" s="21"/>
      <c r="B756" s="22"/>
      <c r="C756" s="21"/>
      <c r="D756" s="21"/>
    </row>
    <row r="757" spans="1:4" ht="12.75">
      <c r="A757" s="21"/>
      <c r="B757" s="22"/>
      <c r="C757" s="21"/>
      <c r="D757" s="21"/>
    </row>
    <row r="758" spans="1:4" ht="12.75">
      <c r="A758" s="21"/>
      <c r="B758" s="22"/>
      <c r="C758" s="21"/>
      <c r="D758" s="21"/>
    </row>
    <row r="759" spans="1:4" ht="12.75">
      <c r="A759" s="21"/>
      <c r="B759" s="22"/>
      <c r="C759" s="21"/>
      <c r="D759" s="21"/>
    </row>
    <row r="760" spans="1:4" ht="12.75">
      <c r="A760" s="21"/>
      <c r="B760" s="22"/>
      <c r="C760" s="21"/>
      <c r="D760" s="21"/>
    </row>
    <row r="761" spans="1:4" ht="12.75">
      <c r="A761" s="21"/>
      <c r="B761" s="22"/>
      <c r="C761" s="21"/>
      <c r="D761" s="21"/>
    </row>
    <row r="762" spans="1:4" ht="12.75">
      <c r="A762" s="21"/>
      <c r="B762" s="22"/>
      <c r="C762" s="21"/>
      <c r="D762" s="21"/>
    </row>
    <row r="763" spans="1:4" ht="12.75">
      <c r="A763" s="21"/>
      <c r="B763" s="22"/>
      <c r="C763" s="21"/>
      <c r="D763" s="21"/>
    </row>
    <row r="764" spans="1:4" ht="12.75">
      <c r="A764" s="21"/>
      <c r="B764" s="22"/>
      <c r="C764" s="21"/>
      <c r="D764" s="21"/>
    </row>
    <row r="765" spans="1:4" ht="12.75">
      <c r="A765" s="21"/>
      <c r="B765" s="22"/>
      <c r="C765" s="21"/>
      <c r="D765" s="21"/>
    </row>
    <row r="766" spans="1:4" ht="12.75">
      <c r="A766" s="21"/>
      <c r="B766" s="22"/>
      <c r="C766" s="21"/>
      <c r="D766" s="21"/>
    </row>
    <row r="767" spans="1:4" ht="12.75">
      <c r="A767" s="21"/>
      <c r="B767" s="22"/>
      <c r="C767" s="21"/>
      <c r="D767" s="21"/>
    </row>
    <row r="768" spans="1:4" ht="12.75">
      <c r="A768" s="21"/>
      <c r="B768" s="22"/>
      <c r="C768" s="21"/>
      <c r="D768" s="21"/>
    </row>
    <row r="769" spans="1:4" ht="12.75">
      <c r="A769" s="21"/>
      <c r="B769" s="22"/>
      <c r="C769" s="21"/>
      <c r="D769" s="21"/>
    </row>
    <row r="770" spans="1:4" ht="12.75">
      <c r="A770" s="21"/>
      <c r="B770" s="22"/>
      <c r="C770" s="21"/>
      <c r="D770" s="21"/>
    </row>
    <row r="771" spans="1:4" ht="12.75">
      <c r="A771" s="21"/>
      <c r="B771" s="22"/>
      <c r="C771" s="21"/>
      <c r="D771" s="21"/>
    </row>
    <row r="772" spans="1:4" ht="12.75">
      <c r="A772" s="21"/>
      <c r="B772" s="22"/>
      <c r="C772" s="21"/>
      <c r="D772" s="21"/>
    </row>
    <row r="773" spans="1:4" ht="12.75">
      <c r="A773" s="21"/>
      <c r="B773" s="22"/>
      <c r="C773" s="21"/>
      <c r="D773" s="21"/>
    </row>
    <row r="774" spans="1:4" ht="12.75">
      <c r="A774" s="21"/>
      <c r="B774" s="22"/>
      <c r="C774" s="21"/>
      <c r="D774" s="21"/>
    </row>
    <row r="775" spans="1:4" ht="12.75">
      <c r="A775" s="21"/>
      <c r="B775" s="22"/>
      <c r="C775" s="21"/>
      <c r="D775" s="21"/>
    </row>
    <row r="776" spans="1:4" ht="12.75">
      <c r="A776" s="21"/>
      <c r="B776" s="22"/>
      <c r="C776" s="21"/>
      <c r="D776" s="21"/>
    </row>
    <row r="777" spans="1:4" ht="12.75">
      <c r="A777" s="21"/>
      <c r="B777" s="22"/>
      <c r="C777" s="21"/>
      <c r="D777" s="21"/>
    </row>
    <row r="778" spans="1:4" ht="12.75">
      <c r="A778" s="21"/>
      <c r="B778" s="22"/>
      <c r="C778" s="21"/>
      <c r="D778" s="21"/>
    </row>
    <row r="779" spans="1:4" ht="12.75">
      <c r="A779" s="21"/>
      <c r="B779" s="22"/>
      <c r="C779" s="21"/>
      <c r="D779" s="21"/>
    </row>
    <row r="780" spans="1:4" ht="12.75">
      <c r="A780" s="21"/>
      <c r="B780" s="22"/>
      <c r="C780" s="21"/>
      <c r="D780" s="21"/>
    </row>
    <row r="781" spans="1:4" ht="12.75">
      <c r="A781" s="21"/>
      <c r="B781" s="22"/>
      <c r="C781" s="21"/>
      <c r="D781" s="21"/>
    </row>
    <row r="782" spans="1:4" ht="12.75">
      <c r="A782" s="21"/>
      <c r="B782" s="22"/>
      <c r="C782" s="21"/>
      <c r="D782" s="21"/>
    </row>
    <row r="783" spans="1:4" ht="12.75">
      <c r="A783" s="21"/>
      <c r="B783" s="22"/>
      <c r="C783" s="21"/>
      <c r="D783" s="21"/>
    </row>
    <row r="784" spans="1:4" ht="12.75">
      <c r="A784" s="21"/>
      <c r="B784" s="22"/>
      <c r="C784" s="21"/>
      <c r="D784" s="21"/>
    </row>
    <row r="785" spans="1:4" ht="12.75">
      <c r="A785" s="21"/>
      <c r="B785" s="22"/>
      <c r="C785" s="21"/>
      <c r="D785" s="21"/>
    </row>
    <row r="786" spans="1:4" ht="12.75">
      <c r="A786" s="21"/>
      <c r="B786" s="22"/>
      <c r="C786" s="21"/>
      <c r="D786" s="21"/>
    </row>
    <row r="787" spans="1:4" ht="12.75">
      <c r="A787" s="21"/>
      <c r="B787" s="22"/>
      <c r="C787" s="21"/>
      <c r="D787" s="21"/>
    </row>
    <row r="788" spans="1:4" ht="12.75">
      <c r="A788" s="21"/>
      <c r="B788" s="22"/>
      <c r="C788" s="21"/>
      <c r="D788" s="21"/>
    </row>
    <row r="789" spans="1:4" ht="12.75">
      <c r="A789" s="21"/>
      <c r="B789" s="22"/>
      <c r="C789" s="21"/>
      <c r="D789" s="21"/>
    </row>
    <row r="790" spans="1:4" ht="12.75">
      <c r="A790" s="21"/>
      <c r="B790" s="22"/>
      <c r="C790" s="21"/>
      <c r="D790" s="21"/>
    </row>
    <row r="791" spans="1:4" ht="12.75">
      <c r="A791" s="21"/>
      <c r="B791" s="22"/>
      <c r="C791" s="21"/>
      <c r="D791" s="21"/>
    </row>
    <row r="792" spans="1:4" ht="12.75">
      <c r="A792" s="21"/>
      <c r="B792" s="22"/>
      <c r="C792" s="21"/>
      <c r="D792" s="21"/>
    </row>
    <row r="793" spans="1:4" ht="12.75">
      <c r="A793" s="21"/>
      <c r="B793" s="22"/>
      <c r="C793" s="21"/>
      <c r="D793" s="21"/>
    </row>
    <row r="794" spans="1:4" ht="12.75">
      <c r="A794" s="21"/>
      <c r="B794" s="22"/>
      <c r="C794" s="21"/>
      <c r="D794" s="21"/>
    </row>
    <row r="795" spans="1:4" ht="12.75">
      <c r="A795" s="21"/>
      <c r="B795" s="22"/>
      <c r="C795" s="21"/>
      <c r="D795" s="21"/>
    </row>
    <row r="796" spans="1:4" ht="12.75">
      <c r="A796" s="21"/>
      <c r="B796" s="22"/>
      <c r="C796" s="21"/>
      <c r="D796" s="21"/>
    </row>
    <row r="797" spans="1:4" ht="12.75">
      <c r="A797" s="21"/>
      <c r="B797" s="22"/>
      <c r="C797" s="21"/>
      <c r="D797" s="21"/>
    </row>
    <row r="798" spans="1:4" ht="12.75">
      <c r="A798" s="21"/>
      <c r="B798" s="22"/>
      <c r="C798" s="21"/>
      <c r="D798" s="21"/>
    </row>
    <row r="799" spans="1:4" ht="12.75">
      <c r="A799" s="21"/>
      <c r="B799" s="22"/>
      <c r="C799" s="21"/>
      <c r="D799" s="21"/>
    </row>
    <row r="800" spans="1:4" ht="12.75">
      <c r="A800" s="21"/>
      <c r="B800" s="22"/>
      <c r="C800" s="21"/>
      <c r="D800" s="21"/>
    </row>
    <row r="801" spans="1:4" ht="12.75">
      <c r="A801" s="21"/>
      <c r="B801" s="22"/>
      <c r="C801" s="21"/>
      <c r="D801" s="21"/>
    </row>
    <row r="802" spans="1:4" ht="12.75">
      <c r="A802" s="21"/>
      <c r="B802" s="22"/>
      <c r="C802" s="21"/>
      <c r="D802" s="21"/>
    </row>
    <row r="803" spans="1:4" ht="12.75">
      <c r="A803" s="21"/>
      <c r="B803" s="22"/>
      <c r="C803" s="21"/>
      <c r="D803" s="21"/>
    </row>
    <row r="804" spans="1:4" ht="12.75">
      <c r="A804" s="21"/>
      <c r="B804" s="22"/>
      <c r="C804" s="21"/>
      <c r="D804" s="21"/>
    </row>
    <row r="805" spans="1:4" ht="12.75">
      <c r="A805" s="21"/>
      <c r="B805" s="22"/>
      <c r="C805" s="21"/>
      <c r="D805" s="21"/>
    </row>
    <row r="806" spans="1:4" ht="12.75">
      <c r="A806" s="21"/>
      <c r="B806" s="22"/>
      <c r="C806" s="21"/>
      <c r="D806" s="21"/>
    </row>
    <row r="807" spans="1:4" ht="12.75">
      <c r="A807" s="21"/>
      <c r="B807" s="22"/>
      <c r="C807" s="21"/>
      <c r="D807" s="21"/>
    </row>
    <row r="808" spans="1:4" ht="12.75">
      <c r="A808" s="21"/>
      <c r="B808" s="22"/>
      <c r="C808" s="21"/>
      <c r="D808" s="21"/>
    </row>
    <row r="809" spans="1:4" ht="12.75">
      <c r="A809" s="21"/>
      <c r="B809" s="22"/>
      <c r="C809" s="21"/>
      <c r="D809" s="21"/>
    </row>
    <row r="810" spans="1:4" ht="12.75">
      <c r="A810" s="21"/>
      <c r="B810" s="22"/>
      <c r="C810" s="21"/>
      <c r="D810" s="21"/>
    </row>
    <row r="811" spans="1:4" ht="12.75">
      <c r="A811" s="21"/>
      <c r="B811" s="22"/>
      <c r="C811" s="21"/>
      <c r="D811" s="21"/>
    </row>
    <row r="812" spans="1:4" ht="12.75">
      <c r="A812" s="21"/>
      <c r="B812" s="22"/>
      <c r="C812" s="21"/>
      <c r="D812" s="21"/>
    </row>
    <row r="813" spans="1:4" ht="12.75">
      <c r="A813" s="21"/>
      <c r="B813" s="22"/>
      <c r="C813" s="21"/>
      <c r="D813" s="21"/>
    </row>
    <row r="814" spans="1:4" ht="12.75">
      <c r="A814" s="21"/>
      <c r="B814" s="22"/>
      <c r="C814" s="21"/>
      <c r="D814" s="21"/>
    </row>
    <row r="815" spans="1:4" ht="12.75">
      <c r="A815" s="21"/>
      <c r="B815" s="22"/>
      <c r="C815" s="21"/>
      <c r="D815" s="21"/>
    </row>
    <row r="816" spans="1:4" ht="12.75">
      <c r="A816" s="21"/>
      <c r="B816" s="22"/>
      <c r="C816" s="21"/>
      <c r="D816" s="21"/>
    </row>
    <row r="817" spans="1:4" ht="12.75">
      <c r="A817" s="21"/>
      <c r="B817" s="22"/>
      <c r="C817" s="21"/>
      <c r="D817" s="21"/>
    </row>
    <row r="818" spans="1:4" ht="12.75">
      <c r="A818" s="21"/>
      <c r="B818" s="22"/>
      <c r="C818" s="21"/>
      <c r="D818" s="21"/>
    </row>
    <row r="819" spans="1:4" ht="12.75">
      <c r="A819" s="21"/>
      <c r="B819" s="22"/>
      <c r="C819" s="21"/>
      <c r="D819" s="21"/>
    </row>
    <row r="820" spans="1:4" ht="12.75">
      <c r="A820" s="21"/>
      <c r="B820" s="22"/>
      <c r="C820" s="21"/>
      <c r="D820" s="21"/>
    </row>
    <row r="821" spans="1:4" ht="12.75">
      <c r="A821" s="21"/>
      <c r="B821" s="22"/>
      <c r="C821" s="21"/>
      <c r="D821" s="21"/>
    </row>
    <row r="822" spans="1:4" ht="12.75">
      <c r="A822" s="21"/>
      <c r="B822" s="22"/>
      <c r="C822" s="21"/>
      <c r="D822" s="21"/>
    </row>
    <row r="823" spans="1:4" ht="12.75">
      <c r="A823" s="21"/>
      <c r="B823" s="22"/>
      <c r="C823" s="21"/>
      <c r="D823" s="21"/>
    </row>
    <row r="824" spans="1:4" ht="12.75">
      <c r="A824" s="21"/>
      <c r="B824" s="22"/>
      <c r="C824" s="21"/>
      <c r="D824" s="21"/>
    </row>
    <row r="825" spans="1:4" ht="12.75">
      <c r="A825" s="21"/>
      <c r="B825" s="22"/>
      <c r="C825" s="21"/>
      <c r="D825" s="21"/>
    </row>
    <row r="826" spans="1:4" ht="12.75">
      <c r="A826" s="21"/>
      <c r="B826" s="22"/>
      <c r="C826" s="21"/>
      <c r="D826" s="21"/>
    </row>
    <row r="827" spans="1:4" ht="12.75">
      <c r="A827" s="21"/>
      <c r="B827" s="22"/>
      <c r="C827" s="21"/>
      <c r="D827" s="21"/>
    </row>
    <row r="828" spans="1:4" ht="12.75">
      <c r="A828" s="21"/>
      <c r="B828" s="22"/>
      <c r="C828" s="21"/>
      <c r="D828" s="21"/>
    </row>
    <row r="829" spans="1:4" ht="12.75">
      <c r="A829" s="21"/>
      <c r="B829" s="22"/>
      <c r="C829" s="21"/>
      <c r="D829" s="21"/>
    </row>
    <row r="830" spans="1:4" ht="12.75">
      <c r="A830" s="21"/>
      <c r="B830" s="22"/>
      <c r="C830" s="21"/>
      <c r="D830" s="21"/>
    </row>
    <row r="831" spans="1:4" ht="12.75">
      <c r="A831" s="21"/>
      <c r="B831" s="22"/>
      <c r="C831" s="21"/>
      <c r="D831" s="21"/>
    </row>
    <row r="832" spans="1:4" ht="12.75">
      <c r="A832" s="21"/>
      <c r="B832" s="22"/>
      <c r="C832" s="21"/>
      <c r="D832" s="21"/>
    </row>
    <row r="833" spans="1:4" ht="12.75">
      <c r="A833" s="21"/>
      <c r="B833" s="22"/>
      <c r="C833" s="21"/>
      <c r="D833" s="21"/>
    </row>
    <row r="834" spans="1:4" ht="12.75">
      <c r="A834" s="21"/>
      <c r="B834" s="22"/>
      <c r="C834" s="21"/>
      <c r="D834" s="21"/>
    </row>
    <row r="835" spans="1:4" ht="12.75">
      <c r="A835" s="21"/>
      <c r="B835" s="22"/>
      <c r="C835" s="21"/>
      <c r="D835" s="21"/>
    </row>
    <row r="836" spans="1:4" ht="12.75">
      <c r="A836" s="21"/>
      <c r="B836" s="22"/>
      <c r="C836" s="21"/>
      <c r="D836" s="21"/>
    </row>
    <row r="837" spans="1:4" ht="12.75">
      <c r="A837" s="21"/>
      <c r="B837" s="22"/>
      <c r="C837" s="21"/>
      <c r="D837" s="21"/>
    </row>
    <row r="838" spans="1:4" ht="12.75">
      <c r="A838" s="21"/>
      <c r="B838" s="22"/>
      <c r="C838" s="21"/>
      <c r="D838" s="21"/>
    </row>
    <row r="839" spans="1:4" ht="12.75">
      <c r="A839" s="21"/>
      <c r="B839" s="22"/>
      <c r="C839" s="21"/>
      <c r="D839" s="21"/>
    </row>
    <row r="840" spans="1:4" ht="12.75">
      <c r="A840" s="21"/>
      <c r="B840" s="22"/>
      <c r="C840" s="21"/>
      <c r="D840" s="21"/>
    </row>
    <row r="841" spans="1:4" ht="12.75">
      <c r="A841" s="21"/>
      <c r="B841" s="22"/>
      <c r="C841" s="21"/>
      <c r="D841" s="21"/>
    </row>
    <row r="842" spans="1:4" ht="12.75">
      <c r="A842" s="21"/>
      <c r="B842" s="22"/>
      <c r="C842" s="21"/>
      <c r="D842" s="21"/>
    </row>
    <row r="843" spans="1:4" ht="12.75">
      <c r="A843" s="21"/>
      <c r="B843" s="22"/>
      <c r="C843" s="21"/>
      <c r="D843" s="21"/>
    </row>
    <row r="844" spans="1:4" ht="12.75">
      <c r="A844" s="21"/>
      <c r="B844" s="22"/>
      <c r="C844" s="21"/>
      <c r="D844" s="21"/>
    </row>
    <row r="845" spans="1:4" ht="12.75">
      <c r="A845" s="21"/>
      <c r="B845" s="22"/>
      <c r="C845" s="21"/>
      <c r="D845" s="21"/>
    </row>
    <row r="846" spans="1:4" ht="12.75">
      <c r="A846" s="21"/>
      <c r="B846" s="22"/>
      <c r="C846" s="21"/>
      <c r="D846" s="21"/>
    </row>
    <row r="847" spans="1:4" ht="12.75">
      <c r="A847" s="21"/>
      <c r="B847" s="22"/>
      <c r="C847" s="21"/>
      <c r="D847" s="21"/>
    </row>
    <row r="848" spans="1:4" ht="12.75">
      <c r="A848" s="21"/>
      <c r="B848" s="22"/>
      <c r="C848" s="21"/>
      <c r="D848" s="21"/>
    </row>
    <row r="849" spans="1:4" ht="12.75">
      <c r="A849" s="21"/>
      <c r="B849" s="22"/>
      <c r="C849" s="21"/>
      <c r="D849" s="21"/>
    </row>
    <row r="850" spans="1:4" ht="12.75">
      <c r="A850" s="21"/>
      <c r="B850" s="22"/>
      <c r="C850" s="21"/>
      <c r="D850" s="21"/>
    </row>
    <row r="851" spans="1:4" ht="12.75">
      <c r="A851" s="21"/>
      <c r="B851" s="22"/>
      <c r="C851" s="21"/>
      <c r="D851" s="21"/>
    </row>
    <row r="852" spans="1:4" ht="12.75">
      <c r="A852" s="21"/>
      <c r="B852" s="22"/>
      <c r="C852" s="21"/>
      <c r="D852" s="21"/>
    </row>
    <row r="853" spans="1:4" ht="12.75">
      <c r="A853" s="21"/>
      <c r="B853" s="22"/>
      <c r="C853" s="21"/>
      <c r="D853" s="21"/>
    </row>
    <row r="854" spans="1:4" ht="12.75">
      <c r="A854" s="21"/>
      <c r="B854" s="22"/>
      <c r="C854" s="21"/>
      <c r="D854" s="21"/>
    </row>
    <row r="855" spans="1:4" ht="12.75">
      <c r="A855" s="21"/>
      <c r="B855" s="22"/>
      <c r="C855" s="21"/>
      <c r="D855" s="21"/>
    </row>
    <row r="856" spans="1:4" ht="12.75">
      <c r="A856" s="21"/>
      <c r="B856" s="22"/>
      <c r="C856" s="21"/>
      <c r="D856" s="21"/>
    </row>
    <row r="857" spans="1:4" ht="12.75">
      <c r="A857" s="21"/>
      <c r="B857" s="22"/>
      <c r="C857" s="21"/>
      <c r="D857" s="21"/>
    </row>
    <row r="858" spans="1:4" ht="12.75">
      <c r="A858" s="21"/>
      <c r="B858" s="22"/>
      <c r="C858" s="21"/>
      <c r="D858" s="21"/>
    </row>
    <row r="859" spans="1:4" ht="12.75">
      <c r="A859" s="21"/>
      <c r="B859" s="22"/>
      <c r="C859" s="21"/>
      <c r="D859" s="21"/>
    </row>
    <row r="860" spans="1:4" ht="12.75">
      <c r="A860" s="21"/>
      <c r="B860" s="22"/>
      <c r="C860" s="21"/>
      <c r="D860" s="21"/>
    </row>
    <row r="861" spans="1:4" ht="12.75">
      <c r="A861" s="21"/>
      <c r="B861" s="22"/>
      <c r="C861" s="21"/>
      <c r="D861" s="21"/>
    </row>
    <row r="862" spans="1:4" ht="12.75">
      <c r="A862" s="21"/>
      <c r="B862" s="22"/>
      <c r="C862" s="21"/>
      <c r="D862" s="21"/>
    </row>
    <row r="863" spans="1:4" ht="12.75">
      <c r="A863" s="21"/>
      <c r="B863" s="22"/>
      <c r="C863" s="21"/>
      <c r="D863" s="21"/>
    </row>
    <row r="864" spans="1:4" ht="12.75">
      <c r="A864" s="21"/>
      <c r="B864" s="22"/>
      <c r="C864" s="21"/>
      <c r="D864" s="21"/>
    </row>
    <row r="865" spans="1:4" ht="12.75">
      <c r="A865" s="21"/>
      <c r="B865" s="22"/>
      <c r="C865" s="21"/>
      <c r="D865" s="21"/>
    </row>
    <row r="866" spans="1:4" ht="12.75">
      <c r="A866" s="21"/>
      <c r="B866" s="22"/>
      <c r="C866" s="21"/>
      <c r="D866" s="21"/>
    </row>
    <row r="867" spans="1:4" ht="12.75">
      <c r="A867" s="21"/>
      <c r="B867" s="22"/>
      <c r="C867" s="21"/>
      <c r="D867" s="21"/>
    </row>
    <row r="868" spans="1:4" ht="12.75">
      <c r="A868" s="21"/>
      <c r="B868" s="22"/>
      <c r="C868" s="21"/>
      <c r="D868" s="21"/>
    </row>
    <row r="869" spans="1:4" ht="12.75">
      <c r="A869" s="21"/>
      <c r="B869" s="22"/>
      <c r="C869" s="21"/>
      <c r="D869" s="21"/>
    </row>
    <row r="870" spans="1:4" ht="12.75">
      <c r="A870" s="21"/>
      <c r="B870" s="22"/>
      <c r="C870" s="21"/>
      <c r="D870" s="21"/>
    </row>
    <row r="871" spans="1:4" ht="12.75">
      <c r="A871" s="21"/>
      <c r="B871" s="22"/>
      <c r="C871" s="21"/>
      <c r="D871" s="21"/>
    </row>
    <row r="872" spans="1:4" ht="12.75">
      <c r="A872" s="21"/>
      <c r="B872" s="22"/>
      <c r="C872" s="21"/>
      <c r="D872" s="21"/>
    </row>
    <row r="873" spans="1:4" ht="12.75">
      <c r="A873" s="21"/>
      <c r="B873" s="22"/>
      <c r="C873" s="21"/>
      <c r="D873" s="21"/>
    </row>
    <row r="874" spans="1:4" ht="12.75">
      <c r="A874" s="21"/>
      <c r="B874" s="22"/>
      <c r="C874" s="21"/>
      <c r="D874" s="21"/>
    </row>
    <row r="875" spans="1:4" ht="12.75">
      <c r="A875" s="21"/>
      <c r="B875" s="22"/>
      <c r="C875" s="21"/>
      <c r="D875" s="21"/>
    </row>
    <row r="876" spans="1:4" ht="12.75">
      <c r="A876" s="21"/>
      <c r="B876" s="22"/>
      <c r="C876" s="21"/>
      <c r="D876" s="21"/>
    </row>
    <row r="877" spans="1:4" ht="12.75">
      <c r="A877" s="21"/>
      <c r="B877" s="22"/>
      <c r="C877" s="21"/>
      <c r="D877" s="21"/>
    </row>
    <row r="878" spans="1:4" ht="12.75">
      <c r="A878" s="21"/>
      <c r="B878" s="22"/>
      <c r="C878" s="21"/>
      <c r="D878" s="21"/>
    </row>
    <row r="879" spans="1:4" ht="12.75">
      <c r="A879" s="21"/>
      <c r="B879" s="22"/>
      <c r="C879" s="21"/>
      <c r="D879" s="21"/>
    </row>
    <row r="880" spans="1:4" ht="12.75">
      <c r="A880" s="21"/>
      <c r="B880" s="22"/>
      <c r="C880" s="21"/>
      <c r="D880" s="21"/>
    </row>
    <row r="881" spans="1:4" ht="12.75">
      <c r="A881" s="21"/>
      <c r="B881" s="22"/>
      <c r="C881" s="21"/>
      <c r="D881" s="21"/>
    </row>
    <row r="882" spans="1:4" ht="12.75">
      <c r="A882" s="21"/>
      <c r="B882" s="22"/>
      <c r="C882" s="21"/>
      <c r="D882" s="21"/>
    </row>
    <row r="883" spans="1:4" ht="12.75">
      <c r="A883" s="21"/>
      <c r="B883" s="22"/>
      <c r="C883" s="21"/>
      <c r="D883" s="21"/>
    </row>
    <row r="884" spans="1:4" ht="12.75">
      <c r="A884" s="21"/>
      <c r="B884" s="22"/>
      <c r="C884" s="21"/>
      <c r="D884" s="21"/>
    </row>
    <row r="885" spans="1:4" ht="12.75">
      <c r="A885" s="21"/>
      <c r="B885" s="22"/>
      <c r="C885" s="21"/>
      <c r="D885" s="21"/>
    </row>
    <row r="886" spans="1:4" ht="12.75">
      <c r="A886" s="21"/>
      <c r="B886" s="22"/>
      <c r="C886" s="21"/>
      <c r="D886" s="21"/>
    </row>
    <row r="887" spans="1:4" ht="12.75">
      <c r="A887" s="21"/>
      <c r="B887" s="22"/>
      <c r="C887" s="21"/>
      <c r="D887" s="21"/>
    </row>
    <row r="888" spans="1:4" ht="12.75">
      <c r="A888" s="21"/>
      <c r="B888" s="22"/>
      <c r="C888" s="21"/>
      <c r="D888" s="21"/>
    </row>
    <row r="889" spans="1:4" ht="12.75">
      <c r="A889" s="21"/>
      <c r="B889" s="22"/>
      <c r="C889" s="21"/>
      <c r="D889" s="21"/>
    </row>
    <row r="890" spans="1:4" ht="12.75">
      <c r="A890" s="21"/>
      <c r="B890" s="22"/>
      <c r="C890" s="21"/>
      <c r="D890" s="21"/>
    </row>
    <row r="891" spans="1:4" ht="12.75">
      <c r="A891" s="21"/>
      <c r="B891" s="22"/>
      <c r="C891" s="21"/>
      <c r="D891" s="21"/>
    </row>
    <row r="892" spans="1:4" ht="12.75">
      <c r="A892" s="21"/>
      <c r="B892" s="22"/>
      <c r="C892" s="21"/>
      <c r="D892" s="21"/>
    </row>
    <row r="893" spans="1:4" ht="12.75">
      <c r="A893" s="21"/>
      <c r="B893" s="22"/>
      <c r="C893" s="21"/>
      <c r="D893" s="21"/>
    </row>
    <row r="894" spans="1:4" ht="12.75">
      <c r="A894" s="21"/>
      <c r="B894" s="22"/>
      <c r="C894" s="21"/>
      <c r="D894" s="21"/>
    </row>
    <row r="895" spans="1:4" ht="12.75">
      <c r="A895" s="21"/>
      <c r="B895" s="22"/>
      <c r="C895" s="21"/>
      <c r="D895" s="21"/>
    </row>
    <row r="896" spans="1:4" ht="12.75">
      <c r="A896" s="21"/>
      <c r="B896" s="22"/>
      <c r="C896" s="21"/>
      <c r="D896" s="21"/>
    </row>
    <row r="897" spans="1:4" ht="12.75">
      <c r="A897" s="21"/>
      <c r="B897" s="22"/>
      <c r="C897" s="21"/>
      <c r="D897" s="21"/>
    </row>
    <row r="898" spans="1:4" ht="12.75">
      <c r="A898" s="21"/>
      <c r="B898" s="22"/>
      <c r="C898" s="21"/>
      <c r="D898" s="21"/>
    </row>
    <row r="899" spans="1:4" ht="12.75">
      <c r="A899" s="21"/>
      <c r="B899" s="22"/>
      <c r="C899" s="21"/>
      <c r="D899" s="21"/>
    </row>
    <row r="900" spans="1:4" ht="12.75">
      <c r="A900" s="21"/>
      <c r="B900" s="22"/>
      <c r="C900" s="21"/>
      <c r="D900" s="21"/>
    </row>
    <row r="901" spans="1:4" ht="12.75">
      <c r="A901" s="21"/>
      <c r="B901" s="22"/>
      <c r="C901" s="21"/>
      <c r="D901" s="21"/>
    </row>
    <row r="902" spans="1:4" ht="12.75">
      <c r="A902" s="21"/>
      <c r="B902" s="22"/>
      <c r="C902" s="21"/>
      <c r="D902" s="21"/>
    </row>
    <row r="903" spans="1:4" ht="12.75">
      <c r="A903" s="21"/>
      <c r="B903" s="22"/>
      <c r="C903" s="21"/>
      <c r="D903" s="21"/>
    </row>
    <row r="904" spans="1:4" ht="12.75">
      <c r="A904" s="21"/>
      <c r="B904" s="22"/>
      <c r="C904" s="21"/>
      <c r="D904" s="21"/>
    </row>
    <row r="905" spans="1:4" ht="12.75">
      <c r="A905" s="21"/>
      <c r="B905" s="22"/>
      <c r="C905" s="21"/>
      <c r="D905" s="21"/>
    </row>
    <row r="906" spans="1:4" ht="12.75">
      <c r="A906" s="21"/>
      <c r="B906" s="22"/>
      <c r="C906" s="21"/>
      <c r="D906" s="21"/>
    </row>
    <row r="907" spans="1:4" ht="12.75">
      <c r="A907" s="21"/>
      <c r="B907" s="22"/>
      <c r="C907" s="21"/>
      <c r="D907" s="21"/>
    </row>
    <row r="908" spans="1:4" ht="12.75">
      <c r="A908" s="21"/>
      <c r="B908" s="22"/>
      <c r="C908" s="21"/>
      <c r="D908" s="21"/>
    </row>
    <row r="909" spans="1:4" ht="12.75">
      <c r="A909" s="21"/>
      <c r="B909" s="22"/>
      <c r="C909" s="21"/>
      <c r="D909" s="21"/>
    </row>
    <row r="910" spans="1:4" ht="12.75">
      <c r="A910" s="21"/>
      <c r="B910" s="22"/>
      <c r="C910" s="21"/>
      <c r="D910" s="21"/>
    </row>
    <row r="911" spans="1:4" ht="12.75">
      <c r="A911" s="21"/>
      <c r="B911" s="22"/>
      <c r="C911" s="21"/>
      <c r="D911" s="21"/>
    </row>
    <row r="912" spans="1:4" ht="12.75">
      <c r="A912" s="21"/>
      <c r="B912" s="22"/>
      <c r="C912" s="21"/>
      <c r="D912" s="21"/>
    </row>
    <row r="913" spans="1:4" ht="12.75">
      <c r="A913" s="21"/>
      <c r="B913" s="22"/>
      <c r="C913" s="21"/>
      <c r="D913" s="21"/>
    </row>
    <row r="914" spans="1:4" ht="12.75">
      <c r="A914" s="21"/>
      <c r="B914" s="22"/>
      <c r="C914" s="21"/>
      <c r="D914" s="21"/>
    </row>
    <row r="915" spans="1:4" ht="12.75">
      <c r="A915" s="21"/>
      <c r="B915" s="22"/>
      <c r="C915" s="21"/>
      <c r="D915" s="21"/>
    </row>
    <row r="916" spans="1:4" ht="12.75">
      <c r="A916" s="21"/>
      <c r="B916" s="22"/>
      <c r="C916" s="21"/>
      <c r="D916" s="21"/>
    </row>
    <row r="917" spans="1:4" ht="12.75">
      <c r="A917" s="21"/>
      <c r="B917" s="22"/>
      <c r="C917" s="21"/>
      <c r="D917" s="21"/>
    </row>
    <row r="918" spans="1:4" ht="12.75">
      <c r="A918" s="21"/>
      <c r="B918" s="22"/>
      <c r="C918" s="21"/>
      <c r="D918" s="21"/>
    </row>
    <row r="919" spans="1:4" ht="12.75">
      <c r="A919" s="21"/>
      <c r="B919" s="22"/>
      <c r="C919" s="21"/>
      <c r="D919" s="21"/>
    </row>
    <row r="920" spans="1:4" ht="12.75">
      <c r="A920" s="21"/>
      <c r="B920" s="22"/>
      <c r="C920" s="21"/>
      <c r="D920" s="21"/>
    </row>
    <row r="921" spans="1:4" ht="12.75">
      <c r="A921" s="21"/>
      <c r="B921" s="22"/>
      <c r="C921" s="21"/>
      <c r="D921" s="21"/>
    </row>
    <row r="922" spans="1:4" ht="12.75">
      <c r="A922" s="21"/>
      <c r="B922" s="22"/>
      <c r="C922" s="21"/>
      <c r="D922" s="21"/>
    </row>
    <row r="923" spans="1:4" ht="12.75">
      <c r="A923" s="21"/>
      <c r="B923" s="22"/>
      <c r="C923" s="21"/>
      <c r="D923" s="21"/>
    </row>
    <row r="924" spans="1:4" ht="12.75">
      <c r="A924" s="21"/>
      <c r="B924" s="22"/>
      <c r="C924" s="21"/>
      <c r="D924" s="21"/>
    </row>
    <row r="925" spans="1:4" ht="12.75">
      <c r="A925" s="21"/>
      <c r="B925" s="22"/>
      <c r="C925" s="21"/>
      <c r="D925" s="21"/>
    </row>
    <row r="926" spans="1:4" ht="12.75">
      <c r="A926" s="21"/>
      <c r="B926" s="22"/>
      <c r="C926" s="21"/>
      <c r="D926" s="21"/>
    </row>
    <row r="927" spans="1:4" ht="12.75">
      <c r="A927" s="21"/>
      <c r="B927" s="22"/>
      <c r="C927" s="21"/>
      <c r="D927" s="21"/>
    </row>
    <row r="928" spans="1:4" ht="12.75">
      <c r="A928" s="21"/>
      <c r="B928" s="22"/>
      <c r="C928" s="21"/>
      <c r="D928" s="21"/>
    </row>
    <row r="929" spans="1:4" ht="12.75">
      <c r="A929" s="21"/>
      <c r="B929" s="22"/>
      <c r="C929" s="21"/>
      <c r="D929" s="21"/>
    </row>
    <row r="930" spans="1:4" ht="12.75">
      <c r="A930" s="21"/>
      <c r="B930" s="22"/>
      <c r="C930" s="21"/>
      <c r="D930" s="21"/>
    </row>
    <row r="931" spans="1:4" ht="12.75">
      <c r="A931" s="21"/>
      <c r="B931" s="22"/>
      <c r="C931" s="21"/>
      <c r="D931" s="21"/>
    </row>
    <row r="932" spans="1:4" ht="12.75">
      <c r="A932" s="21"/>
      <c r="B932" s="22"/>
      <c r="C932" s="21"/>
      <c r="D932" s="21"/>
    </row>
    <row r="933" spans="1:4" ht="12.75">
      <c r="A933" s="21"/>
      <c r="B933" s="22"/>
      <c r="C933" s="21"/>
      <c r="D933" s="21"/>
    </row>
    <row r="934" spans="1:4" ht="12.75">
      <c r="A934" s="21"/>
      <c r="B934" s="22"/>
      <c r="C934" s="21"/>
      <c r="D934" s="21"/>
    </row>
    <row r="935" spans="1:4" ht="12.75">
      <c r="A935" s="21"/>
      <c r="B935" s="22"/>
      <c r="C935" s="21"/>
      <c r="D935" s="21"/>
    </row>
    <row r="936" spans="1:4" ht="12.75">
      <c r="A936" s="21"/>
      <c r="B936" s="22"/>
      <c r="C936" s="21"/>
      <c r="D936" s="21"/>
    </row>
    <row r="937" spans="1:4" ht="12.75">
      <c r="A937" s="21"/>
      <c r="B937" s="22"/>
      <c r="C937" s="21"/>
      <c r="D937" s="21"/>
    </row>
    <row r="938" spans="1:4" ht="12.75">
      <c r="A938" s="21"/>
      <c r="B938" s="22"/>
      <c r="C938" s="21"/>
      <c r="D938" s="21"/>
    </row>
    <row r="939" spans="1:4" ht="12.75">
      <c r="A939" s="21"/>
      <c r="B939" s="22"/>
      <c r="C939" s="21"/>
      <c r="D939" s="21"/>
    </row>
    <row r="940" spans="1:4" ht="12.75">
      <c r="A940" s="21"/>
      <c r="B940" s="22"/>
      <c r="C940" s="21"/>
      <c r="D940" s="21"/>
    </row>
    <row r="941" spans="1:4" ht="12.75">
      <c r="A941" s="21"/>
      <c r="B941" s="22"/>
      <c r="C941" s="21"/>
      <c r="D941" s="21"/>
    </row>
    <row r="942" spans="1:4" ht="12.75">
      <c r="A942" s="21"/>
      <c r="B942" s="22"/>
      <c r="C942" s="21"/>
      <c r="D942" s="21"/>
    </row>
    <row r="943" spans="1:4" ht="12.75">
      <c r="A943" s="21"/>
      <c r="B943" s="22"/>
      <c r="C943" s="21"/>
      <c r="D943" s="21"/>
    </row>
    <row r="944" spans="1:4" ht="12.75">
      <c r="A944" s="21"/>
      <c r="B944" s="22"/>
      <c r="C944" s="21"/>
      <c r="D944" s="21"/>
    </row>
    <row r="945" spans="1:4" ht="12.75">
      <c r="A945" s="21"/>
      <c r="B945" s="22"/>
      <c r="C945" s="21"/>
      <c r="D945" s="21"/>
    </row>
    <row r="946" spans="1:4" ht="12.75">
      <c r="A946" s="21"/>
      <c r="B946" s="22"/>
      <c r="C946" s="21"/>
      <c r="D946" s="21"/>
    </row>
    <row r="947" spans="1:4" ht="12.75">
      <c r="A947" s="21"/>
      <c r="B947" s="22"/>
      <c r="C947" s="21"/>
      <c r="D947" s="21"/>
    </row>
    <row r="948" spans="1:4" ht="12.75">
      <c r="A948" s="21"/>
      <c r="B948" s="22"/>
      <c r="C948" s="21"/>
      <c r="D948" s="21"/>
    </row>
    <row r="949" spans="1:4" ht="12.75">
      <c r="A949" s="21"/>
      <c r="B949" s="22"/>
      <c r="C949" s="21"/>
      <c r="D949" s="21"/>
    </row>
    <row r="950" spans="1:4" ht="12.75">
      <c r="A950" s="21"/>
      <c r="B950" s="22"/>
      <c r="C950" s="21"/>
      <c r="D950" s="21"/>
    </row>
    <row r="951" spans="1:4" ht="12.75">
      <c r="A951" s="21"/>
      <c r="B951" s="22"/>
      <c r="C951" s="21"/>
      <c r="D951" s="21"/>
    </row>
    <row r="952" spans="1:4" ht="12.75">
      <c r="A952" s="21"/>
      <c r="B952" s="22"/>
      <c r="C952" s="21"/>
      <c r="D952" s="21"/>
    </row>
    <row r="953" spans="1:4" ht="12.75">
      <c r="A953" s="21"/>
      <c r="B953" s="22"/>
      <c r="C953" s="21"/>
      <c r="D953" s="21"/>
    </row>
    <row r="954" spans="1:4" ht="12.75">
      <c r="A954" s="21"/>
      <c r="B954" s="22"/>
      <c r="C954" s="21"/>
      <c r="D954" s="21"/>
    </row>
    <row r="955" spans="1:4" ht="12.75">
      <c r="A955" s="21"/>
      <c r="B955" s="22"/>
      <c r="C955" s="21"/>
      <c r="D955" s="21"/>
    </row>
    <row r="956" spans="1:4" ht="12.75">
      <c r="A956" s="21"/>
      <c r="B956" s="22"/>
      <c r="C956" s="21"/>
      <c r="D956" s="21"/>
    </row>
    <row r="957" spans="1:4" ht="12.75">
      <c r="A957" s="21"/>
      <c r="B957" s="22"/>
      <c r="C957" s="21"/>
      <c r="D957" s="21"/>
    </row>
    <row r="958" spans="1:4" ht="12.75">
      <c r="A958" s="21"/>
      <c r="B958" s="22"/>
      <c r="C958" s="21"/>
      <c r="D958" s="21"/>
    </row>
    <row r="959" spans="1:4" ht="12.75">
      <c r="A959" s="21"/>
      <c r="B959" s="22"/>
      <c r="C959" s="21"/>
      <c r="D959" s="21"/>
    </row>
    <row r="960" spans="1:4" ht="12.75">
      <c r="A960" s="21"/>
      <c r="B960" s="22"/>
      <c r="C960" s="21"/>
      <c r="D960" s="21"/>
    </row>
    <row r="961" spans="1:4" ht="12.75">
      <c r="A961" s="21"/>
      <c r="B961" s="22"/>
      <c r="C961" s="21"/>
      <c r="D961" s="21"/>
    </row>
    <row r="962" spans="1:4" ht="12.75">
      <c r="A962" s="21"/>
      <c r="B962" s="22"/>
      <c r="C962" s="21"/>
      <c r="D962" s="21"/>
    </row>
    <row r="963" spans="1:4" ht="12.75">
      <c r="A963" s="21"/>
      <c r="B963" s="22"/>
      <c r="C963" s="21"/>
      <c r="D963" s="21"/>
    </row>
    <row r="964" spans="1:4" ht="12.75">
      <c r="A964" s="21"/>
      <c r="B964" s="22"/>
      <c r="C964" s="21"/>
      <c r="D964" s="21"/>
    </row>
    <row r="965" spans="1:4" ht="12.75">
      <c r="A965" s="21"/>
      <c r="B965" s="22"/>
      <c r="C965" s="21"/>
      <c r="D965" s="21"/>
    </row>
    <row r="966" spans="1:4" ht="12.75">
      <c r="A966" s="21"/>
      <c r="B966" s="22"/>
      <c r="C966" s="21"/>
      <c r="D966" s="21"/>
    </row>
    <row r="967" spans="1:4" ht="12.75">
      <c r="A967" s="21"/>
      <c r="B967" s="22"/>
      <c r="C967" s="21"/>
      <c r="D967" s="21"/>
    </row>
    <row r="968" spans="1:4" ht="12.75">
      <c r="A968" s="21"/>
      <c r="B968" s="22"/>
      <c r="C968" s="21"/>
      <c r="D968" s="21"/>
    </row>
    <row r="969" spans="1:4" ht="12.75">
      <c r="A969" s="21"/>
      <c r="B969" s="22"/>
      <c r="C969" s="21"/>
      <c r="D969" s="21"/>
    </row>
    <row r="970" spans="1:4" ht="12.75">
      <c r="A970" s="21"/>
      <c r="B970" s="22"/>
      <c r="C970" s="21"/>
      <c r="D970" s="21"/>
    </row>
    <row r="971" spans="1:4" ht="12.75">
      <c r="A971" s="21"/>
      <c r="B971" s="22"/>
      <c r="C971" s="21"/>
      <c r="D971" s="21"/>
    </row>
    <row r="972" spans="1:4" ht="12.75">
      <c r="A972" s="21"/>
      <c r="B972" s="22"/>
      <c r="C972" s="21"/>
      <c r="D972" s="21"/>
    </row>
    <row r="973" spans="1:4" ht="12.75">
      <c r="A973" s="21"/>
      <c r="B973" s="22"/>
      <c r="C973" s="21"/>
      <c r="D973" s="21"/>
    </row>
    <row r="974" spans="1:4" ht="12.75">
      <c r="A974" s="21"/>
      <c r="B974" s="22"/>
      <c r="C974" s="21"/>
      <c r="D974" s="21"/>
    </row>
    <row r="975" spans="1:4" ht="12.75">
      <c r="A975" s="21"/>
      <c r="B975" s="22"/>
      <c r="C975" s="21"/>
      <c r="D975" s="21"/>
    </row>
    <row r="976" spans="1:4" ht="12.75">
      <c r="A976" s="21"/>
      <c r="B976" s="22"/>
      <c r="C976" s="21"/>
      <c r="D976" s="21"/>
    </row>
    <row r="977" spans="1:4" ht="12.75">
      <c r="A977" s="21"/>
      <c r="B977" s="22"/>
      <c r="C977" s="21"/>
      <c r="D977" s="21"/>
    </row>
    <row r="978" spans="1:4" ht="12.75">
      <c r="A978" s="21"/>
      <c r="B978" s="22"/>
      <c r="C978" s="21"/>
      <c r="D978" s="21"/>
    </row>
    <row r="979" spans="1:4" ht="12.75">
      <c r="A979" s="21"/>
      <c r="B979" s="22"/>
      <c r="C979" s="21"/>
      <c r="D979" s="21"/>
    </row>
    <row r="980" spans="1:4" ht="12.75">
      <c r="A980" s="21"/>
      <c r="B980" s="22"/>
      <c r="C980" s="21"/>
      <c r="D980" s="21"/>
    </row>
    <row r="981" spans="1:4" ht="12.75">
      <c r="A981" s="21"/>
      <c r="B981" s="22"/>
      <c r="C981" s="21"/>
      <c r="D981" s="21"/>
    </row>
    <row r="982" spans="1:4" ht="12.75">
      <c r="A982" s="21"/>
      <c r="B982" s="22"/>
      <c r="C982" s="21"/>
      <c r="D982" s="21"/>
    </row>
    <row r="983" spans="1:4" ht="12.75">
      <c r="A983" s="21"/>
      <c r="B983" s="22"/>
      <c r="C983" s="21"/>
      <c r="D983" s="21"/>
    </row>
    <row r="984" spans="1:4" ht="12.75">
      <c r="A984" s="21"/>
      <c r="B984" s="22"/>
      <c r="C984" s="21"/>
      <c r="D984" s="21"/>
    </row>
    <row r="985" spans="1:4" ht="12.75">
      <c r="A985" s="21"/>
      <c r="B985" s="22"/>
      <c r="C985" s="21"/>
      <c r="D985" s="21"/>
    </row>
    <row r="986" spans="1:4" ht="12.75">
      <c r="A986" s="21"/>
      <c r="B986" s="22"/>
      <c r="C986" s="21"/>
      <c r="D986" s="21"/>
    </row>
    <row r="987" spans="1:4" ht="12.75">
      <c r="A987" s="21"/>
      <c r="B987" s="22"/>
      <c r="C987" s="21"/>
      <c r="D987" s="21"/>
    </row>
    <row r="988" spans="1:4" ht="12.75">
      <c r="A988" s="21"/>
      <c r="B988" s="22"/>
      <c r="C988" s="21"/>
      <c r="D988" s="21"/>
    </row>
    <row r="989" spans="1:4" ht="12.75">
      <c r="A989" s="21"/>
      <c r="B989" s="22"/>
      <c r="C989" s="21"/>
      <c r="D989" s="21"/>
    </row>
    <row r="990" spans="1:4" ht="12.75">
      <c r="A990" s="21"/>
      <c r="B990" s="22"/>
      <c r="C990" s="21"/>
      <c r="D990" s="21"/>
    </row>
    <row r="991" spans="1:4" ht="12.75">
      <c r="A991" s="21"/>
      <c r="B991" s="22"/>
      <c r="C991" s="21"/>
      <c r="D991" s="21"/>
    </row>
    <row r="992" spans="1:4" ht="12.75">
      <c r="A992" s="21"/>
      <c r="B992" s="22"/>
      <c r="C992" s="21"/>
      <c r="D992" s="21"/>
    </row>
    <row r="993" spans="1:4" ht="12.75">
      <c r="A993" s="21"/>
      <c r="B993" s="22"/>
      <c r="C993" s="21"/>
      <c r="D993" s="21"/>
    </row>
    <row r="994" spans="1:4" ht="12.75">
      <c r="A994" s="21"/>
      <c r="B994" s="22"/>
      <c r="C994" s="21"/>
      <c r="D994" s="21"/>
    </row>
    <row r="995" spans="1:4" ht="12.75">
      <c r="A995" s="21"/>
      <c r="B995" s="22"/>
      <c r="C995" s="21"/>
      <c r="D995" s="21"/>
    </row>
    <row r="996" spans="1:4" ht="12.75">
      <c r="A996" s="21"/>
      <c r="B996" s="22"/>
      <c r="C996" s="21"/>
      <c r="D996" s="21"/>
    </row>
    <row r="997" spans="1:4" ht="12.75">
      <c r="A997" s="21"/>
      <c r="B997" s="22"/>
      <c r="C997" s="21"/>
      <c r="D997" s="21"/>
    </row>
    <row r="998" spans="1:4" ht="12.75">
      <c r="A998" s="21"/>
      <c r="B998" s="22"/>
      <c r="C998" s="21"/>
      <c r="D998" s="21"/>
    </row>
    <row r="999" spans="1:4" ht="12.75">
      <c r="A999" s="21"/>
      <c r="B999" s="22"/>
      <c r="C999" s="21"/>
      <c r="D999" s="21"/>
    </row>
    <row r="1000" spans="1:4" ht="12.75">
      <c r="A1000" s="21"/>
      <c r="B1000" s="22"/>
      <c r="C1000" s="21"/>
      <c r="D1000" s="21"/>
    </row>
  </sheetData>
  <autoFilter ref="A1:D1" xr:uid="{00000000-0001-0000-0500-000000000000}">
    <sortState xmlns:xlrd2="http://schemas.microsoft.com/office/spreadsheetml/2017/richdata2" ref="A2:D12">
      <sortCondition ref="A1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  <outlinePr summaryBelow="0" summaryRight="0"/>
  </sheetPr>
  <dimension ref="A1:Z1000"/>
  <sheetViews>
    <sheetView workbookViewId="0">
      <selection activeCell="C2" sqref="C2:D10"/>
    </sheetView>
  </sheetViews>
  <sheetFormatPr baseColWidth="10" defaultColWidth="12.5703125" defaultRowHeight="15.75" customHeight="1"/>
  <cols>
    <col min="1" max="1" width="14" customWidth="1"/>
  </cols>
  <sheetData>
    <row r="1" spans="1:26" ht="15.75" customHeight="1">
      <c r="A1" s="10" t="s">
        <v>349</v>
      </c>
      <c r="B1" s="23" t="s">
        <v>341</v>
      </c>
      <c r="C1" s="10" t="s">
        <v>362</v>
      </c>
      <c r="D1" s="10" t="s">
        <v>361</v>
      </c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</row>
    <row r="2" spans="1:26" ht="15.75" customHeight="1">
      <c r="A2" s="5">
        <v>1</v>
      </c>
      <c r="B2" s="14" t="s">
        <v>342</v>
      </c>
      <c r="C2" s="33"/>
      <c r="D2" s="33"/>
    </row>
    <row r="3" spans="1:26" ht="15.75" customHeight="1">
      <c r="A3" s="5">
        <v>2</v>
      </c>
      <c r="B3" s="14" t="s">
        <v>31</v>
      </c>
      <c r="C3" s="33"/>
      <c r="D3" s="33"/>
    </row>
    <row r="4" spans="1:26" ht="15.75" customHeight="1">
      <c r="A4" s="5">
        <v>3</v>
      </c>
      <c r="B4" s="14" t="s">
        <v>345</v>
      </c>
      <c r="C4" s="33"/>
      <c r="D4" s="33"/>
    </row>
    <row r="5" spans="1:26" ht="15.75" customHeight="1">
      <c r="A5" s="5">
        <v>4</v>
      </c>
      <c r="B5" s="14" t="s">
        <v>166</v>
      </c>
      <c r="C5" s="33"/>
      <c r="D5" s="33"/>
    </row>
    <row r="6" spans="1:26" ht="15.75" customHeight="1">
      <c r="A6" s="5">
        <v>5</v>
      </c>
      <c r="B6" s="14" t="s">
        <v>201</v>
      </c>
      <c r="C6" s="33"/>
      <c r="D6" s="33"/>
    </row>
    <row r="7" spans="1:26" ht="15.75" customHeight="1">
      <c r="A7" s="5">
        <v>6</v>
      </c>
      <c r="B7" s="14" t="s">
        <v>243</v>
      </c>
      <c r="C7" s="33"/>
      <c r="D7" s="33"/>
    </row>
    <row r="8" spans="1:26" ht="15.75" customHeight="1">
      <c r="A8" s="5">
        <v>7</v>
      </c>
      <c r="B8" s="14" t="s">
        <v>348</v>
      </c>
      <c r="C8" s="33"/>
      <c r="D8" s="33"/>
    </row>
    <row r="9" spans="1:26" ht="15.75" customHeight="1">
      <c r="A9" s="5">
        <v>8</v>
      </c>
      <c r="B9" s="14" t="s">
        <v>343</v>
      </c>
      <c r="C9" s="33"/>
      <c r="D9" s="33"/>
    </row>
    <row r="10" spans="1:26" ht="15.75" customHeight="1">
      <c r="A10" s="5">
        <v>9</v>
      </c>
      <c r="B10" s="14" t="s">
        <v>347</v>
      </c>
      <c r="C10" s="33"/>
      <c r="D10" s="33"/>
    </row>
    <row r="11" spans="1:26" ht="15.75" customHeight="1">
      <c r="A11" s="5">
        <v>10</v>
      </c>
      <c r="B11" s="14" t="s">
        <v>346</v>
      </c>
      <c r="C11" s="5"/>
      <c r="D11" s="5"/>
    </row>
    <row r="12" spans="1:26" ht="15.75" customHeight="1">
      <c r="A12" s="5">
        <v>11</v>
      </c>
      <c r="B12" s="14" t="s">
        <v>344</v>
      </c>
      <c r="C12" s="5"/>
      <c r="D12" s="5"/>
    </row>
    <row r="13" spans="1:26">
      <c r="A13" s="21"/>
      <c r="B13" s="22"/>
      <c r="C13" s="21"/>
      <c r="D13" s="21"/>
    </row>
    <row r="14" spans="1:26">
      <c r="A14" s="21"/>
      <c r="B14" s="22"/>
      <c r="C14" s="21"/>
      <c r="D14" s="21"/>
    </row>
    <row r="15" spans="1:26">
      <c r="A15" s="21"/>
      <c r="B15" s="22"/>
      <c r="C15" s="21"/>
      <c r="D15" s="21"/>
    </row>
    <row r="16" spans="1:26" ht="12.75">
      <c r="A16" s="21"/>
      <c r="B16" s="22"/>
      <c r="C16" s="21"/>
      <c r="D16" s="21"/>
    </row>
    <row r="17" spans="1:4" ht="12.75">
      <c r="A17" s="21"/>
      <c r="B17" s="22"/>
      <c r="C17" s="21"/>
      <c r="D17" s="21"/>
    </row>
    <row r="18" spans="1:4" ht="12.75">
      <c r="A18" s="21"/>
      <c r="B18" s="22"/>
      <c r="C18" s="21"/>
      <c r="D18" s="21"/>
    </row>
    <row r="19" spans="1:4" ht="12.75">
      <c r="A19" s="21"/>
      <c r="B19" s="22"/>
      <c r="C19" s="21"/>
      <c r="D19" s="21"/>
    </row>
    <row r="20" spans="1:4" ht="12.75">
      <c r="A20" s="21"/>
      <c r="B20" s="22"/>
      <c r="C20" s="21"/>
      <c r="D20" s="21"/>
    </row>
    <row r="21" spans="1:4" ht="12.75">
      <c r="A21" s="21"/>
      <c r="B21" s="22"/>
      <c r="C21" s="21"/>
      <c r="D21" s="21"/>
    </row>
    <row r="22" spans="1:4" ht="12.75">
      <c r="A22" s="21"/>
      <c r="B22" s="22"/>
      <c r="C22" s="21"/>
      <c r="D22" s="21"/>
    </row>
    <row r="23" spans="1:4" ht="12.75">
      <c r="A23" s="21"/>
      <c r="B23" s="22"/>
      <c r="C23" s="21"/>
      <c r="D23" s="21"/>
    </row>
    <row r="24" spans="1:4" ht="12.75">
      <c r="A24" s="21"/>
      <c r="B24" s="22"/>
      <c r="C24" s="21"/>
      <c r="D24" s="21"/>
    </row>
    <row r="25" spans="1:4" ht="12.75">
      <c r="A25" s="21"/>
      <c r="B25" s="22"/>
      <c r="C25" s="21"/>
      <c r="D25" s="21"/>
    </row>
    <row r="26" spans="1:4" ht="12.75">
      <c r="A26" s="21"/>
      <c r="B26" s="22"/>
      <c r="C26" s="21"/>
      <c r="D26" s="21"/>
    </row>
    <row r="27" spans="1:4" ht="12.75">
      <c r="A27" s="21"/>
      <c r="B27" s="22"/>
      <c r="C27" s="21"/>
      <c r="D27" s="21"/>
    </row>
    <row r="28" spans="1:4" ht="12.75">
      <c r="A28" s="21"/>
      <c r="B28" s="22"/>
      <c r="C28" s="21"/>
      <c r="D28" s="21"/>
    </row>
    <row r="29" spans="1:4" ht="12.75">
      <c r="A29" s="21"/>
      <c r="B29" s="22"/>
      <c r="C29" s="21"/>
      <c r="D29" s="21"/>
    </row>
    <row r="30" spans="1:4" ht="12.75">
      <c r="A30" s="21"/>
      <c r="B30" s="22"/>
      <c r="C30" s="21"/>
      <c r="D30" s="21"/>
    </row>
    <row r="31" spans="1:4" ht="12.75">
      <c r="A31" s="21"/>
      <c r="B31" s="22"/>
      <c r="C31" s="21"/>
      <c r="D31" s="21"/>
    </row>
    <row r="32" spans="1:4" ht="12.75">
      <c r="A32" s="21"/>
      <c r="B32" s="22"/>
      <c r="C32" s="21"/>
      <c r="D32" s="21"/>
    </row>
    <row r="33" spans="1:4" ht="12.75">
      <c r="A33" s="21"/>
      <c r="B33" s="22"/>
      <c r="C33" s="21"/>
      <c r="D33" s="21"/>
    </row>
    <row r="34" spans="1:4" ht="12.75">
      <c r="A34" s="21"/>
      <c r="B34" s="22"/>
      <c r="C34" s="21"/>
      <c r="D34" s="21"/>
    </row>
    <row r="35" spans="1:4" ht="12.75">
      <c r="A35" s="21"/>
      <c r="B35" s="22"/>
      <c r="C35" s="21"/>
      <c r="D35" s="21"/>
    </row>
    <row r="36" spans="1:4" ht="12.75">
      <c r="A36" s="21"/>
      <c r="B36" s="22"/>
      <c r="C36" s="21"/>
      <c r="D36" s="21"/>
    </row>
    <row r="37" spans="1:4" ht="12.75">
      <c r="A37" s="21"/>
      <c r="B37" s="22"/>
      <c r="C37" s="21"/>
      <c r="D37" s="21"/>
    </row>
    <row r="38" spans="1:4" ht="12.75">
      <c r="A38" s="21"/>
      <c r="B38" s="22"/>
      <c r="C38" s="21"/>
      <c r="D38" s="21"/>
    </row>
    <row r="39" spans="1:4" ht="12.75">
      <c r="A39" s="21"/>
      <c r="B39" s="22"/>
      <c r="C39" s="21"/>
      <c r="D39" s="21"/>
    </row>
    <row r="40" spans="1:4" ht="12.75">
      <c r="A40" s="21"/>
      <c r="B40" s="22"/>
      <c r="C40" s="21"/>
      <c r="D40" s="21"/>
    </row>
    <row r="41" spans="1:4" ht="12.75">
      <c r="A41" s="21"/>
      <c r="B41" s="22"/>
      <c r="C41" s="21"/>
      <c r="D41" s="21"/>
    </row>
    <row r="42" spans="1:4" ht="12.75">
      <c r="A42" s="21"/>
      <c r="B42" s="22"/>
      <c r="C42" s="21"/>
      <c r="D42" s="21"/>
    </row>
    <row r="43" spans="1:4" ht="12.75">
      <c r="A43" s="21"/>
      <c r="B43" s="22"/>
      <c r="C43" s="21"/>
      <c r="D43" s="21"/>
    </row>
    <row r="44" spans="1:4" ht="12.75">
      <c r="A44" s="21"/>
      <c r="B44" s="22"/>
      <c r="C44" s="21"/>
      <c r="D44" s="21"/>
    </row>
    <row r="45" spans="1:4" ht="12.75">
      <c r="A45" s="21"/>
      <c r="B45" s="22"/>
      <c r="C45" s="21"/>
      <c r="D45" s="21"/>
    </row>
    <row r="46" spans="1:4" ht="12.75">
      <c r="A46" s="21"/>
      <c r="B46" s="22"/>
      <c r="C46" s="21"/>
      <c r="D46" s="21"/>
    </row>
    <row r="47" spans="1:4" ht="12.75">
      <c r="A47" s="21"/>
      <c r="B47" s="22"/>
      <c r="C47" s="21"/>
      <c r="D47" s="21"/>
    </row>
    <row r="48" spans="1:4" ht="12.75">
      <c r="A48" s="21"/>
      <c r="B48" s="22"/>
      <c r="C48" s="21"/>
      <c r="D48" s="21"/>
    </row>
    <row r="49" spans="1:4" ht="12.75">
      <c r="A49" s="21"/>
      <c r="B49" s="22"/>
      <c r="C49" s="21"/>
      <c r="D49" s="21"/>
    </row>
    <row r="50" spans="1:4" ht="12.75">
      <c r="A50" s="21"/>
      <c r="B50" s="22"/>
      <c r="C50" s="21"/>
      <c r="D50" s="21"/>
    </row>
    <row r="51" spans="1:4" ht="12.75">
      <c r="A51" s="21"/>
      <c r="B51" s="22"/>
      <c r="C51" s="21"/>
      <c r="D51" s="21"/>
    </row>
    <row r="52" spans="1:4" ht="12.75">
      <c r="A52" s="21"/>
      <c r="B52" s="22"/>
      <c r="C52" s="21"/>
      <c r="D52" s="21"/>
    </row>
    <row r="53" spans="1:4" ht="12.75">
      <c r="A53" s="21"/>
      <c r="B53" s="22"/>
      <c r="C53" s="21"/>
      <c r="D53" s="21"/>
    </row>
    <row r="54" spans="1:4" ht="12.75">
      <c r="A54" s="21"/>
      <c r="B54" s="22"/>
      <c r="C54" s="21"/>
      <c r="D54" s="21"/>
    </row>
    <row r="55" spans="1:4" ht="12.75">
      <c r="A55" s="21"/>
      <c r="B55" s="22"/>
      <c r="C55" s="21"/>
      <c r="D55" s="21"/>
    </row>
    <row r="56" spans="1:4" ht="12.75">
      <c r="A56" s="21"/>
      <c r="B56" s="22"/>
      <c r="C56" s="21"/>
      <c r="D56" s="21"/>
    </row>
    <row r="57" spans="1:4" ht="12.75">
      <c r="A57" s="21"/>
      <c r="B57" s="22"/>
      <c r="C57" s="21"/>
      <c r="D57" s="21"/>
    </row>
    <row r="58" spans="1:4" ht="12.75">
      <c r="A58" s="21"/>
      <c r="B58" s="22"/>
      <c r="C58" s="21"/>
      <c r="D58" s="21"/>
    </row>
    <row r="59" spans="1:4" ht="12.75">
      <c r="A59" s="21"/>
      <c r="B59" s="22"/>
      <c r="C59" s="21"/>
      <c r="D59" s="21"/>
    </row>
    <row r="60" spans="1:4" ht="12.75">
      <c r="A60" s="21"/>
      <c r="B60" s="22"/>
      <c r="C60" s="21"/>
      <c r="D60" s="21"/>
    </row>
    <row r="61" spans="1:4" ht="12.75">
      <c r="A61" s="21"/>
      <c r="B61" s="22"/>
      <c r="C61" s="21"/>
      <c r="D61" s="21"/>
    </row>
    <row r="62" spans="1:4" ht="12.75">
      <c r="A62" s="21"/>
      <c r="B62" s="22"/>
      <c r="C62" s="21"/>
      <c r="D62" s="21"/>
    </row>
    <row r="63" spans="1:4" ht="12.75">
      <c r="A63" s="21"/>
      <c r="B63" s="22"/>
      <c r="C63" s="21"/>
      <c r="D63" s="21"/>
    </row>
    <row r="64" spans="1:4" ht="12.75">
      <c r="A64" s="21"/>
      <c r="B64" s="22"/>
      <c r="C64" s="21"/>
      <c r="D64" s="21"/>
    </row>
    <row r="65" spans="1:4" ht="12.75">
      <c r="A65" s="21"/>
      <c r="B65" s="22"/>
      <c r="C65" s="21"/>
      <c r="D65" s="21"/>
    </row>
    <row r="66" spans="1:4" ht="12.75">
      <c r="A66" s="21"/>
      <c r="B66" s="22"/>
      <c r="C66" s="21"/>
      <c r="D66" s="21"/>
    </row>
    <row r="67" spans="1:4" ht="12.75">
      <c r="A67" s="21"/>
      <c r="B67" s="22"/>
      <c r="C67" s="21"/>
      <c r="D67" s="21"/>
    </row>
    <row r="68" spans="1:4" ht="12.75">
      <c r="A68" s="21"/>
      <c r="B68" s="22"/>
      <c r="C68" s="21"/>
      <c r="D68" s="21"/>
    </row>
    <row r="69" spans="1:4" ht="12.75">
      <c r="A69" s="21"/>
      <c r="B69" s="22"/>
      <c r="C69" s="21"/>
      <c r="D69" s="21"/>
    </row>
    <row r="70" spans="1:4" ht="12.75">
      <c r="A70" s="21"/>
      <c r="B70" s="22"/>
      <c r="C70" s="21"/>
      <c r="D70" s="21"/>
    </row>
    <row r="71" spans="1:4" ht="12.75">
      <c r="A71" s="21"/>
      <c r="B71" s="22"/>
      <c r="C71" s="21"/>
      <c r="D71" s="21"/>
    </row>
    <row r="72" spans="1:4" ht="12.75">
      <c r="A72" s="21"/>
      <c r="B72" s="22"/>
      <c r="C72" s="21"/>
      <c r="D72" s="21"/>
    </row>
    <row r="73" spans="1:4" ht="12.75">
      <c r="A73" s="21"/>
      <c r="B73" s="22"/>
      <c r="C73" s="21"/>
      <c r="D73" s="21"/>
    </row>
    <row r="74" spans="1:4" ht="12.75">
      <c r="A74" s="21"/>
      <c r="B74" s="22"/>
      <c r="C74" s="21"/>
      <c r="D74" s="21"/>
    </row>
    <row r="75" spans="1:4" ht="12.75">
      <c r="A75" s="21"/>
      <c r="B75" s="22"/>
      <c r="C75" s="21"/>
      <c r="D75" s="21"/>
    </row>
    <row r="76" spans="1:4" ht="12.75">
      <c r="A76" s="21"/>
      <c r="B76" s="22"/>
      <c r="C76" s="21"/>
      <c r="D76" s="21"/>
    </row>
    <row r="77" spans="1:4" ht="12.75">
      <c r="A77" s="21"/>
      <c r="B77" s="22"/>
      <c r="C77" s="21"/>
      <c r="D77" s="21"/>
    </row>
    <row r="78" spans="1:4" ht="12.75">
      <c r="A78" s="21"/>
      <c r="B78" s="22"/>
      <c r="C78" s="21"/>
      <c r="D78" s="21"/>
    </row>
    <row r="79" spans="1:4" ht="12.75">
      <c r="A79" s="21"/>
      <c r="B79" s="22"/>
      <c r="C79" s="21"/>
      <c r="D79" s="21"/>
    </row>
    <row r="80" spans="1:4" ht="12.75">
      <c r="A80" s="21"/>
      <c r="B80" s="22"/>
      <c r="C80" s="21"/>
      <c r="D80" s="21"/>
    </row>
    <row r="81" spans="1:4" ht="12.75">
      <c r="A81" s="21"/>
      <c r="B81" s="22"/>
      <c r="C81" s="21"/>
      <c r="D81" s="21"/>
    </row>
    <row r="82" spans="1:4" ht="12.75">
      <c r="A82" s="21"/>
      <c r="B82" s="22"/>
      <c r="C82" s="21"/>
      <c r="D82" s="21"/>
    </row>
    <row r="83" spans="1:4" ht="12.75">
      <c r="A83" s="21"/>
      <c r="B83" s="22"/>
      <c r="C83" s="21"/>
      <c r="D83" s="21"/>
    </row>
    <row r="84" spans="1:4" ht="12.75">
      <c r="A84" s="21"/>
      <c r="B84" s="22"/>
      <c r="C84" s="21"/>
      <c r="D84" s="21"/>
    </row>
    <row r="85" spans="1:4" ht="12.75">
      <c r="A85" s="21"/>
      <c r="B85" s="22"/>
      <c r="C85" s="21"/>
      <c r="D85" s="21"/>
    </row>
    <row r="86" spans="1:4" ht="12.75">
      <c r="A86" s="21"/>
      <c r="B86" s="22"/>
      <c r="C86" s="21"/>
      <c r="D86" s="21"/>
    </row>
    <row r="87" spans="1:4" ht="12.75">
      <c r="A87" s="21"/>
      <c r="B87" s="22"/>
      <c r="C87" s="21"/>
      <c r="D87" s="21"/>
    </row>
    <row r="88" spans="1:4" ht="12.75">
      <c r="A88" s="21"/>
      <c r="B88" s="22"/>
      <c r="C88" s="21"/>
      <c r="D88" s="21"/>
    </row>
    <row r="89" spans="1:4" ht="12.75">
      <c r="A89" s="21"/>
      <c r="B89" s="22"/>
      <c r="C89" s="21"/>
      <c r="D89" s="21"/>
    </row>
    <row r="90" spans="1:4" ht="12.75">
      <c r="A90" s="21"/>
      <c r="B90" s="22"/>
      <c r="C90" s="21"/>
      <c r="D90" s="21"/>
    </row>
    <row r="91" spans="1:4" ht="12.75">
      <c r="A91" s="21"/>
      <c r="B91" s="22"/>
      <c r="C91" s="21"/>
      <c r="D91" s="21"/>
    </row>
    <row r="92" spans="1:4" ht="12.75">
      <c r="A92" s="21"/>
      <c r="B92" s="22"/>
      <c r="C92" s="21"/>
      <c r="D92" s="21"/>
    </row>
    <row r="93" spans="1:4" ht="12.75">
      <c r="A93" s="21"/>
      <c r="B93" s="22"/>
      <c r="C93" s="21"/>
      <c r="D93" s="21"/>
    </row>
    <row r="94" spans="1:4" ht="12.75">
      <c r="A94" s="21"/>
      <c r="B94" s="22"/>
      <c r="C94" s="21"/>
      <c r="D94" s="21"/>
    </row>
    <row r="95" spans="1:4" ht="12.75">
      <c r="A95" s="21"/>
      <c r="B95" s="22"/>
      <c r="C95" s="21"/>
      <c r="D95" s="21"/>
    </row>
    <row r="96" spans="1:4" ht="12.75">
      <c r="A96" s="21"/>
      <c r="B96" s="22"/>
      <c r="C96" s="21"/>
      <c r="D96" s="21"/>
    </row>
    <row r="97" spans="1:4" ht="12.75">
      <c r="A97" s="21"/>
      <c r="B97" s="22"/>
      <c r="C97" s="21"/>
      <c r="D97" s="21"/>
    </row>
    <row r="98" spans="1:4" ht="12.75">
      <c r="A98" s="21"/>
      <c r="B98" s="22"/>
      <c r="C98" s="21"/>
      <c r="D98" s="21"/>
    </row>
    <row r="99" spans="1:4" ht="12.75">
      <c r="A99" s="21"/>
      <c r="B99" s="22"/>
      <c r="C99" s="21"/>
      <c r="D99" s="21"/>
    </row>
    <row r="100" spans="1:4" ht="12.75">
      <c r="A100" s="21"/>
      <c r="B100" s="22"/>
      <c r="C100" s="21"/>
      <c r="D100" s="21"/>
    </row>
    <row r="101" spans="1:4" ht="12.75">
      <c r="A101" s="21"/>
      <c r="B101" s="22"/>
      <c r="C101" s="21"/>
      <c r="D101" s="21"/>
    </row>
    <row r="102" spans="1:4" ht="12.75">
      <c r="A102" s="21"/>
      <c r="B102" s="22"/>
      <c r="C102" s="21"/>
      <c r="D102" s="21"/>
    </row>
    <row r="103" spans="1:4" ht="12.75">
      <c r="A103" s="21"/>
      <c r="B103" s="22"/>
      <c r="C103" s="21"/>
      <c r="D103" s="21"/>
    </row>
    <row r="104" spans="1:4" ht="12.75">
      <c r="A104" s="21"/>
      <c r="B104" s="22"/>
      <c r="C104" s="21"/>
      <c r="D104" s="21"/>
    </row>
    <row r="105" spans="1:4" ht="12.75">
      <c r="A105" s="21"/>
      <c r="B105" s="22"/>
      <c r="C105" s="21"/>
      <c r="D105" s="21"/>
    </row>
    <row r="106" spans="1:4" ht="12.75">
      <c r="A106" s="21"/>
      <c r="B106" s="22"/>
      <c r="C106" s="21"/>
      <c r="D106" s="21"/>
    </row>
    <row r="107" spans="1:4" ht="12.75">
      <c r="A107" s="21"/>
      <c r="B107" s="22"/>
      <c r="C107" s="21"/>
      <c r="D107" s="21"/>
    </row>
    <row r="108" spans="1:4" ht="12.75">
      <c r="A108" s="21"/>
      <c r="B108" s="22"/>
      <c r="C108" s="21"/>
      <c r="D108" s="21"/>
    </row>
    <row r="109" spans="1:4" ht="12.75">
      <c r="A109" s="21"/>
      <c r="B109" s="22"/>
      <c r="C109" s="21"/>
      <c r="D109" s="21"/>
    </row>
    <row r="110" spans="1:4" ht="12.75">
      <c r="A110" s="21"/>
      <c r="B110" s="22"/>
      <c r="C110" s="21"/>
      <c r="D110" s="21"/>
    </row>
    <row r="111" spans="1:4" ht="12.75">
      <c r="A111" s="21"/>
      <c r="B111" s="22"/>
      <c r="C111" s="21"/>
      <c r="D111" s="21"/>
    </row>
    <row r="112" spans="1:4" ht="12.75">
      <c r="A112" s="21"/>
      <c r="B112" s="22"/>
      <c r="C112" s="21"/>
      <c r="D112" s="21"/>
    </row>
    <row r="113" spans="1:4" ht="12.75">
      <c r="A113" s="21"/>
      <c r="B113" s="22"/>
      <c r="C113" s="21"/>
      <c r="D113" s="21"/>
    </row>
    <row r="114" spans="1:4" ht="12.75">
      <c r="A114" s="21"/>
      <c r="B114" s="22"/>
      <c r="C114" s="21"/>
      <c r="D114" s="21"/>
    </row>
    <row r="115" spans="1:4" ht="12.75">
      <c r="A115" s="21"/>
      <c r="B115" s="22"/>
      <c r="C115" s="21"/>
      <c r="D115" s="21"/>
    </row>
    <row r="116" spans="1:4" ht="12.75">
      <c r="A116" s="21"/>
      <c r="B116" s="22"/>
      <c r="C116" s="21"/>
      <c r="D116" s="21"/>
    </row>
    <row r="117" spans="1:4" ht="12.75">
      <c r="A117" s="21"/>
      <c r="B117" s="22"/>
      <c r="C117" s="21"/>
      <c r="D117" s="21"/>
    </row>
    <row r="118" spans="1:4" ht="12.75">
      <c r="A118" s="21"/>
      <c r="B118" s="22"/>
      <c r="C118" s="21"/>
      <c r="D118" s="21"/>
    </row>
    <row r="119" spans="1:4" ht="12.75">
      <c r="A119" s="21"/>
      <c r="B119" s="22"/>
      <c r="C119" s="21"/>
      <c r="D119" s="21"/>
    </row>
    <row r="120" spans="1:4" ht="12.75">
      <c r="A120" s="21"/>
      <c r="B120" s="22"/>
      <c r="C120" s="21"/>
      <c r="D120" s="21"/>
    </row>
    <row r="121" spans="1:4" ht="12.75">
      <c r="A121" s="21"/>
      <c r="B121" s="22"/>
      <c r="C121" s="21"/>
      <c r="D121" s="21"/>
    </row>
    <row r="122" spans="1:4" ht="12.75">
      <c r="A122" s="21"/>
      <c r="B122" s="22"/>
      <c r="C122" s="21"/>
      <c r="D122" s="21"/>
    </row>
    <row r="123" spans="1:4" ht="12.75">
      <c r="A123" s="21"/>
      <c r="B123" s="22"/>
      <c r="C123" s="21"/>
      <c r="D123" s="21"/>
    </row>
    <row r="124" spans="1:4" ht="12.75">
      <c r="A124" s="21"/>
      <c r="B124" s="22"/>
      <c r="C124" s="21"/>
      <c r="D124" s="21"/>
    </row>
    <row r="125" spans="1:4" ht="12.75">
      <c r="A125" s="21"/>
      <c r="B125" s="22"/>
      <c r="C125" s="21"/>
      <c r="D125" s="21"/>
    </row>
    <row r="126" spans="1:4" ht="12.75">
      <c r="A126" s="21"/>
      <c r="B126" s="22"/>
      <c r="C126" s="21"/>
      <c r="D126" s="21"/>
    </row>
    <row r="127" spans="1:4" ht="12.75">
      <c r="A127" s="21"/>
      <c r="B127" s="22"/>
      <c r="C127" s="21"/>
      <c r="D127" s="21"/>
    </row>
    <row r="128" spans="1:4" ht="12.75">
      <c r="A128" s="21"/>
      <c r="B128" s="22"/>
      <c r="C128" s="21"/>
      <c r="D128" s="21"/>
    </row>
    <row r="129" spans="1:4" ht="12.75">
      <c r="A129" s="21"/>
      <c r="B129" s="22"/>
      <c r="C129" s="21"/>
      <c r="D129" s="21"/>
    </row>
    <row r="130" spans="1:4" ht="12.75">
      <c r="A130" s="21"/>
      <c r="B130" s="22"/>
      <c r="C130" s="21"/>
      <c r="D130" s="21"/>
    </row>
    <row r="131" spans="1:4" ht="12.75">
      <c r="A131" s="21"/>
      <c r="B131" s="22"/>
      <c r="C131" s="21"/>
      <c r="D131" s="21"/>
    </row>
    <row r="132" spans="1:4" ht="12.75">
      <c r="A132" s="21"/>
      <c r="B132" s="22"/>
      <c r="C132" s="21"/>
      <c r="D132" s="21"/>
    </row>
    <row r="133" spans="1:4" ht="12.75">
      <c r="A133" s="21"/>
      <c r="B133" s="22"/>
      <c r="C133" s="21"/>
      <c r="D133" s="21"/>
    </row>
    <row r="134" spans="1:4" ht="12.75">
      <c r="A134" s="21"/>
      <c r="B134" s="22"/>
      <c r="C134" s="21"/>
      <c r="D134" s="21"/>
    </row>
    <row r="135" spans="1:4" ht="12.75">
      <c r="A135" s="21"/>
      <c r="B135" s="22"/>
      <c r="C135" s="21"/>
      <c r="D135" s="21"/>
    </row>
    <row r="136" spans="1:4" ht="12.75">
      <c r="A136" s="21"/>
      <c r="B136" s="22"/>
      <c r="C136" s="21"/>
      <c r="D136" s="21"/>
    </row>
    <row r="137" spans="1:4" ht="12.75">
      <c r="A137" s="21"/>
      <c r="B137" s="22"/>
      <c r="C137" s="21"/>
      <c r="D137" s="21"/>
    </row>
    <row r="138" spans="1:4" ht="12.75">
      <c r="A138" s="21"/>
      <c r="B138" s="22"/>
      <c r="C138" s="21"/>
      <c r="D138" s="21"/>
    </row>
    <row r="139" spans="1:4" ht="12.75">
      <c r="A139" s="21"/>
      <c r="B139" s="22"/>
      <c r="C139" s="21"/>
      <c r="D139" s="21"/>
    </row>
    <row r="140" spans="1:4" ht="12.75">
      <c r="A140" s="21"/>
      <c r="B140" s="22"/>
      <c r="C140" s="21"/>
      <c r="D140" s="21"/>
    </row>
    <row r="141" spans="1:4" ht="12.75">
      <c r="A141" s="21"/>
      <c r="B141" s="22"/>
      <c r="C141" s="21"/>
      <c r="D141" s="21"/>
    </row>
    <row r="142" spans="1:4" ht="12.75">
      <c r="A142" s="21"/>
      <c r="B142" s="22"/>
      <c r="C142" s="21"/>
      <c r="D142" s="21"/>
    </row>
    <row r="143" spans="1:4" ht="12.75">
      <c r="A143" s="21"/>
      <c r="B143" s="22"/>
      <c r="C143" s="21"/>
      <c r="D143" s="21"/>
    </row>
    <row r="144" spans="1:4" ht="12.75">
      <c r="A144" s="21"/>
      <c r="B144" s="22"/>
      <c r="C144" s="21"/>
      <c r="D144" s="21"/>
    </row>
    <row r="145" spans="1:4" ht="12.75">
      <c r="A145" s="21"/>
      <c r="B145" s="22"/>
      <c r="C145" s="21"/>
      <c r="D145" s="21"/>
    </row>
    <row r="146" spans="1:4" ht="12.75">
      <c r="A146" s="21"/>
      <c r="B146" s="22"/>
      <c r="C146" s="21"/>
      <c r="D146" s="21"/>
    </row>
    <row r="147" spans="1:4" ht="12.75">
      <c r="A147" s="21"/>
      <c r="B147" s="22"/>
      <c r="C147" s="21"/>
      <c r="D147" s="21"/>
    </row>
    <row r="148" spans="1:4" ht="12.75">
      <c r="A148" s="21"/>
      <c r="B148" s="22"/>
      <c r="C148" s="21"/>
      <c r="D148" s="21"/>
    </row>
    <row r="149" spans="1:4" ht="12.75">
      <c r="A149" s="21"/>
      <c r="B149" s="22"/>
      <c r="C149" s="21"/>
      <c r="D149" s="21"/>
    </row>
    <row r="150" spans="1:4" ht="12.75">
      <c r="A150" s="21"/>
      <c r="B150" s="22"/>
      <c r="C150" s="21"/>
      <c r="D150" s="21"/>
    </row>
    <row r="151" spans="1:4" ht="12.75">
      <c r="A151" s="21"/>
      <c r="B151" s="22"/>
      <c r="C151" s="21"/>
      <c r="D151" s="21"/>
    </row>
    <row r="152" spans="1:4" ht="12.75">
      <c r="A152" s="21"/>
      <c r="B152" s="22"/>
      <c r="C152" s="21"/>
      <c r="D152" s="21"/>
    </row>
    <row r="153" spans="1:4" ht="12.75">
      <c r="A153" s="21"/>
      <c r="B153" s="22"/>
      <c r="C153" s="21"/>
      <c r="D153" s="21"/>
    </row>
    <row r="154" spans="1:4" ht="12.75">
      <c r="A154" s="21"/>
      <c r="B154" s="22"/>
      <c r="C154" s="21"/>
      <c r="D154" s="21"/>
    </row>
    <row r="155" spans="1:4" ht="12.75">
      <c r="A155" s="21"/>
      <c r="B155" s="22"/>
      <c r="C155" s="21"/>
      <c r="D155" s="21"/>
    </row>
    <row r="156" spans="1:4" ht="12.75">
      <c r="A156" s="21"/>
      <c r="B156" s="22"/>
      <c r="C156" s="21"/>
      <c r="D156" s="21"/>
    </row>
    <row r="157" spans="1:4" ht="12.75">
      <c r="A157" s="21"/>
      <c r="B157" s="22"/>
      <c r="C157" s="21"/>
      <c r="D157" s="21"/>
    </row>
    <row r="158" spans="1:4" ht="12.75">
      <c r="A158" s="21"/>
      <c r="B158" s="22"/>
      <c r="C158" s="21"/>
      <c r="D158" s="21"/>
    </row>
    <row r="159" spans="1:4" ht="12.75">
      <c r="A159" s="21"/>
      <c r="B159" s="22"/>
      <c r="C159" s="21"/>
      <c r="D159" s="21"/>
    </row>
    <row r="160" spans="1:4" ht="12.75">
      <c r="A160" s="21"/>
      <c r="B160" s="22"/>
      <c r="C160" s="21"/>
      <c r="D160" s="21"/>
    </row>
    <row r="161" spans="1:4" ht="12.75">
      <c r="A161" s="21"/>
      <c r="B161" s="22"/>
      <c r="C161" s="21"/>
      <c r="D161" s="21"/>
    </row>
    <row r="162" spans="1:4" ht="12.75">
      <c r="A162" s="21"/>
      <c r="B162" s="22"/>
      <c r="C162" s="21"/>
      <c r="D162" s="21"/>
    </row>
    <row r="163" spans="1:4" ht="12.75">
      <c r="A163" s="21"/>
      <c r="B163" s="22"/>
      <c r="C163" s="21"/>
      <c r="D163" s="21"/>
    </row>
    <row r="164" spans="1:4" ht="12.75">
      <c r="A164" s="21"/>
      <c r="B164" s="22"/>
      <c r="C164" s="21"/>
      <c r="D164" s="21"/>
    </row>
    <row r="165" spans="1:4" ht="12.75">
      <c r="A165" s="21"/>
      <c r="B165" s="22"/>
      <c r="C165" s="21"/>
      <c r="D165" s="21"/>
    </row>
    <row r="166" spans="1:4" ht="12.75">
      <c r="A166" s="21"/>
      <c r="B166" s="22"/>
      <c r="C166" s="21"/>
      <c r="D166" s="21"/>
    </row>
    <row r="167" spans="1:4" ht="12.75">
      <c r="A167" s="21"/>
      <c r="B167" s="22"/>
      <c r="C167" s="21"/>
      <c r="D167" s="21"/>
    </row>
    <row r="168" spans="1:4" ht="12.75">
      <c r="A168" s="21"/>
      <c r="B168" s="22"/>
      <c r="C168" s="21"/>
      <c r="D168" s="21"/>
    </row>
    <row r="169" spans="1:4" ht="12.75">
      <c r="A169" s="21"/>
      <c r="B169" s="22"/>
      <c r="C169" s="21"/>
      <c r="D169" s="21"/>
    </row>
    <row r="170" spans="1:4" ht="12.75">
      <c r="A170" s="21"/>
      <c r="B170" s="22"/>
      <c r="C170" s="21"/>
      <c r="D170" s="21"/>
    </row>
    <row r="171" spans="1:4" ht="12.75">
      <c r="A171" s="21"/>
      <c r="B171" s="22"/>
      <c r="C171" s="21"/>
      <c r="D171" s="21"/>
    </row>
    <row r="172" spans="1:4" ht="12.75">
      <c r="A172" s="21"/>
      <c r="B172" s="22"/>
      <c r="C172" s="21"/>
      <c r="D172" s="21"/>
    </row>
    <row r="173" spans="1:4" ht="12.75">
      <c r="A173" s="21"/>
      <c r="B173" s="22"/>
      <c r="C173" s="21"/>
      <c r="D173" s="21"/>
    </row>
    <row r="174" spans="1:4" ht="12.75">
      <c r="A174" s="21"/>
      <c r="B174" s="22"/>
      <c r="C174" s="21"/>
      <c r="D174" s="21"/>
    </row>
    <row r="175" spans="1:4" ht="12.75">
      <c r="A175" s="21"/>
      <c r="B175" s="22"/>
      <c r="C175" s="21"/>
      <c r="D175" s="21"/>
    </row>
    <row r="176" spans="1:4" ht="12.75">
      <c r="A176" s="21"/>
      <c r="B176" s="22"/>
      <c r="C176" s="21"/>
      <c r="D176" s="21"/>
    </row>
    <row r="177" spans="1:4" ht="12.75">
      <c r="A177" s="21"/>
      <c r="B177" s="22"/>
      <c r="C177" s="21"/>
      <c r="D177" s="21"/>
    </row>
    <row r="178" spans="1:4" ht="12.75">
      <c r="A178" s="21"/>
      <c r="B178" s="22"/>
      <c r="C178" s="21"/>
      <c r="D178" s="21"/>
    </row>
    <row r="179" spans="1:4" ht="12.75">
      <c r="A179" s="21"/>
      <c r="B179" s="22"/>
      <c r="C179" s="21"/>
      <c r="D179" s="21"/>
    </row>
    <row r="180" spans="1:4" ht="12.75">
      <c r="A180" s="21"/>
      <c r="B180" s="22"/>
      <c r="C180" s="21"/>
      <c r="D180" s="21"/>
    </row>
    <row r="181" spans="1:4" ht="12.75">
      <c r="A181" s="21"/>
      <c r="B181" s="22"/>
      <c r="C181" s="21"/>
      <c r="D181" s="21"/>
    </row>
    <row r="182" spans="1:4" ht="12.75">
      <c r="A182" s="21"/>
      <c r="B182" s="22"/>
      <c r="C182" s="21"/>
      <c r="D182" s="21"/>
    </row>
    <row r="183" spans="1:4" ht="12.75">
      <c r="A183" s="21"/>
      <c r="B183" s="22"/>
      <c r="C183" s="21"/>
      <c r="D183" s="21"/>
    </row>
    <row r="184" spans="1:4" ht="12.75">
      <c r="A184" s="21"/>
      <c r="B184" s="22"/>
      <c r="C184" s="21"/>
      <c r="D184" s="21"/>
    </row>
    <row r="185" spans="1:4" ht="12.75">
      <c r="A185" s="21"/>
      <c r="B185" s="22"/>
      <c r="C185" s="21"/>
      <c r="D185" s="21"/>
    </row>
    <row r="186" spans="1:4" ht="12.75">
      <c r="A186" s="21"/>
      <c r="B186" s="22"/>
      <c r="C186" s="21"/>
      <c r="D186" s="21"/>
    </row>
    <row r="187" spans="1:4" ht="12.75">
      <c r="A187" s="21"/>
      <c r="B187" s="22"/>
      <c r="C187" s="21"/>
      <c r="D187" s="21"/>
    </row>
    <row r="188" spans="1:4" ht="12.75">
      <c r="A188" s="21"/>
      <c r="B188" s="22"/>
      <c r="C188" s="21"/>
      <c r="D188" s="21"/>
    </row>
    <row r="189" spans="1:4" ht="12.75">
      <c r="A189" s="21"/>
      <c r="B189" s="22"/>
      <c r="C189" s="21"/>
      <c r="D189" s="21"/>
    </row>
    <row r="190" spans="1:4" ht="12.75">
      <c r="A190" s="21"/>
      <c r="B190" s="22"/>
      <c r="C190" s="21"/>
      <c r="D190" s="21"/>
    </row>
    <row r="191" spans="1:4" ht="12.75">
      <c r="A191" s="21"/>
      <c r="B191" s="22"/>
      <c r="C191" s="21"/>
      <c r="D191" s="21"/>
    </row>
    <row r="192" spans="1:4" ht="12.75">
      <c r="A192" s="21"/>
      <c r="B192" s="22"/>
      <c r="C192" s="21"/>
      <c r="D192" s="21"/>
    </row>
    <row r="193" spans="1:4" ht="12.75">
      <c r="A193" s="21"/>
      <c r="B193" s="22"/>
      <c r="C193" s="21"/>
      <c r="D193" s="21"/>
    </row>
    <row r="194" spans="1:4" ht="12.75">
      <c r="A194" s="21"/>
      <c r="B194" s="22"/>
      <c r="C194" s="21"/>
      <c r="D194" s="21"/>
    </row>
    <row r="195" spans="1:4" ht="12.75">
      <c r="A195" s="21"/>
      <c r="B195" s="22"/>
      <c r="C195" s="21"/>
      <c r="D195" s="21"/>
    </row>
    <row r="196" spans="1:4" ht="12.75">
      <c r="A196" s="21"/>
      <c r="B196" s="22"/>
      <c r="C196" s="21"/>
      <c r="D196" s="21"/>
    </row>
    <row r="197" spans="1:4" ht="12.75">
      <c r="A197" s="21"/>
      <c r="B197" s="22"/>
      <c r="C197" s="21"/>
      <c r="D197" s="21"/>
    </row>
    <row r="198" spans="1:4" ht="12.75">
      <c r="A198" s="21"/>
      <c r="B198" s="22"/>
      <c r="C198" s="21"/>
      <c r="D198" s="21"/>
    </row>
    <row r="199" spans="1:4" ht="12.75">
      <c r="A199" s="21"/>
      <c r="B199" s="22"/>
      <c r="C199" s="21"/>
      <c r="D199" s="21"/>
    </row>
    <row r="200" spans="1:4" ht="12.75">
      <c r="A200" s="21"/>
      <c r="B200" s="22"/>
      <c r="C200" s="21"/>
      <c r="D200" s="21"/>
    </row>
    <row r="201" spans="1:4" ht="12.75">
      <c r="A201" s="21"/>
      <c r="B201" s="22"/>
      <c r="C201" s="21"/>
      <c r="D201" s="21"/>
    </row>
    <row r="202" spans="1:4" ht="12.75">
      <c r="A202" s="21"/>
      <c r="B202" s="22"/>
      <c r="C202" s="21"/>
      <c r="D202" s="21"/>
    </row>
    <row r="203" spans="1:4" ht="12.75">
      <c r="A203" s="21"/>
      <c r="B203" s="22"/>
      <c r="C203" s="21"/>
      <c r="D203" s="21"/>
    </row>
    <row r="204" spans="1:4" ht="12.75">
      <c r="A204" s="21"/>
      <c r="B204" s="22"/>
      <c r="C204" s="21"/>
      <c r="D204" s="21"/>
    </row>
    <row r="205" spans="1:4" ht="12.75">
      <c r="A205" s="21"/>
      <c r="B205" s="22"/>
      <c r="C205" s="21"/>
      <c r="D205" s="21"/>
    </row>
    <row r="206" spans="1:4" ht="12.75">
      <c r="A206" s="21"/>
      <c r="B206" s="22"/>
      <c r="C206" s="21"/>
      <c r="D206" s="21"/>
    </row>
    <row r="207" spans="1:4" ht="12.75">
      <c r="A207" s="21"/>
      <c r="B207" s="22"/>
      <c r="C207" s="21"/>
      <c r="D207" s="21"/>
    </row>
    <row r="208" spans="1:4" ht="12.75">
      <c r="A208" s="21"/>
      <c r="B208" s="22"/>
      <c r="C208" s="21"/>
      <c r="D208" s="21"/>
    </row>
    <row r="209" spans="1:4" ht="12.75">
      <c r="A209" s="21"/>
      <c r="B209" s="22"/>
      <c r="C209" s="21"/>
      <c r="D209" s="21"/>
    </row>
    <row r="210" spans="1:4" ht="12.75">
      <c r="A210" s="21"/>
      <c r="B210" s="22"/>
      <c r="C210" s="21"/>
      <c r="D210" s="21"/>
    </row>
    <row r="211" spans="1:4" ht="12.75">
      <c r="A211" s="21"/>
      <c r="B211" s="22"/>
      <c r="C211" s="21"/>
      <c r="D211" s="21"/>
    </row>
    <row r="212" spans="1:4" ht="12.75">
      <c r="A212" s="21"/>
      <c r="B212" s="22"/>
      <c r="C212" s="21"/>
      <c r="D212" s="21"/>
    </row>
    <row r="213" spans="1:4" ht="12.75">
      <c r="A213" s="21"/>
      <c r="B213" s="22"/>
      <c r="C213" s="21"/>
      <c r="D213" s="21"/>
    </row>
    <row r="214" spans="1:4" ht="12.75">
      <c r="A214" s="21"/>
      <c r="B214" s="22"/>
      <c r="C214" s="21"/>
      <c r="D214" s="21"/>
    </row>
    <row r="215" spans="1:4" ht="12.75">
      <c r="A215" s="21"/>
      <c r="B215" s="22"/>
      <c r="C215" s="21"/>
      <c r="D215" s="21"/>
    </row>
    <row r="216" spans="1:4" ht="12.75">
      <c r="A216" s="21"/>
      <c r="B216" s="22"/>
      <c r="C216" s="21"/>
      <c r="D216" s="21"/>
    </row>
    <row r="217" spans="1:4" ht="12.75">
      <c r="A217" s="21"/>
      <c r="B217" s="22"/>
      <c r="C217" s="21"/>
      <c r="D217" s="21"/>
    </row>
    <row r="218" spans="1:4" ht="12.75">
      <c r="A218" s="21"/>
      <c r="B218" s="22"/>
      <c r="C218" s="21"/>
      <c r="D218" s="21"/>
    </row>
    <row r="219" spans="1:4" ht="12.75">
      <c r="A219" s="21"/>
      <c r="B219" s="22"/>
      <c r="C219" s="21"/>
      <c r="D219" s="21"/>
    </row>
    <row r="220" spans="1:4" ht="12.75">
      <c r="A220" s="21"/>
      <c r="B220" s="22"/>
      <c r="C220" s="21"/>
      <c r="D220" s="21"/>
    </row>
    <row r="221" spans="1:4" ht="12.75">
      <c r="A221" s="21"/>
      <c r="B221" s="22"/>
      <c r="C221" s="21"/>
      <c r="D221" s="21"/>
    </row>
    <row r="222" spans="1:4" ht="12.75">
      <c r="A222" s="21"/>
      <c r="B222" s="22"/>
      <c r="C222" s="21"/>
      <c r="D222" s="21"/>
    </row>
    <row r="223" spans="1:4" ht="12.75">
      <c r="A223" s="21"/>
      <c r="B223" s="22"/>
      <c r="C223" s="21"/>
      <c r="D223" s="21"/>
    </row>
    <row r="224" spans="1:4" ht="12.75">
      <c r="A224" s="21"/>
      <c r="B224" s="22"/>
      <c r="C224" s="21"/>
      <c r="D224" s="21"/>
    </row>
    <row r="225" spans="1:4" ht="12.75">
      <c r="A225" s="21"/>
      <c r="B225" s="22"/>
      <c r="C225" s="21"/>
      <c r="D225" s="21"/>
    </row>
    <row r="226" spans="1:4" ht="12.75">
      <c r="A226" s="21"/>
      <c r="B226" s="22"/>
      <c r="C226" s="21"/>
      <c r="D226" s="21"/>
    </row>
    <row r="227" spans="1:4" ht="12.75">
      <c r="A227" s="21"/>
      <c r="B227" s="22"/>
      <c r="C227" s="21"/>
      <c r="D227" s="21"/>
    </row>
    <row r="228" spans="1:4" ht="12.75">
      <c r="A228" s="21"/>
      <c r="B228" s="22"/>
      <c r="C228" s="21"/>
      <c r="D228" s="21"/>
    </row>
    <row r="229" spans="1:4" ht="12.75">
      <c r="A229" s="21"/>
      <c r="B229" s="22"/>
      <c r="C229" s="21"/>
      <c r="D229" s="21"/>
    </row>
    <row r="230" spans="1:4" ht="12.75">
      <c r="A230" s="21"/>
      <c r="B230" s="22"/>
      <c r="C230" s="21"/>
      <c r="D230" s="21"/>
    </row>
    <row r="231" spans="1:4" ht="12.75">
      <c r="A231" s="21"/>
      <c r="B231" s="22"/>
      <c r="C231" s="21"/>
      <c r="D231" s="21"/>
    </row>
    <row r="232" spans="1:4" ht="12.75">
      <c r="A232" s="21"/>
      <c r="B232" s="22"/>
      <c r="C232" s="21"/>
      <c r="D232" s="21"/>
    </row>
    <row r="233" spans="1:4" ht="12.75">
      <c r="A233" s="21"/>
      <c r="B233" s="22"/>
      <c r="C233" s="21"/>
      <c r="D233" s="21"/>
    </row>
    <row r="234" spans="1:4" ht="12.75">
      <c r="A234" s="21"/>
      <c r="B234" s="22"/>
      <c r="C234" s="21"/>
      <c r="D234" s="21"/>
    </row>
    <row r="235" spans="1:4" ht="12.75">
      <c r="A235" s="21"/>
      <c r="B235" s="22"/>
      <c r="C235" s="21"/>
      <c r="D235" s="21"/>
    </row>
    <row r="236" spans="1:4" ht="12.75">
      <c r="A236" s="21"/>
      <c r="B236" s="22"/>
      <c r="C236" s="21"/>
      <c r="D236" s="21"/>
    </row>
    <row r="237" spans="1:4" ht="12.75">
      <c r="A237" s="21"/>
      <c r="B237" s="22"/>
      <c r="C237" s="21"/>
      <c r="D237" s="21"/>
    </row>
    <row r="238" spans="1:4" ht="12.75">
      <c r="A238" s="21"/>
      <c r="B238" s="22"/>
      <c r="C238" s="21"/>
      <c r="D238" s="21"/>
    </row>
    <row r="239" spans="1:4" ht="12.75">
      <c r="A239" s="21"/>
      <c r="B239" s="22"/>
      <c r="C239" s="21"/>
      <c r="D239" s="21"/>
    </row>
    <row r="240" spans="1:4" ht="12.75">
      <c r="A240" s="21"/>
      <c r="B240" s="22"/>
      <c r="C240" s="21"/>
      <c r="D240" s="21"/>
    </row>
    <row r="241" spans="1:4" ht="12.75">
      <c r="A241" s="21"/>
      <c r="B241" s="22"/>
      <c r="C241" s="21"/>
      <c r="D241" s="21"/>
    </row>
    <row r="242" spans="1:4" ht="12.75">
      <c r="A242" s="21"/>
      <c r="B242" s="22"/>
      <c r="C242" s="21"/>
      <c r="D242" s="21"/>
    </row>
    <row r="243" spans="1:4" ht="12.75">
      <c r="A243" s="21"/>
      <c r="B243" s="22"/>
      <c r="C243" s="21"/>
      <c r="D243" s="21"/>
    </row>
    <row r="244" spans="1:4" ht="12.75">
      <c r="A244" s="21"/>
      <c r="B244" s="22"/>
      <c r="C244" s="21"/>
      <c r="D244" s="21"/>
    </row>
    <row r="245" spans="1:4" ht="12.75">
      <c r="A245" s="21"/>
      <c r="B245" s="22"/>
      <c r="C245" s="21"/>
      <c r="D245" s="21"/>
    </row>
    <row r="246" spans="1:4" ht="12.75">
      <c r="A246" s="21"/>
      <c r="B246" s="22"/>
      <c r="C246" s="21"/>
      <c r="D246" s="21"/>
    </row>
    <row r="247" spans="1:4" ht="12.75">
      <c r="A247" s="21"/>
      <c r="B247" s="22"/>
      <c r="C247" s="21"/>
      <c r="D247" s="21"/>
    </row>
    <row r="248" spans="1:4" ht="12.75">
      <c r="A248" s="21"/>
      <c r="B248" s="22"/>
      <c r="C248" s="21"/>
      <c r="D248" s="21"/>
    </row>
    <row r="249" spans="1:4" ht="12.75">
      <c r="A249" s="21"/>
      <c r="B249" s="22"/>
      <c r="C249" s="21"/>
      <c r="D249" s="21"/>
    </row>
    <row r="250" spans="1:4" ht="12.75">
      <c r="A250" s="21"/>
      <c r="B250" s="22"/>
      <c r="C250" s="21"/>
      <c r="D250" s="21"/>
    </row>
    <row r="251" spans="1:4" ht="12.75">
      <c r="A251" s="21"/>
      <c r="B251" s="22"/>
      <c r="C251" s="21"/>
      <c r="D251" s="21"/>
    </row>
    <row r="252" spans="1:4" ht="12.75">
      <c r="A252" s="21"/>
      <c r="B252" s="22"/>
      <c r="C252" s="21"/>
      <c r="D252" s="21"/>
    </row>
    <row r="253" spans="1:4" ht="12.75">
      <c r="A253" s="21"/>
      <c r="B253" s="22"/>
      <c r="C253" s="21"/>
      <c r="D253" s="21"/>
    </row>
    <row r="254" spans="1:4" ht="12.75">
      <c r="A254" s="21"/>
      <c r="B254" s="22"/>
      <c r="C254" s="21"/>
      <c r="D254" s="21"/>
    </row>
    <row r="255" spans="1:4" ht="12.75">
      <c r="A255" s="21"/>
      <c r="B255" s="22"/>
      <c r="C255" s="21"/>
      <c r="D255" s="21"/>
    </row>
    <row r="256" spans="1:4" ht="12.75">
      <c r="A256" s="21"/>
      <c r="B256" s="22"/>
      <c r="C256" s="21"/>
      <c r="D256" s="21"/>
    </row>
    <row r="257" spans="1:4" ht="12.75">
      <c r="A257" s="21"/>
      <c r="B257" s="22"/>
      <c r="C257" s="21"/>
      <c r="D257" s="21"/>
    </row>
    <row r="258" spans="1:4" ht="12.75">
      <c r="A258" s="21"/>
      <c r="B258" s="22"/>
      <c r="C258" s="21"/>
      <c r="D258" s="21"/>
    </row>
    <row r="259" spans="1:4" ht="12.75">
      <c r="A259" s="21"/>
      <c r="B259" s="22"/>
      <c r="C259" s="21"/>
      <c r="D259" s="21"/>
    </row>
    <row r="260" spans="1:4" ht="12.75">
      <c r="A260" s="21"/>
      <c r="B260" s="22"/>
      <c r="C260" s="21"/>
      <c r="D260" s="21"/>
    </row>
    <row r="261" spans="1:4" ht="12.75">
      <c r="A261" s="21"/>
      <c r="B261" s="22"/>
      <c r="C261" s="21"/>
      <c r="D261" s="21"/>
    </row>
    <row r="262" spans="1:4" ht="12.75">
      <c r="A262" s="21"/>
      <c r="B262" s="22"/>
      <c r="C262" s="21"/>
      <c r="D262" s="21"/>
    </row>
    <row r="263" spans="1:4" ht="12.75">
      <c r="A263" s="21"/>
      <c r="B263" s="22"/>
      <c r="C263" s="21"/>
      <c r="D263" s="21"/>
    </row>
    <row r="264" spans="1:4" ht="12.75">
      <c r="A264" s="21"/>
      <c r="B264" s="22"/>
      <c r="C264" s="21"/>
      <c r="D264" s="21"/>
    </row>
    <row r="265" spans="1:4" ht="12.75">
      <c r="A265" s="21"/>
      <c r="B265" s="22"/>
      <c r="C265" s="21"/>
      <c r="D265" s="21"/>
    </row>
    <row r="266" spans="1:4" ht="12.75">
      <c r="A266" s="21"/>
      <c r="B266" s="22"/>
      <c r="C266" s="21"/>
      <c r="D266" s="21"/>
    </row>
    <row r="267" spans="1:4" ht="12.75">
      <c r="A267" s="21"/>
      <c r="B267" s="22"/>
      <c r="C267" s="21"/>
      <c r="D267" s="21"/>
    </row>
    <row r="268" spans="1:4" ht="12.75">
      <c r="A268" s="21"/>
      <c r="B268" s="22"/>
      <c r="C268" s="21"/>
      <c r="D268" s="21"/>
    </row>
    <row r="269" spans="1:4" ht="12.75">
      <c r="A269" s="21"/>
      <c r="B269" s="22"/>
      <c r="C269" s="21"/>
      <c r="D269" s="21"/>
    </row>
    <row r="270" spans="1:4" ht="12.75">
      <c r="A270" s="21"/>
      <c r="B270" s="22"/>
      <c r="C270" s="21"/>
      <c r="D270" s="21"/>
    </row>
    <row r="271" spans="1:4" ht="12.75">
      <c r="A271" s="21"/>
      <c r="B271" s="22"/>
      <c r="C271" s="21"/>
      <c r="D271" s="21"/>
    </row>
    <row r="272" spans="1:4" ht="12.75">
      <c r="A272" s="21"/>
      <c r="B272" s="22"/>
      <c r="C272" s="21"/>
      <c r="D272" s="21"/>
    </row>
    <row r="273" spans="1:4" ht="12.75">
      <c r="A273" s="21"/>
      <c r="B273" s="22"/>
      <c r="C273" s="21"/>
      <c r="D273" s="21"/>
    </row>
    <row r="274" spans="1:4" ht="12.75">
      <c r="A274" s="21"/>
      <c r="B274" s="22"/>
      <c r="C274" s="21"/>
      <c r="D274" s="21"/>
    </row>
    <row r="275" spans="1:4" ht="12.75">
      <c r="A275" s="21"/>
      <c r="B275" s="22"/>
      <c r="C275" s="21"/>
      <c r="D275" s="21"/>
    </row>
    <row r="276" spans="1:4" ht="12.75">
      <c r="A276" s="21"/>
      <c r="B276" s="22"/>
      <c r="C276" s="21"/>
      <c r="D276" s="21"/>
    </row>
    <row r="277" spans="1:4" ht="12.75">
      <c r="A277" s="21"/>
      <c r="B277" s="22"/>
      <c r="C277" s="21"/>
      <c r="D277" s="21"/>
    </row>
    <row r="278" spans="1:4" ht="12.75">
      <c r="A278" s="21"/>
      <c r="B278" s="22"/>
      <c r="C278" s="21"/>
      <c r="D278" s="21"/>
    </row>
    <row r="279" spans="1:4" ht="12.75">
      <c r="A279" s="21"/>
      <c r="B279" s="22"/>
      <c r="C279" s="21"/>
      <c r="D279" s="21"/>
    </row>
    <row r="280" spans="1:4" ht="12.75">
      <c r="A280" s="21"/>
      <c r="B280" s="22"/>
      <c r="C280" s="21"/>
      <c r="D280" s="21"/>
    </row>
    <row r="281" spans="1:4" ht="12.75">
      <c r="A281" s="21"/>
      <c r="B281" s="22"/>
      <c r="C281" s="21"/>
      <c r="D281" s="21"/>
    </row>
    <row r="282" spans="1:4" ht="12.75">
      <c r="A282" s="21"/>
      <c r="B282" s="22"/>
      <c r="C282" s="21"/>
      <c r="D282" s="21"/>
    </row>
    <row r="283" spans="1:4" ht="12.75">
      <c r="A283" s="21"/>
      <c r="B283" s="22"/>
      <c r="C283" s="21"/>
      <c r="D283" s="21"/>
    </row>
    <row r="284" spans="1:4" ht="12.75">
      <c r="A284" s="21"/>
      <c r="B284" s="22"/>
      <c r="C284" s="21"/>
      <c r="D284" s="21"/>
    </row>
    <row r="285" spans="1:4" ht="12.75">
      <c r="A285" s="21"/>
      <c r="B285" s="22"/>
      <c r="C285" s="21"/>
      <c r="D285" s="21"/>
    </row>
    <row r="286" spans="1:4" ht="12.75">
      <c r="A286" s="21"/>
      <c r="B286" s="22"/>
      <c r="C286" s="21"/>
      <c r="D286" s="21"/>
    </row>
    <row r="287" spans="1:4" ht="12.75">
      <c r="A287" s="21"/>
      <c r="B287" s="22"/>
      <c r="C287" s="21"/>
      <c r="D287" s="21"/>
    </row>
    <row r="288" spans="1:4" ht="12.75">
      <c r="A288" s="21"/>
      <c r="B288" s="22"/>
      <c r="C288" s="21"/>
      <c r="D288" s="21"/>
    </row>
    <row r="289" spans="1:4" ht="12.75">
      <c r="A289" s="21"/>
      <c r="B289" s="22"/>
      <c r="C289" s="21"/>
      <c r="D289" s="21"/>
    </row>
    <row r="290" spans="1:4" ht="12.75">
      <c r="A290" s="21"/>
      <c r="B290" s="22"/>
      <c r="C290" s="21"/>
      <c r="D290" s="21"/>
    </row>
    <row r="291" spans="1:4" ht="12.75">
      <c r="A291" s="21"/>
      <c r="B291" s="22"/>
      <c r="C291" s="21"/>
      <c r="D291" s="21"/>
    </row>
    <row r="292" spans="1:4" ht="12.75">
      <c r="A292" s="21"/>
      <c r="B292" s="22"/>
      <c r="C292" s="21"/>
      <c r="D292" s="21"/>
    </row>
    <row r="293" spans="1:4" ht="12.75">
      <c r="A293" s="21"/>
      <c r="B293" s="22"/>
      <c r="C293" s="21"/>
      <c r="D293" s="21"/>
    </row>
    <row r="294" spans="1:4" ht="12.75">
      <c r="A294" s="21"/>
      <c r="B294" s="22"/>
      <c r="C294" s="21"/>
      <c r="D294" s="21"/>
    </row>
    <row r="295" spans="1:4" ht="12.75">
      <c r="A295" s="21"/>
      <c r="B295" s="22"/>
      <c r="C295" s="21"/>
      <c r="D295" s="21"/>
    </row>
    <row r="296" spans="1:4" ht="12.75">
      <c r="A296" s="21"/>
      <c r="B296" s="22"/>
      <c r="C296" s="21"/>
      <c r="D296" s="21"/>
    </row>
    <row r="297" spans="1:4" ht="12.75">
      <c r="A297" s="21"/>
      <c r="B297" s="22"/>
      <c r="C297" s="21"/>
      <c r="D297" s="21"/>
    </row>
    <row r="298" spans="1:4" ht="12.75">
      <c r="A298" s="21"/>
      <c r="B298" s="22"/>
      <c r="C298" s="21"/>
      <c r="D298" s="21"/>
    </row>
    <row r="299" spans="1:4" ht="12.75">
      <c r="A299" s="21"/>
      <c r="B299" s="22"/>
      <c r="C299" s="21"/>
      <c r="D299" s="21"/>
    </row>
    <row r="300" spans="1:4" ht="12.75">
      <c r="A300" s="21"/>
      <c r="B300" s="22"/>
      <c r="C300" s="21"/>
      <c r="D300" s="21"/>
    </row>
    <row r="301" spans="1:4" ht="12.75">
      <c r="A301" s="21"/>
      <c r="B301" s="22"/>
      <c r="C301" s="21"/>
      <c r="D301" s="21"/>
    </row>
    <row r="302" spans="1:4" ht="12.75">
      <c r="A302" s="21"/>
      <c r="B302" s="22"/>
      <c r="C302" s="21"/>
      <c r="D302" s="21"/>
    </row>
    <row r="303" spans="1:4" ht="12.75">
      <c r="A303" s="21"/>
      <c r="B303" s="22"/>
      <c r="C303" s="21"/>
      <c r="D303" s="21"/>
    </row>
    <row r="304" spans="1:4" ht="12.75">
      <c r="A304" s="21"/>
      <c r="B304" s="22"/>
      <c r="C304" s="21"/>
      <c r="D304" s="21"/>
    </row>
    <row r="305" spans="1:4" ht="12.75">
      <c r="A305" s="21"/>
      <c r="B305" s="22"/>
      <c r="C305" s="21"/>
      <c r="D305" s="21"/>
    </row>
    <row r="306" spans="1:4" ht="12.75">
      <c r="A306" s="21"/>
      <c r="B306" s="22"/>
      <c r="C306" s="21"/>
      <c r="D306" s="21"/>
    </row>
    <row r="307" spans="1:4" ht="12.75">
      <c r="A307" s="21"/>
      <c r="B307" s="22"/>
      <c r="C307" s="21"/>
      <c r="D307" s="21"/>
    </row>
    <row r="308" spans="1:4" ht="12.75">
      <c r="A308" s="21"/>
      <c r="B308" s="22"/>
      <c r="C308" s="21"/>
      <c r="D308" s="21"/>
    </row>
    <row r="309" spans="1:4" ht="12.75">
      <c r="A309" s="21"/>
      <c r="B309" s="22"/>
      <c r="C309" s="21"/>
      <c r="D309" s="21"/>
    </row>
    <row r="310" spans="1:4" ht="12.75">
      <c r="A310" s="21"/>
      <c r="B310" s="22"/>
      <c r="C310" s="21"/>
      <c r="D310" s="21"/>
    </row>
    <row r="311" spans="1:4" ht="12.75">
      <c r="A311" s="21"/>
      <c r="B311" s="22"/>
      <c r="C311" s="21"/>
      <c r="D311" s="21"/>
    </row>
    <row r="312" spans="1:4" ht="12.75">
      <c r="A312" s="21"/>
      <c r="B312" s="22"/>
      <c r="C312" s="21"/>
      <c r="D312" s="21"/>
    </row>
    <row r="313" spans="1:4" ht="12.75">
      <c r="A313" s="21"/>
      <c r="B313" s="22"/>
      <c r="C313" s="21"/>
      <c r="D313" s="21"/>
    </row>
    <row r="314" spans="1:4" ht="12.75">
      <c r="A314" s="21"/>
      <c r="B314" s="22"/>
      <c r="C314" s="21"/>
      <c r="D314" s="21"/>
    </row>
    <row r="315" spans="1:4" ht="12.75">
      <c r="A315" s="21"/>
      <c r="B315" s="22"/>
      <c r="C315" s="21"/>
      <c r="D315" s="21"/>
    </row>
    <row r="316" spans="1:4" ht="12.75">
      <c r="A316" s="21"/>
      <c r="B316" s="22"/>
      <c r="C316" s="21"/>
      <c r="D316" s="21"/>
    </row>
    <row r="317" spans="1:4" ht="12.75">
      <c r="A317" s="21"/>
      <c r="B317" s="22"/>
      <c r="C317" s="21"/>
      <c r="D317" s="21"/>
    </row>
    <row r="318" spans="1:4" ht="12.75">
      <c r="A318" s="21"/>
      <c r="B318" s="22"/>
      <c r="C318" s="21"/>
      <c r="D318" s="21"/>
    </row>
    <row r="319" spans="1:4" ht="12.75">
      <c r="A319" s="21"/>
      <c r="B319" s="22"/>
      <c r="C319" s="21"/>
      <c r="D319" s="21"/>
    </row>
    <row r="320" spans="1:4" ht="12.75">
      <c r="A320" s="21"/>
      <c r="B320" s="22"/>
      <c r="C320" s="21"/>
      <c r="D320" s="21"/>
    </row>
    <row r="321" spans="1:4" ht="12.75">
      <c r="A321" s="21"/>
      <c r="B321" s="22"/>
      <c r="C321" s="21"/>
      <c r="D321" s="21"/>
    </row>
    <row r="322" spans="1:4" ht="12.75">
      <c r="A322" s="21"/>
      <c r="B322" s="22"/>
      <c r="C322" s="21"/>
      <c r="D322" s="21"/>
    </row>
    <row r="323" spans="1:4" ht="12.75">
      <c r="A323" s="21"/>
      <c r="B323" s="22"/>
      <c r="C323" s="21"/>
      <c r="D323" s="21"/>
    </row>
    <row r="324" spans="1:4" ht="12.75">
      <c r="A324" s="21"/>
      <c r="B324" s="22"/>
      <c r="C324" s="21"/>
      <c r="D324" s="21"/>
    </row>
    <row r="325" spans="1:4" ht="12.75">
      <c r="A325" s="21"/>
      <c r="B325" s="22"/>
      <c r="C325" s="21"/>
      <c r="D325" s="21"/>
    </row>
    <row r="326" spans="1:4" ht="12.75">
      <c r="A326" s="21"/>
      <c r="B326" s="22"/>
      <c r="C326" s="21"/>
      <c r="D326" s="21"/>
    </row>
    <row r="327" spans="1:4" ht="12.75">
      <c r="A327" s="21"/>
      <c r="B327" s="22"/>
      <c r="C327" s="21"/>
      <c r="D327" s="21"/>
    </row>
    <row r="328" spans="1:4" ht="12.75">
      <c r="A328" s="21"/>
      <c r="B328" s="22"/>
      <c r="C328" s="21"/>
      <c r="D328" s="21"/>
    </row>
    <row r="329" spans="1:4" ht="12.75">
      <c r="A329" s="21"/>
      <c r="B329" s="22"/>
      <c r="C329" s="21"/>
      <c r="D329" s="21"/>
    </row>
    <row r="330" spans="1:4" ht="12.75">
      <c r="A330" s="21"/>
      <c r="B330" s="22"/>
      <c r="C330" s="21"/>
      <c r="D330" s="21"/>
    </row>
    <row r="331" spans="1:4" ht="12.75">
      <c r="A331" s="21"/>
      <c r="B331" s="22"/>
      <c r="C331" s="21"/>
      <c r="D331" s="21"/>
    </row>
    <row r="332" spans="1:4" ht="12.75">
      <c r="A332" s="21"/>
      <c r="B332" s="22"/>
      <c r="C332" s="21"/>
      <c r="D332" s="21"/>
    </row>
    <row r="333" spans="1:4" ht="12.75">
      <c r="A333" s="21"/>
      <c r="B333" s="22"/>
      <c r="C333" s="21"/>
      <c r="D333" s="21"/>
    </row>
    <row r="334" spans="1:4" ht="12.75">
      <c r="A334" s="21"/>
      <c r="B334" s="22"/>
      <c r="C334" s="21"/>
      <c r="D334" s="21"/>
    </row>
    <row r="335" spans="1:4" ht="12.75">
      <c r="A335" s="21"/>
      <c r="B335" s="22"/>
      <c r="C335" s="21"/>
      <c r="D335" s="21"/>
    </row>
    <row r="336" spans="1:4" ht="12.75">
      <c r="A336" s="21"/>
      <c r="B336" s="22"/>
      <c r="C336" s="21"/>
      <c r="D336" s="21"/>
    </row>
    <row r="337" spans="1:4" ht="12.75">
      <c r="A337" s="21"/>
      <c r="B337" s="22"/>
      <c r="C337" s="21"/>
      <c r="D337" s="21"/>
    </row>
    <row r="338" spans="1:4" ht="12.75">
      <c r="A338" s="21"/>
      <c r="B338" s="22"/>
      <c r="C338" s="21"/>
      <c r="D338" s="21"/>
    </row>
    <row r="339" spans="1:4" ht="12.75">
      <c r="A339" s="21"/>
      <c r="B339" s="22"/>
      <c r="C339" s="21"/>
      <c r="D339" s="21"/>
    </row>
    <row r="340" spans="1:4" ht="12.75">
      <c r="A340" s="21"/>
      <c r="B340" s="22"/>
      <c r="C340" s="21"/>
      <c r="D340" s="21"/>
    </row>
    <row r="341" spans="1:4" ht="12.75">
      <c r="A341" s="21"/>
      <c r="B341" s="22"/>
      <c r="C341" s="21"/>
      <c r="D341" s="21"/>
    </row>
    <row r="342" spans="1:4" ht="12.75">
      <c r="A342" s="21"/>
      <c r="B342" s="22"/>
      <c r="C342" s="21"/>
      <c r="D342" s="21"/>
    </row>
    <row r="343" spans="1:4" ht="12.75">
      <c r="A343" s="21"/>
      <c r="B343" s="22"/>
      <c r="C343" s="21"/>
      <c r="D343" s="21"/>
    </row>
    <row r="344" spans="1:4" ht="12.75">
      <c r="A344" s="21"/>
      <c r="B344" s="22"/>
      <c r="C344" s="21"/>
      <c r="D344" s="21"/>
    </row>
    <row r="345" spans="1:4" ht="12.75">
      <c r="A345" s="21"/>
      <c r="B345" s="22"/>
      <c r="C345" s="21"/>
      <c r="D345" s="21"/>
    </row>
    <row r="346" spans="1:4" ht="12.75">
      <c r="A346" s="21"/>
      <c r="B346" s="22"/>
      <c r="C346" s="21"/>
      <c r="D346" s="21"/>
    </row>
    <row r="347" spans="1:4" ht="12.75">
      <c r="A347" s="21"/>
      <c r="B347" s="22"/>
      <c r="C347" s="21"/>
      <c r="D347" s="21"/>
    </row>
    <row r="348" spans="1:4" ht="12.75">
      <c r="A348" s="21"/>
      <c r="B348" s="22"/>
      <c r="C348" s="21"/>
      <c r="D348" s="21"/>
    </row>
    <row r="349" spans="1:4" ht="12.75">
      <c r="A349" s="21"/>
      <c r="B349" s="22"/>
      <c r="C349" s="21"/>
      <c r="D349" s="21"/>
    </row>
    <row r="350" spans="1:4" ht="12.75">
      <c r="A350" s="21"/>
      <c r="B350" s="22"/>
      <c r="C350" s="21"/>
      <c r="D350" s="21"/>
    </row>
    <row r="351" spans="1:4" ht="12.75">
      <c r="A351" s="21"/>
      <c r="B351" s="22"/>
      <c r="C351" s="21"/>
      <c r="D351" s="21"/>
    </row>
    <row r="352" spans="1:4" ht="12.75">
      <c r="A352" s="21"/>
      <c r="B352" s="22"/>
      <c r="C352" s="21"/>
      <c r="D352" s="21"/>
    </row>
    <row r="353" spans="1:4" ht="12.75">
      <c r="A353" s="21"/>
      <c r="B353" s="22"/>
      <c r="C353" s="21"/>
      <c r="D353" s="21"/>
    </row>
    <row r="354" spans="1:4" ht="12.75">
      <c r="A354" s="21"/>
      <c r="B354" s="22"/>
      <c r="C354" s="21"/>
      <c r="D354" s="21"/>
    </row>
    <row r="355" spans="1:4" ht="12.75">
      <c r="A355" s="21"/>
      <c r="B355" s="22"/>
      <c r="C355" s="21"/>
      <c r="D355" s="21"/>
    </row>
    <row r="356" spans="1:4" ht="12.75">
      <c r="A356" s="21"/>
      <c r="B356" s="22"/>
      <c r="C356" s="21"/>
      <c r="D356" s="21"/>
    </row>
    <row r="357" spans="1:4" ht="12.75">
      <c r="A357" s="21"/>
      <c r="B357" s="22"/>
      <c r="C357" s="21"/>
      <c r="D357" s="21"/>
    </row>
    <row r="358" spans="1:4" ht="12.75">
      <c r="A358" s="21"/>
      <c r="B358" s="22"/>
      <c r="C358" s="21"/>
      <c r="D358" s="21"/>
    </row>
    <row r="359" spans="1:4" ht="12.75">
      <c r="A359" s="21"/>
      <c r="B359" s="22"/>
      <c r="C359" s="21"/>
      <c r="D359" s="21"/>
    </row>
    <row r="360" spans="1:4" ht="12.75">
      <c r="A360" s="21"/>
      <c r="B360" s="22"/>
      <c r="C360" s="21"/>
      <c r="D360" s="21"/>
    </row>
    <row r="361" spans="1:4" ht="12.75">
      <c r="A361" s="21"/>
      <c r="B361" s="22"/>
      <c r="C361" s="21"/>
      <c r="D361" s="21"/>
    </row>
    <row r="362" spans="1:4" ht="12.75">
      <c r="A362" s="21"/>
      <c r="B362" s="22"/>
      <c r="C362" s="21"/>
      <c r="D362" s="21"/>
    </row>
    <row r="363" spans="1:4" ht="12.75">
      <c r="A363" s="21"/>
      <c r="B363" s="22"/>
      <c r="C363" s="21"/>
      <c r="D363" s="21"/>
    </row>
    <row r="364" spans="1:4" ht="12.75">
      <c r="A364" s="21"/>
      <c r="B364" s="22"/>
      <c r="C364" s="21"/>
      <c r="D364" s="21"/>
    </row>
    <row r="365" spans="1:4" ht="12.75">
      <c r="A365" s="21"/>
      <c r="B365" s="22"/>
      <c r="C365" s="21"/>
      <c r="D365" s="21"/>
    </row>
    <row r="366" spans="1:4" ht="12.75">
      <c r="A366" s="21"/>
      <c r="B366" s="22"/>
      <c r="C366" s="21"/>
      <c r="D366" s="21"/>
    </row>
    <row r="367" spans="1:4" ht="12.75">
      <c r="A367" s="21"/>
      <c r="B367" s="22"/>
      <c r="C367" s="21"/>
      <c r="D367" s="21"/>
    </row>
    <row r="368" spans="1:4" ht="12.75">
      <c r="A368" s="21"/>
      <c r="B368" s="22"/>
      <c r="C368" s="21"/>
      <c r="D368" s="21"/>
    </row>
    <row r="369" spans="1:4" ht="12.75">
      <c r="A369" s="21"/>
      <c r="B369" s="22"/>
      <c r="C369" s="21"/>
      <c r="D369" s="21"/>
    </row>
    <row r="370" spans="1:4" ht="12.75">
      <c r="A370" s="21"/>
      <c r="B370" s="22"/>
      <c r="C370" s="21"/>
      <c r="D370" s="21"/>
    </row>
    <row r="371" spans="1:4" ht="12.75">
      <c r="A371" s="21"/>
      <c r="B371" s="22"/>
      <c r="C371" s="21"/>
      <c r="D371" s="21"/>
    </row>
    <row r="372" spans="1:4" ht="12.75">
      <c r="A372" s="21"/>
      <c r="B372" s="22"/>
      <c r="C372" s="21"/>
      <c r="D372" s="21"/>
    </row>
    <row r="373" spans="1:4" ht="12.75">
      <c r="A373" s="21"/>
      <c r="B373" s="22"/>
      <c r="C373" s="21"/>
      <c r="D373" s="21"/>
    </row>
    <row r="374" spans="1:4" ht="12.75">
      <c r="A374" s="21"/>
      <c r="B374" s="22"/>
      <c r="C374" s="21"/>
      <c r="D374" s="21"/>
    </row>
    <row r="375" spans="1:4" ht="12.75">
      <c r="A375" s="21"/>
      <c r="B375" s="22"/>
      <c r="C375" s="21"/>
      <c r="D375" s="21"/>
    </row>
    <row r="376" spans="1:4" ht="12.75">
      <c r="A376" s="21"/>
      <c r="B376" s="22"/>
      <c r="C376" s="21"/>
      <c r="D376" s="21"/>
    </row>
    <row r="377" spans="1:4" ht="12.75">
      <c r="A377" s="21"/>
      <c r="B377" s="22"/>
      <c r="C377" s="21"/>
      <c r="D377" s="21"/>
    </row>
    <row r="378" spans="1:4" ht="12.75">
      <c r="A378" s="21"/>
      <c r="B378" s="22"/>
      <c r="C378" s="21"/>
      <c r="D378" s="21"/>
    </row>
    <row r="379" spans="1:4" ht="12.75">
      <c r="A379" s="21"/>
      <c r="B379" s="22"/>
      <c r="C379" s="21"/>
      <c r="D379" s="21"/>
    </row>
    <row r="380" spans="1:4" ht="12.75">
      <c r="A380" s="21"/>
      <c r="B380" s="22"/>
      <c r="C380" s="21"/>
      <c r="D380" s="21"/>
    </row>
    <row r="381" spans="1:4" ht="12.75">
      <c r="A381" s="21"/>
      <c r="B381" s="22"/>
      <c r="C381" s="21"/>
      <c r="D381" s="21"/>
    </row>
    <row r="382" spans="1:4" ht="12.75">
      <c r="A382" s="21"/>
      <c r="B382" s="22"/>
      <c r="C382" s="21"/>
      <c r="D382" s="21"/>
    </row>
    <row r="383" spans="1:4" ht="12.75">
      <c r="A383" s="21"/>
      <c r="B383" s="22"/>
      <c r="C383" s="21"/>
      <c r="D383" s="21"/>
    </row>
    <row r="384" spans="1:4" ht="12.75">
      <c r="A384" s="21"/>
      <c r="B384" s="22"/>
      <c r="C384" s="21"/>
      <c r="D384" s="21"/>
    </row>
    <row r="385" spans="1:4" ht="12.75">
      <c r="A385" s="21"/>
      <c r="B385" s="22"/>
      <c r="C385" s="21"/>
      <c r="D385" s="21"/>
    </row>
    <row r="386" spans="1:4" ht="12.75">
      <c r="A386" s="21"/>
      <c r="B386" s="22"/>
      <c r="C386" s="21"/>
      <c r="D386" s="21"/>
    </row>
    <row r="387" spans="1:4" ht="12.75">
      <c r="A387" s="21"/>
      <c r="B387" s="22"/>
      <c r="C387" s="21"/>
      <c r="D387" s="21"/>
    </row>
    <row r="388" spans="1:4" ht="12.75">
      <c r="A388" s="21"/>
      <c r="B388" s="22"/>
      <c r="C388" s="21"/>
      <c r="D388" s="21"/>
    </row>
    <row r="389" spans="1:4" ht="12.75">
      <c r="A389" s="21"/>
      <c r="B389" s="22"/>
      <c r="C389" s="21"/>
      <c r="D389" s="21"/>
    </row>
    <row r="390" spans="1:4" ht="12.75">
      <c r="A390" s="21"/>
      <c r="B390" s="22"/>
      <c r="C390" s="21"/>
      <c r="D390" s="21"/>
    </row>
    <row r="391" spans="1:4" ht="12.75">
      <c r="A391" s="21"/>
      <c r="B391" s="22"/>
      <c r="C391" s="21"/>
      <c r="D391" s="21"/>
    </row>
    <row r="392" spans="1:4" ht="12.75">
      <c r="A392" s="21"/>
      <c r="B392" s="22"/>
      <c r="C392" s="21"/>
      <c r="D392" s="21"/>
    </row>
    <row r="393" spans="1:4" ht="12.75">
      <c r="A393" s="21"/>
      <c r="B393" s="22"/>
      <c r="C393" s="21"/>
      <c r="D393" s="21"/>
    </row>
    <row r="394" spans="1:4" ht="12.75">
      <c r="A394" s="21"/>
      <c r="B394" s="22"/>
      <c r="C394" s="21"/>
      <c r="D394" s="21"/>
    </row>
    <row r="395" spans="1:4" ht="12.75">
      <c r="A395" s="21"/>
      <c r="B395" s="22"/>
      <c r="C395" s="21"/>
      <c r="D395" s="21"/>
    </row>
    <row r="396" spans="1:4" ht="12.75">
      <c r="A396" s="21"/>
      <c r="B396" s="22"/>
      <c r="C396" s="21"/>
      <c r="D396" s="21"/>
    </row>
    <row r="397" spans="1:4" ht="12.75">
      <c r="A397" s="21"/>
      <c r="B397" s="22"/>
      <c r="C397" s="21"/>
      <c r="D397" s="21"/>
    </row>
    <row r="398" spans="1:4" ht="12.75">
      <c r="A398" s="21"/>
      <c r="B398" s="22"/>
      <c r="C398" s="21"/>
      <c r="D398" s="21"/>
    </row>
    <row r="399" spans="1:4" ht="12.75">
      <c r="A399" s="21"/>
      <c r="B399" s="22"/>
      <c r="C399" s="21"/>
      <c r="D399" s="21"/>
    </row>
    <row r="400" spans="1:4" ht="12.75">
      <c r="A400" s="21"/>
      <c r="B400" s="22"/>
      <c r="C400" s="21"/>
      <c r="D400" s="21"/>
    </row>
    <row r="401" spans="1:4" ht="12.75">
      <c r="A401" s="21"/>
      <c r="B401" s="22"/>
      <c r="C401" s="21"/>
      <c r="D401" s="21"/>
    </row>
    <row r="402" spans="1:4" ht="12.75">
      <c r="A402" s="21"/>
      <c r="B402" s="22"/>
      <c r="C402" s="21"/>
      <c r="D402" s="21"/>
    </row>
    <row r="403" spans="1:4" ht="12.75">
      <c r="A403" s="21"/>
      <c r="B403" s="22"/>
      <c r="C403" s="21"/>
      <c r="D403" s="21"/>
    </row>
    <row r="404" spans="1:4" ht="12.75">
      <c r="A404" s="21"/>
      <c r="B404" s="22"/>
      <c r="C404" s="21"/>
      <c r="D404" s="21"/>
    </row>
    <row r="405" spans="1:4" ht="12.75">
      <c r="A405" s="21"/>
      <c r="B405" s="22"/>
      <c r="C405" s="21"/>
      <c r="D405" s="21"/>
    </row>
    <row r="406" spans="1:4" ht="12.75">
      <c r="A406" s="21"/>
      <c r="B406" s="22"/>
      <c r="C406" s="21"/>
      <c r="D406" s="21"/>
    </row>
    <row r="407" spans="1:4" ht="12.75">
      <c r="A407" s="21"/>
      <c r="B407" s="22"/>
      <c r="C407" s="21"/>
      <c r="D407" s="21"/>
    </row>
    <row r="408" spans="1:4" ht="12.75">
      <c r="A408" s="21"/>
      <c r="B408" s="22"/>
      <c r="C408" s="21"/>
      <c r="D408" s="21"/>
    </row>
    <row r="409" spans="1:4" ht="12.75">
      <c r="A409" s="21"/>
      <c r="B409" s="22"/>
      <c r="C409" s="21"/>
      <c r="D409" s="21"/>
    </row>
    <row r="410" spans="1:4" ht="12.75">
      <c r="A410" s="21"/>
      <c r="B410" s="22"/>
      <c r="C410" s="21"/>
      <c r="D410" s="21"/>
    </row>
    <row r="411" spans="1:4" ht="12.75">
      <c r="A411" s="21"/>
      <c r="B411" s="22"/>
      <c r="C411" s="21"/>
      <c r="D411" s="21"/>
    </row>
    <row r="412" spans="1:4" ht="12.75">
      <c r="A412" s="21"/>
      <c r="B412" s="22"/>
      <c r="C412" s="21"/>
      <c r="D412" s="21"/>
    </row>
    <row r="413" spans="1:4" ht="12.75">
      <c r="A413" s="21"/>
      <c r="B413" s="22"/>
      <c r="C413" s="21"/>
      <c r="D413" s="21"/>
    </row>
    <row r="414" spans="1:4" ht="12.75">
      <c r="A414" s="21"/>
      <c r="B414" s="22"/>
      <c r="C414" s="21"/>
      <c r="D414" s="21"/>
    </row>
    <row r="415" spans="1:4" ht="12.75">
      <c r="A415" s="21"/>
      <c r="B415" s="22"/>
      <c r="C415" s="21"/>
      <c r="D415" s="21"/>
    </row>
    <row r="416" spans="1:4" ht="12.75">
      <c r="A416" s="21"/>
      <c r="B416" s="22"/>
      <c r="C416" s="21"/>
      <c r="D416" s="21"/>
    </row>
    <row r="417" spans="1:4" ht="12.75">
      <c r="A417" s="21"/>
      <c r="B417" s="22"/>
      <c r="C417" s="21"/>
      <c r="D417" s="21"/>
    </row>
    <row r="418" spans="1:4" ht="12.75">
      <c r="A418" s="21"/>
      <c r="B418" s="22"/>
      <c r="C418" s="21"/>
      <c r="D418" s="21"/>
    </row>
    <row r="419" spans="1:4" ht="12.75">
      <c r="A419" s="21"/>
      <c r="B419" s="22"/>
      <c r="C419" s="21"/>
      <c r="D419" s="21"/>
    </row>
    <row r="420" spans="1:4" ht="12.75">
      <c r="A420" s="21"/>
      <c r="B420" s="22"/>
      <c r="C420" s="21"/>
      <c r="D420" s="21"/>
    </row>
    <row r="421" spans="1:4" ht="12.75">
      <c r="A421" s="21"/>
      <c r="B421" s="22"/>
      <c r="C421" s="21"/>
      <c r="D421" s="21"/>
    </row>
    <row r="422" spans="1:4" ht="12.75">
      <c r="A422" s="21"/>
      <c r="B422" s="22"/>
      <c r="C422" s="21"/>
      <c r="D422" s="21"/>
    </row>
    <row r="423" spans="1:4" ht="12.75">
      <c r="A423" s="21"/>
      <c r="B423" s="22"/>
      <c r="C423" s="21"/>
      <c r="D423" s="21"/>
    </row>
    <row r="424" spans="1:4" ht="12.75">
      <c r="A424" s="21"/>
      <c r="B424" s="22"/>
      <c r="C424" s="21"/>
      <c r="D424" s="21"/>
    </row>
    <row r="425" spans="1:4" ht="12.75">
      <c r="A425" s="21"/>
      <c r="B425" s="22"/>
      <c r="C425" s="21"/>
      <c r="D425" s="21"/>
    </row>
    <row r="426" spans="1:4" ht="12.75">
      <c r="A426" s="21"/>
      <c r="B426" s="22"/>
      <c r="C426" s="21"/>
      <c r="D426" s="21"/>
    </row>
    <row r="427" spans="1:4" ht="12.75">
      <c r="A427" s="21"/>
      <c r="B427" s="22"/>
      <c r="C427" s="21"/>
      <c r="D427" s="21"/>
    </row>
    <row r="428" spans="1:4" ht="12.75">
      <c r="A428" s="21"/>
      <c r="B428" s="22"/>
      <c r="C428" s="21"/>
      <c r="D428" s="21"/>
    </row>
    <row r="429" spans="1:4" ht="12.75">
      <c r="A429" s="21"/>
      <c r="B429" s="22"/>
      <c r="C429" s="21"/>
      <c r="D429" s="21"/>
    </row>
    <row r="430" spans="1:4" ht="12.75">
      <c r="A430" s="21"/>
      <c r="B430" s="22"/>
      <c r="C430" s="21"/>
      <c r="D430" s="21"/>
    </row>
    <row r="431" spans="1:4" ht="12.75">
      <c r="A431" s="21"/>
      <c r="B431" s="22"/>
      <c r="C431" s="21"/>
      <c r="D431" s="21"/>
    </row>
    <row r="432" spans="1:4" ht="12.75">
      <c r="A432" s="21"/>
      <c r="B432" s="22"/>
      <c r="C432" s="21"/>
      <c r="D432" s="21"/>
    </row>
    <row r="433" spans="1:4" ht="12.75">
      <c r="A433" s="21"/>
      <c r="B433" s="22"/>
      <c r="C433" s="21"/>
      <c r="D433" s="21"/>
    </row>
    <row r="434" spans="1:4" ht="12.75">
      <c r="A434" s="21"/>
      <c r="B434" s="22"/>
      <c r="C434" s="21"/>
      <c r="D434" s="21"/>
    </row>
    <row r="435" spans="1:4" ht="12.75">
      <c r="A435" s="21"/>
      <c r="B435" s="22"/>
      <c r="C435" s="21"/>
      <c r="D435" s="21"/>
    </row>
    <row r="436" spans="1:4" ht="12.75">
      <c r="A436" s="21"/>
      <c r="B436" s="22"/>
      <c r="C436" s="21"/>
      <c r="D436" s="21"/>
    </row>
    <row r="437" spans="1:4" ht="12.75">
      <c r="A437" s="21"/>
      <c r="B437" s="22"/>
      <c r="C437" s="21"/>
      <c r="D437" s="21"/>
    </row>
    <row r="438" spans="1:4" ht="12.75">
      <c r="A438" s="21"/>
      <c r="B438" s="22"/>
      <c r="C438" s="21"/>
      <c r="D438" s="21"/>
    </row>
    <row r="439" spans="1:4" ht="12.75">
      <c r="A439" s="21"/>
      <c r="B439" s="22"/>
      <c r="C439" s="21"/>
      <c r="D439" s="21"/>
    </row>
    <row r="440" spans="1:4" ht="12.75">
      <c r="A440" s="21"/>
      <c r="B440" s="22"/>
      <c r="C440" s="21"/>
      <c r="D440" s="21"/>
    </row>
    <row r="441" spans="1:4" ht="12.75">
      <c r="A441" s="21"/>
      <c r="B441" s="22"/>
      <c r="C441" s="21"/>
      <c r="D441" s="21"/>
    </row>
    <row r="442" spans="1:4" ht="12.75">
      <c r="A442" s="21"/>
      <c r="B442" s="22"/>
      <c r="C442" s="21"/>
      <c r="D442" s="21"/>
    </row>
    <row r="443" spans="1:4" ht="12.75">
      <c r="A443" s="21"/>
      <c r="B443" s="22"/>
      <c r="C443" s="21"/>
      <c r="D443" s="21"/>
    </row>
    <row r="444" spans="1:4" ht="12.75">
      <c r="A444" s="21"/>
      <c r="B444" s="22"/>
      <c r="C444" s="21"/>
      <c r="D444" s="21"/>
    </row>
    <row r="445" spans="1:4" ht="12.75">
      <c r="A445" s="21"/>
      <c r="B445" s="22"/>
      <c r="C445" s="21"/>
      <c r="D445" s="21"/>
    </row>
    <row r="446" spans="1:4" ht="12.75">
      <c r="A446" s="21"/>
      <c r="B446" s="22"/>
      <c r="C446" s="21"/>
      <c r="D446" s="21"/>
    </row>
    <row r="447" spans="1:4" ht="12.75">
      <c r="A447" s="21"/>
      <c r="B447" s="22"/>
      <c r="C447" s="21"/>
      <c r="D447" s="21"/>
    </row>
    <row r="448" spans="1:4" ht="12.75">
      <c r="A448" s="21"/>
      <c r="B448" s="22"/>
      <c r="C448" s="21"/>
      <c r="D448" s="21"/>
    </row>
    <row r="449" spans="1:4" ht="12.75">
      <c r="A449" s="21"/>
      <c r="B449" s="22"/>
      <c r="C449" s="21"/>
      <c r="D449" s="21"/>
    </row>
    <row r="450" spans="1:4" ht="12.75">
      <c r="A450" s="21"/>
      <c r="B450" s="22"/>
      <c r="C450" s="21"/>
      <c r="D450" s="21"/>
    </row>
    <row r="451" spans="1:4" ht="12.75">
      <c r="A451" s="21"/>
      <c r="B451" s="22"/>
      <c r="C451" s="21"/>
      <c r="D451" s="21"/>
    </row>
    <row r="452" spans="1:4" ht="12.75">
      <c r="A452" s="21"/>
      <c r="B452" s="22"/>
      <c r="C452" s="21"/>
      <c r="D452" s="21"/>
    </row>
    <row r="453" spans="1:4" ht="12.75">
      <c r="A453" s="21"/>
      <c r="B453" s="22"/>
      <c r="C453" s="21"/>
      <c r="D453" s="21"/>
    </row>
    <row r="454" spans="1:4" ht="12.75">
      <c r="A454" s="21"/>
      <c r="B454" s="22"/>
      <c r="C454" s="21"/>
      <c r="D454" s="21"/>
    </row>
    <row r="455" spans="1:4" ht="12.75">
      <c r="A455" s="21"/>
      <c r="B455" s="22"/>
      <c r="C455" s="21"/>
      <c r="D455" s="21"/>
    </row>
    <row r="456" spans="1:4" ht="12.75">
      <c r="A456" s="21"/>
      <c r="B456" s="22"/>
      <c r="C456" s="21"/>
      <c r="D456" s="21"/>
    </row>
    <row r="457" spans="1:4" ht="12.75">
      <c r="A457" s="21"/>
      <c r="B457" s="22"/>
      <c r="C457" s="21"/>
      <c r="D457" s="21"/>
    </row>
    <row r="458" spans="1:4" ht="12.75">
      <c r="A458" s="21"/>
      <c r="B458" s="22"/>
      <c r="C458" s="21"/>
      <c r="D458" s="21"/>
    </row>
    <row r="459" spans="1:4" ht="12.75">
      <c r="A459" s="21"/>
      <c r="B459" s="22"/>
      <c r="C459" s="21"/>
      <c r="D459" s="21"/>
    </row>
    <row r="460" spans="1:4" ht="12.75">
      <c r="A460" s="21"/>
      <c r="B460" s="22"/>
      <c r="C460" s="21"/>
      <c r="D460" s="21"/>
    </row>
    <row r="461" spans="1:4" ht="12.75">
      <c r="A461" s="21"/>
      <c r="B461" s="22"/>
      <c r="C461" s="21"/>
      <c r="D461" s="21"/>
    </row>
    <row r="462" spans="1:4" ht="12.75">
      <c r="A462" s="21"/>
      <c r="B462" s="22"/>
      <c r="C462" s="21"/>
      <c r="D462" s="21"/>
    </row>
    <row r="463" spans="1:4" ht="12.75">
      <c r="A463" s="21"/>
      <c r="B463" s="22"/>
      <c r="C463" s="21"/>
      <c r="D463" s="21"/>
    </row>
    <row r="464" spans="1:4" ht="12.75">
      <c r="A464" s="21"/>
      <c r="B464" s="22"/>
      <c r="C464" s="21"/>
      <c r="D464" s="21"/>
    </row>
    <row r="465" spans="1:4" ht="12.75">
      <c r="A465" s="21"/>
      <c r="B465" s="22"/>
      <c r="C465" s="21"/>
      <c r="D465" s="21"/>
    </row>
    <row r="466" spans="1:4" ht="12.75">
      <c r="A466" s="21"/>
      <c r="B466" s="22"/>
      <c r="C466" s="21"/>
      <c r="D466" s="21"/>
    </row>
    <row r="467" spans="1:4" ht="12.75">
      <c r="A467" s="21"/>
      <c r="B467" s="22"/>
      <c r="C467" s="21"/>
      <c r="D467" s="21"/>
    </row>
    <row r="468" spans="1:4" ht="12.75">
      <c r="A468" s="21"/>
      <c r="B468" s="22"/>
      <c r="C468" s="21"/>
      <c r="D468" s="21"/>
    </row>
    <row r="469" spans="1:4" ht="12.75">
      <c r="A469" s="21"/>
      <c r="B469" s="22"/>
      <c r="C469" s="21"/>
      <c r="D469" s="21"/>
    </row>
    <row r="470" spans="1:4" ht="12.75">
      <c r="A470" s="21"/>
      <c r="B470" s="22"/>
      <c r="C470" s="21"/>
      <c r="D470" s="21"/>
    </row>
    <row r="471" spans="1:4" ht="12.75">
      <c r="A471" s="21"/>
      <c r="B471" s="22"/>
      <c r="C471" s="21"/>
      <c r="D471" s="21"/>
    </row>
    <row r="472" spans="1:4" ht="12.75">
      <c r="A472" s="21"/>
      <c r="B472" s="22"/>
      <c r="C472" s="21"/>
      <c r="D472" s="21"/>
    </row>
    <row r="473" spans="1:4" ht="12.75">
      <c r="A473" s="21"/>
      <c r="B473" s="22"/>
      <c r="C473" s="21"/>
      <c r="D473" s="21"/>
    </row>
    <row r="474" spans="1:4" ht="12.75">
      <c r="A474" s="21"/>
      <c r="B474" s="22"/>
      <c r="C474" s="21"/>
      <c r="D474" s="21"/>
    </row>
    <row r="475" spans="1:4" ht="12.75">
      <c r="A475" s="21"/>
      <c r="B475" s="22"/>
      <c r="C475" s="21"/>
      <c r="D475" s="21"/>
    </row>
    <row r="476" spans="1:4" ht="12.75">
      <c r="A476" s="21"/>
      <c r="B476" s="22"/>
      <c r="C476" s="21"/>
      <c r="D476" s="21"/>
    </row>
    <row r="477" spans="1:4" ht="12.75">
      <c r="A477" s="21"/>
      <c r="B477" s="22"/>
      <c r="C477" s="21"/>
      <c r="D477" s="21"/>
    </row>
    <row r="478" spans="1:4" ht="12.75">
      <c r="A478" s="21"/>
      <c r="B478" s="22"/>
      <c r="C478" s="21"/>
      <c r="D478" s="21"/>
    </row>
    <row r="479" spans="1:4" ht="12.75">
      <c r="A479" s="21"/>
      <c r="B479" s="22"/>
      <c r="C479" s="21"/>
      <c r="D479" s="21"/>
    </row>
    <row r="480" spans="1:4" ht="12.75">
      <c r="A480" s="21"/>
      <c r="B480" s="22"/>
      <c r="C480" s="21"/>
      <c r="D480" s="21"/>
    </row>
    <row r="481" spans="1:4" ht="12.75">
      <c r="A481" s="21"/>
      <c r="B481" s="22"/>
      <c r="C481" s="21"/>
      <c r="D481" s="21"/>
    </row>
    <row r="482" spans="1:4" ht="12.75">
      <c r="A482" s="21"/>
      <c r="B482" s="22"/>
      <c r="C482" s="21"/>
      <c r="D482" s="21"/>
    </row>
    <row r="483" spans="1:4" ht="12.75">
      <c r="A483" s="21"/>
      <c r="B483" s="22"/>
      <c r="C483" s="21"/>
      <c r="D483" s="21"/>
    </row>
    <row r="484" spans="1:4" ht="12.75">
      <c r="A484" s="21"/>
      <c r="B484" s="22"/>
      <c r="C484" s="21"/>
      <c r="D484" s="21"/>
    </row>
    <row r="485" spans="1:4" ht="12.75">
      <c r="A485" s="21"/>
      <c r="B485" s="22"/>
      <c r="C485" s="21"/>
      <c r="D485" s="21"/>
    </row>
    <row r="486" spans="1:4" ht="12.75">
      <c r="A486" s="21"/>
      <c r="B486" s="22"/>
      <c r="C486" s="21"/>
      <c r="D486" s="21"/>
    </row>
    <row r="487" spans="1:4" ht="12.75">
      <c r="A487" s="21"/>
      <c r="B487" s="22"/>
      <c r="C487" s="21"/>
      <c r="D487" s="21"/>
    </row>
    <row r="488" spans="1:4" ht="12.75">
      <c r="A488" s="21"/>
      <c r="B488" s="22"/>
      <c r="C488" s="21"/>
      <c r="D488" s="21"/>
    </row>
    <row r="489" spans="1:4" ht="12.75">
      <c r="A489" s="21"/>
      <c r="B489" s="22"/>
      <c r="C489" s="21"/>
      <c r="D489" s="21"/>
    </row>
    <row r="490" spans="1:4" ht="12.75">
      <c r="A490" s="21"/>
      <c r="B490" s="22"/>
      <c r="C490" s="21"/>
      <c r="D490" s="21"/>
    </row>
    <row r="491" spans="1:4" ht="12.75">
      <c r="A491" s="21"/>
      <c r="B491" s="22"/>
      <c r="C491" s="21"/>
      <c r="D491" s="21"/>
    </row>
    <row r="492" spans="1:4" ht="12.75">
      <c r="A492" s="21"/>
      <c r="B492" s="22"/>
      <c r="C492" s="21"/>
      <c r="D492" s="21"/>
    </row>
    <row r="493" spans="1:4" ht="12.75">
      <c r="A493" s="21"/>
      <c r="B493" s="22"/>
      <c r="C493" s="21"/>
      <c r="D493" s="21"/>
    </row>
    <row r="494" spans="1:4" ht="12.75">
      <c r="A494" s="21"/>
      <c r="B494" s="22"/>
      <c r="C494" s="21"/>
      <c r="D494" s="21"/>
    </row>
    <row r="495" spans="1:4" ht="12.75">
      <c r="A495" s="21"/>
      <c r="B495" s="22"/>
      <c r="C495" s="21"/>
      <c r="D495" s="21"/>
    </row>
    <row r="496" spans="1:4" ht="12.75">
      <c r="A496" s="21"/>
      <c r="B496" s="22"/>
      <c r="C496" s="21"/>
      <c r="D496" s="21"/>
    </row>
    <row r="497" spans="1:4" ht="12.75">
      <c r="A497" s="21"/>
      <c r="B497" s="22"/>
      <c r="C497" s="21"/>
      <c r="D497" s="21"/>
    </row>
    <row r="498" spans="1:4" ht="12.75">
      <c r="A498" s="21"/>
      <c r="B498" s="22"/>
      <c r="C498" s="21"/>
      <c r="D498" s="21"/>
    </row>
    <row r="499" spans="1:4" ht="12.75">
      <c r="A499" s="21"/>
      <c r="B499" s="22"/>
      <c r="C499" s="21"/>
      <c r="D499" s="21"/>
    </row>
    <row r="500" spans="1:4" ht="12.75">
      <c r="A500" s="21"/>
      <c r="B500" s="22"/>
      <c r="C500" s="21"/>
      <c r="D500" s="21"/>
    </row>
    <row r="501" spans="1:4" ht="12.75">
      <c r="A501" s="21"/>
      <c r="B501" s="22"/>
      <c r="C501" s="21"/>
      <c r="D501" s="21"/>
    </row>
    <row r="502" spans="1:4" ht="12.75">
      <c r="A502" s="21"/>
      <c r="B502" s="22"/>
      <c r="C502" s="21"/>
      <c r="D502" s="21"/>
    </row>
    <row r="503" spans="1:4" ht="12.75">
      <c r="A503" s="21"/>
      <c r="B503" s="22"/>
      <c r="C503" s="21"/>
      <c r="D503" s="21"/>
    </row>
    <row r="504" spans="1:4" ht="12.75">
      <c r="A504" s="21"/>
      <c r="B504" s="22"/>
      <c r="C504" s="21"/>
      <c r="D504" s="21"/>
    </row>
    <row r="505" spans="1:4" ht="12.75">
      <c r="A505" s="21"/>
      <c r="B505" s="22"/>
      <c r="C505" s="21"/>
      <c r="D505" s="21"/>
    </row>
    <row r="506" spans="1:4" ht="12.75">
      <c r="A506" s="21"/>
      <c r="B506" s="22"/>
      <c r="C506" s="21"/>
      <c r="D506" s="21"/>
    </row>
    <row r="507" spans="1:4" ht="12.75">
      <c r="A507" s="21"/>
      <c r="B507" s="22"/>
      <c r="C507" s="21"/>
      <c r="D507" s="21"/>
    </row>
    <row r="508" spans="1:4" ht="12.75">
      <c r="A508" s="21"/>
      <c r="B508" s="22"/>
      <c r="C508" s="21"/>
      <c r="D508" s="21"/>
    </row>
    <row r="509" spans="1:4" ht="12.75">
      <c r="A509" s="21"/>
      <c r="B509" s="22"/>
      <c r="C509" s="21"/>
      <c r="D509" s="21"/>
    </row>
    <row r="510" spans="1:4" ht="12.75">
      <c r="A510" s="21"/>
      <c r="B510" s="22"/>
      <c r="C510" s="21"/>
      <c r="D510" s="21"/>
    </row>
    <row r="511" spans="1:4" ht="12.75">
      <c r="A511" s="21"/>
      <c r="B511" s="22"/>
      <c r="C511" s="21"/>
      <c r="D511" s="21"/>
    </row>
    <row r="512" spans="1:4" ht="12.75">
      <c r="A512" s="21"/>
      <c r="B512" s="22"/>
      <c r="C512" s="21"/>
      <c r="D512" s="21"/>
    </row>
    <row r="513" spans="1:4" ht="12.75">
      <c r="A513" s="21"/>
      <c r="B513" s="22"/>
      <c r="C513" s="21"/>
      <c r="D513" s="21"/>
    </row>
    <row r="514" spans="1:4" ht="12.75">
      <c r="A514" s="21"/>
      <c r="B514" s="22"/>
      <c r="C514" s="21"/>
      <c r="D514" s="21"/>
    </row>
    <row r="515" spans="1:4" ht="12.75">
      <c r="A515" s="21"/>
      <c r="B515" s="22"/>
      <c r="C515" s="21"/>
      <c r="D515" s="21"/>
    </row>
    <row r="516" spans="1:4" ht="12.75">
      <c r="A516" s="21"/>
      <c r="B516" s="22"/>
      <c r="C516" s="21"/>
      <c r="D516" s="21"/>
    </row>
    <row r="517" spans="1:4" ht="12.75">
      <c r="A517" s="21"/>
      <c r="B517" s="22"/>
      <c r="C517" s="21"/>
      <c r="D517" s="21"/>
    </row>
    <row r="518" spans="1:4" ht="12.75">
      <c r="A518" s="21"/>
      <c r="B518" s="22"/>
      <c r="C518" s="21"/>
      <c r="D518" s="21"/>
    </row>
    <row r="519" spans="1:4" ht="12.75">
      <c r="A519" s="21"/>
      <c r="B519" s="22"/>
      <c r="C519" s="21"/>
      <c r="D519" s="21"/>
    </row>
    <row r="520" spans="1:4" ht="12.75">
      <c r="A520" s="21"/>
      <c r="B520" s="22"/>
      <c r="C520" s="21"/>
      <c r="D520" s="21"/>
    </row>
    <row r="521" spans="1:4" ht="12.75">
      <c r="A521" s="21"/>
      <c r="B521" s="22"/>
      <c r="C521" s="21"/>
      <c r="D521" s="21"/>
    </row>
    <row r="522" spans="1:4" ht="12.75">
      <c r="A522" s="21"/>
      <c r="B522" s="22"/>
      <c r="C522" s="21"/>
      <c r="D522" s="21"/>
    </row>
    <row r="523" spans="1:4" ht="12.75">
      <c r="A523" s="21"/>
      <c r="B523" s="22"/>
      <c r="C523" s="21"/>
      <c r="D523" s="21"/>
    </row>
    <row r="524" spans="1:4" ht="12.75">
      <c r="A524" s="21"/>
      <c r="B524" s="22"/>
      <c r="C524" s="21"/>
      <c r="D524" s="21"/>
    </row>
    <row r="525" spans="1:4" ht="12.75">
      <c r="A525" s="21"/>
      <c r="B525" s="22"/>
      <c r="C525" s="21"/>
      <c r="D525" s="21"/>
    </row>
    <row r="526" spans="1:4" ht="12.75">
      <c r="A526" s="21"/>
      <c r="B526" s="22"/>
      <c r="C526" s="21"/>
      <c r="D526" s="21"/>
    </row>
    <row r="527" spans="1:4" ht="12.75">
      <c r="A527" s="21"/>
      <c r="B527" s="22"/>
      <c r="C527" s="21"/>
      <c r="D527" s="21"/>
    </row>
    <row r="528" spans="1:4" ht="12.75">
      <c r="A528" s="21"/>
      <c r="B528" s="22"/>
      <c r="C528" s="21"/>
      <c r="D528" s="21"/>
    </row>
    <row r="529" spans="1:4" ht="12.75">
      <c r="A529" s="21"/>
      <c r="B529" s="22"/>
      <c r="C529" s="21"/>
      <c r="D529" s="21"/>
    </row>
    <row r="530" spans="1:4" ht="12.75">
      <c r="A530" s="21"/>
      <c r="B530" s="22"/>
      <c r="C530" s="21"/>
      <c r="D530" s="21"/>
    </row>
    <row r="531" spans="1:4" ht="12.75">
      <c r="A531" s="21"/>
      <c r="B531" s="22"/>
      <c r="C531" s="21"/>
      <c r="D531" s="21"/>
    </row>
    <row r="532" spans="1:4" ht="12.75">
      <c r="A532" s="21"/>
      <c r="B532" s="22"/>
      <c r="C532" s="21"/>
      <c r="D532" s="21"/>
    </row>
    <row r="533" spans="1:4" ht="12.75">
      <c r="A533" s="21"/>
      <c r="B533" s="22"/>
      <c r="C533" s="21"/>
      <c r="D533" s="21"/>
    </row>
    <row r="534" spans="1:4" ht="12.75">
      <c r="A534" s="21"/>
      <c r="B534" s="22"/>
      <c r="C534" s="21"/>
      <c r="D534" s="21"/>
    </row>
    <row r="535" spans="1:4" ht="12.75">
      <c r="A535" s="21"/>
      <c r="B535" s="22"/>
      <c r="C535" s="21"/>
      <c r="D535" s="21"/>
    </row>
    <row r="536" spans="1:4" ht="12.75">
      <c r="A536" s="21"/>
      <c r="B536" s="22"/>
      <c r="C536" s="21"/>
      <c r="D536" s="21"/>
    </row>
    <row r="537" spans="1:4" ht="12.75">
      <c r="A537" s="21"/>
      <c r="B537" s="22"/>
      <c r="C537" s="21"/>
      <c r="D537" s="21"/>
    </row>
    <row r="538" spans="1:4" ht="12.75">
      <c r="A538" s="21"/>
      <c r="B538" s="22"/>
      <c r="C538" s="21"/>
      <c r="D538" s="21"/>
    </row>
    <row r="539" spans="1:4" ht="12.75">
      <c r="A539" s="21"/>
      <c r="B539" s="22"/>
      <c r="C539" s="21"/>
      <c r="D539" s="21"/>
    </row>
    <row r="540" spans="1:4" ht="12.75">
      <c r="A540" s="21"/>
      <c r="B540" s="22"/>
      <c r="C540" s="21"/>
      <c r="D540" s="21"/>
    </row>
    <row r="541" spans="1:4" ht="12.75">
      <c r="A541" s="21"/>
      <c r="B541" s="22"/>
      <c r="C541" s="21"/>
      <c r="D541" s="21"/>
    </row>
    <row r="542" spans="1:4" ht="12.75">
      <c r="A542" s="21"/>
      <c r="B542" s="22"/>
      <c r="C542" s="21"/>
      <c r="D542" s="21"/>
    </row>
    <row r="543" spans="1:4" ht="12.75">
      <c r="A543" s="21"/>
      <c r="B543" s="22"/>
      <c r="C543" s="21"/>
      <c r="D543" s="21"/>
    </row>
    <row r="544" spans="1:4" ht="12.75">
      <c r="A544" s="21"/>
      <c r="B544" s="22"/>
      <c r="C544" s="21"/>
      <c r="D544" s="21"/>
    </row>
    <row r="545" spans="1:4" ht="12.75">
      <c r="A545" s="21"/>
      <c r="B545" s="22"/>
      <c r="C545" s="21"/>
      <c r="D545" s="21"/>
    </row>
    <row r="546" spans="1:4" ht="12.75">
      <c r="A546" s="21"/>
      <c r="B546" s="22"/>
      <c r="C546" s="21"/>
      <c r="D546" s="21"/>
    </row>
    <row r="547" spans="1:4" ht="12.75">
      <c r="A547" s="21"/>
      <c r="B547" s="22"/>
      <c r="C547" s="21"/>
      <c r="D547" s="21"/>
    </row>
    <row r="548" spans="1:4" ht="12.75">
      <c r="A548" s="21"/>
      <c r="B548" s="22"/>
      <c r="C548" s="21"/>
      <c r="D548" s="21"/>
    </row>
    <row r="549" spans="1:4" ht="12.75">
      <c r="A549" s="21"/>
      <c r="B549" s="22"/>
      <c r="C549" s="21"/>
      <c r="D549" s="21"/>
    </row>
    <row r="550" spans="1:4" ht="12.75">
      <c r="A550" s="21"/>
      <c r="B550" s="22"/>
      <c r="C550" s="21"/>
      <c r="D550" s="21"/>
    </row>
    <row r="551" spans="1:4" ht="12.75">
      <c r="A551" s="21"/>
      <c r="B551" s="22"/>
      <c r="C551" s="21"/>
      <c r="D551" s="21"/>
    </row>
    <row r="552" spans="1:4" ht="12.75">
      <c r="A552" s="21"/>
      <c r="B552" s="22"/>
      <c r="C552" s="21"/>
      <c r="D552" s="21"/>
    </row>
    <row r="553" spans="1:4" ht="12.75">
      <c r="A553" s="21"/>
      <c r="B553" s="22"/>
      <c r="C553" s="21"/>
      <c r="D553" s="21"/>
    </row>
    <row r="554" spans="1:4" ht="12.75">
      <c r="A554" s="21"/>
      <c r="B554" s="22"/>
      <c r="C554" s="21"/>
      <c r="D554" s="21"/>
    </row>
    <row r="555" spans="1:4" ht="12.75">
      <c r="A555" s="21"/>
      <c r="B555" s="22"/>
      <c r="C555" s="21"/>
      <c r="D555" s="21"/>
    </row>
    <row r="556" spans="1:4" ht="12.75">
      <c r="A556" s="21"/>
      <c r="B556" s="22"/>
      <c r="C556" s="21"/>
      <c r="D556" s="21"/>
    </row>
    <row r="557" spans="1:4" ht="12.75">
      <c r="A557" s="21"/>
      <c r="B557" s="22"/>
      <c r="C557" s="21"/>
      <c r="D557" s="21"/>
    </row>
    <row r="558" spans="1:4" ht="12.75">
      <c r="A558" s="21"/>
      <c r="B558" s="22"/>
      <c r="C558" s="21"/>
      <c r="D558" s="21"/>
    </row>
    <row r="559" spans="1:4" ht="12.75">
      <c r="A559" s="21"/>
      <c r="B559" s="22"/>
      <c r="C559" s="21"/>
      <c r="D559" s="21"/>
    </row>
    <row r="560" spans="1:4" ht="12.75">
      <c r="A560" s="21"/>
      <c r="B560" s="22"/>
      <c r="C560" s="21"/>
      <c r="D560" s="21"/>
    </row>
    <row r="561" spans="1:4" ht="12.75">
      <c r="A561" s="21"/>
      <c r="B561" s="22"/>
      <c r="C561" s="21"/>
      <c r="D561" s="21"/>
    </row>
    <row r="562" spans="1:4" ht="12.75">
      <c r="A562" s="21"/>
      <c r="B562" s="22"/>
      <c r="C562" s="21"/>
      <c r="D562" s="21"/>
    </row>
    <row r="563" spans="1:4" ht="12.75">
      <c r="A563" s="21"/>
      <c r="B563" s="22"/>
      <c r="C563" s="21"/>
      <c r="D563" s="21"/>
    </row>
    <row r="564" spans="1:4" ht="12.75">
      <c r="A564" s="21"/>
      <c r="B564" s="22"/>
      <c r="C564" s="21"/>
      <c r="D564" s="21"/>
    </row>
    <row r="565" spans="1:4" ht="12.75">
      <c r="A565" s="21"/>
      <c r="B565" s="22"/>
      <c r="C565" s="21"/>
      <c r="D565" s="21"/>
    </row>
    <row r="566" spans="1:4" ht="12.75">
      <c r="A566" s="21"/>
      <c r="B566" s="22"/>
      <c r="C566" s="21"/>
      <c r="D566" s="21"/>
    </row>
    <row r="567" spans="1:4" ht="12.75">
      <c r="A567" s="21"/>
      <c r="B567" s="22"/>
      <c r="C567" s="21"/>
      <c r="D567" s="21"/>
    </row>
    <row r="568" spans="1:4" ht="12.75">
      <c r="A568" s="21"/>
      <c r="B568" s="22"/>
      <c r="C568" s="21"/>
      <c r="D568" s="21"/>
    </row>
    <row r="569" spans="1:4" ht="12.75">
      <c r="A569" s="21"/>
      <c r="B569" s="22"/>
      <c r="C569" s="21"/>
      <c r="D569" s="21"/>
    </row>
    <row r="570" spans="1:4" ht="12.75">
      <c r="A570" s="21"/>
      <c r="B570" s="22"/>
      <c r="C570" s="21"/>
      <c r="D570" s="21"/>
    </row>
    <row r="571" spans="1:4" ht="12.75">
      <c r="A571" s="21"/>
      <c r="B571" s="22"/>
      <c r="C571" s="21"/>
      <c r="D571" s="21"/>
    </row>
    <row r="572" spans="1:4" ht="12.75">
      <c r="A572" s="21"/>
      <c r="B572" s="22"/>
      <c r="C572" s="21"/>
      <c r="D572" s="21"/>
    </row>
    <row r="573" spans="1:4" ht="12.75">
      <c r="A573" s="21"/>
      <c r="B573" s="22"/>
      <c r="C573" s="21"/>
      <c r="D573" s="21"/>
    </row>
    <row r="574" spans="1:4" ht="12.75">
      <c r="A574" s="21"/>
      <c r="B574" s="22"/>
      <c r="C574" s="21"/>
      <c r="D574" s="21"/>
    </row>
    <row r="575" spans="1:4" ht="12.75">
      <c r="A575" s="21"/>
      <c r="B575" s="22"/>
      <c r="C575" s="21"/>
      <c r="D575" s="21"/>
    </row>
    <row r="576" spans="1:4" ht="12.75">
      <c r="A576" s="21"/>
      <c r="B576" s="22"/>
      <c r="C576" s="21"/>
      <c r="D576" s="21"/>
    </row>
    <row r="577" spans="1:4" ht="12.75">
      <c r="A577" s="21"/>
      <c r="B577" s="22"/>
      <c r="C577" s="21"/>
      <c r="D577" s="21"/>
    </row>
    <row r="578" spans="1:4" ht="12.75">
      <c r="A578" s="21"/>
      <c r="B578" s="22"/>
      <c r="C578" s="21"/>
      <c r="D578" s="21"/>
    </row>
    <row r="579" spans="1:4" ht="12.75">
      <c r="A579" s="21"/>
      <c r="B579" s="22"/>
      <c r="C579" s="21"/>
      <c r="D579" s="21"/>
    </row>
    <row r="580" spans="1:4" ht="12.75">
      <c r="A580" s="21"/>
      <c r="B580" s="22"/>
      <c r="C580" s="21"/>
      <c r="D580" s="21"/>
    </row>
    <row r="581" spans="1:4" ht="12.75">
      <c r="A581" s="21"/>
      <c r="B581" s="22"/>
      <c r="C581" s="21"/>
      <c r="D581" s="21"/>
    </row>
    <row r="582" spans="1:4" ht="12.75">
      <c r="A582" s="21"/>
      <c r="B582" s="22"/>
      <c r="C582" s="21"/>
      <c r="D582" s="21"/>
    </row>
    <row r="583" spans="1:4" ht="12.75">
      <c r="A583" s="21"/>
      <c r="B583" s="22"/>
      <c r="C583" s="21"/>
      <c r="D583" s="21"/>
    </row>
    <row r="584" spans="1:4" ht="12.75">
      <c r="A584" s="21"/>
      <c r="B584" s="22"/>
      <c r="C584" s="21"/>
      <c r="D584" s="21"/>
    </row>
    <row r="585" spans="1:4" ht="12.75">
      <c r="A585" s="21"/>
      <c r="B585" s="22"/>
      <c r="C585" s="21"/>
      <c r="D585" s="21"/>
    </row>
    <row r="586" spans="1:4" ht="12.75">
      <c r="A586" s="21"/>
      <c r="B586" s="22"/>
      <c r="C586" s="21"/>
      <c r="D586" s="21"/>
    </row>
    <row r="587" spans="1:4" ht="12.75">
      <c r="A587" s="21"/>
      <c r="B587" s="22"/>
      <c r="C587" s="21"/>
      <c r="D587" s="21"/>
    </row>
    <row r="588" spans="1:4" ht="12.75">
      <c r="A588" s="21"/>
      <c r="B588" s="22"/>
      <c r="C588" s="21"/>
      <c r="D588" s="21"/>
    </row>
    <row r="589" spans="1:4" ht="12.75">
      <c r="A589" s="21"/>
      <c r="B589" s="22"/>
      <c r="C589" s="21"/>
      <c r="D589" s="21"/>
    </row>
    <row r="590" spans="1:4" ht="12.75">
      <c r="A590" s="21"/>
      <c r="B590" s="22"/>
      <c r="C590" s="21"/>
      <c r="D590" s="21"/>
    </row>
    <row r="591" spans="1:4" ht="12.75">
      <c r="A591" s="21"/>
      <c r="B591" s="22"/>
      <c r="C591" s="21"/>
      <c r="D591" s="21"/>
    </row>
    <row r="592" spans="1:4" ht="12.75">
      <c r="A592" s="21"/>
      <c r="B592" s="22"/>
      <c r="C592" s="21"/>
      <c r="D592" s="21"/>
    </row>
    <row r="593" spans="1:4" ht="12.75">
      <c r="A593" s="21"/>
      <c r="B593" s="22"/>
      <c r="C593" s="21"/>
      <c r="D593" s="21"/>
    </row>
    <row r="594" spans="1:4" ht="12.75">
      <c r="A594" s="21"/>
      <c r="B594" s="22"/>
      <c r="C594" s="21"/>
      <c r="D594" s="21"/>
    </row>
    <row r="595" spans="1:4" ht="12.75">
      <c r="A595" s="21"/>
      <c r="B595" s="22"/>
      <c r="C595" s="21"/>
      <c r="D595" s="21"/>
    </row>
    <row r="596" spans="1:4" ht="12.75">
      <c r="A596" s="21"/>
      <c r="B596" s="22"/>
      <c r="C596" s="21"/>
      <c r="D596" s="21"/>
    </row>
    <row r="597" spans="1:4" ht="12.75">
      <c r="A597" s="21"/>
      <c r="B597" s="22"/>
      <c r="C597" s="21"/>
      <c r="D597" s="21"/>
    </row>
    <row r="598" spans="1:4" ht="12.75">
      <c r="A598" s="21"/>
      <c r="B598" s="22"/>
      <c r="C598" s="21"/>
      <c r="D598" s="21"/>
    </row>
    <row r="599" spans="1:4" ht="12.75">
      <c r="A599" s="21"/>
      <c r="B599" s="22"/>
      <c r="C599" s="21"/>
      <c r="D599" s="21"/>
    </row>
    <row r="600" spans="1:4" ht="12.75">
      <c r="A600" s="21"/>
      <c r="B600" s="22"/>
      <c r="C600" s="21"/>
      <c r="D600" s="21"/>
    </row>
    <row r="601" spans="1:4" ht="12.75">
      <c r="A601" s="21"/>
      <c r="B601" s="22"/>
      <c r="C601" s="21"/>
      <c r="D601" s="21"/>
    </row>
    <row r="602" spans="1:4" ht="12.75">
      <c r="A602" s="21"/>
      <c r="B602" s="22"/>
      <c r="C602" s="21"/>
      <c r="D602" s="21"/>
    </row>
    <row r="603" spans="1:4" ht="12.75">
      <c r="A603" s="21"/>
      <c r="B603" s="22"/>
      <c r="C603" s="21"/>
      <c r="D603" s="21"/>
    </row>
    <row r="604" spans="1:4" ht="12.75">
      <c r="A604" s="21"/>
      <c r="B604" s="22"/>
      <c r="C604" s="21"/>
      <c r="D604" s="21"/>
    </row>
    <row r="605" spans="1:4" ht="12.75">
      <c r="A605" s="21"/>
      <c r="B605" s="22"/>
      <c r="C605" s="21"/>
      <c r="D605" s="21"/>
    </row>
    <row r="606" spans="1:4" ht="12.75">
      <c r="A606" s="21"/>
      <c r="B606" s="22"/>
      <c r="C606" s="21"/>
      <c r="D606" s="21"/>
    </row>
    <row r="607" spans="1:4" ht="12.75">
      <c r="A607" s="21"/>
      <c r="B607" s="22"/>
      <c r="C607" s="21"/>
      <c r="D607" s="21"/>
    </row>
    <row r="608" spans="1:4" ht="12.75">
      <c r="A608" s="21"/>
      <c r="B608" s="22"/>
      <c r="C608" s="21"/>
      <c r="D608" s="21"/>
    </row>
    <row r="609" spans="1:4" ht="12.75">
      <c r="A609" s="21"/>
      <c r="B609" s="22"/>
      <c r="C609" s="21"/>
      <c r="D609" s="21"/>
    </row>
    <row r="610" spans="1:4" ht="12.75">
      <c r="A610" s="21"/>
      <c r="B610" s="22"/>
      <c r="C610" s="21"/>
      <c r="D610" s="21"/>
    </row>
    <row r="611" spans="1:4" ht="12.75">
      <c r="A611" s="21"/>
      <c r="B611" s="22"/>
      <c r="C611" s="21"/>
      <c r="D611" s="21"/>
    </row>
    <row r="612" spans="1:4" ht="12.75">
      <c r="A612" s="21"/>
      <c r="B612" s="22"/>
      <c r="C612" s="21"/>
      <c r="D612" s="21"/>
    </row>
    <row r="613" spans="1:4" ht="12.75">
      <c r="A613" s="21"/>
      <c r="B613" s="22"/>
      <c r="C613" s="21"/>
      <c r="D613" s="21"/>
    </row>
    <row r="614" spans="1:4" ht="12.75">
      <c r="A614" s="21"/>
      <c r="B614" s="22"/>
      <c r="C614" s="21"/>
      <c r="D614" s="21"/>
    </row>
    <row r="615" spans="1:4" ht="12.75">
      <c r="A615" s="21"/>
      <c r="B615" s="22"/>
      <c r="C615" s="21"/>
      <c r="D615" s="21"/>
    </row>
    <row r="616" spans="1:4" ht="12.75">
      <c r="A616" s="21"/>
      <c r="B616" s="22"/>
      <c r="C616" s="21"/>
      <c r="D616" s="21"/>
    </row>
    <row r="617" spans="1:4" ht="12.75">
      <c r="A617" s="21"/>
      <c r="B617" s="22"/>
      <c r="C617" s="21"/>
      <c r="D617" s="21"/>
    </row>
    <row r="618" spans="1:4" ht="12.75">
      <c r="A618" s="21"/>
      <c r="B618" s="22"/>
      <c r="C618" s="21"/>
      <c r="D618" s="21"/>
    </row>
    <row r="619" spans="1:4" ht="12.75">
      <c r="A619" s="21"/>
      <c r="B619" s="22"/>
      <c r="C619" s="21"/>
      <c r="D619" s="21"/>
    </row>
    <row r="620" spans="1:4" ht="12.75">
      <c r="A620" s="21"/>
      <c r="B620" s="22"/>
      <c r="C620" s="21"/>
      <c r="D620" s="21"/>
    </row>
    <row r="621" spans="1:4" ht="12.75">
      <c r="A621" s="21"/>
      <c r="B621" s="22"/>
      <c r="C621" s="21"/>
      <c r="D621" s="21"/>
    </row>
    <row r="622" spans="1:4" ht="12.75">
      <c r="A622" s="21"/>
      <c r="B622" s="22"/>
      <c r="C622" s="21"/>
      <c r="D622" s="21"/>
    </row>
    <row r="623" spans="1:4" ht="12.75">
      <c r="A623" s="21"/>
      <c r="B623" s="22"/>
      <c r="C623" s="21"/>
      <c r="D623" s="21"/>
    </row>
    <row r="624" spans="1:4" ht="12.75">
      <c r="A624" s="21"/>
      <c r="B624" s="22"/>
      <c r="C624" s="21"/>
      <c r="D624" s="21"/>
    </row>
    <row r="625" spans="1:4" ht="12.75">
      <c r="A625" s="21"/>
      <c r="B625" s="22"/>
      <c r="C625" s="21"/>
      <c r="D625" s="21"/>
    </row>
    <row r="626" spans="1:4" ht="12.75">
      <c r="A626" s="21"/>
      <c r="B626" s="22"/>
      <c r="C626" s="21"/>
      <c r="D626" s="21"/>
    </row>
    <row r="627" spans="1:4" ht="12.75">
      <c r="A627" s="21"/>
      <c r="B627" s="22"/>
      <c r="C627" s="21"/>
      <c r="D627" s="21"/>
    </row>
    <row r="628" spans="1:4" ht="12.75">
      <c r="A628" s="21"/>
      <c r="B628" s="22"/>
      <c r="C628" s="21"/>
      <c r="D628" s="21"/>
    </row>
    <row r="629" spans="1:4" ht="12.75">
      <c r="A629" s="21"/>
      <c r="B629" s="22"/>
      <c r="C629" s="21"/>
      <c r="D629" s="21"/>
    </row>
    <row r="630" spans="1:4" ht="12.75">
      <c r="A630" s="21"/>
      <c r="B630" s="22"/>
      <c r="C630" s="21"/>
      <c r="D630" s="21"/>
    </row>
    <row r="631" spans="1:4" ht="12.75">
      <c r="A631" s="21"/>
      <c r="B631" s="22"/>
      <c r="C631" s="21"/>
      <c r="D631" s="21"/>
    </row>
    <row r="632" spans="1:4" ht="12.75">
      <c r="A632" s="21"/>
      <c r="B632" s="22"/>
      <c r="C632" s="21"/>
      <c r="D632" s="21"/>
    </row>
    <row r="633" spans="1:4" ht="12.75">
      <c r="A633" s="21"/>
      <c r="B633" s="22"/>
      <c r="C633" s="21"/>
      <c r="D633" s="21"/>
    </row>
    <row r="634" spans="1:4" ht="12.75">
      <c r="A634" s="21"/>
      <c r="B634" s="22"/>
      <c r="C634" s="21"/>
      <c r="D634" s="21"/>
    </row>
    <row r="635" spans="1:4" ht="12.75">
      <c r="A635" s="21"/>
      <c r="B635" s="22"/>
      <c r="C635" s="21"/>
      <c r="D635" s="21"/>
    </row>
    <row r="636" spans="1:4" ht="12.75">
      <c r="A636" s="21"/>
      <c r="B636" s="22"/>
      <c r="C636" s="21"/>
      <c r="D636" s="21"/>
    </row>
    <row r="637" spans="1:4" ht="12.75">
      <c r="A637" s="21"/>
      <c r="B637" s="22"/>
      <c r="C637" s="21"/>
      <c r="D637" s="21"/>
    </row>
    <row r="638" spans="1:4" ht="12.75">
      <c r="A638" s="21"/>
      <c r="B638" s="22"/>
      <c r="C638" s="21"/>
      <c r="D638" s="21"/>
    </row>
    <row r="639" spans="1:4" ht="12.75">
      <c r="A639" s="21"/>
      <c r="B639" s="22"/>
      <c r="C639" s="21"/>
      <c r="D639" s="21"/>
    </row>
    <row r="640" spans="1:4" ht="12.75">
      <c r="A640" s="21"/>
      <c r="B640" s="22"/>
      <c r="C640" s="21"/>
      <c r="D640" s="21"/>
    </row>
    <row r="641" spans="1:4" ht="12.75">
      <c r="A641" s="21"/>
      <c r="B641" s="22"/>
      <c r="C641" s="21"/>
      <c r="D641" s="21"/>
    </row>
    <row r="642" spans="1:4" ht="12.75">
      <c r="A642" s="21"/>
      <c r="B642" s="22"/>
      <c r="C642" s="21"/>
      <c r="D642" s="21"/>
    </row>
    <row r="643" spans="1:4" ht="12.75">
      <c r="A643" s="21"/>
      <c r="B643" s="22"/>
      <c r="C643" s="21"/>
      <c r="D643" s="21"/>
    </row>
    <row r="644" spans="1:4" ht="12.75">
      <c r="A644" s="21"/>
      <c r="B644" s="22"/>
      <c r="C644" s="21"/>
      <c r="D644" s="21"/>
    </row>
    <row r="645" spans="1:4" ht="12.75">
      <c r="A645" s="21"/>
      <c r="B645" s="22"/>
      <c r="C645" s="21"/>
      <c r="D645" s="21"/>
    </row>
    <row r="646" spans="1:4" ht="12.75">
      <c r="A646" s="21"/>
      <c r="B646" s="22"/>
      <c r="C646" s="21"/>
      <c r="D646" s="21"/>
    </row>
    <row r="647" spans="1:4" ht="12.75">
      <c r="A647" s="21"/>
      <c r="B647" s="22"/>
      <c r="C647" s="21"/>
      <c r="D647" s="21"/>
    </row>
    <row r="648" spans="1:4" ht="12.75">
      <c r="A648" s="21"/>
      <c r="B648" s="22"/>
      <c r="C648" s="21"/>
      <c r="D648" s="21"/>
    </row>
    <row r="649" spans="1:4" ht="12.75">
      <c r="A649" s="21"/>
      <c r="B649" s="22"/>
      <c r="C649" s="21"/>
      <c r="D649" s="21"/>
    </row>
    <row r="650" spans="1:4" ht="12.75">
      <c r="A650" s="21"/>
      <c r="B650" s="22"/>
      <c r="C650" s="21"/>
      <c r="D650" s="21"/>
    </row>
    <row r="651" spans="1:4" ht="12.75">
      <c r="A651" s="21"/>
      <c r="B651" s="22"/>
      <c r="C651" s="21"/>
      <c r="D651" s="21"/>
    </row>
    <row r="652" spans="1:4" ht="12.75">
      <c r="A652" s="21"/>
      <c r="B652" s="22"/>
      <c r="C652" s="21"/>
      <c r="D652" s="21"/>
    </row>
    <row r="653" spans="1:4" ht="12.75">
      <c r="A653" s="21"/>
      <c r="B653" s="22"/>
      <c r="C653" s="21"/>
      <c r="D653" s="21"/>
    </row>
    <row r="654" spans="1:4" ht="12.75">
      <c r="A654" s="21"/>
      <c r="B654" s="22"/>
      <c r="C654" s="21"/>
      <c r="D654" s="21"/>
    </row>
    <row r="655" spans="1:4" ht="12.75">
      <c r="A655" s="21"/>
      <c r="B655" s="22"/>
      <c r="C655" s="21"/>
      <c r="D655" s="21"/>
    </row>
    <row r="656" spans="1:4" ht="12.75">
      <c r="A656" s="21"/>
      <c r="B656" s="22"/>
      <c r="C656" s="21"/>
      <c r="D656" s="21"/>
    </row>
    <row r="657" spans="1:4" ht="12.75">
      <c r="A657" s="21"/>
      <c r="B657" s="22"/>
      <c r="C657" s="21"/>
      <c r="D657" s="21"/>
    </row>
    <row r="658" spans="1:4" ht="12.75">
      <c r="A658" s="21"/>
      <c r="B658" s="22"/>
      <c r="C658" s="21"/>
      <c r="D658" s="21"/>
    </row>
    <row r="659" spans="1:4" ht="12.75">
      <c r="A659" s="21"/>
      <c r="B659" s="22"/>
      <c r="C659" s="21"/>
      <c r="D659" s="21"/>
    </row>
    <row r="660" spans="1:4" ht="12.75">
      <c r="A660" s="21"/>
      <c r="B660" s="22"/>
      <c r="C660" s="21"/>
      <c r="D660" s="21"/>
    </row>
    <row r="661" spans="1:4" ht="12.75">
      <c r="A661" s="21"/>
      <c r="B661" s="22"/>
      <c r="C661" s="21"/>
      <c r="D661" s="21"/>
    </row>
    <row r="662" spans="1:4" ht="12.75">
      <c r="A662" s="21"/>
      <c r="B662" s="22"/>
      <c r="C662" s="21"/>
      <c r="D662" s="21"/>
    </row>
    <row r="663" spans="1:4" ht="12.75">
      <c r="A663" s="21"/>
      <c r="B663" s="22"/>
      <c r="C663" s="21"/>
      <c r="D663" s="21"/>
    </row>
    <row r="664" spans="1:4" ht="12.75">
      <c r="A664" s="21"/>
      <c r="B664" s="22"/>
      <c r="C664" s="21"/>
      <c r="D664" s="21"/>
    </row>
    <row r="665" spans="1:4" ht="12.75">
      <c r="A665" s="21"/>
      <c r="B665" s="22"/>
      <c r="C665" s="21"/>
      <c r="D665" s="21"/>
    </row>
    <row r="666" spans="1:4" ht="12.75">
      <c r="A666" s="21"/>
      <c r="B666" s="22"/>
      <c r="C666" s="21"/>
      <c r="D666" s="21"/>
    </row>
    <row r="667" spans="1:4" ht="12.75">
      <c r="A667" s="21"/>
      <c r="B667" s="22"/>
      <c r="C667" s="21"/>
      <c r="D667" s="21"/>
    </row>
    <row r="668" spans="1:4" ht="12.75">
      <c r="A668" s="21"/>
      <c r="B668" s="22"/>
      <c r="C668" s="21"/>
      <c r="D668" s="21"/>
    </row>
    <row r="669" spans="1:4" ht="12.75">
      <c r="A669" s="21"/>
      <c r="B669" s="22"/>
      <c r="C669" s="21"/>
      <c r="D669" s="21"/>
    </row>
    <row r="670" spans="1:4" ht="12.75">
      <c r="A670" s="21"/>
      <c r="B670" s="22"/>
      <c r="C670" s="21"/>
      <c r="D670" s="21"/>
    </row>
    <row r="671" spans="1:4" ht="12.75">
      <c r="A671" s="21"/>
      <c r="B671" s="22"/>
      <c r="C671" s="21"/>
      <c r="D671" s="21"/>
    </row>
    <row r="672" spans="1:4" ht="12.75">
      <c r="A672" s="21"/>
      <c r="B672" s="22"/>
      <c r="C672" s="21"/>
      <c r="D672" s="21"/>
    </row>
    <row r="673" spans="1:4" ht="12.75">
      <c r="A673" s="21"/>
      <c r="B673" s="22"/>
      <c r="C673" s="21"/>
      <c r="D673" s="21"/>
    </row>
    <row r="674" spans="1:4" ht="12.75">
      <c r="A674" s="21"/>
      <c r="B674" s="22"/>
      <c r="C674" s="21"/>
      <c r="D674" s="21"/>
    </row>
    <row r="675" spans="1:4" ht="12.75">
      <c r="A675" s="21"/>
      <c r="B675" s="22"/>
      <c r="C675" s="21"/>
      <c r="D675" s="21"/>
    </row>
    <row r="676" spans="1:4" ht="12.75">
      <c r="A676" s="21"/>
      <c r="B676" s="22"/>
      <c r="C676" s="21"/>
      <c r="D676" s="21"/>
    </row>
    <row r="677" spans="1:4" ht="12.75">
      <c r="A677" s="21"/>
      <c r="B677" s="22"/>
      <c r="C677" s="21"/>
      <c r="D677" s="21"/>
    </row>
    <row r="678" spans="1:4" ht="12.75">
      <c r="A678" s="21"/>
      <c r="B678" s="22"/>
      <c r="C678" s="21"/>
      <c r="D678" s="21"/>
    </row>
    <row r="679" spans="1:4" ht="12.75">
      <c r="A679" s="21"/>
      <c r="B679" s="22"/>
      <c r="C679" s="21"/>
      <c r="D679" s="21"/>
    </row>
    <row r="680" spans="1:4" ht="12.75">
      <c r="A680" s="21"/>
      <c r="B680" s="22"/>
      <c r="C680" s="21"/>
      <c r="D680" s="21"/>
    </row>
    <row r="681" spans="1:4" ht="12.75">
      <c r="A681" s="21"/>
      <c r="B681" s="22"/>
      <c r="C681" s="21"/>
      <c r="D681" s="21"/>
    </row>
    <row r="682" spans="1:4" ht="12.75">
      <c r="A682" s="21"/>
      <c r="B682" s="22"/>
      <c r="C682" s="21"/>
      <c r="D682" s="21"/>
    </row>
    <row r="683" spans="1:4" ht="12.75">
      <c r="A683" s="21"/>
      <c r="B683" s="22"/>
      <c r="C683" s="21"/>
      <c r="D683" s="21"/>
    </row>
    <row r="684" spans="1:4" ht="12.75">
      <c r="A684" s="21"/>
      <c r="B684" s="22"/>
      <c r="C684" s="21"/>
      <c r="D684" s="21"/>
    </row>
    <row r="685" spans="1:4" ht="12.75">
      <c r="A685" s="21"/>
      <c r="B685" s="22"/>
      <c r="C685" s="21"/>
      <c r="D685" s="21"/>
    </row>
    <row r="686" spans="1:4" ht="12.75">
      <c r="A686" s="21"/>
      <c r="B686" s="22"/>
      <c r="C686" s="21"/>
      <c r="D686" s="21"/>
    </row>
    <row r="687" spans="1:4" ht="12.75">
      <c r="A687" s="21"/>
      <c r="B687" s="22"/>
      <c r="C687" s="21"/>
      <c r="D687" s="21"/>
    </row>
    <row r="688" spans="1:4" ht="12.75">
      <c r="A688" s="21"/>
      <c r="B688" s="22"/>
      <c r="C688" s="21"/>
      <c r="D688" s="21"/>
    </row>
    <row r="689" spans="1:4" ht="12.75">
      <c r="A689" s="21"/>
      <c r="B689" s="22"/>
      <c r="C689" s="21"/>
      <c r="D689" s="21"/>
    </row>
    <row r="690" spans="1:4" ht="12.75">
      <c r="A690" s="21"/>
      <c r="B690" s="22"/>
      <c r="C690" s="21"/>
      <c r="D690" s="21"/>
    </row>
    <row r="691" spans="1:4" ht="12.75">
      <c r="A691" s="21"/>
      <c r="B691" s="22"/>
      <c r="C691" s="21"/>
      <c r="D691" s="21"/>
    </row>
    <row r="692" spans="1:4" ht="12.75">
      <c r="A692" s="21"/>
      <c r="B692" s="22"/>
      <c r="C692" s="21"/>
      <c r="D692" s="21"/>
    </row>
    <row r="693" spans="1:4" ht="12.75">
      <c r="A693" s="21"/>
      <c r="B693" s="22"/>
      <c r="C693" s="21"/>
      <c r="D693" s="21"/>
    </row>
    <row r="694" spans="1:4" ht="12.75">
      <c r="A694" s="21"/>
      <c r="B694" s="22"/>
      <c r="C694" s="21"/>
      <c r="D694" s="21"/>
    </row>
    <row r="695" spans="1:4" ht="12.75">
      <c r="A695" s="21"/>
      <c r="B695" s="22"/>
      <c r="C695" s="21"/>
      <c r="D695" s="21"/>
    </row>
    <row r="696" spans="1:4" ht="12.75">
      <c r="A696" s="21"/>
      <c r="B696" s="22"/>
      <c r="C696" s="21"/>
      <c r="D696" s="21"/>
    </row>
    <row r="697" spans="1:4" ht="12.75">
      <c r="A697" s="21"/>
      <c r="B697" s="22"/>
      <c r="C697" s="21"/>
      <c r="D697" s="21"/>
    </row>
    <row r="698" spans="1:4" ht="12.75">
      <c r="A698" s="21"/>
      <c r="B698" s="22"/>
      <c r="C698" s="21"/>
      <c r="D698" s="21"/>
    </row>
    <row r="699" spans="1:4" ht="12.75">
      <c r="A699" s="21"/>
      <c r="B699" s="22"/>
      <c r="C699" s="21"/>
      <c r="D699" s="21"/>
    </row>
    <row r="700" spans="1:4" ht="12.75">
      <c r="A700" s="21"/>
      <c r="B700" s="22"/>
      <c r="C700" s="21"/>
      <c r="D700" s="21"/>
    </row>
    <row r="701" spans="1:4" ht="12.75">
      <c r="A701" s="21"/>
      <c r="B701" s="22"/>
      <c r="C701" s="21"/>
      <c r="D701" s="21"/>
    </row>
    <row r="702" spans="1:4" ht="12.75">
      <c r="A702" s="21"/>
      <c r="B702" s="22"/>
      <c r="C702" s="21"/>
      <c r="D702" s="21"/>
    </row>
    <row r="703" spans="1:4" ht="12.75">
      <c r="A703" s="21"/>
      <c r="B703" s="22"/>
      <c r="C703" s="21"/>
      <c r="D703" s="21"/>
    </row>
    <row r="704" spans="1:4" ht="12.75">
      <c r="A704" s="21"/>
      <c r="B704" s="22"/>
      <c r="C704" s="21"/>
      <c r="D704" s="21"/>
    </row>
    <row r="705" spans="1:4" ht="12.75">
      <c r="A705" s="21"/>
      <c r="B705" s="22"/>
      <c r="C705" s="21"/>
      <c r="D705" s="21"/>
    </row>
    <row r="706" spans="1:4" ht="12.75">
      <c r="A706" s="21"/>
      <c r="B706" s="22"/>
      <c r="C706" s="21"/>
      <c r="D706" s="21"/>
    </row>
    <row r="707" spans="1:4" ht="12.75">
      <c r="A707" s="21"/>
      <c r="B707" s="22"/>
      <c r="C707" s="21"/>
      <c r="D707" s="21"/>
    </row>
    <row r="708" spans="1:4" ht="12.75">
      <c r="A708" s="21"/>
      <c r="B708" s="22"/>
      <c r="C708" s="21"/>
      <c r="D708" s="21"/>
    </row>
    <row r="709" spans="1:4" ht="12.75">
      <c r="A709" s="21"/>
      <c r="B709" s="22"/>
      <c r="C709" s="21"/>
      <c r="D709" s="21"/>
    </row>
    <row r="710" spans="1:4" ht="12.75">
      <c r="A710" s="21"/>
      <c r="B710" s="22"/>
      <c r="C710" s="21"/>
      <c r="D710" s="21"/>
    </row>
    <row r="711" spans="1:4" ht="12.75">
      <c r="A711" s="21"/>
      <c r="B711" s="22"/>
      <c r="C711" s="21"/>
      <c r="D711" s="21"/>
    </row>
    <row r="712" spans="1:4" ht="12.75">
      <c r="A712" s="21"/>
      <c r="B712" s="22"/>
      <c r="C712" s="21"/>
      <c r="D712" s="21"/>
    </row>
    <row r="713" spans="1:4" ht="12.75">
      <c r="A713" s="21"/>
      <c r="B713" s="22"/>
      <c r="C713" s="21"/>
      <c r="D713" s="21"/>
    </row>
    <row r="714" spans="1:4" ht="12.75">
      <c r="A714" s="21"/>
      <c r="B714" s="22"/>
      <c r="C714" s="21"/>
      <c r="D714" s="21"/>
    </row>
    <row r="715" spans="1:4" ht="12.75">
      <c r="A715" s="21"/>
      <c r="B715" s="22"/>
      <c r="C715" s="21"/>
      <c r="D715" s="21"/>
    </row>
    <row r="716" spans="1:4" ht="12.75">
      <c r="A716" s="21"/>
      <c r="B716" s="22"/>
      <c r="C716" s="21"/>
      <c r="D716" s="21"/>
    </row>
    <row r="717" spans="1:4" ht="12.75">
      <c r="A717" s="21"/>
      <c r="B717" s="22"/>
      <c r="C717" s="21"/>
      <c r="D717" s="21"/>
    </row>
    <row r="718" spans="1:4" ht="12.75">
      <c r="A718" s="21"/>
      <c r="B718" s="22"/>
      <c r="C718" s="21"/>
      <c r="D718" s="21"/>
    </row>
    <row r="719" spans="1:4" ht="12.75">
      <c r="A719" s="21"/>
      <c r="B719" s="22"/>
      <c r="C719" s="21"/>
      <c r="D719" s="21"/>
    </row>
    <row r="720" spans="1:4" ht="12.75">
      <c r="A720" s="21"/>
      <c r="B720" s="22"/>
      <c r="C720" s="21"/>
      <c r="D720" s="21"/>
    </row>
    <row r="721" spans="1:4" ht="12.75">
      <c r="A721" s="21"/>
      <c r="B721" s="22"/>
      <c r="C721" s="21"/>
      <c r="D721" s="21"/>
    </row>
    <row r="722" spans="1:4" ht="12.75">
      <c r="A722" s="21"/>
      <c r="B722" s="22"/>
      <c r="C722" s="21"/>
      <c r="D722" s="21"/>
    </row>
    <row r="723" spans="1:4" ht="12.75">
      <c r="A723" s="21"/>
      <c r="B723" s="22"/>
      <c r="C723" s="21"/>
      <c r="D723" s="21"/>
    </row>
    <row r="724" spans="1:4" ht="12.75">
      <c r="A724" s="21"/>
      <c r="B724" s="22"/>
      <c r="C724" s="21"/>
      <c r="D724" s="21"/>
    </row>
    <row r="725" spans="1:4" ht="12.75">
      <c r="A725" s="21"/>
      <c r="B725" s="22"/>
      <c r="C725" s="21"/>
      <c r="D725" s="21"/>
    </row>
    <row r="726" spans="1:4" ht="12.75">
      <c r="A726" s="21"/>
      <c r="B726" s="22"/>
      <c r="C726" s="21"/>
      <c r="D726" s="21"/>
    </row>
    <row r="727" spans="1:4" ht="12.75">
      <c r="A727" s="21"/>
      <c r="B727" s="22"/>
      <c r="C727" s="21"/>
      <c r="D727" s="21"/>
    </row>
    <row r="728" spans="1:4" ht="12.75">
      <c r="A728" s="21"/>
      <c r="B728" s="22"/>
      <c r="C728" s="21"/>
      <c r="D728" s="21"/>
    </row>
    <row r="729" spans="1:4" ht="12.75">
      <c r="A729" s="21"/>
      <c r="B729" s="22"/>
      <c r="C729" s="21"/>
      <c r="D729" s="21"/>
    </row>
    <row r="730" spans="1:4" ht="12.75">
      <c r="A730" s="21"/>
      <c r="B730" s="22"/>
      <c r="C730" s="21"/>
      <c r="D730" s="21"/>
    </row>
    <row r="731" spans="1:4" ht="12.75">
      <c r="A731" s="21"/>
      <c r="B731" s="22"/>
      <c r="C731" s="21"/>
      <c r="D731" s="21"/>
    </row>
    <row r="732" spans="1:4" ht="12.75">
      <c r="A732" s="21"/>
      <c r="B732" s="22"/>
      <c r="C732" s="21"/>
      <c r="D732" s="21"/>
    </row>
    <row r="733" spans="1:4" ht="12.75">
      <c r="A733" s="21"/>
      <c r="B733" s="22"/>
      <c r="C733" s="21"/>
      <c r="D733" s="21"/>
    </row>
    <row r="734" spans="1:4" ht="12.75">
      <c r="A734" s="21"/>
      <c r="B734" s="22"/>
      <c r="C734" s="21"/>
      <c r="D734" s="21"/>
    </row>
    <row r="735" spans="1:4" ht="12.75">
      <c r="A735" s="21"/>
      <c r="B735" s="22"/>
      <c r="C735" s="21"/>
      <c r="D735" s="21"/>
    </row>
    <row r="736" spans="1:4" ht="12.75">
      <c r="A736" s="21"/>
      <c r="B736" s="22"/>
      <c r="C736" s="21"/>
      <c r="D736" s="21"/>
    </row>
    <row r="737" spans="1:4" ht="12.75">
      <c r="A737" s="21"/>
      <c r="B737" s="22"/>
      <c r="C737" s="21"/>
      <c r="D737" s="21"/>
    </row>
    <row r="738" spans="1:4" ht="12.75">
      <c r="A738" s="21"/>
      <c r="B738" s="22"/>
      <c r="C738" s="21"/>
      <c r="D738" s="21"/>
    </row>
    <row r="739" spans="1:4" ht="12.75">
      <c r="A739" s="21"/>
      <c r="B739" s="22"/>
      <c r="C739" s="21"/>
      <c r="D739" s="21"/>
    </row>
    <row r="740" spans="1:4" ht="12.75">
      <c r="A740" s="21"/>
      <c r="B740" s="22"/>
      <c r="C740" s="21"/>
      <c r="D740" s="21"/>
    </row>
    <row r="741" spans="1:4" ht="12.75">
      <c r="A741" s="21"/>
      <c r="B741" s="22"/>
      <c r="C741" s="21"/>
      <c r="D741" s="21"/>
    </row>
    <row r="742" spans="1:4" ht="12.75">
      <c r="A742" s="21"/>
      <c r="B742" s="22"/>
      <c r="C742" s="21"/>
      <c r="D742" s="21"/>
    </row>
    <row r="743" spans="1:4" ht="12.75">
      <c r="A743" s="21"/>
      <c r="B743" s="22"/>
      <c r="C743" s="21"/>
      <c r="D743" s="21"/>
    </row>
    <row r="744" spans="1:4" ht="12.75">
      <c r="A744" s="21"/>
      <c r="B744" s="22"/>
      <c r="C744" s="21"/>
      <c r="D744" s="21"/>
    </row>
    <row r="745" spans="1:4" ht="12.75">
      <c r="A745" s="21"/>
      <c r="B745" s="22"/>
      <c r="C745" s="21"/>
      <c r="D745" s="21"/>
    </row>
    <row r="746" spans="1:4" ht="12.75">
      <c r="A746" s="21"/>
      <c r="B746" s="22"/>
      <c r="C746" s="21"/>
      <c r="D746" s="21"/>
    </row>
    <row r="747" spans="1:4" ht="12.75">
      <c r="A747" s="21"/>
      <c r="B747" s="22"/>
      <c r="C747" s="21"/>
      <c r="D747" s="21"/>
    </row>
    <row r="748" spans="1:4" ht="12.75">
      <c r="A748" s="21"/>
      <c r="B748" s="22"/>
      <c r="C748" s="21"/>
      <c r="D748" s="21"/>
    </row>
    <row r="749" spans="1:4" ht="12.75">
      <c r="A749" s="21"/>
      <c r="B749" s="22"/>
      <c r="C749" s="21"/>
      <c r="D749" s="21"/>
    </row>
    <row r="750" spans="1:4" ht="12.75">
      <c r="A750" s="21"/>
      <c r="B750" s="22"/>
      <c r="C750" s="21"/>
      <c r="D750" s="21"/>
    </row>
    <row r="751" spans="1:4" ht="12.75">
      <c r="A751" s="21"/>
      <c r="B751" s="22"/>
      <c r="C751" s="21"/>
      <c r="D751" s="21"/>
    </row>
    <row r="752" spans="1:4" ht="12.75">
      <c r="A752" s="21"/>
      <c r="B752" s="22"/>
      <c r="C752" s="21"/>
      <c r="D752" s="21"/>
    </row>
    <row r="753" spans="1:4" ht="12.75">
      <c r="A753" s="21"/>
      <c r="B753" s="22"/>
      <c r="C753" s="21"/>
      <c r="D753" s="21"/>
    </row>
    <row r="754" spans="1:4" ht="12.75">
      <c r="A754" s="21"/>
      <c r="B754" s="22"/>
      <c r="C754" s="21"/>
      <c r="D754" s="21"/>
    </row>
    <row r="755" spans="1:4" ht="12.75">
      <c r="A755" s="21"/>
      <c r="B755" s="22"/>
      <c r="C755" s="21"/>
      <c r="D755" s="21"/>
    </row>
    <row r="756" spans="1:4" ht="12.75">
      <c r="A756" s="21"/>
      <c r="B756" s="22"/>
      <c r="C756" s="21"/>
      <c r="D756" s="21"/>
    </row>
    <row r="757" spans="1:4" ht="12.75">
      <c r="A757" s="21"/>
      <c r="B757" s="22"/>
      <c r="C757" s="21"/>
      <c r="D757" s="21"/>
    </row>
    <row r="758" spans="1:4" ht="12.75">
      <c r="A758" s="21"/>
      <c r="B758" s="22"/>
      <c r="C758" s="21"/>
      <c r="D758" s="21"/>
    </row>
    <row r="759" spans="1:4" ht="12.75">
      <c r="A759" s="21"/>
      <c r="B759" s="22"/>
      <c r="C759" s="21"/>
      <c r="D759" s="21"/>
    </row>
    <row r="760" spans="1:4" ht="12.75">
      <c r="A760" s="21"/>
      <c r="B760" s="22"/>
      <c r="C760" s="21"/>
      <c r="D760" s="21"/>
    </row>
    <row r="761" spans="1:4" ht="12.75">
      <c r="A761" s="21"/>
      <c r="B761" s="22"/>
      <c r="C761" s="21"/>
      <c r="D761" s="21"/>
    </row>
    <row r="762" spans="1:4" ht="12.75">
      <c r="A762" s="21"/>
      <c r="B762" s="22"/>
      <c r="C762" s="21"/>
      <c r="D762" s="21"/>
    </row>
    <row r="763" spans="1:4" ht="12.75">
      <c r="A763" s="21"/>
      <c r="B763" s="22"/>
      <c r="C763" s="21"/>
      <c r="D763" s="21"/>
    </row>
    <row r="764" spans="1:4" ht="12.75">
      <c r="A764" s="21"/>
      <c r="B764" s="22"/>
      <c r="C764" s="21"/>
      <c r="D764" s="21"/>
    </row>
    <row r="765" spans="1:4" ht="12.75">
      <c r="A765" s="21"/>
      <c r="B765" s="22"/>
      <c r="C765" s="21"/>
      <c r="D765" s="21"/>
    </row>
    <row r="766" spans="1:4" ht="12.75">
      <c r="A766" s="21"/>
      <c r="B766" s="22"/>
      <c r="C766" s="21"/>
      <c r="D766" s="21"/>
    </row>
    <row r="767" spans="1:4" ht="12.75">
      <c r="A767" s="21"/>
      <c r="B767" s="22"/>
      <c r="C767" s="21"/>
      <c r="D767" s="21"/>
    </row>
    <row r="768" spans="1:4" ht="12.75">
      <c r="A768" s="21"/>
      <c r="B768" s="22"/>
      <c r="C768" s="21"/>
      <c r="D768" s="21"/>
    </row>
    <row r="769" spans="1:4" ht="12.75">
      <c r="A769" s="21"/>
      <c r="B769" s="22"/>
      <c r="C769" s="21"/>
      <c r="D769" s="21"/>
    </row>
    <row r="770" spans="1:4" ht="12.75">
      <c r="A770" s="21"/>
      <c r="B770" s="22"/>
      <c r="C770" s="21"/>
      <c r="D770" s="21"/>
    </row>
    <row r="771" spans="1:4" ht="12.75">
      <c r="A771" s="21"/>
      <c r="B771" s="22"/>
      <c r="C771" s="21"/>
      <c r="D771" s="21"/>
    </row>
    <row r="772" spans="1:4" ht="12.75">
      <c r="A772" s="21"/>
      <c r="B772" s="22"/>
      <c r="C772" s="21"/>
      <c r="D772" s="21"/>
    </row>
    <row r="773" spans="1:4" ht="12.75">
      <c r="A773" s="21"/>
      <c r="B773" s="22"/>
      <c r="C773" s="21"/>
      <c r="D773" s="21"/>
    </row>
    <row r="774" spans="1:4" ht="12.75">
      <c r="A774" s="21"/>
      <c r="B774" s="22"/>
      <c r="C774" s="21"/>
      <c r="D774" s="21"/>
    </row>
    <row r="775" spans="1:4" ht="12.75">
      <c r="A775" s="21"/>
      <c r="B775" s="22"/>
      <c r="C775" s="21"/>
      <c r="D775" s="21"/>
    </row>
    <row r="776" spans="1:4" ht="12.75">
      <c r="A776" s="21"/>
      <c r="B776" s="22"/>
      <c r="C776" s="21"/>
      <c r="D776" s="21"/>
    </row>
    <row r="777" spans="1:4" ht="12.75">
      <c r="A777" s="21"/>
      <c r="B777" s="22"/>
      <c r="C777" s="21"/>
      <c r="D777" s="21"/>
    </row>
    <row r="778" spans="1:4" ht="12.75">
      <c r="A778" s="21"/>
      <c r="B778" s="22"/>
      <c r="C778" s="21"/>
      <c r="D778" s="21"/>
    </row>
    <row r="779" spans="1:4" ht="12.75">
      <c r="A779" s="21"/>
      <c r="B779" s="22"/>
      <c r="C779" s="21"/>
      <c r="D779" s="21"/>
    </row>
    <row r="780" spans="1:4" ht="12.75">
      <c r="A780" s="21"/>
      <c r="B780" s="22"/>
      <c r="C780" s="21"/>
      <c r="D780" s="21"/>
    </row>
    <row r="781" spans="1:4" ht="12.75">
      <c r="A781" s="21"/>
      <c r="B781" s="22"/>
      <c r="C781" s="21"/>
      <c r="D781" s="21"/>
    </row>
    <row r="782" spans="1:4" ht="12.75">
      <c r="A782" s="21"/>
      <c r="B782" s="22"/>
      <c r="C782" s="21"/>
      <c r="D782" s="21"/>
    </row>
    <row r="783" spans="1:4" ht="12.75">
      <c r="A783" s="21"/>
      <c r="B783" s="22"/>
      <c r="C783" s="21"/>
      <c r="D783" s="21"/>
    </row>
    <row r="784" spans="1:4" ht="12.75">
      <c r="A784" s="21"/>
      <c r="B784" s="22"/>
      <c r="C784" s="21"/>
      <c r="D784" s="21"/>
    </row>
    <row r="785" spans="1:4" ht="12.75">
      <c r="A785" s="21"/>
      <c r="B785" s="22"/>
      <c r="C785" s="21"/>
      <c r="D785" s="21"/>
    </row>
    <row r="786" spans="1:4" ht="12.75">
      <c r="A786" s="21"/>
      <c r="B786" s="22"/>
      <c r="C786" s="21"/>
      <c r="D786" s="21"/>
    </row>
    <row r="787" spans="1:4" ht="12.75">
      <c r="A787" s="21"/>
      <c r="B787" s="22"/>
      <c r="C787" s="21"/>
      <c r="D787" s="21"/>
    </row>
    <row r="788" spans="1:4" ht="12.75">
      <c r="A788" s="21"/>
      <c r="B788" s="22"/>
      <c r="C788" s="21"/>
      <c r="D788" s="21"/>
    </row>
    <row r="789" spans="1:4" ht="12.75">
      <c r="A789" s="21"/>
      <c r="B789" s="22"/>
      <c r="C789" s="21"/>
      <c r="D789" s="21"/>
    </row>
    <row r="790" spans="1:4" ht="12.75">
      <c r="A790" s="21"/>
      <c r="B790" s="22"/>
      <c r="C790" s="21"/>
      <c r="D790" s="21"/>
    </row>
    <row r="791" spans="1:4" ht="12.75">
      <c r="A791" s="21"/>
      <c r="B791" s="22"/>
      <c r="C791" s="21"/>
      <c r="D791" s="21"/>
    </row>
    <row r="792" spans="1:4" ht="12.75">
      <c r="A792" s="21"/>
      <c r="B792" s="22"/>
      <c r="C792" s="21"/>
      <c r="D792" s="21"/>
    </row>
    <row r="793" spans="1:4" ht="12.75">
      <c r="A793" s="21"/>
      <c r="B793" s="22"/>
      <c r="C793" s="21"/>
      <c r="D793" s="21"/>
    </row>
    <row r="794" spans="1:4" ht="12.75">
      <c r="A794" s="21"/>
      <c r="B794" s="22"/>
      <c r="C794" s="21"/>
      <c r="D794" s="21"/>
    </row>
    <row r="795" spans="1:4" ht="12.75">
      <c r="A795" s="21"/>
      <c r="B795" s="22"/>
      <c r="C795" s="21"/>
      <c r="D795" s="21"/>
    </row>
    <row r="796" spans="1:4" ht="12.75">
      <c r="A796" s="21"/>
      <c r="B796" s="22"/>
      <c r="C796" s="21"/>
      <c r="D796" s="21"/>
    </row>
    <row r="797" spans="1:4" ht="12.75">
      <c r="A797" s="21"/>
      <c r="B797" s="22"/>
      <c r="C797" s="21"/>
      <c r="D797" s="21"/>
    </row>
    <row r="798" spans="1:4" ht="12.75">
      <c r="A798" s="21"/>
      <c r="B798" s="22"/>
      <c r="C798" s="21"/>
      <c r="D798" s="21"/>
    </row>
    <row r="799" spans="1:4" ht="12.75">
      <c r="A799" s="21"/>
      <c r="B799" s="22"/>
      <c r="C799" s="21"/>
      <c r="D799" s="21"/>
    </row>
    <row r="800" spans="1:4" ht="12.75">
      <c r="A800" s="21"/>
      <c r="B800" s="22"/>
      <c r="C800" s="21"/>
      <c r="D800" s="21"/>
    </row>
    <row r="801" spans="1:4" ht="12.75">
      <c r="A801" s="21"/>
      <c r="B801" s="22"/>
      <c r="C801" s="21"/>
      <c r="D801" s="21"/>
    </row>
    <row r="802" spans="1:4" ht="12.75">
      <c r="A802" s="21"/>
      <c r="B802" s="22"/>
      <c r="C802" s="21"/>
      <c r="D802" s="21"/>
    </row>
    <row r="803" spans="1:4" ht="12.75">
      <c r="A803" s="21"/>
      <c r="B803" s="22"/>
      <c r="C803" s="21"/>
      <c r="D803" s="21"/>
    </row>
    <row r="804" spans="1:4" ht="12.75">
      <c r="A804" s="21"/>
      <c r="B804" s="22"/>
      <c r="C804" s="21"/>
      <c r="D804" s="21"/>
    </row>
    <row r="805" spans="1:4" ht="12.75">
      <c r="A805" s="21"/>
      <c r="B805" s="22"/>
      <c r="C805" s="21"/>
      <c r="D805" s="21"/>
    </row>
    <row r="806" spans="1:4" ht="12.75">
      <c r="A806" s="21"/>
      <c r="B806" s="22"/>
      <c r="C806" s="21"/>
      <c r="D806" s="21"/>
    </row>
    <row r="807" spans="1:4" ht="12.75">
      <c r="A807" s="21"/>
      <c r="B807" s="22"/>
      <c r="C807" s="21"/>
      <c r="D807" s="21"/>
    </row>
    <row r="808" spans="1:4" ht="12.75">
      <c r="A808" s="21"/>
      <c r="B808" s="22"/>
      <c r="C808" s="21"/>
      <c r="D808" s="21"/>
    </row>
    <row r="809" spans="1:4" ht="12.75">
      <c r="A809" s="21"/>
      <c r="B809" s="22"/>
      <c r="C809" s="21"/>
      <c r="D809" s="21"/>
    </row>
    <row r="810" spans="1:4" ht="12.75">
      <c r="A810" s="21"/>
      <c r="B810" s="22"/>
      <c r="C810" s="21"/>
      <c r="D810" s="21"/>
    </row>
    <row r="811" spans="1:4" ht="12.75">
      <c r="A811" s="21"/>
      <c r="B811" s="22"/>
      <c r="C811" s="21"/>
      <c r="D811" s="21"/>
    </row>
    <row r="812" spans="1:4" ht="12.75">
      <c r="A812" s="21"/>
      <c r="B812" s="22"/>
      <c r="C812" s="21"/>
      <c r="D812" s="21"/>
    </row>
    <row r="813" spans="1:4" ht="12.75">
      <c r="A813" s="21"/>
      <c r="B813" s="22"/>
      <c r="C813" s="21"/>
      <c r="D813" s="21"/>
    </row>
    <row r="814" spans="1:4" ht="12.75">
      <c r="A814" s="21"/>
      <c r="B814" s="22"/>
      <c r="C814" s="21"/>
      <c r="D814" s="21"/>
    </row>
    <row r="815" spans="1:4" ht="12.75">
      <c r="A815" s="21"/>
      <c r="B815" s="22"/>
      <c r="C815" s="21"/>
      <c r="D815" s="21"/>
    </row>
    <row r="816" spans="1:4" ht="12.75">
      <c r="A816" s="21"/>
      <c r="B816" s="22"/>
      <c r="C816" s="21"/>
      <c r="D816" s="21"/>
    </row>
    <row r="817" spans="1:4" ht="12.75">
      <c r="A817" s="21"/>
      <c r="B817" s="22"/>
      <c r="C817" s="21"/>
      <c r="D817" s="21"/>
    </row>
    <row r="818" spans="1:4" ht="12.75">
      <c r="A818" s="21"/>
      <c r="B818" s="22"/>
      <c r="C818" s="21"/>
      <c r="D818" s="21"/>
    </row>
    <row r="819" spans="1:4" ht="12.75">
      <c r="A819" s="21"/>
      <c r="B819" s="22"/>
      <c r="C819" s="21"/>
      <c r="D819" s="21"/>
    </row>
    <row r="820" spans="1:4" ht="12.75">
      <c r="A820" s="21"/>
      <c r="B820" s="22"/>
      <c r="C820" s="21"/>
      <c r="D820" s="21"/>
    </row>
    <row r="821" spans="1:4" ht="12.75">
      <c r="A821" s="21"/>
      <c r="B821" s="22"/>
      <c r="C821" s="21"/>
      <c r="D821" s="21"/>
    </row>
    <row r="822" spans="1:4" ht="12.75">
      <c r="A822" s="21"/>
      <c r="B822" s="22"/>
      <c r="C822" s="21"/>
      <c r="D822" s="21"/>
    </row>
    <row r="823" spans="1:4" ht="12.75">
      <c r="A823" s="21"/>
      <c r="B823" s="22"/>
      <c r="C823" s="21"/>
      <c r="D823" s="21"/>
    </row>
    <row r="824" spans="1:4" ht="12.75">
      <c r="A824" s="21"/>
      <c r="B824" s="22"/>
      <c r="C824" s="21"/>
      <c r="D824" s="21"/>
    </row>
    <row r="825" spans="1:4" ht="12.75">
      <c r="A825" s="21"/>
      <c r="B825" s="22"/>
      <c r="C825" s="21"/>
      <c r="D825" s="21"/>
    </row>
    <row r="826" spans="1:4" ht="12.75">
      <c r="A826" s="21"/>
      <c r="B826" s="22"/>
      <c r="C826" s="21"/>
      <c r="D826" s="21"/>
    </row>
    <row r="827" spans="1:4" ht="12.75">
      <c r="A827" s="21"/>
      <c r="B827" s="22"/>
      <c r="C827" s="21"/>
      <c r="D827" s="21"/>
    </row>
    <row r="828" spans="1:4" ht="12.75">
      <c r="A828" s="21"/>
      <c r="B828" s="22"/>
      <c r="C828" s="21"/>
      <c r="D828" s="21"/>
    </row>
    <row r="829" spans="1:4" ht="12.75">
      <c r="A829" s="21"/>
      <c r="B829" s="22"/>
      <c r="C829" s="21"/>
      <c r="D829" s="21"/>
    </row>
    <row r="830" spans="1:4" ht="12.75">
      <c r="A830" s="21"/>
      <c r="B830" s="22"/>
      <c r="C830" s="21"/>
      <c r="D830" s="21"/>
    </row>
    <row r="831" spans="1:4" ht="12.75">
      <c r="A831" s="21"/>
      <c r="B831" s="22"/>
      <c r="C831" s="21"/>
      <c r="D831" s="21"/>
    </row>
    <row r="832" spans="1:4" ht="12.75">
      <c r="A832" s="21"/>
      <c r="B832" s="22"/>
      <c r="C832" s="21"/>
      <c r="D832" s="21"/>
    </row>
    <row r="833" spans="1:4" ht="12.75">
      <c r="A833" s="21"/>
      <c r="B833" s="22"/>
      <c r="C833" s="21"/>
      <c r="D833" s="21"/>
    </row>
    <row r="834" spans="1:4" ht="12.75">
      <c r="A834" s="21"/>
      <c r="B834" s="22"/>
      <c r="C834" s="21"/>
      <c r="D834" s="21"/>
    </row>
    <row r="835" spans="1:4" ht="12.75">
      <c r="A835" s="21"/>
      <c r="B835" s="22"/>
      <c r="C835" s="21"/>
      <c r="D835" s="21"/>
    </row>
    <row r="836" spans="1:4" ht="12.75">
      <c r="A836" s="21"/>
      <c r="B836" s="22"/>
      <c r="C836" s="21"/>
      <c r="D836" s="21"/>
    </row>
    <row r="837" spans="1:4" ht="12.75">
      <c r="A837" s="21"/>
      <c r="B837" s="22"/>
      <c r="C837" s="21"/>
      <c r="D837" s="21"/>
    </row>
    <row r="838" spans="1:4" ht="12.75">
      <c r="A838" s="21"/>
      <c r="B838" s="22"/>
      <c r="C838" s="21"/>
      <c r="D838" s="21"/>
    </row>
    <row r="839" spans="1:4" ht="12.75">
      <c r="A839" s="21"/>
      <c r="B839" s="22"/>
      <c r="C839" s="21"/>
      <c r="D839" s="21"/>
    </row>
    <row r="840" spans="1:4" ht="12.75">
      <c r="A840" s="21"/>
      <c r="B840" s="22"/>
      <c r="C840" s="21"/>
      <c r="D840" s="21"/>
    </row>
    <row r="841" spans="1:4" ht="12.75">
      <c r="A841" s="21"/>
      <c r="B841" s="22"/>
      <c r="C841" s="21"/>
      <c r="D841" s="21"/>
    </row>
    <row r="842" spans="1:4" ht="12.75">
      <c r="A842" s="21"/>
      <c r="B842" s="22"/>
      <c r="C842" s="21"/>
      <c r="D842" s="21"/>
    </row>
    <row r="843" spans="1:4" ht="12.75">
      <c r="A843" s="21"/>
      <c r="B843" s="22"/>
      <c r="C843" s="21"/>
      <c r="D843" s="21"/>
    </row>
    <row r="844" spans="1:4" ht="12.75">
      <c r="A844" s="21"/>
      <c r="B844" s="22"/>
      <c r="C844" s="21"/>
      <c r="D844" s="21"/>
    </row>
    <row r="845" spans="1:4" ht="12.75">
      <c r="A845" s="21"/>
      <c r="B845" s="22"/>
      <c r="C845" s="21"/>
      <c r="D845" s="21"/>
    </row>
    <row r="846" spans="1:4" ht="12.75">
      <c r="A846" s="21"/>
      <c r="B846" s="22"/>
      <c r="C846" s="21"/>
      <c r="D846" s="21"/>
    </row>
    <row r="847" spans="1:4" ht="12.75">
      <c r="A847" s="21"/>
      <c r="B847" s="22"/>
      <c r="C847" s="21"/>
      <c r="D847" s="21"/>
    </row>
    <row r="848" spans="1:4" ht="12.75">
      <c r="A848" s="21"/>
      <c r="B848" s="22"/>
      <c r="C848" s="21"/>
      <c r="D848" s="21"/>
    </row>
    <row r="849" spans="1:4" ht="12.75">
      <c r="A849" s="21"/>
      <c r="B849" s="22"/>
      <c r="C849" s="21"/>
      <c r="D849" s="21"/>
    </row>
    <row r="850" spans="1:4" ht="12.75">
      <c r="A850" s="21"/>
      <c r="B850" s="22"/>
      <c r="C850" s="21"/>
      <c r="D850" s="21"/>
    </row>
    <row r="851" spans="1:4" ht="12.75">
      <c r="A851" s="21"/>
      <c r="B851" s="22"/>
      <c r="C851" s="21"/>
      <c r="D851" s="21"/>
    </row>
    <row r="852" spans="1:4" ht="12.75">
      <c r="A852" s="21"/>
      <c r="B852" s="22"/>
      <c r="C852" s="21"/>
      <c r="D852" s="21"/>
    </row>
    <row r="853" spans="1:4" ht="12.75">
      <c r="A853" s="21"/>
      <c r="B853" s="22"/>
      <c r="C853" s="21"/>
      <c r="D853" s="21"/>
    </row>
    <row r="854" spans="1:4" ht="12.75">
      <c r="A854" s="21"/>
      <c r="B854" s="22"/>
      <c r="C854" s="21"/>
      <c r="D854" s="21"/>
    </row>
    <row r="855" spans="1:4" ht="12.75">
      <c r="A855" s="21"/>
      <c r="B855" s="22"/>
      <c r="C855" s="21"/>
      <c r="D855" s="21"/>
    </row>
    <row r="856" spans="1:4" ht="12.75">
      <c r="A856" s="21"/>
      <c r="B856" s="22"/>
      <c r="C856" s="21"/>
      <c r="D856" s="21"/>
    </row>
    <row r="857" spans="1:4" ht="12.75">
      <c r="A857" s="21"/>
      <c r="B857" s="22"/>
      <c r="C857" s="21"/>
      <c r="D857" s="21"/>
    </row>
    <row r="858" spans="1:4" ht="12.75">
      <c r="A858" s="21"/>
      <c r="B858" s="22"/>
      <c r="C858" s="21"/>
      <c r="D858" s="21"/>
    </row>
    <row r="859" spans="1:4" ht="12.75">
      <c r="A859" s="21"/>
      <c r="B859" s="22"/>
      <c r="C859" s="21"/>
      <c r="D859" s="21"/>
    </row>
    <row r="860" spans="1:4" ht="12.75">
      <c r="A860" s="21"/>
      <c r="B860" s="22"/>
      <c r="C860" s="21"/>
      <c r="D860" s="21"/>
    </row>
    <row r="861" spans="1:4" ht="12.75">
      <c r="A861" s="21"/>
      <c r="B861" s="22"/>
      <c r="C861" s="21"/>
      <c r="D861" s="21"/>
    </row>
    <row r="862" spans="1:4" ht="12.75">
      <c r="A862" s="21"/>
      <c r="B862" s="22"/>
      <c r="C862" s="21"/>
      <c r="D862" s="21"/>
    </row>
    <row r="863" spans="1:4" ht="12.75">
      <c r="A863" s="21"/>
      <c r="B863" s="22"/>
      <c r="C863" s="21"/>
      <c r="D863" s="21"/>
    </row>
    <row r="864" spans="1:4" ht="12.75">
      <c r="A864" s="21"/>
      <c r="B864" s="22"/>
      <c r="C864" s="21"/>
      <c r="D864" s="21"/>
    </row>
    <row r="865" spans="1:4" ht="12.75">
      <c r="A865" s="21"/>
      <c r="B865" s="22"/>
      <c r="C865" s="21"/>
      <c r="D865" s="21"/>
    </row>
    <row r="866" spans="1:4" ht="12.75">
      <c r="A866" s="21"/>
      <c r="B866" s="22"/>
      <c r="C866" s="21"/>
      <c r="D866" s="21"/>
    </row>
    <row r="867" spans="1:4" ht="12.75">
      <c r="A867" s="21"/>
      <c r="B867" s="22"/>
      <c r="C867" s="21"/>
      <c r="D867" s="21"/>
    </row>
    <row r="868" spans="1:4" ht="12.75">
      <c r="A868" s="21"/>
      <c r="B868" s="22"/>
      <c r="C868" s="21"/>
      <c r="D868" s="21"/>
    </row>
    <row r="869" spans="1:4" ht="12.75">
      <c r="A869" s="21"/>
      <c r="B869" s="22"/>
      <c r="C869" s="21"/>
      <c r="D869" s="21"/>
    </row>
    <row r="870" spans="1:4" ht="12.75">
      <c r="A870" s="21"/>
      <c r="B870" s="22"/>
      <c r="C870" s="21"/>
      <c r="D870" s="21"/>
    </row>
    <row r="871" spans="1:4" ht="12.75">
      <c r="A871" s="21"/>
      <c r="B871" s="22"/>
      <c r="C871" s="21"/>
      <c r="D871" s="21"/>
    </row>
    <row r="872" spans="1:4" ht="12.75">
      <c r="A872" s="21"/>
      <c r="B872" s="22"/>
      <c r="C872" s="21"/>
      <c r="D872" s="21"/>
    </row>
    <row r="873" spans="1:4" ht="12.75">
      <c r="A873" s="21"/>
      <c r="B873" s="22"/>
      <c r="C873" s="21"/>
      <c r="D873" s="21"/>
    </row>
    <row r="874" spans="1:4" ht="12.75">
      <c r="A874" s="21"/>
      <c r="B874" s="22"/>
      <c r="C874" s="21"/>
      <c r="D874" s="21"/>
    </row>
    <row r="875" spans="1:4" ht="12.75">
      <c r="A875" s="21"/>
      <c r="B875" s="22"/>
      <c r="C875" s="21"/>
      <c r="D875" s="21"/>
    </row>
    <row r="876" spans="1:4" ht="12.75">
      <c r="A876" s="21"/>
      <c r="B876" s="22"/>
      <c r="C876" s="21"/>
      <c r="D876" s="21"/>
    </row>
    <row r="877" spans="1:4" ht="12.75">
      <c r="A877" s="21"/>
      <c r="B877" s="22"/>
      <c r="C877" s="21"/>
      <c r="D877" s="21"/>
    </row>
    <row r="878" spans="1:4" ht="12.75">
      <c r="A878" s="21"/>
      <c r="B878" s="22"/>
      <c r="C878" s="21"/>
      <c r="D878" s="21"/>
    </row>
    <row r="879" spans="1:4" ht="12.75">
      <c r="A879" s="21"/>
      <c r="B879" s="22"/>
      <c r="C879" s="21"/>
      <c r="D879" s="21"/>
    </row>
    <row r="880" spans="1:4" ht="12.75">
      <c r="A880" s="21"/>
      <c r="B880" s="22"/>
      <c r="C880" s="21"/>
      <c r="D880" s="21"/>
    </row>
    <row r="881" spans="1:4" ht="12.75">
      <c r="A881" s="21"/>
      <c r="B881" s="22"/>
      <c r="C881" s="21"/>
      <c r="D881" s="21"/>
    </row>
    <row r="882" spans="1:4" ht="12.75">
      <c r="A882" s="21"/>
      <c r="B882" s="22"/>
      <c r="C882" s="21"/>
      <c r="D882" s="21"/>
    </row>
    <row r="883" spans="1:4" ht="12.75">
      <c r="A883" s="21"/>
      <c r="B883" s="22"/>
      <c r="C883" s="21"/>
      <c r="D883" s="21"/>
    </row>
    <row r="884" spans="1:4" ht="12.75">
      <c r="A884" s="21"/>
      <c r="B884" s="22"/>
      <c r="C884" s="21"/>
      <c r="D884" s="21"/>
    </row>
    <row r="885" spans="1:4" ht="12.75">
      <c r="A885" s="21"/>
      <c r="B885" s="22"/>
      <c r="C885" s="21"/>
      <c r="D885" s="21"/>
    </row>
    <row r="886" spans="1:4" ht="12.75">
      <c r="A886" s="21"/>
      <c r="B886" s="22"/>
      <c r="C886" s="21"/>
      <c r="D886" s="21"/>
    </row>
    <row r="887" spans="1:4" ht="12.75">
      <c r="A887" s="21"/>
      <c r="B887" s="22"/>
      <c r="C887" s="21"/>
      <c r="D887" s="21"/>
    </row>
    <row r="888" spans="1:4" ht="12.75">
      <c r="A888" s="21"/>
      <c r="B888" s="22"/>
      <c r="C888" s="21"/>
      <c r="D888" s="21"/>
    </row>
    <row r="889" spans="1:4" ht="12.75">
      <c r="A889" s="21"/>
      <c r="B889" s="22"/>
      <c r="C889" s="21"/>
      <c r="D889" s="21"/>
    </row>
    <row r="890" spans="1:4" ht="12.75">
      <c r="A890" s="21"/>
      <c r="B890" s="22"/>
      <c r="C890" s="21"/>
      <c r="D890" s="21"/>
    </row>
    <row r="891" spans="1:4" ht="12.75">
      <c r="A891" s="21"/>
      <c r="B891" s="22"/>
      <c r="C891" s="21"/>
      <c r="D891" s="21"/>
    </row>
    <row r="892" spans="1:4" ht="12.75">
      <c r="A892" s="21"/>
      <c r="B892" s="22"/>
      <c r="C892" s="21"/>
      <c r="D892" s="21"/>
    </row>
    <row r="893" spans="1:4" ht="12.75">
      <c r="A893" s="21"/>
      <c r="B893" s="22"/>
      <c r="C893" s="21"/>
      <c r="D893" s="21"/>
    </row>
    <row r="894" spans="1:4" ht="12.75">
      <c r="A894" s="21"/>
      <c r="B894" s="22"/>
      <c r="C894" s="21"/>
      <c r="D894" s="21"/>
    </row>
    <row r="895" spans="1:4" ht="12.75">
      <c r="A895" s="21"/>
      <c r="B895" s="22"/>
      <c r="C895" s="21"/>
      <c r="D895" s="21"/>
    </row>
    <row r="896" spans="1:4" ht="12.75">
      <c r="A896" s="21"/>
      <c r="B896" s="22"/>
      <c r="C896" s="21"/>
      <c r="D896" s="21"/>
    </row>
    <row r="897" spans="1:4" ht="12.75">
      <c r="A897" s="21"/>
      <c r="B897" s="22"/>
      <c r="C897" s="21"/>
      <c r="D897" s="21"/>
    </row>
    <row r="898" spans="1:4" ht="12.75">
      <c r="A898" s="21"/>
      <c r="B898" s="22"/>
      <c r="C898" s="21"/>
      <c r="D898" s="21"/>
    </row>
    <row r="899" spans="1:4" ht="12.75">
      <c r="A899" s="21"/>
      <c r="B899" s="22"/>
      <c r="C899" s="21"/>
      <c r="D899" s="21"/>
    </row>
    <row r="900" spans="1:4" ht="12.75">
      <c r="A900" s="21"/>
      <c r="B900" s="22"/>
      <c r="C900" s="21"/>
      <c r="D900" s="21"/>
    </row>
    <row r="901" spans="1:4" ht="12.75">
      <c r="A901" s="21"/>
      <c r="B901" s="22"/>
      <c r="C901" s="21"/>
      <c r="D901" s="21"/>
    </row>
    <row r="902" spans="1:4" ht="12.75">
      <c r="A902" s="21"/>
      <c r="B902" s="22"/>
      <c r="C902" s="21"/>
      <c r="D902" s="21"/>
    </row>
    <row r="903" spans="1:4" ht="12.75">
      <c r="A903" s="21"/>
      <c r="B903" s="22"/>
      <c r="C903" s="21"/>
      <c r="D903" s="21"/>
    </row>
    <row r="904" spans="1:4" ht="12.75">
      <c r="A904" s="21"/>
      <c r="B904" s="22"/>
      <c r="C904" s="21"/>
      <c r="D904" s="21"/>
    </row>
    <row r="905" spans="1:4" ht="12.75">
      <c r="A905" s="21"/>
      <c r="B905" s="22"/>
      <c r="C905" s="21"/>
      <c r="D905" s="21"/>
    </row>
    <row r="906" spans="1:4" ht="12.75">
      <c r="A906" s="21"/>
      <c r="B906" s="22"/>
      <c r="C906" s="21"/>
      <c r="D906" s="21"/>
    </row>
    <row r="907" spans="1:4" ht="12.75">
      <c r="A907" s="21"/>
      <c r="B907" s="22"/>
      <c r="C907" s="21"/>
      <c r="D907" s="21"/>
    </row>
    <row r="908" spans="1:4" ht="12.75">
      <c r="A908" s="21"/>
      <c r="B908" s="22"/>
      <c r="C908" s="21"/>
      <c r="D908" s="21"/>
    </row>
    <row r="909" spans="1:4" ht="12.75">
      <c r="A909" s="21"/>
      <c r="B909" s="22"/>
      <c r="C909" s="21"/>
      <c r="D909" s="21"/>
    </row>
    <row r="910" spans="1:4" ht="12.75">
      <c r="A910" s="21"/>
      <c r="B910" s="22"/>
      <c r="C910" s="21"/>
      <c r="D910" s="21"/>
    </row>
    <row r="911" spans="1:4" ht="12.75">
      <c r="A911" s="21"/>
      <c r="B911" s="22"/>
      <c r="C911" s="21"/>
      <c r="D911" s="21"/>
    </row>
    <row r="912" spans="1:4" ht="12.75">
      <c r="A912" s="21"/>
      <c r="B912" s="22"/>
      <c r="C912" s="21"/>
      <c r="D912" s="21"/>
    </row>
    <row r="913" spans="1:4" ht="12.75">
      <c r="A913" s="21"/>
      <c r="B913" s="22"/>
      <c r="C913" s="21"/>
      <c r="D913" s="21"/>
    </row>
    <row r="914" spans="1:4" ht="12.75">
      <c r="A914" s="21"/>
      <c r="B914" s="22"/>
      <c r="C914" s="21"/>
      <c r="D914" s="21"/>
    </row>
    <row r="915" spans="1:4" ht="12.75">
      <c r="A915" s="21"/>
      <c r="B915" s="22"/>
      <c r="C915" s="21"/>
      <c r="D915" s="21"/>
    </row>
    <row r="916" spans="1:4" ht="12.75">
      <c r="A916" s="21"/>
      <c r="B916" s="22"/>
      <c r="C916" s="21"/>
      <c r="D916" s="21"/>
    </row>
    <row r="917" spans="1:4" ht="12.75">
      <c r="A917" s="21"/>
      <c r="B917" s="22"/>
      <c r="C917" s="21"/>
      <c r="D917" s="21"/>
    </row>
    <row r="918" spans="1:4" ht="12.75">
      <c r="A918" s="21"/>
      <c r="B918" s="22"/>
      <c r="C918" s="21"/>
      <c r="D918" s="21"/>
    </row>
    <row r="919" spans="1:4" ht="12.75">
      <c r="A919" s="21"/>
      <c r="B919" s="22"/>
      <c r="C919" s="21"/>
      <c r="D919" s="21"/>
    </row>
    <row r="920" spans="1:4" ht="12.75">
      <c r="A920" s="21"/>
      <c r="B920" s="22"/>
      <c r="C920" s="21"/>
      <c r="D920" s="21"/>
    </row>
    <row r="921" spans="1:4" ht="12.75">
      <c r="A921" s="21"/>
      <c r="B921" s="22"/>
      <c r="C921" s="21"/>
      <c r="D921" s="21"/>
    </row>
    <row r="922" spans="1:4" ht="12.75">
      <c r="A922" s="21"/>
      <c r="B922" s="22"/>
      <c r="C922" s="21"/>
      <c r="D922" s="21"/>
    </row>
    <row r="923" spans="1:4" ht="12.75">
      <c r="A923" s="21"/>
      <c r="B923" s="22"/>
      <c r="C923" s="21"/>
      <c r="D923" s="21"/>
    </row>
    <row r="924" spans="1:4" ht="12.75">
      <c r="A924" s="21"/>
      <c r="B924" s="22"/>
      <c r="C924" s="21"/>
      <c r="D924" s="21"/>
    </row>
    <row r="925" spans="1:4" ht="12.75">
      <c r="A925" s="21"/>
      <c r="B925" s="22"/>
      <c r="C925" s="21"/>
      <c r="D925" s="21"/>
    </row>
    <row r="926" spans="1:4" ht="12.75">
      <c r="A926" s="21"/>
      <c r="B926" s="22"/>
      <c r="C926" s="21"/>
      <c r="D926" s="21"/>
    </row>
    <row r="927" spans="1:4" ht="12.75">
      <c r="A927" s="21"/>
      <c r="B927" s="22"/>
      <c r="C927" s="21"/>
      <c r="D927" s="21"/>
    </row>
    <row r="928" spans="1:4" ht="12.75">
      <c r="A928" s="21"/>
      <c r="B928" s="22"/>
      <c r="C928" s="21"/>
      <c r="D928" s="21"/>
    </row>
    <row r="929" spans="1:4" ht="12.75">
      <c r="A929" s="21"/>
      <c r="B929" s="22"/>
      <c r="C929" s="21"/>
      <c r="D929" s="21"/>
    </row>
    <row r="930" spans="1:4" ht="12.75">
      <c r="A930" s="21"/>
      <c r="B930" s="22"/>
      <c r="C930" s="21"/>
      <c r="D930" s="21"/>
    </row>
    <row r="931" spans="1:4" ht="12.75">
      <c r="A931" s="21"/>
      <c r="B931" s="22"/>
      <c r="C931" s="21"/>
      <c r="D931" s="21"/>
    </row>
    <row r="932" spans="1:4" ht="12.75">
      <c r="A932" s="21"/>
      <c r="B932" s="22"/>
      <c r="C932" s="21"/>
      <c r="D932" s="21"/>
    </row>
    <row r="933" spans="1:4" ht="12.75">
      <c r="A933" s="21"/>
      <c r="B933" s="22"/>
      <c r="C933" s="21"/>
      <c r="D933" s="21"/>
    </row>
    <row r="934" spans="1:4" ht="12.75">
      <c r="A934" s="21"/>
      <c r="B934" s="22"/>
      <c r="C934" s="21"/>
      <c r="D934" s="21"/>
    </row>
    <row r="935" spans="1:4" ht="12.75">
      <c r="A935" s="21"/>
      <c r="B935" s="22"/>
      <c r="C935" s="21"/>
      <c r="D935" s="21"/>
    </row>
    <row r="936" spans="1:4" ht="12.75">
      <c r="A936" s="21"/>
      <c r="B936" s="22"/>
      <c r="C936" s="21"/>
      <c r="D936" s="21"/>
    </row>
    <row r="937" spans="1:4" ht="12.75">
      <c r="A937" s="21"/>
      <c r="B937" s="22"/>
      <c r="C937" s="21"/>
      <c r="D937" s="21"/>
    </row>
    <row r="938" spans="1:4" ht="12.75">
      <c r="A938" s="21"/>
      <c r="B938" s="22"/>
      <c r="C938" s="21"/>
      <c r="D938" s="21"/>
    </row>
    <row r="939" spans="1:4" ht="12.75">
      <c r="A939" s="21"/>
      <c r="B939" s="22"/>
      <c r="C939" s="21"/>
      <c r="D939" s="21"/>
    </row>
    <row r="940" spans="1:4" ht="12.75">
      <c r="A940" s="21"/>
      <c r="B940" s="22"/>
      <c r="C940" s="21"/>
      <c r="D940" s="21"/>
    </row>
    <row r="941" spans="1:4" ht="12.75">
      <c r="A941" s="21"/>
      <c r="B941" s="22"/>
      <c r="C941" s="21"/>
      <c r="D941" s="21"/>
    </row>
    <row r="942" spans="1:4" ht="12.75">
      <c r="A942" s="21"/>
      <c r="B942" s="22"/>
      <c r="C942" s="21"/>
      <c r="D942" s="21"/>
    </row>
    <row r="943" spans="1:4" ht="12.75">
      <c r="A943" s="21"/>
      <c r="B943" s="22"/>
      <c r="C943" s="21"/>
      <c r="D943" s="21"/>
    </row>
    <row r="944" spans="1:4" ht="12.75">
      <c r="A944" s="21"/>
      <c r="B944" s="22"/>
      <c r="C944" s="21"/>
      <c r="D944" s="21"/>
    </row>
    <row r="945" spans="1:4" ht="12.75">
      <c r="A945" s="21"/>
      <c r="B945" s="22"/>
      <c r="C945" s="21"/>
      <c r="D945" s="21"/>
    </row>
    <row r="946" spans="1:4" ht="12.75">
      <c r="A946" s="21"/>
      <c r="B946" s="22"/>
      <c r="C946" s="21"/>
      <c r="D946" s="21"/>
    </row>
    <row r="947" spans="1:4" ht="12.75">
      <c r="A947" s="21"/>
      <c r="B947" s="22"/>
      <c r="C947" s="21"/>
      <c r="D947" s="21"/>
    </row>
    <row r="948" spans="1:4" ht="12.75">
      <c r="A948" s="21"/>
      <c r="B948" s="22"/>
      <c r="C948" s="21"/>
      <c r="D948" s="21"/>
    </row>
    <row r="949" spans="1:4" ht="12.75">
      <c r="A949" s="21"/>
      <c r="B949" s="22"/>
      <c r="C949" s="21"/>
      <c r="D949" s="21"/>
    </row>
    <row r="950" spans="1:4" ht="12.75">
      <c r="A950" s="21"/>
      <c r="B950" s="22"/>
      <c r="C950" s="21"/>
      <c r="D950" s="21"/>
    </row>
    <row r="951" spans="1:4" ht="12.75">
      <c r="A951" s="21"/>
      <c r="B951" s="22"/>
      <c r="C951" s="21"/>
      <c r="D951" s="21"/>
    </row>
    <row r="952" spans="1:4" ht="12.75">
      <c r="A952" s="21"/>
      <c r="B952" s="22"/>
      <c r="C952" s="21"/>
      <c r="D952" s="21"/>
    </row>
    <row r="953" spans="1:4" ht="12.75">
      <c r="A953" s="21"/>
      <c r="B953" s="22"/>
      <c r="C953" s="21"/>
      <c r="D953" s="21"/>
    </row>
    <row r="954" spans="1:4" ht="12.75">
      <c r="A954" s="21"/>
      <c r="B954" s="22"/>
      <c r="C954" s="21"/>
      <c r="D954" s="21"/>
    </row>
    <row r="955" spans="1:4" ht="12.75">
      <c r="A955" s="21"/>
      <c r="B955" s="22"/>
      <c r="C955" s="21"/>
      <c r="D955" s="21"/>
    </row>
    <row r="956" spans="1:4" ht="12.75">
      <c r="A956" s="21"/>
      <c r="B956" s="22"/>
      <c r="C956" s="21"/>
      <c r="D956" s="21"/>
    </row>
    <row r="957" spans="1:4" ht="12.75">
      <c r="A957" s="21"/>
      <c r="B957" s="22"/>
      <c r="C957" s="21"/>
      <c r="D957" s="21"/>
    </row>
    <row r="958" spans="1:4" ht="12.75">
      <c r="A958" s="21"/>
      <c r="B958" s="22"/>
      <c r="C958" s="21"/>
      <c r="D958" s="21"/>
    </row>
    <row r="959" spans="1:4" ht="12.75">
      <c r="A959" s="21"/>
      <c r="B959" s="22"/>
      <c r="C959" s="21"/>
      <c r="D959" s="21"/>
    </row>
    <row r="960" spans="1:4" ht="12.75">
      <c r="A960" s="21"/>
      <c r="B960" s="22"/>
      <c r="C960" s="21"/>
      <c r="D960" s="21"/>
    </row>
    <row r="961" spans="1:4" ht="12.75">
      <c r="A961" s="21"/>
      <c r="B961" s="22"/>
      <c r="C961" s="21"/>
      <c r="D961" s="21"/>
    </row>
    <row r="962" spans="1:4" ht="12.75">
      <c r="A962" s="21"/>
      <c r="B962" s="22"/>
      <c r="C962" s="21"/>
      <c r="D962" s="21"/>
    </row>
    <row r="963" spans="1:4" ht="12.75">
      <c r="A963" s="21"/>
      <c r="B963" s="22"/>
      <c r="C963" s="21"/>
      <c r="D963" s="21"/>
    </row>
    <row r="964" spans="1:4" ht="12.75">
      <c r="A964" s="21"/>
      <c r="B964" s="22"/>
      <c r="C964" s="21"/>
      <c r="D964" s="21"/>
    </row>
    <row r="965" spans="1:4" ht="12.75">
      <c r="A965" s="21"/>
      <c r="B965" s="22"/>
      <c r="C965" s="21"/>
      <c r="D965" s="21"/>
    </row>
    <row r="966" spans="1:4" ht="12.75">
      <c r="A966" s="21"/>
      <c r="B966" s="22"/>
      <c r="C966" s="21"/>
      <c r="D966" s="21"/>
    </row>
    <row r="967" spans="1:4" ht="12.75">
      <c r="A967" s="21"/>
      <c r="B967" s="22"/>
      <c r="C967" s="21"/>
      <c r="D967" s="21"/>
    </row>
    <row r="968" spans="1:4" ht="12.75">
      <c r="A968" s="21"/>
      <c r="B968" s="22"/>
      <c r="C968" s="21"/>
      <c r="D968" s="21"/>
    </row>
    <row r="969" spans="1:4" ht="12.75">
      <c r="A969" s="21"/>
      <c r="B969" s="22"/>
      <c r="C969" s="21"/>
      <c r="D969" s="21"/>
    </row>
    <row r="970" spans="1:4" ht="12.75">
      <c r="A970" s="21"/>
      <c r="B970" s="22"/>
      <c r="C970" s="21"/>
      <c r="D970" s="21"/>
    </row>
    <row r="971" spans="1:4" ht="12.75">
      <c r="A971" s="21"/>
      <c r="B971" s="22"/>
      <c r="C971" s="21"/>
      <c r="D971" s="21"/>
    </row>
    <row r="972" spans="1:4" ht="12.75">
      <c r="A972" s="21"/>
      <c r="B972" s="22"/>
      <c r="C972" s="21"/>
      <c r="D972" s="21"/>
    </row>
    <row r="973" spans="1:4" ht="12.75">
      <c r="A973" s="21"/>
      <c r="B973" s="22"/>
      <c r="C973" s="21"/>
      <c r="D973" s="21"/>
    </row>
    <row r="974" spans="1:4" ht="12.75">
      <c r="A974" s="21"/>
      <c r="B974" s="22"/>
      <c r="C974" s="21"/>
      <c r="D974" s="21"/>
    </row>
    <row r="975" spans="1:4" ht="12.75">
      <c r="A975" s="21"/>
      <c r="B975" s="22"/>
      <c r="C975" s="21"/>
      <c r="D975" s="21"/>
    </row>
    <row r="976" spans="1:4" ht="12.75">
      <c r="A976" s="21"/>
      <c r="B976" s="22"/>
      <c r="C976" s="21"/>
      <c r="D976" s="21"/>
    </row>
    <row r="977" spans="1:4" ht="12.75">
      <c r="A977" s="21"/>
      <c r="B977" s="22"/>
      <c r="C977" s="21"/>
      <c r="D977" s="21"/>
    </row>
    <row r="978" spans="1:4" ht="12.75">
      <c r="A978" s="21"/>
      <c r="B978" s="22"/>
      <c r="C978" s="21"/>
      <c r="D978" s="21"/>
    </row>
    <row r="979" spans="1:4" ht="12.75">
      <c r="A979" s="21"/>
      <c r="B979" s="22"/>
      <c r="C979" s="21"/>
      <c r="D979" s="21"/>
    </row>
    <row r="980" spans="1:4" ht="12.75">
      <c r="A980" s="21"/>
      <c r="B980" s="22"/>
      <c r="C980" s="21"/>
      <c r="D980" s="21"/>
    </row>
    <row r="981" spans="1:4" ht="12.75">
      <c r="A981" s="21"/>
      <c r="B981" s="22"/>
      <c r="C981" s="21"/>
      <c r="D981" s="21"/>
    </row>
    <row r="982" spans="1:4" ht="12.75">
      <c r="A982" s="21"/>
      <c r="B982" s="22"/>
      <c r="C982" s="21"/>
      <c r="D982" s="21"/>
    </row>
    <row r="983" spans="1:4" ht="12.75">
      <c r="A983" s="21"/>
      <c r="B983" s="22"/>
      <c r="C983" s="21"/>
      <c r="D983" s="21"/>
    </row>
    <row r="984" spans="1:4" ht="12.75">
      <c r="A984" s="21"/>
      <c r="B984" s="22"/>
      <c r="C984" s="21"/>
      <c r="D984" s="21"/>
    </row>
    <row r="985" spans="1:4" ht="12.75">
      <c r="A985" s="21"/>
      <c r="B985" s="22"/>
      <c r="C985" s="21"/>
      <c r="D985" s="21"/>
    </row>
    <row r="986" spans="1:4" ht="12.75">
      <c r="A986" s="21"/>
      <c r="B986" s="22"/>
      <c r="C986" s="21"/>
      <c r="D986" s="21"/>
    </row>
    <row r="987" spans="1:4" ht="12.75">
      <c r="A987" s="21"/>
      <c r="B987" s="22"/>
      <c r="C987" s="21"/>
      <c r="D987" s="21"/>
    </row>
    <row r="988" spans="1:4" ht="12.75">
      <c r="A988" s="21"/>
      <c r="B988" s="22"/>
      <c r="C988" s="21"/>
      <c r="D988" s="21"/>
    </row>
    <row r="989" spans="1:4" ht="12.75">
      <c r="A989" s="21"/>
      <c r="B989" s="22"/>
      <c r="C989" s="21"/>
      <c r="D989" s="21"/>
    </row>
    <row r="990" spans="1:4" ht="12.75">
      <c r="A990" s="21"/>
      <c r="B990" s="22"/>
      <c r="C990" s="21"/>
      <c r="D990" s="21"/>
    </row>
    <row r="991" spans="1:4" ht="12.75">
      <c r="A991" s="21"/>
      <c r="B991" s="22"/>
      <c r="C991" s="21"/>
      <c r="D991" s="21"/>
    </row>
    <row r="992" spans="1:4" ht="12.75">
      <c r="A992" s="21"/>
      <c r="B992" s="22"/>
      <c r="C992" s="21"/>
      <c r="D992" s="21"/>
    </row>
    <row r="993" spans="1:4" ht="12.75">
      <c r="A993" s="21"/>
      <c r="B993" s="22"/>
      <c r="C993" s="21"/>
      <c r="D993" s="21"/>
    </row>
    <row r="994" spans="1:4" ht="12.75">
      <c r="A994" s="21"/>
      <c r="B994" s="22"/>
      <c r="C994" s="21"/>
      <c r="D994" s="21"/>
    </row>
    <row r="995" spans="1:4" ht="12.75">
      <c r="A995" s="21"/>
      <c r="B995" s="22"/>
      <c r="C995" s="21"/>
      <c r="D995" s="21"/>
    </row>
    <row r="996" spans="1:4" ht="12.75">
      <c r="A996" s="21"/>
      <c r="B996" s="22"/>
      <c r="C996" s="21"/>
      <c r="D996" s="21"/>
    </row>
    <row r="997" spans="1:4" ht="12.75">
      <c r="A997" s="21"/>
      <c r="B997" s="22"/>
      <c r="C997" s="21"/>
      <c r="D997" s="21"/>
    </row>
    <row r="998" spans="1:4" ht="12.75">
      <c r="A998" s="21"/>
      <c r="B998" s="22"/>
      <c r="C998" s="21"/>
      <c r="D998" s="21"/>
    </row>
    <row r="999" spans="1:4" ht="12.75">
      <c r="A999" s="21"/>
      <c r="B999" s="22"/>
      <c r="C999" s="21"/>
      <c r="D999" s="21"/>
    </row>
    <row r="1000" spans="1:4" ht="12.75">
      <c r="A1000" s="21"/>
      <c r="B1000" s="22"/>
      <c r="C1000" s="21"/>
      <c r="D1000" s="2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  <outlinePr summaryBelow="0" summaryRight="0"/>
  </sheetPr>
  <dimension ref="A1:Z7"/>
  <sheetViews>
    <sheetView workbookViewId="0">
      <selection activeCell="C7" sqref="C7"/>
    </sheetView>
  </sheetViews>
  <sheetFormatPr baseColWidth="10" defaultColWidth="12.5703125" defaultRowHeight="15.75" customHeight="1"/>
  <sheetData>
    <row r="1" spans="1:26" ht="15.75" customHeight="1">
      <c r="A1" s="25" t="s">
        <v>350</v>
      </c>
      <c r="B1" s="25" t="s">
        <v>351</v>
      </c>
      <c r="C1" s="26" t="s">
        <v>352</v>
      </c>
      <c r="D1" s="26" t="s">
        <v>353</v>
      </c>
      <c r="E1" s="27" t="s">
        <v>354</v>
      </c>
      <c r="F1" s="27" t="s">
        <v>355</v>
      </c>
      <c r="G1" s="28" t="s">
        <v>356</v>
      </c>
      <c r="H1" s="28" t="s">
        <v>357</v>
      </c>
      <c r="I1" s="29" t="s">
        <v>358</v>
      </c>
      <c r="J1" s="29" t="s">
        <v>359</v>
      </c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</row>
    <row r="2" spans="1:26" ht="15.75" customHeight="1">
      <c r="A2" s="12">
        <v>13</v>
      </c>
      <c r="B2" s="9" t="s">
        <v>360</v>
      </c>
      <c r="C2" s="31">
        <v>0</v>
      </c>
      <c r="D2" s="32">
        <v>0.9</v>
      </c>
      <c r="E2" s="32">
        <v>1</v>
      </c>
      <c r="F2" s="32">
        <v>1.9</v>
      </c>
      <c r="G2" s="32">
        <v>2</v>
      </c>
      <c r="H2" s="33">
        <v>2.1</v>
      </c>
      <c r="I2" s="33">
        <v>2.2000000000000002</v>
      </c>
      <c r="J2" s="33">
        <v>3</v>
      </c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</row>
    <row r="4" spans="1:26" ht="15.75" customHeight="1">
      <c r="C4" s="11"/>
    </row>
    <row r="5" spans="1:26" ht="15.75" customHeight="1">
      <c r="C5" s="11"/>
      <c r="D5" s="20"/>
    </row>
    <row r="6" spans="1:26" ht="15.75" customHeight="1">
      <c r="C6" s="11"/>
      <c r="D6" s="20"/>
    </row>
    <row r="7" spans="1:26">
      <c r="D7" s="2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"/>
  <sheetViews>
    <sheetView workbookViewId="0"/>
  </sheetViews>
  <sheetFormatPr baseColWidth="10" defaultColWidth="12.5703125" defaultRowHeight="15.75" customHeight="1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Datos intermedios 2012</vt:lpstr>
      <vt:lpstr>Datos intermedios 2024</vt:lpstr>
      <vt:lpstr>Datos Procesados</vt:lpstr>
      <vt:lpstr>Indicador_MUN</vt:lpstr>
      <vt:lpstr>Absoluto_MUN</vt:lpstr>
      <vt:lpstr>Indicador_DEP</vt:lpstr>
      <vt:lpstr>Absoluto_DEP</vt:lpstr>
      <vt:lpstr>Umbral</vt:lpstr>
      <vt:lpstr>Mapa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Miranda</dc:creator>
  <cp:lastModifiedBy>Sebastian Miranda</cp:lastModifiedBy>
  <dcterms:created xsi:type="dcterms:W3CDTF">2026-05-28T09:56:28Z</dcterms:created>
  <dcterms:modified xsi:type="dcterms:W3CDTF">2026-05-28T10:52:36Z</dcterms:modified>
</cp:coreProperties>
</file>