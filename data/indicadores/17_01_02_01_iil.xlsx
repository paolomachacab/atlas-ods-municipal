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-procesados" sheetId="1" r:id="rId4"/>
    <sheet state="visible" name="Datos orden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Gráficos" sheetId="8" r:id="rId11"/>
    <sheet state="visible" name="Mapa" sheetId="9" r:id="rId12"/>
  </sheets>
  <definedNames/>
  <calcPr/>
  <extLst>
    <ext uri="GoogleSheetsCustomDataVersion2">
      <go:sheetsCustomData xmlns:go="http://customooxmlschemas.google.com/" r:id="rId13" roundtripDataChecksum="u8RXRS7IKFFAS9Oh+cyqd24qnKDfb6c6V5xoZWlD73g="/>
    </ext>
  </extLst>
</workbook>
</file>

<file path=xl/sharedStrings.xml><?xml version="1.0" encoding="utf-8"?>
<sst xmlns="http://schemas.openxmlformats.org/spreadsheetml/2006/main" count="2144" uniqueCount="512">
  <si>
    <t>COD_INE</t>
  </si>
  <si>
    <t>Municipio</t>
  </si>
  <si>
    <t>Departamento</t>
  </si>
  <si>
    <t>Provincia</t>
  </si>
  <si>
    <t>income_tot_2011</t>
  </si>
  <si>
    <t>income_tot_2012</t>
  </si>
  <si>
    <t>income_tot_2013</t>
  </si>
  <si>
    <t>avg_inc_tot_11-13</t>
  </si>
  <si>
    <t>income_own_2011</t>
  </si>
  <si>
    <t>income_own_2012</t>
  </si>
  <si>
    <t>income_own_2013</t>
  </si>
  <si>
    <t>avg_inc_own_11-13</t>
  </si>
  <si>
    <t>income_tot_2021</t>
  </si>
  <si>
    <t>income_tot_2022</t>
  </si>
  <si>
    <t>income_tot_2023</t>
  </si>
  <si>
    <t>avg_inc_tot_21-23</t>
  </si>
  <si>
    <t>income_own_2021</t>
  </si>
  <si>
    <t>income_own_2022</t>
  </si>
  <si>
    <t>income_own_2023</t>
  </si>
  <si>
    <t>avg_inc_own_21-23</t>
  </si>
  <si>
    <t>Indicador 2012</t>
  </si>
  <si>
    <t>Indicador 2024</t>
  </si>
  <si>
    <t>SUCRE</t>
  </si>
  <si>
    <t>Chuquisaca</t>
  </si>
  <si>
    <t>Oropeza</t>
  </si>
  <si>
    <t>YOTALA</t>
  </si>
  <si>
    <t>POROMA</t>
  </si>
  <si>
    <t>AZURDUY</t>
  </si>
  <si>
    <t>Azurduy</t>
  </si>
  <si>
    <t>TARVITA</t>
  </si>
  <si>
    <t>ZUDAÑEZ</t>
  </si>
  <si>
    <t>Zudañez</t>
  </si>
  <si>
    <t>PRESTO</t>
  </si>
  <si>
    <t>MOJOCOYA</t>
  </si>
  <si>
    <t>ICLA</t>
  </si>
  <si>
    <t>PADILLA</t>
  </si>
  <si>
    <t>Tomina</t>
  </si>
  <si>
    <t>TOMINA</t>
  </si>
  <si>
    <t>SOPACHUY</t>
  </si>
  <si>
    <t>VILLA ALCALA</t>
  </si>
  <si>
    <t>EL VILLAR</t>
  </si>
  <si>
    <t>MONTEAGUDO</t>
  </si>
  <si>
    <t>Hernando Siles</t>
  </si>
  <si>
    <t>HUACARETA</t>
  </si>
  <si>
    <t>TARABUCO</t>
  </si>
  <si>
    <t>Yamparaez</t>
  </si>
  <si>
    <t>YAMPARAEZ</t>
  </si>
  <si>
    <t>CAMARGO</t>
  </si>
  <si>
    <t>Nor Cinti</t>
  </si>
  <si>
    <t>SAN LUCAS</t>
  </si>
  <si>
    <t>INCAHUASI</t>
  </si>
  <si>
    <t>VILLA CHARCAS</t>
  </si>
  <si>
    <t>VILLA SERRANO</t>
  </si>
  <si>
    <t>Belisario Boeto</t>
  </si>
  <si>
    <t>CAMATAQUI</t>
  </si>
  <si>
    <t>Sud Cinti</t>
  </si>
  <si>
    <t>CULPINA</t>
  </si>
  <si>
    <t>LAS CARRERAS</t>
  </si>
  <si>
    <t>VILLA VACA GUZMÁN</t>
  </si>
  <si>
    <t>Luis Calvo</t>
  </si>
  <si>
    <t>HUACAYA</t>
  </si>
  <si>
    <t>MACHARETI</t>
  </si>
  <si>
    <t>LA PAZ</t>
  </si>
  <si>
    <t>La Paz</t>
  </si>
  <si>
    <t>Murillo</t>
  </si>
  <si>
    <t>PALCA</t>
  </si>
  <si>
    <t>MECAPACA</t>
  </si>
  <si>
    <t>ACHOCALLA</t>
  </si>
  <si>
    <t>EL ALTO</t>
  </si>
  <si>
    <t>ACHACACHI</t>
  </si>
  <si>
    <t>Omasuyos</t>
  </si>
  <si>
    <t>ANCORAIMES</t>
  </si>
  <si>
    <t>CHUA COCANI</t>
  </si>
  <si>
    <t>HUARINA</t>
  </si>
  <si>
    <t>SANTIAGO DE HUATA</t>
  </si>
  <si>
    <t>HUATAJATA</t>
  </si>
  <si>
    <t>COROCORO</t>
  </si>
  <si>
    <t>Pacajes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</si>
  <si>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</si>
  <si>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</si>
  <si>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</si>
  <si>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</si>
  <si>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</si>
  <si>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</si>
  <si>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</si>
  <si>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</si>
  <si>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Camacho</t>
  </si>
  <si>
    <t>MOCOMOCO</t>
  </si>
  <si>
    <t>CARABUCO</t>
  </si>
  <si>
    <t>HUMANATA</t>
  </si>
  <si>
    <t>ESCOMA</t>
  </si>
  <si>
    <t>CHUMA</t>
  </si>
  <si>
    <t>Muñecas</t>
  </si>
  <si>
    <t>AYATA</t>
  </si>
  <si>
    <t>AUCAPATA</t>
  </si>
  <si>
    <t>SORATA</t>
  </si>
  <si>
    <t>Larecajas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</si>
  <si>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</si>
  <si>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</si>
  <si>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</si>
  <si>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</si>
  <si>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</si>
  <si>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</si>
  <si>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</si>
  <si>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</si>
  <si>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Franz Tamayo</t>
  </si>
  <si>
    <t>PELECHUCO</t>
  </si>
  <si>
    <t>VIACHA</t>
  </si>
  <si>
    <t>Ingavi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</si>
  <si>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</si>
  <si>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</si>
  <si>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</si>
  <si>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</si>
  <si>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</si>
  <si>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</si>
  <si>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</si>
  <si>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Loayza</t>
  </si>
  <si>
    <t>SAPAHAQUI</t>
  </si>
  <si>
    <t>YACO</t>
  </si>
  <si>
    <t>MALLA</t>
  </si>
  <si>
    <t>CAIROMA</t>
  </si>
  <si>
    <t>INQUISIVI</t>
  </si>
  <si>
    <t>Inquisivi</t>
  </si>
  <si>
    <t>QUIME</t>
  </si>
  <si>
    <t>CAJUATA</t>
  </si>
  <si>
    <t>COLQUIRI</t>
  </si>
  <si>
    <t>ICHOCA</t>
  </si>
  <si>
    <t>LICOMA PAMPA</t>
  </si>
  <si>
    <t>CHULUMANI</t>
  </si>
  <si>
    <t>Sur Yungas</t>
  </si>
  <si>
    <t>IRUPANA</t>
  </si>
  <si>
    <t>YANACACHI</t>
  </si>
  <si>
    <t>PALOS BLANCOS</t>
  </si>
  <si>
    <t>LA ASUNTA</t>
  </si>
  <si>
    <t>PUCARANI</t>
  </si>
  <si>
    <t>Los Andes</t>
  </si>
  <si>
    <t>LAJA</t>
  </si>
  <si>
    <t>BATALLAS</t>
  </si>
  <si>
    <t>PUERTO PEREZ</t>
  </si>
  <si>
    <t>SICA SICA</t>
  </si>
  <si>
    <t>Aroma</t>
  </si>
  <si>
    <t>UMALA</t>
  </si>
  <si>
    <t>AYO AYO</t>
  </si>
  <si>
    <t>CALAMARCA</t>
  </si>
  <si>
    <t>PATACAMAYA</t>
  </si>
  <si>
    <t>COLQUENCHA</t>
  </si>
  <si>
    <t>COLLANA</t>
  </si>
  <si>
    <t>COROICO</t>
  </si>
  <si>
    <t>Nor Yungas</t>
  </si>
  <si>
    <t>CORIPATA</t>
  </si>
  <si>
    <t>IXIAMAS</t>
  </si>
  <si>
    <t>Abel Iturralde</t>
  </si>
  <si>
    <t>SAN BUENAVENTURA</t>
  </si>
  <si>
    <t>CHARAZANI</t>
  </si>
  <si>
    <t>Bautista Saavedra</t>
  </si>
  <si>
    <t>CURVA</t>
  </si>
  <si>
    <t>COPACABANA</t>
  </si>
  <si>
    <t>Manco Kapac</t>
  </si>
  <si>
    <t>TIQUINA</t>
  </si>
  <si>
    <t>TITO YUPANQUI</t>
  </si>
  <si>
    <t>SAN PEDRO DE CURAHUARA</t>
  </si>
  <si>
    <t>Gualberto Villaroel</t>
  </si>
  <si>
    <t>PAPEL PAMPA</t>
  </si>
  <si>
    <t>CHACARILLA</t>
  </si>
  <si>
    <t>SANTIAGO DE MACHACA</t>
  </si>
  <si>
    <t>Gral. J. Manuel Pando</t>
  </si>
  <si>
    <t>CATACORA</t>
  </si>
  <si>
    <t>CARANAVI</t>
  </si>
  <si>
    <t>Caranavi</t>
  </si>
  <si>
    <t>ALTO BENI</t>
  </si>
  <si>
    <t>COCHABAMBA</t>
  </si>
  <si>
    <t>Cochabamba</t>
  </si>
  <si>
    <t>Cercado</t>
  </si>
  <si>
    <t>AIQUILE</t>
  </si>
  <si>
    <t>Campero</t>
  </si>
  <si>
    <t>PASORAPA</t>
  </si>
  <si>
    <t>OMEREQUE</t>
  </si>
  <si>
    <t>AYOPAYA (VILLA DE INDEPENDENCIA)</t>
  </si>
  <si>
    <t>Ayopaya</t>
  </si>
  <si>
    <t>MOROCHATA</t>
  </si>
  <si>
    <t>COCAPATA</t>
  </si>
  <si>
    <t>TARATA</t>
  </si>
  <si>
    <t>Esteban Arce</t>
  </si>
  <si>
    <t>ANZALDO</t>
  </si>
  <si>
    <t>ARBIETO</t>
  </si>
  <si>
    <t>SACABAMBA</t>
  </si>
  <si>
    <t>ARANI</t>
  </si>
  <si>
    <t>Arani</t>
  </si>
  <si>
    <t>VACAS</t>
  </si>
  <si>
    <t>ARQUE</t>
  </si>
  <si>
    <t>Arque</t>
  </si>
  <si>
    <t>TACOPAYA</t>
  </si>
  <si>
    <t>CAPINOTA</t>
  </si>
  <si>
    <t>Capinota</t>
  </si>
  <si>
    <t>SANTIVAÑEZ</t>
  </si>
  <si>
    <t>SICAYA</t>
  </si>
  <si>
    <t>CLIZA</t>
  </si>
  <si>
    <t>Germán Jordán</t>
  </si>
  <si>
    <t>TOCO</t>
  </si>
  <si>
    <t>German Jordan</t>
  </si>
  <si>
    <t>TOLATA</t>
  </si>
  <si>
    <t>QUILLACOLLO</t>
  </si>
  <si>
    <t>Quillacollo</t>
  </si>
  <si>
    <t>SIPE SIPE</t>
  </si>
  <si>
    <t>TIQUIPAYA</t>
  </si>
  <si>
    <t>VINTO</t>
  </si>
  <si>
    <t>COLCAPIRHUA</t>
  </si>
  <si>
    <t>SACABA</t>
  </si>
  <si>
    <t>Chapare</t>
  </si>
  <si>
    <t>COLOMI</t>
  </si>
  <si>
    <t>VILLA TUNARI</t>
  </si>
  <si>
    <t>TAPACARI</t>
  </si>
  <si>
    <t>Tapacari</t>
  </si>
  <si>
    <t>TOTORA - CBBA</t>
  </si>
  <si>
    <t>Carrasco</t>
  </si>
  <si>
    <t>POJO</t>
  </si>
  <si>
    <t>POCONA</t>
  </si>
  <si>
    <t>CHIMORÉ</t>
  </si>
  <si>
    <t>PUERTO VILLARROEL</t>
  </si>
  <si>
    <t>ENTRE RIOS</t>
  </si>
  <si>
    <t>MIZQUE</t>
  </si>
  <si>
    <t>Mizque</t>
  </si>
  <si>
    <t>VILA VILA</t>
  </si>
  <si>
    <t>ALALAY</t>
  </si>
  <si>
    <t>TIOC RAQAYPAMPA</t>
  </si>
  <si>
    <t>PUNATA</t>
  </si>
  <si>
    <t>Punata</t>
  </si>
  <si>
    <t>VILLA RIVERO</t>
  </si>
  <si>
    <t>SAN BENITO</t>
  </si>
  <si>
    <t>TACACHI</t>
  </si>
  <si>
    <t>CUCHUMUELA</t>
  </si>
  <si>
    <t>BOLIVAR</t>
  </si>
  <si>
    <t>Bolivar</t>
  </si>
  <si>
    <t>TIRAQUE</t>
  </si>
  <si>
    <t>Tiraque</t>
  </si>
  <si>
    <t>SHINAHOTA</t>
  </si>
  <si>
    <t>ORURO</t>
  </si>
  <si>
    <t>Oruro</t>
  </si>
  <si>
    <t>CARACOLLO</t>
  </si>
  <si>
    <t>EL CHORO</t>
  </si>
  <si>
    <t>SORACACHI</t>
  </si>
  <si>
    <t>CHALLAPATA</t>
  </si>
  <si>
    <t>Avaroa</t>
  </si>
  <si>
    <t>SANTUARIO DE QUILLACAS</t>
  </si>
  <si>
    <t>CORQUE</t>
  </si>
  <si>
    <t>Carangas</t>
  </si>
  <si>
    <t>CHOQUECOTA</t>
  </si>
  <si>
    <t>CURAHUARA DE CARANGAS</t>
  </si>
  <si>
    <t>Sajama</t>
  </si>
  <si>
    <t>TURCO</t>
  </si>
  <si>
    <t>HUACHACALLA</t>
  </si>
  <si>
    <t>Litoral</t>
  </si>
  <si>
    <t>ESCARA</t>
  </si>
  <si>
    <t>CRUZ DE MACHACAMARCA</t>
  </si>
  <si>
    <t>YUNGUYO DE LITORAL</t>
  </si>
  <si>
    <t>ESMERALDA</t>
  </si>
  <si>
    <t>POOPÓ</t>
  </si>
  <si>
    <t>Poopo</t>
  </si>
  <si>
    <t>PAZÑA</t>
  </si>
  <si>
    <t>ANTEQUERA</t>
  </si>
  <si>
    <t>HUANUNI</t>
  </si>
  <si>
    <t>Pantaleon Dalence</t>
  </si>
  <si>
    <t>MACHACAMARCA</t>
  </si>
  <si>
    <t>SALINAS DE G. MENDOZA</t>
  </si>
  <si>
    <t>Ladislao Cabrera</t>
  </si>
  <si>
    <t>PAMPA AULLAGAS</t>
  </si>
  <si>
    <t>SABAYA</t>
  </si>
  <si>
    <t>Sabaya</t>
  </si>
  <si>
    <t>COIPASA</t>
  </si>
  <si>
    <t>CHIPAYA</t>
  </si>
  <si>
    <t>TOLEDO</t>
  </si>
  <si>
    <t>Saucari</t>
  </si>
  <si>
    <t>EUCALIPTUS</t>
  </si>
  <si>
    <t>Tomas Barron</t>
  </si>
  <si>
    <t>ANDAMARCA</t>
  </si>
  <si>
    <t>Sud Carangas</t>
  </si>
  <si>
    <t>BELÉN DE ANDAMARCA</t>
  </si>
  <si>
    <t>TOTORA - OR</t>
  </si>
  <si>
    <t>San Pedro De Totora</t>
  </si>
  <si>
    <t>SANTIAGO DE HUARI</t>
  </si>
  <si>
    <t>Sebastian Pagador</t>
  </si>
  <si>
    <t>LA RIVERA</t>
  </si>
  <si>
    <t>Mejillones</t>
  </si>
  <si>
    <t>TODOS SANTOS</t>
  </si>
  <si>
    <t>CARANGAS</t>
  </si>
  <si>
    <t>HUAYLLAMARCA</t>
  </si>
  <si>
    <t>Nor Carangas</t>
  </si>
  <si>
    <t>POTOSÍ</t>
  </si>
  <si>
    <t>Potosí</t>
  </si>
  <si>
    <t>Tomás Frías</t>
  </si>
  <si>
    <t>TINGUIPAYA</t>
  </si>
  <si>
    <t>YOCALLA</t>
  </si>
  <si>
    <t>URMIRI</t>
  </si>
  <si>
    <t>UNCÍA</t>
  </si>
  <si>
    <t>Rafael Bustillo</t>
  </si>
  <si>
    <t>CHAYANTA</t>
  </si>
  <si>
    <t>LLALLAGUA</t>
  </si>
  <si>
    <t>CHUQUIUTA "AYLLU JUCUMANI"</t>
  </si>
  <si>
    <t>BETANZOS</t>
  </si>
  <si>
    <t>Cornelio Saavedra</t>
  </si>
  <si>
    <t>CHAQUI</t>
  </si>
  <si>
    <t>TACOBAMBA</t>
  </si>
  <si>
    <t>COLQUECHACA</t>
  </si>
  <si>
    <t>Chayanta</t>
  </si>
  <si>
    <t>RAVELO</t>
  </si>
  <si>
    <t>POCOATA</t>
  </si>
  <si>
    <t>OCURÍ</t>
  </si>
  <si>
    <t>SAN PEDRO DE MACHA</t>
  </si>
  <si>
    <t>SAN PEDRO DE BUENA VISTA</t>
  </si>
  <si>
    <t>Charcas</t>
  </si>
  <si>
    <t>TORO TORO</t>
  </si>
  <si>
    <t>COTAGAITA</t>
  </si>
  <si>
    <t>Nor Chichas</t>
  </si>
  <si>
    <t>VITICHI</t>
  </si>
  <si>
    <t>SACACA</t>
  </si>
  <si>
    <t>Alonzo de Ibañez</t>
  </si>
  <si>
    <t>CARIPUYO</t>
  </si>
  <si>
    <t>TUPIZA</t>
  </si>
  <si>
    <t>Sur Chichas</t>
  </si>
  <si>
    <t>ATOCHA</t>
  </si>
  <si>
    <t>COLCHA"K"</t>
  </si>
  <si>
    <t>Nor Lipez</t>
  </si>
  <si>
    <t>SAN PEDRO DE QUEMES</t>
  </si>
  <si>
    <t>SAN PABLO DE LÍPEZ</t>
  </si>
  <si>
    <t>Sur Lipez</t>
  </si>
  <si>
    <t>MOJINETE</t>
  </si>
  <si>
    <t>SAN ANTONIO DE ESMORUCO</t>
  </si>
  <si>
    <t>PUNA</t>
  </si>
  <si>
    <t>Jose María Linares</t>
  </si>
  <si>
    <t>CAIZA "D"</t>
  </si>
  <si>
    <t>CKOCHAS</t>
  </si>
  <si>
    <t>UYUNI</t>
  </si>
  <si>
    <t>Antonio Quijarro</t>
  </si>
  <si>
    <t>TOMAVE</t>
  </si>
  <si>
    <t>PORCO</t>
  </si>
  <si>
    <t>ARAMPAMPA</t>
  </si>
  <si>
    <t>Gral. B. Bilbao</t>
  </si>
  <si>
    <t>ACASIO</t>
  </si>
  <si>
    <t>LLICA</t>
  </si>
  <si>
    <t>Daniel Campos</t>
  </si>
  <si>
    <t>TAHUA</t>
  </si>
  <si>
    <t>VILLAZÓN</t>
  </si>
  <si>
    <t>Modesto Omiste</t>
  </si>
  <si>
    <t>SAN AGUSTÍN</t>
  </si>
  <si>
    <t>Enrique Baldiviezo</t>
  </si>
  <si>
    <t>TARIJA</t>
  </si>
  <si>
    <t>Tarija</t>
  </si>
  <si>
    <t>PADCAYA</t>
  </si>
  <si>
    <t>Arce</t>
  </si>
  <si>
    <t>BERMEJO</t>
  </si>
  <si>
    <t>YACUIBA</t>
  </si>
  <si>
    <t>Gran Chaco</t>
  </si>
  <si>
    <t>CARAPARÍ</t>
  </si>
  <si>
    <t>VILLAMONTES</t>
  </si>
  <si>
    <t>URIONDO</t>
  </si>
  <si>
    <t>Avílez</t>
  </si>
  <si>
    <t>YUNCHARA</t>
  </si>
  <si>
    <t>SAN LORENZO - TAR</t>
  </si>
  <si>
    <t>Mendez</t>
  </si>
  <si>
    <t>EL PUENTE - TAR</t>
  </si>
  <si>
    <t>ENTRE RÍOS</t>
  </si>
  <si>
    <t>Burnet O´Connor</t>
  </si>
  <si>
    <t>SANTA CRUZ DE LA SIERRA</t>
  </si>
  <si>
    <t>Santa Cruz</t>
  </si>
  <si>
    <t>Andres Ibañez</t>
  </si>
  <si>
    <t>COTOCA</t>
  </si>
  <si>
    <t>Andrés Ibañez</t>
  </si>
  <si>
    <t>PORONGO</t>
  </si>
  <si>
    <t>LA GUARDIA</t>
  </si>
  <si>
    <t>EL TORNO</t>
  </si>
  <si>
    <t>WARNES</t>
  </si>
  <si>
    <t>Warnes</t>
  </si>
  <si>
    <t>OKINAWA UNO</t>
  </si>
  <si>
    <t>SAN IGNACIO - SC</t>
  </si>
  <si>
    <t>Velasco</t>
  </si>
  <si>
    <t>SAN MIGUEL</t>
  </si>
  <si>
    <t>SAN RAFAEL</t>
  </si>
  <si>
    <t>BUENA VISTA</t>
  </si>
  <si>
    <t>Ichilo</t>
  </si>
  <si>
    <t>SAN CARLOS</t>
  </si>
  <si>
    <t>YAPACANÍ</t>
  </si>
  <si>
    <t>SAN JUAN</t>
  </si>
  <si>
    <t>SAN JOSÉ</t>
  </si>
  <si>
    <t>Chiquitos</t>
  </si>
  <si>
    <t>PAILÓN</t>
  </si>
  <si>
    <t>ROBORÉ</t>
  </si>
  <si>
    <t>PORTACHUELO</t>
  </si>
  <si>
    <t>Sara</t>
  </si>
  <si>
    <t>SANTA ROSA DEL SARA</t>
  </si>
  <si>
    <t>COLPA BÉLGICA</t>
  </si>
  <si>
    <t>LAGUNILLAS</t>
  </si>
  <si>
    <t>Cordillera</t>
  </si>
  <si>
    <t>CHARAGUA</t>
  </si>
  <si>
    <t>CABEZAS</t>
  </si>
  <si>
    <t>CUEVO</t>
  </si>
  <si>
    <t>GUTIÉRREZ</t>
  </si>
  <si>
    <t>CAMIRI</t>
  </si>
  <si>
    <t>BOYUIBE</t>
  </si>
  <si>
    <t>VALLEGRANDE</t>
  </si>
  <si>
    <t>Vallegrande</t>
  </si>
  <si>
    <t>TRIGAL</t>
  </si>
  <si>
    <t>MORO MORO</t>
  </si>
  <si>
    <t>POSTRER VALLE</t>
  </si>
  <si>
    <t>PUCARA</t>
  </si>
  <si>
    <t>SAMAIPATA</t>
  </si>
  <si>
    <t>Florida</t>
  </si>
  <si>
    <t>PAMPA GRANDE</t>
  </si>
  <si>
    <t>MAIRANA</t>
  </si>
  <si>
    <t>QUIRUSILLAS</t>
  </si>
  <si>
    <t>MONTERO</t>
  </si>
  <si>
    <t>Obispo Santistevan</t>
  </si>
  <si>
    <t>GENERAL AGUSTÍN SAAVEDRA</t>
  </si>
  <si>
    <t>MINEROS</t>
  </si>
  <si>
    <t>FERNÁNDEZ ALONSO</t>
  </si>
  <si>
    <t>SAN PEDRO - SC</t>
  </si>
  <si>
    <t>CONCEPCIÓN</t>
  </si>
  <si>
    <t>Ñuflo de Chavez</t>
  </si>
  <si>
    <t>SAN JAVIER - SC</t>
  </si>
  <si>
    <t>SAN RAMÓN - SC</t>
  </si>
  <si>
    <t>SAN JULIÁN</t>
  </si>
  <si>
    <t>SAN ANTONIO DE LOMERÍO</t>
  </si>
  <si>
    <t>CUATRO CAÑADAS</t>
  </si>
  <si>
    <t>SAN MATÍAS</t>
  </si>
  <si>
    <t>Angel Sandoval</t>
  </si>
  <si>
    <t>COMARAPA</t>
  </si>
  <si>
    <t>Manuel Maria Caballero</t>
  </si>
  <si>
    <t>SAIPINA</t>
  </si>
  <si>
    <t>PUERTO SUÁREZ</t>
  </si>
  <si>
    <t>Germán Busch</t>
  </si>
  <si>
    <t>PUERTO QUIJARRO</t>
  </si>
  <si>
    <t>EL CARMEN RIVERO TÓRREZ</t>
  </si>
  <si>
    <t>ASCENCIÓN DE GUARAYOS</t>
  </si>
  <si>
    <t>Guarayos</t>
  </si>
  <si>
    <t>URUBICHA</t>
  </si>
  <si>
    <t>EL PUENTE - SC</t>
  </si>
  <si>
    <t>TRINIDAD</t>
  </si>
  <si>
    <t>Beni</t>
  </si>
  <si>
    <t>SAN JAVIER - BEN</t>
  </si>
  <si>
    <t>RIBERALTA</t>
  </si>
  <si>
    <t>Vaca Diez</t>
  </si>
  <si>
    <t>GUAYARAMERIN</t>
  </si>
  <si>
    <t>REYES</t>
  </si>
  <si>
    <t>Gral. Ballivián</t>
  </si>
  <si>
    <t>SAN BORJA</t>
  </si>
  <si>
    <t>Gral. Ballivian</t>
  </si>
  <si>
    <t>SANTA ROSA</t>
  </si>
  <si>
    <t>RURRENABAQUE</t>
  </si>
  <si>
    <t>SANTA ANA</t>
  </si>
  <si>
    <t>Yacuma</t>
  </si>
  <si>
    <t>EXALTACIÓN</t>
  </si>
  <si>
    <t>SAN IGNACIO - BEN</t>
  </si>
  <si>
    <t>Moxos</t>
  </si>
  <si>
    <t>LORETO</t>
  </si>
  <si>
    <t>Marban</t>
  </si>
  <si>
    <t>SAN ANDRÉS</t>
  </si>
  <si>
    <t>SAN JOAQUÍN</t>
  </si>
  <si>
    <t>Mamoré</t>
  </si>
  <si>
    <t>SAN RAMÓN - BEN</t>
  </si>
  <si>
    <t>PUERTO SILES</t>
  </si>
  <si>
    <t>MAGDALENA</t>
  </si>
  <si>
    <t>Itenez</t>
  </si>
  <si>
    <t>BAURES</t>
  </si>
  <si>
    <t>HUACARAJE</t>
  </si>
  <si>
    <t>TIOC MULTIÉTNICO</t>
  </si>
  <si>
    <t>TIOC Multiétnico</t>
  </si>
  <si>
    <t>COBIJA</t>
  </si>
  <si>
    <t>Pando</t>
  </si>
  <si>
    <t>Nicolas Suarez</t>
  </si>
  <si>
    <t>PORVENIR</t>
  </si>
  <si>
    <t>BOLPEBRA</t>
  </si>
  <si>
    <t>BELLA FLOR</t>
  </si>
  <si>
    <t>PUERTO RICO</t>
  </si>
  <si>
    <t>Manuripi</t>
  </si>
  <si>
    <t>SAN PEDRO - PAN</t>
  </si>
  <si>
    <t>FILADELFIA</t>
  </si>
  <si>
    <t>PUERTO GONZALO MORENO</t>
  </si>
  <si>
    <t>Madre de Dios</t>
  </si>
  <si>
    <t>SAN LORENZO  - PAN</t>
  </si>
  <si>
    <t>SENA</t>
  </si>
  <si>
    <t>SANTA ROSA DEL ABUNA</t>
  </si>
  <si>
    <t>Abuná</t>
  </si>
  <si>
    <t>INGAVI</t>
  </si>
  <si>
    <t>NUEVA ESPERANZA</t>
  </si>
  <si>
    <t>Gral. Federico Roman</t>
  </si>
  <si>
    <t>VILLA NUEVA</t>
  </si>
  <si>
    <t>SANTOS MERCADO</t>
  </si>
  <si>
    <t>Ingresos totales (11-13)</t>
  </si>
  <si>
    <t>Ingresos propios (11-13)</t>
  </si>
  <si>
    <t>Ingresos totales (21-23)</t>
  </si>
  <si>
    <t>Ingresos propios (21-23)</t>
  </si>
  <si>
    <t>TIOC JATUN AYLLU YURA</t>
  </si>
  <si>
    <t>id</t>
  </si>
  <si>
    <t>id_departamento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</si>
  <si>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</si>
  <si>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</si>
  <si>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</si>
  <si>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</si>
  <si>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</si>
  <si>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</si>
  <si>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</si>
  <si>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</si>
  <si>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</si>
  <si>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</si>
  <si>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</si>
  <si>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</si>
  <si>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Porcentaje de ingresos que proviene de fuentes locales</t>
  </si>
  <si>
    <t>Atlas Municipal de los ODS 2020</t>
  </si>
  <si>
    <t>Categoría</t>
  </si>
  <si>
    <t>ODS alcanzado</t>
  </si>
  <si>
    <t>Próximo a alcanzarse</t>
  </si>
  <si>
    <t>Quedan retos importantes</t>
  </si>
  <si>
    <t>Quedan retos grandes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</si>
</sst>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.00_);_(* \(#,##0.00\);_(* &quot;-&quot;??_);_(@_)"/>
    <numFmt numFmtId="165" formatCode="_(* #,##0.0_);_(* \(#,##0.0\);_(* &quot;-&quot;??_);_(@_)"/>
  </numFmts>
  <fonts count="9">
    <font>
      <sz val="11.0"/>
      <color theme="1"/>
      <name val="Aptos Narrow"/>
      <scheme val="minor"/>
    </font>
    <font>
      <b/>
      <sz val="10.0"/>
      <color theme="1"/>
      <name val="Calibri"/>
    </font>
    <font>
      <b/>
      <sz val="11.0"/>
      <color theme="1"/>
      <name val="Calibri"/>
    </font>
    <font>
      <sz val="10.0"/>
      <color theme="1"/>
      <name val="Calibri"/>
    </font>
    <font>
      <sz val="11.0"/>
      <color theme="1"/>
      <name val="Calibri"/>
    </font>
    <font>
      <b/>
      <sz val="10.0"/>
      <color rgb="FFFFFFFF"/>
      <name val="Calibri"/>
    </font>
    <font>
      <b/>
      <sz val="11.0"/>
      <color rgb="FFFFFFFF"/>
      <name val="Calibri"/>
    </font>
    <font>
      <u/>
      <sz val="11.0"/>
      <color theme="1"/>
      <name val="Aptos Narrow"/>
    </font>
    <font>
      <b/>
      <sz val="9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D0D0D0"/>
        <bgColor rgb="FFD0D0D0"/>
      </patternFill>
    </fill>
    <fill>
      <patternFill patternType="solid">
        <fgColor rgb="FF00B050"/>
        <bgColor rgb="FF00B050"/>
      </patternFill>
    </fill>
    <fill>
      <patternFill patternType="solid">
        <fgColor rgb="FFFFEB3B"/>
        <bgColor rgb="FFFFEB3B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0" fillId="0" fontId="1" numFmtId="0" xfId="0" applyFont="1"/>
    <xf borderId="1" fillId="0" fontId="2" numFmtId="0" xfId="0" applyBorder="1" applyFont="1"/>
    <xf borderId="0" fillId="0" fontId="3" numFmtId="0" xfId="0" applyFont="1"/>
    <xf borderId="1" fillId="0" fontId="3" numFmtId="0" xfId="0" applyBorder="1" applyFont="1"/>
    <xf borderId="1" fillId="0" fontId="4" numFmtId="164" xfId="0" applyBorder="1" applyFont="1" applyNumberFormat="1"/>
    <xf borderId="0" fillId="0" fontId="4" numFmtId="0" xfId="0" applyFont="1"/>
    <xf borderId="0" fillId="0" fontId="2" numFmtId="0" xfId="0" applyFont="1"/>
    <xf borderId="1" fillId="0" fontId="3" numFmtId="164" xfId="0" applyBorder="1" applyFont="1" applyNumberFormat="1"/>
    <xf borderId="1" fillId="0" fontId="4" numFmtId="0" xfId="0" applyBorder="1" applyFont="1"/>
    <xf borderId="2" fillId="0" fontId="5" numFmtId="0" xfId="0" applyBorder="1" applyFont="1"/>
    <xf borderId="3" fillId="0" fontId="5" numFmtId="0" xfId="0" applyBorder="1" applyFont="1"/>
    <xf borderId="3" fillId="0" fontId="6" numFmtId="0" xfId="0" applyBorder="1" applyFont="1"/>
    <xf borderId="4" fillId="0" fontId="6" numFmtId="0" xfId="0" applyBorder="1" applyFont="1"/>
    <xf borderId="5" fillId="0" fontId="4" numFmtId="0" xfId="0" applyBorder="1" applyFont="1"/>
    <xf borderId="1" fillId="0" fontId="4" numFmtId="0" xfId="0" applyBorder="1" applyFont="1"/>
    <xf borderId="1" fillId="0" fontId="4" numFmtId="164" xfId="0" applyBorder="1" applyFont="1" applyNumberFormat="1"/>
    <xf borderId="6" fillId="0" fontId="4" numFmtId="164" xfId="0" applyBorder="1" applyFont="1" applyNumberFormat="1"/>
    <xf borderId="5" fillId="0" fontId="3" numFmtId="0" xfId="0" applyBorder="1" applyFont="1"/>
    <xf borderId="1" fillId="0" fontId="3" numFmtId="0" xfId="0" applyBorder="1" applyFont="1"/>
    <xf borderId="0" fillId="0" fontId="7" numFmtId="0" xfId="0" applyFont="1"/>
    <xf borderId="7" fillId="0" fontId="3" numFmtId="0" xfId="0" applyBorder="1" applyFont="1"/>
    <xf borderId="8" fillId="0" fontId="3" numFmtId="0" xfId="0" applyBorder="1" applyFont="1"/>
    <xf borderId="8" fillId="0" fontId="4" numFmtId="164" xfId="0" applyBorder="1" applyFont="1" applyNumberFormat="1"/>
    <xf borderId="9" fillId="0" fontId="4" numFmtId="164" xfId="0" applyBorder="1" applyFont="1" applyNumberFormat="1"/>
    <xf borderId="1" fillId="0" fontId="3" numFmtId="164" xfId="0" applyBorder="1" applyFont="1" applyNumberFormat="1"/>
    <xf borderId="6" fillId="0" fontId="3" numFmtId="164" xfId="0" applyBorder="1" applyFont="1" applyNumberFormat="1"/>
    <xf borderId="8" fillId="0" fontId="3" numFmtId="164" xfId="0" applyBorder="1" applyFont="1" applyNumberFormat="1"/>
    <xf borderId="9" fillId="0" fontId="3" numFmtId="164" xfId="0" applyBorder="1" applyFont="1" applyNumberFormat="1"/>
    <xf borderId="1" fillId="0" fontId="4" numFmtId="2" xfId="0" applyBorder="1" applyFont="1" applyNumberFormat="1"/>
    <xf borderId="1" fillId="0" fontId="4" numFmtId="165" xfId="0" applyBorder="1" applyFont="1" applyNumberFormat="1"/>
    <xf borderId="1" fillId="2" fontId="2" numFmtId="0" xfId="0" applyBorder="1" applyFill="1" applyFont="1"/>
    <xf borderId="1" fillId="3" fontId="8" numFmtId="0" xfId="0" applyAlignment="1" applyBorder="1" applyFill="1" applyFont="1">
      <alignment horizontal="center" shrinkToFit="0" vertical="center" wrapText="1"/>
    </xf>
    <xf borderId="1" fillId="4" fontId="8" numFmtId="0" xfId="0" applyAlignment="1" applyBorder="1" applyFill="1" applyFont="1">
      <alignment horizontal="center" shrinkToFit="0" vertical="center" wrapText="1"/>
    </xf>
    <xf borderId="1" fillId="5" fontId="8" numFmtId="0" xfId="0" applyAlignment="1" applyBorder="1" applyFill="1" applyFont="1">
      <alignment horizontal="center" shrinkToFit="0" vertical="center" wrapText="1"/>
    </xf>
    <xf borderId="1" fillId="6" fontId="8" numFmtId="0" xfId="0" applyAlignment="1" applyBorder="1" applyFill="1" applyFont="1">
      <alignment horizontal="center" shrinkToFit="0" vertical="center" wrapText="1"/>
    </xf>
    <xf borderId="1" fillId="7" fontId="2" numFmtId="0" xfId="0" applyAlignment="1" applyBorder="1" applyFill="1" applyFont="1">
      <alignment horizontal="center" vertical="bottom"/>
    </xf>
    <xf borderId="3" fillId="0" fontId="4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right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right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3" pivot="0" name="Indicador_MUN-style">
      <tableStyleElement dxfId="1" type="headerRow"/>
      <tableStyleElement dxfId="2" type="firstRowStripe"/>
      <tableStyleElement dxfId="3" type="secondRowStripe"/>
    </tableStyle>
    <tableStyle count="3" pivot="0" name="Absoluto_MU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ODS alcanzado</c:v>
          </c:tx>
          <c:spPr>
            <a:solidFill>
              <a:srgbClr val="29B158"/>
            </a:solidFill>
            <a:ln cmpd="sng">
              <a:solidFill>
                <a:srgbClr val="000000"/>
              </a:solidFill>
            </a:ln>
          </c:spPr>
          <c:cat>
            <c:strRef>
              <c:f>'Gráficos'!$B$1:$C$1</c:f>
            </c:strRef>
          </c:cat>
          <c:val>
            <c:numRef>
              <c:f>'Gráficos'!$B$2:$C$2</c:f>
              <c:numCache/>
            </c:numRef>
          </c:val>
        </c:ser>
        <c:ser>
          <c:idx val="1"/>
          <c:order val="1"/>
          <c:tx>
            <c:v>Próximo a alcanzarse</c:v>
          </c:tx>
          <c:spPr>
            <a:solidFill>
              <a:srgbClr val="EECA3B"/>
            </a:solidFill>
            <a:ln cmpd="sng">
              <a:solidFill>
                <a:srgbClr val="000000"/>
              </a:solidFill>
            </a:ln>
          </c:spPr>
          <c:cat>
            <c:strRef>
              <c:f>'Gráficos'!$B$1:$C$1</c:f>
            </c:strRef>
          </c:cat>
          <c:val>
            <c:numRef>
              <c:f>'Gráficos'!$B$3:$C$3</c:f>
              <c:numCache/>
            </c:numRef>
          </c:val>
        </c:ser>
        <c:ser>
          <c:idx val="2"/>
          <c:order val="2"/>
          <c:tx>
            <c:v>Quedan retos importantes</c:v>
          </c:tx>
          <c:spPr>
            <a:solidFill>
              <a:srgbClr val="E98139"/>
            </a:solidFill>
            <a:ln cmpd="sng">
              <a:solidFill>
                <a:srgbClr val="000000"/>
              </a:solidFill>
            </a:ln>
          </c:spPr>
          <c:cat>
            <c:strRef>
              <c:f>'Gráficos'!$B$1:$C$1</c:f>
            </c:strRef>
          </c:cat>
          <c:val>
            <c:numRef>
              <c:f>'Gráficos'!$B$4:$C$4</c:f>
              <c:numCache/>
            </c:numRef>
          </c:val>
        </c:ser>
        <c:ser>
          <c:idx val="3"/>
          <c:order val="3"/>
          <c:tx>
            <c:v>Quedan retos grandes</c:v>
          </c:tx>
          <c:spPr>
            <a:solidFill>
              <a:srgbClr val="DC3645"/>
            </a:solidFill>
            <a:ln cmpd="sng">
              <a:solidFill>
                <a:srgbClr val="000000"/>
              </a:solidFill>
            </a:ln>
          </c:spPr>
          <c:cat>
            <c:strRef>
              <c:f>'Gráficos'!$B$1:$C$1</c:f>
            </c:strRef>
          </c:cat>
          <c:val>
            <c:numRef>
              <c:f>'Gráficos'!$B$5:$C$5</c:f>
              <c:numCache/>
            </c:numRef>
          </c:val>
        </c:ser>
        <c:axId val="1561132234"/>
        <c:axId val="980899248"/>
      </c:barChart>
      <c:catAx>
        <c:axId val="1561132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 Light"/>
              </a:defRPr>
            </a:pPr>
          </a:p>
        </c:txPr>
        <c:crossAx val="980899248"/>
      </c:catAx>
      <c:valAx>
        <c:axId val="980899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 Light"/>
              </a:defRPr>
            </a:pPr>
          </a:p>
        </c:txPr>
        <c:crossAx val="156113223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 Light"/>
            </a:defRPr>
          </a:pPr>
        </a:p>
      </c:txPr>
    </c:legend>
    <c:plotVisOnly val="1"/>
  </c:chart>
</c:chartSpace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342900</xdr:colOff>
      <xdr:row>1</xdr:row>
      <xdr:rowOff>142875</xdr:rowOff>
    </xdr:from>
    <xdr:ext cx="6419850" cy="2714625"/>
    <xdr:graphicFrame>
      <xdr:nvGraphicFramePr>
        <xdr:cNvPr id="1729839346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18259425" cy="110013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1:D344" displayName="Table_1" name="Table_1" id="1">
  <tableColumns count="4">
    <tableColumn name="id" id="1"/>
    <tableColumn name="Municipio" id="2"/>
    <tableColumn name="Indicador 2012" id="3"/>
    <tableColumn name="Indicador 2024" id="4"/>
  </tableColumns>
  <tableStyleInfo name="Indicador_MUN-style" showColumnStripes="0" showFirstColumn="1" showLastColumn="1" showRowStripes="1"/>
</table>
</file>

<file path=xl/tables/table2.xml><?xml version="1.0" encoding="utf-8"?>
<table xmlns="http://schemas.openxmlformats.org/spreadsheetml/2006/main" ref="A1:D344" displayName="Table_2" name="Table_2" id="2">
  <tableColumns count="4">
    <tableColumn name="id" id="1"/>
    <tableColumn name="Municipio" id="2"/>
    <tableColumn name="Ingresos propios (11-13)" id="3"/>
    <tableColumn name="Ingresos propios (21-23)" id="4"/>
  </tableColumns>
  <tableStyleInfo name="Absoluto_MU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24.0"/>
    <col customWidth="1" min="3" max="3" width="8.88"/>
    <col customWidth="1" min="4" max="4" width="13.88"/>
    <col customWidth="1" min="5" max="7" width="15.88"/>
    <col customWidth="1" min="8" max="8" width="17.25"/>
    <col customWidth="1" min="9" max="11" width="16.88"/>
    <col customWidth="1" min="12" max="12" width="18.5"/>
    <col customWidth="1" min="13" max="15" width="16.0"/>
    <col customWidth="1" min="16" max="16" width="18.0"/>
    <col customWidth="1" min="17" max="19" width="17.5"/>
    <col customWidth="1" min="20" max="20" width="18.88"/>
    <col customWidth="1" min="21" max="26" width="8.88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3" t="s">
        <v>20</v>
      </c>
      <c r="V1" s="3" t="s">
        <v>21</v>
      </c>
      <c r="W1" s="4"/>
      <c r="X1" s="4"/>
      <c r="Y1" s="4"/>
      <c r="Z1" s="4"/>
    </row>
    <row r="2" ht="14.25" customHeight="1">
      <c r="A2" s="5">
        <v>10101.0</v>
      </c>
      <c r="B2" s="5" t="s">
        <v>22</v>
      </c>
      <c r="C2" s="5" t="s">
        <v>23</v>
      </c>
      <c r="D2" s="5" t="s">
        <v>24</v>
      </c>
      <c r="E2" s="5">
        <v>3.9862514023E8</v>
      </c>
      <c r="F2" s="5">
        <v>4.886239776770227E8</v>
      </c>
      <c r="G2" s="5">
        <v>5.972666921600001E8</v>
      </c>
      <c r="H2" s="5">
        <f t="shared" ref="H2:H156" si="1">AVERAGE(E2:G2)</f>
        <v>494838603.4</v>
      </c>
      <c r="I2" s="5">
        <v>1.0497735313E8</v>
      </c>
      <c r="J2" s="5">
        <v>1.2295066487E8</v>
      </c>
      <c r="K2" s="5">
        <v>1.4952995105E8</v>
      </c>
      <c r="L2" s="5">
        <f t="shared" ref="L2:L156" si="2">AVERAGE(I2:K2)</f>
        <v>125819323</v>
      </c>
      <c r="M2" s="5">
        <v>4.645538462599998E8</v>
      </c>
      <c r="N2" s="5">
        <v>5.0397112783E8</v>
      </c>
      <c r="O2" s="5">
        <v>5.294412746800001E8</v>
      </c>
      <c r="P2" s="5">
        <f t="shared" ref="P2:P156" si="3">AVERAGE(M2:O2)</f>
        <v>499322082.9</v>
      </c>
      <c r="Q2" s="5">
        <v>1.8731827189E8</v>
      </c>
      <c r="R2" s="5">
        <v>1.7259548443E8</v>
      </c>
      <c r="S2" s="5">
        <v>2.206491857100001E8</v>
      </c>
      <c r="T2" s="5">
        <f t="shared" ref="T2:T156" si="4">AVERAGE(Q2:S2)</f>
        <v>193520980.7</v>
      </c>
      <c r="U2" s="6">
        <v>25.426335407836348</v>
      </c>
      <c r="V2" s="6">
        <v>38.75674385232031</v>
      </c>
      <c r="W2" s="4"/>
      <c r="X2" s="4"/>
      <c r="Y2" s="4"/>
      <c r="Z2" s="4"/>
    </row>
    <row r="3" ht="14.25" customHeight="1">
      <c r="A3" s="5">
        <v>10102.0</v>
      </c>
      <c r="B3" s="5" t="s">
        <v>25</v>
      </c>
      <c r="C3" s="5" t="s">
        <v>23</v>
      </c>
      <c r="D3" s="5" t="s">
        <v>24</v>
      </c>
      <c r="E3" s="5">
        <v>1.394702598E7</v>
      </c>
      <c r="F3" s="5">
        <v>1.700358368011887E7</v>
      </c>
      <c r="G3" s="5">
        <v>2.048332401E7</v>
      </c>
      <c r="H3" s="5">
        <f t="shared" si="1"/>
        <v>17144644.56</v>
      </c>
      <c r="I3" s="5">
        <v>591338.5599999999</v>
      </c>
      <c r="J3" s="5">
        <v>598332.25</v>
      </c>
      <c r="K3" s="5">
        <v>457640.37</v>
      </c>
      <c r="L3" s="5">
        <f t="shared" si="2"/>
        <v>549103.7267</v>
      </c>
      <c r="M3" s="5">
        <v>1.155518450999999E7</v>
      </c>
      <c r="N3" s="5">
        <v>1.350350175E7</v>
      </c>
      <c r="O3" s="5">
        <v>1.265187964E7</v>
      </c>
      <c r="P3" s="5">
        <f t="shared" si="3"/>
        <v>12570188.63</v>
      </c>
      <c r="Q3" s="5">
        <v>1513949.31</v>
      </c>
      <c r="R3" s="5">
        <v>1501251.01</v>
      </c>
      <c r="S3" s="5">
        <v>1476294.69</v>
      </c>
      <c r="T3" s="5">
        <f t="shared" si="4"/>
        <v>1497165.003</v>
      </c>
      <c r="U3" s="6">
        <v>3.2027711327026585</v>
      </c>
      <c r="V3" s="6">
        <v>11.910441815989827</v>
      </c>
      <c r="W3" s="4"/>
      <c r="X3" s="4"/>
      <c r="Y3" s="4"/>
      <c r="Z3" s="4"/>
    </row>
    <row r="4" ht="14.25" customHeight="1">
      <c r="A4" s="5">
        <v>10103.0</v>
      </c>
      <c r="B4" s="5" t="s">
        <v>26</v>
      </c>
      <c r="C4" s="5" t="s">
        <v>23</v>
      </c>
      <c r="D4" s="5" t="s">
        <v>24</v>
      </c>
      <c r="E4" s="5">
        <v>2.415251194E7</v>
      </c>
      <c r="F4" s="5">
        <v>2.892716299454207E7</v>
      </c>
      <c r="G4" s="5">
        <v>3.522858157E7</v>
      </c>
      <c r="H4" s="5">
        <f t="shared" si="1"/>
        <v>29436085.5</v>
      </c>
      <c r="I4" s="5">
        <v>65216.64999999999</v>
      </c>
      <c r="J4" s="5">
        <v>72124.58</v>
      </c>
      <c r="K4" s="5">
        <v>206899.15</v>
      </c>
      <c r="L4" s="5">
        <f t="shared" si="2"/>
        <v>114746.7933</v>
      </c>
      <c r="M4" s="5">
        <v>1.832024249999999E7</v>
      </c>
      <c r="N4" s="5">
        <v>2.17153863E7</v>
      </c>
      <c r="O4" s="5">
        <v>1.999523897E7</v>
      </c>
      <c r="P4" s="5">
        <f t="shared" si="3"/>
        <v>20010289.26</v>
      </c>
      <c r="Q4" s="5">
        <v>323811.77</v>
      </c>
      <c r="R4" s="5">
        <v>208307.38</v>
      </c>
      <c r="S4" s="5">
        <v>208590.02</v>
      </c>
      <c r="T4" s="5">
        <f t="shared" si="4"/>
        <v>246903.0567</v>
      </c>
      <c r="U4" s="6">
        <v>0.3898167551097492</v>
      </c>
      <c r="V4" s="6">
        <v>1.233880497676504</v>
      </c>
      <c r="W4" s="4"/>
      <c r="X4" s="4"/>
      <c r="Y4" s="4"/>
      <c r="Z4" s="4"/>
    </row>
    <row r="5" ht="14.25" customHeight="1">
      <c r="A5" s="5">
        <v>10201.0</v>
      </c>
      <c r="B5" s="5" t="s">
        <v>27</v>
      </c>
      <c r="C5" s="5" t="s">
        <v>23</v>
      </c>
      <c r="D5" s="5" t="s">
        <v>28</v>
      </c>
      <c r="E5" s="5">
        <v>1.763230226E7</v>
      </c>
      <c r="F5" s="5">
        <v>2.079437955539744E7</v>
      </c>
      <c r="G5" s="5">
        <v>2.46166289E7</v>
      </c>
      <c r="H5" s="5">
        <f t="shared" si="1"/>
        <v>21014436.91</v>
      </c>
      <c r="I5" s="5">
        <v>872753.5599999999</v>
      </c>
      <c r="J5" s="5">
        <v>613339.8500000001</v>
      </c>
      <c r="K5" s="5">
        <v>93277.68</v>
      </c>
      <c r="L5" s="5">
        <f t="shared" si="2"/>
        <v>526457.03</v>
      </c>
      <c r="M5" s="5">
        <v>1.171902245999999E7</v>
      </c>
      <c r="N5" s="5">
        <v>1.39112882E7</v>
      </c>
      <c r="O5" s="5">
        <v>1.305228836E7</v>
      </c>
      <c r="P5" s="5">
        <f t="shared" si="3"/>
        <v>12894199.67</v>
      </c>
      <c r="Q5" s="5">
        <v>413671.51</v>
      </c>
      <c r="R5" s="5">
        <v>398058.72</v>
      </c>
      <c r="S5" s="5">
        <v>469789.3</v>
      </c>
      <c r="T5" s="5">
        <f t="shared" si="4"/>
        <v>427173.1767</v>
      </c>
      <c r="U5" s="6">
        <v>2.505215973079061</v>
      </c>
      <c r="V5" s="6">
        <v>3.3129095832920084</v>
      </c>
      <c r="W5" s="4"/>
      <c r="X5" s="4"/>
      <c r="Y5" s="4"/>
      <c r="Z5" s="4"/>
    </row>
    <row r="6" ht="14.25" customHeight="1">
      <c r="A6" s="5">
        <v>10202.0</v>
      </c>
      <c r="B6" s="5" t="s">
        <v>29</v>
      </c>
      <c r="C6" s="5" t="s">
        <v>23</v>
      </c>
      <c r="D6" s="5" t="s">
        <v>28</v>
      </c>
      <c r="E6" s="5">
        <v>2.419971209E7</v>
      </c>
      <c r="F6" s="5">
        <v>2.902238074974225E7</v>
      </c>
      <c r="G6" s="5">
        <v>3.525337031E7</v>
      </c>
      <c r="H6" s="5">
        <f t="shared" si="1"/>
        <v>29491821.05</v>
      </c>
      <c r="I6" s="5">
        <v>233531.52</v>
      </c>
      <c r="J6" s="5">
        <v>90597.35</v>
      </c>
      <c r="K6" s="5">
        <v>61009.0</v>
      </c>
      <c r="L6" s="5">
        <f t="shared" si="2"/>
        <v>128379.29</v>
      </c>
      <c r="M6" s="5">
        <v>1.503712313999998E7</v>
      </c>
      <c r="N6" s="5">
        <v>1.801643331E7</v>
      </c>
      <c r="O6" s="5">
        <v>1.673870593E7</v>
      </c>
      <c r="P6" s="5">
        <f t="shared" si="3"/>
        <v>16597420.79</v>
      </c>
      <c r="Q6" s="5">
        <v>167624.19</v>
      </c>
      <c r="R6" s="5">
        <v>243031.25</v>
      </c>
      <c r="S6" s="5">
        <v>189442.85</v>
      </c>
      <c r="T6" s="5">
        <f t="shared" si="4"/>
        <v>200032.7633</v>
      </c>
      <c r="U6" s="6">
        <v>0.43530472324079833</v>
      </c>
      <c r="V6" s="6">
        <v>1.205203903811852</v>
      </c>
      <c r="W6" s="4"/>
      <c r="X6" s="4"/>
      <c r="Y6" s="4"/>
      <c r="Z6" s="4"/>
    </row>
    <row r="7" ht="14.25" customHeight="1">
      <c r="A7" s="5">
        <v>10301.0</v>
      </c>
      <c r="B7" s="5" t="s">
        <v>30</v>
      </c>
      <c r="C7" s="5" t="s">
        <v>23</v>
      </c>
      <c r="D7" s="5" t="s">
        <v>31</v>
      </c>
      <c r="E7" s="5">
        <v>1.084447532E7</v>
      </c>
      <c r="F7" s="5">
        <v>1.32827646418524E7</v>
      </c>
      <c r="G7" s="5">
        <v>1.594456836E7</v>
      </c>
      <c r="H7" s="5">
        <f t="shared" si="1"/>
        <v>13357269.44</v>
      </c>
      <c r="I7" s="5">
        <v>225045.97</v>
      </c>
      <c r="J7" s="5">
        <v>330091.13</v>
      </c>
      <c r="K7" s="5">
        <v>158507.45</v>
      </c>
      <c r="L7" s="5">
        <f t="shared" si="2"/>
        <v>237881.5167</v>
      </c>
      <c r="M7" s="5">
        <v>1.249291619999999E7</v>
      </c>
      <c r="N7" s="5">
        <v>1.572452077E7</v>
      </c>
      <c r="O7" s="5">
        <v>1.551101755E7</v>
      </c>
      <c r="P7" s="5">
        <f t="shared" si="3"/>
        <v>14576151.51</v>
      </c>
      <c r="Q7" s="5">
        <v>433978.5599999999</v>
      </c>
      <c r="R7" s="5">
        <v>1310540.63</v>
      </c>
      <c r="S7" s="5">
        <v>2089804.87</v>
      </c>
      <c r="T7" s="5">
        <f t="shared" si="4"/>
        <v>1278108.02</v>
      </c>
      <c r="U7" s="6">
        <v>1.7809142633845838</v>
      </c>
      <c r="V7" s="6">
        <v>8.768487480494656</v>
      </c>
      <c r="W7" s="4"/>
      <c r="X7" s="4"/>
      <c r="Y7" s="4"/>
      <c r="Z7" s="4"/>
    </row>
    <row r="8" ht="14.25" customHeight="1">
      <c r="A8" s="5">
        <v>10302.0</v>
      </c>
      <c r="B8" s="5" t="s">
        <v>32</v>
      </c>
      <c r="C8" s="5" t="s">
        <v>23</v>
      </c>
      <c r="D8" s="5" t="s">
        <v>31</v>
      </c>
      <c r="E8" s="5">
        <v>1.374255392E7</v>
      </c>
      <c r="F8" s="5">
        <v>1.602564955811747E7</v>
      </c>
      <c r="G8" s="5">
        <v>1.949964498E7</v>
      </c>
      <c r="H8" s="5">
        <f t="shared" si="1"/>
        <v>16422616.15</v>
      </c>
      <c r="I8" s="5">
        <v>486991.11</v>
      </c>
      <c r="J8" s="5">
        <v>124049.01</v>
      </c>
      <c r="K8" s="5">
        <v>193339.0</v>
      </c>
      <c r="L8" s="5">
        <f t="shared" si="2"/>
        <v>268126.3733</v>
      </c>
      <c r="M8" s="5">
        <v>1.336083435999999E7</v>
      </c>
      <c r="N8" s="5">
        <v>1.5900391E7</v>
      </c>
      <c r="O8" s="5">
        <v>1.488988749E7</v>
      </c>
      <c r="P8" s="5">
        <f t="shared" si="3"/>
        <v>14717037.62</v>
      </c>
      <c r="Q8" s="5">
        <v>216094.95</v>
      </c>
      <c r="R8" s="5">
        <v>188568.02</v>
      </c>
      <c r="S8" s="5">
        <v>260217.66</v>
      </c>
      <c r="T8" s="5">
        <f t="shared" si="4"/>
        <v>221626.8767</v>
      </c>
      <c r="U8" s="6">
        <v>1.6326654099453959</v>
      </c>
      <c r="V8" s="6">
        <v>1.5059204334415777</v>
      </c>
      <c r="W8" s="4"/>
      <c r="X8" s="4"/>
      <c r="Y8" s="4"/>
      <c r="Z8" s="4"/>
    </row>
    <row r="9" ht="14.25" customHeight="1">
      <c r="A9" s="5">
        <v>10303.0</v>
      </c>
      <c r="B9" s="5" t="s">
        <v>33</v>
      </c>
      <c r="C9" s="5" t="s">
        <v>23</v>
      </c>
      <c r="D9" s="5" t="s">
        <v>31</v>
      </c>
      <c r="E9" s="5">
        <v>1.208026253E7</v>
      </c>
      <c r="F9" s="5">
        <v>1.515501791039912E7</v>
      </c>
      <c r="G9" s="5">
        <v>1.704581973E7</v>
      </c>
      <c r="H9" s="5">
        <f t="shared" si="1"/>
        <v>14760366.72</v>
      </c>
      <c r="I9" s="5">
        <v>559249.73</v>
      </c>
      <c r="J9" s="5">
        <v>1193364.04</v>
      </c>
      <c r="K9" s="5">
        <v>55171.36</v>
      </c>
      <c r="L9" s="5">
        <f t="shared" si="2"/>
        <v>602595.0433</v>
      </c>
      <c r="M9" s="5">
        <v>9503966.629999997</v>
      </c>
      <c r="N9" s="5">
        <v>1.088567827E7</v>
      </c>
      <c r="O9" s="5">
        <v>1.024219445E7</v>
      </c>
      <c r="P9" s="5">
        <f t="shared" si="3"/>
        <v>10210613.12</v>
      </c>
      <c r="Q9" s="5">
        <v>941247.33</v>
      </c>
      <c r="R9" s="5">
        <v>650675.6</v>
      </c>
      <c r="S9" s="5">
        <v>712142.7999999999</v>
      </c>
      <c r="T9" s="5">
        <f t="shared" si="4"/>
        <v>768021.91</v>
      </c>
      <c r="U9" s="6">
        <v>4.082520811460015</v>
      </c>
      <c r="V9" s="6">
        <v>7.521800123308626</v>
      </c>
      <c r="W9" s="4"/>
      <c r="X9" s="4"/>
      <c r="Y9" s="4"/>
      <c r="Z9" s="4"/>
    </row>
    <row r="10" ht="14.25" customHeight="1">
      <c r="A10" s="5">
        <v>10304.0</v>
      </c>
      <c r="B10" s="5" t="s">
        <v>34</v>
      </c>
      <c r="C10" s="5" t="s">
        <v>23</v>
      </c>
      <c r="D10" s="5" t="s">
        <v>31</v>
      </c>
      <c r="E10" s="5">
        <v>1.243459789E7</v>
      </c>
      <c r="F10" s="5">
        <v>1.455839176066942E7</v>
      </c>
      <c r="G10" s="5">
        <v>1.765685818E7</v>
      </c>
      <c r="H10" s="5">
        <f t="shared" si="1"/>
        <v>14883282.61</v>
      </c>
      <c r="I10" s="5">
        <v>317710.95</v>
      </c>
      <c r="J10" s="5">
        <v>36492.95</v>
      </c>
      <c r="K10" s="5">
        <v>39623.50999999999</v>
      </c>
      <c r="L10" s="5">
        <f t="shared" si="2"/>
        <v>131275.8033</v>
      </c>
      <c r="M10" s="5">
        <v>8733673.689999994</v>
      </c>
      <c r="N10" s="5">
        <v>1.025247835E7</v>
      </c>
      <c r="O10" s="5">
        <v>9673196.68</v>
      </c>
      <c r="P10" s="5">
        <f t="shared" si="3"/>
        <v>9553116.24</v>
      </c>
      <c r="Q10" s="5">
        <v>216594.98</v>
      </c>
      <c r="R10" s="5">
        <v>72028.8</v>
      </c>
      <c r="S10" s="5">
        <v>193941.0</v>
      </c>
      <c r="T10" s="5">
        <f t="shared" si="4"/>
        <v>160854.9267</v>
      </c>
      <c r="U10" s="6">
        <v>0.8820352792546025</v>
      </c>
      <c r="V10" s="6">
        <v>1.6837953462049229</v>
      </c>
      <c r="W10" s="4"/>
      <c r="X10" s="4"/>
      <c r="Y10" s="4"/>
      <c r="Z10" s="4"/>
    </row>
    <row r="11" ht="14.25" customHeight="1">
      <c r="A11" s="5">
        <v>10401.0</v>
      </c>
      <c r="B11" s="5" t="s">
        <v>35</v>
      </c>
      <c r="C11" s="5" t="s">
        <v>23</v>
      </c>
      <c r="D11" s="5" t="s">
        <v>36</v>
      </c>
      <c r="E11" s="5">
        <v>1.870675972E7</v>
      </c>
      <c r="F11" s="5">
        <v>2.282355408081369E7</v>
      </c>
      <c r="G11" s="5">
        <v>2.79532402E7</v>
      </c>
      <c r="H11" s="5">
        <f t="shared" si="1"/>
        <v>23161184.67</v>
      </c>
      <c r="I11" s="5">
        <v>859500.25</v>
      </c>
      <c r="J11" s="5">
        <v>1075595.28</v>
      </c>
      <c r="K11" s="5">
        <v>1454786.71</v>
      </c>
      <c r="L11" s="5">
        <f t="shared" si="2"/>
        <v>1129960.747</v>
      </c>
      <c r="M11" s="5">
        <v>1.297328529999999E7</v>
      </c>
      <c r="N11" s="5">
        <v>1.566640042E7</v>
      </c>
      <c r="O11" s="5">
        <v>1.366899337E7</v>
      </c>
      <c r="P11" s="5">
        <f t="shared" si="3"/>
        <v>14102893.03</v>
      </c>
      <c r="Q11" s="5">
        <v>1953448.6</v>
      </c>
      <c r="R11" s="5">
        <v>2494442.0</v>
      </c>
      <c r="S11" s="5">
        <v>1404261.34</v>
      </c>
      <c r="T11" s="5">
        <f t="shared" si="4"/>
        <v>1950717.313</v>
      </c>
      <c r="U11" s="6">
        <v>4.878682860638221</v>
      </c>
      <c r="V11" s="6">
        <v>13.832036513243933</v>
      </c>
      <c r="W11" s="4"/>
      <c r="X11" s="4"/>
      <c r="Y11" s="4"/>
      <c r="Z11" s="4"/>
    </row>
    <row r="12" ht="14.25" customHeight="1">
      <c r="A12" s="5">
        <v>10402.0</v>
      </c>
      <c r="B12" s="5" t="s">
        <v>37</v>
      </c>
      <c r="C12" s="5" t="s">
        <v>23</v>
      </c>
      <c r="D12" s="5" t="s">
        <v>36</v>
      </c>
      <c r="E12" s="5">
        <v>1.318363377E7</v>
      </c>
      <c r="F12" s="5">
        <v>1.599382856402629E7</v>
      </c>
      <c r="G12" s="5">
        <v>1.949617657E7</v>
      </c>
      <c r="H12" s="5">
        <f t="shared" si="1"/>
        <v>16224546.3</v>
      </c>
      <c r="I12" s="5">
        <v>92917.75</v>
      </c>
      <c r="J12" s="5">
        <v>91323.45999999999</v>
      </c>
      <c r="K12" s="5">
        <v>132891.43</v>
      </c>
      <c r="L12" s="5">
        <f t="shared" si="2"/>
        <v>105710.88</v>
      </c>
      <c r="M12" s="5">
        <v>9487943.499999996</v>
      </c>
      <c r="N12" s="5">
        <v>1.131176666E7</v>
      </c>
      <c r="O12" s="5">
        <v>1.041812642E7</v>
      </c>
      <c r="P12" s="5">
        <f t="shared" si="3"/>
        <v>10405945.53</v>
      </c>
      <c r="Q12" s="5">
        <v>473072.05</v>
      </c>
      <c r="R12" s="5">
        <v>536313.66</v>
      </c>
      <c r="S12" s="5">
        <v>384846.38</v>
      </c>
      <c r="T12" s="5">
        <f t="shared" si="4"/>
        <v>464744.03</v>
      </c>
      <c r="U12" s="6">
        <v>0.6515490666833351</v>
      </c>
      <c r="V12" s="6">
        <v>4.466139370122874</v>
      </c>
      <c r="W12" s="4"/>
      <c r="X12" s="4"/>
      <c r="Y12" s="4"/>
      <c r="Z12" s="4"/>
    </row>
    <row r="13" ht="14.25" customHeight="1">
      <c r="A13" s="5">
        <v>10403.0</v>
      </c>
      <c r="B13" s="5" t="s">
        <v>38</v>
      </c>
      <c r="C13" s="5" t="s">
        <v>23</v>
      </c>
      <c r="D13" s="5" t="s">
        <v>36</v>
      </c>
      <c r="E13" s="5">
        <v>1.076872555E7</v>
      </c>
      <c r="F13" s="5">
        <v>1.294435189620383E7</v>
      </c>
      <c r="G13" s="5">
        <v>1.597912884E7</v>
      </c>
      <c r="H13" s="5">
        <f t="shared" si="1"/>
        <v>13230735.43</v>
      </c>
      <c r="I13" s="5">
        <v>199734.39</v>
      </c>
      <c r="J13" s="5">
        <v>157845.15</v>
      </c>
      <c r="K13" s="5">
        <v>424536.42</v>
      </c>
      <c r="L13" s="5">
        <f t="shared" si="2"/>
        <v>260705.32</v>
      </c>
      <c r="M13" s="5">
        <v>8379598.019999997</v>
      </c>
      <c r="N13" s="5">
        <v>9949101.889999999</v>
      </c>
      <c r="O13" s="5">
        <v>9294103.34</v>
      </c>
      <c r="P13" s="5">
        <f t="shared" si="3"/>
        <v>9207601.083</v>
      </c>
      <c r="Q13" s="5">
        <v>619289.77</v>
      </c>
      <c r="R13" s="5">
        <v>673209.0599999999</v>
      </c>
      <c r="S13" s="5">
        <v>657105.33</v>
      </c>
      <c r="T13" s="5">
        <f t="shared" si="4"/>
        <v>649868.0533</v>
      </c>
      <c r="U13" s="6">
        <v>1.970452220167582</v>
      </c>
      <c r="V13" s="6">
        <v>7.057951875322431</v>
      </c>
      <c r="W13" s="4"/>
      <c r="X13" s="4"/>
      <c r="Y13" s="4"/>
      <c r="Z13" s="4"/>
    </row>
    <row r="14" ht="14.25" customHeight="1">
      <c r="A14" s="5">
        <v>10404.0</v>
      </c>
      <c r="B14" s="5" t="s">
        <v>39</v>
      </c>
      <c r="C14" s="5" t="s">
        <v>23</v>
      </c>
      <c r="D14" s="5" t="s">
        <v>36</v>
      </c>
      <c r="E14" s="5">
        <v>5783369.93</v>
      </c>
      <c r="F14" s="5">
        <v>7026772.899415008</v>
      </c>
      <c r="G14" s="5">
        <v>8645234.37</v>
      </c>
      <c r="H14" s="5">
        <f t="shared" si="1"/>
        <v>7151792.4</v>
      </c>
      <c r="I14" s="5">
        <v>30988.39</v>
      </c>
      <c r="J14" s="5">
        <v>1296.54</v>
      </c>
      <c r="K14" s="5">
        <v>80317.54999999999</v>
      </c>
      <c r="L14" s="5">
        <f t="shared" si="2"/>
        <v>37534.16</v>
      </c>
      <c r="M14" s="5">
        <v>5480100.889999997</v>
      </c>
      <c r="N14" s="5">
        <v>6502319.450000001</v>
      </c>
      <c r="O14" s="5">
        <v>6114432.92</v>
      </c>
      <c r="P14" s="5">
        <f t="shared" si="3"/>
        <v>6032284.42</v>
      </c>
      <c r="Q14" s="5">
        <v>277743.0</v>
      </c>
      <c r="R14" s="5">
        <v>283906.5</v>
      </c>
      <c r="S14" s="5">
        <v>324338.54</v>
      </c>
      <c r="T14" s="5">
        <f t="shared" si="4"/>
        <v>295329.3467</v>
      </c>
      <c r="U14" s="6">
        <v>0.5248217216291595</v>
      </c>
      <c r="V14" s="6">
        <v>4.8958126988758055</v>
      </c>
      <c r="W14" s="4"/>
      <c r="X14" s="4"/>
      <c r="Y14" s="4"/>
      <c r="Z14" s="4"/>
    </row>
    <row r="15" ht="14.25" customHeight="1">
      <c r="A15" s="5">
        <v>10405.0</v>
      </c>
      <c r="B15" s="5" t="s">
        <v>40</v>
      </c>
      <c r="C15" s="5" t="s">
        <v>23</v>
      </c>
      <c r="D15" s="5" t="s">
        <v>36</v>
      </c>
      <c r="E15" s="5">
        <v>6690735.760000001</v>
      </c>
      <c r="F15" s="5">
        <v>8119715.670747004</v>
      </c>
      <c r="G15" s="5">
        <v>9978823.679999998</v>
      </c>
      <c r="H15" s="5">
        <f t="shared" si="1"/>
        <v>8263091.704</v>
      </c>
      <c r="I15" s="5">
        <v>36204.62</v>
      </c>
      <c r="J15" s="5">
        <v>50620.5</v>
      </c>
      <c r="K15" s="5">
        <v>157711.47</v>
      </c>
      <c r="L15" s="5">
        <f t="shared" si="2"/>
        <v>81512.19667</v>
      </c>
      <c r="M15" s="5">
        <v>5032523.189999997</v>
      </c>
      <c r="N15" s="5">
        <v>6186367.94</v>
      </c>
      <c r="O15" s="5">
        <v>5733993.24</v>
      </c>
      <c r="P15" s="5">
        <f t="shared" si="3"/>
        <v>5650961.457</v>
      </c>
      <c r="Q15" s="5">
        <v>293993.1</v>
      </c>
      <c r="R15" s="5">
        <v>522361.2</v>
      </c>
      <c r="S15" s="5">
        <v>460121.7</v>
      </c>
      <c r="T15" s="5">
        <f t="shared" si="4"/>
        <v>425492</v>
      </c>
      <c r="U15" s="6">
        <v>0.9864612374001408</v>
      </c>
      <c r="V15" s="6">
        <v>7.5295505598968475</v>
      </c>
      <c r="W15" s="4"/>
      <c r="X15" s="4"/>
      <c r="Y15" s="4"/>
      <c r="Z15" s="4"/>
    </row>
    <row r="16" ht="14.25" customHeight="1">
      <c r="A16" s="5">
        <v>10501.0</v>
      </c>
      <c r="B16" s="5" t="s">
        <v>41</v>
      </c>
      <c r="C16" s="5" t="s">
        <v>23</v>
      </c>
      <c r="D16" s="5" t="s">
        <v>42</v>
      </c>
      <c r="E16" s="5">
        <v>4.047189645E7</v>
      </c>
      <c r="F16" s="5">
        <v>4.859503390524125E7</v>
      </c>
      <c r="G16" s="5">
        <v>5.924694296E7</v>
      </c>
      <c r="H16" s="5">
        <f t="shared" si="1"/>
        <v>49437957.77</v>
      </c>
      <c r="I16" s="5">
        <v>2848761.59</v>
      </c>
      <c r="J16" s="5">
        <v>2558564.14</v>
      </c>
      <c r="K16" s="5">
        <v>3099758.47</v>
      </c>
      <c r="L16" s="5">
        <f t="shared" si="2"/>
        <v>2835694.733</v>
      </c>
      <c r="M16" s="5">
        <v>3.254204188999999E7</v>
      </c>
      <c r="N16" s="5">
        <v>3.721081494E7</v>
      </c>
      <c r="O16" s="5">
        <v>3.464614442E7</v>
      </c>
      <c r="P16" s="5">
        <f t="shared" si="3"/>
        <v>34799667.08</v>
      </c>
      <c r="Q16" s="5">
        <v>6747655.33</v>
      </c>
      <c r="R16" s="5">
        <v>6379058.28</v>
      </c>
      <c r="S16" s="5">
        <v>5937888.149999999</v>
      </c>
      <c r="T16" s="5">
        <f t="shared" si="4"/>
        <v>6354867.253</v>
      </c>
      <c r="U16" s="6">
        <v>5.735865438507015</v>
      </c>
      <c r="V16" s="6">
        <v>18.26128749483607</v>
      </c>
      <c r="W16" s="4"/>
      <c r="X16" s="4"/>
      <c r="Y16" s="4"/>
      <c r="Z16" s="4"/>
    </row>
    <row r="17" ht="14.25" customHeight="1">
      <c r="A17" s="5">
        <v>10502.0</v>
      </c>
      <c r="B17" s="5" t="s">
        <v>43</v>
      </c>
      <c r="C17" s="5" t="s">
        <v>23</v>
      </c>
      <c r="D17" s="5" t="s">
        <v>42</v>
      </c>
      <c r="E17" s="5">
        <v>1.471808116E7</v>
      </c>
      <c r="F17" s="5">
        <v>1.87516677326367E7</v>
      </c>
      <c r="G17" s="5">
        <v>2.184837112E7</v>
      </c>
      <c r="H17" s="5">
        <f t="shared" si="1"/>
        <v>18439373.34</v>
      </c>
      <c r="I17" s="5">
        <v>255716.37</v>
      </c>
      <c r="J17" s="5">
        <v>1184605.41</v>
      </c>
      <c r="K17" s="5">
        <v>458728.54</v>
      </c>
      <c r="L17" s="5">
        <f t="shared" si="2"/>
        <v>633016.7733</v>
      </c>
      <c r="M17" s="5">
        <v>9140338.679999996</v>
      </c>
      <c r="N17" s="5">
        <v>1.069472086E7</v>
      </c>
      <c r="O17" s="5">
        <v>1.030774094E7</v>
      </c>
      <c r="P17" s="5">
        <f t="shared" si="3"/>
        <v>10047600.16</v>
      </c>
      <c r="Q17" s="5">
        <v>279368.83</v>
      </c>
      <c r="R17" s="5">
        <v>103223.84</v>
      </c>
      <c r="S17" s="5">
        <v>445747.36</v>
      </c>
      <c r="T17" s="5">
        <f t="shared" si="4"/>
        <v>276113.3433</v>
      </c>
      <c r="U17" s="6">
        <v>3.432962507703057</v>
      </c>
      <c r="V17" s="6">
        <v>2.748052658709036</v>
      </c>
      <c r="W17" s="4"/>
      <c r="X17" s="4"/>
      <c r="Y17" s="4"/>
      <c r="Z17" s="4"/>
    </row>
    <row r="18" ht="14.25" customHeight="1">
      <c r="A18" s="5">
        <v>10601.0</v>
      </c>
      <c r="B18" s="5" t="s">
        <v>44</v>
      </c>
      <c r="C18" s="5" t="s">
        <v>23</v>
      </c>
      <c r="D18" s="5" t="s">
        <v>45</v>
      </c>
      <c r="E18" s="5">
        <v>2.868174762E7</v>
      </c>
      <c r="F18" s="5">
        <v>3.513529409531215E7</v>
      </c>
      <c r="G18" s="5">
        <v>4.332027263E7</v>
      </c>
      <c r="H18" s="5">
        <f t="shared" si="1"/>
        <v>35712438.12</v>
      </c>
      <c r="I18" s="5">
        <v>304033.72</v>
      </c>
      <c r="J18" s="5">
        <v>723324.1199999999</v>
      </c>
      <c r="K18" s="5">
        <v>1436546.43</v>
      </c>
      <c r="L18" s="5">
        <f t="shared" si="2"/>
        <v>821301.4233</v>
      </c>
      <c r="M18" s="5">
        <v>1.883811962999999E7</v>
      </c>
      <c r="N18" s="5">
        <v>2.249512087E7</v>
      </c>
      <c r="O18" s="5">
        <v>2.06360627E7</v>
      </c>
      <c r="P18" s="5">
        <f t="shared" si="3"/>
        <v>20656434.4</v>
      </c>
      <c r="Q18" s="5">
        <v>854502.75</v>
      </c>
      <c r="R18" s="5">
        <v>999460.2100000001</v>
      </c>
      <c r="S18" s="5">
        <v>620902.3699999999</v>
      </c>
      <c r="T18" s="5">
        <f t="shared" si="4"/>
        <v>824955.11</v>
      </c>
      <c r="U18" s="6">
        <v>2.299762958457815</v>
      </c>
      <c r="V18" s="6">
        <v>3.993695591529583</v>
      </c>
      <c r="W18" s="4"/>
      <c r="X18" s="4"/>
      <c r="Y18" s="4"/>
      <c r="Z18" s="4"/>
    </row>
    <row r="19" ht="14.25" customHeight="1">
      <c r="A19" s="5">
        <v>10602.0</v>
      </c>
      <c r="B19" s="5" t="s">
        <v>46</v>
      </c>
      <c r="C19" s="5" t="s">
        <v>23</v>
      </c>
      <c r="D19" s="5" t="s">
        <v>45</v>
      </c>
      <c r="E19" s="5">
        <v>1.459586881E7</v>
      </c>
      <c r="F19" s="5">
        <v>1.752827050437648E7</v>
      </c>
      <c r="G19" s="5">
        <v>2.134702218E7</v>
      </c>
      <c r="H19" s="5">
        <f t="shared" si="1"/>
        <v>17823720.5</v>
      </c>
      <c r="I19" s="5">
        <v>301839.64</v>
      </c>
      <c r="J19" s="5">
        <v>78255.0</v>
      </c>
      <c r="K19" s="5">
        <v>75645.49</v>
      </c>
      <c r="L19" s="5">
        <f t="shared" si="2"/>
        <v>151913.3767</v>
      </c>
      <c r="M19" s="5">
        <v>1.110930062999999E7</v>
      </c>
      <c r="N19" s="5">
        <v>1.326222871E7</v>
      </c>
      <c r="O19" s="5">
        <v>1.258359353E7</v>
      </c>
      <c r="P19" s="5">
        <f t="shared" si="3"/>
        <v>12318374.29</v>
      </c>
      <c r="Q19" s="5">
        <v>378161.42</v>
      </c>
      <c r="R19" s="5">
        <v>435346.15</v>
      </c>
      <c r="S19" s="5">
        <v>640171.18</v>
      </c>
      <c r="T19" s="5">
        <f t="shared" si="4"/>
        <v>484559.5833</v>
      </c>
      <c r="U19" s="6">
        <v>0.8523101373960801</v>
      </c>
      <c r="V19" s="6">
        <v>3.9336325713588414</v>
      </c>
      <c r="W19" s="4"/>
      <c r="X19" s="4"/>
      <c r="Y19" s="4"/>
      <c r="Z19" s="4"/>
    </row>
    <row r="20" ht="14.25" customHeight="1">
      <c r="A20" s="5">
        <v>10701.0</v>
      </c>
      <c r="B20" s="5" t="s">
        <v>47</v>
      </c>
      <c r="C20" s="5" t="s">
        <v>23</v>
      </c>
      <c r="D20" s="5" t="s">
        <v>48</v>
      </c>
      <c r="E20" s="5">
        <v>2.106360642E7</v>
      </c>
      <c r="F20" s="5">
        <v>2.643995460956096E7</v>
      </c>
      <c r="G20" s="5">
        <v>3.188595654E7</v>
      </c>
      <c r="H20" s="5">
        <f t="shared" si="1"/>
        <v>26463172.52</v>
      </c>
      <c r="I20" s="5">
        <v>1171576.92</v>
      </c>
      <c r="J20" s="5">
        <v>1509336.63</v>
      </c>
      <c r="K20" s="5">
        <v>1466936.53</v>
      </c>
      <c r="L20" s="5">
        <f t="shared" si="2"/>
        <v>1382616.693</v>
      </c>
      <c r="M20" s="5">
        <v>1.847882088999999E7</v>
      </c>
      <c r="N20" s="5">
        <v>2.232802176E7</v>
      </c>
      <c r="O20" s="5">
        <v>2.111364119E7</v>
      </c>
      <c r="P20" s="5">
        <f t="shared" si="3"/>
        <v>20640161.28</v>
      </c>
      <c r="Q20" s="5">
        <v>1875011.25</v>
      </c>
      <c r="R20" s="5">
        <v>2481623.74</v>
      </c>
      <c r="S20" s="5">
        <v>2634154.71</v>
      </c>
      <c r="T20" s="5">
        <f t="shared" si="4"/>
        <v>2330263.233</v>
      </c>
      <c r="U20" s="6">
        <v>5.224682309431672</v>
      </c>
      <c r="V20" s="6">
        <v>11.289946826100255</v>
      </c>
      <c r="W20" s="4"/>
      <c r="X20" s="4"/>
      <c r="Y20" s="4"/>
      <c r="Z20" s="4"/>
    </row>
    <row r="21" ht="14.25" customHeight="1">
      <c r="A21" s="5">
        <v>10702.0</v>
      </c>
      <c r="B21" s="5" t="s">
        <v>49</v>
      </c>
      <c r="C21" s="5" t="s">
        <v>23</v>
      </c>
      <c r="D21" s="5" t="s">
        <v>48</v>
      </c>
      <c r="E21" s="5">
        <v>5.04595103E7</v>
      </c>
      <c r="F21" s="5">
        <v>6.075044219264915E7</v>
      </c>
      <c r="G21" s="5">
        <v>7.374757777999999E7</v>
      </c>
      <c r="H21" s="5">
        <f t="shared" si="1"/>
        <v>61652510.09</v>
      </c>
      <c r="I21" s="5">
        <v>3063196.56</v>
      </c>
      <c r="J21" s="5">
        <v>3667873.12</v>
      </c>
      <c r="K21" s="5">
        <v>4380046.05</v>
      </c>
      <c r="L21" s="5">
        <f t="shared" si="2"/>
        <v>3703705.243</v>
      </c>
      <c r="M21" s="5">
        <v>3.720738821999998E7</v>
      </c>
      <c r="N21" s="5">
        <v>4.483442659999999E7</v>
      </c>
      <c r="O21" s="5">
        <v>4.261472839E7</v>
      </c>
      <c r="P21" s="5">
        <f t="shared" si="3"/>
        <v>41552181.07</v>
      </c>
      <c r="Q21" s="5">
        <v>2691559.560000001</v>
      </c>
      <c r="R21" s="5">
        <v>3578060.65</v>
      </c>
      <c r="S21" s="5">
        <v>4199831.310000001</v>
      </c>
      <c r="T21" s="5">
        <f t="shared" si="4"/>
        <v>3489817.173</v>
      </c>
      <c r="U21" s="6">
        <v>6.007387595206809</v>
      </c>
      <c r="V21" s="6">
        <v>8.398637769349072</v>
      </c>
      <c r="W21" s="4"/>
      <c r="X21" s="4"/>
      <c r="Y21" s="4"/>
      <c r="Z21" s="4"/>
    </row>
    <row r="22" ht="14.25" customHeight="1">
      <c r="A22" s="5">
        <v>10703.0</v>
      </c>
      <c r="B22" s="5" t="s">
        <v>50</v>
      </c>
      <c r="C22" s="5" t="s">
        <v>23</v>
      </c>
      <c r="D22" s="5" t="s">
        <v>48</v>
      </c>
      <c r="E22" s="5">
        <v>1.632943454E7</v>
      </c>
      <c r="F22" s="5">
        <v>2.023330235447374E7</v>
      </c>
      <c r="G22" s="5">
        <v>2.326555794E7</v>
      </c>
      <c r="H22" s="5">
        <f t="shared" si="1"/>
        <v>19942764.94</v>
      </c>
      <c r="I22" s="5">
        <v>51266.61</v>
      </c>
      <c r="J22" s="5">
        <v>1176249.76</v>
      </c>
      <c r="K22" s="5">
        <v>110731.26</v>
      </c>
      <c r="L22" s="5">
        <f t="shared" si="2"/>
        <v>446082.5433</v>
      </c>
      <c r="M22" s="5">
        <v>1.412151862999999E7</v>
      </c>
      <c r="N22" s="5">
        <v>1.688533583E7</v>
      </c>
      <c r="O22" s="5">
        <v>1.562879479E7</v>
      </c>
      <c r="P22" s="5">
        <f t="shared" si="3"/>
        <v>15545216.42</v>
      </c>
      <c r="Q22" s="5">
        <v>264586.32</v>
      </c>
      <c r="R22" s="5">
        <v>322239.24</v>
      </c>
      <c r="S22" s="5">
        <v>206480.3</v>
      </c>
      <c r="T22" s="5">
        <f t="shared" si="4"/>
        <v>264435.2867</v>
      </c>
      <c r="U22" s="6">
        <v>2.2368139250876435</v>
      </c>
      <c r="V22" s="6">
        <v>1.7010717611055888</v>
      </c>
      <c r="W22" s="4"/>
      <c r="X22" s="4"/>
      <c r="Y22" s="4"/>
      <c r="Z22" s="4"/>
    </row>
    <row r="23" ht="14.25" customHeight="1">
      <c r="A23" s="5">
        <v>10704.0</v>
      </c>
      <c r="B23" s="5" t="s">
        <v>51</v>
      </c>
      <c r="C23" s="5" t="s">
        <v>23</v>
      </c>
      <c r="D23" s="5" t="s">
        <v>48</v>
      </c>
      <c r="E23" s="5">
        <v>1.827681183E7</v>
      </c>
      <c r="F23" s="5">
        <v>2.19980266704712E7</v>
      </c>
      <c r="G23" s="5">
        <v>2.664439771E7</v>
      </c>
      <c r="H23" s="5">
        <f t="shared" si="1"/>
        <v>22306412.07</v>
      </c>
      <c r="I23" s="5">
        <v>90339.34</v>
      </c>
      <c r="J23" s="5">
        <v>108283.0</v>
      </c>
      <c r="K23" s="5">
        <v>47372.23</v>
      </c>
      <c r="L23" s="5">
        <f t="shared" si="2"/>
        <v>81998.19</v>
      </c>
      <c r="M23" s="5">
        <v>1.841589067999999E7</v>
      </c>
      <c r="N23" s="5">
        <v>2.162314291E7</v>
      </c>
      <c r="O23" s="5">
        <v>2.02974851E7</v>
      </c>
      <c r="P23" s="5">
        <f t="shared" si="3"/>
        <v>20112172.9</v>
      </c>
      <c r="Q23" s="5">
        <v>1275017.04</v>
      </c>
      <c r="R23" s="5">
        <v>1134800.66</v>
      </c>
      <c r="S23" s="5">
        <v>1220266.35</v>
      </c>
      <c r="T23" s="5">
        <f t="shared" si="4"/>
        <v>1210028.017</v>
      </c>
      <c r="U23" s="6">
        <v>0.36759918960567567</v>
      </c>
      <c r="V23" s="6">
        <v>6.016396253570461</v>
      </c>
      <c r="W23" s="4"/>
      <c r="X23" s="4"/>
      <c r="Y23" s="4"/>
      <c r="Z23" s="4"/>
    </row>
    <row r="24" ht="14.25" customHeight="1">
      <c r="A24" s="5">
        <v>10801.0</v>
      </c>
      <c r="B24" s="5" t="s">
        <v>52</v>
      </c>
      <c r="C24" s="5" t="s">
        <v>23</v>
      </c>
      <c r="D24" s="5" t="s">
        <v>53</v>
      </c>
      <c r="E24" s="5">
        <v>1.811810467E7</v>
      </c>
      <c r="F24" s="5">
        <v>2.208330942380524E7</v>
      </c>
      <c r="G24" s="5">
        <v>2.706822513E7</v>
      </c>
      <c r="H24" s="5">
        <f t="shared" si="1"/>
        <v>22423213.07</v>
      </c>
      <c r="I24" s="5">
        <v>345946.64</v>
      </c>
      <c r="J24" s="5">
        <v>427513.37</v>
      </c>
      <c r="K24" s="5">
        <v>680248.48</v>
      </c>
      <c r="L24" s="5">
        <f t="shared" si="2"/>
        <v>484569.4967</v>
      </c>
      <c r="M24" s="5">
        <v>1.266367513E7</v>
      </c>
      <c r="N24" s="5">
        <v>1.504533213E7</v>
      </c>
      <c r="O24" s="5">
        <v>1.408107878E7</v>
      </c>
      <c r="P24" s="5">
        <f t="shared" si="3"/>
        <v>13930028.68</v>
      </c>
      <c r="Q24" s="5">
        <v>818076.8999999999</v>
      </c>
      <c r="R24" s="5">
        <v>886353.1499999999</v>
      </c>
      <c r="S24" s="5">
        <v>897304.6900000001</v>
      </c>
      <c r="T24" s="5">
        <f t="shared" si="4"/>
        <v>867244.9133</v>
      </c>
      <c r="U24" s="6">
        <v>2.161017223778368</v>
      </c>
      <c r="V24" s="6">
        <v>6.22572238188194</v>
      </c>
      <c r="W24" s="4"/>
      <c r="X24" s="4"/>
      <c r="Y24" s="4"/>
      <c r="Z24" s="4"/>
    </row>
    <row r="25" ht="14.25" customHeight="1">
      <c r="A25" s="5">
        <v>10901.0</v>
      </c>
      <c r="B25" s="5" t="s">
        <v>54</v>
      </c>
      <c r="C25" s="5" t="s">
        <v>23</v>
      </c>
      <c r="D25" s="5" t="s">
        <v>55</v>
      </c>
      <c r="E25" s="5">
        <v>4800565.410000001</v>
      </c>
      <c r="F25" s="5">
        <v>5725920.793381674</v>
      </c>
      <c r="G25" s="5">
        <v>6979537.919999999</v>
      </c>
      <c r="H25" s="5">
        <f t="shared" si="1"/>
        <v>5835341.374</v>
      </c>
      <c r="I25" s="5">
        <v>221915.34</v>
      </c>
      <c r="J25" s="5">
        <v>145413.72</v>
      </c>
      <c r="K25" s="5">
        <v>179342.55</v>
      </c>
      <c r="L25" s="5">
        <f t="shared" si="2"/>
        <v>182223.87</v>
      </c>
      <c r="M25" s="5">
        <v>3939237.909999997</v>
      </c>
      <c r="N25" s="5">
        <v>4866905.08</v>
      </c>
      <c r="O25" s="5">
        <v>4390701.23</v>
      </c>
      <c r="P25" s="5">
        <f t="shared" si="3"/>
        <v>4398948.073</v>
      </c>
      <c r="Q25" s="5">
        <v>210089.19</v>
      </c>
      <c r="R25" s="5">
        <v>409396.92</v>
      </c>
      <c r="S25" s="5">
        <v>240233.72</v>
      </c>
      <c r="T25" s="5">
        <f t="shared" si="4"/>
        <v>286573.2767</v>
      </c>
      <c r="U25" s="6">
        <v>3.122762805232547</v>
      </c>
      <c r="V25" s="6">
        <v>6.5145864849801205</v>
      </c>
      <c r="W25" s="4"/>
      <c r="X25" s="4"/>
      <c r="Y25" s="4"/>
      <c r="Z25" s="4"/>
    </row>
    <row r="26" ht="14.25" customHeight="1">
      <c r="A26" s="5">
        <v>10902.0</v>
      </c>
      <c r="B26" s="5" t="s">
        <v>56</v>
      </c>
      <c r="C26" s="5" t="s">
        <v>23</v>
      </c>
      <c r="D26" s="5" t="s">
        <v>55</v>
      </c>
      <c r="E26" s="5">
        <v>2.629068645E7</v>
      </c>
      <c r="F26" s="5">
        <v>3.190800498000891E7</v>
      </c>
      <c r="G26" s="5">
        <v>3.846914741E7</v>
      </c>
      <c r="H26" s="5">
        <f t="shared" si="1"/>
        <v>32222612.95</v>
      </c>
      <c r="I26" s="5">
        <v>620300.23</v>
      </c>
      <c r="J26" s="5">
        <v>863656.59</v>
      </c>
      <c r="K26" s="5">
        <v>707774.27</v>
      </c>
      <c r="L26" s="5">
        <f t="shared" si="2"/>
        <v>730577.03</v>
      </c>
      <c r="M26" s="5">
        <v>1.970730071999998E7</v>
      </c>
      <c r="N26" s="5">
        <v>2.384149073E7</v>
      </c>
      <c r="O26" s="5">
        <v>2.187547688E7</v>
      </c>
      <c r="P26" s="5">
        <f t="shared" si="3"/>
        <v>21808089.44</v>
      </c>
      <c r="Q26" s="5">
        <v>888369.3300000001</v>
      </c>
      <c r="R26" s="5">
        <v>1347391.16</v>
      </c>
      <c r="S26" s="5">
        <v>930642.7</v>
      </c>
      <c r="T26" s="5">
        <f t="shared" si="4"/>
        <v>1055467.73</v>
      </c>
      <c r="U26" s="6">
        <v>2.2672805312503637</v>
      </c>
      <c r="V26" s="6">
        <v>4.839799161419221</v>
      </c>
      <c r="W26" s="4"/>
      <c r="X26" s="4"/>
      <c r="Y26" s="4"/>
      <c r="Z26" s="4"/>
    </row>
    <row r="27" ht="14.25" customHeight="1">
      <c r="A27" s="5">
        <v>10903.0</v>
      </c>
      <c r="B27" s="5" t="s">
        <v>57</v>
      </c>
      <c r="C27" s="5" t="s">
        <v>23</v>
      </c>
      <c r="D27" s="5" t="s">
        <v>55</v>
      </c>
      <c r="E27" s="5">
        <v>5103553.48</v>
      </c>
      <c r="F27" s="5">
        <v>6276902.368625846</v>
      </c>
      <c r="G27" s="5">
        <v>7980218.15</v>
      </c>
      <c r="H27" s="5">
        <f t="shared" si="1"/>
        <v>6453558</v>
      </c>
      <c r="I27" s="5">
        <v>46125.93</v>
      </c>
      <c r="J27" s="5">
        <v>93633.65</v>
      </c>
      <c r="K27" s="5">
        <v>440223.72</v>
      </c>
      <c r="L27" s="5">
        <f t="shared" si="2"/>
        <v>193327.7667</v>
      </c>
      <c r="M27" s="5">
        <v>4718093.549999996</v>
      </c>
      <c r="N27" s="5">
        <v>5464239.290000001</v>
      </c>
      <c r="O27" s="5">
        <v>5201712.26</v>
      </c>
      <c r="P27" s="5">
        <f t="shared" si="3"/>
        <v>5128015.033</v>
      </c>
      <c r="Q27" s="5">
        <v>379707.63</v>
      </c>
      <c r="R27" s="5">
        <v>278518.75</v>
      </c>
      <c r="S27" s="5">
        <v>373186.26</v>
      </c>
      <c r="T27" s="5">
        <f t="shared" si="4"/>
        <v>343804.2133</v>
      </c>
      <c r="U27" s="6">
        <v>2.99567721682192</v>
      </c>
      <c r="V27" s="6">
        <v>6.7044306831887805</v>
      </c>
      <c r="W27" s="4"/>
      <c r="X27" s="4"/>
      <c r="Y27" s="4"/>
      <c r="Z27" s="4"/>
    </row>
    <row r="28" ht="14.25" customHeight="1">
      <c r="A28" s="5">
        <v>11001.0</v>
      </c>
      <c r="B28" s="5" t="s">
        <v>58</v>
      </c>
      <c r="C28" s="5" t="s">
        <v>23</v>
      </c>
      <c r="D28" s="5" t="s">
        <v>59</v>
      </c>
      <c r="E28" s="5">
        <v>1.616803699E7</v>
      </c>
      <c r="F28" s="5">
        <v>2.30189667676481E7</v>
      </c>
      <c r="G28" s="5">
        <v>2.388487967E7</v>
      </c>
      <c r="H28" s="5">
        <f t="shared" si="1"/>
        <v>21023961.14</v>
      </c>
      <c r="I28" s="5">
        <v>755719.5099999999</v>
      </c>
      <c r="J28" s="5">
        <v>4238315.38</v>
      </c>
      <c r="K28" s="5">
        <v>1001035.65</v>
      </c>
      <c r="L28" s="5">
        <f t="shared" si="2"/>
        <v>1998356.847</v>
      </c>
      <c r="M28" s="5">
        <v>1.143289124999999E7</v>
      </c>
      <c r="N28" s="5">
        <v>1.351115049E7</v>
      </c>
      <c r="O28" s="5">
        <v>1.270343147E7</v>
      </c>
      <c r="P28" s="5">
        <f t="shared" si="3"/>
        <v>12549157.74</v>
      </c>
      <c r="Q28" s="5">
        <v>1116756.06</v>
      </c>
      <c r="R28" s="5">
        <v>1180315.92</v>
      </c>
      <c r="S28" s="5">
        <v>1221893.24</v>
      </c>
      <c r="T28" s="5">
        <f t="shared" si="4"/>
        <v>1172988.407</v>
      </c>
      <c r="U28" s="6">
        <v>9.505139555372796</v>
      </c>
      <c r="V28" s="6">
        <v>9.347148480247236</v>
      </c>
      <c r="W28" s="4"/>
      <c r="X28" s="4"/>
      <c r="Y28" s="4"/>
      <c r="Z28" s="4"/>
    </row>
    <row r="29" ht="14.25" customHeight="1">
      <c r="A29" s="5">
        <v>11002.0</v>
      </c>
      <c r="B29" s="5" t="s">
        <v>60</v>
      </c>
      <c r="C29" s="5" t="s">
        <v>23</v>
      </c>
      <c r="D29" s="5" t="s">
        <v>59</v>
      </c>
      <c r="E29" s="5">
        <v>3999590.49</v>
      </c>
      <c r="F29" s="5">
        <v>5385225.847204125</v>
      </c>
      <c r="G29" s="5">
        <v>1.135050911E7</v>
      </c>
      <c r="H29" s="5">
        <f t="shared" si="1"/>
        <v>6911775.149</v>
      </c>
      <c r="I29" s="5">
        <v>579603.89</v>
      </c>
      <c r="J29" s="5">
        <v>1246488.49</v>
      </c>
      <c r="K29" s="5">
        <v>6315384.92</v>
      </c>
      <c r="L29" s="5">
        <f t="shared" si="2"/>
        <v>2713825.767</v>
      </c>
      <c r="M29" s="5">
        <v>2698541.799999997</v>
      </c>
      <c r="N29" s="5">
        <v>3229570.54</v>
      </c>
      <c r="O29" s="5">
        <v>3216034.930000001</v>
      </c>
      <c r="P29" s="5">
        <f t="shared" si="3"/>
        <v>3048049.09</v>
      </c>
      <c r="Q29" s="5">
        <v>2126.12</v>
      </c>
      <c r="R29" s="5">
        <v>6472.51</v>
      </c>
      <c r="S29" s="5">
        <v>214904.58</v>
      </c>
      <c r="T29" s="5">
        <f t="shared" si="4"/>
        <v>74501.07</v>
      </c>
      <c r="U29" s="6">
        <v>39.263802831210285</v>
      </c>
      <c r="V29" s="6">
        <v>2.4442214610132806</v>
      </c>
      <c r="W29" s="4"/>
      <c r="X29" s="4"/>
      <c r="Y29" s="4"/>
      <c r="Z29" s="4"/>
    </row>
    <row r="30" ht="14.25" customHeight="1">
      <c r="A30" s="5">
        <v>11003.0</v>
      </c>
      <c r="B30" s="5" t="s">
        <v>61</v>
      </c>
      <c r="C30" s="5" t="s">
        <v>23</v>
      </c>
      <c r="D30" s="5" t="s">
        <v>59</v>
      </c>
      <c r="E30" s="5">
        <v>1.072156863E7</v>
      </c>
      <c r="F30" s="5">
        <v>1.337576173621887E7</v>
      </c>
      <c r="G30" s="5">
        <v>1.606069253E7</v>
      </c>
      <c r="H30" s="5">
        <f t="shared" si="1"/>
        <v>13386007.63</v>
      </c>
      <c r="I30" s="5">
        <v>224348.96</v>
      </c>
      <c r="J30" s="5">
        <v>537619.6699999999</v>
      </c>
      <c r="K30" s="5">
        <v>404700.3100000001</v>
      </c>
      <c r="L30" s="5">
        <f t="shared" si="2"/>
        <v>388889.6467</v>
      </c>
      <c r="M30" s="5">
        <v>9312907.249999993</v>
      </c>
      <c r="N30" s="5">
        <v>9756089.780000001</v>
      </c>
      <c r="O30" s="5">
        <v>9270014.75</v>
      </c>
      <c r="P30" s="5">
        <f t="shared" si="3"/>
        <v>9446337.26</v>
      </c>
      <c r="Q30" s="5">
        <v>1440091.98</v>
      </c>
      <c r="R30" s="5">
        <v>345718.95</v>
      </c>
      <c r="S30" s="5">
        <v>507800.6200000001</v>
      </c>
      <c r="T30" s="5">
        <f t="shared" si="4"/>
        <v>764537.1833</v>
      </c>
      <c r="U30" s="6">
        <v>2.9051951661441207</v>
      </c>
      <c r="V30" s="6">
        <v>8.093477527747442</v>
      </c>
      <c r="W30" s="4"/>
      <c r="X30" s="4"/>
      <c r="Y30" s="4"/>
      <c r="Z30" s="4"/>
    </row>
    <row r="31" ht="14.25" customHeight="1">
      <c r="A31" s="5">
        <v>20101.0</v>
      </c>
      <c r="B31" s="5" t="s">
        <v>62</v>
      </c>
      <c r="C31" s="5" t="s">
        <v>63</v>
      </c>
      <c r="D31" s="5" t="s">
        <v>64</v>
      </c>
      <c r="E31" s="5">
        <v>1.24050253129E9</v>
      </c>
      <c r="F31" s="5">
        <v>1.471856756037285E9</v>
      </c>
      <c r="G31" s="5">
        <v>1.66456846513E9</v>
      </c>
      <c r="H31" s="5">
        <f t="shared" si="1"/>
        <v>1458975917</v>
      </c>
      <c r="I31" s="5">
        <v>5.039819018099999E8</v>
      </c>
      <c r="J31" s="5">
        <v>5.8024743826E8</v>
      </c>
      <c r="K31" s="5">
        <v>5.965470316600001E8</v>
      </c>
      <c r="L31" s="5">
        <f t="shared" si="2"/>
        <v>560258790.6</v>
      </c>
      <c r="M31" s="5">
        <v>1.30297183835E9</v>
      </c>
      <c r="N31" s="5">
        <v>1.6118177551E9</v>
      </c>
      <c r="O31" s="5">
        <v>1.6084905483E9</v>
      </c>
      <c r="P31" s="5">
        <f t="shared" si="3"/>
        <v>1507760047</v>
      </c>
      <c r="Q31" s="5">
        <v>6.5014995758E8</v>
      </c>
      <c r="R31" s="5">
        <v>8.511394002999998E8</v>
      </c>
      <c r="S31" s="5">
        <v>8.6952214031E8</v>
      </c>
      <c r="T31" s="5">
        <f t="shared" si="4"/>
        <v>790270499.4</v>
      </c>
      <c r="U31" s="6">
        <v>38.40082511726136</v>
      </c>
      <c r="V31" s="6">
        <v>52.41354556635448</v>
      </c>
      <c r="W31" s="4"/>
      <c r="X31" s="4"/>
      <c r="Y31" s="4"/>
      <c r="Z31" s="4"/>
    </row>
    <row r="32" ht="14.25" customHeight="1">
      <c r="A32" s="5">
        <v>20102.0</v>
      </c>
      <c r="B32" s="5" t="s">
        <v>65</v>
      </c>
      <c r="C32" s="5" t="s">
        <v>63</v>
      </c>
      <c r="D32" s="5" t="s">
        <v>64</v>
      </c>
      <c r="E32" s="5">
        <v>1.607813668E7</v>
      </c>
      <c r="F32" s="5">
        <v>1.857123317966666E7</v>
      </c>
      <c r="G32" s="5">
        <v>2.244410082E7</v>
      </c>
      <c r="H32" s="5">
        <f t="shared" si="1"/>
        <v>19031156.89</v>
      </c>
      <c r="I32" s="5">
        <v>1455804.75</v>
      </c>
      <c r="J32" s="5">
        <v>1580864.16</v>
      </c>
      <c r="K32" s="5">
        <v>2270498.18</v>
      </c>
      <c r="L32" s="5">
        <f t="shared" si="2"/>
        <v>1769055.697</v>
      </c>
      <c r="M32" s="5">
        <v>2.606144394999999E7</v>
      </c>
      <c r="N32" s="5">
        <v>3.109173282E7</v>
      </c>
      <c r="O32" s="5">
        <v>3.264696449E7</v>
      </c>
      <c r="P32" s="5">
        <f t="shared" si="3"/>
        <v>29933380.42</v>
      </c>
      <c r="Q32" s="5">
        <v>1.190392113E7</v>
      </c>
      <c r="R32" s="5">
        <v>1.459594776E7</v>
      </c>
      <c r="S32" s="5">
        <v>1.66219921E7</v>
      </c>
      <c r="T32" s="5">
        <f t="shared" si="4"/>
        <v>14373953.66</v>
      </c>
      <c r="U32" s="6">
        <v>9.295576231083988</v>
      </c>
      <c r="V32" s="6">
        <v>48.01981420624773</v>
      </c>
      <c r="W32" s="4"/>
      <c r="X32" s="4"/>
      <c r="Y32" s="4"/>
      <c r="Z32" s="4"/>
    </row>
    <row r="33" ht="14.25" customHeight="1">
      <c r="A33" s="5">
        <v>20103.0</v>
      </c>
      <c r="B33" s="5" t="s">
        <v>66</v>
      </c>
      <c r="C33" s="5" t="s">
        <v>63</v>
      </c>
      <c r="D33" s="5" t="s">
        <v>64</v>
      </c>
      <c r="E33" s="5">
        <v>1.205243326E7</v>
      </c>
      <c r="F33" s="5">
        <v>1.467580704229452E7</v>
      </c>
      <c r="G33" s="5">
        <v>1.866619023E7</v>
      </c>
      <c r="H33" s="5">
        <f t="shared" si="1"/>
        <v>15131476.84</v>
      </c>
      <c r="I33" s="5">
        <v>268855.09</v>
      </c>
      <c r="J33" s="5">
        <v>824585.6799999999</v>
      </c>
      <c r="K33" s="5">
        <v>2178168.68</v>
      </c>
      <c r="L33" s="5">
        <f t="shared" si="2"/>
        <v>1090536.483</v>
      </c>
      <c r="M33" s="5">
        <v>2.386007784999999E7</v>
      </c>
      <c r="N33" s="5">
        <v>2.466703617E7</v>
      </c>
      <c r="O33" s="5">
        <v>2.432125893E7</v>
      </c>
      <c r="P33" s="5">
        <f t="shared" si="3"/>
        <v>24282790.98</v>
      </c>
      <c r="Q33" s="5">
        <v>1.0374856E7</v>
      </c>
      <c r="R33" s="5">
        <v>8953299.0</v>
      </c>
      <c r="S33" s="5">
        <v>9056014.8</v>
      </c>
      <c r="T33" s="5">
        <f t="shared" si="4"/>
        <v>9461389.933</v>
      </c>
      <c r="U33" s="6">
        <v>7.207072347063613</v>
      </c>
      <c r="V33" s="6">
        <v>38.9633545000129</v>
      </c>
      <c r="W33" s="4"/>
      <c r="X33" s="4"/>
      <c r="Y33" s="4"/>
      <c r="Z33" s="4"/>
    </row>
    <row r="34" ht="14.25" customHeight="1">
      <c r="A34" s="5">
        <v>20104.0</v>
      </c>
      <c r="B34" s="5" t="s">
        <v>67</v>
      </c>
      <c r="C34" s="5" t="s">
        <v>63</v>
      </c>
      <c r="D34" s="5" t="s">
        <v>64</v>
      </c>
      <c r="E34" s="5">
        <v>1.858092603E7</v>
      </c>
      <c r="F34" s="5">
        <v>2.185447268976674E7</v>
      </c>
      <c r="G34" s="5">
        <v>2.583382968E7</v>
      </c>
      <c r="H34" s="5">
        <f t="shared" si="1"/>
        <v>22089742.8</v>
      </c>
      <c r="I34" s="5">
        <v>3203395.439999999</v>
      </c>
      <c r="J34" s="5">
        <v>3899190.39</v>
      </c>
      <c r="K34" s="5">
        <v>4491669.470000001</v>
      </c>
      <c r="L34" s="5">
        <f t="shared" si="2"/>
        <v>3864751.767</v>
      </c>
      <c r="M34" s="5">
        <v>5.417169028999998E7</v>
      </c>
      <c r="N34" s="5">
        <v>5.973047881999999E7</v>
      </c>
      <c r="O34" s="5">
        <v>6.822036483E7</v>
      </c>
      <c r="P34" s="5">
        <f t="shared" si="3"/>
        <v>60707511.31</v>
      </c>
      <c r="Q34" s="5">
        <v>3.516520392E7</v>
      </c>
      <c r="R34" s="5">
        <v>3.746956741E7</v>
      </c>
      <c r="S34" s="5">
        <v>4.659480404E7</v>
      </c>
      <c r="T34" s="5">
        <f t="shared" si="4"/>
        <v>39743191.79</v>
      </c>
      <c r="U34" s="6">
        <v>17.495684769495234</v>
      </c>
      <c r="V34" s="6">
        <v>65.46667937822566</v>
      </c>
      <c r="W34" s="4"/>
      <c r="X34" s="4"/>
      <c r="Y34" s="4"/>
      <c r="Z34" s="4"/>
    </row>
    <row r="35" ht="14.25" customHeight="1">
      <c r="A35" s="5">
        <v>20105.0</v>
      </c>
      <c r="B35" s="5" t="s">
        <v>68</v>
      </c>
      <c r="C35" s="5" t="s">
        <v>63</v>
      </c>
      <c r="D35" s="5" t="s">
        <v>64</v>
      </c>
      <c r="E35" s="5">
        <v>7.748463664299998E8</v>
      </c>
      <c r="F35" s="5">
        <v>9.171552506897693E8</v>
      </c>
      <c r="G35" s="5">
        <v>1.06237213316E9</v>
      </c>
      <c r="H35" s="5">
        <f t="shared" si="1"/>
        <v>918124583.4</v>
      </c>
      <c r="I35" s="5">
        <v>1.4352283922E8</v>
      </c>
      <c r="J35" s="5">
        <v>1.6649794224E8</v>
      </c>
      <c r="K35" s="5">
        <v>1.665974447500001E8</v>
      </c>
      <c r="L35" s="5">
        <f t="shared" si="2"/>
        <v>158872742.1</v>
      </c>
      <c r="M35" s="5">
        <v>1.11814492381E9</v>
      </c>
      <c r="N35" s="5">
        <v>1.27312919973E9</v>
      </c>
      <c r="O35" s="5">
        <v>1.18489252098E9</v>
      </c>
      <c r="P35" s="5">
        <f t="shared" si="3"/>
        <v>1192055548</v>
      </c>
      <c r="Q35" s="5">
        <v>3.9544843453E8</v>
      </c>
      <c r="R35" s="5">
        <v>4.3108605296E8</v>
      </c>
      <c r="S35" s="5">
        <v>3.668814901799999E8</v>
      </c>
      <c r="T35" s="5">
        <f t="shared" si="4"/>
        <v>397805325.9</v>
      </c>
      <c r="U35" s="6">
        <v>17.304050554562135</v>
      </c>
      <c r="V35" s="6">
        <v>33.371374891009374</v>
      </c>
      <c r="W35" s="4"/>
      <c r="X35" s="4"/>
      <c r="Y35" s="4"/>
      <c r="Z35" s="4"/>
    </row>
    <row r="36" ht="14.25" customHeight="1">
      <c r="A36" s="5">
        <v>20201.0</v>
      </c>
      <c r="B36" s="5" t="s">
        <v>69</v>
      </c>
      <c r="C36" s="5" t="s">
        <v>63</v>
      </c>
      <c r="D36" s="5" t="s">
        <v>70</v>
      </c>
      <c r="E36" s="5">
        <v>5.505329602999999E7</v>
      </c>
      <c r="F36" s="5">
        <v>6.429473557512851E7</v>
      </c>
      <c r="G36" s="5">
        <v>6.800042767E7</v>
      </c>
      <c r="H36" s="5">
        <f t="shared" si="1"/>
        <v>62449486.43</v>
      </c>
      <c r="I36" s="5">
        <v>830501.98</v>
      </c>
      <c r="J36" s="5">
        <v>799413.1200000001</v>
      </c>
      <c r="K36" s="5">
        <v>540597.48</v>
      </c>
      <c r="L36" s="5">
        <f t="shared" si="2"/>
        <v>723504.1933</v>
      </c>
      <c r="M36" s="5">
        <v>4.061009141999996E7</v>
      </c>
      <c r="N36" s="5">
        <v>4.748036089E7</v>
      </c>
      <c r="O36" s="5">
        <v>4.622251066E7</v>
      </c>
      <c r="P36" s="5">
        <f t="shared" si="3"/>
        <v>44770987.66</v>
      </c>
      <c r="Q36" s="5">
        <v>1379734.6</v>
      </c>
      <c r="R36" s="5">
        <v>1770899.23</v>
      </c>
      <c r="S36" s="5">
        <v>1817626.42</v>
      </c>
      <c r="T36" s="5">
        <f t="shared" si="4"/>
        <v>1656086.75</v>
      </c>
      <c r="U36" s="6">
        <v>1.158543063763614</v>
      </c>
      <c r="V36" s="6">
        <v>3.6990176823883383</v>
      </c>
      <c r="W36" s="4"/>
      <c r="X36" s="4"/>
      <c r="Y36" s="4"/>
      <c r="Z36" s="4"/>
    </row>
    <row r="37" ht="14.25" customHeight="1">
      <c r="A37" s="5">
        <v>20202.0</v>
      </c>
      <c r="B37" s="5" t="s">
        <v>71</v>
      </c>
      <c r="C37" s="5" t="s">
        <v>63</v>
      </c>
      <c r="D37" s="5" t="s">
        <v>70</v>
      </c>
      <c r="E37" s="5">
        <v>1.559374701E7</v>
      </c>
      <c r="F37" s="5">
        <v>1.826242335654611E7</v>
      </c>
      <c r="G37" s="5">
        <v>2.159332554E7</v>
      </c>
      <c r="H37" s="5">
        <f t="shared" si="1"/>
        <v>18483165.3</v>
      </c>
      <c r="I37" s="5">
        <v>20468.3</v>
      </c>
      <c r="J37" s="5">
        <v>125522.75</v>
      </c>
      <c r="K37" s="5">
        <v>47510.00999999999</v>
      </c>
      <c r="L37" s="5">
        <f t="shared" si="2"/>
        <v>64500.35333</v>
      </c>
      <c r="M37" s="5">
        <v>1.121533678999999E7</v>
      </c>
      <c r="N37" s="5">
        <v>1.320266083E7</v>
      </c>
      <c r="O37" s="5">
        <v>1.319282182E7</v>
      </c>
      <c r="P37" s="5">
        <f t="shared" si="3"/>
        <v>12536939.81</v>
      </c>
      <c r="Q37" s="5">
        <v>27099.4</v>
      </c>
      <c r="R37" s="5">
        <v>166546.52</v>
      </c>
      <c r="S37" s="5">
        <v>528780.2699999999</v>
      </c>
      <c r="T37" s="5">
        <f t="shared" si="4"/>
        <v>240808.73</v>
      </c>
      <c r="U37" s="6">
        <v>0.3489681138420523</v>
      </c>
      <c r="V37" s="6">
        <v>1.9207935396155786</v>
      </c>
      <c r="W37" s="4"/>
      <c r="X37" s="4"/>
      <c r="Y37" s="4"/>
      <c r="Z37" s="4"/>
    </row>
    <row r="38" ht="14.25" customHeight="1">
      <c r="A38" s="5">
        <v>20203.0</v>
      </c>
      <c r="B38" s="5" t="s">
        <v>72</v>
      </c>
      <c r="C38" s="5" t="s">
        <v>63</v>
      </c>
      <c r="D38" s="5" t="s">
        <v>70</v>
      </c>
      <c r="E38" s="5">
        <v>0.0</v>
      </c>
      <c r="F38" s="5">
        <v>0.0</v>
      </c>
      <c r="G38" s="5">
        <v>5922039.78</v>
      </c>
      <c r="H38" s="5">
        <f t="shared" si="1"/>
        <v>1974013.26</v>
      </c>
      <c r="I38" s="5">
        <v>0.0</v>
      </c>
      <c r="J38" s="5">
        <v>0.0</v>
      </c>
      <c r="K38" s="5">
        <v>0.0</v>
      </c>
      <c r="L38" s="5">
        <f t="shared" si="2"/>
        <v>0</v>
      </c>
      <c r="M38" s="5">
        <v>4338456.949999996</v>
      </c>
      <c r="N38" s="5">
        <v>5113532.29</v>
      </c>
      <c r="O38" s="5">
        <v>5212048.409999999</v>
      </c>
      <c r="P38" s="5">
        <f t="shared" si="3"/>
        <v>4888012.55</v>
      </c>
      <c r="Q38" s="5">
        <v>77701.58</v>
      </c>
      <c r="R38" s="5">
        <v>148991.33</v>
      </c>
      <c r="S38" s="5">
        <v>389215.78</v>
      </c>
      <c r="T38" s="5">
        <f t="shared" si="4"/>
        <v>205302.8967</v>
      </c>
      <c r="U38" s="6">
        <v>0.0</v>
      </c>
      <c r="V38" s="6">
        <v>4.200130309949117</v>
      </c>
      <c r="W38" s="4"/>
      <c r="X38" s="4"/>
      <c r="Y38" s="4"/>
      <c r="Z38" s="4"/>
    </row>
    <row r="39" ht="14.25" customHeight="1">
      <c r="A39" s="5">
        <v>20204.0</v>
      </c>
      <c r="B39" s="5" t="s">
        <v>73</v>
      </c>
      <c r="C39" s="5" t="s">
        <v>63</v>
      </c>
      <c r="D39" s="5" t="s">
        <v>70</v>
      </c>
      <c r="E39" s="5">
        <v>8562274.84</v>
      </c>
      <c r="F39" s="5">
        <v>1.001601512315918E7</v>
      </c>
      <c r="G39" s="5">
        <v>1.365482747E7</v>
      </c>
      <c r="H39" s="5">
        <f t="shared" si="1"/>
        <v>10744372.48</v>
      </c>
      <c r="I39" s="5">
        <v>73490.8</v>
      </c>
      <c r="J39" s="5">
        <v>77611.76</v>
      </c>
      <c r="K39" s="5">
        <v>2458688.82</v>
      </c>
      <c r="L39" s="5">
        <f t="shared" si="2"/>
        <v>869930.46</v>
      </c>
      <c r="M39" s="5">
        <v>8316033.599999994</v>
      </c>
      <c r="N39" s="5">
        <v>1.013840939E7</v>
      </c>
      <c r="O39" s="5">
        <v>1.031672616E7</v>
      </c>
      <c r="P39" s="5">
        <f t="shared" si="3"/>
        <v>9590389.717</v>
      </c>
      <c r="Q39" s="5">
        <v>1034824.59</v>
      </c>
      <c r="R39" s="5">
        <v>1641748.6</v>
      </c>
      <c r="S39" s="5">
        <v>2062581.29</v>
      </c>
      <c r="T39" s="5">
        <f t="shared" si="4"/>
        <v>1579718.16</v>
      </c>
      <c r="U39" s="6">
        <v>8.096614872613063</v>
      </c>
      <c r="V39" s="6">
        <v>16.471887031396502</v>
      </c>
      <c r="W39" s="4"/>
      <c r="X39" s="4"/>
      <c r="Y39" s="4"/>
      <c r="Z39" s="4"/>
    </row>
    <row r="40" ht="14.25" customHeight="1">
      <c r="A40" s="5">
        <v>20205.0</v>
      </c>
      <c r="B40" s="5" t="s">
        <v>74</v>
      </c>
      <c r="C40" s="5" t="s">
        <v>63</v>
      </c>
      <c r="D40" s="5" t="s">
        <v>70</v>
      </c>
      <c r="E40" s="5">
        <v>0.0</v>
      </c>
      <c r="F40" s="5">
        <v>0.0</v>
      </c>
      <c r="G40" s="5">
        <v>3109191.23</v>
      </c>
      <c r="H40" s="5">
        <f t="shared" si="1"/>
        <v>1036397.077</v>
      </c>
      <c r="I40" s="5">
        <v>0.0</v>
      </c>
      <c r="J40" s="5">
        <v>0.0</v>
      </c>
      <c r="K40" s="5">
        <v>63759.76</v>
      </c>
      <c r="L40" s="5">
        <f t="shared" si="2"/>
        <v>21253.25333</v>
      </c>
      <c r="M40" s="5">
        <v>3911293.819999998</v>
      </c>
      <c r="N40" s="5">
        <v>4717892.99</v>
      </c>
      <c r="O40" s="5">
        <v>4993602.99</v>
      </c>
      <c r="P40" s="5">
        <f t="shared" si="3"/>
        <v>4540929.933</v>
      </c>
      <c r="Q40" s="5">
        <v>567048.0099999999</v>
      </c>
      <c r="R40" s="5">
        <v>821225.12</v>
      </c>
      <c r="S40" s="5">
        <v>1208166.34</v>
      </c>
      <c r="T40" s="5">
        <f t="shared" si="4"/>
        <v>865479.8233</v>
      </c>
      <c r="U40" s="6">
        <v>2.0506863452075286</v>
      </c>
      <c r="V40" s="6">
        <v>19.059528247290437</v>
      </c>
      <c r="W40" s="4"/>
      <c r="X40" s="4"/>
      <c r="Y40" s="4"/>
      <c r="Z40" s="4"/>
    </row>
    <row r="41" ht="14.25" customHeight="1">
      <c r="A41" s="5">
        <v>20206.0</v>
      </c>
      <c r="B41" s="5" t="s">
        <v>75</v>
      </c>
      <c r="C41" s="5" t="s">
        <v>63</v>
      </c>
      <c r="D41" s="5" t="s">
        <v>70</v>
      </c>
      <c r="E41" s="5">
        <v>1.217512264E7</v>
      </c>
      <c r="F41" s="5">
        <v>1.450685276216487E7</v>
      </c>
      <c r="G41" s="5">
        <v>1.693819374E7</v>
      </c>
      <c r="H41" s="5">
        <f t="shared" si="1"/>
        <v>14540056.38</v>
      </c>
      <c r="I41" s="5">
        <v>315844.87</v>
      </c>
      <c r="J41" s="5">
        <v>586948.2</v>
      </c>
      <c r="K41" s="5">
        <v>373664.93</v>
      </c>
      <c r="L41" s="5">
        <f t="shared" si="2"/>
        <v>425486</v>
      </c>
      <c r="M41" s="5">
        <v>1.005556225999999E7</v>
      </c>
      <c r="N41" s="5">
        <v>1.11009827E7</v>
      </c>
      <c r="O41" s="5">
        <v>1.129500449E7</v>
      </c>
      <c r="P41" s="5">
        <f t="shared" si="3"/>
        <v>10817183.15</v>
      </c>
      <c r="Q41" s="5">
        <v>987753.9299999999</v>
      </c>
      <c r="R41" s="5">
        <v>535068.83</v>
      </c>
      <c r="S41" s="5">
        <v>1030663.33</v>
      </c>
      <c r="T41" s="5">
        <f t="shared" si="4"/>
        <v>851162.03</v>
      </c>
      <c r="U41" s="6">
        <v>2.9263022704928683</v>
      </c>
      <c r="V41" s="6">
        <v>7.868610692793901</v>
      </c>
      <c r="W41" s="4"/>
      <c r="X41" s="4"/>
      <c r="Y41" s="4"/>
      <c r="Z41" s="4"/>
    </row>
    <row r="42" ht="14.25" customHeight="1">
      <c r="A42" s="5">
        <v>20301.0</v>
      </c>
      <c r="B42" s="5" t="s">
        <v>76</v>
      </c>
      <c r="C42" s="5" t="s">
        <v>63</v>
      </c>
      <c r="D42" s="5" t="s">
        <v>77</v>
      </c>
      <c r="E42" s="5">
        <v>1.205471221E7</v>
      </c>
      <c r="F42" s="5">
        <v>1.432015779813944E7</v>
      </c>
      <c r="G42" s="5">
        <v>1.700894676E7</v>
      </c>
      <c r="H42" s="5">
        <f t="shared" si="1"/>
        <v>14461272.26</v>
      </c>
      <c r="I42" s="5">
        <v>0.0</v>
      </c>
      <c r="J42" s="5">
        <v>219316.3</v>
      </c>
      <c r="K42" s="5">
        <v>241652.97</v>
      </c>
      <c r="L42" s="5">
        <f t="shared" si="2"/>
        <v>153656.4233</v>
      </c>
      <c r="M42" s="5">
        <v>1.255271361E7</v>
      </c>
      <c r="N42" s="5">
        <v>1.574197912E7</v>
      </c>
      <c r="O42" s="5">
        <v>1.416900333E7</v>
      </c>
      <c r="P42" s="5">
        <f t="shared" si="3"/>
        <v>14154565.35</v>
      </c>
      <c r="Q42" s="5">
        <v>45606.74</v>
      </c>
      <c r="R42" s="5">
        <v>1166578.74</v>
      </c>
      <c r="S42" s="5">
        <v>9607.41</v>
      </c>
      <c r="T42" s="5">
        <f t="shared" si="4"/>
        <v>407264.2967</v>
      </c>
      <c r="U42" s="6">
        <v>1.062537379925803</v>
      </c>
      <c r="V42" s="6">
        <v>2.877264589200246</v>
      </c>
      <c r="W42" s="4"/>
      <c r="X42" s="4"/>
      <c r="Y42" s="4"/>
      <c r="Z42" s="4"/>
    </row>
    <row r="43" ht="14.25" customHeight="1">
      <c r="A43" s="5">
        <v>20302.0</v>
      </c>
      <c r="B43" s="5" t="s">
        <v>78</v>
      </c>
      <c r="C43" s="5" t="s">
        <v>63</v>
      </c>
      <c r="D43" s="5" t="s">
        <v>77</v>
      </c>
      <c r="E43" s="5">
        <v>8984386.99</v>
      </c>
      <c r="F43" s="5">
        <v>1.048500839289739E7</v>
      </c>
      <c r="G43" s="5">
        <v>1.246098629E7</v>
      </c>
      <c r="H43" s="5">
        <f t="shared" si="1"/>
        <v>10643460.56</v>
      </c>
      <c r="I43" s="5">
        <v>2064.38</v>
      </c>
      <c r="J43" s="5">
        <v>740.71</v>
      </c>
      <c r="K43" s="5">
        <v>23.72</v>
      </c>
      <c r="L43" s="5">
        <f t="shared" si="2"/>
        <v>942.9366667</v>
      </c>
      <c r="M43" s="5">
        <v>8743361.409999996</v>
      </c>
      <c r="N43" s="5">
        <v>1.000074323E7</v>
      </c>
      <c r="O43" s="5">
        <v>9629736.71</v>
      </c>
      <c r="P43" s="5">
        <f t="shared" si="3"/>
        <v>9457947.117</v>
      </c>
      <c r="Q43" s="5">
        <v>329353.51</v>
      </c>
      <c r="R43" s="5">
        <v>197029.47</v>
      </c>
      <c r="S43" s="5">
        <v>105842.4</v>
      </c>
      <c r="T43" s="5">
        <f t="shared" si="4"/>
        <v>210741.7933</v>
      </c>
      <c r="U43" s="6">
        <v>0.00885930531297439</v>
      </c>
      <c r="V43" s="6">
        <v>2.228198051160246</v>
      </c>
      <c r="W43" s="4"/>
      <c r="X43" s="4"/>
      <c r="Y43" s="4"/>
      <c r="Z43" s="4"/>
    </row>
    <row r="44" ht="14.25" customHeight="1">
      <c r="A44" s="5">
        <v>20303.0</v>
      </c>
      <c r="B44" s="5" t="s">
        <v>79</v>
      </c>
      <c r="C44" s="5" t="s">
        <v>63</v>
      </c>
      <c r="D44" s="5" t="s">
        <v>77</v>
      </c>
      <c r="E44" s="5">
        <v>3968837.89</v>
      </c>
      <c r="F44" s="5">
        <v>4604719.178671533</v>
      </c>
      <c r="G44" s="5">
        <v>5476656.03</v>
      </c>
      <c r="H44" s="5">
        <f t="shared" si="1"/>
        <v>4683404.366</v>
      </c>
      <c r="I44" s="5">
        <v>17027.81</v>
      </c>
      <c r="J44" s="5">
        <v>231.94</v>
      </c>
      <c r="K44" s="5">
        <v>6075.02</v>
      </c>
      <c r="L44" s="5">
        <f t="shared" si="2"/>
        <v>7778.256667</v>
      </c>
      <c r="M44" s="5">
        <v>3403084.969999997</v>
      </c>
      <c r="N44" s="5">
        <v>4187702.85</v>
      </c>
      <c r="O44" s="5">
        <v>3909466.23</v>
      </c>
      <c r="P44" s="5">
        <f t="shared" si="3"/>
        <v>3833418.017</v>
      </c>
      <c r="Q44" s="5">
        <v>98872.36</v>
      </c>
      <c r="R44" s="5">
        <v>337679.91</v>
      </c>
      <c r="S44" s="5">
        <v>169342.99</v>
      </c>
      <c r="T44" s="5">
        <f t="shared" si="4"/>
        <v>201965.0867</v>
      </c>
      <c r="U44" s="6">
        <v>0.16608125326018247</v>
      </c>
      <c r="V44" s="6">
        <v>5.26853804590517</v>
      </c>
      <c r="W44" s="4"/>
      <c r="X44" s="4"/>
      <c r="Y44" s="4"/>
      <c r="Z44" s="4"/>
    </row>
    <row r="45" ht="14.25" customHeight="1">
      <c r="A45" s="5">
        <v>20304.0</v>
      </c>
      <c r="B45" s="5" t="s">
        <v>80</v>
      </c>
      <c r="C45" s="5" t="s">
        <v>63</v>
      </c>
      <c r="D45" s="5" t="s">
        <v>77</v>
      </c>
      <c r="E45" s="5">
        <v>2861187.859999999</v>
      </c>
      <c r="F45" s="5">
        <v>3341856.858961175</v>
      </c>
      <c r="G45" s="5">
        <v>3952681.810000001</v>
      </c>
      <c r="H45" s="5">
        <f t="shared" si="1"/>
        <v>3385242.176</v>
      </c>
      <c r="I45" s="5">
        <v>58716.50999999999</v>
      </c>
      <c r="J45" s="5">
        <v>64245.99</v>
      </c>
      <c r="K45" s="5">
        <v>55304.88</v>
      </c>
      <c r="L45" s="5">
        <f t="shared" si="2"/>
        <v>59422.46</v>
      </c>
      <c r="M45" s="5">
        <v>2764187.579999997</v>
      </c>
      <c r="N45" s="5">
        <v>3302860.88</v>
      </c>
      <c r="O45" s="5">
        <v>3169327.33</v>
      </c>
      <c r="P45" s="5">
        <f t="shared" si="3"/>
        <v>3078791.93</v>
      </c>
      <c r="Q45" s="5">
        <v>0.0</v>
      </c>
      <c r="R45" s="5">
        <v>82049.75</v>
      </c>
      <c r="S45" s="5">
        <v>40458.0</v>
      </c>
      <c r="T45" s="5">
        <f t="shared" si="4"/>
        <v>40835.91667</v>
      </c>
      <c r="U45" s="6">
        <v>1.7553385224743236</v>
      </c>
      <c r="V45" s="6">
        <v>1.3263616897510406</v>
      </c>
      <c r="W45" s="4"/>
      <c r="X45" s="4"/>
      <c r="Y45" s="4"/>
      <c r="Z45" s="4"/>
    </row>
    <row r="46" ht="14.25" customHeight="1">
      <c r="A46" s="5">
        <v>20305.0</v>
      </c>
      <c r="B46" s="5" t="s">
        <v>81</v>
      </c>
      <c r="C46" s="5" t="s">
        <v>63</v>
      </c>
      <c r="D46" s="5" t="s">
        <v>77</v>
      </c>
      <c r="E46" s="5">
        <v>1717884.46</v>
      </c>
      <c r="F46" s="5">
        <v>1991530.852530627</v>
      </c>
      <c r="G46" s="5">
        <v>2363577.82</v>
      </c>
      <c r="H46" s="5">
        <f t="shared" si="1"/>
        <v>2024331.044</v>
      </c>
      <c r="I46" s="5">
        <v>13.95</v>
      </c>
      <c r="J46" s="5">
        <v>8.99</v>
      </c>
      <c r="K46" s="5">
        <v>0.0</v>
      </c>
      <c r="L46" s="5">
        <f t="shared" si="2"/>
        <v>7.646666667</v>
      </c>
      <c r="M46" s="5">
        <v>4317141.859999998</v>
      </c>
      <c r="N46" s="5">
        <v>5030088.219999999</v>
      </c>
      <c r="O46" s="5">
        <v>4886508.46</v>
      </c>
      <c r="P46" s="5">
        <f t="shared" si="3"/>
        <v>4744579.513</v>
      </c>
      <c r="Q46" s="5">
        <v>169.0</v>
      </c>
      <c r="R46" s="5">
        <v>45.0</v>
      </c>
      <c r="S46" s="5">
        <v>43.0</v>
      </c>
      <c r="T46" s="5">
        <f t="shared" si="4"/>
        <v>85.66666667</v>
      </c>
      <c r="U46" s="6">
        <v>3.7773795391138305E-4</v>
      </c>
      <c r="V46" s="6">
        <v>0.0018055692064159563</v>
      </c>
      <c r="W46" s="4"/>
      <c r="X46" s="4"/>
      <c r="Y46" s="4"/>
      <c r="Z46" s="4"/>
    </row>
    <row r="47" ht="14.25" customHeight="1">
      <c r="A47" s="5">
        <v>20306.0</v>
      </c>
      <c r="B47" s="5" t="s">
        <v>82</v>
      </c>
      <c r="C47" s="5" t="s">
        <v>63</v>
      </c>
      <c r="D47" s="5" t="s">
        <v>77</v>
      </c>
      <c r="E47" s="5">
        <v>268742.12</v>
      </c>
      <c r="F47" s="5">
        <v>314854.995878186</v>
      </c>
      <c r="G47" s="5">
        <v>374674.52</v>
      </c>
      <c r="H47" s="5">
        <f t="shared" si="1"/>
        <v>319423.8786</v>
      </c>
      <c r="I47" s="5">
        <v>34.82</v>
      </c>
      <c r="J47" s="5">
        <v>24.94</v>
      </c>
      <c r="K47" s="5">
        <v>45.04</v>
      </c>
      <c r="L47" s="5">
        <f t="shared" si="2"/>
        <v>34.93333333</v>
      </c>
      <c r="M47" s="5">
        <v>533732.7999999995</v>
      </c>
      <c r="N47" s="5">
        <v>654793.73</v>
      </c>
      <c r="O47" s="5">
        <v>637053.75</v>
      </c>
      <c r="P47" s="5">
        <f t="shared" si="3"/>
        <v>608526.76</v>
      </c>
      <c r="Q47" s="5">
        <v>7156.5</v>
      </c>
      <c r="R47" s="5">
        <v>41141.0</v>
      </c>
      <c r="S47" s="5">
        <v>40934.0</v>
      </c>
      <c r="T47" s="5">
        <f t="shared" si="4"/>
        <v>29743.83333</v>
      </c>
      <c r="U47" s="6">
        <v>0.010936356256016955</v>
      </c>
      <c r="V47" s="6">
        <v>4.88784311364275</v>
      </c>
      <c r="W47" s="4"/>
      <c r="X47" s="4"/>
      <c r="Y47" s="4"/>
      <c r="Z47" s="4"/>
    </row>
    <row r="48" ht="14.25" customHeight="1">
      <c r="A48" s="5">
        <v>20307.0</v>
      </c>
      <c r="B48" s="5" t="s">
        <v>83</v>
      </c>
      <c r="C48" s="5" t="s">
        <v>63</v>
      </c>
      <c r="D48" s="5" t="s">
        <v>77</v>
      </c>
      <c r="E48" s="5">
        <v>8411389.38</v>
      </c>
      <c r="F48" s="5">
        <v>9751910.13961108</v>
      </c>
      <c r="G48" s="5">
        <v>1.164980114E7</v>
      </c>
      <c r="H48" s="5">
        <f t="shared" si="1"/>
        <v>9937700.22</v>
      </c>
      <c r="I48" s="5">
        <v>25787.42</v>
      </c>
      <c r="J48" s="5">
        <v>24668.46</v>
      </c>
      <c r="K48" s="5">
        <v>104349.86</v>
      </c>
      <c r="L48" s="5">
        <f t="shared" si="2"/>
        <v>51601.91333</v>
      </c>
      <c r="M48" s="5">
        <v>6339235.489999997</v>
      </c>
      <c r="N48" s="5">
        <v>7449098.960000001</v>
      </c>
      <c r="O48" s="5">
        <v>7136642.32</v>
      </c>
      <c r="P48" s="5">
        <f t="shared" si="3"/>
        <v>6974992.257</v>
      </c>
      <c r="Q48" s="5">
        <v>131323.2</v>
      </c>
      <c r="R48" s="5">
        <v>215823.0</v>
      </c>
      <c r="S48" s="5">
        <v>109824.82</v>
      </c>
      <c r="T48" s="5">
        <f t="shared" si="4"/>
        <v>152323.6733</v>
      </c>
      <c r="U48" s="6">
        <v>0.5192540748024947</v>
      </c>
      <c r="V48" s="6">
        <v>2.183854371848844</v>
      </c>
      <c r="W48" s="4"/>
      <c r="X48" s="4"/>
      <c r="Y48" s="4"/>
      <c r="Z48" s="4"/>
    </row>
    <row r="49" ht="14.25" customHeight="1">
      <c r="A49" s="5">
        <v>20308.0</v>
      </c>
      <c r="B49" s="5" t="s">
        <v>84</v>
      </c>
      <c r="C49" s="5" t="s">
        <v>63</v>
      </c>
      <c r="D49" s="5" t="s">
        <v>77</v>
      </c>
      <c r="E49" s="5">
        <v>1.38314793E7</v>
      </c>
      <c r="F49" s="5">
        <v>1.576112076872973E7</v>
      </c>
      <c r="G49" s="5">
        <v>1.872936621E7</v>
      </c>
      <c r="H49" s="5">
        <f t="shared" si="1"/>
        <v>16107322.09</v>
      </c>
      <c r="I49" s="5">
        <v>56742.60000000001</v>
      </c>
      <c r="J49" s="5">
        <v>42100.92</v>
      </c>
      <c r="K49" s="5">
        <v>59467.81</v>
      </c>
      <c r="L49" s="5">
        <f t="shared" si="2"/>
        <v>52770.44333</v>
      </c>
      <c r="M49" s="5">
        <v>1.031072166999999E7</v>
      </c>
      <c r="N49" s="5">
        <v>1.244345767E7</v>
      </c>
      <c r="O49" s="5">
        <v>1.217470718E7</v>
      </c>
      <c r="P49" s="5">
        <f t="shared" si="3"/>
        <v>11642962.17</v>
      </c>
      <c r="Q49" s="5">
        <v>679229.5</v>
      </c>
      <c r="R49" s="5">
        <v>1239400.54</v>
      </c>
      <c r="S49" s="5">
        <v>1290435.67</v>
      </c>
      <c r="T49" s="5">
        <f t="shared" si="4"/>
        <v>1069688.57</v>
      </c>
      <c r="U49" s="6">
        <v>0.32761773204101835</v>
      </c>
      <c r="V49" s="6">
        <v>9.187426310204637</v>
      </c>
      <c r="W49" s="4"/>
      <c r="X49" s="4"/>
      <c r="Y49" s="4"/>
      <c r="Z49" s="4"/>
    </row>
    <row r="50" ht="14.25" customHeight="1">
      <c r="A50" s="5">
        <v>20401.0</v>
      </c>
      <c r="B50" s="5" t="s">
        <v>85</v>
      </c>
      <c r="C50" s="5" t="s">
        <v>63</v>
      </c>
      <c r="D50" s="5" t="s">
        <v>86</v>
      </c>
      <c r="E50" s="5">
        <v>1.785597263E7</v>
      </c>
      <c r="F50" s="5">
        <v>2.071257118446469E7</v>
      </c>
      <c r="G50" s="5">
        <v>2.460197146E7</v>
      </c>
      <c r="H50" s="5">
        <f t="shared" si="1"/>
        <v>21056838.42</v>
      </c>
      <c r="I50" s="5">
        <v>2600.64</v>
      </c>
      <c r="J50" s="5">
        <v>7097.94</v>
      </c>
      <c r="K50" s="5">
        <v>27488.61</v>
      </c>
      <c r="L50" s="5">
        <f t="shared" si="2"/>
        <v>12395.73</v>
      </c>
      <c r="M50" s="5">
        <v>1.334905975999999E7</v>
      </c>
      <c r="N50" s="5">
        <v>1.562256784E7</v>
      </c>
      <c r="O50" s="5">
        <v>1.520160481E7</v>
      </c>
      <c r="P50" s="5">
        <f t="shared" si="3"/>
        <v>14724410.8</v>
      </c>
      <c r="Q50" s="5">
        <v>24185.5</v>
      </c>
      <c r="R50" s="5">
        <v>76555.0</v>
      </c>
      <c r="S50" s="5">
        <v>99297.89</v>
      </c>
      <c r="T50" s="5">
        <f t="shared" si="4"/>
        <v>66679.46333</v>
      </c>
      <c r="U50" s="6">
        <v>0.0588679542005131</v>
      </c>
      <c r="V50" s="6">
        <v>0.45284978953615146</v>
      </c>
      <c r="W50" s="4"/>
      <c r="X50" s="4"/>
      <c r="Y50" s="4"/>
      <c r="Z50" s="4"/>
    </row>
    <row r="51" ht="14.25" customHeight="1">
      <c r="A51" s="5">
        <v>20402.0</v>
      </c>
      <c r="B51" s="5" t="s">
        <v>87</v>
      </c>
      <c r="C51" s="5" t="s">
        <v>63</v>
      </c>
      <c r="D51" s="5" t="s">
        <v>86</v>
      </c>
      <c r="E51" s="5">
        <v>1.539466583E7</v>
      </c>
      <c r="F51" s="5">
        <v>1.786855138466311E7</v>
      </c>
      <c r="G51" s="5">
        <v>2.18175166E7</v>
      </c>
      <c r="H51" s="5">
        <f t="shared" si="1"/>
        <v>18360244.6</v>
      </c>
      <c r="I51" s="5">
        <v>392112.5</v>
      </c>
      <c r="J51" s="5">
        <v>367233.96</v>
      </c>
      <c r="K51" s="5">
        <v>1020880.21</v>
      </c>
      <c r="L51" s="5">
        <f t="shared" si="2"/>
        <v>593408.89</v>
      </c>
      <c r="M51" s="5">
        <v>1.383380315999999E7</v>
      </c>
      <c r="N51" s="5">
        <v>1.56283544E7</v>
      </c>
      <c r="O51" s="5">
        <v>1.543738294E7</v>
      </c>
      <c r="P51" s="5">
        <f t="shared" si="3"/>
        <v>14966513.5</v>
      </c>
      <c r="Q51" s="5">
        <v>1409254.24</v>
      </c>
      <c r="R51" s="5">
        <v>1150213.84</v>
      </c>
      <c r="S51" s="5">
        <v>1372470.87</v>
      </c>
      <c r="T51" s="5">
        <f t="shared" si="4"/>
        <v>1310646.317</v>
      </c>
      <c r="U51" s="6">
        <v>3.232031504863654</v>
      </c>
      <c r="V51" s="6">
        <v>8.757191958345322</v>
      </c>
      <c r="W51" s="4"/>
      <c r="X51" s="4"/>
      <c r="Y51" s="4"/>
      <c r="Z51" s="4"/>
    </row>
    <row r="52" ht="14.25" customHeight="1">
      <c r="A52" s="5">
        <v>20403.0</v>
      </c>
      <c r="B52" s="5" t="s">
        <v>88</v>
      </c>
      <c r="C52" s="5" t="s">
        <v>63</v>
      </c>
      <c r="D52" s="5" t="s">
        <v>86</v>
      </c>
      <c r="E52" s="5">
        <v>5527428.209999999</v>
      </c>
      <c r="F52" s="5">
        <v>6654434.350146882</v>
      </c>
      <c r="G52" s="5">
        <v>7896398.180000001</v>
      </c>
      <c r="H52" s="5">
        <f t="shared" si="1"/>
        <v>6692753.58</v>
      </c>
      <c r="I52" s="5">
        <v>2360.0</v>
      </c>
      <c r="J52" s="5">
        <v>83.99</v>
      </c>
      <c r="K52" s="5">
        <v>603.99</v>
      </c>
      <c r="L52" s="5">
        <f t="shared" si="2"/>
        <v>1015.993333</v>
      </c>
      <c r="M52" s="5">
        <v>4590774.739999996</v>
      </c>
      <c r="N52" s="5">
        <v>5356758.19</v>
      </c>
      <c r="O52" s="5">
        <v>5231672.149999999</v>
      </c>
      <c r="P52" s="5">
        <f t="shared" si="3"/>
        <v>5059735.027</v>
      </c>
      <c r="Q52" s="5">
        <v>44283.36</v>
      </c>
      <c r="R52" s="5">
        <v>55777.44</v>
      </c>
      <c r="S52" s="5">
        <v>82001.87</v>
      </c>
      <c r="T52" s="5">
        <f t="shared" si="4"/>
        <v>60687.55667</v>
      </c>
      <c r="U52" s="6">
        <v>0.015180498148953227</v>
      </c>
      <c r="V52" s="6">
        <v>1.1994216366434391</v>
      </c>
      <c r="W52" s="4"/>
      <c r="X52" s="4"/>
      <c r="Y52" s="4"/>
      <c r="Z52" s="4"/>
    </row>
    <row r="53" ht="14.25" customHeight="1">
      <c r="A53" s="5">
        <v>20404.0</v>
      </c>
      <c r="B53" s="5" t="s">
        <v>89</v>
      </c>
      <c r="C53" s="5" t="s">
        <v>63</v>
      </c>
      <c r="D53" s="5" t="s">
        <v>86</v>
      </c>
      <c r="E53" s="5">
        <v>7439434.290000001</v>
      </c>
      <c r="F53" s="5">
        <v>8750702.51962632</v>
      </c>
      <c r="G53" s="5">
        <v>1.04053089E7</v>
      </c>
      <c r="H53" s="5">
        <f t="shared" si="1"/>
        <v>8865148.57</v>
      </c>
      <c r="I53" s="5">
        <v>14583.94</v>
      </c>
      <c r="J53" s="5">
        <v>72842.40000000001</v>
      </c>
      <c r="K53" s="5">
        <v>102373.0</v>
      </c>
      <c r="L53" s="5">
        <f t="shared" si="2"/>
        <v>63266.44667</v>
      </c>
      <c r="M53" s="5">
        <v>6220985.579999996</v>
      </c>
      <c r="N53" s="5">
        <v>7193503.6</v>
      </c>
      <c r="O53" s="5">
        <v>7052391.73</v>
      </c>
      <c r="P53" s="5">
        <f t="shared" si="3"/>
        <v>6822293.637</v>
      </c>
      <c r="Q53" s="5">
        <v>100806.7</v>
      </c>
      <c r="R53" s="5">
        <v>62450.5</v>
      </c>
      <c r="S53" s="5">
        <v>124879.6</v>
      </c>
      <c r="T53" s="5">
        <f t="shared" si="4"/>
        <v>96045.6</v>
      </c>
      <c r="U53" s="6">
        <v>0.7136535408064302</v>
      </c>
      <c r="V53" s="6">
        <v>1.4078197907489562</v>
      </c>
      <c r="W53" s="4"/>
      <c r="X53" s="4"/>
      <c r="Y53" s="4"/>
      <c r="Z53" s="4"/>
    </row>
    <row r="54" ht="14.25" customHeight="1">
      <c r="A54" s="5">
        <v>20405.0</v>
      </c>
      <c r="B54" s="5" t="s">
        <v>90</v>
      </c>
      <c r="C54" s="5" t="s">
        <v>63</v>
      </c>
      <c r="D54" s="5" t="s">
        <v>86</v>
      </c>
      <c r="E54" s="5">
        <v>1.32539701E7</v>
      </c>
      <c r="F54" s="5">
        <v>1.54277575671033E7</v>
      </c>
      <c r="G54" s="5">
        <v>1.832908228E7</v>
      </c>
      <c r="H54" s="5">
        <f t="shared" si="1"/>
        <v>15670269.98</v>
      </c>
      <c r="I54" s="5">
        <v>425.77</v>
      </c>
      <c r="J54" s="5">
        <v>34300.61</v>
      </c>
      <c r="K54" s="5">
        <v>53263.38</v>
      </c>
      <c r="L54" s="5">
        <f t="shared" si="2"/>
        <v>29329.92</v>
      </c>
      <c r="M54" s="5">
        <v>1.170985822E7</v>
      </c>
      <c r="N54" s="5">
        <v>1.22205577E7</v>
      </c>
      <c r="O54" s="5">
        <v>1.117987257E7</v>
      </c>
      <c r="P54" s="5">
        <f t="shared" si="3"/>
        <v>11703429.5</v>
      </c>
      <c r="Q54" s="5">
        <v>1938351.05</v>
      </c>
      <c r="R54" s="5">
        <v>834882.93</v>
      </c>
      <c r="S54" s="5">
        <v>119166.64</v>
      </c>
      <c r="T54" s="5">
        <f t="shared" si="4"/>
        <v>964133.54</v>
      </c>
      <c r="U54" s="6">
        <v>0.18716920661227987</v>
      </c>
      <c r="V54" s="6">
        <v>8.238042876872983</v>
      </c>
      <c r="W54" s="4"/>
      <c r="X54" s="4"/>
      <c r="Y54" s="4"/>
      <c r="Z54" s="4"/>
    </row>
    <row r="55" ht="14.25" customHeight="1">
      <c r="A55" s="5">
        <v>20501.0</v>
      </c>
      <c r="B55" s="5" t="s">
        <v>91</v>
      </c>
      <c r="C55" s="5" t="s">
        <v>63</v>
      </c>
      <c r="D55" s="5" t="s">
        <v>92</v>
      </c>
      <c r="E55" s="5">
        <v>8329143.22</v>
      </c>
      <c r="F55" s="5">
        <v>9562104.948622081</v>
      </c>
      <c r="G55" s="5">
        <v>1.157865295E7</v>
      </c>
      <c r="H55" s="5">
        <f t="shared" si="1"/>
        <v>9823300.373</v>
      </c>
      <c r="I55" s="5">
        <v>6735.249999999999</v>
      </c>
      <c r="J55" s="5">
        <v>5574.09</v>
      </c>
      <c r="K55" s="5">
        <v>265219.06</v>
      </c>
      <c r="L55" s="5">
        <f t="shared" si="2"/>
        <v>92509.46667</v>
      </c>
      <c r="M55" s="5">
        <v>7235190.019999997</v>
      </c>
      <c r="N55" s="5">
        <v>8448358.07</v>
      </c>
      <c r="O55" s="5">
        <v>8291239.33</v>
      </c>
      <c r="P55" s="5">
        <f t="shared" si="3"/>
        <v>7991595.807</v>
      </c>
      <c r="Q55" s="5">
        <v>73545.59</v>
      </c>
      <c r="R55" s="5">
        <v>102548.71</v>
      </c>
      <c r="S55" s="5">
        <v>183640.51</v>
      </c>
      <c r="T55" s="5">
        <f t="shared" si="4"/>
        <v>119911.6033</v>
      </c>
      <c r="U55" s="6">
        <v>0.9417350906027621</v>
      </c>
      <c r="V55" s="6">
        <v>1.5004713230529245</v>
      </c>
      <c r="W55" s="4"/>
      <c r="X55" s="4"/>
      <c r="Y55" s="4"/>
      <c r="Z55" s="4"/>
    </row>
    <row r="56" ht="14.25" customHeight="1">
      <c r="A56" s="5">
        <v>20502.0</v>
      </c>
      <c r="B56" s="5" t="s">
        <v>93</v>
      </c>
      <c r="C56" s="5" t="s">
        <v>63</v>
      </c>
      <c r="D56" s="5" t="s">
        <v>92</v>
      </c>
      <c r="E56" s="5">
        <v>4372063.96</v>
      </c>
      <c r="F56" s="5">
        <v>5037988.029109441</v>
      </c>
      <c r="G56" s="5">
        <v>7410131.32</v>
      </c>
      <c r="H56" s="5">
        <f t="shared" si="1"/>
        <v>5606727.77</v>
      </c>
      <c r="I56" s="5">
        <v>0.0</v>
      </c>
      <c r="J56" s="5">
        <v>1368.04</v>
      </c>
      <c r="K56" s="5">
        <v>1441153.28</v>
      </c>
      <c r="L56" s="5">
        <f t="shared" si="2"/>
        <v>480840.44</v>
      </c>
      <c r="M56" s="5">
        <v>5012788.869999995</v>
      </c>
      <c r="N56" s="5">
        <v>6167111.040000001</v>
      </c>
      <c r="O56" s="5">
        <v>5611089.32</v>
      </c>
      <c r="P56" s="5">
        <f t="shared" si="3"/>
        <v>5596996.41</v>
      </c>
      <c r="Q56" s="5">
        <v>335155.04</v>
      </c>
      <c r="R56" s="5">
        <v>714285.71</v>
      </c>
      <c r="S56" s="5">
        <v>313908.06</v>
      </c>
      <c r="T56" s="5">
        <f t="shared" si="4"/>
        <v>454449.6033</v>
      </c>
      <c r="U56" s="6">
        <v>8.576133169837467</v>
      </c>
      <c r="V56" s="6">
        <v>8.119526439598582</v>
      </c>
      <c r="W56" s="4"/>
      <c r="X56" s="4"/>
      <c r="Y56" s="4"/>
      <c r="Z56" s="4"/>
    </row>
    <row r="57" ht="14.25" customHeight="1">
      <c r="A57" s="5">
        <v>20503.0</v>
      </c>
      <c r="B57" s="5" t="s">
        <v>94</v>
      </c>
      <c r="C57" s="5" t="s">
        <v>63</v>
      </c>
      <c r="D57" s="5" t="s">
        <v>92</v>
      </c>
      <c r="E57" s="5">
        <v>1.973933068E7</v>
      </c>
      <c r="F57" s="5">
        <v>2.314651677522704E7</v>
      </c>
      <c r="G57" s="5">
        <v>2.835816613E7</v>
      </c>
      <c r="H57" s="5">
        <f t="shared" si="1"/>
        <v>23748004.53</v>
      </c>
      <c r="I57" s="5">
        <v>482790.3</v>
      </c>
      <c r="J57" s="5">
        <v>658510.73</v>
      </c>
      <c r="K57" s="5">
        <v>1760655.06</v>
      </c>
      <c r="L57" s="5">
        <f t="shared" si="2"/>
        <v>967318.6967</v>
      </c>
      <c r="M57" s="5">
        <v>2.660556219999998E7</v>
      </c>
      <c r="N57" s="5">
        <v>2.890520278E7</v>
      </c>
      <c r="O57" s="5">
        <v>2.707202705E7</v>
      </c>
      <c r="P57" s="5">
        <f t="shared" si="3"/>
        <v>27527597.34</v>
      </c>
      <c r="Q57" s="5">
        <v>6588778.859999998</v>
      </c>
      <c r="R57" s="5">
        <v>5571456.010000001</v>
      </c>
      <c r="S57" s="5">
        <v>4404249.94</v>
      </c>
      <c r="T57" s="5">
        <f t="shared" si="4"/>
        <v>5521494.937</v>
      </c>
      <c r="U57" s="6">
        <v>4.073263063048067</v>
      </c>
      <c r="V57" s="6">
        <v>20.058034371110377</v>
      </c>
      <c r="W57" s="4"/>
      <c r="X57" s="4"/>
      <c r="Y57" s="4"/>
      <c r="Z57" s="4"/>
    </row>
    <row r="58" ht="14.25" customHeight="1">
      <c r="A58" s="5">
        <v>20601.0</v>
      </c>
      <c r="B58" s="5" t="s">
        <v>95</v>
      </c>
      <c r="C58" s="5" t="s">
        <v>63</v>
      </c>
      <c r="D58" s="5" t="s">
        <v>96</v>
      </c>
      <c r="E58" s="5">
        <v>1.16454849E7</v>
      </c>
      <c r="F58" s="5">
        <v>1.393852055217195E7</v>
      </c>
      <c r="G58" s="5">
        <v>1.891256189E7</v>
      </c>
      <c r="H58" s="5">
        <f t="shared" si="1"/>
        <v>14832189.11</v>
      </c>
      <c r="I58" s="5">
        <v>223683.25</v>
      </c>
      <c r="J58" s="5">
        <v>463625.14</v>
      </c>
      <c r="K58" s="5">
        <v>2859851.37</v>
      </c>
      <c r="L58" s="5">
        <f t="shared" si="2"/>
        <v>1182386.587</v>
      </c>
      <c r="M58" s="5">
        <v>2.908235821999999E7</v>
      </c>
      <c r="N58" s="5">
        <v>2.309445094E7</v>
      </c>
      <c r="O58" s="5">
        <v>2.064930391E7</v>
      </c>
      <c r="P58" s="5">
        <f t="shared" si="3"/>
        <v>24275371.02</v>
      </c>
      <c r="Q58" s="5">
        <v>1.648698911E7</v>
      </c>
      <c r="R58" s="5">
        <v>8418813.4</v>
      </c>
      <c r="S58" s="5">
        <v>6392531.579999999</v>
      </c>
      <c r="T58" s="5">
        <f t="shared" si="4"/>
        <v>10432778.03</v>
      </c>
      <c r="U58" s="6">
        <v>7.97176045676259</v>
      </c>
      <c r="V58" s="6">
        <v>42.976801549076555</v>
      </c>
      <c r="W58" s="4"/>
      <c r="X58" s="4"/>
      <c r="Y58" s="4"/>
      <c r="Z58" s="4"/>
    </row>
    <row r="59" ht="14.25" customHeight="1">
      <c r="A59" s="5">
        <v>20602.0</v>
      </c>
      <c r="B59" s="5" t="s">
        <v>97</v>
      </c>
      <c r="C59" s="5" t="s">
        <v>63</v>
      </c>
      <c r="D59" s="5" t="s">
        <v>96</v>
      </c>
      <c r="E59" s="5">
        <v>6732754.79</v>
      </c>
      <c r="F59" s="5">
        <v>7684030.885448642</v>
      </c>
      <c r="G59" s="5">
        <v>9905337.64</v>
      </c>
      <c r="H59" s="5">
        <f t="shared" si="1"/>
        <v>8107374.438</v>
      </c>
      <c r="I59" s="5">
        <v>380986.01</v>
      </c>
      <c r="J59" s="5">
        <v>255067.71</v>
      </c>
      <c r="K59" s="5">
        <v>1071749.2</v>
      </c>
      <c r="L59" s="5">
        <f t="shared" si="2"/>
        <v>569267.64</v>
      </c>
      <c r="M59" s="5">
        <v>9613902.229999997</v>
      </c>
      <c r="N59" s="5">
        <v>1.143766836E7</v>
      </c>
      <c r="O59" s="5">
        <v>9467796.02</v>
      </c>
      <c r="P59" s="5">
        <f t="shared" si="3"/>
        <v>10173122.2</v>
      </c>
      <c r="Q59" s="5">
        <v>2648581.140000001</v>
      </c>
      <c r="R59" s="5">
        <v>3318137.55</v>
      </c>
      <c r="S59" s="5">
        <v>1580017.84</v>
      </c>
      <c r="T59" s="5">
        <f t="shared" si="4"/>
        <v>2515578.843</v>
      </c>
      <c r="U59" s="6">
        <v>7.02160291620287</v>
      </c>
      <c r="V59" s="6">
        <v>24.727697092924704</v>
      </c>
      <c r="W59" s="4"/>
      <c r="X59" s="4"/>
      <c r="Y59" s="4"/>
      <c r="Z59" s="4"/>
    </row>
    <row r="60" ht="14.25" customHeight="1">
      <c r="A60" s="5">
        <v>20603.0</v>
      </c>
      <c r="B60" s="5" t="s">
        <v>98</v>
      </c>
      <c r="C60" s="5" t="s">
        <v>63</v>
      </c>
      <c r="D60" s="5" t="s">
        <v>96</v>
      </c>
      <c r="E60" s="5">
        <v>3170091.15</v>
      </c>
      <c r="F60" s="5">
        <v>3679812.238424624</v>
      </c>
      <c r="G60" s="5">
        <v>4213250.81</v>
      </c>
      <c r="H60" s="5">
        <f t="shared" si="1"/>
        <v>3687718.066</v>
      </c>
      <c r="I60" s="5">
        <v>487358.8199999999</v>
      </c>
      <c r="J60" s="5">
        <v>571705.89</v>
      </c>
      <c r="K60" s="5">
        <v>391821.61</v>
      </c>
      <c r="L60" s="5">
        <f t="shared" si="2"/>
        <v>483628.7733</v>
      </c>
      <c r="M60" s="5">
        <v>2297680.639999999</v>
      </c>
      <c r="N60" s="5">
        <v>2848013.85</v>
      </c>
      <c r="O60" s="5">
        <v>2822882.01</v>
      </c>
      <c r="P60" s="5">
        <f t="shared" si="3"/>
        <v>2656192.167</v>
      </c>
      <c r="Q60" s="5">
        <v>12190.39</v>
      </c>
      <c r="R60" s="5">
        <v>184957.91</v>
      </c>
      <c r="S60" s="5">
        <v>235849.49</v>
      </c>
      <c r="T60" s="5">
        <f t="shared" si="4"/>
        <v>144332.5967</v>
      </c>
      <c r="U60" s="6">
        <v>13.114581013492554</v>
      </c>
      <c r="V60" s="6">
        <v>5.433816064889381</v>
      </c>
      <c r="W60" s="4"/>
      <c r="X60" s="4"/>
      <c r="Y60" s="4"/>
      <c r="Z60" s="4"/>
    </row>
    <row r="61" ht="14.25" customHeight="1">
      <c r="A61" s="5">
        <v>20604.0</v>
      </c>
      <c r="B61" s="5" t="s">
        <v>99</v>
      </c>
      <c r="C61" s="5" t="s">
        <v>63</v>
      </c>
      <c r="D61" s="5" t="s">
        <v>96</v>
      </c>
      <c r="E61" s="5">
        <v>2782812.85</v>
      </c>
      <c r="F61" s="5">
        <v>3229345.90495936</v>
      </c>
      <c r="G61" s="5">
        <v>3833425.33</v>
      </c>
      <c r="H61" s="5">
        <f t="shared" si="1"/>
        <v>3281861.362</v>
      </c>
      <c r="I61" s="5">
        <v>19.96</v>
      </c>
      <c r="J61" s="5">
        <v>0.0</v>
      </c>
      <c r="K61" s="5">
        <v>0.0</v>
      </c>
      <c r="L61" s="5">
        <f t="shared" si="2"/>
        <v>6.653333333</v>
      </c>
      <c r="M61" s="5">
        <v>3179268.659999997</v>
      </c>
      <c r="N61" s="5">
        <v>3726148.85</v>
      </c>
      <c r="O61" s="5">
        <v>3614393.13</v>
      </c>
      <c r="P61" s="5">
        <f t="shared" si="3"/>
        <v>3506603.547</v>
      </c>
      <c r="Q61" s="5">
        <v>1970.0</v>
      </c>
      <c r="R61" s="5">
        <v>24000.02</v>
      </c>
      <c r="S61" s="5">
        <v>17923.79</v>
      </c>
      <c r="T61" s="5">
        <f t="shared" si="4"/>
        <v>14631.27</v>
      </c>
      <c r="U61" s="6">
        <v>2.0273048127730648E-4</v>
      </c>
      <c r="V61" s="6">
        <v>0.4172490504068618</v>
      </c>
      <c r="W61" s="4"/>
      <c r="X61" s="4"/>
      <c r="Y61" s="4"/>
      <c r="Z61" s="4"/>
    </row>
    <row r="62" ht="14.25" customHeight="1">
      <c r="A62" s="5">
        <v>20605.0</v>
      </c>
      <c r="B62" s="5" t="s">
        <v>100</v>
      </c>
      <c r="C62" s="5" t="s">
        <v>63</v>
      </c>
      <c r="D62" s="5" t="s">
        <v>96</v>
      </c>
      <c r="E62" s="5">
        <v>9389989.39</v>
      </c>
      <c r="F62" s="5">
        <v>1.096125002488357E7</v>
      </c>
      <c r="G62" s="5">
        <v>1.602580396E7</v>
      </c>
      <c r="H62" s="5">
        <f t="shared" si="1"/>
        <v>12125681.12</v>
      </c>
      <c r="I62" s="5">
        <v>329036.15</v>
      </c>
      <c r="J62" s="5">
        <v>191055.95</v>
      </c>
      <c r="K62" s="5">
        <v>3174748.28</v>
      </c>
      <c r="L62" s="5">
        <f t="shared" si="2"/>
        <v>1231613.46</v>
      </c>
      <c r="M62" s="5">
        <v>9386878.189999994</v>
      </c>
      <c r="N62" s="5">
        <v>1.210313221E7</v>
      </c>
      <c r="O62" s="5">
        <v>1.559161757E7</v>
      </c>
      <c r="P62" s="5">
        <f t="shared" si="3"/>
        <v>12360542.66</v>
      </c>
      <c r="Q62" s="5">
        <v>882582.6500000001</v>
      </c>
      <c r="R62" s="5">
        <v>2194219.439999999</v>
      </c>
      <c r="S62" s="5">
        <v>5965526.66</v>
      </c>
      <c r="T62" s="5">
        <f t="shared" si="4"/>
        <v>3014109.583</v>
      </c>
      <c r="U62" s="6">
        <v>10.157066207725647</v>
      </c>
      <c r="V62" s="6">
        <v>24.384929262856204</v>
      </c>
      <c r="W62" s="4"/>
      <c r="X62" s="4"/>
      <c r="Y62" s="4"/>
      <c r="Z62" s="4"/>
    </row>
    <row r="63" ht="14.25" customHeight="1">
      <c r="A63" s="5">
        <v>20606.0</v>
      </c>
      <c r="B63" s="5" t="s">
        <v>101</v>
      </c>
      <c r="C63" s="5" t="s">
        <v>63</v>
      </c>
      <c r="D63" s="5" t="s">
        <v>96</v>
      </c>
      <c r="E63" s="5">
        <v>9925202.58</v>
      </c>
      <c r="F63" s="5">
        <v>1.181352132735009E7</v>
      </c>
      <c r="G63" s="5">
        <v>1.560321343E7</v>
      </c>
      <c r="H63" s="5">
        <f t="shared" si="1"/>
        <v>12447312.45</v>
      </c>
      <c r="I63" s="5">
        <v>267254.1299999999</v>
      </c>
      <c r="J63" s="5">
        <v>470996.84</v>
      </c>
      <c r="K63" s="5">
        <v>2104344.15</v>
      </c>
      <c r="L63" s="5">
        <f t="shared" si="2"/>
        <v>947531.7067</v>
      </c>
      <c r="M63" s="5">
        <v>1.674765505E7</v>
      </c>
      <c r="N63" s="5">
        <v>1.992609342E7</v>
      </c>
      <c r="O63" s="5">
        <v>1.839253206E7</v>
      </c>
      <c r="P63" s="5">
        <f t="shared" si="3"/>
        <v>18355426.84</v>
      </c>
      <c r="Q63" s="5">
        <v>4917740.16</v>
      </c>
      <c r="R63" s="5">
        <v>6140681.189999999</v>
      </c>
      <c r="S63" s="5">
        <v>5000577.7</v>
      </c>
      <c r="T63" s="5">
        <f t="shared" si="4"/>
        <v>5352999.683</v>
      </c>
      <c r="U63" s="6">
        <v>7.612339698178393</v>
      </c>
      <c r="V63" s="6">
        <v>29.16303570067909</v>
      </c>
      <c r="W63" s="4"/>
      <c r="X63" s="4"/>
      <c r="Y63" s="4"/>
      <c r="Z63" s="4"/>
    </row>
    <row r="64" ht="14.25" customHeight="1">
      <c r="A64" s="5">
        <v>20607.0</v>
      </c>
      <c r="B64" s="5" t="s">
        <v>102</v>
      </c>
      <c r="C64" s="5" t="s">
        <v>63</v>
      </c>
      <c r="D64" s="5" t="s">
        <v>96</v>
      </c>
      <c r="E64" s="5">
        <v>7369201.62</v>
      </c>
      <c r="F64" s="5">
        <v>8523886.285281632</v>
      </c>
      <c r="G64" s="5">
        <v>1.047262425E7</v>
      </c>
      <c r="H64" s="5">
        <f t="shared" si="1"/>
        <v>8788570.718</v>
      </c>
      <c r="I64" s="5">
        <v>223618.07</v>
      </c>
      <c r="J64" s="5">
        <v>140771.9</v>
      </c>
      <c r="K64" s="5">
        <v>497817.38</v>
      </c>
      <c r="L64" s="5">
        <f t="shared" si="2"/>
        <v>287402.45</v>
      </c>
      <c r="M64" s="5">
        <v>8794888.929999996</v>
      </c>
      <c r="N64" s="5">
        <v>1.266430169E7</v>
      </c>
      <c r="O64" s="5">
        <v>1.811943648E7</v>
      </c>
      <c r="P64" s="5">
        <f t="shared" si="3"/>
        <v>13192875.7</v>
      </c>
      <c r="Q64" s="5">
        <v>811366.7300000001</v>
      </c>
      <c r="R64" s="5">
        <v>3386584.65</v>
      </c>
      <c r="S64" s="5">
        <v>9106526.7</v>
      </c>
      <c r="T64" s="5">
        <f t="shared" si="4"/>
        <v>4434826.027</v>
      </c>
      <c r="U64" s="6">
        <v>3.2701841881683475</v>
      </c>
      <c r="V64" s="6">
        <v>33.61530971345896</v>
      </c>
      <c r="W64" s="4"/>
      <c r="X64" s="4"/>
      <c r="Y64" s="4"/>
      <c r="Z64" s="4"/>
    </row>
    <row r="65" ht="14.25" customHeight="1">
      <c r="A65" s="5">
        <v>20608.0</v>
      </c>
      <c r="B65" s="5" t="s">
        <v>103</v>
      </c>
      <c r="C65" s="5" t="s">
        <v>63</v>
      </c>
      <c r="D65" s="5" t="s">
        <v>96</v>
      </c>
      <c r="E65" s="5">
        <v>1.421593098E7</v>
      </c>
      <c r="F65" s="5">
        <v>1.628577307015016E7</v>
      </c>
      <c r="G65" s="5">
        <v>1.943233567E7</v>
      </c>
      <c r="H65" s="5">
        <f t="shared" si="1"/>
        <v>16644679.91</v>
      </c>
      <c r="I65" s="5">
        <v>370339.67</v>
      </c>
      <c r="J65" s="5">
        <v>270857.69</v>
      </c>
      <c r="K65" s="5">
        <v>436015.57</v>
      </c>
      <c r="L65" s="5">
        <f t="shared" si="2"/>
        <v>359070.9767</v>
      </c>
      <c r="M65" s="5">
        <v>1.869466270999999E7</v>
      </c>
      <c r="N65" s="5">
        <v>2.168695007E7</v>
      </c>
      <c r="O65" s="5">
        <v>2.096144054E7</v>
      </c>
      <c r="P65" s="5">
        <f t="shared" si="3"/>
        <v>20447684.44</v>
      </c>
      <c r="Q65" s="5">
        <v>1399235.37</v>
      </c>
      <c r="R65" s="5">
        <v>1533004.0</v>
      </c>
      <c r="S65" s="5">
        <v>1382711.86</v>
      </c>
      <c r="T65" s="5">
        <f t="shared" si="4"/>
        <v>1438317.077</v>
      </c>
      <c r="U65" s="6">
        <v>2.1572717449601946</v>
      </c>
      <c r="V65" s="6">
        <v>7.034131815204535</v>
      </c>
      <c r="W65" s="4"/>
      <c r="X65" s="4"/>
      <c r="Y65" s="4"/>
      <c r="Z65" s="4"/>
    </row>
    <row r="66" ht="14.25" customHeight="1">
      <c r="A66" s="5">
        <v>20701.0</v>
      </c>
      <c r="B66" s="5" t="s">
        <v>104</v>
      </c>
      <c r="C66" s="5" t="s">
        <v>63</v>
      </c>
      <c r="D66" s="5" t="s">
        <v>105</v>
      </c>
      <c r="E66" s="5">
        <v>5278780.27</v>
      </c>
      <c r="F66" s="5">
        <v>6212646.088187817</v>
      </c>
      <c r="G66" s="5">
        <v>8470527.46</v>
      </c>
      <c r="H66" s="5">
        <f t="shared" si="1"/>
        <v>6653984.606</v>
      </c>
      <c r="I66" s="5">
        <v>45269.0</v>
      </c>
      <c r="J66" s="5">
        <v>114490.85</v>
      </c>
      <c r="K66" s="5">
        <v>1225286.42</v>
      </c>
      <c r="L66" s="5">
        <f t="shared" si="2"/>
        <v>461682.09</v>
      </c>
      <c r="M66" s="5">
        <v>1.019507775E7</v>
      </c>
      <c r="N66" s="5">
        <v>1.263175196E7</v>
      </c>
      <c r="O66" s="5">
        <v>9080957.95</v>
      </c>
      <c r="P66" s="5">
        <f t="shared" si="3"/>
        <v>10635929.22</v>
      </c>
      <c r="Q66" s="5">
        <v>4420719.210000001</v>
      </c>
      <c r="R66" s="5">
        <v>5903632.24</v>
      </c>
      <c r="S66" s="5">
        <v>2544879.5</v>
      </c>
      <c r="T66" s="5">
        <f t="shared" si="4"/>
        <v>4289743.65</v>
      </c>
      <c r="U66" s="6">
        <v>6.938430389203941</v>
      </c>
      <c r="V66" s="6">
        <v>40.332570490723896</v>
      </c>
      <c r="W66" s="4"/>
      <c r="X66" s="4"/>
      <c r="Y66" s="4"/>
      <c r="Z66" s="4"/>
    </row>
    <row r="67" ht="14.25" customHeight="1">
      <c r="A67" s="5">
        <v>20702.0</v>
      </c>
      <c r="B67" s="5" t="s">
        <v>106</v>
      </c>
      <c r="C67" s="5" t="s">
        <v>63</v>
      </c>
      <c r="D67" s="5" t="s">
        <v>105</v>
      </c>
      <c r="E67" s="5">
        <v>5.7598413231E7</v>
      </c>
      <c r="F67" s="5">
        <v>6.908307659548467E7</v>
      </c>
      <c r="G67" s="5">
        <v>8.187689347000001E7</v>
      </c>
      <c r="H67" s="5">
        <f t="shared" si="1"/>
        <v>69519461.1</v>
      </c>
      <c r="I67" s="5">
        <v>1.130549675E7</v>
      </c>
      <c r="J67" s="5">
        <v>1.452521689E7</v>
      </c>
      <c r="K67" s="5">
        <v>1.689689144E7</v>
      </c>
      <c r="L67" s="5">
        <f t="shared" si="2"/>
        <v>14242535.03</v>
      </c>
      <c r="M67" s="5">
        <v>1.129428604499999E8</v>
      </c>
      <c r="N67" s="5">
        <v>1.2849436456E8</v>
      </c>
      <c r="O67" s="5">
        <v>1.2541537923E8</v>
      </c>
      <c r="P67" s="5">
        <f t="shared" si="3"/>
        <v>122284201.4</v>
      </c>
      <c r="Q67" s="5">
        <v>4.419130256E7</v>
      </c>
      <c r="R67" s="5">
        <v>4.838072872E7</v>
      </c>
      <c r="S67" s="5">
        <v>4.758822331E7</v>
      </c>
      <c r="T67" s="5">
        <f t="shared" si="4"/>
        <v>46720084.86</v>
      </c>
      <c r="U67" s="6">
        <v>20.487119436123944</v>
      </c>
      <c r="V67" s="6">
        <v>38.206149546182665</v>
      </c>
      <c r="W67" s="4"/>
      <c r="X67" s="4"/>
      <c r="Y67" s="4"/>
      <c r="Z67" s="4"/>
    </row>
    <row r="68" ht="14.25" customHeight="1">
      <c r="A68" s="5">
        <v>20801.0</v>
      </c>
      <c r="B68" s="5" t="s">
        <v>107</v>
      </c>
      <c r="C68" s="5" t="s">
        <v>63</v>
      </c>
      <c r="D68" s="5" t="s">
        <v>108</v>
      </c>
      <c r="E68" s="5">
        <v>7611903.7</v>
      </c>
      <c r="F68" s="5">
        <v>9001160.041928977</v>
      </c>
      <c r="G68" s="5">
        <v>1.071310256E7</v>
      </c>
      <c r="H68" s="5">
        <f t="shared" si="1"/>
        <v>9108722.101</v>
      </c>
      <c r="I68" s="5">
        <v>23498.05</v>
      </c>
      <c r="J68" s="5">
        <v>97404.06999999999</v>
      </c>
      <c r="K68" s="5">
        <v>118522.15</v>
      </c>
      <c r="L68" s="5">
        <f t="shared" si="2"/>
        <v>79808.09</v>
      </c>
      <c r="M68" s="5">
        <v>6578809.669999995</v>
      </c>
      <c r="N68" s="5">
        <v>7374327.619999998</v>
      </c>
      <c r="O68" s="5">
        <v>7313780.56</v>
      </c>
      <c r="P68" s="5">
        <f t="shared" si="3"/>
        <v>7088972.617</v>
      </c>
      <c r="Q68" s="5">
        <v>380267.28</v>
      </c>
      <c r="R68" s="5">
        <v>151969.05</v>
      </c>
      <c r="S68" s="5">
        <v>297569.0</v>
      </c>
      <c r="T68" s="5">
        <f t="shared" si="4"/>
        <v>276601.7767</v>
      </c>
      <c r="U68" s="6">
        <v>0.8761721909856739</v>
      </c>
      <c r="V68" s="6">
        <v>3.9018598550706316</v>
      </c>
      <c r="W68" s="4"/>
      <c r="X68" s="4"/>
      <c r="Y68" s="4"/>
      <c r="Z68" s="4"/>
    </row>
    <row r="69" ht="14.25" customHeight="1">
      <c r="A69" s="5">
        <v>20802.0</v>
      </c>
      <c r="B69" s="5" t="s">
        <v>109</v>
      </c>
      <c r="C69" s="5" t="s">
        <v>63</v>
      </c>
      <c r="D69" s="5" t="s">
        <v>108</v>
      </c>
      <c r="E69" s="5">
        <v>1.599232311E7</v>
      </c>
      <c r="F69" s="5">
        <v>1.818431762919399E7</v>
      </c>
      <c r="G69" s="5">
        <v>2.055377129E7</v>
      </c>
      <c r="H69" s="5">
        <f t="shared" si="1"/>
        <v>18243470.68</v>
      </c>
      <c r="I69" s="5">
        <v>4397409.01</v>
      </c>
      <c r="J69" s="5">
        <v>4684049.59</v>
      </c>
      <c r="K69" s="5">
        <v>4516916.79</v>
      </c>
      <c r="L69" s="5">
        <f t="shared" si="2"/>
        <v>4532791.797</v>
      </c>
      <c r="M69" s="5">
        <v>1.074680693999998E7</v>
      </c>
      <c r="N69" s="5">
        <v>1.250578595E7</v>
      </c>
      <c r="O69" s="5">
        <v>1.22662839E7</v>
      </c>
      <c r="P69" s="5">
        <f t="shared" si="3"/>
        <v>11839625.6</v>
      </c>
      <c r="Q69" s="5">
        <v>365199.72</v>
      </c>
      <c r="R69" s="5">
        <v>409518.72</v>
      </c>
      <c r="S69" s="5">
        <v>515266.06</v>
      </c>
      <c r="T69" s="5">
        <f t="shared" si="4"/>
        <v>429994.8333</v>
      </c>
      <c r="U69" s="6">
        <v>24.84610454375244</v>
      </c>
      <c r="V69" s="6">
        <v>3.6318279646815395</v>
      </c>
      <c r="W69" s="4"/>
      <c r="X69" s="4"/>
      <c r="Y69" s="4"/>
      <c r="Z69" s="4"/>
    </row>
    <row r="70" ht="14.25" customHeight="1">
      <c r="A70" s="5">
        <v>20803.0</v>
      </c>
      <c r="B70" s="5" t="s">
        <v>110</v>
      </c>
      <c r="C70" s="5" t="s">
        <v>63</v>
      </c>
      <c r="D70" s="5" t="s">
        <v>108</v>
      </c>
      <c r="E70" s="5">
        <v>5521770.06</v>
      </c>
      <c r="F70" s="5">
        <v>6339381.901034693</v>
      </c>
      <c r="G70" s="5">
        <v>7338383.750000001</v>
      </c>
      <c r="H70" s="5">
        <f t="shared" si="1"/>
        <v>6399845.237</v>
      </c>
      <c r="I70" s="5">
        <v>638215.04</v>
      </c>
      <c r="J70" s="5">
        <v>554513.0</v>
      </c>
      <c r="K70" s="5">
        <v>440705.7</v>
      </c>
      <c r="L70" s="5">
        <f t="shared" si="2"/>
        <v>544477.9133</v>
      </c>
      <c r="M70" s="5">
        <v>7553170.009999996</v>
      </c>
      <c r="N70" s="5">
        <v>9258502.770000001</v>
      </c>
      <c r="O70" s="5">
        <v>9183465.379999999</v>
      </c>
      <c r="P70" s="5">
        <f t="shared" si="3"/>
        <v>8665046.053</v>
      </c>
      <c r="Q70" s="5">
        <v>1602494.16</v>
      </c>
      <c r="R70" s="5">
        <v>2324946.48</v>
      </c>
      <c r="S70" s="5">
        <v>2447813.65</v>
      </c>
      <c r="T70" s="5">
        <f t="shared" si="4"/>
        <v>2125084.763</v>
      </c>
      <c r="U70" s="6">
        <v>8.50767312597671</v>
      </c>
      <c r="V70" s="6">
        <v>24.524794793396858</v>
      </c>
      <c r="W70" s="4"/>
      <c r="X70" s="4"/>
      <c r="Y70" s="4"/>
      <c r="Z70" s="4"/>
    </row>
    <row r="71" ht="14.25" customHeight="1">
      <c r="A71" s="5">
        <v>20804.0</v>
      </c>
      <c r="B71" s="5" t="s">
        <v>111</v>
      </c>
      <c r="C71" s="5" t="s">
        <v>63</v>
      </c>
      <c r="D71" s="5" t="s">
        <v>108</v>
      </c>
      <c r="E71" s="5">
        <v>8465062.73</v>
      </c>
      <c r="F71" s="5">
        <v>9892359.156315558</v>
      </c>
      <c r="G71" s="5">
        <v>1.174397211E7</v>
      </c>
      <c r="H71" s="5">
        <f t="shared" si="1"/>
        <v>10033798</v>
      </c>
      <c r="I71" s="5">
        <v>87392.89</v>
      </c>
      <c r="J71" s="5">
        <v>84070.55</v>
      </c>
      <c r="K71" s="5">
        <v>78676.45</v>
      </c>
      <c r="L71" s="5">
        <f t="shared" si="2"/>
        <v>83379.96333</v>
      </c>
      <c r="M71" s="5">
        <v>7353052.709999996</v>
      </c>
      <c r="N71" s="5">
        <v>8775748.530000001</v>
      </c>
      <c r="O71" s="5">
        <v>8847977.34</v>
      </c>
      <c r="P71" s="5">
        <f t="shared" si="3"/>
        <v>8325592.86</v>
      </c>
      <c r="Q71" s="5">
        <v>575671.9600000001</v>
      </c>
      <c r="R71" s="5">
        <v>888450.0599999999</v>
      </c>
      <c r="S71" s="5">
        <v>1185803.2</v>
      </c>
      <c r="T71" s="5">
        <f t="shared" si="4"/>
        <v>883308.4067</v>
      </c>
      <c r="U71" s="6">
        <v>0.8309910498849901</v>
      </c>
      <c r="V71" s="6">
        <v>10.609555637899241</v>
      </c>
      <c r="W71" s="4"/>
      <c r="X71" s="4"/>
      <c r="Y71" s="4"/>
      <c r="Z71" s="4"/>
    </row>
    <row r="72" ht="14.25" customHeight="1">
      <c r="A72" s="5">
        <v>20805.0</v>
      </c>
      <c r="B72" s="5" t="s">
        <v>112</v>
      </c>
      <c r="C72" s="5" t="s">
        <v>63</v>
      </c>
      <c r="D72" s="5" t="s">
        <v>108</v>
      </c>
      <c r="E72" s="5">
        <v>6531670.22</v>
      </c>
      <c r="F72" s="5">
        <v>7684917.683544121</v>
      </c>
      <c r="G72" s="5">
        <v>9136557.98</v>
      </c>
      <c r="H72" s="5">
        <f t="shared" si="1"/>
        <v>7784381.961</v>
      </c>
      <c r="I72" s="5">
        <v>79147.61</v>
      </c>
      <c r="J72" s="5">
        <v>169655.56</v>
      </c>
      <c r="K72" s="5">
        <v>208552.18</v>
      </c>
      <c r="L72" s="5">
        <f t="shared" si="2"/>
        <v>152451.7833</v>
      </c>
      <c r="M72" s="5">
        <v>5548444.909999995</v>
      </c>
      <c r="N72" s="5">
        <v>6363404.329999998</v>
      </c>
      <c r="O72" s="5">
        <v>6293252.26</v>
      </c>
      <c r="P72" s="5">
        <f t="shared" si="3"/>
        <v>6068367.167</v>
      </c>
      <c r="Q72" s="5">
        <v>314963.4</v>
      </c>
      <c r="R72" s="5">
        <v>265488.68</v>
      </c>
      <c r="S72" s="5">
        <v>369391.77</v>
      </c>
      <c r="T72" s="5">
        <f t="shared" si="4"/>
        <v>316614.6167</v>
      </c>
      <c r="U72" s="6">
        <v>1.9584314348084344</v>
      </c>
      <c r="V72" s="6">
        <v>5.21745978730193</v>
      </c>
      <c r="W72" s="4"/>
      <c r="X72" s="4"/>
      <c r="Y72" s="4"/>
      <c r="Z72" s="4"/>
    </row>
    <row r="73" ht="14.25" customHeight="1">
      <c r="A73" s="5">
        <v>20806.0</v>
      </c>
      <c r="B73" s="5" t="s">
        <v>113</v>
      </c>
      <c r="C73" s="5" t="s">
        <v>63</v>
      </c>
      <c r="D73" s="5" t="s">
        <v>108</v>
      </c>
      <c r="E73" s="5">
        <v>1.349759557E7</v>
      </c>
      <c r="F73" s="5">
        <v>1.590495845039897E7</v>
      </c>
      <c r="G73" s="5">
        <v>1.875772031E7</v>
      </c>
      <c r="H73" s="5">
        <f t="shared" si="1"/>
        <v>16053424.78</v>
      </c>
      <c r="I73" s="5">
        <v>15565.92</v>
      </c>
      <c r="J73" s="5">
        <v>163171.59</v>
      </c>
      <c r="K73" s="5">
        <v>46639.96999999999</v>
      </c>
      <c r="L73" s="5">
        <f t="shared" si="2"/>
        <v>75125.82667</v>
      </c>
      <c r="M73" s="5">
        <v>1.330965736999998E7</v>
      </c>
      <c r="N73" s="5">
        <v>1.61267532E7</v>
      </c>
      <c r="O73" s="5">
        <v>1.478099478E7</v>
      </c>
      <c r="P73" s="5">
        <f t="shared" si="3"/>
        <v>14739135.12</v>
      </c>
      <c r="Q73" s="5">
        <v>502191.63</v>
      </c>
      <c r="R73" s="5">
        <v>1202011.9</v>
      </c>
      <c r="S73" s="5">
        <v>282228.15</v>
      </c>
      <c r="T73" s="5">
        <f t="shared" si="4"/>
        <v>662143.8933</v>
      </c>
      <c r="U73" s="6">
        <v>0.46797382933041304</v>
      </c>
      <c r="V73" s="6">
        <v>4.492420268164832</v>
      </c>
      <c r="W73" s="4"/>
      <c r="X73" s="4"/>
      <c r="Y73" s="4"/>
      <c r="Z73" s="4"/>
    </row>
    <row r="74" ht="14.25" customHeight="1">
      <c r="A74" s="5">
        <v>20807.0</v>
      </c>
      <c r="B74" s="5" t="s">
        <v>114</v>
      </c>
      <c r="C74" s="5" t="s">
        <v>63</v>
      </c>
      <c r="D74" s="5" t="s">
        <v>108</v>
      </c>
      <c r="E74" s="5">
        <v>6053881.039999999</v>
      </c>
      <c r="F74" s="5">
        <v>7063129.535723465</v>
      </c>
      <c r="G74" s="5">
        <v>8383756.089999999</v>
      </c>
      <c r="H74" s="5">
        <f t="shared" si="1"/>
        <v>7166922.222</v>
      </c>
      <c r="I74" s="5">
        <v>12325.0</v>
      </c>
      <c r="J74" s="5">
        <v>15550.0</v>
      </c>
      <c r="K74" s="5">
        <v>8471.99</v>
      </c>
      <c r="L74" s="5">
        <f t="shared" si="2"/>
        <v>12115.66333</v>
      </c>
      <c r="M74" s="5">
        <v>6588738.409999997</v>
      </c>
      <c r="N74" s="5">
        <v>7716056.5</v>
      </c>
      <c r="O74" s="5">
        <v>7555293.62</v>
      </c>
      <c r="P74" s="5">
        <f t="shared" si="3"/>
        <v>7286696.177</v>
      </c>
      <c r="Q74" s="5">
        <v>965239.2</v>
      </c>
      <c r="R74" s="5">
        <v>1163599.95</v>
      </c>
      <c r="S74" s="5">
        <v>1189865.0</v>
      </c>
      <c r="T74" s="5">
        <f t="shared" si="4"/>
        <v>1106234.717</v>
      </c>
      <c r="U74" s="6">
        <v>0.16904973931903738</v>
      </c>
      <c r="V74" s="6">
        <v>15.181567748207103</v>
      </c>
      <c r="W74" s="4"/>
      <c r="X74" s="4"/>
      <c r="Y74" s="4"/>
      <c r="Z74" s="4"/>
    </row>
    <row r="75" ht="14.25" customHeight="1">
      <c r="A75" s="5">
        <v>20901.0</v>
      </c>
      <c r="B75" s="5" t="s">
        <v>115</v>
      </c>
      <c r="C75" s="5" t="s">
        <v>63</v>
      </c>
      <c r="D75" s="5" t="s">
        <v>116</v>
      </c>
      <c r="E75" s="5">
        <v>1.057901348E7</v>
      </c>
      <c r="F75" s="5">
        <v>1.235193616641795E7</v>
      </c>
      <c r="G75" s="5">
        <v>1.468535691E7</v>
      </c>
      <c r="H75" s="5">
        <f t="shared" si="1"/>
        <v>12538768.85</v>
      </c>
      <c r="I75" s="5">
        <v>73787.25</v>
      </c>
      <c r="J75" s="5">
        <v>53295.2</v>
      </c>
      <c r="K75" s="5">
        <v>58373.79</v>
      </c>
      <c r="L75" s="5">
        <f t="shared" si="2"/>
        <v>61818.74667</v>
      </c>
      <c r="M75" s="5">
        <v>9552854.949999996</v>
      </c>
      <c r="N75" s="5">
        <v>1.162665118E7</v>
      </c>
      <c r="O75" s="5">
        <v>1.097847E7</v>
      </c>
      <c r="P75" s="5">
        <f t="shared" si="3"/>
        <v>10719325.38</v>
      </c>
      <c r="Q75" s="5">
        <v>65611.37</v>
      </c>
      <c r="R75" s="5">
        <v>572453.8700000001</v>
      </c>
      <c r="S75" s="5">
        <v>239781.16</v>
      </c>
      <c r="T75" s="5">
        <f t="shared" si="4"/>
        <v>292615.4667</v>
      </c>
      <c r="U75" s="6">
        <v>0.49302086509170623</v>
      </c>
      <c r="V75" s="6">
        <v>2.729793679960668</v>
      </c>
      <c r="W75" s="4"/>
      <c r="X75" s="4"/>
      <c r="Y75" s="4"/>
      <c r="Z75" s="4"/>
    </row>
    <row r="76" ht="14.25" customHeight="1">
      <c r="A76" s="5">
        <v>20902.0</v>
      </c>
      <c r="B76" s="5" t="s">
        <v>117</v>
      </c>
      <c r="C76" s="5" t="s">
        <v>63</v>
      </c>
      <c r="D76" s="5" t="s">
        <v>116</v>
      </c>
      <c r="E76" s="5">
        <v>1.1763896E7</v>
      </c>
      <c r="F76" s="5">
        <v>1.385132744507914E7</v>
      </c>
      <c r="G76" s="5">
        <v>1.641198297E7</v>
      </c>
      <c r="H76" s="5">
        <f t="shared" si="1"/>
        <v>14009068.81</v>
      </c>
      <c r="I76" s="5">
        <v>62473.04</v>
      </c>
      <c r="J76" s="5">
        <v>192466.84</v>
      </c>
      <c r="K76" s="5">
        <v>177710.73</v>
      </c>
      <c r="L76" s="5">
        <f t="shared" si="2"/>
        <v>144216.87</v>
      </c>
      <c r="M76" s="5">
        <v>1.095930782999999E7</v>
      </c>
      <c r="N76" s="5">
        <v>1.267759222E7</v>
      </c>
      <c r="O76" s="5">
        <v>1.25196793E7</v>
      </c>
      <c r="P76" s="5">
        <f t="shared" si="3"/>
        <v>12052193.12</v>
      </c>
      <c r="Q76" s="5">
        <v>328698.92</v>
      </c>
      <c r="R76" s="5">
        <v>288553.88</v>
      </c>
      <c r="S76" s="5">
        <v>484245.87</v>
      </c>
      <c r="T76" s="5">
        <f t="shared" si="4"/>
        <v>367166.2233</v>
      </c>
      <c r="U76" s="6">
        <v>1.0294536489695572</v>
      </c>
      <c r="V76" s="6">
        <v>3.046468138861704</v>
      </c>
      <c r="W76" s="4"/>
      <c r="X76" s="4"/>
      <c r="Y76" s="4"/>
      <c r="Z76" s="4"/>
    </row>
    <row r="77" ht="14.25" customHeight="1">
      <c r="A77" s="5">
        <v>20903.0</v>
      </c>
      <c r="B77" s="5" t="s">
        <v>118</v>
      </c>
      <c r="C77" s="5" t="s">
        <v>63</v>
      </c>
      <c r="D77" s="5" t="s">
        <v>116</v>
      </c>
      <c r="E77" s="5">
        <v>8212771.67</v>
      </c>
      <c r="F77" s="5">
        <v>9542979.029578112</v>
      </c>
      <c r="G77" s="5">
        <v>1.131974435E7</v>
      </c>
      <c r="H77" s="5">
        <f t="shared" si="1"/>
        <v>9691831.683</v>
      </c>
      <c r="I77" s="5">
        <v>54622.84999999999</v>
      </c>
      <c r="J77" s="5">
        <v>85640.26</v>
      </c>
      <c r="K77" s="5">
        <v>96230.87000000001</v>
      </c>
      <c r="L77" s="5">
        <f t="shared" si="2"/>
        <v>78831.32667</v>
      </c>
      <c r="M77" s="5">
        <v>6613653.099999994</v>
      </c>
      <c r="N77" s="5">
        <v>7599357.29</v>
      </c>
      <c r="O77" s="5">
        <v>7352111.560000001</v>
      </c>
      <c r="P77" s="5">
        <f t="shared" si="3"/>
        <v>7188373.983</v>
      </c>
      <c r="Q77" s="5">
        <v>383594.97</v>
      </c>
      <c r="R77" s="5">
        <v>340278.15</v>
      </c>
      <c r="S77" s="5">
        <v>300227.38</v>
      </c>
      <c r="T77" s="5">
        <f t="shared" si="4"/>
        <v>341366.8333</v>
      </c>
      <c r="U77" s="6">
        <v>0.8133790313689998</v>
      </c>
      <c r="V77" s="6">
        <v>4.748874142119099</v>
      </c>
      <c r="W77" s="4"/>
      <c r="X77" s="4"/>
      <c r="Y77" s="4"/>
      <c r="Z77" s="4"/>
    </row>
    <row r="78" ht="14.25" customHeight="1">
      <c r="A78" s="5">
        <v>20904.0</v>
      </c>
      <c r="B78" s="5" t="s">
        <v>119</v>
      </c>
      <c r="C78" s="5" t="s">
        <v>63</v>
      </c>
      <c r="D78" s="5" t="s">
        <v>116</v>
      </c>
      <c r="E78" s="5">
        <v>3875616.27</v>
      </c>
      <c r="F78" s="5">
        <v>4641423.020479067</v>
      </c>
      <c r="G78" s="5">
        <v>5657275.010000001</v>
      </c>
      <c r="H78" s="5">
        <f t="shared" si="1"/>
        <v>4724771.433</v>
      </c>
      <c r="I78" s="5">
        <v>44528.81</v>
      </c>
      <c r="J78" s="5">
        <v>182611.32</v>
      </c>
      <c r="K78" s="5">
        <v>361075.42</v>
      </c>
      <c r="L78" s="5">
        <f t="shared" si="2"/>
        <v>196071.85</v>
      </c>
      <c r="M78" s="5">
        <v>4464545.959999998</v>
      </c>
      <c r="N78" s="5">
        <v>5305221.439999999</v>
      </c>
      <c r="O78" s="5">
        <v>5258169.959999999</v>
      </c>
      <c r="P78" s="5">
        <f t="shared" si="3"/>
        <v>5009312.453</v>
      </c>
      <c r="Q78" s="5">
        <v>54152.54</v>
      </c>
      <c r="R78" s="5">
        <v>165017.16</v>
      </c>
      <c r="S78" s="5">
        <v>264687.39</v>
      </c>
      <c r="T78" s="5">
        <f t="shared" si="4"/>
        <v>161285.6967</v>
      </c>
      <c r="U78" s="6">
        <v>4.149869528292591</v>
      </c>
      <c r="V78" s="6">
        <v>3.219717240024483</v>
      </c>
      <c r="W78" s="4"/>
      <c r="X78" s="4"/>
      <c r="Y78" s="4"/>
      <c r="Z78" s="4"/>
    </row>
    <row r="79" ht="14.25" customHeight="1">
      <c r="A79" s="5">
        <v>20905.0</v>
      </c>
      <c r="B79" s="5" t="s">
        <v>120</v>
      </c>
      <c r="C79" s="5" t="s">
        <v>63</v>
      </c>
      <c r="D79" s="5" t="s">
        <v>116</v>
      </c>
      <c r="E79" s="5">
        <v>1.092507326E7</v>
      </c>
      <c r="F79" s="5">
        <v>1.258649444378169E7</v>
      </c>
      <c r="G79" s="5">
        <v>1.502193829E7</v>
      </c>
      <c r="H79" s="5">
        <f t="shared" si="1"/>
        <v>12844502</v>
      </c>
      <c r="I79" s="5">
        <v>556183.37</v>
      </c>
      <c r="J79" s="5">
        <v>452059.63</v>
      </c>
      <c r="K79" s="5">
        <v>591440.78</v>
      </c>
      <c r="L79" s="5">
        <f t="shared" si="2"/>
        <v>533227.9267</v>
      </c>
      <c r="M79" s="5">
        <v>1.191610733999999E7</v>
      </c>
      <c r="N79" s="5">
        <v>1.281195363E7</v>
      </c>
      <c r="O79" s="5">
        <v>1.187055503E7</v>
      </c>
      <c r="P79" s="5">
        <f t="shared" si="3"/>
        <v>12199538.67</v>
      </c>
      <c r="Q79" s="5">
        <v>2244880.34</v>
      </c>
      <c r="R79" s="5">
        <v>1543387.75</v>
      </c>
      <c r="S79" s="5">
        <v>923615.7399999999</v>
      </c>
      <c r="T79" s="5">
        <f t="shared" si="4"/>
        <v>1570627.943</v>
      </c>
      <c r="U79" s="6">
        <v>4.151409893141174</v>
      </c>
      <c r="V79" s="6">
        <v>12.874486374020266</v>
      </c>
      <c r="W79" s="4"/>
      <c r="X79" s="4"/>
      <c r="Y79" s="4"/>
      <c r="Z79" s="4"/>
    </row>
    <row r="80" ht="14.25" customHeight="1">
      <c r="A80" s="5">
        <v>21001.0</v>
      </c>
      <c r="B80" s="5" t="s">
        <v>121</v>
      </c>
      <c r="C80" s="5" t="s">
        <v>63</v>
      </c>
      <c r="D80" s="5" t="s">
        <v>122</v>
      </c>
      <c r="E80" s="5">
        <v>1.703824029E7</v>
      </c>
      <c r="F80" s="5">
        <v>1.943996857706772E7</v>
      </c>
      <c r="G80" s="5">
        <v>2.331187961999999E7</v>
      </c>
      <c r="H80" s="5">
        <f t="shared" si="1"/>
        <v>19930029.5</v>
      </c>
      <c r="I80" s="5">
        <v>344845.7</v>
      </c>
      <c r="J80" s="5">
        <v>66319.4</v>
      </c>
      <c r="K80" s="5">
        <v>314552.18</v>
      </c>
      <c r="L80" s="5">
        <f t="shared" si="2"/>
        <v>241905.76</v>
      </c>
      <c r="M80" s="5">
        <v>1.368258973999998E7</v>
      </c>
      <c r="N80" s="5">
        <v>1.738912692E7</v>
      </c>
      <c r="O80" s="5">
        <v>1.605534693E7</v>
      </c>
      <c r="P80" s="5">
        <f t="shared" si="3"/>
        <v>15709021.2</v>
      </c>
      <c r="Q80" s="5">
        <v>1150578.8</v>
      </c>
      <c r="R80" s="5">
        <v>2783953.63</v>
      </c>
      <c r="S80" s="5">
        <v>1867027.61</v>
      </c>
      <c r="T80" s="5">
        <f t="shared" si="4"/>
        <v>1933853.347</v>
      </c>
      <c r="U80" s="6">
        <v>1.213775223224446</v>
      </c>
      <c r="V80" s="6">
        <v>12.310463665788523</v>
      </c>
      <c r="W80" s="4"/>
      <c r="X80" s="4"/>
      <c r="Y80" s="4"/>
      <c r="Z80" s="4"/>
    </row>
    <row r="81" ht="14.25" customHeight="1">
      <c r="A81" s="5">
        <v>21002.0</v>
      </c>
      <c r="B81" s="5" t="s">
        <v>123</v>
      </c>
      <c r="C81" s="5" t="s">
        <v>63</v>
      </c>
      <c r="D81" s="5" t="s">
        <v>122</v>
      </c>
      <c r="E81" s="5">
        <v>8420329.840000002</v>
      </c>
      <c r="F81" s="5">
        <v>9771867.507287322</v>
      </c>
      <c r="G81" s="5">
        <v>1.203062013E7</v>
      </c>
      <c r="H81" s="5">
        <f t="shared" si="1"/>
        <v>10074272.49</v>
      </c>
      <c r="I81" s="5">
        <v>1123233.27</v>
      </c>
      <c r="J81" s="5">
        <v>1175440.72</v>
      </c>
      <c r="K81" s="5">
        <v>1792796.43</v>
      </c>
      <c r="L81" s="5">
        <f t="shared" si="2"/>
        <v>1363823.473</v>
      </c>
      <c r="M81" s="5">
        <v>8479987.989999996</v>
      </c>
      <c r="N81" s="5">
        <v>1.039304155E7</v>
      </c>
      <c r="O81" s="5">
        <v>9708027.94</v>
      </c>
      <c r="P81" s="5">
        <f t="shared" si="3"/>
        <v>9527019.16</v>
      </c>
      <c r="Q81" s="5">
        <v>1436648.47</v>
      </c>
      <c r="R81" s="5">
        <v>2190145.42</v>
      </c>
      <c r="S81" s="5">
        <v>1739263.67</v>
      </c>
      <c r="T81" s="5">
        <f t="shared" si="4"/>
        <v>1788685.853</v>
      </c>
      <c r="U81" s="6">
        <v>13.537686958122853</v>
      </c>
      <c r="V81" s="6">
        <v>18.774874105882805</v>
      </c>
      <c r="W81" s="4"/>
      <c r="X81" s="4"/>
      <c r="Y81" s="4"/>
      <c r="Z81" s="4"/>
    </row>
    <row r="82" ht="14.25" customHeight="1">
      <c r="A82" s="5">
        <v>21003.0</v>
      </c>
      <c r="B82" s="5" t="s">
        <v>124</v>
      </c>
      <c r="C82" s="5" t="s">
        <v>63</v>
      </c>
      <c r="D82" s="5" t="s">
        <v>122</v>
      </c>
      <c r="E82" s="5">
        <v>8302592.92</v>
      </c>
      <c r="F82" s="5">
        <v>9712568.337157315</v>
      </c>
      <c r="G82" s="5">
        <v>1.150706237E7</v>
      </c>
      <c r="H82" s="5">
        <f t="shared" si="1"/>
        <v>9840741.209</v>
      </c>
      <c r="I82" s="5">
        <v>513881.8300000001</v>
      </c>
      <c r="J82" s="5">
        <v>571210.2799999999</v>
      </c>
      <c r="K82" s="5">
        <v>629094.1</v>
      </c>
      <c r="L82" s="5">
        <f t="shared" si="2"/>
        <v>571395.4033</v>
      </c>
      <c r="M82" s="5">
        <v>1.065363009E7</v>
      </c>
      <c r="N82" s="5">
        <v>1.15850771E7</v>
      </c>
      <c r="O82" s="5">
        <v>1.067240519E7</v>
      </c>
      <c r="P82" s="5">
        <f t="shared" si="3"/>
        <v>10970370.79</v>
      </c>
      <c r="Q82" s="5">
        <v>1749689.31</v>
      </c>
      <c r="R82" s="5">
        <v>1206736.29</v>
      </c>
      <c r="S82" s="5">
        <v>590283.9</v>
      </c>
      <c r="T82" s="5">
        <f t="shared" si="4"/>
        <v>1182236.5</v>
      </c>
      <c r="U82" s="6">
        <v>5.806426479417121</v>
      </c>
      <c r="V82" s="6">
        <v>10.776632096322965</v>
      </c>
      <c r="W82" s="4"/>
      <c r="X82" s="4"/>
      <c r="Y82" s="4"/>
      <c r="Z82" s="4"/>
    </row>
    <row r="83" ht="14.25" customHeight="1">
      <c r="A83" s="5">
        <v>21004.0</v>
      </c>
      <c r="B83" s="5" t="s">
        <v>125</v>
      </c>
      <c r="C83" s="5" t="s">
        <v>63</v>
      </c>
      <c r="D83" s="5" t="s">
        <v>122</v>
      </c>
      <c r="E83" s="5">
        <v>2.448307863E7</v>
      </c>
      <c r="F83" s="5">
        <v>2.626147347958255E7</v>
      </c>
      <c r="G83" s="5">
        <v>3.033022877E7</v>
      </c>
      <c r="H83" s="5">
        <f t="shared" si="1"/>
        <v>27024926.96</v>
      </c>
      <c r="I83" s="5">
        <v>5309603.029999999</v>
      </c>
      <c r="J83" s="5">
        <v>3946957.040000001</v>
      </c>
      <c r="K83" s="5">
        <v>3825586.57</v>
      </c>
      <c r="L83" s="5">
        <f t="shared" si="2"/>
        <v>4360715.547</v>
      </c>
      <c r="M83" s="5">
        <v>2.317988595999999E7</v>
      </c>
      <c r="N83" s="5">
        <v>2.648328563E7</v>
      </c>
      <c r="O83" s="5">
        <v>2.596978434E7</v>
      </c>
      <c r="P83" s="5">
        <f t="shared" si="3"/>
        <v>25210985.31</v>
      </c>
      <c r="Q83" s="5">
        <v>6466300.39</v>
      </c>
      <c r="R83" s="5">
        <v>7012143.85</v>
      </c>
      <c r="S83" s="5">
        <v>7054372.43</v>
      </c>
      <c r="T83" s="5">
        <f t="shared" si="4"/>
        <v>6844272.223</v>
      </c>
      <c r="U83" s="6">
        <v>16.135901322299524</v>
      </c>
      <c r="V83" s="6">
        <v>27.147975928646215</v>
      </c>
      <c r="W83" s="4"/>
      <c r="X83" s="4"/>
      <c r="Y83" s="4"/>
      <c r="Z83" s="4"/>
    </row>
    <row r="84" ht="14.25" customHeight="1">
      <c r="A84" s="5">
        <v>21005.0</v>
      </c>
      <c r="B84" s="5" t="s">
        <v>126</v>
      </c>
      <c r="C84" s="5" t="s">
        <v>63</v>
      </c>
      <c r="D84" s="5" t="s">
        <v>122</v>
      </c>
      <c r="E84" s="5">
        <v>7166074.71</v>
      </c>
      <c r="F84" s="5">
        <v>8310444.209109795</v>
      </c>
      <c r="G84" s="5">
        <v>1.01512398E7</v>
      </c>
      <c r="H84" s="5">
        <f t="shared" si="1"/>
        <v>8542586.24</v>
      </c>
      <c r="I84" s="5">
        <v>114313.3</v>
      </c>
      <c r="J84" s="5">
        <v>117656.52</v>
      </c>
      <c r="K84" s="5">
        <v>423688.64</v>
      </c>
      <c r="L84" s="5">
        <f t="shared" si="2"/>
        <v>218552.82</v>
      </c>
      <c r="M84" s="5">
        <v>7546844.949999994</v>
      </c>
      <c r="N84" s="5">
        <v>8656661.280000001</v>
      </c>
      <c r="O84" s="5">
        <v>8342571.34</v>
      </c>
      <c r="P84" s="5">
        <f t="shared" si="3"/>
        <v>8182025.857</v>
      </c>
      <c r="Q84" s="5">
        <v>809200.42</v>
      </c>
      <c r="R84" s="5">
        <v>804098.36</v>
      </c>
      <c r="S84" s="5">
        <v>714141.73</v>
      </c>
      <c r="T84" s="5">
        <f t="shared" si="4"/>
        <v>775813.5033</v>
      </c>
      <c r="U84" s="6">
        <v>2.558391731349868</v>
      </c>
      <c r="V84" s="6">
        <v>9.481924365971114</v>
      </c>
      <c r="W84" s="4"/>
      <c r="X84" s="4"/>
      <c r="Y84" s="4"/>
      <c r="Z84" s="4"/>
    </row>
    <row r="85" ht="14.25" customHeight="1">
      <c r="A85" s="5">
        <v>21006.0</v>
      </c>
      <c r="B85" s="5" t="s">
        <v>127</v>
      </c>
      <c r="C85" s="5" t="s">
        <v>63</v>
      </c>
      <c r="D85" s="5" t="s">
        <v>122</v>
      </c>
      <c r="E85" s="5">
        <v>2744878.92</v>
      </c>
      <c r="F85" s="5">
        <v>3230409.564459197</v>
      </c>
      <c r="G85" s="5">
        <v>3853395.6</v>
      </c>
      <c r="H85" s="5">
        <f t="shared" si="1"/>
        <v>3276228.028</v>
      </c>
      <c r="I85" s="5">
        <v>21188.5</v>
      </c>
      <c r="J85" s="5">
        <v>21886.97</v>
      </c>
      <c r="K85" s="5">
        <v>32177.19</v>
      </c>
      <c r="L85" s="5">
        <f t="shared" si="2"/>
        <v>25084.22</v>
      </c>
      <c r="M85" s="5">
        <v>4831715.419999997</v>
      </c>
      <c r="N85" s="5">
        <v>6198922.949999999</v>
      </c>
      <c r="O85" s="5">
        <v>5525754.800000001</v>
      </c>
      <c r="P85" s="5">
        <f t="shared" si="3"/>
        <v>5518797.723</v>
      </c>
      <c r="Q85" s="5">
        <v>157849.72</v>
      </c>
      <c r="R85" s="5">
        <v>753045.3300000001</v>
      </c>
      <c r="S85" s="5">
        <v>235322.86</v>
      </c>
      <c r="T85" s="5">
        <f t="shared" si="4"/>
        <v>382072.6367</v>
      </c>
      <c r="U85" s="6">
        <v>0.7656432880876405</v>
      </c>
      <c r="V85" s="6">
        <v>6.923113616780582</v>
      </c>
      <c r="W85" s="4"/>
      <c r="X85" s="4"/>
      <c r="Y85" s="4"/>
      <c r="Z85" s="4"/>
    </row>
    <row r="86" ht="14.25" customHeight="1">
      <c r="A86" s="5">
        <v>21101.0</v>
      </c>
      <c r="B86" s="5" t="s">
        <v>128</v>
      </c>
      <c r="C86" s="5" t="s">
        <v>63</v>
      </c>
      <c r="D86" s="5" t="s">
        <v>129</v>
      </c>
      <c r="E86" s="5">
        <v>1.344278513E7</v>
      </c>
      <c r="F86" s="5">
        <v>1.558292052500846E7</v>
      </c>
      <c r="G86" s="5">
        <v>1.847997603E7</v>
      </c>
      <c r="H86" s="5">
        <f t="shared" si="1"/>
        <v>15835227.23</v>
      </c>
      <c r="I86" s="5">
        <v>617568.9300000002</v>
      </c>
      <c r="J86" s="5">
        <v>333698.6</v>
      </c>
      <c r="K86" s="5">
        <v>283249.33</v>
      </c>
      <c r="L86" s="5">
        <f t="shared" si="2"/>
        <v>411505.62</v>
      </c>
      <c r="M86" s="5">
        <v>1.643135932999998E7</v>
      </c>
      <c r="N86" s="5">
        <v>1.876225914E7</v>
      </c>
      <c r="O86" s="5">
        <v>1.79024876E7</v>
      </c>
      <c r="P86" s="5">
        <f t="shared" si="3"/>
        <v>17698702.02</v>
      </c>
      <c r="Q86" s="5">
        <v>1253317.35</v>
      </c>
      <c r="R86" s="5">
        <v>1074545.06</v>
      </c>
      <c r="S86" s="5">
        <v>719604.2</v>
      </c>
      <c r="T86" s="5">
        <f t="shared" si="4"/>
        <v>1015822.203</v>
      </c>
      <c r="U86" s="6">
        <v>2.598672024507715</v>
      </c>
      <c r="V86" s="6">
        <v>5.739529384663972</v>
      </c>
      <c r="W86" s="4"/>
      <c r="X86" s="4"/>
      <c r="Y86" s="4"/>
      <c r="Z86" s="4"/>
    </row>
    <row r="87" ht="14.25" customHeight="1">
      <c r="A87" s="5">
        <v>21102.0</v>
      </c>
      <c r="B87" s="5" t="s">
        <v>130</v>
      </c>
      <c r="C87" s="5" t="s">
        <v>63</v>
      </c>
      <c r="D87" s="5" t="s">
        <v>129</v>
      </c>
      <c r="E87" s="5">
        <v>1.240330821E7</v>
      </c>
      <c r="F87" s="5">
        <v>1.424506963177578E7</v>
      </c>
      <c r="G87" s="5">
        <v>1.695641681E7</v>
      </c>
      <c r="H87" s="5">
        <f t="shared" si="1"/>
        <v>14534931.55</v>
      </c>
      <c r="I87" s="5">
        <v>1103308.77</v>
      </c>
      <c r="J87" s="5">
        <v>923897.3200000001</v>
      </c>
      <c r="K87" s="5">
        <v>1089420.3</v>
      </c>
      <c r="L87" s="5">
        <f t="shared" si="2"/>
        <v>1038875.463</v>
      </c>
      <c r="M87" s="5">
        <v>1.982593809999998E7</v>
      </c>
      <c r="N87" s="5">
        <v>2.205751296E7</v>
      </c>
      <c r="O87" s="5">
        <v>1.913410033E7</v>
      </c>
      <c r="P87" s="5">
        <f t="shared" si="3"/>
        <v>20339183.8</v>
      </c>
      <c r="Q87" s="5">
        <v>5111354.73</v>
      </c>
      <c r="R87" s="5">
        <v>4912667.33</v>
      </c>
      <c r="S87" s="5">
        <v>2478591.47</v>
      </c>
      <c r="T87" s="5">
        <f t="shared" si="4"/>
        <v>4167537.843</v>
      </c>
      <c r="U87" s="6">
        <v>7.14743966779139</v>
      </c>
      <c r="V87" s="6">
        <v>20.49019215813538</v>
      </c>
      <c r="W87" s="4"/>
      <c r="X87" s="4"/>
      <c r="Y87" s="4"/>
      <c r="Z87" s="4"/>
    </row>
    <row r="88" ht="14.25" customHeight="1">
      <c r="A88" s="5">
        <v>21103.0</v>
      </c>
      <c r="B88" s="5" t="s">
        <v>131</v>
      </c>
      <c r="C88" s="5" t="s">
        <v>63</v>
      </c>
      <c r="D88" s="5" t="s">
        <v>129</v>
      </c>
      <c r="E88" s="5">
        <v>4602209.359999999</v>
      </c>
      <c r="F88" s="5">
        <v>5701796.083818903</v>
      </c>
      <c r="G88" s="5">
        <v>6766198.23</v>
      </c>
      <c r="H88" s="5">
        <f t="shared" si="1"/>
        <v>5690067.891</v>
      </c>
      <c r="I88" s="5">
        <v>497079.61</v>
      </c>
      <c r="J88" s="5">
        <v>810461.6799999999</v>
      </c>
      <c r="K88" s="5">
        <v>926593.98</v>
      </c>
      <c r="L88" s="5">
        <f t="shared" si="2"/>
        <v>744711.7567</v>
      </c>
      <c r="M88" s="5">
        <v>6051984.529999996</v>
      </c>
      <c r="N88" s="5">
        <v>7303106.869999999</v>
      </c>
      <c r="O88" s="5">
        <v>7027471.95</v>
      </c>
      <c r="P88" s="5">
        <f t="shared" si="3"/>
        <v>6794187.783</v>
      </c>
      <c r="Q88" s="5">
        <v>586516.72</v>
      </c>
      <c r="R88" s="5">
        <v>932267.9900000001</v>
      </c>
      <c r="S88" s="5">
        <v>838477.6300000001</v>
      </c>
      <c r="T88" s="5">
        <f t="shared" si="4"/>
        <v>785754.1133</v>
      </c>
      <c r="U88" s="6">
        <v>13.087923921063476</v>
      </c>
      <c r="V88" s="6">
        <v>11.565092670250431</v>
      </c>
      <c r="W88" s="4"/>
      <c r="X88" s="4"/>
      <c r="Y88" s="4"/>
      <c r="Z88" s="4"/>
    </row>
    <row r="89" ht="14.25" customHeight="1">
      <c r="A89" s="5">
        <v>21104.0</v>
      </c>
      <c r="B89" s="5" t="s">
        <v>132</v>
      </c>
      <c r="C89" s="5" t="s">
        <v>63</v>
      </c>
      <c r="D89" s="5" t="s">
        <v>129</v>
      </c>
      <c r="E89" s="5">
        <v>1.774790256E7</v>
      </c>
      <c r="F89" s="5">
        <v>2.068082977799992E7</v>
      </c>
      <c r="G89" s="5">
        <v>2.451817995E7</v>
      </c>
      <c r="H89" s="5">
        <f t="shared" si="1"/>
        <v>20982304.1</v>
      </c>
      <c r="I89" s="5">
        <v>1025720.46</v>
      </c>
      <c r="J89" s="5">
        <v>994313.3700000001</v>
      </c>
      <c r="K89" s="5">
        <v>1076274.07</v>
      </c>
      <c r="L89" s="5">
        <f t="shared" si="2"/>
        <v>1032102.633</v>
      </c>
      <c r="M89" s="5">
        <v>2.222414005999999E7</v>
      </c>
      <c r="N89" s="5">
        <v>2.546118196E7</v>
      </c>
      <c r="O89" s="5">
        <v>2.499578723E7</v>
      </c>
      <c r="P89" s="5">
        <f t="shared" si="3"/>
        <v>24227036.42</v>
      </c>
      <c r="Q89" s="5">
        <v>1161390.63</v>
      </c>
      <c r="R89" s="5">
        <v>917642.0699999998</v>
      </c>
      <c r="S89" s="5">
        <v>1152744.65</v>
      </c>
      <c r="T89" s="5">
        <f t="shared" si="4"/>
        <v>1077259.117</v>
      </c>
      <c r="U89" s="6">
        <v>4.918919431398821</v>
      </c>
      <c r="V89" s="6">
        <v>4.446516272727358</v>
      </c>
      <c r="W89" s="4"/>
      <c r="X89" s="4"/>
      <c r="Y89" s="4"/>
      <c r="Z89" s="4"/>
    </row>
    <row r="90" ht="14.25" customHeight="1">
      <c r="A90" s="5">
        <v>21105.0</v>
      </c>
      <c r="B90" s="5" t="s">
        <v>133</v>
      </c>
      <c r="C90" s="5" t="s">
        <v>63</v>
      </c>
      <c r="D90" s="5" t="s">
        <v>129</v>
      </c>
      <c r="E90" s="5">
        <v>1.840837156E7</v>
      </c>
      <c r="F90" s="5">
        <v>2.159078963143119E7</v>
      </c>
      <c r="G90" s="5">
        <v>2.590344003E7</v>
      </c>
      <c r="H90" s="5">
        <f t="shared" si="1"/>
        <v>21967533.74</v>
      </c>
      <c r="I90" s="5">
        <v>308530.24</v>
      </c>
      <c r="J90" s="5">
        <v>351841.7</v>
      </c>
      <c r="K90" s="5">
        <v>630897.5</v>
      </c>
      <c r="L90" s="5">
        <f t="shared" si="2"/>
        <v>430423.1467</v>
      </c>
      <c r="M90" s="5">
        <v>3.485913985999998E7</v>
      </c>
      <c r="N90" s="5">
        <v>4.045635998E7</v>
      </c>
      <c r="O90" s="5">
        <v>4.00839307E7</v>
      </c>
      <c r="P90" s="5">
        <f t="shared" si="3"/>
        <v>38466476.85</v>
      </c>
      <c r="Q90" s="5">
        <v>657695.2300000001</v>
      </c>
      <c r="R90" s="5">
        <v>582488.76</v>
      </c>
      <c r="S90" s="5">
        <v>1348087.67</v>
      </c>
      <c r="T90" s="5">
        <f t="shared" si="4"/>
        <v>862757.22</v>
      </c>
      <c r="U90" s="6">
        <v>1.9593603531086201</v>
      </c>
      <c r="V90" s="6">
        <v>2.2428807905623493</v>
      </c>
      <c r="W90" s="4"/>
      <c r="X90" s="4"/>
      <c r="Y90" s="4"/>
      <c r="Z90" s="4"/>
    </row>
    <row r="91" ht="14.25" customHeight="1">
      <c r="A91" s="5">
        <v>21201.0</v>
      </c>
      <c r="B91" s="5" t="s">
        <v>134</v>
      </c>
      <c r="C91" s="5" t="s">
        <v>63</v>
      </c>
      <c r="D91" s="5" t="s">
        <v>135</v>
      </c>
      <c r="E91" s="5">
        <v>2.544475513E7</v>
      </c>
      <c r="F91" s="5">
        <v>2.953123714217079E7</v>
      </c>
      <c r="G91" s="5">
        <v>3.573202429E7</v>
      </c>
      <c r="H91" s="5">
        <f t="shared" si="1"/>
        <v>30236005.52</v>
      </c>
      <c r="I91" s="5">
        <v>369102.31</v>
      </c>
      <c r="J91" s="5">
        <v>371612.0699999999</v>
      </c>
      <c r="K91" s="5">
        <v>1103211.26</v>
      </c>
      <c r="L91" s="5">
        <f t="shared" si="2"/>
        <v>614641.88</v>
      </c>
      <c r="M91" s="5">
        <v>2.850880188999995E7</v>
      </c>
      <c r="N91" s="5">
        <v>3.185874071E7</v>
      </c>
      <c r="O91" s="5">
        <v>3.171086609E7</v>
      </c>
      <c r="P91" s="5">
        <f t="shared" si="3"/>
        <v>30692802.9</v>
      </c>
      <c r="Q91" s="5">
        <v>2833327.51</v>
      </c>
      <c r="R91" s="5">
        <v>1962932.8</v>
      </c>
      <c r="S91" s="5">
        <v>2668310.41</v>
      </c>
      <c r="T91" s="5">
        <f t="shared" si="4"/>
        <v>2488190.24</v>
      </c>
      <c r="U91" s="6">
        <v>2.032814419149142</v>
      </c>
      <c r="V91" s="6">
        <v>8.106754695480179</v>
      </c>
      <c r="W91" s="4"/>
      <c r="X91" s="4"/>
      <c r="Y91" s="4"/>
      <c r="Z91" s="4"/>
    </row>
    <row r="92" ht="14.25" customHeight="1">
      <c r="A92" s="5">
        <v>21202.0</v>
      </c>
      <c r="B92" s="5" t="s">
        <v>136</v>
      </c>
      <c r="C92" s="5" t="s">
        <v>63</v>
      </c>
      <c r="D92" s="5" t="s">
        <v>135</v>
      </c>
      <c r="E92" s="5">
        <v>1.720581748E7</v>
      </c>
      <c r="F92" s="5">
        <v>1.978856269879324E7</v>
      </c>
      <c r="G92" s="5">
        <v>2.363621103E7</v>
      </c>
      <c r="H92" s="5">
        <f t="shared" si="1"/>
        <v>20210197.07</v>
      </c>
      <c r="I92" s="5">
        <v>426946.97</v>
      </c>
      <c r="J92" s="5">
        <v>276943.12</v>
      </c>
      <c r="K92" s="5">
        <v>464953.07</v>
      </c>
      <c r="L92" s="5">
        <f t="shared" si="2"/>
        <v>389614.3867</v>
      </c>
      <c r="M92" s="5">
        <v>2.522642054999997E7</v>
      </c>
      <c r="N92" s="5">
        <v>2.999491176E7</v>
      </c>
      <c r="O92" s="5">
        <v>3.101422329E7</v>
      </c>
      <c r="P92" s="5">
        <f t="shared" si="3"/>
        <v>28745185.2</v>
      </c>
      <c r="Q92" s="5">
        <v>4348587.2</v>
      </c>
      <c r="R92" s="5">
        <v>5649861.21</v>
      </c>
      <c r="S92" s="5">
        <v>7364005.19</v>
      </c>
      <c r="T92" s="5">
        <f t="shared" si="4"/>
        <v>5787484.533</v>
      </c>
      <c r="U92" s="6">
        <v>1.9278109229957217</v>
      </c>
      <c r="V92" s="6">
        <v>20.13375281135199</v>
      </c>
      <c r="W92" s="4"/>
      <c r="X92" s="4"/>
      <c r="Y92" s="4"/>
      <c r="Z92" s="4"/>
    </row>
    <row r="93" ht="14.25" customHeight="1">
      <c r="A93" s="5">
        <v>21203.0</v>
      </c>
      <c r="B93" s="5" t="s">
        <v>137</v>
      </c>
      <c r="C93" s="5" t="s">
        <v>63</v>
      </c>
      <c r="D93" s="5" t="s">
        <v>135</v>
      </c>
      <c r="E93" s="5">
        <v>2.076917528E7</v>
      </c>
      <c r="F93" s="5">
        <v>2.437114193221642E7</v>
      </c>
      <c r="G93" s="5">
        <v>2.893547702E7</v>
      </c>
      <c r="H93" s="5">
        <f t="shared" si="1"/>
        <v>24691931.41</v>
      </c>
      <c r="I93" s="5">
        <v>66267.88</v>
      </c>
      <c r="J93" s="5">
        <v>157135.67</v>
      </c>
      <c r="K93" s="5">
        <v>143461.2</v>
      </c>
      <c r="L93" s="5">
        <f t="shared" si="2"/>
        <v>122288.25</v>
      </c>
      <c r="M93" s="5">
        <v>1.537612819999999E7</v>
      </c>
      <c r="N93" s="5">
        <v>1.798727195E7</v>
      </c>
      <c r="O93" s="5">
        <v>1.756557814E7</v>
      </c>
      <c r="P93" s="5">
        <f t="shared" si="3"/>
        <v>16976326.1</v>
      </c>
      <c r="Q93" s="5">
        <v>532385.0</v>
      </c>
      <c r="R93" s="5">
        <v>693558.7000000001</v>
      </c>
      <c r="S93" s="5">
        <v>765450.49</v>
      </c>
      <c r="T93" s="5">
        <f t="shared" si="4"/>
        <v>663798.0633</v>
      </c>
      <c r="U93" s="6">
        <v>0.49525591160040006</v>
      </c>
      <c r="V93" s="6">
        <v>3.910139682482133</v>
      </c>
      <c r="W93" s="4"/>
      <c r="X93" s="4"/>
      <c r="Y93" s="4"/>
      <c r="Z93" s="4"/>
    </row>
    <row r="94" ht="14.25" customHeight="1">
      <c r="A94" s="5">
        <v>21204.0</v>
      </c>
      <c r="B94" s="5" t="s">
        <v>138</v>
      </c>
      <c r="C94" s="5" t="s">
        <v>63</v>
      </c>
      <c r="D94" s="5" t="s">
        <v>135</v>
      </c>
      <c r="E94" s="5">
        <v>8769280.729999999</v>
      </c>
      <c r="F94" s="5">
        <v>1.021400258308486E7</v>
      </c>
      <c r="G94" s="5">
        <v>1.211093748E7</v>
      </c>
      <c r="H94" s="5">
        <f t="shared" si="1"/>
        <v>10364740.26</v>
      </c>
      <c r="I94" s="5">
        <v>23755.96</v>
      </c>
      <c r="J94" s="5">
        <v>37268.94</v>
      </c>
      <c r="K94" s="5">
        <v>23598.76</v>
      </c>
      <c r="L94" s="5">
        <f t="shared" si="2"/>
        <v>28207.88667</v>
      </c>
      <c r="M94" s="5">
        <v>5522039.269999996</v>
      </c>
      <c r="N94" s="5">
        <v>6461468.68</v>
      </c>
      <c r="O94" s="5">
        <v>6312522.310000001</v>
      </c>
      <c r="P94" s="5">
        <f t="shared" si="3"/>
        <v>6098676.753</v>
      </c>
      <c r="Q94" s="5">
        <v>9276.2</v>
      </c>
      <c r="R94" s="5">
        <v>13218.85</v>
      </c>
      <c r="S94" s="5">
        <v>48326.28000000001</v>
      </c>
      <c r="T94" s="5">
        <f t="shared" si="4"/>
        <v>23607.11</v>
      </c>
      <c r="U94" s="6">
        <v>0.27215237379037244</v>
      </c>
      <c r="V94" s="6">
        <v>0.3870857721242095</v>
      </c>
      <c r="W94" s="4"/>
      <c r="X94" s="4"/>
      <c r="Y94" s="4"/>
      <c r="Z94" s="4"/>
    </row>
    <row r="95" ht="14.25" customHeight="1">
      <c r="A95" s="5">
        <v>21301.0</v>
      </c>
      <c r="B95" s="5" t="s">
        <v>139</v>
      </c>
      <c r="C95" s="5" t="s">
        <v>63</v>
      </c>
      <c r="D95" s="5" t="s">
        <v>140</v>
      </c>
      <c r="E95" s="5">
        <v>2.739975856E7</v>
      </c>
      <c r="F95" s="5">
        <v>3.200125525660481E7</v>
      </c>
      <c r="G95" s="5">
        <v>3.818586931999999E7</v>
      </c>
      <c r="H95" s="5">
        <f t="shared" si="1"/>
        <v>32528961.05</v>
      </c>
      <c r="I95" s="5">
        <v>55783.02</v>
      </c>
      <c r="J95" s="5">
        <v>96199.98999999999</v>
      </c>
      <c r="K95" s="5">
        <v>268553.61</v>
      </c>
      <c r="L95" s="5">
        <f t="shared" si="2"/>
        <v>140178.8733</v>
      </c>
      <c r="M95" s="5">
        <v>2.674959292999998E7</v>
      </c>
      <c r="N95" s="5">
        <v>4.184004795E7</v>
      </c>
      <c r="O95" s="5">
        <v>3.196232407E7</v>
      </c>
      <c r="P95" s="5">
        <f t="shared" si="3"/>
        <v>33517321.65</v>
      </c>
      <c r="Q95" s="5">
        <v>84426.64</v>
      </c>
      <c r="R95" s="5">
        <v>1.076521303E7</v>
      </c>
      <c r="S95" s="5">
        <v>1774391.28</v>
      </c>
      <c r="T95" s="5">
        <f t="shared" si="4"/>
        <v>4208010.317</v>
      </c>
      <c r="U95" s="6">
        <v>0.43093559962492217</v>
      </c>
      <c r="V95" s="6">
        <v>12.554733223042799</v>
      </c>
      <c r="W95" s="4"/>
      <c r="X95" s="4"/>
      <c r="Y95" s="4"/>
      <c r="Z95" s="4"/>
    </row>
    <row r="96" ht="14.25" customHeight="1">
      <c r="A96" s="5">
        <v>21302.0</v>
      </c>
      <c r="B96" s="5" t="s">
        <v>141</v>
      </c>
      <c r="C96" s="5" t="s">
        <v>63</v>
      </c>
      <c r="D96" s="5" t="s">
        <v>140</v>
      </c>
      <c r="E96" s="5">
        <v>9723340.91</v>
      </c>
      <c r="F96" s="5">
        <v>1.137069261530441E7</v>
      </c>
      <c r="G96" s="5">
        <v>1.351536817E7</v>
      </c>
      <c r="H96" s="5">
        <f t="shared" si="1"/>
        <v>11536467.23</v>
      </c>
      <c r="I96" s="5">
        <v>852.6100000000043</v>
      </c>
      <c r="J96" s="5">
        <v>5039.79</v>
      </c>
      <c r="K96" s="5">
        <v>2306.71</v>
      </c>
      <c r="L96" s="5">
        <f t="shared" si="2"/>
        <v>2733.036667</v>
      </c>
      <c r="M96" s="5">
        <v>7584801.969999997</v>
      </c>
      <c r="N96" s="5">
        <v>8857102.22</v>
      </c>
      <c r="O96" s="5">
        <v>8624375.61</v>
      </c>
      <c r="P96" s="5">
        <f t="shared" si="3"/>
        <v>8355426.6</v>
      </c>
      <c r="Q96" s="5">
        <v>4569.18</v>
      </c>
      <c r="R96" s="5">
        <v>22016.9</v>
      </c>
      <c r="S96" s="5">
        <v>41465.0</v>
      </c>
      <c r="T96" s="5">
        <f t="shared" si="4"/>
        <v>22683.69333</v>
      </c>
      <c r="U96" s="6">
        <v>0.023690412426610682</v>
      </c>
      <c r="V96" s="6">
        <v>0.271484562300306</v>
      </c>
      <c r="W96" s="4"/>
      <c r="X96" s="4"/>
      <c r="Y96" s="4"/>
      <c r="Z96" s="4"/>
    </row>
    <row r="97" ht="14.25" customHeight="1">
      <c r="A97" s="5">
        <v>21303.0</v>
      </c>
      <c r="B97" s="5" t="s">
        <v>142</v>
      </c>
      <c r="C97" s="5" t="s">
        <v>63</v>
      </c>
      <c r="D97" s="5" t="s">
        <v>140</v>
      </c>
      <c r="E97" s="5">
        <v>7438946.84</v>
      </c>
      <c r="F97" s="5">
        <v>8586025.357921667</v>
      </c>
      <c r="G97" s="5">
        <v>1.021865546E7</v>
      </c>
      <c r="H97" s="5">
        <f t="shared" si="1"/>
        <v>8747875.886</v>
      </c>
      <c r="I97" s="5">
        <v>63583.93</v>
      </c>
      <c r="J97" s="5">
        <v>10721.95</v>
      </c>
      <c r="K97" s="5">
        <v>33918.92</v>
      </c>
      <c r="L97" s="5">
        <f t="shared" si="2"/>
        <v>36074.93333</v>
      </c>
      <c r="M97" s="5">
        <v>6676394.549999993</v>
      </c>
      <c r="N97" s="5">
        <v>8085820.250000001</v>
      </c>
      <c r="O97" s="5">
        <v>8211775.880000002</v>
      </c>
      <c r="P97" s="5">
        <f t="shared" si="3"/>
        <v>7657996.893</v>
      </c>
      <c r="Q97" s="5">
        <v>34929.45</v>
      </c>
      <c r="R97" s="5">
        <v>347388.97</v>
      </c>
      <c r="S97" s="5">
        <v>694220.5000000001</v>
      </c>
      <c r="T97" s="5">
        <f t="shared" si="4"/>
        <v>358846.3067</v>
      </c>
      <c r="U97" s="6">
        <v>0.4123850612829901</v>
      </c>
      <c r="V97" s="6">
        <v>4.685903006555935</v>
      </c>
      <c r="W97" s="4"/>
      <c r="X97" s="4"/>
      <c r="Y97" s="4"/>
      <c r="Z97" s="4"/>
    </row>
    <row r="98" ht="14.25" customHeight="1">
      <c r="A98" s="5">
        <v>21304.0</v>
      </c>
      <c r="B98" s="5" t="s">
        <v>143</v>
      </c>
      <c r="C98" s="5" t="s">
        <v>63</v>
      </c>
      <c r="D98" s="5" t="s">
        <v>140</v>
      </c>
      <c r="E98" s="5">
        <v>1.251480055E7</v>
      </c>
      <c r="F98" s="5">
        <v>1.423716360457916E7</v>
      </c>
      <c r="G98" s="5">
        <v>1.716824096E7</v>
      </c>
      <c r="H98" s="5">
        <f t="shared" si="1"/>
        <v>14640068.37</v>
      </c>
      <c r="I98" s="5">
        <v>293897.37</v>
      </c>
      <c r="J98" s="5">
        <v>5203.88</v>
      </c>
      <c r="K98" s="5">
        <v>262781.63</v>
      </c>
      <c r="L98" s="5">
        <f t="shared" si="2"/>
        <v>187294.2933</v>
      </c>
      <c r="M98" s="5">
        <v>1.847450447999999E7</v>
      </c>
      <c r="N98" s="5">
        <v>2.093656639E7</v>
      </c>
      <c r="O98" s="5">
        <v>2.218490688000001E7</v>
      </c>
      <c r="P98" s="5">
        <f t="shared" si="3"/>
        <v>20531992.58</v>
      </c>
      <c r="Q98" s="5">
        <v>7907997.0</v>
      </c>
      <c r="R98" s="5">
        <v>8617991.14</v>
      </c>
      <c r="S98" s="5">
        <v>1.021792572E7</v>
      </c>
      <c r="T98" s="5">
        <f t="shared" si="4"/>
        <v>8914637.953</v>
      </c>
      <c r="U98" s="6">
        <v>1.2793266300422736</v>
      </c>
      <c r="V98" s="6">
        <v>43.418279629468174</v>
      </c>
      <c r="W98" s="4"/>
      <c r="X98" s="4"/>
      <c r="Y98" s="4"/>
      <c r="Z98" s="4"/>
    </row>
    <row r="99" ht="14.25" customHeight="1">
      <c r="A99" s="5">
        <v>21305.0</v>
      </c>
      <c r="B99" s="5" t="s">
        <v>144</v>
      </c>
      <c r="C99" s="5" t="s">
        <v>63</v>
      </c>
      <c r="D99" s="5" t="s">
        <v>140</v>
      </c>
      <c r="E99" s="5">
        <v>2.072183691E7</v>
      </c>
      <c r="F99" s="5">
        <v>2.439370636211088E7</v>
      </c>
      <c r="G99" s="5">
        <v>2.907963816E7</v>
      </c>
      <c r="H99" s="5">
        <f t="shared" si="1"/>
        <v>24731727.14</v>
      </c>
      <c r="I99" s="5">
        <v>436728.29</v>
      </c>
      <c r="J99" s="5">
        <v>658870.0900000001</v>
      </c>
      <c r="K99" s="5">
        <v>855218.9100000001</v>
      </c>
      <c r="L99" s="5">
        <f t="shared" si="2"/>
        <v>650272.43</v>
      </c>
      <c r="M99" s="5">
        <v>2.489988466999998E7</v>
      </c>
      <c r="N99" s="5">
        <v>2.587670216E7</v>
      </c>
      <c r="O99" s="5">
        <v>2.533614399E7</v>
      </c>
      <c r="P99" s="5">
        <f t="shared" si="3"/>
        <v>25370910.27</v>
      </c>
      <c r="Q99" s="5">
        <v>5431688.29</v>
      </c>
      <c r="R99" s="5">
        <v>3192016.25</v>
      </c>
      <c r="S99" s="5">
        <v>3298903.24</v>
      </c>
      <c r="T99" s="5">
        <f t="shared" si="4"/>
        <v>3974202.593</v>
      </c>
      <c r="U99" s="6">
        <v>2.629304561759192</v>
      </c>
      <c r="V99" s="6">
        <v>15.664406797065178</v>
      </c>
      <c r="W99" s="4"/>
      <c r="X99" s="4"/>
      <c r="Y99" s="4"/>
      <c r="Z99" s="4"/>
    </row>
    <row r="100" ht="14.25" customHeight="1">
      <c r="A100" s="5">
        <v>21306.0</v>
      </c>
      <c r="B100" s="5" t="s">
        <v>145</v>
      </c>
      <c r="C100" s="5" t="s">
        <v>63</v>
      </c>
      <c r="D100" s="5" t="s">
        <v>140</v>
      </c>
      <c r="E100" s="5">
        <v>8378466.22</v>
      </c>
      <c r="F100" s="5">
        <v>9742414.476922384</v>
      </c>
      <c r="G100" s="5">
        <v>1.162920125E7</v>
      </c>
      <c r="H100" s="5">
        <f t="shared" si="1"/>
        <v>9916693.982</v>
      </c>
      <c r="I100" s="5">
        <v>162740.42</v>
      </c>
      <c r="J100" s="5">
        <v>173587.24</v>
      </c>
      <c r="K100" s="5">
        <v>261648.6599999999</v>
      </c>
      <c r="L100" s="5">
        <f t="shared" si="2"/>
        <v>199325.44</v>
      </c>
      <c r="M100" s="5">
        <v>8749801.129999995</v>
      </c>
      <c r="N100" s="5">
        <v>1.022711372E7</v>
      </c>
      <c r="O100" s="5">
        <v>9925278.91</v>
      </c>
      <c r="P100" s="5">
        <f t="shared" si="3"/>
        <v>9634064.587</v>
      </c>
      <c r="Q100" s="5">
        <v>337587.13</v>
      </c>
      <c r="R100" s="5">
        <v>423399.96</v>
      </c>
      <c r="S100" s="5">
        <v>401384.6</v>
      </c>
      <c r="T100" s="5">
        <f t="shared" si="4"/>
        <v>387457.23</v>
      </c>
      <c r="U100" s="6">
        <v>2.009998900395835</v>
      </c>
      <c r="V100" s="6">
        <v>4.021742085227791</v>
      </c>
      <c r="W100" s="4"/>
      <c r="X100" s="4"/>
      <c r="Y100" s="4"/>
      <c r="Z100" s="4"/>
    </row>
    <row r="101" ht="14.25" customHeight="1">
      <c r="A101" s="5">
        <v>21307.0</v>
      </c>
      <c r="B101" s="5" t="s">
        <v>146</v>
      </c>
      <c r="C101" s="5" t="s">
        <v>63</v>
      </c>
      <c r="D101" s="5" t="s">
        <v>140</v>
      </c>
      <c r="E101" s="5">
        <v>3084118.47</v>
      </c>
      <c r="F101" s="5">
        <v>3488351.473901964</v>
      </c>
      <c r="G101" s="5">
        <v>4261407.88</v>
      </c>
      <c r="H101" s="5">
        <f t="shared" si="1"/>
        <v>3611292.608</v>
      </c>
      <c r="I101" s="5">
        <v>168635.49</v>
      </c>
      <c r="J101" s="5">
        <v>56089.03</v>
      </c>
      <c r="K101" s="5">
        <v>174300.18</v>
      </c>
      <c r="L101" s="5">
        <f t="shared" si="2"/>
        <v>133008.2333</v>
      </c>
      <c r="M101" s="5">
        <v>4642190.949999998</v>
      </c>
      <c r="N101" s="5">
        <v>5353797.48</v>
      </c>
      <c r="O101" s="5">
        <v>5376301.989999999</v>
      </c>
      <c r="P101" s="5">
        <f t="shared" si="3"/>
        <v>5124096.807</v>
      </c>
      <c r="Q101" s="5">
        <v>348216.48</v>
      </c>
      <c r="R101" s="5">
        <v>350550.9400000001</v>
      </c>
      <c r="S101" s="5">
        <v>515868.38</v>
      </c>
      <c r="T101" s="5">
        <f t="shared" si="4"/>
        <v>404878.6</v>
      </c>
      <c r="U101" s="6">
        <v>3.6831198070155637</v>
      </c>
      <c r="V101" s="6">
        <v>7.901462741165155</v>
      </c>
      <c r="W101" s="4"/>
      <c r="X101" s="4"/>
      <c r="Y101" s="4"/>
      <c r="Z101" s="4"/>
    </row>
    <row r="102" ht="14.25" customHeight="1">
      <c r="A102" s="5">
        <v>21401.0</v>
      </c>
      <c r="B102" s="5" t="s">
        <v>147</v>
      </c>
      <c r="C102" s="5" t="s">
        <v>63</v>
      </c>
      <c r="D102" s="5" t="s">
        <v>148</v>
      </c>
      <c r="E102" s="5">
        <v>1.383879541E7</v>
      </c>
      <c r="F102" s="5">
        <v>1.579569073456004E7</v>
      </c>
      <c r="G102" s="5">
        <v>1.940615163E7</v>
      </c>
      <c r="H102" s="5">
        <f t="shared" si="1"/>
        <v>16346879.26</v>
      </c>
      <c r="I102" s="5">
        <v>1868515.93</v>
      </c>
      <c r="J102" s="5">
        <v>1602400.08</v>
      </c>
      <c r="K102" s="5">
        <v>2479538.44</v>
      </c>
      <c r="L102" s="5">
        <f t="shared" si="2"/>
        <v>1983484.817</v>
      </c>
      <c r="M102" s="5">
        <v>1.920505615999999E7</v>
      </c>
      <c r="N102" s="5">
        <v>2.336183976E7</v>
      </c>
      <c r="O102" s="5">
        <v>2.116617656E7</v>
      </c>
      <c r="P102" s="5">
        <f t="shared" si="3"/>
        <v>21244357.49</v>
      </c>
      <c r="Q102" s="5">
        <v>2683858.91</v>
      </c>
      <c r="R102" s="5">
        <v>4112013.51</v>
      </c>
      <c r="S102" s="5">
        <v>2465763.84</v>
      </c>
      <c r="T102" s="5">
        <f t="shared" si="4"/>
        <v>3087212.087</v>
      </c>
      <c r="U102" s="6">
        <v>12.13372158281109</v>
      </c>
      <c r="V102" s="6">
        <v>14.531915533973956</v>
      </c>
      <c r="W102" s="4"/>
      <c r="X102" s="4"/>
      <c r="Y102" s="4"/>
      <c r="Z102" s="4"/>
    </row>
    <row r="103" ht="14.25" customHeight="1">
      <c r="A103" s="5">
        <v>21402.0</v>
      </c>
      <c r="B103" s="5" t="s">
        <v>149</v>
      </c>
      <c r="C103" s="5" t="s">
        <v>63</v>
      </c>
      <c r="D103" s="5" t="s">
        <v>148</v>
      </c>
      <c r="E103" s="5">
        <v>1.146227031E7</v>
      </c>
      <c r="F103" s="5">
        <v>1.35644544782309E7</v>
      </c>
      <c r="G103" s="5">
        <v>1.594393754E7</v>
      </c>
      <c r="H103" s="5">
        <f t="shared" si="1"/>
        <v>13656887.44</v>
      </c>
      <c r="I103" s="5">
        <v>177427.07</v>
      </c>
      <c r="J103" s="5">
        <v>226502.66</v>
      </c>
      <c r="K103" s="5">
        <v>48021.05</v>
      </c>
      <c r="L103" s="5">
        <f t="shared" si="2"/>
        <v>150650.26</v>
      </c>
      <c r="M103" s="5">
        <v>1.475892839999999E7</v>
      </c>
      <c r="N103" s="5">
        <v>1.729235816E7</v>
      </c>
      <c r="O103" s="5">
        <v>1.700411999E7</v>
      </c>
      <c r="P103" s="5">
        <f t="shared" si="3"/>
        <v>16351802.18</v>
      </c>
      <c r="Q103" s="5">
        <v>326539.32</v>
      </c>
      <c r="R103" s="5">
        <v>490898.95</v>
      </c>
      <c r="S103" s="5">
        <v>682197.3500000001</v>
      </c>
      <c r="T103" s="5">
        <f t="shared" si="4"/>
        <v>499878.54</v>
      </c>
      <c r="U103" s="6">
        <v>1.1031083080357782</v>
      </c>
      <c r="V103" s="6">
        <v>3.0570241395746836</v>
      </c>
      <c r="W103" s="4"/>
      <c r="X103" s="4"/>
      <c r="Y103" s="4"/>
      <c r="Z103" s="4"/>
    </row>
    <row r="104" ht="14.25" customHeight="1">
      <c r="A104" s="5">
        <v>21501.0</v>
      </c>
      <c r="B104" s="5" t="s">
        <v>150</v>
      </c>
      <c r="C104" s="5" t="s">
        <v>63</v>
      </c>
      <c r="D104" s="5" t="s">
        <v>151</v>
      </c>
      <c r="E104" s="5">
        <v>6990157.38</v>
      </c>
      <c r="F104" s="5">
        <v>6853049.810347822</v>
      </c>
      <c r="G104" s="5">
        <v>7795008.800000001</v>
      </c>
      <c r="H104" s="5">
        <f t="shared" si="1"/>
        <v>7212738.663</v>
      </c>
      <c r="I104" s="5">
        <v>1377112.35</v>
      </c>
      <c r="J104" s="5">
        <v>252597.66</v>
      </c>
      <c r="K104" s="5">
        <v>222266.46</v>
      </c>
      <c r="L104" s="5">
        <f t="shared" si="2"/>
        <v>617325.49</v>
      </c>
      <c r="M104" s="5">
        <v>9177173.789999994</v>
      </c>
      <c r="N104" s="5">
        <v>1.016998555E7</v>
      </c>
      <c r="O104" s="5">
        <v>1.057837505E7</v>
      </c>
      <c r="P104" s="5">
        <f t="shared" si="3"/>
        <v>9975178.13</v>
      </c>
      <c r="Q104" s="5">
        <v>1202789.43</v>
      </c>
      <c r="R104" s="5">
        <v>879367.41</v>
      </c>
      <c r="S104" s="5">
        <v>1552932.19</v>
      </c>
      <c r="T104" s="5">
        <f t="shared" si="4"/>
        <v>1211696.343</v>
      </c>
      <c r="U104" s="6">
        <v>8.55882236699233</v>
      </c>
      <c r="V104" s="6">
        <v>12.147114843886335</v>
      </c>
      <c r="W104" s="4"/>
      <c r="X104" s="4"/>
      <c r="Y104" s="4"/>
      <c r="Z104" s="4"/>
    </row>
    <row r="105" ht="14.25" customHeight="1">
      <c r="A105" s="5">
        <v>21502.0</v>
      </c>
      <c r="B105" s="5" t="s">
        <v>152</v>
      </c>
      <c r="C105" s="5" t="s">
        <v>63</v>
      </c>
      <c r="D105" s="5" t="s">
        <v>151</v>
      </c>
      <c r="E105" s="5">
        <v>6521804.100000001</v>
      </c>
      <c r="F105" s="5">
        <v>7498080.522191666</v>
      </c>
      <c r="G105" s="5">
        <v>9724314.82</v>
      </c>
      <c r="H105" s="5">
        <f t="shared" si="1"/>
        <v>7914733.147</v>
      </c>
      <c r="I105" s="5">
        <v>402066.5</v>
      </c>
      <c r="J105" s="5">
        <v>262879.0</v>
      </c>
      <c r="K105" s="5">
        <v>816215.44</v>
      </c>
      <c r="L105" s="5">
        <f t="shared" si="2"/>
        <v>493720.3133</v>
      </c>
      <c r="M105" s="5">
        <v>8618450.529999994</v>
      </c>
      <c r="N105" s="5">
        <v>1.010962299E7</v>
      </c>
      <c r="O105" s="5">
        <v>9178913.52</v>
      </c>
      <c r="P105" s="5">
        <f t="shared" si="3"/>
        <v>9302329.013</v>
      </c>
      <c r="Q105" s="5">
        <v>1200059.4</v>
      </c>
      <c r="R105" s="5">
        <v>1465087.36</v>
      </c>
      <c r="S105" s="5">
        <v>781113.9199999999</v>
      </c>
      <c r="T105" s="5">
        <f t="shared" si="4"/>
        <v>1148753.56</v>
      </c>
      <c r="U105" s="6">
        <v>6.237990645277716</v>
      </c>
      <c r="V105" s="6">
        <v>12.34909621400677</v>
      </c>
      <c r="W105" s="4"/>
      <c r="X105" s="4"/>
      <c r="Y105" s="4"/>
      <c r="Z105" s="4"/>
    </row>
    <row r="106" ht="14.25" customHeight="1">
      <c r="A106" s="5">
        <v>21601.0</v>
      </c>
      <c r="B106" s="5" t="s">
        <v>153</v>
      </c>
      <c r="C106" s="5" t="s">
        <v>63</v>
      </c>
      <c r="D106" s="5" t="s">
        <v>154</v>
      </c>
      <c r="E106" s="5">
        <v>9778273.290000003</v>
      </c>
      <c r="F106" s="5">
        <v>1.16405888155487E7</v>
      </c>
      <c r="G106" s="5">
        <v>1.409894001E7</v>
      </c>
      <c r="H106" s="5">
        <f t="shared" si="1"/>
        <v>11839267.37</v>
      </c>
      <c r="I106" s="5">
        <v>21536.65</v>
      </c>
      <c r="J106" s="5">
        <v>296821.47</v>
      </c>
      <c r="K106" s="5">
        <v>624125.48</v>
      </c>
      <c r="L106" s="5">
        <f t="shared" si="2"/>
        <v>314161.2</v>
      </c>
      <c r="M106" s="5">
        <v>1.115769042999999E7</v>
      </c>
      <c r="N106" s="5">
        <v>1.29940886E7</v>
      </c>
      <c r="O106" s="5">
        <v>1.26881743E7</v>
      </c>
      <c r="P106" s="5">
        <f t="shared" si="3"/>
        <v>12279984.44</v>
      </c>
      <c r="Q106" s="5">
        <v>65703.95000000001</v>
      </c>
      <c r="R106" s="5">
        <v>70120.98000000001</v>
      </c>
      <c r="S106" s="5">
        <v>133078.62</v>
      </c>
      <c r="T106" s="5">
        <f t="shared" si="4"/>
        <v>89634.51667</v>
      </c>
      <c r="U106" s="6">
        <v>2.653552708396354</v>
      </c>
      <c r="V106" s="6">
        <v>0.7299236988474223</v>
      </c>
      <c r="W106" s="4"/>
      <c r="X106" s="4"/>
      <c r="Y106" s="4"/>
      <c r="Z106" s="4"/>
    </row>
    <row r="107" ht="14.25" customHeight="1">
      <c r="A107" s="5">
        <v>21602.0</v>
      </c>
      <c r="B107" s="5" t="s">
        <v>155</v>
      </c>
      <c r="C107" s="5" t="s">
        <v>63</v>
      </c>
      <c r="D107" s="5" t="s">
        <v>96</v>
      </c>
      <c r="E107" s="5">
        <v>2565477.28</v>
      </c>
      <c r="F107" s="5">
        <v>2662495.34896635</v>
      </c>
      <c r="G107" s="5">
        <v>3488934.160000001</v>
      </c>
      <c r="H107" s="5">
        <f t="shared" si="1"/>
        <v>2905635.596</v>
      </c>
      <c r="I107" s="5">
        <v>284354.93</v>
      </c>
      <c r="J107" s="5">
        <v>12135.81</v>
      </c>
      <c r="K107" s="5">
        <v>341941.77</v>
      </c>
      <c r="L107" s="5">
        <f t="shared" si="2"/>
        <v>212810.8367</v>
      </c>
      <c r="M107" s="5">
        <v>3618736.499999997</v>
      </c>
      <c r="N107" s="5">
        <v>3780974.86</v>
      </c>
      <c r="O107" s="5">
        <v>4188618.45</v>
      </c>
      <c r="P107" s="5">
        <f t="shared" si="3"/>
        <v>3862776.603</v>
      </c>
      <c r="Q107" s="5">
        <v>821329.81</v>
      </c>
      <c r="R107" s="5">
        <v>521458.26</v>
      </c>
      <c r="S107" s="5">
        <v>1022148.43</v>
      </c>
      <c r="T107" s="5">
        <f t="shared" si="4"/>
        <v>788312.1667</v>
      </c>
      <c r="U107" s="6">
        <v>7.324071777480889</v>
      </c>
      <c r="V107" s="6">
        <v>20.40791502118975</v>
      </c>
      <c r="W107" s="4"/>
      <c r="X107" s="4"/>
      <c r="Y107" s="4"/>
      <c r="Z107" s="4"/>
    </row>
    <row r="108" ht="14.25" customHeight="1">
      <c r="A108" s="5">
        <v>21701.0</v>
      </c>
      <c r="B108" s="5" t="s">
        <v>156</v>
      </c>
      <c r="C108" s="5" t="s">
        <v>63</v>
      </c>
      <c r="D108" s="5" t="s">
        <v>157</v>
      </c>
      <c r="E108" s="5">
        <v>1.589814936E7</v>
      </c>
      <c r="F108" s="5">
        <v>1.844884869139987E7</v>
      </c>
      <c r="G108" s="5">
        <v>2.164711144E7</v>
      </c>
      <c r="H108" s="5">
        <f t="shared" si="1"/>
        <v>18664703.16</v>
      </c>
      <c r="I108" s="5">
        <v>1412360.83</v>
      </c>
      <c r="J108" s="5">
        <v>1374088.25</v>
      </c>
      <c r="K108" s="5">
        <v>1310024.8</v>
      </c>
      <c r="L108" s="5">
        <f t="shared" si="2"/>
        <v>1365491.293</v>
      </c>
      <c r="M108" s="5">
        <v>1.405102573999999E7</v>
      </c>
      <c r="N108" s="5">
        <v>1.641053231E7</v>
      </c>
      <c r="O108" s="5">
        <v>1.617993724E7</v>
      </c>
      <c r="P108" s="5">
        <f t="shared" si="3"/>
        <v>15547165.1</v>
      </c>
      <c r="Q108" s="5">
        <v>1333853.27</v>
      </c>
      <c r="R108" s="5">
        <v>1592975.09</v>
      </c>
      <c r="S108" s="5">
        <v>1785295.33</v>
      </c>
      <c r="T108" s="5">
        <f t="shared" si="4"/>
        <v>1570707.897</v>
      </c>
      <c r="U108" s="6">
        <v>7.315901471080947</v>
      </c>
      <c r="V108" s="6">
        <v>10.102857253400037</v>
      </c>
      <c r="W108" s="4"/>
      <c r="X108" s="4"/>
      <c r="Y108" s="4"/>
      <c r="Z108" s="4"/>
    </row>
    <row r="109" ht="14.25" customHeight="1">
      <c r="A109" s="5">
        <v>21702.0</v>
      </c>
      <c r="B109" s="5" t="s">
        <v>158</v>
      </c>
      <c r="C109" s="5" t="s">
        <v>63</v>
      </c>
      <c r="D109" s="5" t="s">
        <v>157</v>
      </c>
      <c r="E109" s="5">
        <v>6073146.24</v>
      </c>
      <c r="F109" s="5">
        <v>7142409.537578655</v>
      </c>
      <c r="G109" s="5">
        <v>8530355.28</v>
      </c>
      <c r="H109" s="5">
        <f t="shared" si="1"/>
        <v>7248637.019</v>
      </c>
      <c r="I109" s="5">
        <v>8029.0</v>
      </c>
      <c r="J109" s="5">
        <v>152.96</v>
      </c>
      <c r="K109" s="5">
        <v>25059.0</v>
      </c>
      <c r="L109" s="5">
        <f t="shared" si="2"/>
        <v>11080.32</v>
      </c>
      <c r="M109" s="5">
        <v>5269631.189999999</v>
      </c>
      <c r="N109" s="5">
        <v>6071876.329999999</v>
      </c>
      <c r="O109" s="5">
        <v>6008150.71</v>
      </c>
      <c r="P109" s="5">
        <f t="shared" si="3"/>
        <v>5783219.41</v>
      </c>
      <c r="Q109" s="5">
        <v>117081.69</v>
      </c>
      <c r="R109" s="5">
        <v>66257.5</v>
      </c>
      <c r="S109" s="5">
        <v>173953.0</v>
      </c>
      <c r="T109" s="5">
        <f t="shared" si="4"/>
        <v>119097.3967</v>
      </c>
      <c r="U109" s="6">
        <v>0.15286073741396644</v>
      </c>
      <c r="V109" s="6">
        <v>2.0593615462821715</v>
      </c>
      <c r="W109" s="4"/>
      <c r="X109" s="4"/>
      <c r="Y109" s="4"/>
      <c r="Z109" s="4"/>
    </row>
    <row r="110" ht="14.25" customHeight="1">
      <c r="A110" s="5">
        <v>21703.0</v>
      </c>
      <c r="B110" s="5" t="s">
        <v>159</v>
      </c>
      <c r="C110" s="5" t="s">
        <v>63</v>
      </c>
      <c r="D110" s="5" t="s">
        <v>157</v>
      </c>
      <c r="E110" s="5">
        <v>2238095.11</v>
      </c>
      <c r="F110" s="5">
        <v>2619361.365487464</v>
      </c>
      <c r="G110" s="5">
        <v>3116776.580000001</v>
      </c>
      <c r="H110" s="5">
        <f t="shared" si="1"/>
        <v>2658077.685</v>
      </c>
      <c r="I110" s="5">
        <v>0.0</v>
      </c>
      <c r="J110" s="5">
        <v>35.99</v>
      </c>
      <c r="K110" s="5">
        <v>1672.51</v>
      </c>
      <c r="L110" s="5">
        <f t="shared" si="2"/>
        <v>569.5</v>
      </c>
      <c r="M110" s="5">
        <v>5335305.179999995</v>
      </c>
      <c r="N110" s="5">
        <v>6232996.539999999</v>
      </c>
      <c r="O110" s="5">
        <v>6075452.649999999</v>
      </c>
      <c r="P110" s="5">
        <f t="shared" si="3"/>
        <v>5881251.457</v>
      </c>
      <c r="Q110" s="5">
        <v>3017.5</v>
      </c>
      <c r="R110" s="5">
        <v>19957.0</v>
      </c>
      <c r="S110" s="5">
        <v>39753.8</v>
      </c>
      <c r="T110" s="5">
        <f t="shared" si="4"/>
        <v>20909.43333</v>
      </c>
      <c r="U110" s="6">
        <v>0.021425257929028007</v>
      </c>
      <c r="V110" s="6">
        <v>0.35552693992758205</v>
      </c>
      <c r="W110" s="4"/>
      <c r="X110" s="4"/>
      <c r="Y110" s="4"/>
      <c r="Z110" s="4"/>
    </row>
    <row r="111" ht="14.25" customHeight="1">
      <c r="A111" s="5">
        <v>21801.0</v>
      </c>
      <c r="B111" s="5" t="s">
        <v>160</v>
      </c>
      <c r="C111" s="5" t="s">
        <v>63</v>
      </c>
      <c r="D111" s="5" t="s">
        <v>161</v>
      </c>
      <c r="E111" s="5">
        <v>9019680.739999998</v>
      </c>
      <c r="F111" s="5">
        <v>9218779.303762073</v>
      </c>
      <c r="G111" s="5">
        <v>1.093694552E7</v>
      </c>
      <c r="H111" s="5">
        <f t="shared" si="1"/>
        <v>9725135.188</v>
      </c>
      <c r="I111" s="5">
        <v>1051531.69</v>
      </c>
      <c r="J111" s="5">
        <v>11.97999999998137</v>
      </c>
      <c r="K111" s="5">
        <v>6512.71</v>
      </c>
      <c r="L111" s="5">
        <f t="shared" si="2"/>
        <v>352685.46</v>
      </c>
      <c r="M111" s="5">
        <v>7583746.339999998</v>
      </c>
      <c r="N111" s="5">
        <v>8823040.25</v>
      </c>
      <c r="O111" s="5">
        <v>8542322.39</v>
      </c>
      <c r="P111" s="5">
        <f t="shared" si="3"/>
        <v>8316369.66</v>
      </c>
      <c r="Q111" s="5">
        <v>40965.28</v>
      </c>
      <c r="R111" s="5">
        <v>32615.03</v>
      </c>
      <c r="S111" s="5">
        <v>2797.0</v>
      </c>
      <c r="T111" s="5">
        <f t="shared" si="4"/>
        <v>25459.10333</v>
      </c>
      <c r="U111" s="6">
        <v>3.62653529421432</v>
      </c>
      <c r="V111" s="6">
        <v>0.3061324156354701</v>
      </c>
      <c r="W111" s="4"/>
      <c r="X111" s="4"/>
      <c r="Y111" s="4"/>
      <c r="Z111" s="4"/>
    </row>
    <row r="112" ht="14.25" customHeight="1">
      <c r="A112" s="5">
        <v>21802.0</v>
      </c>
      <c r="B112" s="5" t="s">
        <v>162</v>
      </c>
      <c r="C112" s="5" t="s">
        <v>63</v>
      </c>
      <c r="D112" s="5" t="s">
        <v>161</v>
      </c>
      <c r="E112" s="5">
        <v>6835920.95</v>
      </c>
      <c r="F112" s="5">
        <v>7998781.727711616</v>
      </c>
      <c r="G112" s="5">
        <v>1.001637552E7</v>
      </c>
      <c r="H112" s="5">
        <f t="shared" si="1"/>
        <v>8283692.733</v>
      </c>
      <c r="I112" s="5">
        <v>33182.73</v>
      </c>
      <c r="J112" s="5">
        <v>18543.99</v>
      </c>
      <c r="K112" s="5">
        <v>515949.82</v>
      </c>
      <c r="L112" s="5">
        <f t="shared" si="2"/>
        <v>189225.5133</v>
      </c>
      <c r="M112" s="5">
        <v>6201716.659999995</v>
      </c>
      <c r="N112" s="5">
        <v>7707354.669999998</v>
      </c>
      <c r="O112" s="5">
        <v>7675281.849999999</v>
      </c>
      <c r="P112" s="5">
        <f t="shared" si="3"/>
        <v>7194784.393</v>
      </c>
      <c r="Q112" s="5">
        <v>237431.55</v>
      </c>
      <c r="R112" s="5">
        <v>757919.31</v>
      </c>
      <c r="S112" s="5">
        <v>924204.0</v>
      </c>
      <c r="T112" s="5">
        <f t="shared" si="4"/>
        <v>639851.62</v>
      </c>
      <c r="U112" s="6">
        <v>2.2843135234763126</v>
      </c>
      <c r="V112" s="6">
        <v>8.893270249945015</v>
      </c>
      <c r="W112" s="4"/>
      <c r="X112" s="4"/>
      <c r="Y112" s="4"/>
      <c r="Z112" s="4"/>
    </row>
    <row r="113" ht="14.25" customHeight="1">
      <c r="A113" s="5">
        <v>21803.0</v>
      </c>
      <c r="B113" s="5" t="s">
        <v>163</v>
      </c>
      <c r="C113" s="5" t="s">
        <v>63</v>
      </c>
      <c r="D113" s="5" t="s">
        <v>161</v>
      </c>
      <c r="E113" s="5">
        <v>1659524.27</v>
      </c>
      <c r="F113" s="5">
        <v>1965702.168135726</v>
      </c>
      <c r="G113" s="5">
        <v>2308325.87</v>
      </c>
      <c r="H113" s="5">
        <f t="shared" si="1"/>
        <v>1977850.769</v>
      </c>
      <c r="I113" s="5">
        <v>47919.11</v>
      </c>
      <c r="J113" s="5">
        <v>92167.42000000001</v>
      </c>
      <c r="K113" s="5">
        <v>83404.0</v>
      </c>
      <c r="L113" s="5">
        <f t="shared" si="2"/>
        <v>74496.84333</v>
      </c>
      <c r="M113" s="5">
        <v>1710304.279999997</v>
      </c>
      <c r="N113" s="5">
        <v>2162734.6</v>
      </c>
      <c r="O113" s="5">
        <v>2151440.39</v>
      </c>
      <c r="P113" s="5">
        <f t="shared" si="3"/>
        <v>2008159.757</v>
      </c>
      <c r="Q113" s="5">
        <v>4020.5</v>
      </c>
      <c r="R113" s="5">
        <v>174542.68</v>
      </c>
      <c r="S113" s="5">
        <v>220011.29</v>
      </c>
      <c r="T113" s="5">
        <f t="shared" si="4"/>
        <v>132858.1567</v>
      </c>
      <c r="U113" s="6">
        <v>3.7665553178584674</v>
      </c>
      <c r="V113" s="6">
        <v>6.61591570220475</v>
      </c>
      <c r="W113" s="4"/>
      <c r="X113" s="4"/>
      <c r="Y113" s="4"/>
      <c r="Z113" s="4"/>
    </row>
    <row r="114" ht="14.25" customHeight="1">
      <c r="A114" s="5">
        <v>21901.0</v>
      </c>
      <c r="B114" s="5" t="s">
        <v>164</v>
      </c>
      <c r="C114" s="5" t="s">
        <v>63</v>
      </c>
      <c r="D114" s="5" t="s">
        <v>165</v>
      </c>
      <c r="E114" s="5">
        <v>4444719.459999999</v>
      </c>
      <c r="F114" s="5">
        <v>5196749.430009449</v>
      </c>
      <c r="G114" s="5">
        <v>6299492.050000001</v>
      </c>
      <c r="H114" s="5">
        <f t="shared" si="1"/>
        <v>5313653.647</v>
      </c>
      <c r="I114" s="5">
        <v>14205.5</v>
      </c>
      <c r="J114" s="5">
        <v>1674.78</v>
      </c>
      <c r="K114" s="5">
        <v>118688.47</v>
      </c>
      <c r="L114" s="5">
        <f t="shared" si="2"/>
        <v>44856.25</v>
      </c>
      <c r="M114" s="5">
        <v>3955469.249999997</v>
      </c>
      <c r="N114" s="5">
        <v>4626516.56</v>
      </c>
      <c r="O114" s="5">
        <v>4539243.74</v>
      </c>
      <c r="P114" s="5">
        <f t="shared" si="3"/>
        <v>4373743.183</v>
      </c>
      <c r="Q114" s="5">
        <v>45715.98</v>
      </c>
      <c r="R114" s="5">
        <v>68878.57</v>
      </c>
      <c r="S114" s="5">
        <v>111700.98</v>
      </c>
      <c r="T114" s="5">
        <f t="shared" si="4"/>
        <v>75431.84333</v>
      </c>
      <c r="U114" s="6">
        <v>0.8441696238164187</v>
      </c>
      <c r="V114" s="6">
        <v>1.7246518638948745</v>
      </c>
      <c r="W114" s="4"/>
      <c r="X114" s="4"/>
      <c r="Y114" s="4"/>
      <c r="Z114" s="4"/>
    </row>
    <row r="115" ht="14.25" customHeight="1">
      <c r="A115" s="5">
        <v>21902.0</v>
      </c>
      <c r="B115" s="5" t="s">
        <v>166</v>
      </c>
      <c r="C115" s="5" t="s">
        <v>63</v>
      </c>
      <c r="D115" s="5" t="s">
        <v>165</v>
      </c>
      <c r="E115" s="5">
        <v>1742550.26</v>
      </c>
      <c r="F115" s="5">
        <v>2044756.905390855</v>
      </c>
      <c r="G115" s="5">
        <v>2433210.71</v>
      </c>
      <c r="H115" s="5">
        <f t="shared" si="1"/>
        <v>2073505.958</v>
      </c>
      <c r="I115" s="5">
        <v>0.0</v>
      </c>
      <c r="J115" s="5">
        <v>0.0</v>
      </c>
      <c r="K115" s="5">
        <v>0.0</v>
      </c>
      <c r="L115" s="5">
        <f t="shared" si="2"/>
        <v>0</v>
      </c>
      <c r="M115" s="5">
        <v>2454589.93</v>
      </c>
      <c r="N115" s="5">
        <v>2858568.45</v>
      </c>
      <c r="O115" s="5">
        <v>2776964.75</v>
      </c>
      <c r="P115" s="5">
        <f t="shared" si="3"/>
        <v>2696707.71</v>
      </c>
      <c r="Q115" s="5">
        <v>1300.0</v>
      </c>
      <c r="R115" s="5">
        <v>0.0</v>
      </c>
      <c r="S115" s="5">
        <v>0.0</v>
      </c>
      <c r="T115" s="5">
        <f t="shared" si="4"/>
        <v>433.3333333</v>
      </c>
      <c r="U115" s="6">
        <v>0.0</v>
      </c>
      <c r="V115" s="6">
        <v>0.01606897669059333</v>
      </c>
      <c r="W115" s="4"/>
      <c r="X115" s="4"/>
      <c r="Y115" s="4"/>
      <c r="Z115" s="4"/>
    </row>
    <row r="116" ht="14.25" customHeight="1">
      <c r="A116" s="5">
        <v>22001.0</v>
      </c>
      <c r="B116" s="5" t="s">
        <v>167</v>
      </c>
      <c r="C116" s="5" t="s">
        <v>63</v>
      </c>
      <c r="D116" s="5" t="s">
        <v>168</v>
      </c>
      <c r="E116" s="5">
        <v>4.531252876E7</v>
      </c>
      <c r="F116" s="5">
        <v>5.749609364804461E7</v>
      </c>
      <c r="G116" s="5">
        <v>6.396795054999999E7</v>
      </c>
      <c r="H116" s="5">
        <f t="shared" si="1"/>
        <v>55592190.99</v>
      </c>
      <c r="I116" s="5">
        <v>2286349.47</v>
      </c>
      <c r="J116" s="5">
        <v>6900775.57</v>
      </c>
      <c r="K116" s="5">
        <v>3736502.86</v>
      </c>
      <c r="L116" s="5">
        <f t="shared" si="2"/>
        <v>4307875.967</v>
      </c>
      <c r="M116" s="5">
        <v>5.025950578999994E7</v>
      </c>
      <c r="N116" s="5">
        <v>5.723094552E7</v>
      </c>
      <c r="O116" s="5">
        <v>5.833552304999999E7</v>
      </c>
      <c r="P116" s="5">
        <f t="shared" si="3"/>
        <v>55275324.79</v>
      </c>
      <c r="Q116" s="5">
        <v>7425045.3</v>
      </c>
      <c r="R116" s="5">
        <v>7281749.88</v>
      </c>
      <c r="S116" s="5">
        <v>9811907.709999999</v>
      </c>
      <c r="T116" s="5">
        <f t="shared" si="4"/>
        <v>8172900.963</v>
      </c>
      <c r="U116" s="6">
        <v>7.749066712895673</v>
      </c>
      <c r="V116" s="6">
        <v>14.785803602016607</v>
      </c>
      <c r="W116" s="4"/>
      <c r="X116" s="4"/>
      <c r="Y116" s="4"/>
      <c r="Z116" s="4"/>
    </row>
    <row r="117" ht="14.25" customHeight="1">
      <c r="A117" s="5">
        <v>22002.0</v>
      </c>
      <c r="B117" s="5" t="s">
        <v>169</v>
      </c>
      <c r="C117" s="5" t="s">
        <v>63</v>
      </c>
      <c r="D117" s="5" t="s">
        <v>168</v>
      </c>
      <c r="E117" s="5">
        <v>8616144.22</v>
      </c>
      <c r="F117" s="5">
        <v>1.015316564922629E7</v>
      </c>
      <c r="G117" s="5">
        <v>1.17931878E7</v>
      </c>
      <c r="H117" s="5">
        <f t="shared" si="1"/>
        <v>10187499.22</v>
      </c>
      <c r="I117" s="5">
        <v>527702.5700000001</v>
      </c>
      <c r="J117" s="5">
        <v>642273.13</v>
      </c>
      <c r="K117" s="5">
        <v>471184.9</v>
      </c>
      <c r="L117" s="5">
        <f t="shared" si="2"/>
        <v>547053.5333</v>
      </c>
      <c r="M117" s="5">
        <v>1.019638550999999E7</v>
      </c>
      <c r="N117" s="5">
        <v>1.158682524E7</v>
      </c>
      <c r="O117" s="5">
        <v>1.117425446E7</v>
      </c>
      <c r="P117" s="5">
        <f t="shared" si="3"/>
        <v>10985821.74</v>
      </c>
      <c r="Q117" s="5">
        <v>668820.9</v>
      </c>
      <c r="R117" s="5">
        <v>478043.16</v>
      </c>
      <c r="S117" s="5">
        <v>382538.72</v>
      </c>
      <c r="T117" s="5">
        <f t="shared" si="4"/>
        <v>509800.9267</v>
      </c>
      <c r="U117" s="6">
        <v>5.36985104346528</v>
      </c>
      <c r="V117" s="6">
        <v>4.640535217908527</v>
      </c>
      <c r="W117" s="4"/>
      <c r="X117" s="4"/>
      <c r="Y117" s="4"/>
      <c r="Z117" s="4"/>
    </row>
    <row r="118" ht="14.25" customHeight="1">
      <c r="A118" s="5">
        <v>30101.0</v>
      </c>
      <c r="B118" s="5" t="s">
        <v>170</v>
      </c>
      <c r="C118" s="5" t="s">
        <v>171</v>
      </c>
      <c r="D118" s="5" t="s">
        <v>172</v>
      </c>
      <c r="E118" s="5">
        <v>7.880165983800001E8</v>
      </c>
      <c r="F118" s="5">
        <v>9.280358516992779E8</v>
      </c>
      <c r="G118" s="5">
        <v>1.12093857118E9</v>
      </c>
      <c r="H118" s="5">
        <f t="shared" si="1"/>
        <v>945663673.8</v>
      </c>
      <c r="I118" s="5">
        <v>2.8104821989E8</v>
      </c>
      <c r="J118" s="5">
        <v>3.120843892399999E8</v>
      </c>
      <c r="K118" s="5">
        <v>3.8058249208E8</v>
      </c>
      <c r="L118" s="5">
        <f t="shared" si="2"/>
        <v>324571700.4</v>
      </c>
      <c r="M118" s="5">
        <v>1.106836321559999E9</v>
      </c>
      <c r="N118" s="5">
        <v>1.22596620874E9</v>
      </c>
      <c r="O118" s="5">
        <v>1.24837188369E9</v>
      </c>
      <c r="P118" s="5">
        <f t="shared" si="3"/>
        <v>1193724805</v>
      </c>
      <c r="Q118" s="5">
        <v>5.591260780400001E8</v>
      </c>
      <c r="R118" s="5">
        <v>5.863014222099999E8</v>
      </c>
      <c r="S118" s="5">
        <v>6.2926587738E8</v>
      </c>
      <c r="T118" s="5">
        <f t="shared" si="4"/>
        <v>591564459.2</v>
      </c>
      <c r="U118" s="6">
        <v>34.32210725777302</v>
      </c>
      <c r="V118" s="6">
        <v>49.55618387915121</v>
      </c>
      <c r="W118" s="4"/>
      <c r="X118" s="4"/>
      <c r="Y118" s="4"/>
      <c r="Z118" s="4"/>
    </row>
    <row r="119" ht="14.25" customHeight="1">
      <c r="A119" s="5">
        <v>30201.0</v>
      </c>
      <c r="B119" s="5" t="s">
        <v>173</v>
      </c>
      <c r="C119" s="5" t="s">
        <v>171</v>
      </c>
      <c r="D119" s="5" t="s">
        <v>174</v>
      </c>
      <c r="E119" s="5">
        <v>2.989518068E7</v>
      </c>
      <c r="F119" s="5">
        <v>3.518264639957024E7</v>
      </c>
      <c r="G119" s="5">
        <v>4.167307505999999E7</v>
      </c>
      <c r="H119" s="5">
        <f t="shared" si="1"/>
        <v>35583634.05</v>
      </c>
      <c r="I119" s="5">
        <v>1849735.94</v>
      </c>
      <c r="J119" s="5">
        <v>2231979.12</v>
      </c>
      <c r="K119" s="5">
        <v>2353614.24</v>
      </c>
      <c r="L119" s="5">
        <f t="shared" si="2"/>
        <v>2145109.767</v>
      </c>
      <c r="M119" s="5">
        <v>2.677372499999998E7</v>
      </c>
      <c r="N119" s="5">
        <v>3.212753662E7</v>
      </c>
      <c r="O119" s="5">
        <v>2.679030952E7</v>
      </c>
      <c r="P119" s="5">
        <f t="shared" si="3"/>
        <v>28563857.05</v>
      </c>
      <c r="Q119" s="5">
        <v>6610312.02</v>
      </c>
      <c r="R119" s="5">
        <v>8579491.99</v>
      </c>
      <c r="S119" s="5">
        <v>3999118.640000001</v>
      </c>
      <c r="T119" s="5">
        <f t="shared" si="4"/>
        <v>6396307.55</v>
      </c>
      <c r="U119" s="6">
        <v>6.028360576837284</v>
      </c>
      <c r="V119" s="6">
        <v>22.393010648211586</v>
      </c>
      <c r="W119" s="4"/>
      <c r="X119" s="4"/>
      <c r="Y119" s="4"/>
      <c r="Z119" s="4"/>
    </row>
    <row r="120" ht="14.25" customHeight="1">
      <c r="A120" s="5">
        <v>30202.0</v>
      </c>
      <c r="B120" s="5" t="s">
        <v>175</v>
      </c>
      <c r="C120" s="5" t="s">
        <v>171</v>
      </c>
      <c r="D120" s="5" t="s">
        <v>174</v>
      </c>
      <c r="E120" s="5">
        <v>5164136.399999999</v>
      </c>
      <c r="F120" s="5">
        <v>6177530.425724832</v>
      </c>
      <c r="G120" s="5">
        <v>7438576.19</v>
      </c>
      <c r="H120" s="5">
        <f t="shared" si="1"/>
        <v>6260081.005</v>
      </c>
      <c r="I120" s="5">
        <v>210141.31</v>
      </c>
      <c r="J120" s="5">
        <v>349306.78</v>
      </c>
      <c r="K120" s="5">
        <v>481655.6800000001</v>
      </c>
      <c r="L120" s="5">
        <f t="shared" si="2"/>
        <v>347034.59</v>
      </c>
      <c r="M120" s="5">
        <v>6467691.949999995</v>
      </c>
      <c r="N120" s="5">
        <v>7609652.810000001</v>
      </c>
      <c r="O120" s="5">
        <v>7413755.7</v>
      </c>
      <c r="P120" s="5">
        <f t="shared" si="3"/>
        <v>7163700.153</v>
      </c>
      <c r="Q120" s="5">
        <v>531010.11</v>
      </c>
      <c r="R120" s="5">
        <v>674326.1900000001</v>
      </c>
      <c r="S120" s="5">
        <v>701318.78</v>
      </c>
      <c r="T120" s="5">
        <f t="shared" si="4"/>
        <v>635551.6933</v>
      </c>
      <c r="U120" s="6">
        <v>5.5436118112437445</v>
      </c>
      <c r="V120" s="6">
        <v>8.871835500228267</v>
      </c>
      <c r="W120" s="4"/>
      <c r="X120" s="4"/>
      <c r="Y120" s="4"/>
      <c r="Z120" s="4"/>
    </row>
    <row r="121" ht="14.25" customHeight="1">
      <c r="A121" s="5">
        <v>30203.0</v>
      </c>
      <c r="B121" s="5" t="s">
        <v>176</v>
      </c>
      <c r="C121" s="5" t="s">
        <v>171</v>
      </c>
      <c r="D121" s="5" t="s">
        <v>174</v>
      </c>
      <c r="E121" s="5">
        <v>6722027.600000001</v>
      </c>
      <c r="F121" s="5">
        <v>7806961.253648208</v>
      </c>
      <c r="G121" s="5">
        <v>9284364.600000001</v>
      </c>
      <c r="H121" s="5">
        <f t="shared" si="1"/>
        <v>7937784.485</v>
      </c>
      <c r="I121" s="5">
        <v>350924.63</v>
      </c>
      <c r="J121" s="5">
        <v>272982.1800000001</v>
      </c>
      <c r="K121" s="5">
        <v>281296.51</v>
      </c>
      <c r="L121" s="5">
        <f t="shared" si="2"/>
        <v>301734.44</v>
      </c>
      <c r="M121" s="5">
        <v>5516306.279999995</v>
      </c>
      <c r="N121" s="5">
        <v>6221152.77</v>
      </c>
      <c r="O121" s="5">
        <v>6051915.330000001</v>
      </c>
      <c r="P121" s="5">
        <f t="shared" si="3"/>
        <v>5929791.46</v>
      </c>
      <c r="Q121" s="5">
        <v>624664.85</v>
      </c>
      <c r="R121" s="5">
        <v>510437.22</v>
      </c>
      <c r="S121" s="5">
        <v>524729.23</v>
      </c>
      <c r="T121" s="5">
        <f t="shared" si="4"/>
        <v>553277.1</v>
      </c>
      <c r="U121" s="6">
        <v>3.8012425329424686</v>
      </c>
      <c r="V121" s="6">
        <v>9.330464717556866</v>
      </c>
      <c r="W121" s="4"/>
      <c r="X121" s="4"/>
      <c r="Y121" s="4"/>
      <c r="Z121" s="4"/>
    </row>
    <row r="122" ht="14.25" customHeight="1">
      <c r="A122" s="5">
        <v>30301.0</v>
      </c>
      <c r="B122" s="5" t="s">
        <v>177</v>
      </c>
      <c r="C122" s="5" t="s">
        <v>171</v>
      </c>
      <c r="D122" s="5" t="s">
        <v>178</v>
      </c>
      <c r="E122" s="5">
        <v>3.035039228E7</v>
      </c>
      <c r="F122" s="5">
        <v>3.533246147119743E7</v>
      </c>
      <c r="G122" s="5">
        <v>4.258074123E7</v>
      </c>
      <c r="H122" s="5">
        <f t="shared" si="1"/>
        <v>36087864.99</v>
      </c>
      <c r="I122" s="5">
        <v>707347.7499999998</v>
      </c>
      <c r="J122" s="5">
        <v>966144.38</v>
      </c>
      <c r="K122" s="5">
        <v>1693610.88</v>
      </c>
      <c r="L122" s="5">
        <f t="shared" si="2"/>
        <v>1122367.67</v>
      </c>
      <c r="M122" s="5">
        <v>2.328418507999996E7</v>
      </c>
      <c r="N122" s="5">
        <v>2.614029105E7</v>
      </c>
      <c r="O122" s="5">
        <v>2.553396299E7</v>
      </c>
      <c r="P122" s="5">
        <f t="shared" si="3"/>
        <v>24986146.37</v>
      </c>
      <c r="Q122" s="5">
        <v>2783308.36</v>
      </c>
      <c r="R122" s="5">
        <v>2196512.73</v>
      </c>
      <c r="S122" s="5">
        <v>2359757.28</v>
      </c>
      <c r="T122" s="5">
        <f t="shared" si="4"/>
        <v>2446526.123</v>
      </c>
      <c r="U122" s="6">
        <v>3.110097175864868</v>
      </c>
      <c r="V122" s="6">
        <v>9.79153042161159</v>
      </c>
      <c r="W122" s="4"/>
      <c r="X122" s="4"/>
      <c r="Y122" s="4"/>
      <c r="Z122" s="4"/>
    </row>
    <row r="123" ht="14.25" customHeight="1">
      <c r="A123" s="5">
        <v>30302.0</v>
      </c>
      <c r="B123" s="5" t="s">
        <v>179</v>
      </c>
      <c r="C123" s="5" t="s">
        <v>171</v>
      </c>
      <c r="D123" s="5" t="s">
        <v>178</v>
      </c>
      <c r="E123" s="5">
        <v>1.824056895E7</v>
      </c>
      <c r="F123" s="5">
        <v>2.11654375445401E7</v>
      </c>
      <c r="G123" s="5">
        <v>2.521104321E7</v>
      </c>
      <c r="H123" s="5">
        <f t="shared" si="1"/>
        <v>21539016.57</v>
      </c>
      <c r="I123" s="5">
        <v>135756.6</v>
      </c>
      <c r="J123" s="5">
        <v>106111.62</v>
      </c>
      <c r="K123" s="5">
        <v>112080.24</v>
      </c>
      <c r="L123" s="5">
        <f t="shared" si="2"/>
        <v>117982.82</v>
      </c>
      <c r="M123" s="5">
        <v>1.168818747999999E7</v>
      </c>
      <c r="N123" s="5">
        <v>1.36106312E7</v>
      </c>
      <c r="O123" s="5">
        <v>1.344236209E7</v>
      </c>
      <c r="P123" s="5">
        <f t="shared" si="3"/>
        <v>12913726.92</v>
      </c>
      <c r="Q123" s="5">
        <v>598483.8200000001</v>
      </c>
      <c r="R123" s="5">
        <v>659358.48</v>
      </c>
      <c r="S123" s="5">
        <v>907363.9099999999</v>
      </c>
      <c r="T123" s="5">
        <f t="shared" si="4"/>
        <v>721735.4033</v>
      </c>
      <c r="U123" s="6">
        <v>0.5477632631301194</v>
      </c>
      <c r="V123" s="6">
        <v>5.588900923940528</v>
      </c>
      <c r="W123" s="4"/>
      <c r="X123" s="4"/>
      <c r="Y123" s="4"/>
      <c r="Z123" s="4"/>
    </row>
    <row r="124" ht="14.25" customHeight="1">
      <c r="A124" s="5">
        <v>30303.0</v>
      </c>
      <c r="B124" s="5" t="s">
        <v>180</v>
      </c>
      <c r="C124" s="5" t="s">
        <v>171</v>
      </c>
      <c r="D124" s="5" t="s">
        <v>178</v>
      </c>
      <c r="E124" s="5">
        <v>1.938355077E7</v>
      </c>
      <c r="F124" s="5">
        <v>2.259023634956914E7</v>
      </c>
      <c r="G124" s="5">
        <v>2.686551654E7</v>
      </c>
      <c r="H124" s="5">
        <f t="shared" si="1"/>
        <v>22946434.55</v>
      </c>
      <c r="I124" s="5">
        <v>90436.04000000001</v>
      </c>
      <c r="J124" s="5">
        <v>151873.17</v>
      </c>
      <c r="K124" s="5">
        <v>175649.47</v>
      </c>
      <c r="L124" s="5">
        <f t="shared" si="2"/>
        <v>139319.56</v>
      </c>
      <c r="M124" s="5">
        <v>1.699131372999999E7</v>
      </c>
      <c r="N124" s="5">
        <v>1.95389609E7</v>
      </c>
      <c r="O124" s="5">
        <v>2.841091841E7</v>
      </c>
      <c r="P124" s="5">
        <f t="shared" si="3"/>
        <v>21647064.35</v>
      </c>
      <c r="Q124" s="5">
        <v>1326623.6</v>
      </c>
      <c r="R124" s="5">
        <v>1244769.4</v>
      </c>
      <c r="S124" s="5">
        <v>1.070472254E7</v>
      </c>
      <c r="T124" s="5">
        <f t="shared" si="4"/>
        <v>4425371.847</v>
      </c>
      <c r="U124" s="6">
        <v>0.6071512316088062</v>
      </c>
      <c r="V124" s="6">
        <v>20.443288640882663</v>
      </c>
      <c r="W124" s="4"/>
      <c r="X124" s="4"/>
      <c r="Y124" s="4"/>
      <c r="Z124" s="4"/>
    </row>
    <row r="125" ht="14.25" customHeight="1">
      <c r="A125" s="5">
        <v>30401.0</v>
      </c>
      <c r="B125" s="5" t="s">
        <v>181</v>
      </c>
      <c r="C125" s="5" t="s">
        <v>171</v>
      </c>
      <c r="D125" s="5" t="s">
        <v>182</v>
      </c>
      <c r="E125" s="5">
        <v>9695407.05</v>
      </c>
      <c r="F125" s="5">
        <v>1.15799921328471E7</v>
      </c>
      <c r="G125" s="5">
        <v>1.390650756E7</v>
      </c>
      <c r="H125" s="5">
        <f t="shared" si="1"/>
        <v>11727302.25</v>
      </c>
      <c r="I125" s="5">
        <v>629404.8800000001</v>
      </c>
      <c r="J125" s="5">
        <v>822305.8800000001</v>
      </c>
      <c r="K125" s="5">
        <v>1041518.66</v>
      </c>
      <c r="L125" s="5">
        <f t="shared" si="2"/>
        <v>831076.4733</v>
      </c>
      <c r="M125" s="5">
        <v>8212898.889999995</v>
      </c>
      <c r="N125" s="5">
        <v>1.00122362E7</v>
      </c>
      <c r="O125" s="5">
        <v>9218228.39</v>
      </c>
      <c r="P125" s="5">
        <f t="shared" si="3"/>
        <v>9147787.827</v>
      </c>
      <c r="Q125" s="5">
        <v>1070735.74</v>
      </c>
      <c r="R125" s="5">
        <v>1671115.79</v>
      </c>
      <c r="S125" s="5">
        <v>1145196.56</v>
      </c>
      <c r="T125" s="5">
        <f t="shared" si="4"/>
        <v>1295682.697</v>
      </c>
      <c r="U125" s="6">
        <v>7.086680770953108</v>
      </c>
      <c r="V125" s="6">
        <v>14.163890999850578</v>
      </c>
      <c r="W125" s="4"/>
      <c r="X125" s="4"/>
      <c r="Y125" s="4"/>
      <c r="Z125" s="4"/>
    </row>
    <row r="126" ht="14.25" customHeight="1">
      <c r="A126" s="5">
        <v>30402.0</v>
      </c>
      <c r="B126" s="5" t="s">
        <v>183</v>
      </c>
      <c r="C126" s="5" t="s">
        <v>171</v>
      </c>
      <c r="D126" s="5" t="s">
        <v>182</v>
      </c>
      <c r="E126" s="5">
        <v>1.002387004E7</v>
      </c>
      <c r="F126" s="5">
        <v>1.178842718580121E7</v>
      </c>
      <c r="G126" s="5">
        <v>1.427058544E7</v>
      </c>
      <c r="H126" s="5">
        <f t="shared" si="1"/>
        <v>12027627.56</v>
      </c>
      <c r="I126" s="5">
        <v>155584.73</v>
      </c>
      <c r="J126" s="5">
        <v>253113.7</v>
      </c>
      <c r="K126" s="5">
        <v>521150.19</v>
      </c>
      <c r="L126" s="5">
        <f t="shared" si="2"/>
        <v>309949.54</v>
      </c>
      <c r="M126" s="5">
        <v>6465106.779999996</v>
      </c>
      <c r="N126" s="5">
        <v>7468461.82</v>
      </c>
      <c r="O126" s="5">
        <v>7306410.029999998</v>
      </c>
      <c r="P126" s="5">
        <f t="shared" si="3"/>
        <v>7079992.877</v>
      </c>
      <c r="Q126" s="5">
        <v>232882.01</v>
      </c>
      <c r="R126" s="5">
        <v>190030.4</v>
      </c>
      <c r="S126" s="5">
        <v>261903.68</v>
      </c>
      <c r="T126" s="5">
        <f t="shared" si="4"/>
        <v>228272.03</v>
      </c>
      <c r="U126" s="6">
        <v>2.576979862202906</v>
      </c>
      <c r="V126" s="6">
        <v>3.2241844586074344</v>
      </c>
      <c r="W126" s="4"/>
      <c r="X126" s="4"/>
      <c r="Y126" s="4"/>
      <c r="Z126" s="4"/>
    </row>
    <row r="127" ht="14.25" customHeight="1">
      <c r="A127" s="5">
        <v>30403.0</v>
      </c>
      <c r="B127" s="5" t="s">
        <v>184</v>
      </c>
      <c r="C127" s="5" t="s">
        <v>171</v>
      </c>
      <c r="D127" s="5" t="s">
        <v>182</v>
      </c>
      <c r="E127" s="5">
        <v>1.044522482E7</v>
      </c>
      <c r="F127" s="5">
        <v>1.304493255522196E7</v>
      </c>
      <c r="G127" s="5">
        <v>1.503543546E7</v>
      </c>
      <c r="H127" s="5">
        <f t="shared" si="1"/>
        <v>12841864.28</v>
      </c>
      <c r="I127" s="5">
        <v>940612.51</v>
      </c>
      <c r="J127" s="5">
        <v>1620886.16</v>
      </c>
      <c r="K127" s="5">
        <v>1335486.43</v>
      </c>
      <c r="L127" s="5">
        <f t="shared" si="2"/>
        <v>1298995.033</v>
      </c>
      <c r="M127" s="5">
        <v>1.703643935999999E7</v>
      </c>
      <c r="N127" s="5">
        <v>2.102144046E7</v>
      </c>
      <c r="O127" s="5">
        <v>2.064915871E7</v>
      </c>
      <c r="P127" s="5">
        <f t="shared" si="3"/>
        <v>19569012.84</v>
      </c>
      <c r="Q127" s="5">
        <v>1919650.85</v>
      </c>
      <c r="R127" s="5">
        <v>3365889.66</v>
      </c>
      <c r="S127" s="5">
        <v>3561077.61</v>
      </c>
      <c r="T127" s="5">
        <f t="shared" si="4"/>
        <v>2948872.707</v>
      </c>
      <c r="U127" s="6">
        <v>10.115315075533859</v>
      </c>
      <c r="V127" s="6">
        <v>15.069092806443086</v>
      </c>
      <c r="W127" s="4"/>
      <c r="X127" s="4"/>
      <c r="Y127" s="4"/>
      <c r="Z127" s="4"/>
    </row>
    <row r="128" ht="14.25" customHeight="1">
      <c r="A128" s="5">
        <v>30404.0</v>
      </c>
      <c r="B128" s="5" t="s">
        <v>185</v>
      </c>
      <c r="C128" s="5" t="s">
        <v>171</v>
      </c>
      <c r="D128" s="5" t="s">
        <v>182</v>
      </c>
      <c r="E128" s="5">
        <v>5426719.97</v>
      </c>
      <c r="F128" s="5">
        <v>6014747.12140076</v>
      </c>
      <c r="G128" s="5">
        <v>7181249.99</v>
      </c>
      <c r="H128" s="5">
        <f t="shared" si="1"/>
        <v>6207572.36</v>
      </c>
      <c r="I128" s="5">
        <v>331661.12</v>
      </c>
      <c r="J128" s="5">
        <v>56130.10000000005</v>
      </c>
      <c r="K128" s="5">
        <v>78085.29000000002</v>
      </c>
      <c r="L128" s="5">
        <f t="shared" si="2"/>
        <v>155292.17</v>
      </c>
      <c r="M128" s="5">
        <v>3831185.219999996</v>
      </c>
      <c r="N128" s="5">
        <v>4443088.98</v>
      </c>
      <c r="O128" s="5">
        <v>4400072.779999999</v>
      </c>
      <c r="P128" s="5">
        <f t="shared" si="3"/>
        <v>4224782.327</v>
      </c>
      <c r="Q128" s="5">
        <v>48018.1</v>
      </c>
      <c r="R128" s="5">
        <v>24803.08</v>
      </c>
      <c r="S128" s="5">
        <v>123809.33</v>
      </c>
      <c r="T128" s="5">
        <f t="shared" si="4"/>
        <v>65543.50333</v>
      </c>
      <c r="U128" s="6">
        <v>2.5016570243946266</v>
      </c>
      <c r="V128" s="6">
        <v>1.5514054515809073</v>
      </c>
      <c r="W128" s="4"/>
      <c r="X128" s="4"/>
      <c r="Y128" s="4"/>
      <c r="Z128" s="4"/>
    </row>
    <row r="129" ht="14.25" customHeight="1">
      <c r="A129" s="5">
        <v>30501.0</v>
      </c>
      <c r="B129" s="5" t="s">
        <v>186</v>
      </c>
      <c r="C129" s="5" t="s">
        <v>171</v>
      </c>
      <c r="D129" s="5" t="s">
        <v>187</v>
      </c>
      <c r="E129" s="5">
        <v>1.224154443E7</v>
      </c>
      <c r="F129" s="5">
        <v>1.454408327332094E7</v>
      </c>
      <c r="G129" s="5">
        <v>1.729168191E7</v>
      </c>
      <c r="H129" s="5">
        <f t="shared" si="1"/>
        <v>14692436.54</v>
      </c>
      <c r="I129" s="5">
        <v>393757.23</v>
      </c>
      <c r="J129" s="5">
        <v>411431.33</v>
      </c>
      <c r="K129" s="5">
        <v>371317.73</v>
      </c>
      <c r="L129" s="5">
        <f t="shared" si="2"/>
        <v>392168.7633</v>
      </c>
      <c r="M129" s="5">
        <v>8938862.459999995</v>
      </c>
      <c r="N129" s="5">
        <v>1.071975808E7</v>
      </c>
      <c r="O129" s="5">
        <v>1.075707198E7</v>
      </c>
      <c r="P129" s="5">
        <f t="shared" si="3"/>
        <v>10138564.17</v>
      </c>
      <c r="Q129" s="5">
        <v>703001.09</v>
      </c>
      <c r="R129" s="5">
        <v>1101357.49</v>
      </c>
      <c r="S129" s="5">
        <v>1447827.82</v>
      </c>
      <c r="T129" s="5">
        <f t="shared" si="4"/>
        <v>1084062.133</v>
      </c>
      <c r="U129" s="6">
        <v>2.6691880705088207</v>
      </c>
      <c r="V129" s="6">
        <v>10.692462115934099</v>
      </c>
      <c r="W129" s="4"/>
      <c r="X129" s="4"/>
      <c r="Y129" s="4"/>
      <c r="Z129" s="4"/>
    </row>
    <row r="130" ht="14.25" customHeight="1">
      <c r="A130" s="5">
        <v>30502.0</v>
      </c>
      <c r="B130" s="5" t="s">
        <v>188</v>
      </c>
      <c r="C130" s="5" t="s">
        <v>171</v>
      </c>
      <c r="D130" s="5" t="s">
        <v>187</v>
      </c>
      <c r="E130" s="5">
        <v>1.346697174E7</v>
      </c>
      <c r="F130" s="5">
        <v>1.582926339872194E7</v>
      </c>
      <c r="G130" s="5">
        <v>1.904498815E7</v>
      </c>
      <c r="H130" s="5">
        <f t="shared" si="1"/>
        <v>16113741.1</v>
      </c>
      <c r="I130" s="5">
        <v>130399.39</v>
      </c>
      <c r="J130" s="5">
        <v>153703.82</v>
      </c>
      <c r="K130" s="5">
        <v>337866.33</v>
      </c>
      <c r="L130" s="5">
        <f t="shared" si="2"/>
        <v>207323.18</v>
      </c>
      <c r="M130" s="5">
        <v>7977719.339999996</v>
      </c>
      <c r="N130" s="5">
        <v>9415114.17</v>
      </c>
      <c r="O130" s="5">
        <v>9054623.309999999</v>
      </c>
      <c r="P130" s="5">
        <f t="shared" si="3"/>
        <v>8815818.94</v>
      </c>
      <c r="Q130" s="5">
        <v>230642.21</v>
      </c>
      <c r="R130" s="5">
        <v>367542.3</v>
      </c>
      <c r="S130" s="5">
        <v>297861.64</v>
      </c>
      <c r="T130" s="5">
        <f t="shared" si="4"/>
        <v>298682.05</v>
      </c>
      <c r="U130" s="6">
        <v>1.2866235020269052</v>
      </c>
      <c r="V130" s="6">
        <v>3.3880238697370526</v>
      </c>
      <c r="W130" s="4"/>
      <c r="X130" s="4"/>
      <c r="Y130" s="4"/>
      <c r="Z130" s="4"/>
    </row>
    <row r="131" ht="14.25" customHeight="1">
      <c r="A131" s="5">
        <v>30601.0</v>
      </c>
      <c r="B131" s="5" t="s">
        <v>189</v>
      </c>
      <c r="C131" s="5" t="s">
        <v>171</v>
      </c>
      <c r="D131" s="5" t="s">
        <v>190</v>
      </c>
      <c r="E131" s="5">
        <v>1.34098451E7</v>
      </c>
      <c r="F131" s="5">
        <v>1.539468920042225E7</v>
      </c>
      <c r="G131" s="5">
        <v>1.856705402E7</v>
      </c>
      <c r="H131" s="5">
        <f t="shared" si="1"/>
        <v>15790529.44</v>
      </c>
      <c r="I131" s="5">
        <v>111752.32</v>
      </c>
      <c r="J131" s="5">
        <v>88174.21999999999</v>
      </c>
      <c r="K131" s="5">
        <v>385653.67</v>
      </c>
      <c r="L131" s="5">
        <f t="shared" si="2"/>
        <v>195193.4033</v>
      </c>
      <c r="M131" s="5">
        <v>9690501.049999995</v>
      </c>
      <c r="N131" s="5">
        <v>1.120241166E7</v>
      </c>
      <c r="O131" s="5">
        <v>1.093960529E7</v>
      </c>
      <c r="P131" s="5">
        <f t="shared" si="3"/>
        <v>10610839.33</v>
      </c>
      <c r="Q131" s="5">
        <v>510379.05</v>
      </c>
      <c r="R131" s="5">
        <v>477776.79</v>
      </c>
      <c r="S131" s="5">
        <v>559681.21</v>
      </c>
      <c r="T131" s="5">
        <f t="shared" si="4"/>
        <v>515945.6833</v>
      </c>
      <c r="U131" s="6">
        <v>1.2361422336931691</v>
      </c>
      <c r="V131" s="6">
        <v>4.862439879873783</v>
      </c>
      <c r="W131" s="4"/>
      <c r="X131" s="4"/>
      <c r="Y131" s="4"/>
      <c r="Z131" s="4"/>
    </row>
    <row r="132" ht="14.25" customHeight="1">
      <c r="A132" s="5">
        <v>30602.0</v>
      </c>
      <c r="B132" s="5" t="s">
        <v>191</v>
      </c>
      <c r="C132" s="5" t="s">
        <v>171</v>
      </c>
      <c r="D132" s="5" t="s">
        <v>190</v>
      </c>
      <c r="E132" s="5">
        <v>1.340238172E7</v>
      </c>
      <c r="F132" s="5">
        <v>1.517029766474675E7</v>
      </c>
      <c r="G132" s="5">
        <v>1.802383298E7</v>
      </c>
      <c r="H132" s="5">
        <f t="shared" si="1"/>
        <v>15532170.79</v>
      </c>
      <c r="I132" s="5">
        <v>387390.11</v>
      </c>
      <c r="J132" s="5">
        <v>139621.64</v>
      </c>
      <c r="K132" s="5">
        <v>156621.22</v>
      </c>
      <c r="L132" s="5">
        <f t="shared" si="2"/>
        <v>227877.6567</v>
      </c>
      <c r="M132" s="5">
        <v>9260000.109999996</v>
      </c>
      <c r="N132" s="5">
        <v>1.068784008E7</v>
      </c>
      <c r="O132" s="5">
        <v>1.052975855E7</v>
      </c>
      <c r="P132" s="5">
        <f t="shared" si="3"/>
        <v>10159199.58</v>
      </c>
      <c r="Q132" s="5">
        <v>374539.21</v>
      </c>
      <c r="R132" s="5">
        <v>311370.15</v>
      </c>
      <c r="S132" s="5">
        <v>486809.4300000001</v>
      </c>
      <c r="T132" s="5">
        <f t="shared" si="4"/>
        <v>390906.2633</v>
      </c>
      <c r="U132" s="6">
        <v>1.4671333439049659</v>
      </c>
      <c r="V132" s="6">
        <v>3.8478057277553104</v>
      </c>
      <c r="W132" s="4"/>
      <c r="X132" s="4"/>
      <c r="Y132" s="4"/>
      <c r="Z132" s="4"/>
    </row>
    <row r="133" ht="14.25" customHeight="1">
      <c r="A133" s="5">
        <v>30701.0</v>
      </c>
      <c r="B133" s="5" t="s">
        <v>192</v>
      </c>
      <c r="C133" s="5" t="s">
        <v>171</v>
      </c>
      <c r="D133" s="5" t="s">
        <v>193</v>
      </c>
      <c r="E133" s="5">
        <v>2.139032113E7</v>
      </c>
      <c r="F133" s="5">
        <v>2.4100907092109E7</v>
      </c>
      <c r="G133" s="5">
        <v>2.76922487E7</v>
      </c>
      <c r="H133" s="5">
        <f t="shared" si="1"/>
        <v>24394492.31</v>
      </c>
      <c r="I133" s="5">
        <v>3634240.06</v>
      </c>
      <c r="J133" s="5">
        <v>3091194.47</v>
      </c>
      <c r="K133" s="5">
        <v>2582662.13</v>
      </c>
      <c r="L133" s="5">
        <f t="shared" si="2"/>
        <v>3102698.887</v>
      </c>
      <c r="M133" s="5">
        <v>2.050102369999998E7</v>
      </c>
      <c r="N133" s="5">
        <v>2.284457933E7</v>
      </c>
      <c r="O133" s="5">
        <v>2.176243012E7</v>
      </c>
      <c r="P133" s="5">
        <f t="shared" si="3"/>
        <v>21702677.72</v>
      </c>
      <c r="Q133" s="5">
        <v>3623134.4</v>
      </c>
      <c r="R133" s="5">
        <v>3132424.79</v>
      </c>
      <c r="S133" s="5">
        <v>2683844.219999999</v>
      </c>
      <c r="T133" s="5">
        <f t="shared" si="4"/>
        <v>3146467.803</v>
      </c>
      <c r="U133" s="6">
        <v>12.718850007504892</v>
      </c>
      <c r="V133" s="6">
        <v>14.498062609652035</v>
      </c>
      <c r="W133" s="4"/>
      <c r="X133" s="4"/>
      <c r="Y133" s="4"/>
      <c r="Z133" s="4"/>
    </row>
    <row r="134" ht="14.25" customHeight="1">
      <c r="A134" s="5">
        <v>30702.0</v>
      </c>
      <c r="B134" s="5" t="s">
        <v>194</v>
      </c>
      <c r="C134" s="5" t="s">
        <v>171</v>
      </c>
      <c r="D134" s="5" t="s">
        <v>193</v>
      </c>
      <c r="E134" s="5">
        <v>7260523.55</v>
      </c>
      <c r="F134" s="5">
        <v>9471769.210670322</v>
      </c>
      <c r="G134" s="5">
        <v>1.035965026E7</v>
      </c>
      <c r="H134" s="5">
        <f t="shared" si="1"/>
        <v>9030647.674</v>
      </c>
      <c r="I134" s="5">
        <v>683977.96</v>
      </c>
      <c r="J134" s="5">
        <v>1629374.02</v>
      </c>
      <c r="K134" s="5">
        <v>970886.25</v>
      </c>
      <c r="L134" s="5">
        <f t="shared" si="2"/>
        <v>1094746.077</v>
      </c>
      <c r="M134" s="5">
        <v>9451427.349999996</v>
      </c>
      <c r="N134" s="5">
        <v>1.070313932E7</v>
      </c>
      <c r="O134" s="5">
        <v>9927735.259999998</v>
      </c>
      <c r="P134" s="5">
        <f t="shared" si="3"/>
        <v>10027433.98</v>
      </c>
      <c r="Q134" s="5">
        <v>3795461.85</v>
      </c>
      <c r="R134" s="5">
        <v>4097752.51</v>
      </c>
      <c r="S134" s="5">
        <v>3534625.67</v>
      </c>
      <c r="T134" s="5">
        <f t="shared" si="4"/>
        <v>3809280.01</v>
      </c>
      <c r="U134" s="6">
        <v>12.122564363487058</v>
      </c>
      <c r="V134" s="6">
        <v>37.9885823119255</v>
      </c>
      <c r="W134" s="4"/>
      <c r="X134" s="4"/>
      <c r="Y134" s="4"/>
      <c r="Z134" s="4"/>
    </row>
    <row r="135" ht="14.25" customHeight="1">
      <c r="A135" s="5">
        <v>30703.0</v>
      </c>
      <c r="B135" s="5" t="s">
        <v>195</v>
      </c>
      <c r="C135" s="5" t="s">
        <v>171</v>
      </c>
      <c r="D135" s="5" t="s">
        <v>193</v>
      </c>
      <c r="E135" s="5">
        <v>2552592.11</v>
      </c>
      <c r="F135" s="5">
        <v>3035927.541663374</v>
      </c>
      <c r="G135" s="5">
        <v>3605533.25</v>
      </c>
      <c r="H135" s="5">
        <f t="shared" si="1"/>
        <v>3064684.301</v>
      </c>
      <c r="I135" s="5">
        <v>153809.18</v>
      </c>
      <c r="J135" s="5">
        <v>224070.71</v>
      </c>
      <c r="K135" s="5">
        <v>251772.7</v>
      </c>
      <c r="L135" s="5">
        <f t="shared" si="2"/>
        <v>209884.1967</v>
      </c>
      <c r="M135" s="5">
        <v>3939104.809999994</v>
      </c>
      <c r="N135" s="5">
        <v>4387343.98</v>
      </c>
      <c r="O135" s="5">
        <v>4388792.209999999</v>
      </c>
      <c r="P135" s="5">
        <f t="shared" si="3"/>
        <v>4238413.667</v>
      </c>
      <c r="Q135" s="5">
        <v>698453.3899999999</v>
      </c>
      <c r="R135" s="5">
        <v>602637.71</v>
      </c>
      <c r="S135" s="5">
        <v>725744.9400000001</v>
      </c>
      <c r="T135" s="5">
        <f t="shared" si="4"/>
        <v>675612.0133</v>
      </c>
      <c r="U135" s="6">
        <v>6.848476909308236</v>
      </c>
      <c r="V135" s="6">
        <v>15.940209391233726</v>
      </c>
      <c r="W135" s="4"/>
      <c r="X135" s="4"/>
      <c r="Y135" s="4"/>
      <c r="Z135" s="4"/>
    </row>
    <row r="136" ht="14.25" customHeight="1">
      <c r="A136" s="5">
        <v>30801.0</v>
      </c>
      <c r="B136" s="5" t="s">
        <v>196</v>
      </c>
      <c r="C136" s="5" t="s">
        <v>171</v>
      </c>
      <c r="D136" s="5" t="s">
        <v>197</v>
      </c>
      <c r="E136" s="5">
        <v>2.350974912E7</v>
      </c>
      <c r="F136" s="5">
        <v>2.896747507668934E7</v>
      </c>
      <c r="G136" s="5">
        <v>3.322027612E7</v>
      </c>
      <c r="H136" s="5">
        <f t="shared" si="1"/>
        <v>28565833.44</v>
      </c>
      <c r="I136" s="5">
        <v>3643933.5</v>
      </c>
      <c r="J136" s="5">
        <v>5079628.53</v>
      </c>
      <c r="K136" s="5">
        <v>4571015.529999999</v>
      </c>
      <c r="L136" s="5">
        <f t="shared" si="2"/>
        <v>4431525.853</v>
      </c>
      <c r="M136" s="5">
        <v>2.484238859999998E7</v>
      </c>
      <c r="N136" s="5">
        <v>2.917455215E7</v>
      </c>
      <c r="O136" s="5">
        <v>2.898994146E7</v>
      </c>
      <c r="P136" s="5">
        <f t="shared" si="3"/>
        <v>27668960.74</v>
      </c>
      <c r="Q136" s="5">
        <v>5866303.11</v>
      </c>
      <c r="R136" s="5">
        <v>7011071.650000001</v>
      </c>
      <c r="S136" s="5">
        <v>7538815.079999999</v>
      </c>
      <c r="T136" s="5">
        <f t="shared" si="4"/>
        <v>6805396.613</v>
      </c>
      <c r="U136" s="6">
        <v>15.5133784659655</v>
      </c>
      <c r="V136" s="6">
        <v>24.595779646739253</v>
      </c>
      <c r="W136" s="4"/>
      <c r="X136" s="4"/>
      <c r="Y136" s="4"/>
      <c r="Z136" s="4"/>
    </row>
    <row r="137" ht="14.25" customHeight="1">
      <c r="A137" s="5">
        <v>30802.0</v>
      </c>
      <c r="B137" s="5" t="s">
        <v>198</v>
      </c>
      <c r="C137" s="5" t="s">
        <v>171</v>
      </c>
      <c r="D137" s="5" t="s">
        <v>199</v>
      </c>
      <c r="E137" s="5">
        <v>7515582.99</v>
      </c>
      <c r="F137" s="5">
        <v>8822567.05497472</v>
      </c>
      <c r="G137" s="5">
        <v>1.008304756E7</v>
      </c>
      <c r="H137" s="5">
        <f t="shared" si="1"/>
        <v>8807065.868</v>
      </c>
      <c r="I137" s="5">
        <v>626348.29</v>
      </c>
      <c r="J137" s="5">
        <v>607956.08</v>
      </c>
      <c r="K137" s="5">
        <v>248852.14</v>
      </c>
      <c r="L137" s="5">
        <f t="shared" si="2"/>
        <v>494385.5033</v>
      </c>
      <c r="M137" s="5">
        <v>6479668.699999996</v>
      </c>
      <c r="N137" s="5">
        <v>7560764.770000001</v>
      </c>
      <c r="O137" s="5">
        <v>7362254.55</v>
      </c>
      <c r="P137" s="5">
        <f t="shared" si="3"/>
        <v>7134229.34</v>
      </c>
      <c r="Q137" s="5">
        <v>364440.41</v>
      </c>
      <c r="R137" s="5">
        <v>418968.09</v>
      </c>
      <c r="S137" s="5">
        <v>449991.44</v>
      </c>
      <c r="T137" s="5">
        <f t="shared" si="4"/>
        <v>411133.3133</v>
      </c>
      <c r="U137" s="6">
        <v>5.613509774139624</v>
      </c>
      <c r="V137" s="6">
        <v>5.762827261918851</v>
      </c>
      <c r="W137" s="4"/>
      <c r="X137" s="4"/>
      <c r="Y137" s="4"/>
      <c r="Z137" s="4"/>
    </row>
    <row r="138" ht="14.25" customHeight="1">
      <c r="A138" s="5">
        <v>30803.0</v>
      </c>
      <c r="B138" s="5" t="s">
        <v>200</v>
      </c>
      <c r="C138" s="5" t="s">
        <v>171</v>
      </c>
      <c r="D138" s="5" t="s">
        <v>197</v>
      </c>
      <c r="E138" s="5">
        <v>6455114.350000001</v>
      </c>
      <c r="F138" s="5">
        <v>7702740.672819955</v>
      </c>
      <c r="G138" s="5">
        <v>8758290.170000002</v>
      </c>
      <c r="H138" s="5">
        <f t="shared" si="1"/>
        <v>7638715.064</v>
      </c>
      <c r="I138" s="5">
        <v>1106739.13</v>
      </c>
      <c r="J138" s="5">
        <v>1271918.7</v>
      </c>
      <c r="K138" s="5">
        <v>1045650.9</v>
      </c>
      <c r="L138" s="5">
        <f t="shared" si="2"/>
        <v>1141436.243</v>
      </c>
      <c r="M138" s="5">
        <v>7107479.889999998</v>
      </c>
      <c r="N138" s="5">
        <v>6997990.73</v>
      </c>
      <c r="O138" s="5">
        <v>7075509.87</v>
      </c>
      <c r="P138" s="5">
        <f t="shared" si="3"/>
        <v>7060326.83</v>
      </c>
      <c r="Q138" s="5">
        <v>2305145.19</v>
      </c>
      <c r="R138" s="5">
        <v>1389497.8</v>
      </c>
      <c r="S138" s="5">
        <v>1647261.24</v>
      </c>
      <c r="T138" s="5">
        <f t="shared" si="4"/>
        <v>1780634.743</v>
      </c>
      <c r="U138" s="6">
        <v>14.942778120784896</v>
      </c>
      <c r="V138" s="6">
        <v>25.220287760153642</v>
      </c>
      <c r="W138" s="4"/>
      <c r="X138" s="4"/>
      <c r="Y138" s="4"/>
      <c r="Z138" s="4"/>
    </row>
    <row r="139" ht="14.25" customHeight="1">
      <c r="A139" s="5">
        <v>30901.0</v>
      </c>
      <c r="B139" s="5" t="s">
        <v>201</v>
      </c>
      <c r="C139" s="5" t="s">
        <v>171</v>
      </c>
      <c r="D139" s="5" t="s">
        <v>202</v>
      </c>
      <c r="E139" s="5">
        <v>1.4869367819E8</v>
      </c>
      <c r="F139" s="5">
        <v>1.746032715545486E8</v>
      </c>
      <c r="G139" s="5">
        <v>2.0728519806E8</v>
      </c>
      <c r="H139" s="5">
        <f t="shared" si="1"/>
        <v>176860715.9</v>
      </c>
      <c r="I139" s="5">
        <v>4.615067797E7</v>
      </c>
      <c r="J139" s="5">
        <v>5.01963408E7</v>
      </c>
      <c r="K139" s="5">
        <v>5.779738943999999E7</v>
      </c>
      <c r="L139" s="5">
        <f t="shared" si="2"/>
        <v>51381469.4</v>
      </c>
      <c r="M139" s="5">
        <v>2.209953486599999E8</v>
      </c>
      <c r="N139" s="5">
        <v>2.333898122900001E8</v>
      </c>
      <c r="O139" s="5">
        <v>2.3118777765E8</v>
      </c>
      <c r="P139" s="5">
        <f t="shared" si="3"/>
        <v>228524312.9</v>
      </c>
      <c r="Q139" s="5">
        <v>1.0211049638E8</v>
      </c>
      <c r="R139" s="5">
        <v>9.454747653000002E7</v>
      </c>
      <c r="S139" s="5">
        <v>9.680784202E7</v>
      </c>
      <c r="T139" s="5">
        <f t="shared" si="4"/>
        <v>97821938.31</v>
      </c>
      <c r="U139" s="6">
        <v>29.051940184535272</v>
      </c>
      <c r="V139" s="6">
        <v>42.805921646977914</v>
      </c>
      <c r="W139" s="4"/>
      <c r="X139" s="4"/>
      <c r="Y139" s="4"/>
      <c r="Z139" s="4"/>
    </row>
    <row r="140" ht="14.25" customHeight="1">
      <c r="A140" s="5">
        <v>30902.0</v>
      </c>
      <c r="B140" s="5" t="s">
        <v>203</v>
      </c>
      <c r="C140" s="5" t="s">
        <v>171</v>
      </c>
      <c r="D140" s="5" t="s">
        <v>202</v>
      </c>
      <c r="E140" s="5">
        <v>3.349707659E7</v>
      </c>
      <c r="F140" s="5">
        <v>4.074105326514689E7</v>
      </c>
      <c r="G140" s="5">
        <v>4.866633888E7</v>
      </c>
      <c r="H140" s="5">
        <f t="shared" si="1"/>
        <v>40968156.25</v>
      </c>
      <c r="I140" s="5">
        <v>1348335.08</v>
      </c>
      <c r="J140" s="5">
        <v>2383195.93</v>
      </c>
      <c r="K140" s="5">
        <v>2740088.95</v>
      </c>
      <c r="L140" s="5">
        <f t="shared" si="2"/>
        <v>2157206.653</v>
      </c>
      <c r="M140" s="5">
        <v>4.273729911999996E7</v>
      </c>
      <c r="N140" s="5">
        <v>4.967748208E7</v>
      </c>
      <c r="O140" s="5">
        <v>5.004194454E7</v>
      </c>
      <c r="P140" s="5">
        <f t="shared" si="3"/>
        <v>47485575.25</v>
      </c>
      <c r="Q140" s="5">
        <v>6711312.67</v>
      </c>
      <c r="R140" s="5">
        <v>7603811.829999999</v>
      </c>
      <c r="S140" s="5">
        <v>9320539.38</v>
      </c>
      <c r="T140" s="5">
        <f t="shared" si="4"/>
        <v>7878554.627</v>
      </c>
      <c r="U140" s="6">
        <v>5.265569288571618</v>
      </c>
      <c r="V140" s="6">
        <v>16.591469274071223</v>
      </c>
      <c r="W140" s="4"/>
      <c r="X140" s="4"/>
      <c r="Y140" s="4"/>
      <c r="Z140" s="4"/>
    </row>
    <row r="141" ht="14.25" customHeight="1">
      <c r="A141" s="5">
        <v>30903.0</v>
      </c>
      <c r="B141" s="5" t="s">
        <v>204</v>
      </c>
      <c r="C141" s="5" t="s">
        <v>171</v>
      </c>
      <c r="D141" s="5" t="s">
        <v>202</v>
      </c>
      <c r="E141" s="5">
        <v>5.016514085E7</v>
      </c>
      <c r="F141" s="5">
        <v>6.080030824918686E7</v>
      </c>
      <c r="G141" s="5">
        <v>7.289618647999999E7</v>
      </c>
      <c r="H141" s="5">
        <f t="shared" si="1"/>
        <v>61287211.86</v>
      </c>
      <c r="I141" s="5">
        <v>1.248016539E7</v>
      </c>
      <c r="J141" s="5">
        <v>1.53250476E7</v>
      </c>
      <c r="K141" s="5">
        <v>1.777504902E7</v>
      </c>
      <c r="L141" s="5">
        <f t="shared" si="2"/>
        <v>15193420.67</v>
      </c>
      <c r="M141" s="5">
        <v>7.738813969999996E7</v>
      </c>
      <c r="N141" s="5">
        <v>8.940558637E7</v>
      </c>
      <c r="O141" s="5">
        <v>9.096486031999998E7</v>
      </c>
      <c r="P141" s="5">
        <f t="shared" si="3"/>
        <v>85919528.8</v>
      </c>
      <c r="Q141" s="5">
        <v>3.068303776E7</v>
      </c>
      <c r="R141" s="5">
        <v>3.484958678E7</v>
      </c>
      <c r="S141" s="5">
        <v>3.816230702999999E7</v>
      </c>
      <c r="T141" s="5">
        <f t="shared" si="4"/>
        <v>34564977.19</v>
      </c>
      <c r="U141" s="6">
        <v>24.790523518632124</v>
      </c>
      <c r="V141" s="6">
        <v>40.22947713295769</v>
      </c>
      <c r="W141" s="4"/>
      <c r="X141" s="4"/>
      <c r="Y141" s="4"/>
      <c r="Z141" s="4"/>
    </row>
    <row r="142" ht="14.25" customHeight="1">
      <c r="A142" s="5">
        <v>30904.0</v>
      </c>
      <c r="B142" s="5" t="s">
        <v>205</v>
      </c>
      <c r="C142" s="5" t="s">
        <v>171</v>
      </c>
      <c r="D142" s="5" t="s">
        <v>202</v>
      </c>
      <c r="E142" s="5">
        <v>3.624144689000001E7</v>
      </c>
      <c r="F142" s="5">
        <v>4.378247946278396E7</v>
      </c>
      <c r="G142" s="5">
        <v>5.130059088E7</v>
      </c>
      <c r="H142" s="5">
        <f t="shared" si="1"/>
        <v>43774839.08</v>
      </c>
      <c r="I142" s="5">
        <v>4446870.06</v>
      </c>
      <c r="J142" s="5">
        <v>5606487.37</v>
      </c>
      <c r="K142" s="5">
        <v>5529621.279999999</v>
      </c>
      <c r="L142" s="5">
        <f t="shared" si="2"/>
        <v>5194326.237</v>
      </c>
      <c r="M142" s="5">
        <v>6.078412255999996E7</v>
      </c>
      <c r="N142" s="5">
        <v>7.039103319E7</v>
      </c>
      <c r="O142" s="5">
        <v>7.126894674E7</v>
      </c>
      <c r="P142" s="5">
        <f t="shared" si="3"/>
        <v>67481367.5</v>
      </c>
      <c r="Q142" s="5">
        <v>1.574842656E7</v>
      </c>
      <c r="R142" s="5">
        <v>1.779447502E7</v>
      </c>
      <c r="S142" s="5">
        <v>2.036285844E7</v>
      </c>
      <c r="T142" s="5">
        <f t="shared" si="4"/>
        <v>17968586.67</v>
      </c>
      <c r="U142" s="6">
        <v>11.866008753245847</v>
      </c>
      <c r="V142" s="6">
        <v>26.627478576543247</v>
      </c>
      <c r="W142" s="4"/>
      <c r="X142" s="4"/>
      <c r="Y142" s="4"/>
      <c r="Z142" s="4"/>
    </row>
    <row r="143" ht="14.25" customHeight="1">
      <c r="A143" s="5">
        <v>30905.0</v>
      </c>
      <c r="B143" s="5" t="s">
        <v>206</v>
      </c>
      <c r="C143" s="5" t="s">
        <v>171</v>
      </c>
      <c r="D143" s="5" t="s">
        <v>202</v>
      </c>
      <c r="E143" s="5">
        <v>5.305295574E7</v>
      </c>
      <c r="F143" s="5">
        <v>6.380043526832654E7</v>
      </c>
      <c r="G143" s="5">
        <v>7.483742051000002E7</v>
      </c>
      <c r="H143" s="5">
        <f t="shared" si="1"/>
        <v>63896937.17</v>
      </c>
      <c r="I143" s="5">
        <v>1.221312915E7</v>
      </c>
      <c r="J143" s="5">
        <v>1.402178408E7</v>
      </c>
      <c r="K143" s="5">
        <v>1.496414727E7</v>
      </c>
      <c r="L143" s="5">
        <f t="shared" si="2"/>
        <v>13733020.17</v>
      </c>
      <c r="M143" s="5">
        <v>8.495676278999996E7</v>
      </c>
      <c r="N143" s="5">
        <v>9.135808193E7</v>
      </c>
      <c r="O143" s="5">
        <v>9.583638973E7</v>
      </c>
      <c r="P143" s="5">
        <f t="shared" si="3"/>
        <v>90717078.15</v>
      </c>
      <c r="Q143" s="5">
        <v>3.990194448999999E7</v>
      </c>
      <c r="R143" s="5">
        <v>3.873925756E7</v>
      </c>
      <c r="S143" s="5">
        <v>4.490875071E7</v>
      </c>
      <c r="T143" s="5">
        <f t="shared" si="4"/>
        <v>41183317.59</v>
      </c>
      <c r="U143" s="6">
        <v>21.492454528036237</v>
      </c>
      <c r="V143" s="6">
        <v>45.39753531145521</v>
      </c>
      <c r="W143" s="4"/>
      <c r="X143" s="4"/>
      <c r="Y143" s="4"/>
      <c r="Z143" s="4"/>
    </row>
    <row r="144" ht="14.25" customHeight="1">
      <c r="A144" s="5">
        <v>31001.0</v>
      </c>
      <c r="B144" s="5" t="s">
        <v>207</v>
      </c>
      <c r="C144" s="5" t="s">
        <v>171</v>
      </c>
      <c r="D144" s="5" t="s">
        <v>208</v>
      </c>
      <c r="E144" s="5">
        <v>1.5074639635E8</v>
      </c>
      <c r="F144" s="5">
        <v>1.791227134069371E8</v>
      </c>
      <c r="G144" s="5">
        <v>2.1496449827E8</v>
      </c>
      <c r="H144" s="5">
        <f t="shared" si="1"/>
        <v>181611202.7</v>
      </c>
      <c r="I144" s="5">
        <v>3.464297956E7</v>
      </c>
      <c r="J144" s="5">
        <v>3.817207689E7</v>
      </c>
      <c r="K144" s="5">
        <v>4.526366216999999E7</v>
      </c>
      <c r="L144" s="5">
        <f t="shared" si="2"/>
        <v>39359572.87</v>
      </c>
      <c r="M144" s="5">
        <v>2.267606652399999E8</v>
      </c>
      <c r="N144" s="5">
        <v>2.645281501E8</v>
      </c>
      <c r="O144" s="5">
        <v>2.6302487701E8</v>
      </c>
      <c r="P144" s="5">
        <f t="shared" si="3"/>
        <v>251437897.5</v>
      </c>
      <c r="Q144" s="5">
        <v>7.732922194999999E7</v>
      </c>
      <c r="R144" s="5">
        <v>8.997459302E7</v>
      </c>
      <c r="S144" s="5">
        <v>9.408147464000002E7</v>
      </c>
      <c r="T144" s="5">
        <f t="shared" si="4"/>
        <v>87128429.87</v>
      </c>
      <c r="U144" s="6">
        <v>21.672436663298136</v>
      </c>
      <c r="V144" s="6">
        <v>34.65206747018954</v>
      </c>
      <c r="W144" s="4"/>
      <c r="X144" s="4"/>
      <c r="Y144" s="4"/>
      <c r="Z144" s="4"/>
    </row>
    <row r="145" ht="14.25" customHeight="1">
      <c r="A145" s="5">
        <v>31002.0</v>
      </c>
      <c r="B145" s="5" t="s">
        <v>209</v>
      </c>
      <c r="C145" s="5" t="s">
        <v>171</v>
      </c>
      <c r="D145" s="5" t="s">
        <v>208</v>
      </c>
      <c r="E145" s="5">
        <v>1.910855493E7</v>
      </c>
      <c r="F145" s="5">
        <v>2.222851832877884E7</v>
      </c>
      <c r="G145" s="5">
        <v>2.708707687E7</v>
      </c>
      <c r="H145" s="5">
        <f t="shared" si="1"/>
        <v>22808050.04</v>
      </c>
      <c r="I145" s="5">
        <v>923889.4400000001</v>
      </c>
      <c r="J145" s="5">
        <v>702970.1300000001</v>
      </c>
      <c r="K145" s="5">
        <v>1358715.71</v>
      </c>
      <c r="L145" s="5">
        <f t="shared" si="2"/>
        <v>995191.76</v>
      </c>
      <c r="M145" s="5">
        <v>1.879248519999998E7</v>
      </c>
      <c r="N145" s="5">
        <v>2.175606115E7</v>
      </c>
      <c r="O145" s="5">
        <v>2.14298985E7</v>
      </c>
      <c r="P145" s="5">
        <f t="shared" si="3"/>
        <v>20659481.62</v>
      </c>
      <c r="Q145" s="5">
        <v>2063700.9</v>
      </c>
      <c r="R145" s="5">
        <v>2238230.76</v>
      </c>
      <c r="S145" s="5">
        <v>2539391.08</v>
      </c>
      <c r="T145" s="5">
        <f t="shared" si="4"/>
        <v>2280440.913</v>
      </c>
      <c r="U145" s="6">
        <v>4.363335568481227</v>
      </c>
      <c r="V145" s="6">
        <v>11.038229107808927</v>
      </c>
      <c r="W145" s="4"/>
      <c r="X145" s="4"/>
      <c r="Y145" s="4"/>
      <c r="Z145" s="4"/>
    </row>
    <row r="146" ht="14.25" customHeight="1">
      <c r="A146" s="5">
        <v>31003.0</v>
      </c>
      <c r="B146" s="5" t="s">
        <v>210</v>
      </c>
      <c r="C146" s="5" t="s">
        <v>171</v>
      </c>
      <c r="D146" s="5" t="s">
        <v>208</v>
      </c>
      <c r="E146" s="5">
        <v>6.195014005E7</v>
      </c>
      <c r="F146" s="5">
        <v>7.18407989348253E7</v>
      </c>
      <c r="G146" s="5">
        <v>8.494655833E7</v>
      </c>
      <c r="H146" s="5">
        <f t="shared" si="1"/>
        <v>72912499.1</v>
      </c>
      <c r="I146" s="5">
        <v>6474149.609999999</v>
      </c>
      <c r="J146" s="5">
        <v>6746861.890000001</v>
      </c>
      <c r="K146" s="5">
        <v>8144457.049999999</v>
      </c>
      <c r="L146" s="5">
        <f t="shared" si="2"/>
        <v>7121822.85</v>
      </c>
      <c r="M146" s="5">
        <v>8.401582269999996E7</v>
      </c>
      <c r="N146" s="5">
        <v>9.135205793E7</v>
      </c>
      <c r="O146" s="5">
        <v>9.3549808E7</v>
      </c>
      <c r="P146" s="5">
        <f t="shared" si="3"/>
        <v>89639229.54</v>
      </c>
      <c r="Q146" s="5">
        <v>2.21366164E7</v>
      </c>
      <c r="R146" s="5">
        <v>1.910238527E7</v>
      </c>
      <c r="S146" s="5">
        <v>2.362225446E7</v>
      </c>
      <c r="T146" s="5">
        <f t="shared" si="4"/>
        <v>21620418.71</v>
      </c>
      <c r="U146" s="6">
        <v>9.767629607304606</v>
      </c>
      <c r="V146" s="6">
        <v>24.119371418234103</v>
      </c>
      <c r="W146" s="4"/>
      <c r="X146" s="4"/>
      <c r="Y146" s="4"/>
      <c r="Z146" s="4"/>
    </row>
    <row r="147" ht="14.25" customHeight="1">
      <c r="A147" s="5">
        <v>31101.0</v>
      </c>
      <c r="B147" s="5" t="s">
        <v>211</v>
      </c>
      <c r="C147" s="5" t="s">
        <v>171</v>
      </c>
      <c r="D147" s="5" t="s">
        <v>212</v>
      </c>
      <c r="E147" s="5">
        <v>2.911696358E7</v>
      </c>
      <c r="F147" s="5">
        <v>3.43387688160787E7</v>
      </c>
      <c r="G147" s="5">
        <v>4.010644557E7</v>
      </c>
      <c r="H147" s="5">
        <f t="shared" si="1"/>
        <v>34520725.99</v>
      </c>
      <c r="I147" s="5">
        <v>169640.52</v>
      </c>
      <c r="J147" s="5">
        <v>912848.8699999999</v>
      </c>
      <c r="K147" s="5">
        <v>373887.02</v>
      </c>
      <c r="L147" s="5">
        <f t="shared" si="2"/>
        <v>485458.8033</v>
      </c>
      <c r="M147" s="5">
        <v>2.240288704999999E7</v>
      </c>
      <c r="N147" s="5">
        <v>2.572310999E7</v>
      </c>
      <c r="O147" s="5">
        <v>2.508632079E7</v>
      </c>
      <c r="P147" s="5">
        <f t="shared" si="3"/>
        <v>24404105.94</v>
      </c>
      <c r="Q147" s="5">
        <v>1062917.93</v>
      </c>
      <c r="R147" s="5">
        <v>800622.64</v>
      </c>
      <c r="S147" s="5">
        <v>964861.69</v>
      </c>
      <c r="T147" s="5">
        <f t="shared" si="4"/>
        <v>942800.7533</v>
      </c>
      <c r="U147" s="6">
        <v>1.4062821375551111</v>
      </c>
      <c r="V147" s="6">
        <v>3.8632874136939486</v>
      </c>
      <c r="W147" s="4"/>
      <c r="X147" s="4"/>
      <c r="Y147" s="4"/>
      <c r="Z147" s="4"/>
    </row>
    <row r="148" ht="14.25" customHeight="1">
      <c r="A148" s="5">
        <v>31201.0</v>
      </c>
      <c r="B148" s="5" t="s">
        <v>213</v>
      </c>
      <c r="C148" s="5" t="s">
        <v>171</v>
      </c>
      <c r="D148" s="5" t="s">
        <v>214</v>
      </c>
      <c r="E148" s="5">
        <v>1.433670048E7</v>
      </c>
      <c r="F148" s="5">
        <v>1.683226120824776E7</v>
      </c>
      <c r="G148" s="5">
        <v>2.026137042E7</v>
      </c>
      <c r="H148" s="5">
        <f t="shared" si="1"/>
        <v>17143444.04</v>
      </c>
      <c r="I148" s="5">
        <v>406196.17</v>
      </c>
      <c r="J148" s="5">
        <v>510472.33</v>
      </c>
      <c r="K148" s="5">
        <v>796710.3</v>
      </c>
      <c r="L148" s="5">
        <f t="shared" si="2"/>
        <v>571126.2667</v>
      </c>
      <c r="M148" s="5">
        <v>1.412365604999999E7</v>
      </c>
      <c r="N148" s="5">
        <v>1.603475111E7</v>
      </c>
      <c r="O148" s="5">
        <v>1.593577106E7</v>
      </c>
      <c r="P148" s="5">
        <f t="shared" si="3"/>
        <v>15364726.07</v>
      </c>
      <c r="Q148" s="5">
        <v>1415603.08</v>
      </c>
      <c r="R148" s="5">
        <v>1192860.8</v>
      </c>
      <c r="S148" s="5">
        <v>1570919.54</v>
      </c>
      <c r="T148" s="5">
        <f t="shared" si="4"/>
        <v>1393127.807</v>
      </c>
      <c r="U148" s="6">
        <v>3.331455835038697</v>
      </c>
      <c r="V148" s="6">
        <v>9.067052676484403</v>
      </c>
      <c r="W148" s="4"/>
      <c r="X148" s="4"/>
      <c r="Y148" s="4"/>
      <c r="Z148" s="4"/>
    </row>
    <row r="149" ht="14.25" customHeight="1">
      <c r="A149" s="5">
        <v>31202.0</v>
      </c>
      <c r="B149" s="5" t="s">
        <v>215</v>
      </c>
      <c r="C149" s="5" t="s">
        <v>171</v>
      </c>
      <c r="D149" s="5" t="s">
        <v>214</v>
      </c>
      <c r="E149" s="5">
        <v>1.251523502E7</v>
      </c>
      <c r="F149" s="5">
        <v>1.47208953997153E7</v>
      </c>
      <c r="G149" s="5">
        <v>1.752050769E7</v>
      </c>
      <c r="H149" s="5">
        <f t="shared" si="1"/>
        <v>14918879.37</v>
      </c>
      <c r="I149" s="5">
        <v>184873.81</v>
      </c>
      <c r="J149" s="5">
        <v>253248.58</v>
      </c>
      <c r="K149" s="5">
        <v>261540.08</v>
      </c>
      <c r="L149" s="5">
        <f t="shared" si="2"/>
        <v>233220.8233</v>
      </c>
      <c r="M149" s="5">
        <v>9064683.079999998</v>
      </c>
      <c r="N149" s="5">
        <v>1.054911947E7</v>
      </c>
      <c r="O149" s="5">
        <v>1.037860902E7</v>
      </c>
      <c r="P149" s="5">
        <f t="shared" si="3"/>
        <v>9997470.523</v>
      </c>
      <c r="Q149" s="5">
        <v>263772.97</v>
      </c>
      <c r="R149" s="5">
        <v>270824.0699999999</v>
      </c>
      <c r="S149" s="5">
        <v>430678.89</v>
      </c>
      <c r="T149" s="5">
        <f t="shared" si="4"/>
        <v>321758.6433</v>
      </c>
      <c r="U149" s="6">
        <v>1.563259662812173</v>
      </c>
      <c r="V149" s="6">
        <v>3.2184005202353254</v>
      </c>
      <c r="W149" s="4"/>
      <c r="X149" s="4"/>
      <c r="Y149" s="4"/>
      <c r="Z149" s="4"/>
    </row>
    <row r="150" ht="14.25" customHeight="1">
      <c r="A150" s="5">
        <v>31203.0</v>
      </c>
      <c r="B150" s="5" t="s">
        <v>216</v>
      </c>
      <c r="C150" s="5" t="s">
        <v>171</v>
      </c>
      <c r="D150" s="5" t="s">
        <v>214</v>
      </c>
      <c r="E150" s="5">
        <v>1.44715785E7</v>
      </c>
      <c r="F150" s="5">
        <v>1.706144651469748E7</v>
      </c>
      <c r="G150" s="5">
        <v>2.040773493E7</v>
      </c>
      <c r="H150" s="5">
        <f t="shared" si="1"/>
        <v>17313586.65</v>
      </c>
      <c r="I150" s="5">
        <v>182392.9</v>
      </c>
      <c r="J150" s="5">
        <v>225831.36</v>
      </c>
      <c r="K150" s="5">
        <v>305581.3200000001</v>
      </c>
      <c r="L150" s="5">
        <f t="shared" si="2"/>
        <v>237935.1933</v>
      </c>
      <c r="M150" s="5">
        <v>9523814.739999993</v>
      </c>
      <c r="N150" s="5">
        <v>1.104670431E7</v>
      </c>
      <c r="O150" s="5">
        <v>1.091951572E7</v>
      </c>
      <c r="P150" s="5">
        <f t="shared" si="3"/>
        <v>10496678.26</v>
      </c>
      <c r="Q150" s="5">
        <v>208120.93</v>
      </c>
      <c r="R150" s="5">
        <v>167216.46</v>
      </c>
      <c r="S150" s="5">
        <v>389715.44</v>
      </c>
      <c r="T150" s="5">
        <f t="shared" si="4"/>
        <v>255017.61</v>
      </c>
      <c r="U150" s="6">
        <v>1.3742686490532778</v>
      </c>
      <c r="V150" s="6">
        <v>2.429507733439699</v>
      </c>
      <c r="W150" s="4"/>
      <c r="X150" s="4"/>
      <c r="Y150" s="4"/>
      <c r="Z150" s="4"/>
    </row>
    <row r="151" ht="14.25" customHeight="1">
      <c r="A151" s="5">
        <v>31204.0</v>
      </c>
      <c r="B151" s="5" t="s">
        <v>217</v>
      </c>
      <c r="C151" s="5" t="s">
        <v>171</v>
      </c>
      <c r="D151" s="5" t="s">
        <v>214</v>
      </c>
      <c r="E151" s="5">
        <v>1.746606499E7</v>
      </c>
      <c r="F151" s="5">
        <v>2.070191496960591E7</v>
      </c>
      <c r="G151" s="5">
        <v>2.449014176E7</v>
      </c>
      <c r="H151" s="5">
        <f t="shared" si="1"/>
        <v>20886040.57</v>
      </c>
      <c r="I151" s="5">
        <v>1530234.25</v>
      </c>
      <c r="J151" s="5">
        <v>1818864.14</v>
      </c>
      <c r="K151" s="5">
        <v>1915099.66</v>
      </c>
      <c r="L151" s="5">
        <f t="shared" si="2"/>
        <v>1754732.683</v>
      </c>
      <c r="M151" s="5">
        <v>2.329708071999998E7</v>
      </c>
      <c r="N151" s="5">
        <v>2.678514574E7</v>
      </c>
      <c r="O151" s="5">
        <v>2.60007412E7</v>
      </c>
      <c r="P151" s="5">
        <f t="shared" si="3"/>
        <v>25360989.22</v>
      </c>
      <c r="Q151" s="5">
        <v>4461770.7</v>
      </c>
      <c r="R151" s="5">
        <v>4786638.96</v>
      </c>
      <c r="S151" s="5">
        <v>4709286.21</v>
      </c>
      <c r="T151" s="5">
        <f t="shared" si="4"/>
        <v>4652565.29</v>
      </c>
      <c r="U151" s="6">
        <v>8.401461623055352</v>
      </c>
      <c r="V151" s="6">
        <v>18.34536204262462</v>
      </c>
      <c r="W151" s="4"/>
      <c r="X151" s="4"/>
      <c r="Y151" s="4"/>
      <c r="Z151" s="4"/>
    </row>
    <row r="152" ht="14.25" customHeight="1">
      <c r="A152" s="5">
        <v>31205.0</v>
      </c>
      <c r="B152" s="5" t="s">
        <v>218</v>
      </c>
      <c r="C152" s="5" t="s">
        <v>171</v>
      </c>
      <c r="D152" s="5" t="s">
        <v>214</v>
      </c>
      <c r="E152" s="5">
        <v>4.563551186000001E7</v>
      </c>
      <c r="F152" s="5">
        <v>5.359730393305195E7</v>
      </c>
      <c r="G152" s="5">
        <v>6.386386166E7</v>
      </c>
      <c r="H152" s="5">
        <f t="shared" si="1"/>
        <v>54365559.15</v>
      </c>
      <c r="I152" s="5">
        <v>3225389.5</v>
      </c>
      <c r="J152" s="5">
        <v>3262035.22</v>
      </c>
      <c r="K152" s="5">
        <v>3665961.1</v>
      </c>
      <c r="L152" s="5">
        <f t="shared" si="2"/>
        <v>3384461.94</v>
      </c>
      <c r="M152" s="5">
        <v>5.176902152999997E7</v>
      </c>
      <c r="N152" s="5">
        <v>5.794184707000001E7</v>
      </c>
      <c r="O152" s="5">
        <v>6.036925591E7</v>
      </c>
      <c r="P152" s="5">
        <f t="shared" si="3"/>
        <v>56693374.84</v>
      </c>
      <c r="Q152" s="5">
        <v>1.136074305E7</v>
      </c>
      <c r="R152" s="5">
        <v>1.075095813E7</v>
      </c>
      <c r="S152" s="5">
        <v>1.46950992E7</v>
      </c>
      <c r="T152" s="5">
        <f t="shared" si="4"/>
        <v>12268933.46</v>
      </c>
      <c r="U152" s="6">
        <v>6.225378700876782</v>
      </c>
      <c r="V152" s="6">
        <v>21.640859263267952</v>
      </c>
      <c r="W152" s="4"/>
      <c r="X152" s="4"/>
      <c r="Y152" s="4"/>
      <c r="Z152" s="4"/>
    </row>
    <row r="153" ht="14.25" customHeight="1">
      <c r="A153" s="5">
        <v>31206.0</v>
      </c>
      <c r="B153" s="5" t="s">
        <v>219</v>
      </c>
      <c r="C153" s="5" t="s">
        <v>171</v>
      </c>
      <c r="D153" s="5" t="s">
        <v>214</v>
      </c>
      <c r="E153" s="5">
        <v>2.598767571E7</v>
      </c>
      <c r="F153" s="5">
        <v>3.059419415041453E7</v>
      </c>
      <c r="G153" s="5">
        <v>3.744416895E7</v>
      </c>
      <c r="H153" s="5">
        <f t="shared" si="1"/>
        <v>31342012.94</v>
      </c>
      <c r="I153" s="5">
        <v>2927639.28</v>
      </c>
      <c r="J153" s="5">
        <v>3221251.5</v>
      </c>
      <c r="K153" s="5">
        <v>4706793.550000001</v>
      </c>
      <c r="L153" s="5">
        <f t="shared" si="2"/>
        <v>3618561.443</v>
      </c>
      <c r="M153" s="5">
        <v>3.752609957999996E7</v>
      </c>
      <c r="N153" s="5">
        <v>5.384465972E7</v>
      </c>
      <c r="O153" s="5">
        <v>4.43061078E7</v>
      </c>
      <c r="P153" s="5">
        <f t="shared" si="3"/>
        <v>45225622.37</v>
      </c>
      <c r="Q153" s="5">
        <v>1.018706629E7</v>
      </c>
      <c r="R153" s="5">
        <v>2.19133242E7</v>
      </c>
      <c r="S153" s="5">
        <v>1.340106418E7</v>
      </c>
      <c r="T153" s="5">
        <f t="shared" si="4"/>
        <v>15167151.56</v>
      </c>
      <c r="U153" s="6">
        <v>11.54540217512343</v>
      </c>
      <c r="V153" s="6">
        <v>33.536634241755735</v>
      </c>
      <c r="W153" s="4"/>
      <c r="X153" s="4"/>
      <c r="Y153" s="4"/>
      <c r="Z153" s="4"/>
    </row>
    <row r="154" ht="14.25" customHeight="1">
      <c r="A154" s="5">
        <v>31301.0</v>
      </c>
      <c r="B154" s="5" t="s">
        <v>220</v>
      </c>
      <c r="C154" s="5" t="s">
        <v>171</v>
      </c>
      <c r="D154" s="5" t="s">
        <v>221</v>
      </c>
      <c r="E154" s="5">
        <v>3.081008061E7</v>
      </c>
      <c r="F154" s="5">
        <v>3.575112185079518E7</v>
      </c>
      <c r="G154" s="5">
        <v>4.276608967000001E7</v>
      </c>
      <c r="H154" s="5">
        <f t="shared" si="1"/>
        <v>36442430.71</v>
      </c>
      <c r="I154" s="5">
        <v>2088034.81</v>
      </c>
      <c r="J154" s="5">
        <v>2129453.24</v>
      </c>
      <c r="K154" s="5">
        <v>2678601.15</v>
      </c>
      <c r="L154" s="5">
        <f t="shared" si="2"/>
        <v>2298696.4</v>
      </c>
      <c r="M154" s="5">
        <v>2.043991145999997E7</v>
      </c>
      <c r="N154" s="5">
        <v>2.35531024E7</v>
      </c>
      <c r="O154" s="5">
        <v>2.358261064E7</v>
      </c>
      <c r="P154" s="5">
        <f t="shared" si="3"/>
        <v>22525208.17</v>
      </c>
      <c r="Q154" s="5">
        <v>3494866.89</v>
      </c>
      <c r="R154" s="5">
        <v>3760991.33</v>
      </c>
      <c r="S154" s="5">
        <v>4426637.72</v>
      </c>
      <c r="T154" s="5">
        <f t="shared" si="4"/>
        <v>3894165.313</v>
      </c>
      <c r="U154" s="6">
        <v>6.307747192484902</v>
      </c>
      <c r="V154" s="6">
        <v>17.28803252125329</v>
      </c>
      <c r="W154" s="4"/>
      <c r="X154" s="4"/>
      <c r="Y154" s="4"/>
      <c r="Z154" s="4"/>
    </row>
    <row r="155" ht="14.25" customHeight="1">
      <c r="A155" s="5">
        <v>31302.0</v>
      </c>
      <c r="B155" s="5" t="s">
        <v>222</v>
      </c>
      <c r="C155" s="5" t="s">
        <v>171</v>
      </c>
      <c r="D155" s="5" t="s">
        <v>221</v>
      </c>
      <c r="E155" s="5">
        <v>5034735.23</v>
      </c>
      <c r="F155" s="5">
        <v>5876077.895401857</v>
      </c>
      <c r="G155" s="5">
        <v>7222809.77</v>
      </c>
      <c r="H155" s="5">
        <f t="shared" si="1"/>
        <v>6044540.965</v>
      </c>
      <c r="I155" s="5">
        <v>20580.5</v>
      </c>
      <c r="J155" s="5">
        <v>37295.04</v>
      </c>
      <c r="K155" s="5">
        <v>269172.17</v>
      </c>
      <c r="L155" s="5">
        <f t="shared" si="2"/>
        <v>109015.9033</v>
      </c>
      <c r="M155" s="5">
        <v>4785488.239999998</v>
      </c>
      <c r="N155" s="5">
        <v>5601197.369999999</v>
      </c>
      <c r="O155" s="5">
        <v>5366841.04</v>
      </c>
      <c r="P155" s="5">
        <f t="shared" si="3"/>
        <v>5251175.55</v>
      </c>
      <c r="Q155" s="5">
        <v>55084.62</v>
      </c>
      <c r="R155" s="5">
        <v>76701.29000000001</v>
      </c>
      <c r="S155" s="5">
        <v>19897.33</v>
      </c>
      <c r="T155" s="5">
        <f t="shared" si="4"/>
        <v>50561.08</v>
      </c>
      <c r="U155" s="6">
        <v>1.8035431302750287</v>
      </c>
      <c r="V155" s="6">
        <v>0.962852594025351</v>
      </c>
      <c r="W155" s="4"/>
      <c r="X155" s="4"/>
      <c r="Y155" s="4"/>
      <c r="Z155" s="4"/>
    </row>
    <row r="156" ht="14.25" customHeight="1">
      <c r="A156" s="5">
        <v>31303.0</v>
      </c>
      <c r="B156" s="5" t="s">
        <v>223</v>
      </c>
      <c r="C156" s="5" t="s">
        <v>171</v>
      </c>
      <c r="D156" s="5" t="s">
        <v>221</v>
      </c>
      <c r="E156" s="5">
        <v>5644601.71</v>
      </c>
      <c r="F156" s="5">
        <v>6782340.658491844</v>
      </c>
      <c r="G156" s="5">
        <v>7505175.93</v>
      </c>
      <c r="H156" s="5">
        <f t="shared" si="1"/>
        <v>6644039.433</v>
      </c>
      <c r="I156" s="5">
        <v>259064.9</v>
      </c>
      <c r="J156" s="5">
        <v>511097.57</v>
      </c>
      <c r="K156" s="5">
        <v>36521.71</v>
      </c>
      <c r="L156" s="5">
        <f t="shared" si="2"/>
        <v>268894.7267</v>
      </c>
      <c r="M156" s="5">
        <v>3012586.379999998</v>
      </c>
      <c r="N156" s="5">
        <v>3502257.3</v>
      </c>
      <c r="O156" s="5">
        <v>3400914.379999999</v>
      </c>
      <c r="P156" s="5">
        <f t="shared" si="3"/>
        <v>3305252.687</v>
      </c>
      <c r="Q156" s="5">
        <v>25860.45</v>
      </c>
      <c r="R156" s="5">
        <v>14098.97</v>
      </c>
      <c r="S156" s="5">
        <v>24884.0</v>
      </c>
      <c r="T156" s="5">
        <f t="shared" si="4"/>
        <v>21614.47333</v>
      </c>
      <c r="U156" s="6">
        <v>4.047157296176781</v>
      </c>
      <c r="V156" s="6">
        <v>0.6539431439092617</v>
      </c>
      <c r="W156" s="4"/>
      <c r="X156" s="4"/>
      <c r="Y156" s="4"/>
      <c r="Z156" s="4"/>
    </row>
    <row r="157" ht="14.25" customHeight="1">
      <c r="A157" s="5">
        <v>31304.0</v>
      </c>
      <c r="B157" s="5" t="s">
        <v>224</v>
      </c>
      <c r="C157" s="5" t="s">
        <v>171</v>
      </c>
      <c r="D157" s="5" t="s">
        <v>221</v>
      </c>
      <c r="E157" s="5">
        <v>0.0</v>
      </c>
      <c r="F157" s="5">
        <v>0.0</v>
      </c>
      <c r="G157" s="5">
        <v>0.0</v>
      </c>
      <c r="H157" s="5">
        <v>0.0</v>
      </c>
      <c r="I157" s="5">
        <v>0.0</v>
      </c>
      <c r="J157" s="5">
        <v>0.0</v>
      </c>
      <c r="K157" s="5">
        <v>0.0</v>
      </c>
      <c r="L157" s="5">
        <v>0.0</v>
      </c>
      <c r="M157" s="5">
        <v>0.0</v>
      </c>
      <c r="N157" s="5">
        <v>7245132.78</v>
      </c>
      <c r="O157" s="5">
        <v>7245132.78</v>
      </c>
      <c r="P157" s="5">
        <v>7245132.78</v>
      </c>
      <c r="Q157" s="5">
        <v>255458.10000000056</v>
      </c>
      <c r="R157" s="5">
        <v>255458.10000000056</v>
      </c>
      <c r="S157" s="5">
        <v>255458.10000000056</v>
      </c>
      <c r="T157" s="5">
        <f>7245132.78-6989674.68</f>
        <v>255458.1</v>
      </c>
      <c r="U157" s="6">
        <v>0.0</v>
      </c>
      <c r="V157" s="6">
        <v>3.5259270983298743</v>
      </c>
      <c r="W157" s="4"/>
      <c r="X157" s="4"/>
      <c r="Y157" s="4"/>
      <c r="Z157" s="4"/>
    </row>
    <row r="158" ht="14.25" customHeight="1">
      <c r="A158" s="5">
        <v>31401.0</v>
      </c>
      <c r="B158" s="5" t="s">
        <v>225</v>
      </c>
      <c r="C158" s="5" t="s">
        <v>171</v>
      </c>
      <c r="D158" s="5" t="s">
        <v>226</v>
      </c>
      <c r="E158" s="5">
        <v>3.284658878E7</v>
      </c>
      <c r="F158" s="5">
        <v>4.258538610429735E7</v>
      </c>
      <c r="G158" s="5">
        <v>4.872252395E7</v>
      </c>
      <c r="H158" s="5">
        <f t="shared" ref="H158:H328" si="5">AVERAGE(E158:G158)</f>
        <v>41384832.94</v>
      </c>
      <c r="I158" s="5">
        <v>6585697.369999999</v>
      </c>
      <c r="J158" s="5">
        <v>1.099011973E7</v>
      </c>
      <c r="K158" s="5">
        <v>1.082507007E7</v>
      </c>
      <c r="L158" s="5">
        <f t="shared" ref="L158:L328" si="6">AVERAGE(I158:K158)</f>
        <v>9466962.39</v>
      </c>
      <c r="M158" s="5">
        <v>4.310083723999998E7</v>
      </c>
      <c r="N158" s="5">
        <v>4.822182291E7</v>
      </c>
      <c r="O158" s="5">
        <v>4.796787962E7</v>
      </c>
      <c r="P158" s="5">
        <f t="shared" ref="P158:P185" si="7">AVERAGE(M158:O158)</f>
        <v>46430179.92</v>
      </c>
      <c r="Q158" s="5">
        <v>1.806895024E7</v>
      </c>
      <c r="R158" s="5">
        <v>1.898573109E7</v>
      </c>
      <c r="S158" s="5">
        <v>1.967145475E7</v>
      </c>
      <c r="T158" s="5">
        <f t="shared" ref="T158:T185" si="8">AVERAGE(Q158:S158)</f>
        <v>18908712.03</v>
      </c>
      <c r="U158" s="6">
        <v>22.875439421575216</v>
      </c>
      <c r="V158" s="6">
        <v>40.725045773867784</v>
      </c>
      <c r="W158" s="4"/>
      <c r="X158" s="4"/>
      <c r="Y158" s="4"/>
      <c r="Z158" s="4"/>
    </row>
    <row r="159" ht="14.25" customHeight="1">
      <c r="A159" s="5">
        <v>31402.0</v>
      </c>
      <c r="B159" s="5" t="s">
        <v>227</v>
      </c>
      <c r="C159" s="5" t="s">
        <v>171</v>
      </c>
      <c r="D159" s="5" t="s">
        <v>226</v>
      </c>
      <c r="E159" s="5">
        <v>6282608.67</v>
      </c>
      <c r="F159" s="5">
        <v>7424667.218927453</v>
      </c>
      <c r="G159" s="5">
        <v>8771684.569999998</v>
      </c>
      <c r="H159" s="5">
        <f t="shared" si="5"/>
        <v>7492986.82</v>
      </c>
      <c r="I159" s="5">
        <v>190479.17</v>
      </c>
      <c r="J159" s="5">
        <v>195500.11</v>
      </c>
      <c r="K159" s="5">
        <v>126292.97</v>
      </c>
      <c r="L159" s="5">
        <f t="shared" si="6"/>
        <v>170757.4167</v>
      </c>
      <c r="M159" s="5">
        <v>7529237.909999995</v>
      </c>
      <c r="N159" s="5">
        <v>8807999.2</v>
      </c>
      <c r="O159" s="5">
        <v>8549471.75</v>
      </c>
      <c r="P159" s="5">
        <f t="shared" si="7"/>
        <v>8295569.62</v>
      </c>
      <c r="Q159" s="5">
        <v>479805.02</v>
      </c>
      <c r="R159" s="5">
        <v>575174.05</v>
      </c>
      <c r="S159" s="5">
        <v>581254.58</v>
      </c>
      <c r="T159" s="5">
        <f t="shared" si="8"/>
        <v>545411.2167</v>
      </c>
      <c r="U159" s="6">
        <v>2.2788965305401945</v>
      </c>
      <c r="V159" s="6">
        <v>6.574728941478847</v>
      </c>
      <c r="W159" s="4"/>
      <c r="X159" s="4"/>
      <c r="Y159" s="4"/>
      <c r="Z159" s="4"/>
    </row>
    <row r="160" ht="14.25" customHeight="1">
      <c r="A160" s="5">
        <v>31403.0</v>
      </c>
      <c r="B160" s="5" t="s">
        <v>228</v>
      </c>
      <c r="C160" s="5" t="s">
        <v>171</v>
      </c>
      <c r="D160" s="5" t="s">
        <v>226</v>
      </c>
      <c r="E160" s="5">
        <v>1.35553389E7</v>
      </c>
      <c r="F160" s="5">
        <v>1.774562843201187E7</v>
      </c>
      <c r="G160" s="5">
        <v>1.899872721E7</v>
      </c>
      <c r="H160" s="5">
        <f t="shared" si="5"/>
        <v>16766564.85</v>
      </c>
      <c r="I160" s="5">
        <v>644391.06</v>
      </c>
      <c r="J160" s="5">
        <v>2275881.83</v>
      </c>
      <c r="K160" s="5">
        <v>459646.06</v>
      </c>
      <c r="L160" s="5">
        <f t="shared" si="6"/>
        <v>1126639.65</v>
      </c>
      <c r="M160" s="5">
        <v>1.326719496999999E7</v>
      </c>
      <c r="N160" s="5">
        <v>1.584642059E7</v>
      </c>
      <c r="O160" s="5">
        <v>1.509417984E7</v>
      </c>
      <c r="P160" s="5">
        <f t="shared" si="7"/>
        <v>14735931.8</v>
      </c>
      <c r="Q160" s="5">
        <v>1514512.92</v>
      </c>
      <c r="R160" s="5">
        <v>2120885.61</v>
      </c>
      <c r="S160" s="5">
        <v>1809803.89</v>
      </c>
      <c r="T160" s="5">
        <f t="shared" si="8"/>
        <v>1815067.473</v>
      </c>
      <c r="U160" s="6">
        <v>6.719561581386914</v>
      </c>
      <c r="V160" s="6">
        <v>12.317290131142801</v>
      </c>
      <c r="W160" s="4"/>
      <c r="X160" s="4"/>
      <c r="Y160" s="4"/>
      <c r="Z160" s="4"/>
    </row>
    <row r="161" ht="14.25" customHeight="1">
      <c r="A161" s="5">
        <v>31404.0</v>
      </c>
      <c r="B161" s="5" t="s">
        <v>229</v>
      </c>
      <c r="C161" s="5" t="s">
        <v>171</v>
      </c>
      <c r="D161" s="5" t="s">
        <v>226</v>
      </c>
      <c r="E161" s="5">
        <v>1107924.07</v>
      </c>
      <c r="F161" s="5">
        <v>1712295.268826411</v>
      </c>
      <c r="G161" s="5">
        <v>1898453.6</v>
      </c>
      <c r="H161" s="5">
        <f t="shared" si="5"/>
        <v>1572890.98</v>
      </c>
      <c r="I161" s="5">
        <v>3736.0</v>
      </c>
      <c r="J161" s="5">
        <v>395261.0</v>
      </c>
      <c r="K161" s="5">
        <v>321529.74</v>
      </c>
      <c r="L161" s="5">
        <f t="shared" si="6"/>
        <v>240175.58</v>
      </c>
      <c r="M161" s="5">
        <v>1151674.199999999</v>
      </c>
      <c r="N161" s="5">
        <v>1336611.03</v>
      </c>
      <c r="O161" s="5">
        <v>1290508.84</v>
      </c>
      <c r="P161" s="5">
        <f t="shared" si="7"/>
        <v>1259598.023</v>
      </c>
      <c r="Q161" s="5">
        <v>23021.94</v>
      </c>
      <c r="R161" s="5">
        <v>18412.29</v>
      </c>
      <c r="S161" s="5">
        <v>14695.63</v>
      </c>
      <c r="T161" s="5">
        <f t="shared" si="8"/>
        <v>18709.95333</v>
      </c>
      <c r="U161" s="6">
        <v>15.269690214622148</v>
      </c>
      <c r="V161" s="6">
        <v>1.4853908141122916</v>
      </c>
      <c r="W161" s="4"/>
      <c r="X161" s="4"/>
      <c r="Y161" s="4"/>
      <c r="Z161" s="4"/>
    </row>
    <row r="162" ht="14.25" customHeight="1">
      <c r="A162" s="5">
        <v>31405.0</v>
      </c>
      <c r="B162" s="5" t="s">
        <v>230</v>
      </c>
      <c r="C162" s="5" t="s">
        <v>171</v>
      </c>
      <c r="D162" s="5" t="s">
        <v>226</v>
      </c>
      <c r="E162" s="5">
        <v>2142793.39</v>
      </c>
      <c r="F162" s="5">
        <v>2537720.583501756</v>
      </c>
      <c r="G162" s="5">
        <v>2877045.55</v>
      </c>
      <c r="H162" s="5">
        <f t="shared" si="5"/>
        <v>2519186.508</v>
      </c>
      <c r="I162" s="5">
        <v>113668.16</v>
      </c>
      <c r="J162" s="5">
        <v>134327.63</v>
      </c>
      <c r="K162" s="5">
        <v>3884.3</v>
      </c>
      <c r="L162" s="5">
        <f t="shared" si="6"/>
        <v>83960.03</v>
      </c>
      <c r="M162" s="5">
        <v>2461170.589999996</v>
      </c>
      <c r="N162" s="5">
        <v>2853917.72</v>
      </c>
      <c r="O162" s="5">
        <v>2754972.68</v>
      </c>
      <c r="P162" s="5">
        <f t="shared" si="7"/>
        <v>2690020.33</v>
      </c>
      <c r="Q162" s="5">
        <v>63639.27</v>
      </c>
      <c r="R162" s="5">
        <v>52980.9</v>
      </c>
      <c r="S162" s="5">
        <v>44076.6</v>
      </c>
      <c r="T162" s="5">
        <f t="shared" si="8"/>
        <v>53565.59</v>
      </c>
      <c r="U162" s="6">
        <v>3.3328231053520385</v>
      </c>
      <c r="V162" s="6">
        <v>1.991270824336113</v>
      </c>
      <c r="W162" s="4"/>
      <c r="X162" s="4"/>
      <c r="Y162" s="4"/>
      <c r="Z162" s="4"/>
    </row>
    <row r="163" ht="14.25" customHeight="1">
      <c r="A163" s="5">
        <v>31501.0</v>
      </c>
      <c r="B163" s="5" t="s">
        <v>231</v>
      </c>
      <c r="C163" s="5" t="s">
        <v>171</v>
      </c>
      <c r="D163" s="5" t="s">
        <v>232</v>
      </c>
      <c r="E163" s="5">
        <v>9598702.479999999</v>
      </c>
      <c r="F163" s="5">
        <v>1.118107413471226E7</v>
      </c>
      <c r="G163" s="5">
        <v>1.334758645E7</v>
      </c>
      <c r="H163" s="5">
        <f t="shared" si="5"/>
        <v>11375787.69</v>
      </c>
      <c r="I163" s="5">
        <v>117253.8</v>
      </c>
      <c r="J163" s="5">
        <v>162466.66</v>
      </c>
      <c r="K163" s="5">
        <v>231121.65</v>
      </c>
      <c r="L163" s="5">
        <f t="shared" si="6"/>
        <v>170280.7033</v>
      </c>
      <c r="M163" s="5">
        <v>6582706.959999993</v>
      </c>
      <c r="N163" s="5">
        <v>7709310.119999999</v>
      </c>
      <c r="O163" s="5">
        <v>7348154.16</v>
      </c>
      <c r="P163" s="5">
        <f t="shared" si="7"/>
        <v>7213390.413</v>
      </c>
      <c r="Q163" s="5">
        <v>275084.85</v>
      </c>
      <c r="R163" s="5">
        <v>342833.79</v>
      </c>
      <c r="S163" s="5">
        <v>218424.92</v>
      </c>
      <c r="T163" s="5">
        <f t="shared" si="8"/>
        <v>278781.1867</v>
      </c>
      <c r="U163" s="6">
        <v>1.4968695619152932</v>
      </c>
      <c r="V163" s="6">
        <v>3.8647732992708064</v>
      </c>
      <c r="W163" s="4"/>
      <c r="X163" s="4"/>
      <c r="Y163" s="4"/>
      <c r="Z163" s="4"/>
    </row>
    <row r="164" ht="14.25" customHeight="1">
      <c r="A164" s="5">
        <v>31601.0</v>
      </c>
      <c r="B164" s="5" t="s">
        <v>233</v>
      </c>
      <c r="C164" s="5" t="s">
        <v>171</v>
      </c>
      <c r="D164" s="5" t="s">
        <v>234</v>
      </c>
      <c r="E164" s="5">
        <v>2.162373976000001E7</v>
      </c>
      <c r="F164" s="5">
        <v>2.558428982594328E7</v>
      </c>
      <c r="G164" s="5">
        <v>3.083851611E7</v>
      </c>
      <c r="H164" s="5">
        <f t="shared" si="5"/>
        <v>26015515.23</v>
      </c>
      <c r="I164" s="5">
        <v>437353.73</v>
      </c>
      <c r="J164" s="5">
        <v>472376.4300000001</v>
      </c>
      <c r="K164" s="5">
        <v>814908.19</v>
      </c>
      <c r="L164" s="5">
        <f t="shared" si="6"/>
        <v>574879.45</v>
      </c>
      <c r="M164" s="5">
        <v>2.017384052999999E7</v>
      </c>
      <c r="N164" s="5">
        <v>2.35299254E7</v>
      </c>
      <c r="O164" s="5">
        <v>2.258004942E7</v>
      </c>
      <c r="P164" s="5">
        <f t="shared" si="7"/>
        <v>22094605.12</v>
      </c>
      <c r="Q164" s="5">
        <v>1776239.55</v>
      </c>
      <c r="R164" s="5">
        <v>2042533.12</v>
      </c>
      <c r="S164" s="5">
        <v>1783281.6</v>
      </c>
      <c r="T164" s="5">
        <f t="shared" si="8"/>
        <v>1867351.423</v>
      </c>
      <c r="U164" s="6">
        <v>2.2097561584838257</v>
      </c>
      <c r="V164" s="6">
        <v>8.451617095997477</v>
      </c>
      <c r="W164" s="4"/>
      <c r="X164" s="4"/>
      <c r="Y164" s="4"/>
      <c r="Z164" s="4"/>
    </row>
    <row r="165" ht="14.25" customHeight="1">
      <c r="A165" s="5">
        <v>31602.0</v>
      </c>
      <c r="B165" s="5" t="s">
        <v>235</v>
      </c>
      <c r="C165" s="5" t="s">
        <v>171</v>
      </c>
      <c r="D165" s="5" t="s">
        <v>234</v>
      </c>
      <c r="E165" s="5">
        <v>1.652072441E7</v>
      </c>
      <c r="F165" s="5">
        <v>1.973049844756115E7</v>
      </c>
      <c r="G165" s="5">
        <v>2.352910507E7</v>
      </c>
      <c r="H165" s="5">
        <f t="shared" si="5"/>
        <v>19926775.98</v>
      </c>
      <c r="I165" s="5">
        <v>1178367.88</v>
      </c>
      <c r="J165" s="5">
        <v>1544177.0</v>
      </c>
      <c r="K165" s="5">
        <v>1785312.1</v>
      </c>
      <c r="L165" s="5">
        <f t="shared" si="6"/>
        <v>1502618.993</v>
      </c>
      <c r="M165" s="5">
        <v>2.191383684999998E7</v>
      </c>
      <c r="N165" s="5">
        <v>2.538673807E7</v>
      </c>
      <c r="O165" s="5">
        <v>2.523543944000001E7</v>
      </c>
      <c r="P165" s="5">
        <f t="shared" si="7"/>
        <v>24178671.45</v>
      </c>
      <c r="Q165" s="5">
        <v>3852890.53</v>
      </c>
      <c r="R165" s="5">
        <v>4294068.72</v>
      </c>
      <c r="S165" s="5">
        <v>4820708.17</v>
      </c>
      <c r="T165" s="5">
        <f t="shared" si="8"/>
        <v>4322555.807</v>
      </c>
      <c r="U165" s="6">
        <v>7.540702997585425</v>
      </c>
      <c r="V165" s="6">
        <v>17.877557147875258</v>
      </c>
      <c r="W165" s="4"/>
      <c r="X165" s="4"/>
      <c r="Y165" s="4"/>
      <c r="Z165" s="4"/>
    </row>
    <row r="166" ht="14.25" customHeight="1">
      <c r="A166" s="5">
        <v>40101.0</v>
      </c>
      <c r="B166" s="5" t="s">
        <v>236</v>
      </c>
      <c r="C166" s="5" t="s">
        <v>237</v>
      </c>
      <c r="D166" s="5" t="s">
        <v>172</v>
      </c>
      <c r="E166" s="5">
        <v>4.224173879E8</v>
      </c>
      <c r="F166" s="5">
        <v>5.192886995640988E8</v>
      </c>
      <c r="G166" s="5">
        <v>6.1934458132E8</v>
      </c>
      <c r="H166" s="5">
        <f t="shared" si="5"/>
        <v>520350222.9</v>
      </c>
      <c r="I166" s="5">
        <v>9.420670127000001E7</v>
      </c>
      <c r="J166" s="5">
        <v>1.0705084214E8</v>
      </c>
      <c r="K166" s="5">
        <v>1.110436857E8</v>
      </c>
      <c r="L166" s="5">
        <f t="shared" si="6"/>
        <v>104100409.7</v>
      </c>
      <c r="M166" s="5">
        <v>4.872004797999998E8</v>
      </c>
      <c r="N166" s="5">
        <v>5.453820480999999E8</v>
      </c>
      <c r="O166" s="5">
        <v>5.285481678400001E8</v>
      </c>
      <c r="P166" s="5">
        <f t="shared" si="7"/>
        <v>520376898.6</v>
      </c>
      <c r="Q166" s="5">
        <v>1.9001742865E8</v>
      </c>
      <c r="R166" s="5">
        <v>1.8821983203E8</v>
      </c>
      <c r="S166" s="5">
        <v>1.9903294042E8</v>
      </c>
      <c r="T166" s="5">
        <f t="shared" si="8"/>
        <v>192423400.4</v>
      </c>
      <c r="U166" s="6">
        <v>20.005835515464163</v>
      </c>
      <c r="V166" s="6">
        <v>36.97769845120912</v>
      </c>
      <c r="W166" s="4"/>
      <c r="X166" s="4"/>
      <c r="Y166" s="4"/>
      <c r="Z166" s="4"/>
    </row>
    <row r="167" ht="14.25" customHeight="1">
      <c r="A167" s="5">
        <v>40102.0</v>
      </c>
      <c r="B167" s="5" t="s">
        <v>238</v>
      </c>
      <c r="C167" s="5" t="s">
        <v>237</v>
      </c>
      <c r="D167" s="5" t="s">
        <v>172</v>
      </c>
      <c r="E167" s="5">
        <v>3.844854152E7</v>
      </c>
      <c r="F167" s="5">
        <v>4.560915942737822E7</v>
      </c>
      <c r="G167" s="5">
        <v>5.623408004E7</v>
      </c>
      <c r="H167" s="5">
        <f t="shared" si="5"/>
        <v>46763927</v>
      </c>
      <c r="I167" s="5">
        <v>2842046.17</v>
      </c>
      <c r="J167" s="5">
        <v>1900536.27</v>
      </c>
      <c r="K167" s="5">
        <v>2620984.06</v>
      </c>
      <c r="L167" s="5">
        <f t="shared" si="6"/>
        <v>2454522.167</v>
      </c>
      <c r="M167" s="5">
        <v>2.798445817999997E7</v>
      </c>
      <c r="N167" s="5">
        <v>3.366314158E7</v>
      </c>
      <c r="O167" s="5">
        <v>3.12723622E7</v>
      </c>
      <c r="P167" s="5">
        <f t="shared" si="7"/>
        <v>30973320.65</v>
      </c>
      <c r="Q167" s="5">
        <v>2057195.11</v>
      </c>
      <c r="R167" s="5">
        <v>2502985.35</v>
      </c>
      <c r="S167" s="5">
        <v>2524272.51</v>
      </c>
      <c r="T167" s="5">
        <f t="shared" si="8"/>
        <v>2361484.323</v>
      </c>
      <c r="U167" s="6">
        <v>5.248751172859147</v>
      </c>
      <c r="V167" s="6">
        <v>7.624252981345067</v>
      </c>
      <c r="W167" s="4"/>
      <c r="X167" s="4"/>
      <c r="Y167" s="4"/>
      <c r="Z167" s="4"/>
    </row>
    <row r="168" ht="14.25" customHeight="1">
      <c r="A168" s="5">
        <v>40103.0</v>
      </c>
      <c r="B168" s="5" t="s">
        <v>239</v>
      </c>
      <c r="C168" s="5" t="s">
        <v>237</v>
      </c>
      <c r="D168" s="5" t="s">
        <v>172</v>
      </c>
      <c r="E168" s="5">
        <v>9374834.35</v>
      </c>
      <c r="F168" s="5">
        <v>1.146732654720711E7</v>
      </c>
      <c r="G168" s="5">
        <v>1.402826888E7</v>
      </c>
      <c r="H168" s="5">
        <f t="shared" si="5"/>
        <v>11623476.59</v>
      </c>
      <c r="I168" s="5">
        <v>0.0</v>
      </c>
      <c r="J168" s="5">
        <v>20786.0</v>
      </c>
      <c r="K168" s="5">
        <v>5243.45</v>
      </c>
      <c r="L168" s="5">
        <f t="shared" si="6"/>
        <v>8676.483333</v>
      </c>
      <c r="M168" s="5">
        <v>1.00002742E7</v>
      </c>
      <c r="N168" s="5">
        <v>1.186956445E7</v>
      </c>
      <c r="O168" s="5">
        <v>1.108489599E7</v>
      </c>
      <c r="P168" s="5">
        <f t="shared" si="7"/>
        <v>10984911.55</v>
      </c>
      <c r="Q168" s="5">
        <v>214114.8</v>
      </c>
      <c r="R168" s="5">
        <v>108194.19</v>
      </c>
      <c r="S168" s="5">
        <v>233985.76</v>
      </c>
      <c r="T168" s="5">
        <f t="shared" si="8"/>
        <v>185431.5833</v>
      </c>
      <c r="U168" s="6">
        <v>0.07464619784243103</v>
      </c>
      <c r="V168" s="6">
        <v>1.6880571367877961</v>
      </c>
      <c r="W168" s="4"/>
      <c r="X168" s="4"/>
      <c r="Y168" s="4"/>
      <c r="Z168" s="4"/>
    </row>
    <row r="169" ht="14.25" customHeight="1">
      <c r="A169" s="5">
        <v>40104.0</v>
      </c>
      <c r="B169" s="5" t="s">
        <v>240</v>
      </c>
      <c r="C169" s="5" t="s">
        <v>237</v>
      </c>
      <c r="D169" s="5" t="s">
        <v>172</v>
      </c>
      <c r="E169" s="5">
        <v>2.350963005E7</v>
      </c>
      <c r="F169" s="5">
        <v>2.891153027577582E7</v>
      </c>
      <c r="G169" s="5">
        <v>3.616917134999999E7</v>
      </c>
      <c r="H169" s="5">
        <f t="shared" si="5"/>
        <v>29530110.56</v>
      </c>
      <c r="I169" s="5">
        <v>131220.8</v>
      </c>
      <c r="J169" s="5">
        <v>160590.71</v>
      </c>
      <c r="K169" s="5">
        <v>888163.41</v>
      </c>
      <c r="L169" s="5">
        <f t="shared" si="6"/>
        <v>393324.9733</v>
      </c>
      <c r="M169" s="5">
        <v>1.654748909999999E7</v>
      </c>
      <c r="N169" s="5">
        <v>1.906250018E7</v>
      </c>
      <c r="O169" s="5">
        <v>1.805762358E7</v>
      </c>
      <c r="P169" s="5">
        <f t="shared" si="7"/>
        <v>17889204.29</v>
      </c>
      <c r="Q169" s="5">
        <v>2138849.77</v>
      </c>
      <c r="R169" s="5">
        <v>1745717.03</v>
      </c>
      <c r="S169" s="5">
        <v>2081329.6</v>
      </c>
      <c r="T169" s="5">
        <f t="shared" si="8"/>
        <v>1988632.133</v>
      </c>
      <c r="U169" s="6">
        <v>1.3319454817242244</v>
      </c>
      <c r="V169" s="6">
        <v>11.116381150700583</v>
      </c>
      <c r="W169" s="4"/>
      <c r="X169" s="4"/>
      <c r="Y169" s="4"/>
      <c r="Z169" s="4"/>
    </row>
    <row r="170" ht="14.25" customHeight="1">
      <c r="A170" s="5">
        <v>40201.0</v>
      </c>
      <c r="B170" s="5" t="s">
        <v>241</v>
      </c>
      <c r="C170" s="5" t="s">
        <v>237</v>
      </c>
      <c r="D170" s="5" t="s">
        <v>242</v>
      </c>
      <c r="E170" s="5">
        <v>4.334982345999999E7</v>
      </c>
      <c r="F170" s="5">
        <v>5.577065352367108E7</v>
      </c>
      <c r="G170" s="5">
        <v>7.116323072E7</v>
      </c>
      <c r="H170" s="5">
        <f t="shared" si="5"/>
        <v>56761235.9</v>
      </c>
      <c r="I170" s="5">
        <v>1140593.78</v>
      </c>
      <c r="J170" s="5">
        <v>1202589.0</v>
      </c>
      <c r="K170" s="5">
        <v>2606352.8</v>
      </c>
      <c r="L170" s="5">
        <f t="shared" si="6"/>
        <v>1649845.193</v>
      </c>
      <c r="M170" s="5">
        <v>3.646279529999994E7</v>
      </c>
      <c r="N170" s="5">
        <v>4.429854212E7</v>
      </c>
      <c r="O170" s="5">
        <v>4.003393148999999E7</v>
      </c>
      <c r="P170" s="5">
        <f t="shared" si="7"/>
        <v>40265089.64</v>
      </c>
      <c r="Q170" s="5">
        <v>4026371.540000001</v>
      </c>
      <c r="R170" s="5">
        <v>5315512.17</v>
      </c>
      <c r="S170" s="5">
        <v>4068515.24</v>
      </c>
      <c r="T170" s="5">
        <f t="shared" si="8"/>
        <v>4470132.983</v>
      </c>
      <c r="U170" s="6">
        <v>2.9066407155129705</v>
      </c>
      <c r="V170" s="6">
        <v>11.101758430615021</v>
      </c>
      <c r="W170" s="4"/>
      <c r="X170" s="4"/>
      <c r="Y170" s="4"/>
      <c r="Z170" s="4"/>
    </row>
    <row r="171" ht="14.25" customHeight="1">
      <c r="A171" s="5">
        <v>40202.0</v>
      </c>
      <c r="B171" s="5" t="s">
        <v>243</v>
      </c>
      <c r="C171" s="5" t="s">
        <v>237</v>
      </c>
      <c r="D171" s="5" t="s">
        <v>242</v>
      </c>
      <c r="E171" s="5">
        <v>5637183.160000001</v>
      </c>
      <c r="F171" s="5">
        <v>6865462.969325424</v>
      </c>
      <c r="G171" s="5">
        <v>8400724.559999999</v>
      </c>
      <c r="H171" s="5">
        <f t="shared" si="5"/>
        <v>6967790.23</v>
      </c>
      <c r="I171" s="5">
        <v>73113.88</v>
      </c>
      <c r="J171" s="5">
        <v>74566.28</v>
      </c>
      <c r="K171" s="5">
        <v>112666.77</v>
      </c>
      <c r="L171" s="5">
        <f t="shared" si="6"/>
        <v>86782.31</v>
      </c>
      <c r="M171" s="5">
        <v>4564775.969999996</v>
      </c>
      <c r="N171" s="5">
        <v>5509998.270000001</v>
      </c>
      <c r="O171" s="5">
        <v>5108953.439999999</v>
      </c>
      <c r="P171" s="5">
        <f t="shared" si="7"/>
        <v>5061242.56</v>
      </c>
      <c r="Q171" s="5">
        <v>21390.0</v>
      </c>
      <c r="R171" s="5">
        <v>49526.0</v>
      </c>
      <c r="S171" s="5">
        <v>71205.92</v>
      </c>
      <c r="T171" s="5">
        <f t="shared" si="8"/>
        <v>47373.97333</v>
      </c>
      <c r="U171" s="6">
        <v>1.2454782239160573</v>
      </c>
      <c r="V171" s="6">
        <v>0.93601467963103</v>
      </c>
      <c r="W171" s="4"/>
      <c r="X171" s="4"/>
      <c r="Y171" s="4"/>
      <c r="Z171" s="4"/>
    </row>
    <row r="172" ht="14.25" customHeight="1">
      <c r="A172" s="5">
        <v>40301.0</v>
      </c>
      <c r="B172" s="5" t="s">
        <v>244</v>
      </c>
      <c r="C172" s="5" t="s">
        <v>237</v>
      </c>
      <c r="D172" s="5" t="s">
        <v>245</v>
      </c>
      <c r="E172" s="5">
        <v>1.495258572E7</v>
      </c>
      <c r="F172" s="5">
        <v>1.832705942857293E7</v>
      </c>
      <c r="G172" s="5">
        <v>2.248997802E7</v>
      </c>
      <c r="H172" s="5">
        <f t="shared" si="5"/>
        <v>18589874.39</v>
      </c>
      <c r="I172" s="5">
        <v>35908.72</v>
      </c>
      <c r="J172" s="5">
        <v>123153.25</v>
      </c>
      <c r="K172" s="5">
        <v>191282.44</v>
      </c>
      <c r="L172" s="5">
        <f t="shared" si="6"/>
        <v>116781.47</v>
      </c>
      <c r="M172" s="5">
        <v>1.041996487999999E7</v>
      </c>
      <c r="N172" s="5">
        <v>1.260764938E7</v>
      </c>
      <c r="O172" s="5">
        <v>1.175347017E7</v>
      </c>
      <c r="P172" s="5">
        <f t="shared" si="7"/>
        <v>11593694.81</v>
      </c>
      <c r="Q172" s="5">
        <v>77447.5</v>
      </c>
      <c r="R172" s="5">
        <v>177634.5</v>
      </c>
      <c r="S172" s="5">
        <v>285673.26</v>
      </c>
      <c r="T172" s="5">
        <f t="shared" si="8"/>
        <v>180251.7533</v>
      </c>
      <c r="U172" s="6">
        <v>0.6281993495653109</v>
      </c>
      <c r="V172" s="6">
        <v>1.5547395052857473</v>
      </c>
      <c r="W172" s="4"/>
      <c r="X172" s="4"/>
      <c r="Y172" s="4"/>
      <c r="Z172" s="4"/>
    </row>
    <row r="173" ht="14.25" customHeight="1">
      <c r="A173" s="5">
        <v>40302.0</v>
      </c>
      <c r="B173" s="5" t="s">
        <v>246</v>
      </c>
      <c r="C173" s="5" t="s">
        <v>237</v>
      </c>
      <c r="D173" s="5" t="s">
        <v>245</v>
      </c>
      <c r="E173" s="5">
        <v>2765304.44</v>
      </c>
      <c r="F173" s="5">
        <v>3400853.994295391</v>
      </c>
      <c r="G173" s="5">
        <v>4173431.67</v>
      </c>
      <c r="H173" s="5">
        <f t="shared" si="5"/>
        <v>3446530.035</v>
      </c>
      <c r="I173" s="5">
        <v>0.0</v>
      </c>
      <c r="J173" s="5">
        <v>0.0</v>
      </c>
      <c r="K173" s="5">
        <v>0.0</v>
      </c>
      <c r="L173" s="5">
        <f t="shared" si="6"/>
        <v>0</v>
      </c>
      <c r="M173" s="5">
        <v>2092133.389999998</v>
      </c>
      <c r="N173" s="5">
        <v>2511561.91</v>
      </c>
      <c r="O173" s="5">
        <v>2390228.63</v>
      </c>
      <c r="P173" s="5">
        <f t="shared" si="7"/>
        <v>2331307.977</v>
      </c>
      <c r="Q173" s="5">
        <v>17584.71</v>
      </c>
      <c r="R173" s="5">
        <v>18200.5</v>
      </c>
      <c r="S173" s="5">
        <v>89916.0</v>
      </c>
      <c r="T173" s="5">
        <f t="shared" si="8"/>
        <v>41900.40333</v>
      </c>
      <c r="U173" s="6">
        <v>0.0</v>
      </c>
      <c r="V173" s="6">
        <v>1.797291638543744</v>
      </c>
      <c r="W173" s="4"/>
      <c r="X173" s="4"/>
      <c r="Y173" s="4"/>
      <c r="Z173" s="4"/>
    </row>
    <row r="174" ht="14.25" customHeight="1">
      <c r="A174" s="5">
        <v>40401.0</v>
      </c>
      <c r="B174" s="5" t="s">
        <v>247</v>
      </c>
      <c r="C174" s="5" t="s">
        <v>237</v>
      </c>
      <c r="D174" s="5" t="s">
        <v>248</v>
      </c>
      <c r="E174" s="5">
        <v>9154489.28</v>
      </c>
      <c r="F174" s="5">
        <v>1.122150863388948E7</v>
      </c>
      <c r="G174" s="5">
        <v>1.375921163E7</v>
      </c>
      <c r="H174" s="5">
        <f t="shared" si="5"/>
        <v>11378403.18</v>
      </c>
      <c r="I174" s="5">
        <v>105164.2</v>
      </c>
      <c r="J174" s="5">
        <v>97712.0</v>
      </c>
      <c r="K174" s="5">
        <v>110276.4</v>
      </c>
      <c r="L174" s="5">
        <f t="shared" si="6"/>
        <v>104384.2</v>
      </c>
      <c r="M174" s="5">
        <v>5481252.199999997</v>
      </c>
      <c r="N174" s="5">
        <v>5934559.75</v>
      </c>
      <c r="O174" s="5">
        <v>5483926.46</v>
      </c>
      <c r="P174" s="5">
        <f t="shared" si="7"/>
        <v>5633246.137</v>
      </c>
      <c r="Q174" s="5">
        <v>788682.06</v>
      </c>
      <c r="R174" s="5">
        <v>294794.1</v>
      </c>
      <c r="S174" s="5">
        <v>280764.06</v>
      </c>
      <c r="T174" s="5">
        <f t="shared" si="8"/>
        <v>454746.74</v>
      </c>
      <c r="U174" s="6">
        <v>0.9173888316032244</v>
      </c>
      <c r="V174" s="6">
        <v>8.072552289878908</v>
      </c>
      <c r="W174" s="4"/>
      <c r="X174" s="4"/>
      <c r="Y174" s="4"/>
      <c r="Z174" s="4"/>
    </row>
    <row r="175" ht="14.25" customHeight="1">
      <c r="A175" s="5">
        <v>40402.0</v>
      </c>
      <c r="B175" s="5" t="s">
        <v>249</v>
      </c>
      <c r="C175" s="5" t="s">
        <v>237</v>
      </c>
      <c r="D175" s="5" t="s">
        <v>248</v>
      </c>
      <c r="E175" s="5">
        <v>7267183.790000001</v>
      </c>
      <c r="F175" s="5">
        <v>8855773.251150003</v>
      </c>
      <c r="G175" s="5">
        <v>1.09074506E7</v>
      </c>
      <c r="H175" s="5">
        <f t="shared" si="5"/>
        <v>9010135.88</v>
      </c>
      <c r="I175" s="5">
        <v>136117.1</v>
      </c>
      <c r="J175" s="5">
        <v>89335.0</v>
      </c>
      <c r="K175" s="5">
        <v>150788.49</v>
      </c>
      <c r="L175" s="5">
        <f t="shared" si="6"/>
        <v>125413.53</v>
      </c>
      <c r="M175" s="5">
        <v>6001033.099999998</v>
      </c>
      <c r="N175" s="5">
        <v>7708515.63</v>
      </c>
      <c r="O175" s="5">
        <v>7238039.38</v>
      </c>
      <c r="P175" s="5">
        <f t="shared" si="7"/>
        <v>6982529.37</v>
      </c>
      <c r="Q175" s="5">
        <v>160975.39</v>
      </c>
      <c r="R175" s="5">
        <v>689670.2</v>
      </c>
      <c r="S175" s="5">
        <v>762548.0</v>
      </c>
      <c r="T175" s="5">
        <f t="shared" si="8"/>
        <v>537731.1967</v>
      </c>
      <c r="U175" s="6">
        <v>1.3919160783473588</v>
      </c>
      <c r="V175" s="6">
        <v>7.701094663160246</v>
      </c>
      <c r="W175" s="4"/>
      <c r="X175" s="4"/>
      <c r="Y175" s="4"/>
      <c r="Z175" s="4"/>
    </row>
    <row r="176" ht="14.25" customHeight="1">
      <c r="A176" s="5">
        <v>40501.0</v>
      </c>
      <c r="B176" s="5" t="s">
        <v>250</v>
      </c>
      <c r="C176" s="5" t="s">
        <v>237</v>
      </c>
      <c r="D176" s="5" t="s">
        <v>251</v>
      </c>
      <c r="E176" s="5">
        <v>2738024.36</v>
      </c>
      <c r="F176" s="5">
        <v>3465647.648202359</v>
      </c>
      <c r="G176" s="5">
        <v>4205450.09</v>
      </c>
      <c r="H176" s="5">
        <f t="shared" si="5"/>
        <v>3469707.366</v>
      </c>
      <c r="I176" s="5">
        <v>13786.27</v>
      </c>
      <c r="J176" s="5">
        <v>63928.25</v>
      </c>
      <c r="K176" s="5">
        <v>16414.94</v>
      </c>
      <c r="L176" s="5">
        <f t="shared" si="6"/>
        <v>31376.48667</v>
      </c>
      <c r="M176" s="5">
        <v>1252371.609999999</v>
      </c>
      <c r="N176" s="5">
        <v>1802043.75</v>
      </c>
      <c r="O176" s="5">
        <v>1680497.88</v>
      </c>
      <c r="P176" s="5">
        <f t="shared" si="7"/>
        <v>1578304.413</v>
      </c>
      <c r="Q176" s="5">
        <v>127893.91</v>
      </c>
      <c r="R176" s="5">
        <v>450501.67</v>
      </c>
      <c r="S176" s="5">
        <v>433619.58</v>
      </c>
      <c r="T176" s="5">
        <f t="shared" si="8"/>
        <v>337338.3867</v>
      </c>
      <c r="U176" s="6">
        <v>0.9042977795049214</v>
      </c>
      <c r="V176" s="6">
        <v>21.373467869497862</v>
      </c>
      <c r="W176" s="4"/>
      <c r="X176" s="4"/>
      <c r="Y176" s="4"/>
      <c r="Z176" s="4"/>
    </row>
    <row r="177" ht="14.25" customHeight="1">
      <c r="A177" s="5">
        <v>40502.0</v>
      </c>
      <c r="B177" s="5" t="s">
        <v>252</v>
      </c>
      <c r="C177" s="5" t="s">
        <v>237</v>
      </c>
      <c r="D177" s="5" t="s">
        <v>251</v>
      </c>
      <c r="E177" s="5">
        <v>1474272.45</v>
      </c>
      <c r="F177" s="5">
        <v>1814680.624780403</v>
      </c>
      <c r="G177" s="5">
        <v>2227459.02</v>
      </c>
      <c r="H177" s="5">
        <f t="shared" si="5"/>
        <v>1838804.032</v>
      </c>
      <c r="I177" s="5">
        <v>0.0</v>
      </c>
      <c r="J177" s="5">
        <v>0.0</v>
      </c>
      <c r="K177" s="5">
        <v>0.0</v>
      </c>
      <c r="L177" s="5">
        <f t="shared" si="6"/>
        <v>0</v>
      </c>
      <c r="M177" s="5">
        <v>6957558.089999999</v>
      </c>
      <c r="N177" s="5">
        <v>8046434.66</v>
      </c>
      <c r="O177" s="5">
        <v>7446974.64</v>
      </c>
      <c r="P177" s="5">
        <f t="shared" si="7"/>
        <v>7483655.797</v>
      </c>
      <c r="Q177" s="5">
        <v>2221242.0</v>
      </c>
      <c r="R177" s="5">
        <v>2354094.0</v>
      </c>
      <c r="S177" s="5">
        <v>2195307.0</v>
      </c>
      <c r="T177" s="5">
        <f t="shared" si="8"/>
        <v>2256881</v>
      </c>
      <c r="U177" s="6">
        <v>0.0</v>
      </c>
      <c r="V177" s="6">
        <v>30.15746663556131</v>
      </c>
      <c r="W177" s="4"/>
      <c r="X177" s="4"/>
      <c r="Y177" s="4"/>
      <c r="Z177" s="4"/>
    </row>
    <row r="178" ht="14.25" customHeight="1">
      <c r="A178" s="5">
        <v>40503.0</v>
      </c>
      <c r="B178" s="5" t="s">
        <v>253</v>
      </c>
      <c r="C178" s="5" t="s">
        <v>237</v>
      </c>
      <c r="D178" s="5" t="s">
        <v>251</v>
      </c>
      <c r="E178" s="5">
        <v>1508449.87</v>
      </c>
      <c r="F178" s="5">
        <v>1844557.590841752</v>
      </c>
      <c r="G178" s="5">
        <v>2261981.55</v>
      </c>
      <c r="H178" s="5">
        <f t="shared" si="5"/>
        <v>1871663.004</v>
      </c>
      <c r="I178" s="5">
        <v>0.0</v>
      </c>
      <c r="J178" s="5">
        <v>0.0</v>
      </c>
      <c r="K178" s="5">
        <v>1300.0</v>
      </c>
      <c r="L178" s="5">
        <f t="shared" si="6"/>
        <v>433.3333333</v>
      </c>
      <c r="M178" s="5">
        <v>3039797.709999999</v>
      </c>
      <c r="N178" s="5">
        <v>3693695.01</v>
      </c>
      <c r="O178" s="5">
        <v>3554970.08</v>
      </c>
      <c r="P178" s="5">
        <f t="shared" si="7"/>
        <v>3429487.6</v>
      </c>
      <c r="Q178" s="5">
        <v>834011.95</v>
      </c>
      <c r="R178" s="5">
        <v>1042609.8</v>
      </c>
      <c r="S178" s="5">
        <v>1109142.6</v>
      </c>
      <c r="T178" s="5">
        <f t="shared" si="8"/>
        <v>995254.7833</v>
      </c>
      <c r="U178" s="6">
        <v>0.023152316015042654</v>
      </c>
      <c r="V178" s="6">
        <v>29.020509750008525</v>
      </c>
      <c r="W178" s="4"/>
      <c r="X178" s="4"/>
      <c r="Y178" s="4"/>
      <c r="Z178" s="4"/>
    </row>
    <row r="179" ht="14.25" customHeight="1">
      <c r="A179" s="5">
        <v>40504.0</v>
      </c>
      <c r="B179" s="5" t="s">
        <v>254</v>
      </c>
      <c r="C179" s="5" t="s">
        <v>237</v>
      </c>
      <c r="D179" s="5" t="s">
        <v>251</v>
      </c>
      <c r="E179" s="5">
        <v>385624.28</v>
      </c>
      <c r="F179" s="5">
        <v>470243.200358887</v>
      </c>
      <c r="G179" s="5">
        <v>576115.06</v>
      </c>
      <c r="H179" s="5">
        <f t="shared" si="5"/>
        <v>477327.5135</v>
      </c>
      <c r="I179" s="5">
        <v>65.61</v>
      </c>
      <c r="J179" s="5">
        <v>0.0</v>
      </c>
      <c r="K179" s="5">
        <v>0.0</v>
      </c>
      <c r="L179" s="5">
        <f t="shared" si="6"/>
        <v>21.87</v>
      </c>
      <c r="M179" s="5">
        <v>575972.2499999995</v>
      </c>
      <c r="N179" s="5">
        <v>692532.24</v>
      </c>
      <c r="O179" s="5">
        <v>689145.15</v>
      </c>
      <c r="P179" s="5">
        <f t="shared" si="7"/>
        <v>652549.88</v>
      </c>
      <c r="Q179" s="5">
        <v>0.0</v>
      </c>
      <c r="R179" s="5">
        <v>198.0</v>
      </c>
      <c r="S179" s="5">
        <v>50447.0</v>
      </c>
      <c r="T179" s="5">
        <f t="shared" si="8"/>
        <v>16881.66667</v>
      </c>
      <c r="U179" s="6">
        <v>0.0045817597736601354</v>
      </c>
      <c r="V179" s="6">
        <v>2.58703084378265</v>
      </c>
      <c r="W179" s="4"/>
      <c r="X179" s="4"/>
      <c r="Y179" s="4"/>
      <c r="Z179" s="4"/>
    </row>
    <row r="180" ht="14.25" customHeight="1">
      <c r="A180" s="5">
        <v>40505.0</v>
      </c>
      <c r="B180" s="5" t="s">
        <v>255</v>
      </c>
      <c r="C180" s="5" t="s">
        <v>237</v>
      </c>
      <c r="D180" s="5" t="s">
        <v>251</v>
      </c>
      <c r="E180" s="5">
        <v>1763373.41</v>
      </c>
      <c r="F180" s="5">
        <v>2295074.697189744</v>
      </c>
      <c r="G180" s="5">
        <v>2744564.48</v>
      </c>
      <c r="H180" s="5">
        <f t="shared" si="5"/>
        <v>2267670.862</v>
      </c>
      <c r="I180" s="5">
        <v>144501.27</v>
      </c>
      <c r="J180" s="5">
        <v>298580.05</v>
      </c>
      <c r="K180" s="5">
        <v>292869.17</v>
      </c>
      <c r="L180" s="5">
        <f t="shared" si="6"/>
        <v>245316.83</v>
      </c>
      <c r="M180" s="5">
        <v>4130015.309999995</v>
      </c>
      <c r="N180" s="5">
        <v>4706262.960000001</v>
      </c>
      <c r="O180" s="5">
        <v>4462424.37</v>
      </c>
      <c r="P180" s="5">
        <f t="shared" si="7"/>
        <v>4432900.88</v>
      </c>
      <c r="Q180" s="5">
        <v>1099788.0</v>
      </c>
      <c r="R180" s="5">
        <v>1064343.0</v>
      </c>
      <c r="S180" s="5">
        <v>1102460.0</v>
      </c>
      <c r="T180" s="5">
        <f t="shared" si="8"/>
        <v>1088863.667</v>
      </c>
      <c r="U180" s="6">
        <v>10.818008647901294</v>
      </c>
      <c r="V180" s="6">
        <v>24.563230628036667</v>
      </c>
      <c r="W180" s="4"/>
      <c r="X180" s="4"/>
      <c r="Y180" s="4"/>
      <c r="Z180" s="4"/>
    </row>
    <row r="181" ht="14.25" customHeight="1">
      <c r="A181" s="5">
        <v>40601.0</v>
      </c>
      <c r="B181" s="5" t="s">
        <v>256</v>
      </c>
      <c r="C181" s="5" t="s">
        <v>237</v>
      </c>
      <c r="D181" s="5" t="s">
        <v>257</v>
      </c>
      <c r="E181" s="5">
        <v>1.421232514E7</v>
      </c>
      <c r="F181" s="5">
        <v>1.530932991631974E7</v>
      </c>
      <c r="G181" s="5">
        <v>1.864423934E7</v>
      </c>
      <c r="H181" s="5">
        <f t="shared" si="5"/>
        <v>16055298.13</v>
      </c>
      <c r="I181" s="5">
        <v>3801844.239999999</v>
      </c>
      <c r="J181" s="5">
        <v>2432938.67</v>
      </c>
      <c r="K181" s="5">
        <v>2822397.21</v>
      </c>
      <c r="L181" s="5">
        <f t="shared" si="6"/>
        <v>3019060.04</v>
      </c>
      <c r="M181" s="5">
        <v>1.225608684999999E7</v>
      </c>
      <c r="N181" s="5">
        <v>1.489432739E7</v>
      </c>
      <c r="O181" s="5">
        <v>1.468801276E7</v>
      </c>
      <c r="P181" s="5">
        <f t="shared" si="7"/>
        <v>13946142.33</v>
      </c>
      <c r="Q181" s="5">
        <v>3746409.47</v>
      </c>
      <c r="R181" s="5">
        <v>4667065.71</v>
      </c>
      <c r="S181" s="5">
        <v>5252460.16</v>
      </c>
      <c r="T181" s="5">
        <f t="shared" si="8"/>
        <v>4555311.78</v>
      </c>
      <c r="U181" s="6">
        <v>18.804135651412377</v>
      </c>
      <c r="V181" s="6">
        <v>32.663597367080754</v>
      </c>
      <c r="W181" s="4"/>
      <c r="X181" s="4"/>
      <c r="Y181" s="4"/>
      <c r="Z181" s="4"/>
    </row>
    <row r="182" ht="14.25" customHeight="1">
      <c r="A182" s="5">
        <v>40602.0</v>
      </c>
      <c r="B182" s="5" t="s">
        <v>258</v>
      </c>
      <c r="C182" s="5" t="s">
        <v>237</v>
      </c>
      <c r="D182" s="5" t="s">
        <v>257</v>
      </c>
      <c r="E182" s="5">
        <v>9884804.889999999</v>
      </c>
      <c r="F182" s="5">
        <v>1.191752398695076E7</v>
      </c>
      <c r="G182" s="5">
        <v>1.453417611E7</v>
      </c>
      <c r="H182" s="5">
        <f t="shared" si="5"/>
        <v>12112168.33</v>
      </c>
      <c r="I182" s="5">
        <v>653713.79</v>
      </c>
      <c r="J182" s="5">
        <v>496264.1199999999</v>
      </c>
      <c r="K182" s="5">
        <v>499288.41</v>
      </c>
      <c r="L182" s="5">
        <f t="shared" si="6"/>
        <v>549755.44</v>
      </c>
      <c r="M182" s="5">
        <v>6960464.569999995</v>
      </c>
      <c r="N182" s="5">
        <v>8286978.11</v>
      </c>
      <c r="O182" s="5">
        <v>7689224.959999999</v>
      </c>
      <c r="P182" s="5">
        <f t="shared" si="7"/>
        <v>7645555.88</v>
      </c>
      <c r="Q182" s="5">
        <v>281383.01</v>
      </c>
      <c r="R182" s="5">
        <v>259772.97</v>
      </c>
      <c r="S182" s="5">
        <v>283428.34</v>
      </c>
      <c r="T182" s="5">
        <f t="shared" si="8"/>
        <v>274861.44</v>
      </c>
      <c r="U182" s="6">
        <v>4.53886888844232</v>
      </c>
      <c r="V182" s="6">
        <v>3.595048474094732</v>
      </c>
      <c r="W182" s="4"/>
      <c r="X182" s="4"/>
      <c r="Y182" s="4"/>
      <c r="Z182" s="4"/>
    </row>
    <row r="183" ht="14.25" customHeight="1">
      <c r="A183" s="5">
        <v>40603.0</v>
      </c>
      <c r="B183" s="5" t="s">
        <v>259</v>
      </c>
      <c r="C183" s="5" t="s">
        <v>237</v>
      </c>
      <c r="D183" s="5" t="s">
        <v>257</v>
      </c>
      <c r="E183" s="5">
        <v>1.050551067E7</v>
      </c>
      <c r="F183" s="5">
        <v>1.155529568949514E7</v>
      </c>
      <c r="G183" s="5">
        <v>1.289578412E7</v>
      </c>
      <c r="H183" s="5">
        <f t="shared" si="5"/>
        <v>11652196.83</v>
      </c>
      <c r="I183" s="5">
        <v>4910180.010000001</v>
      </c>
      <c r="J183" s="5">
        <v>4600304.470000001</v>
      </c>
      <c r="K183" s="5">
        <v>4340126.779999999</v>
      </c>
      <c r="L183" s="5">
        <f t="shared" si="6"/>
        <v>4616870.42</v>
      </c>
      <c r="M183" s="5">
        <v>9111268.379999993</v>
      </c>
      <c r="N183" s="5">
        <v>1.085659887E7</v>
      </c>
      <c r="O183" s="5">
        <v>9731581.82</v>
      </c>
      <c r="P183" s="5">
        <f t="shared" si="7"/>
        <v>9899816.357</v>
      </c>
      <c r="Q183" s="5">
        <v>5450651.85</v>
      </c>
      <c r="R183" s="5">
        <v>6457061.26</v>
      </c>
      <c r="S183" s="5">
        <v>5672645.01</v>
      </c>
      <c r="T183" s="5">
        <f t="shared" si="8"/>
        <v>5860119.373</v>
      </c>
      <c r="U183" s="6">
        <v>39.622317480088626</v>
      </c>
      <c r="V183" s="6">
        <v>59.19422302603677</v>
      </c>
      <c r="W183" s="4"/>
      <c r="X183" s="4"/>
      <c r="Y183" s="4"/>
      <c r="Z183" s="4"/>
    </row>
    <row r="184" ht="14.25" customHeight="1">
      <c r="A184" s="5">
        <v>40701.0</v>
      </c>
      <c r="B184" s="5" t="s">
        <v>260</v>
      </c>
      <c r="C184" s="5" t="s">
        <v>237</v>
      </c>
      <c r="D184" s="5" t="s">
        <v>261</v>
      </c>
      <c r="E184" s="5">
        <v>3.917244363E7</v>
      </c>
      <c r="F184" s="5">
        <v>4.788188611713722E7</v>
      </c>
      <c r="G184" s="5">
        <v>5.602476483E7</v>
      </c>
      <c r="H184" s="5">
        <f t="shared" si="5"/>
        <v>47693031.53</v>
      </c>
      <c r="I184" s="5">
        <v>6768065.87</v>
      </c>
      <c r="J184" s="5">
        <v>7588156.430000001</v>
      </c>
      <c r="K184" s="5">
        <v>6454066.790000001</v>
      </c>
      <c r="L184" s="5">
        <f t="shared" si="6"/>
        <v>6936763.03</v>
      </c>
      <c r="M184" s="5">
        <v>3.754777558999996E7</v>
      </c>
      <c r="N184" s="5">
        <v>4.295732174E7</v>
      </c>
      <c r="O184" s="5">
        <v>3.892722349E7</v>
      </c>
      <c r="P184" s="5">
        <f t="shared" si="7"/>
        <v>39810773.61</v>
      </c>
      <c r="Q184" s="5">
        <v>9868434.180000002</v>
      </c>
      <c r="R184" s="5">
        <v>9691473.829999998</v>
      </c>
      <c r="S184" s="5">
        <v>8236437.76</v>
      </c>
      <c r="T184" s="5">
        <f t="shared" si="8"/>
        <v>9265448.59</v>
      </c>
      <c r="U184" s="6">
        <v>14.544604962383724</v>
      </c>
      <c r="V184" s="6">
        <v>23.27372153463609</v>
      </c>
      <c r="W184" s="4"/>
      <c r="X184" s="4"/>
      <c r="Y184" s="4"/>
      <c r="Z184" s="4"/>
    </row>
    <row r="185" ht="14.25" customHeight="1">
      <c r="A185" s="5">
        <v>40702.0</v>
      </c>
      <c r="B185" s="5" t="s">
        <v>262</v>
      </c>
      <c r="C185" s="5" t="s">
        <v>237</v>
      </c>
      <c r="D185" s="5" t="s">
        <v>261</v>
      </c>
      <c r="E185" s="5">
        <v>7095047.29</v>
      </c>
      <c r="F185" s="5">
        <v>8807457.658605512</v>
      </c>
      <c r="G185" s="5">
        <v>1.081088277E7</v>
      </c>
      <c r="H185" s="5">
        <f t="shared" si="5"/>
        <v>8904462.573</v>
      </c>
      <c r="I185" s="5">
        <v>177714.63</v>
      </c>
      <c r="J185" s="5">
        <v>177759.08</v>
      </c>
      <c r="K185" s="5">
        <v>186314.72</v>
      </c>
      <c r="L185" s="5">
        <f t="shared" si="6"/>
        <v>180596.1433</v>
      </c>
      <c r="M185" s="5">
        <v>5829717.049999997</v>
      </c>
      <c r="N185" s="5">
        <v>6855306.760000001</v>
      </c>
      <c r="O185" s="5">
        <v>6397889.32</v>
      </c>
      <c r="P185" s="5">
        <f t="shared" si="7"/>
        <v>6360971.043</v>
      </c>
      <c r="Q185" s="5">
        <v>423752.5600000001</v>
      </c>
      <c r="R185" s="5">
        <v>358165.73</v>
      </c>
      <c r="S185" s="5">
        <v>403718.82</v>
      </c>
      <c r="T185" s="5">
        <f t="shared" si="8"/>
        <v>395212.37</v>
      </c>
      <c r="U185" s="6">
        <v>2.0281532080734626</v>
      </c>
      <c r="V185" s="6">
        <v>6.213082362860393</v>
      </c>
      <c r="W185" s="4"/>
      <c r="X185" s="4"/>
      <c r="Y185" s="4"/>
      <c r="Z185" s="4"/>
    </row>
    <row r="186" ht="14.25" customHeight="1">
      <c r="A186" s="5">
        <v>40801.0</v>
      </c>
      <c r="B186" s="5" t="s">
        <v>263</v>
      </c>
      <c r="C186" s="5" t="s">
        <v>237</v>
      </c>
      <c r="D186" s="5" t="s">
        <v>264</v>
      </c>
      <c r="E186" s="5">
        <v>1.523237542E7</v>
      </c>
      <c r="F186" s="5">
        <v>1.873275653533016E7</v>
      </c>
      <c r="G186" s="5">
        <v>2.296434035E7</v>
      </c>
      <c r="H186" s="5">
        <f t="shared" si="5"/>
        <v>18976490.77</v>
      </c>
      <c r="I186" s="5">
        <v>177506.32</v>
      </c>
      <c r="J186" s="5">
        <v>276751.59</v>
      </c>
      <c r="K186" s="5">
        <v>333033.27</v>
      </c>
      <c r="L186" s="5">
        <f t="shared" si="6"/>
        <v>262430.3933</v>
      </c>
      <c r="M186" s="5">
        <v>1.701494512E7</v>
      </c>
      <c r="N186" s="5">
        <v>1.701494512E7</v>
      </c>
      <c r="O186" s="5">
        <v>1.701494512E7</v>
      </c>
      <c r="P186" s="5">
        <v>1.701494512E7</v>
      </c>
      <c r="Q186" s="5">
        <v>1059077.9500000011</v>
      </c>
      <c r="R186" s="5">
        <v>1059077.9500000011</v>
      </c>
      <c r="S186" s="5">
        <v>1059077.9500000011</v>
      </c>
      <c r="T186" s="5">
        <f>P186-15955867.17</f>
        <v>1059077.95</v>
      </c>
      <c r="U186" s="6">
        <v>1.382923726707876</v>
      </c>
      <c r="V186" s="6">
        <v>6.224398271817647</v>
      </c>
      <c r="W186" s="4"/>
      <c r="X186" s="4"/>
      <c r="Y186" s="4"/>
      <c r="Z186" s="4"/>
    </row>
    <row r="187" ht="14.25" customHeight="1">
      <c r="A187" s="5">
        <v>40802.0</v>
      </c>
      <c r="B187" s="5" t="s">
        <v>265</v>
      </c>
      <c r="C187" s="5" t="s">
        <v>237</v>
      </c>
      <c r="D187" s="5" t="s">
        <v>264</v>
      </c>
      <c r="E187" s="5">
        <v>5159491.97</v>
      </c>
      <c r="F187" s="5">
        <v>6360075.891808535</v>
      </c>
      <c r="G187" s="5">
        <v>7755588.67</v>
      </c>
      <c r="H187" s="5">
        <f t="shared" si="5"/>
        <v>6425052.177</v>
      </c>
      <c r="I187" s="5">
        <v>24292.5</v>
      </c>
      <c r="J187" s="5">
        <v>65330.0</v>
      </c>
      <c r="K187" s="5">
        <v>36848.95</v>
      </c>
      <c r="L187" s="5">
        <f t="shared" si="6"/>
        <v>42157.15</v>
      </c>
      <c r="M187" s="5">
        <v>3334205.27</v>
      </c>
      <c r="N187" s="5">
        <v>4033421.3</v>
      </c>
      <c r="O187" s="5">
        <v>3730838.84</v>
      </c>
      <c r="P187" s="5">
        <f t="shared" ref="P187:P189" si="9">AVERAGE(M187:O187)</f>
        <v>3699488.47</v>
      </c>
      <c r="Q187" s="5">
        <v>0.0</v>
      </c>
      <c r="R187" s="5">
        <v>26173.0</v>
      </c>
      <c r="S187" s="5">
        <v>33825.0</v>
      </c>
      <c r="T187" s="5">
        <f t="shared" ref="T187:T189" si="10">AVERAGE(Q187:S187)</f>
        <v>19999.33333</v>
      </c>
      <c r="U187" s="6">
        <v>0.6561370839779818</v>
      </c>
      <c r="V187" s="6">
        <v>0.5405972608243683</v>
      </c>
      <c r="W187" s="4"/>
      <c r="X187" s="4"/>
      <c r="Y187" s="4"/>
      <c r="Z187" s="4"/>
    </row>
    <row r="188" ht="14.25" customHeight="1">
      <c r="A188" s="5">
        <v>40901.0</v>
      </c>
      <c r="B188" s="5" t="s">
        <v>266</v>
      </c>
      <c r="C188" s="5" t="s">
        <v>237</v>
      </c>
      <c r="D188" s="5" t="s">
        <v>267</v>
      </c>
      <c r="E188" s="5">
        <v>8792159.450000001</v>
      </c>
      <c r="F188" s="5">
        <v>1.042009176178824E7</v>
      </c>
      <c r="G188" s="5">
        <v>1.28110125E7</v>
      </c>
      <c r="H188" s="5">
        <f t="shared" si="5"/>
        <v>10674421.24</v>
      </c>
      <c r="I188" s="5">
        <v>803193.8600000001</v>
      </c>
      <c r="J188" s="5">
        <v>578473.61</v>
      </c>
      <c r="K188" s="5">
        <v>729275.72</v>
      </c>
      <c r="L188" s="5">
        <f t="shared" si="6"/>
        <v>703647.73</v>
      </c>
      <c r="M188" s="5">
        <v>1.081982203999999E7</v>
      </c>
      <c r="N188" s="5">
        <v>1.15363369E7</v>
      </c>
      <c r="O188" s="5">
        <v>1.086730572E7</v>
      </c>
      <c r="P188" s="5">
        <f t="shared" si="9"/>
        <v>11074488.22</v>
      </c>
      <c r="Q188" s="5">
        <v>1826696.44</v>
      </c>
      <c r="R188" s="5">
        <v>728055.02</v>
      </c>
      <c r="S188" s="5">
        <v>895707.73</v>
      </c>
      <c r="T188" s="5">
        <f t="shared" si="10"/>
        <v>1150153.063</v>
      </c>
      <c r="U188" s="6">
        <v>6.591905213030897</v>
      </c>
      <c r="V188" s="6">
        <v>10.385609163014971</v>
      </c>
      <c r="W188" s="4"/>
      <c r="X188" s="4"/>
      <c r="Y188" s="4"/>
      <c r="Z188" s="4"/>
    </row>
    <row r="189" ht="14.25" customHeight="1">
      <c r="A189" s="5">
        <v>40902.0</v>
      </c>
      <c r="B189" s="5" t="s">
        <v>268</v>
      </c>
      <c r="C189" s="5" t="s">
        <v>237</v>
      </c>
      <c r="D189" s="5" t="s">
        <v>267</v>
      </c>
      <c r="E189" s="5">
        <v>1046631.91</v>
      </c>
      <c r="F189" s="5">
        <v>1294223.782410251</v>
      </c>
      <c r="G189" s="5">
        <v>1634031.06</v>
      </c>
      <c r="H189" s="5">
        <f t="shared" si="5"/>
        <v>1324962.251</v>
      </c>
      <c r="I189" s="5">
        <v>1437.57</v>
      </c>
      <c r="J189" s="5">
        <v>4161.030000000001</v>
      </c>
      <c r="K189" s="5">
        <v>49473.01</v>
      </c>
      <c r="L189" s="5">
        <f t="shared" si="6"/>
        <v>18357.20333</v>
      </c>
      <c r="M189" s="5">
        <v>2468986.72</v>
      </c>
      <c r="N189" s="5">
        <v>2725397.72</v>
      </c>
      <c r="O189" s="5">
        <v>2982366.62</v>
      </c>
      <c r="P189" s="5">
        <f t="shared" si="9"/>
        <v>2725583.687</v>
      </c>
      <c r="Q189" s="5">
        <v>1456678.03</v>
      </c>
      <c r="R189" s="5">
        <v>1508663.22</v>
      </c>
      <c r="S189" s="5">
        <v>1859860.59</v>
      </c>
      <c r="T189" s="5">
        <f t="shared" si="10"/>
        <v>1608400.613</v>
      </c>
      <c r="U189" s="6">
        <v>1.385488780695607</v>
      </c>
      <c r="V189" s="6">
        <v>59.0112356924316</v>
      </c>
      <c r="W189" s="4"/>
      <c r="X189" s="4"/>
      <c r="Y189" s="4"/>
      <c r="Z189" s="4"/>
    </row>
    <row r="190" ht="14.25" customHeight="1">
      <c r="A190" s="5">
        <v>40903.0</v>
      </c>
      <c r="B190" s="5" t="s">
        <v>269</v>
      </c>
      <c r="C190" s="5" t="s">
        <v>237</v>
      </c>
      <c r="D190" s="5" t="s">
        <v>267</v>
      </c>
      <c r="E190" s="5">
        <v>3124419.839999999</v>
      </c>
      <c r="F190" s="5">
        <v>3833201.876107469</v>
      </c>
      <c r="G190" s="5">
        <v>4701343.2</v>
      </c>
      <c r="H190" s="5">
        <f t="shared" si="5"/>
        <v>3886321.639</v>
      </c>
      <c r="I190" s="5">
        <v>0.0</v>
      </c>
      <c r="J190" s="5">
        <v>0.0</v>
      </c>
      <c r="K190" s="5">
        <v>0.0</v>
      </c>
      <c r="L190" s="5">
        <f t="shared" si="6"/>
        <v>0</v>
      </c>
      <c r="M190" s="5">
        <v>2734311.06</v>
      </c>
      <c r="N190" s="5">
        <v>2734311.06</v>
      </c>
      <c r="O190" s="5">
        <v>2734311.06</v>
      </c>
      <c r="P190" s="5">
        <v>2734311.06</v>
      </c>
      <c r="Q190" s="5">
        <v>12919.180000000168</v>
      </c>
      <c r="R190" s="5">
        <v>12919.180000000168</v>
      </c>
      <c r="S190" s="5">
        <v>12919.180000000168</v>
      </c>
      <c r="T190" s="5">
        <f>P190-2721391.88</f>
        <v>12919.18</v>
      </c>
      <c r="U190" s="6">
        <v>0.0</v>
      </c>
      <c r="V190" s="6">
        <v>0.47248391702735415</v>
      </c>
      <c r="W190" s="4"/>
      <c r="X190" s="4"/>
      <c r="Y190" s="4"/>
      <c r="Z190" s="4"/>
    </row>
    <row r="191" ht="14.25" customHeight="1">
      <c r="A191" s="5">
        <v>41001.0</v>
      </c>
      <c r="B191" s="5" t="s">
        <v>270</v>
      </c>
      <c r="C191" s="5" t="s">
        <v>237</v>
      </c>
      <c r="D191" s="5" t="s">
        <v>271</v>
      </c>
      <c r="E191" s="5">
        <v>1.372762253E7</v>
      </c>
      <c r="F191" s="5">
        <v>1.703513336672632E7</v>
      </c>
      <c r="G191" s="5">
        <v>2.042929305E7</v>
      </c>
      <c r="H191" s="5">
        <f t="shared" si="5"/>
        <v>17064016.32</v>
      </c>
      <c r="I191" s="5">
        <v>312035.12</v>
      </c>
      <c r="J191" s="5">
        <v>597651.97</v>
      </c>
      <c r="K191" s="5">
        <v>275671.65</v>
      </c>
      <c r="L191" s="5">
        <f t="shared" si="6"/>
        <v>395119.58</v>
      </c>
      <c r="M191" s="5">
        <v>1.158781301999999E7</v>
      </c>
      <c r="N191" s="5">
        <v>1.395120113E7</v>
      </c>
      <c r="O191" s="5">
        <v>1.282925614E7</v>
      </c>
      <c r="P191" s="5">
        <f t="shared" ref="P191:P235" si="11">AVERAGE(M191:O191)</f>
        <v>12789423.43</v>
      </c>
      <c r="Q191" s="5">
        <v>204367.9</v>
      </c>
      <c r="R191" s="5">
        <v>270173.0</v>
      </c>
      <c r="S191" s="5">
        <v>207283.15</v>
      </c>
      <c r="T191" s="5">
        <f t="shared" ref="T191:T235" si="12">AVERAGE(Q191:S191)</f>
        <v>227274.6833</v>
      </c>
      <c r="U191" s="6">
        <v>2.315513374417889</v>
      </c>
      <c r="V191" s="6">
        <v>1.7770518317519917</v>
      </c>
      <c r="W191" s="4"/>
      <c r="X191" s="4"/>
      <c r="Y191" s="4"/>
      <c r="Z191" s="4"/>
    </row>
    <row r="192" ht="14.25" customHeight="1">
      <c r="A192" s="5">
        <v>41101.0</v>
      </c>
      <c r="B192" s="5" t="s">
        <v>272</v>
      </c>
      <c r="C192" s="5" t="s">
        <v>237</v>
      </c>
      <c r="D192" s="5" t="s">
        <v>273</v>
      </c>
      <c r="E192" s="5">
        <v>9319246.65</v>
      </c>
      <c r="F192" s="5">
        <v>1.143693290417639E7</v>
      </c>
      <c r="G192" s="5">
        <v>1.402256084E7</v>
      </c>
      <c r="H192" s="5">
        <f t="shared" si="5"/>
        <v>11592913.46</v>
      </c>
      <c r="I192" s="5">
        <v>38847.5</v>
      </c>
      <c r="J192" s="5">
        <v>19303.5</v>
      </c>
      <c r="K192" s="5">
        <v>10323.31</v>
      </c>
      <c r="L192" s="5">
        <f t="shared" si="6"/>
        <v>22824.77</v>
      </c>
      <c r="M192" s="5">
        <v>6018996.659999998</v>
      </c>
      <c r="N192" s="5">
        <v>7213283.78</v>
      </c>
      <c r="O192" s="5">
        <v>6635037.710000001</v>
      </c>
      <c r="P192" s="5">
        <f t="shared" si="11"/>
        <v>6622439.383</v>
      </c>
      <c r="Q192" s="5">
        <v>111637.52</v>
      </c>
      <c r="R192" s="5">
        <v>113554.0</v>
      </c>
      <c r="S192" s="5">
        <v>84923.0</v>
      </c>
      <c r="T192" s="5">
        <f t="shared" si="12"/>
        <v>103371.5067</v>
      </c>
      <c r="U192" s="6">
        <v>0.19688553761270158</v>
      </c>
      <c r="V192" s="6">
        <v>1.5609279403420637</v>
      </c>
      <c r="W192" s="4"/>
      <c r="X192" s="4"/>
      <c r="Y192" s="4"/>
      <c r="Z192" s="4"/>
    </row>
    <row r="193" ht="14.25" customHeight="1">
      <c r="A193" s="5">
        <v>41201.0</v>
      </c>
      <c r="B193" s="5" t="s">
        <v>274</v>
      </c>
      <c r="C193" s="5" t="s">
        <v>237</v>
      </c>
      <c r="D193" s="5" t="s">
        <v>275</v>
      </c>
      <c r="E193" s="5">
        <v>7982931.250000001</v>
      </c>
      <c r="F193" s="5">
        <v>9742175.968997719</v>
      </c>
      <c r="G193" s="5">
        <v>1.207504416E7</v>
      </c>
      <c r="H193" s="5">
        <f t="shared" si="5"/>
        <v>9933383.793</v>
      </c>
      <c r="I193" s="5">
        <v>34968.0</v>
      </c>
      <c r="J193" s="5">
        <v>13747.5</v>
      </c>
      <c r="K193" s="5">
        <v>149973.3</v>
      </c>
      <c r="L193" s="5">
        <f t="shared" si="6"/>
        <v>66229.6</v>
      </c>
      <c r="M193" s="5">
        <v>6125448.829999995</v>
      </c>
      <c r="N193" s="5">
        <v>7813158.710000001</v>
      </c>
      <c r="O193" s="5">
        <v>6864190.970000001</v>
      </c>
      <c r="P193" s="5">
        <f t="shared" si="11"/>
        <v>6934266.17</v>
      </c>
      <c r="Q193" s="5">
        <v>275295.31</v>
      </c>
      <c r="R193" s="5">
        <v>782180.4</v>
      </c>
      <c r="S193" s="5">
        <v>377505.94</v>
      </c>
      <c r="T193" s="5">
        <f t="shared" si="12"/>
        <v>478327.2167</v>
      </c>
      <c r="U193" s="6">
        <v>0.6667375526824675</v>
      </c>
      <c r="V193" s="6">
        <v>6.898022154616351</v>
      </c>
      <c r="W193" s="4"/>
      <c r="X193" s="4"/>
      <c r="Y193" s="4"/>
      <c r="Z193" s="4"/>
    </row>
    <row r="194" ht="14.25" customHeight="1">
      <c r="A194" s="5">
        <v>41202.0</v>
      </c>
      <c r="B194" s="5" t="s">
        <v>276</v>
      </c>
      <c r="C194" s="5" t="s">
        <v>237</v>
      </c>
      <c r="D194" s="5" t="s">
        <v>275</v>
      </c>
      <c r="E194" s="5">
        <v>2667236.7</v>
      </c>
      <c r="F194" s="5">
        <v>3271750.708461915</v>
      </c>
      <c r="G194" s="5">
        <v>4024568.81</v>
      </c>
      <c r="H194" s="5">
        <f t="shared" si="5"/>
        <v>3321185.406</v>
      </c>
      <c r="I194" s="5">
        <v>13483.0</v>
      </c>
      <c r="J194" s="5">
        <v>9712.0</v>
      </c>
      <c r="K194" s="5">
        <v>21941.12</v>
      </c>
      <c r="L194" s="5">
        <f t="shared" si="6"/>
        <v>15045.37333</v>
      </c>
      <c r="M194" s="5">
        <v>2348436.189999998</v>
      </c>
      <c r="N194" s="5">
        <v>2810361.39</v>
      </c>
      <c r="O194" s="5">
        <v>2621461.43</v>
      </c>
      <c r="P194" s="5">
        <f t="shared" si="11"/>
        <v>2593419.67</v>
      </c>
      <c r="Q194" s="5">
        <v>87687.33000000002</v>
      </c>
      <c r="R194" s="5">
        <v>93220.0</v>
      </c>
      <c r="S194" s="5">
        <v>114691.07</v>
      </c>
      <c r="T194" s="5">
        <f t="shared" si="12"/>
        <v>98532.8</v>
      </c>
      <c r="U194" s="6">
        <v>0.4530121475740286</v>
      </c>
      <c r="V194" s="6">
        <v>3.7993388089016853</v>
      </c>
      <c r="W194" s="4"/>
      <c r="X194" s="4"/>
      <c r="Y194" s="4"/>
      <c r="Z194" s="4"/>
    </row>
    <row r="195" ht="14.25" customHeight="1">
      <c r="A195" s="5">
        <v>41301.0</v>
      </c>
      <c r="B195" s="5" t="s">
        <v>277</v>
      </c>
      <c r="C195" s="5" t="s">
        <v>237</v>
      </c>
      <c r="D195" s="5" t="s">
        <v>278</v>
      </c>
      <c r="E195" s="5">
        <v>8915965.18</v>
      </c>
      <c r="F195" s="5">
        <v>1.055972026192231E7</v>
      </c>
      <c r="G195" s="5">
        <v>1.294781878E7</v>
      </c>
      <c r="H195" s="5">
        <f t="shared" si="5"/>
        <v>10807834.74</v>
      </c>
      <c r="I195" s="5">
        <v>296686.7</v>
      </c>
      <c r="J195" s="5">
        <v>39630.0</v>
      </c>
      <c r="K195" s="5">
        <v>60887.6</v>
      </c>
      <c r="L195" s="5">
        <f t="shared" si="6"/>
        <v>132401.4333</v>
      </c>
      <c r="M195" s="5">
        <v>6291055.139999992</v>
      </c>
      <c r="N195" s="5">
        <v>7521402.0</v>
      </c>
      <c r="O195" s="5">
        <v>6952963.15</v>
      </c>
      <c r="P195" s="5">
        <f t="shared" si="11"/>
        <v>6921806.763</v>
      </c>
      <c r="Q195" s="5">
        <v>87569.52</v>
      </c>
      <c r="R195" s="5">
        <v>65780.39</v>
      </c>
      <c r="S195" s="5">
        <v>74505.0</v>
      </c>
      <c r="T195" s="5">
        <f t="shared" si="12"/>
        <v>75951.63667</v>
      </c>
      <c r="U195" s="6">
        <v>1.2250504981859445</v>
      </c>
      <c r="V195" s="6">
        <v>1.097280511628884</v>
      </c>
      <c r="W195" s="4"/>
      <c r="X195" s="4"/>
      <c r="Y195" s="4"/>
      <c r="Z195" s="4"/>
    </row>
    <row r="196" ht="14.25" customHeight="1">
      <c r="A196" s="5">
        <v>41401.0</v>
      </c>
      <c r="B196" s="5" t="s">
        <v>279</v>
      </c>
      <c r="C196" s="5" t="s">
        <v>237</v>
      </c>
      <c r="D196" s="5" t="s">
        <v>280</v>
      </c>
      <c r="E196" s="5">
        <v>1.796038533E7</v>
      </c>
      <c r="F196" s="5">
        <v>1.927924757036968E7</v>
      </c>
      <c r="G196" s="5">
        <v>2.228462659E7</v>
      </c>
      <c r="H196" s="5">
        <f t="shared" si="5"/>
        <v>19841419.83</v>
      </c>
      <c r="I196" s="5">
        <v>306532.98</v>
      </c>
      <c r="J196" s="5">
        <v>441226.26</v>
      </c>
      <c r="K196" s="5">
        <v>793007.0700000001</v>
      </c>
      <c r="L196" s="5">
        <f t="shared" si="6"/>
        <v>513588.77</v>
      </c>
      <c r="M196" s="5">
        <v>1.604538081999999E7</v>
      </c>
      <c r="N196" s="5">
        <v>1.8941791E7</v>
      </c>
      <c r="O196" s="5">
        <v>1.758851512E7</v>
      </c>
      <c r="P196" s="5">
        <f t="shared" si="11"/>
        <v>17525228.98</v>
      </c>
      <c r="Q196" s="5">
        <v>1146563.24</v>
      </c>
      <c r="R196" s="5">
        <v>1035899.29</v>
      </c>
      <c r="S196" s="5">
        <v>1068713.76</v>
      </c>
      <c r="T196" s="5">
        <f t="shared" si="12"/>
        <v>1083725.43</v>
      </c>
      <c r="U196" s="6">
        <v>2.588467833437353</v>
      </c>
      <c r="V196" s="6">
        <v>6.183801827849213</v>
      </c>
      <c r="W196" s="4"/>
      <c r="X196" s="4"/>
      <c r="Y196" s="4"/>
      <c r="Z196" s="4"/>
    </row>
    <row r="197" ht="14.25" customHeight="1">
      <c r="A197" s="5">
        <v>41501.0</v>
      </c>
      <c r="B197" s="5" t="s">
        <v>281</v>
      </c>
      <c r="C197" s="5" t="s">
        <v>237</v>
      </c>
      <c r="D197" s="5" t="s">
        <v>282</v>
      </c>
      <c r="E197" s="5">
        <v>662952.8200000001</v>
      </c>
      <c r="F197" s="5">
        <v>819358.829616986</v>
      </c>
      <c r="G197" s="5">
        <v>1343501.14</v>
      </c>
      <c r="H197" s="5">
        <f t="shared" si="5"/>
        <v>941937.5965</v>
      </c>
      <c r="I197" s="5">
        <v>0.0</v>
      </c>
      <c r="J197" s="5">
        <v>1836.0</v>
      </c>
      <c r="K197" s="5">
        <v>339497.1</v>
      </c>
      <c r="L197" s="5">
        <f t="shared" si="6"/>
        <v>113777.7</v>
      </c>
      <c r="M197" s="5">
        <v>1886567.34</v>
      </c>
      <c r="N197" s="5">
        <v>2094442.68</v>
      </c>
      <c r="O197" s="5">
        <v>2059359.95</v>
      </c>
      <c r="P197" s="5">
        <f t="shared" si="11"/>
        <v>2013456.657</v>
      </c>
      <c r="Q197" s="5">
        <v>1316204.03</v>
      </c>
      <c r="R197" s="5">
        <v>1408849.42</v>
      </c>
      <c r="S197" s="5">
        <v>1426881.11</v>
      </c>
      <c r="T197" s="5">
        <f t="shared" si="12"/>
        <v>1383978.187</v>
      </c>
      <c r="U197" s="6">
        <v>12.079112291308748</v>
      </c>
      <c r="V197" s="6">
        <v>68.73642807677227</v>
      </c>
      <c r="W197" s="4"/>
      <c r="X197" s="4"/>
      <c r="Y197" s="4"/>
      <c r="Z197" s="4"/>
    </row>
    <row r="198" ht="14.25" customHeight="1">
      <c r="A198" s="5">
        <v>41502.0</v>
      </c>
      <c r="B198" s="5" t="s">
        <v>283</v>
      </c>
      <c r="C198" s="5" t="s">
        <v>237</v>
      </c>
      <c r="D198" s="5" t="s">
        <v>282</v>
      </c>
      <c r="E198" s="5">
        <v>668176.9600000001</v>
      </c>
      <c r="F198" s="5">
        <v>819230.6587214835</v>
      </c>
      <c r="G198" s="5">
        <v>1017057.06</v>
      </c>
      <c r="H198" s="5">
        <f t="shared" si="5"/>
        <v>834821.5596</v>
      </c>
      <c r="I198" s="5">
        <v>2000.0</v>
      </c>
      <c r="J198" s="5">
        <v>2000.0</v>
      </c>
      <c r="K198" s="5">
        <v>14614.38</v>
      </c>
      <c r="L198" s="5">
        <f t="shared" si="6"/>
        <v>6204.793333</v>
      </c>
      <c r="M198" s="5">
        <v>1319768.959999999</v>
      </c>
      <c r="N198" s="5">
        <v>1107104.18</v>
      </c>
      <c r="O198" s="5">
        <v>988099.65</v>
      </c>
      <c r="P198" s="5">
        <f t="shared" si="11"/>
        <v>1138324.263</v>
      </c>
      <c r="Q198" s="5">
        <v>504877.53</v>
      </c>
      <c r="R198" s="5">
        <v>127630.68</v>
      </c>
      <c r="S198" s="5">
        <v>84489.11</v>
      </c>
      <c r="T198" s="5">
        <f t="shared" si="12"/>
        <v>238999.1067</v>
      </c>
      <c r="U198" s="6">
        <v>0.7432478548470702</v>
      </c>
      <c r="V198" s="6">
        <v>20.995696425446486</v>
      </c>
      <c r="W198" s="4"/>
      <c r="X198" s="4"/>
      <c r="Y198" s="4"/>
      <c r="Z198" s="4"/>
    </row>
    <row r="199" ht="14.25" customHeight="1">
      <c r="A199" s="5">
        <v>41503.0</v>
      </c>
      <c r="B199" s="5" t="s">
        <v>284</v>
      </c>
      <c r="C199" s="5" t="s">
        <v>237</v>
      </c>
      <c r="D199" s="5" t="s">
        <v>282</v>
      </c>
      <c r="E199" s="5">
        <v>931882.39</v>
      </c>
      <c r="F199" s="5">
        <v>814550.2276967452</v>
      </c>
      <c r="G199" s="5">
        <v>1119994.85</v>
      </c>
      <c r="H199" s="5">
        <f t="shared" si="5"/>
        <v>955475.8226</v>
      </c>
      <c r="I199" s="5">
        <v>316586.18</v>
      </c>
      <c r="J199" s="5">
        <v>63632.06</v>
      </c>
      <c r="K199" s="5">
        <v>199984.39</v>
      </c>
      <c r="L199" s="5">
        <f t="shared" si="6"/>
        <v>193400.8767</v>
      </c>
      <c r="M199" s="5">
        <v>2040571.619999999</v>
      </c>
      <c r="N199" s="5">
        <v>2662500.17</v>
      </c>
      <c r="O199" s="5">
        <v>2537302.75</v>
      </c>
      <c r="P199" s="5">
        <f t="shared" si="11"/>
        <v>2413458.18</v>
      </c>
      <c r="Q199" s="5">
        <v>1098929.11</v>
      </c>
      <c r="R199" s="5">
        <v>1530694.07</v>
      </c>
      <c r="S199" s="5">
        <v>1493151.11</v>
      </c>
      <c r="T199" s="5">
        <f t="shared" si="12"/>
        <v>1374258.097</v>
      </c>
      <c r="U199" s="6">
        <v>20.241315593665067</v>
      </c>
      <c r="V199" s="6">
        <v>56.94145057308044</v>
      </c>
      <c r="W199" s="4"/>
      <c r="X199" s="4"/>
      <c r="Y199" s="4"/>
      <c r="Z199" s="4"/>
    </row>
    <row r="200" ht="14.25" customHeight="1">
      <c r="A200" s="5">
        <v>41601.0</v>
      </c>
      <c r="B200" s="5" t="s">
        <v>285</v>
      </c>
      <c r="C200" s="5" t="s">
        <v>237</v>
      </c>
      <c r="D200" s="5" t="s">
        <v>286</v>
      </c>
      <c r="E200" s="5">
        <v>1.006136323E7</v>
      </c>
      <c r="F200" s="5">
        <v>1.229603299744025E7</v>
      </c>
      <c r="G200" s="5">
        <v>1.506713884E7</v>
      </c>
      <c r="H200" s="5">
        <f t="shared" si="5"/>
        <v>12474845.02</v>
      </c>
      <c r="I200" s="5">
        <v>45538.0</v>
      </c>
      <c r="J200" s="5">
        <v>29177.5</v>
      </c>
      <c r="K200" s="5">
        <v>28427.1</v>
      </c>
      <c r="L200" s="5">
        <f t="shared" si="6"/>
        <v>34380.86667</v>
      </c>
      <c r="M200" s="5">
        <v>6349303.289999994</v>
      </c>
      <c r="N200" s="5">
        <v>7619546.310000001</v>
      </c>
      <c r="O200" s="5">
        <v>7009907.359999999</v>
      </c>
      <c r="P200" s="5">
        <f t="shared" si="11"/>
        <v>6992918.987</v>
      </c>
      <c r="Q200" s="5">
        <v>178347.13</v>
      </c>
      <c r="R200" s="5">
        <v>203019.12</v>
      </c>
      <c r="S200" s="5">
        <v>167517.51</v>
      </c>
      <c r="T200" s="5">
        <f t="shared" si="12"/>
        <v>182961.2533</v>
      </c>
      <c r="U200" s="6">
        <v>0.27560155340375936</v>
      </c>
      <c r="V200" s="6">
        <v>2.6163788495502933</v>
      </c>
      <c r="W200" s="4"/>
      <c r="X200" s="4"/>
      <c r="Y200" s="4"/>
      <c r="Z200" s="4"/>
    </row>
    <row r="201" ht="14.25" customHeight="1">
      <c r="A201" s="5">
        <v>50101.0</v>
      </c>
      <c r="B201" s="5" t="s">
        <v>287</v>
      </c>
      <c r="C201" s="5" t="s">
        <v>288</v>
      </c>
      <c r="D201" s="5" t="s">
        <v>289</v>
      </c>
      <c r="E201" s="5">
        <v>2.6057518143E8</v>
      </c>
      <c r="F201" s="5">
        <v>2.989190170957677E8</v>
      </c>
      <c r="G201" s="5">
        <v>3.4415362796E8</v>
      </c>
      <c r="H201" s="5">
        <f t="shared" si="5"/>
        <v>301215942.2</v>
      </c>
      <c r="I201" s="5">
        <v>8.638538457000001E7</v>
      </c>
      <c r="J201" s="5">
        <v>8.592499956E7</v>
      </c>
      <c r="K201" s="5">
        <v>8.573552538E7</v>
      </c>
      <c r="L201" s="5">
        <f t="shared" si="6"/>
        <v>86015303.17</v>
      </c>
      <c r="M201" s="5">
        <v>3.091537960799999E8</v>
      </c>
      <c r="N201" s="5">
        <v>3.6438206867E8</v>
      </c>
      <c r="O201" s="5">
        <v>3.4385218666E8</v>
      </c>
      <c r="P201" s="5">
        <f t="shared" si="11"/>
        <v>339129350.5</v>
      </c>
      <c r="Q201" s="5">
        <v>1.2584885127E8</v>
      </c>
      <c r="R201" s="5">
        <v>1.4768760137E8</v>
      </c>
      <c r="S201" s="5">
        <v>1.3831362187E8</v>
      </c>
      <c r="T201" s="5">
        <f t="shared" si="12"/>
        <v>137283358.2</v>
      </c>
      <c r="U201" s="6">
        <v>28.556026136146993</v>
      </c>
      <c r="V201" s="6">
        <v>40.48111966119674</v>
      </c>
      <c r="W201" s="4"/>
      <c r="X201" s="4"/>
      <c r="Y201" s="4"/>
      <c r="Z201" s="4"/>
    </row>
    <row r="202" ht="14.25" customHeight="1">
      <c r="A202" s="5">
        <v>50102.0</v>
      </c>
      <c r="B202" s="5" t="s">
        <v>290</v>
      </c>
      <c r="C202" s="5" t="s">
        <v>288</v>
      </c>
      <c r="D202" s="5" t="s">
        <v>289</v>
      </c>
      <c r="E202" s="5">
        <v>3.105711201E7</v>
      </c>
      <c r="F202" s="5">
        <v>3.368164914711773E7</v>
      </c>
      <c r="G202" s="5">
        <v>4.095862449999999E7</v>
      </c>
      <c r="H202" s="5">
        <f t="shared" si="5"/>
        <v>35232461.89</v>
      </c>
      <c r="I202" s="5">
        <v>2649143.85</v>
      </c>
      <c r="J202" s="5">
        <v>67349.87000000001</v>
      </c>
      <c r="K202" s="5">
        <v>475228.77</v>
      </c>
      <c r="L202" s="5">
        <f t="shared" si="6"/>
        <v>1063907.497</v>
      </c>
      <c r="M202" s="5">
        <v>2.627782789999998E7</v>
      </c>
      <c r="N202" s="5">
        <v>3.19602704E7</v>
      </c>
      <c r="O202" s="5">
        <v>3.062608946E7</v>
      </c>
      <c r="P202" s="5">
        <f t="shared" si="11"/>
        <v>29621395.92</v>
      </c>
      <c r="Q202" s="5">
        <v>215372.03</v>
      </c>
      <c r="R202" s="5">
        <v>1150373.48</v>
      </c>
      <c r="S202" s="5">
        <v>1402378.32</v>
      </c>
      <c r="T202" s="5">
        <f t="shared" si="12"/>
        <v>922707.9433</v>
      </c>
      <c r="U202" s="6">
        <v>3.0196796923189253</v>
      </c>
      <c r="V202" s="6">
        <v>3.115004930305572</v>
      </c>
      <c r="W202" s="4"/>
      <c r="X202" s="4"/>
      <c r="Y202" s="4"/>
      <c r="Z202" s="4"/>
    </row>
    <row r="203" ht="14.25" customHeight="1">
      <c r="A203" s="5">
        <v>50103.0</v>
      </c>
      <c r="B203" s="5" t="s">
        <v>291</v>
      </c>
      <c r="C203" s="5" t="s">
        <v>288</v>
      </c>
      <c r="D203" s="5" t="s">
        <v>289</v>
      </c>
      <c r="E203" s="5">
        <v>9989066.730000002</v>
      </c>
      <c r="F203" s="5">
        <v>1.21493542927762E7</v>
      </c>
      <c r="G203" s="5">
        <v>1.480946509E7</v>
      </c>
      <c r="H203" s="5">
        <f t="shared" si="5"/>
        <v>12315962.04</v>
      </c>
      <c r="I203" s="5">
        <v>82671.14</v>
      </c>
      <c r="J203" s="5">
        <v>159026.07</v>
      </c>
      <c r="K203" s="5">
        <v>294731.47</v>
      </c>
      <c r="L203" s="5">
        <f t="shared" si="6"/>
        <v>178809.56</v>
      </c>
      <c r="M203" s="5">
        <v>8839487.189999994</v>
      </c>
      <c r="N203" s="5">
        <v>1.041760041E7</v>
      </c>
      <c r="O203" s="5">
        <v>1.002166131E7</v>
      </c>
      <c r="P203" s="5">
        <f t="shared" si="11"/>
        <v>9759582.97</v>
      </c>
      <c r="Q203" s="5">
        <v>236388.11</v>
      </c>
      <c r="R203" s="5">
        <v>247322.12</v>
      </c>
      <c r="S203" s="5">
        <v>374999.4299999999</v>
      </c>
      <c r="T203" s="5">
        <f t="shared" si="12"/>
        <v>286236.5533</v>
      </c>
      <c r="U203" s="6">
        <v>1.4518521529558042</v>
      </c>
      <c r="V203" s="6">
        <v>2.932876888420298</v>
      </c>
      <c r="W203" s="4"/>
      <c r="X203" s="4"/>
      <c r="Y203" s="4"/>
      <c r="Z203" s="4"/>
    </row>
    <row r="204" ht="14.25" customHeight="1">
      <c r="A204" s="5">
        <v>50104.0</v>
      </c>
      <c r="B204" s="5" t="s">
        <v>292</v>
      </c>
      <c r="C204" s="5" t="s">
        <v>288</v>
      </c>
      <c r="D204" s="5" t="s">
        <v>289</v>
      </c>
      <c r="E204" s="5">
        <v>3671690.29</v>
      </c>
      <c r="F204" s="5">
        <v>3221895.856062644</v>
      </c>
      <c r="G204" s="5">
        <v>3712383.94</v>
      </c>
      <c r="H204" s="5">
        <f t="shared" si="5"/>
        <v>3535323.362</v>
      </c>
      <c r="I204" s="5">
        <v>1112205.44</v>
      </c>
      <c r="J204" s="5">
        <v>156651.08</v>
      </c>
      <c r="K204" s="5">
        <v>10489.78</v>
      </c>
      <c r="L204" s="5">
        <f t="shared" si="6"/>
        <v>426448.7667</v>
      </c>
      <c r="M204" s="5">
        <v>2656749.469999997</v>
      </c>
      <c r="N204" s="5">
        <v>3264189.77</v>
      </c>
      <c r="O204" s="5">
        <v>3022280.06</v>
      </c>
      <c r="P204" s="5">
        <f t="shared" si="11"/>
        <v>2981073.1</v>
      </c>
      <c r="Q204" s="5">
        <v>13652.5</v>
      </c>
      <c r="R204" s="5">
        <v>139541.52</v>
      </c>
      <c r="S204" s="5">
        <v>58525.01</v>
      </c>
      <c r="T204" s="5">
        <f t="shared" si="12"/>
        <v>70573.01</v>
      </c>
      <c r="U204" s="6">
        <v>12.062510921855182</v>
      </c>
      <c r="V204" s="6">
        <v>2.3673693207992788</v>
      </c>
      <c r="W204" s="4"/>
      <c r="X204" s="4"/>
      <c r="Y204" s="4"/>
      <c r="Z204" s="4"/>
    </row>
    <row r="205" ht="14.25" customHeight="1">
      <c r="A205" s="5">
        <v>50201.0</v>
      </c>
      <c r="B205" s="5" t="s">
        <v>293</v>
      </c>
      <c r="C205" s="5" t="s">
        <v>288</v>
      </c>
      <c r="D205" s="5" t="s">
        <v>294</v>
      </c>
      <c r="E205" s="5">
        <v>2.5034391E7</v>
      </c>
      <c r="F205" s="5">
        <v>2.998624047773783E7</v>
      </c>
      <c r="G205" s="5">
        <v>3.603493691E7</v>
      </c>
      <c r="H205" s="5">
        <f t="shared" si="5"/>
        <v>30351856.13</v>
      </c>
      <c r="I205" s="5">
        <v>1080979.32</v>
      </c>
      <c r="J205" s="5">
        <v>1238578.84</v>
      </c>
      <c r="K205" s="5">
        <v>1301047.87</v>
      </c>
      <c r="L205" s="5">
        <f t="shared" si="6"/>
        <v>1206868.677</v>
      </c>
      <c r="M205" s="5">
        <v>2.308553399999999E7</v>
      </c>
      <c r="N205" s="5">
        <v>2.684923843E7</v>
      </c>
      <c r="O205" s="5">
        <v>2.557748067E7</v>
      </c>
      <c r="P205" s="5">
        <f t="shared" si="11"/>
        <v>25170751.03</v>
      </c>
      <c r="Q205" s="5">
        <v>1986552.59</v>
      </c>
      <c r="R205" s="5">
        <v>1906924.11</v>
      </c>
      <c r="S205" s="5">
        <v>1919277.41</v>
      </c>
      <c r="T205" s="5">
        <f t="shared" si="12"/>
        <v>1937584.703</v>
      </c>
      <c r="U205" s="6">
        <v>3.9762598752692826</v>
      </c>
      <c r="V205" s="6">
        <v>7.697762775403136</v>
      </c>
      <c r="W205" s="4"/>
      <c r="X205" s="4"/>
      <c r="Y205" s="4"/>
      <c r="Z205" s="4"/>
    </row>
    <row r="206" ht="14.25" customHeight="1">
      <c r="A206" s="5">
        <v>50202.0</v>
      </c>
      <c r="B206" s="5" t="s">
        <v>295</v>
      </c>
      <c r="C206" s="5" t="s">
        <v>288</v>
      </c>
      <c r="D206" s="5" t="s">
        <v>294</v>
      </c>
      <c r="E206" s="5">
        <v>2.110831975E7</v>
      </c>
      <c r="F206" s="5">
        <v>2.370851520243448E7</v>
      </c>
      <c r="G206" s="5">
        <v>2.668538968E7</v>
      </c>
      <c r="H206" s="5">
        <f t="shared" si="5"/>
        <v>23834074.88</v>
      </c>
      <c r="I206" s="5">
        <v>3123590.31</v>
      </c>
      <c r="J206" s="5">
        <v>2206533.6</v>
      </c>
      <c r="K206" s="5">
        <v>728360.05</v>
      </c>
      <c r="L206" s="5">
        <f t="shared" si="6"/>
        <v>2019494.653</v>
      </c>
      <c r="M206" s="5">
        <v>1.594074647E7</v>
      </c>
      <c r="N206" s="5">
        <v>1.873288798E7</v>
      </c>
      <c r="O206" s="5">
        <v>1.755118493E7</v>
      </c>
      <c r="P206" s="5">
        <f t="shared" si="11"/>
        <v>17408273.13</v>
      </c>
      <c r="Q206" s="5">
        <v>486519.09</v>
      </c>
      <c r="R206" s="5">
        <v>463532.69</v>
      </c>
      <c r="S206" s="5">
        <v>222403.09</v>
      </c>
      <c r="T206" s="5">
        <f t="shared" si="12"/>
        <v>390818.29</v>
      </c>
      <c r="U206" s="6">
        <v>8.473140508766464</v>
      </c>
      <c r="V206" s="6">
        <v>2.2450146959225346</v>
      </c>
      <c r="W206" s="4"/>
      <c r="X206" s="4"/>
      <c r="Y206" s="4"/>
      <c r="Z206" s="4"/>
    </row>
    <row r="207" ht="14.25" customHeight="1">
      <c r="A207" s="5">
        <v>50203.0</v>
      </c>
      <c r="B207" s="5" t="s">
        <v>296</v>
      </c>
      <c r="C207" s="5" t="s">
        <v>288</v>
      </c>
      <c r="D207" s="5" t="s">
        <v>294</v>
      </c>
      <c r="E207" s="5">
        <v>5.467024538E7</v>
      </c>
      <c r="F207" s="5">
        <v>6.507799672832406E7</v>
      </c>
      <c r="G207" s="5">
        <v>8.254754247E7</v>
      </c>
      <c r="H207" s="5">
        <f t="shared" si="5"/>
        <v>67431928.19</v>
      </c>
      <c r="I207" s="5">
        <v>1.025216114E7</v>
      </c>
      <c r="J207" s="5">
        <v>1.10206561E7</v>
      </c>
      <c r="K207" s="5">
        <v>1.702991497E7</v>
      </c>
      <c r="L207" s="5">
        <f t="shared" si="6"/>
        <v>12767577.4</v>
      </c>
      <c r="M207" s="5">
        <v>5.014951155999995E7</v>
      </c>
      <c r="N207" s="5">
        <v>5.601951545E7</v>
      </c>
      <c r="O207" s="5">
        <v>5.425071589000001E7</v>
      </c>
      <c r="P207" s="5">
        <f t="shared" si="11"/>
        <v>53473247.63</v>
      </c>
      <c r="Q207" s="5">
        <v>1.076424656E7</v>
      </c>
      <c r="R207" s="5">
        <v>9460028.889999999</v>
      </c>
      <c r="S207" s="5">
        <v>1.008823612E7</v>
      </c>
      <c r="T207" s="5">
        <f t="shared" si="12"/>
        <v>10104170.52</v>
      </c>
      <c r="U207" s="6">
        <v>18.93402390457133</v>
      </c>
      <c r="V207" s="6">
        <v>18.895748753877353</v>
      </c>
      <c r="W207" s="4"/>
      <c r="X207" s="4"/>
      <c r="Y207" s="4"/>
      <c r="Z207" s="4"/>
    </row>
    <row r="208" ht="14.25" customHeight="1">
      <c r="A208" s="5">
        <v>50204.0</v>
      </c>
      <c r="B208" s="5" t="s">
        <v>297</v>
      </c>
      <c r="C208" s="5" t="s">
        <v>288</v>
      </c>
      <c r="D208" s="5" t="s">
        <v>294</v>
      </c>
      <c r="E208" s="5">
        <v>1.112565665E7</v>
      </c>
      <c r="F208" s="5">
        <v>9806383.959933154</v>
      </c>
      <c r="G208" s="5">
        <v>1.193236585E7</v>
      </c>
      <c r="H208" s="5">
        <f t="shared" si="5"/>
        <v>10954802.15</v>
      </c>
      <c r="I208" s="5">
        <v>2981693.0</v>
      </c>
      <c r="J208" s="5">
        <v>32734.0</v>
      </c>
      <c r="K208" s="5">
        <v>123511.6</v>
      </c>
      <c r="L208" s="5">
        <f t="shared" si="6"/>
        <v>1045979.533</v>
      </c>
      <c r="M208" s="5">
        <v>7897548.119999994</v>
      </c>
      <c r="N208" s="5">
        <v>9189017.92</v>
      </c>
      <c r="O208" s="5">
        <v>8820536.879999999</v>
      </c>
      <c r="P208" s="5">
        <f t="shared" si="11"/>
        <v>8635700.973</v>
      </c>
      <c r="Q208" s="5">
        <v>214320.64</v>
      </c>
      <c r="R208" s="5">
        <v>106168.13</v>
      </c>
      <c r="S208" s="5">
        <v>205320.26</v>
      </c>
      <c r="T208" s="5">
        <f t="shared" si="12"/>
        <v>175269.6767</v>
      </c>
      <c r="U208" s="6">
        <v>9.54813714291672</v>
      </c>
      <c r="V208" s="6">
        <v>2.029594090947473</v>
      </c>
      <c r="W208" s="4"/>
      <c r="X208" s="4"/>
      <c r="Y208" s="4"/>
      <c r="Z208" s="4"/>
    </row>
    <row r="209" ht="14.25" customHeight="1">
      <c r="A209" s="5">
        <v>50301.0</v>
      </c>
      <c r="B209" s="5" t="s">
        <v>298</v>
      </c>
      <c r="C209" s="5" t="s">
        <v>288</v>
      </c>
      <c r="D209" s="5" t="s">
        <v>299</v>
      </c>
      <c r="E209" s="5">
        <v>4.691504832E7</v>
      </c>
      <c r="F209" s="5">
        <v>5.626067085243788E7</v>
      </c>
      <c r="G209" s="5">
        <v>6.820066311E7</v>
      </c>
      <c r="H209" s="5">
        <f t="shared" si="5"/>
        <v>57125460.76</v>
      </c>
      <c r="I209" s="5">
        <v>561076.53</v>
      </c>
      <c r="J209" s="5">
        <v>652865.5900000001</v>
      </c>
      <c r="K209" s="5">
        <v>1020079.67</v>
      </c>
      <c r="L209" s="5">
        <f t="shared" si="6"/>
        <v>744673.93</v>
      </c>
      <c r="M209" s="5">
        <v>3.453390526999998E7</v>
      </c>
      <c r="N209" s="5">
        <v>3.990237794E7</v>
      </c>
      <c r="O209" s="5">
        <v>3.778490944000001E7</v>
      </c>
      <c r="P209" s="5">
        <f t="shared" si="11"/>
        <v>37407064.22</v>
      </c>
      <c r="Q209" s="5">
        <v>2030430.65</v>
      </c>
      <c r="R209" s="5">
        <v>1478215.4</v>
      </c>
      <c r="S209" s="5">
        <v>1338930.73</v>
      </c>
      <c r="T209" s="5">
        <f t="shared" si="12"/>
        <v>1615858.927</v>
      </c>
      <c r="U209" s="6">
        <v>1.3035762339283177</v>
      </c>
      <c r="V209" s="6">
        <v>4.319662503604661</v>
      </c>
      <c r="W209" s="4"/>
      <c r="X209" s="4"/>
      <c r="Y209" s="4"/>
      <c r="Z209" s="4"/>
    </row>
    <row r="210" ht="14.25" customHeight="1">
      <c r="A210" s="5">
        <v>50302.0</v>
      </c>
      <c r="B210" s="5" t="s">
        <v>300</v>
      </c>
      <c r="C210" s="5" t="s">
        <v>288</v>
      </c>
      <c r="D210" s="5" t="s">
        <v>299</v>
      </c>
      <c r="E210" s="5">
        <v>1.210161419E7</v>
      </c>
      <c r="F210" s="5">
        <v>1.55052460456704E7</v>
      </c>
      <c r="G210" s="5">
        <v>1.787436016E7</v>
      </c>
      <c r="H210" s="5">
        <f t="shared" si="5"/>
        <v>15160406.8</v>
      </c>
      <c r="I210" s="5">
        <v>15889.71</v>
      </c>
      <c r="J210" s="5">
        <v>980683.71</v>
      </c>
      <c r="K210" s="5">
        <v>319815.37</v>
      </c>
      <c r="L210" s="5">
        <f t="shared" si="6"/>
        <v>438796.2633</v>
      </c>
      <c r="M210" s="5">
        <v>9625033.419999994</v>
      </c>
      <c r="N210" s="5">
        <v>1.137373484E7</v>
      </c>
      <c r="O210" s="5">
        <v>1.088402995E7</v>
      </c>
      <c r="P210" s="5">
        <f t="shared" si="11"/>
        <v>10627599.4</v>
      </c>
      <c r="Q210" s="5">
        <v>129850.17</v>
      </c>
      <c r="R210" s="5">
        <v>148877.22</v>
      </c>
      <c r="S210" s="5">
        <v>237080.42</v>
      </c>
      <c r="T210" s="5">
        <f t="shared" si="12"/>
        <v>171935.9367</v>
      </c>
      <c r="U210" s="6">
        <v>2.8943567884676074</v>
      </c>
      <c r="V210" s="6">
        <v>1.6178247800038383</v>
      </c>
      <c r="W210" s="4"/>
      <c r="X210" s="4"/>
      <c r="Y210" s="4"/>
      <c r="Z210" s="4"/>
    </row>
    <row r="211" ht="14.25" customHeight="1">
      <c r="A211" s="5">
        <v>50303.0</v>
      </c>
      <c r="B211" s="5" t="s">
        <v>301</v>
      </c>
      <c r="C211" s="5" t="s">
        <v>288</v>
      </c>
      <c r="D211" s="5" t="s">
        <v>299</v>
      </c>
      <c r="E211" s="5">
        <v>1.701261408E7</v>
      </c>
      <c r="F211" s="5">
        <v>1.994018963603413E7</v>
      </c>
      <c r="G211" s="5">
        <v>2.402895989E7</v>
      </c>
      <c r="H211" s="5">
        <f t="shared" si="5"/>
        <v>20327254.54</v>
      </c>
      <c r="I211" s="5">
        <v>210634.9300000001</v>
      </c>
      <c r="J211" s="5">
        <v>141026.02</v>
      </c>
      <c r="K211" s="5">
        <v>206441.71</v>
      </c>
      <c r="L211" s="5">
        <f t="shared" si="6"/>
        <v>186034.22</v>
      </c>
      <c r="M211" s="5">
        <v>1.237212629999999E7</v>
      </c>
      <c r="N211" s="5">
        <v>1.396565445E7</v>
      </c>
      <c r="O211" s="5">
        <v>1.334043856E7</v>
      </c>
      <c r="P211" s="5">
        <f t="shared" si="11"/>
        <v>13226073.1</v>
      </c>
      <c r="Q211" s="5">
        <v>1032408.99</v>
      </c>
      <c r="R211" s="5">
        <v>560276.38</v>
      </c>
      <c r="S211" s="5">
        <v>625226.16</v>
      </c>
      <c r="T211" s="5">
        <f t="shared" si="12"/>
        <v>739303.8433</v>
      </c>
      <c r="U211" s="6">
        <v>0.9151959979471238</v>
      </c>
      <c r="V211" s="6">
        <v>5.589745630144814</v>
      </c>
      <c r="W211" s="4"/>
      <c r="X211" s="4"/>
      <c r="Y211" s="4"/>
      <c r="Z211" s="4"/>
    </row>
    <row r="212" ht="14.25" customHeight="1">
      <c r="A212" s="5">
        <v>50401.0</v>
      </c>
      <c r="B212" s="5" t="s">
        <v>302</v>
      </c>
      <c r="C212" s="5" t="s">
        <v>288</v>
      </c>
      <c r="D212" s="5" t="s">
        <v>303</v>
      </c>
      <c r="E212" s="5">
        <v>3.932320403000001E7</v>
      </c>
      <c r="F212" s="5">
        <v>4.702861769615749E7</v>
      </c>
      <c r="G212" s="5">
        <v>5.658673649E7</v>
      </c>
      <c r="H212" s="5">
        <f t="shared" si="5"/>
        <v>47646186.07</v>
      </c>
      <c r="I212" s="5">
        <v>58171.0</v>
      </c>
      <c r="J212" s="5">
        <v>649833.5</v>
      </c>
      <c r="K212" s="5">
        <v>765430.5700000001</v>
      </c>
      <c r="L212" s="5">
        <f t="shared" si="6"/>
        <v>491145.0233</v>
      </c>
      <c r="M212" s="5">
        <v>2.573795109999998E7</v>
      </c>
      <c r="N212" s="5">
        <v>2.316441924E7</v>
      </c>
      <c r="O212" s="5">
        <v>1.967448306E7</v>
      </c>
      <c r="P212" s="5">
        <f t="shared" si="11"/>
        <v>22858951.13</v>
      </c>
      <c r="Q212" s="5">
        <v>2878529.060000001</v>
      </c>
      <c r="R212" s="5">
        <v>5879413.679999999</v>
      </c>
      <c r="S212" s="5">
        <v>3279374.45</v>
      </c>
      <c r="T212" s="5">
        <f t="shared" si="12"/>
        <v>4012439.063</v>
      </c>
      <c r="U212" s="6">
        <v>1.0308170786022701</v>
      </c>
      <c r="V212" s="6">
        <v>17.55303224513361</v>
      </c>
      <c r="W212" s="4"/>
      <c r="X212" s="4"/>
      <c r="Y212" s="4"/>
      <c r="Z212" s="4"/>
    </row>
    <row r="213" ht="14.25" customHeight="1">
      <c r="A213" s="5">
        <v>50402.0</v>
      </c>
      <c r="B213" s="5" t="s">
        <v>304</v>
      </c>
      <c r="C213" s="5" t="s">
        <v>288</v>
      </c>
      <c r="D213" s="5" t="s">
        <v>303</v>
      </c>
      <c r="E213" s="5">
        <v>3.222901372E7</v>
      </c>
      <c r="F213" s="5">
        <v>3.596502653369503E7</v>
      </c>
      <c r="G213" s="5">
        <v>4.348950765E7</v>
      </c>
      <c r="H213" s="5">
        <f t="shared" si="5"/>
        <v>37227849.3</v>
      </c>
      <c r="I213" s="5">
        <v>2698475.59</v>
      </c>
      <c r="J213" s="5">
        <v>631763.0</v>
      </c>
      <c r="K213" s="5">
        <v>792923.97</v>
      </c>
      <c r="L213" s="5">
        <f t="shared" si="6"/>
        <v>1374387.52</v>
      </c>
      <c r="M213" s="5">
        <v>2.052608025999996E7</v>
      </c>
      <c r="N213" s="5">
        <v>2.418573144E7</v>
      </c>
      <c r="O213" s="5">
        <v>2.308521379E7</v>
      </c>
      <c r="P213" s="5">
        <f t="shared" si="11"/>
        <v>22599008.5</v>
      </c>
      <c r="Q213" s="5">
        <v>202655.24</v>
      </c>
      <c r="R213" s="5">
        <v>157536.38</v>
      </c>
      <c r="S213" s="5">
        <v>294069.01</v>
      </c>
      <c r="T213" s="5">
        <f t="shared" si="12"/>
        <v>218086.8767</v>
      </c>
      <c r="U213" s="6">
        <v>3.6918262693045993</v>
      </c>
      <c r="V213" s="6">
        <v>0.9650285175070156</v>
      </c>
      <c r="W213" s="4"/>
      <c r="X213" s="4"/>
      <c r="Y213" s="4"/>
      <c r="Z213" s="4"/>
    </row>
    <row r="214" ht="14.25" customHeight="1">
      <c r="A214" s="5">
        <v>50403.0</v>
      </c>
      <c r="B214" s="5" t="s">
        <v>305</v>
      </c>
      <c r="C214" s="5" t="s">
        <v>288</v>
      </c>
      <c r="D214" s="5" t="s">
        <v>303</v>
      </c>
      <c r="E214" s="5">
        <v>2.744177113E7</v>
      </c>
      <c r="F214" s="5">
        <v>3.311550905773438E7</v>
      </c>
      <c r="G214" s="5">
        <v>4.023049376E7</v>
      </c>
      <c r="H214" s="5">
        <f t="shared" si="5"/>
        <v>33595924.65</v>
      </c>
      <c r="I214" s="5">
        <v>321252.71</v>
      </c>
      <c r="J214" s="5">
        <v>38871.28</v>
      </c>
      <c r="K214" s="5">
        <v>45044.0</v>
      </c>
      <c r="L214" s="5">
        <f t="shared" si="6"/>
        <v>135055.9967</v>
      </c>
      <c r="M214" s="5">
        <v>2.548735280999997E7</v>
      </c>
      <c r="N214" s="5">
        <v>2.998789775E7</v>
      </c>
      <c r="O214" s="5">
        <v>2.8531297E7</v>
      </c>
      <c r="P214" s="5">
        <f t="shared" si="11"/>
        <v>28002182.52</v>
      </c>
      <c r="Q214" s="5">
        <v>258530.38</v>
      </c>
      <c r="R214" s="5">
        <v>163482.48</v>
      </c>
      <c r="S214" s="5">
        <v>242332.98</v>
      </c>
      <c r="T214" s="5">
        <f t="shared" si="12"/>
        <v>221448.6133</v>
      </c>
      <c r="U214" s="6">
        <v>0.40200112982960456</v>
      </c>
      <c r="V214" s="6">
        <v>0.7908262621142768</v>
      </c>
      <c r="W214" s="4"/>
      <c r="X214" s="4"/>
      <c r="Y214" s="4"/>
      <c r="Z214" s="4"/>
    </row>
    <row r="215" ht="14.25" customHeight="1">
      <c r="A215" s="5">
        <v>50404.0</v>
      </c>
      <c r="B215" s="5" t="s">
        <v>306</v>
      </c>
      <c r="C215" s="5" t="s">
        <v>288</v>
      </c>
      <c r="D215" s="5" t="s">
        <v>303</v>
      </c>
      <c r="E215" s="5">
        <v>2.118443869E7</v>
      </c>
      <c r="F215" s="5">
        <v>2.527368003137276E7</v>
      </c>
      <c r="G215" s="5">
        <v>2.973917438E7</v>
      </c>
      <c r="H215" s="5">
        <f t="shared" si="5"/>
        <v>25399097.7</v>
      </c>
      <c r="I215" s="5">
        <v>54254.23</v>
      </c>
      <c r="J215" s="5">
        <v>549593.33</v>
      </c>
      <c r="K215" s="5">
        <v>74715.01000000001</v>
      </c>
      <c r="L215" s="5">
        <f t="shared" si="6"/>
        <v>226187.5233</v>
      </c>
      <c r="M215" s="5">
        <v>1.566205446E7</v>
      </c>
      <c r="N215" s="5">
        <v>1.869663423E7</v>
      </c>
      <c r="O215" s="5">
        <v>1.752467367E7</v>
      </c>
      <c r="P215" s="5">
        <f t="shared" si="11"/>
        <v>17294454.12</v>
      </c>
      <c r="Q215" s="5">
        <v>218367.84</v>
      </c>
      <c r="R215" s="5">
        <v>439739.48</v>
      </c>
      <c r="S215" s="5">
        <v>207710.65</v>
      </c>
      <c r="T215" s="5">
        <f t="shared" si="12"/>
        <v>288605.99</v>
      </c>
      <c r="U215" s="6">
        <v>0.8905336953338242</v>
      </c>
      <c r="V215" s="6">
        <v>1.668777678656214</v>
      </c>
      <c r="W215" s="4"/>
      <c r="X215" s="4"/>
      <c r="Y215" s="4"/>
      <c r="Z215" s="4"/>
    </row>
    <row r="216" ht="14.25" customHeight="1">
      <c r="A216" s="5">
        <v>50405.0</v>
      </c>
      <c r="B216" s="5" t="s">
        <v>307</v>
      </c>
      <c r="C216" s="5" t="s">
        <v>288</v>
      </c>
      <c r="D216" s="5" t="s">
        <v>303</v>
      </c>
      <c r="E216" s="5">
        <v>0.0</v>
      </c>
      <c r="F216" s="5">
        <v>0.0</v>
      </c>
      <c r="G216" s="5">
        <v>0.0</v>
      </c>
      <c r="H216" s="5">
        <f t="shared" si="5"/>
        <v>0</v>
      </c>
      <c r="I216" s="5">
        <v>0.0</v>
      </c>
      <c r="J216" s="5">
        <v>0.0</v>
      </c>
      <c r="K216" s="5">
        <v>0.0</v>
      </c>
      <c r="L216" s="5">
        <f t="shared" si="6"/>
        <v>0</v>
      </c>
      <c r="M216" s="5">
        <v>1.086733708999998E7</v>
      </c>
      <c r="N216" s="5">
        <v>2.264590409E7</v>
      </c>
      <c r="O216" s="5">
        <v>2.158260981E7</v>
      </c>
      <c r="P216" s="5">
        <f t="shared" si="11"/>
        <v>18365283.66</v>
      </c>
      <c r="Q216" s="5">
        <v>0.0</v>
      </c>
      <c r="R216" s="5">
        <v>60817.59</v>
      </c>
      <c r="S216" s="5">
        <v>160279.0</v>
      </c>
      <c r="T216" s="5">
        <f t="shared" si="12"/>
        <v>73698.86333</v>
      </c>
      <c r="U216" s="6">
        <v>0.0</v>
      </c>
      <c r="V216" s="6">
        <v>0.40129444600125974</v>
      </c>
      <c r="W216" s="4"/>
      <c r="X216" s="4"/>
      <c r="Y216" s="4"/>
      <c r="Z216" s="4"/>
    </row>
    <row r="217" ht="14.25" customHeight="1">
      <c r="A217" s="5">
        <v>50501.0</v>
      </c>
      <c r="B217" s="5" t="s">
        <v>308</v>
      </c>
      <c r="C217" s="5" t="s">
        <v>288</v>
      </c>
      <c r="D217" s="5" t="s">
        <v>309</v>
      </c>
      <c r="E217" s="5">
        <v>3.687303104899999E7</v>
      </c>
      <c r="F217" s="5">
        <v>4.211168492361612E7</v>
      </c>
      <c r="G217" s="5">
        <v>5.229118295999999E7</v>
      </c>
      <c r="H217" s="5">
        <f t="shared" si="5"/>
        <v>43758632.98</v>
      </c>
      <c r="I217" s="5">
        <v>649989.79</v>
      </c>
      <c r="J217" s="5">
        <v>163948.83</v>
      </c>
      <c r="K217" s="5">
        <v>2101208.220000001</v>
      </c>
      <c r="L217" s="5">
        <f t="shared" si="6"/>
        <v>971715.6133</v>
      </c>
      <c r="M217" s="5">
        <v>2.969150127999997E7</v>
      </c>
      <c r="N217" s="5">
        <v>3.465395896E7</v>
      </c>
      <c r="O217" s="5">
        <v>3.29616973E7</v>
      </c>
      <c r="P217" s="5">
        <f t="shared" si="11"/>
        <v>32435719.18</v>
      </c>
      <c r="Q217" s="5">
        <v>934587.8300000001</v>
      </c>
      <c r="R217" s="5">
        <v>658802.46</v>
      </c>
      <c r="S217" s="5">
        <v>716710.5100000001</v>
      </c>
      <c r="T217" s="5">
        <f t="shared" si="12"/>
        <v>770033.6</v>
      </c>
      <c r="U217" s="6">
        <v>2.220626073561565</v>
      </c>
      <c r="V217" s="6">
        <v>2.374029679214902</v>
      </c>
      <c r="W217" s="4"/>
      <c r="X217" s="4"/>
      <c r="Y217" s="4"/>
      <c r="Z217" s="4"/>
    </row>
    <row r="218" ht="14.25" customHeight="1">
      <c r="A218" s="5">
        <v>50502.0</v>
      </c>
      <c r="B218" s="5" t="s">
        <v>310</v>
      </c>
      <c r="C218" s="5" t="s">
        <v>288</v>
      </c>
      <c r="D218" s="5" t="s">
        <v>309</v>
      </c>
      <c r="E218" s="5">
        <v>1.400403119E7</v>
      </c>
      <c r="F218" s="5">
        <v>1.66758014237796E7</v>
      </c>
      <c r="G218" s="5">
        <v>1.998221935E7</v>
      </c>
      <c r="H218" s="5">
        <f t="shared" si="5"/>
        <v>16887350.65</v>
      </c>
      <c r="I218" s="5">
        <v>347776.45</v>
      </c>
      <c r="J218" s="5">
        <v>481883.34</v>
      </c>
      <c r="K218" s="5">
        <v>469368.5</v>
      </c>
      <c r="L218" s="5">
        <f t="shared" si="6"/>
        <v>433009.43</v>
      </c>
      <c r="M218" s="5">
        <v>1.089412160999999E7</v>
      </c>
      <c r="N218" s="5">
        <v>1.29180054E7</v>
      </c>
      <c r="O218" s="5">
        <v>1.245747652E7</v>
      </c>
      <c r="P218" s="5">
        <f t="shared" si="11"/>
        <v>12089867.84</v>
      </c>
      <c r="Q218" s="5">
        <v>479066.7200000001</v>
      </c>
      <c r="R218" s="5">
        <v>605719.3300000001</v>
      </c>
      <c r="S218" s="5">
        <v>779081.5299999999</v>
      </c>
      <c r="T218" s="5">
        <f t="shared" si="12"/>
        <v>621289.1933</v>
      </c>
      <c r="U218" s="6">
        <v>2.564105162832191</v>
      </c>
      <c r="V218" s="6">
        <v>5.13892460516786</v>
      </c>
      <c r="W218" s="4"/>
      <c r="X218" s="4"/>
      <c r="Y218" s="4"/>
      <c r="Z218" s="4"/>
    </row>
    <row r="219" ht="14.25" customHeight="1">
      <c r="A219" s="5">
        <v>50601.0</v>
      </c>
      <c r="B219" s="5" t="s">
        <v>311</v>
      </c>
      <c r="C219" s="5" t="s">
        <v>288</v>
      </c>
      <c r="D219" s="5" t="s">
        <v>312</v>
      </c>
      <c r="E219" s="5">
        <v>3.106472580999999E7</v>
      </c>
      <c r="F219" s="5">
        <v>3.710463829051833E7</v>
      </c>
      <c r="G219" s="5">
        <v>4.514040607E7</v>
      </c>
      <c r="H219" s="5">
        <f t="shared" si="5"/>
        <v>37769923.39</v>
      </c>
      <c r="I219" s="5">
        <v>1066616.76</v>
      </c>
      <c r="J219" s="5">
        <v>999860.01</v>
      </c>
      <c r="K219" s="5">
        <v>1489524.87</v>
      </c>
      <c r="L219" s="5">
        <f t="shared" si="6"/>
        <v>1185333.88</v>
      </c>
      <c r="M219" s="5">
        <v>3.255008707999998E7</v>
      </c>
      <c r="N219" s="5">
        <v>3.800617552E7</v>
      </c>
      <c r="O219" s="5">
        <v>3.635355431E7</v>
      </c>
      <c r="P219" s="5">
        <f t="shared" si="11"/>
        <v>35636605.64</v>
      </c>
      <c r="Q219" s="5">
        <v>2078953.93</v>
      </c>
      <c r="R219" s="5">
        <v>1984550.27</v>
      </c>
      <c r="S219" s="5">
        <v>2186425.32</v>
      </c>
      <c r="T219" s="5">
        <f t="shared" si="12"/>
        <v>2083309.84</v>
      </c>
      <c r="U219" s="6">
        <v>3.138300990857737</v>
      </c>
      <c r="V219" s="6">
        <v>5.845982811158853</v>
      </c>
      <c r="W219" s="4"/>
      <c r="X219" s="4"/>
      <c r="Y219" s="4"/>
      <c r="Z219" s="4"/>
    </row>
    <row r="220" ht="14.25" customHeight="1">
      <c r="A220" s="5">
        <v>50602.0</v>
      </c>
      <c r="B220" s="5" t="s">
        <v>313</v>
      </c>
      <c r="C220" s="5" t="s">
        <v>288</v>
      </c>
      <c r="D220" s="5" t="s">
        <v>312</v>
      </c>
      <c r="E220" s="5">
        <v>1.429153582E7</v>
      </c>
      <c r="F220" s="5">
        <v>1.718797939678077E7</v>
      </c>
      <c r="G220" s="5">
        <v>2.063763434E7</v>
      </c>
      <c r="H220" s="5">
        <f t="shared" si="5"/>
        <v>17372383.19</v>
      </c>
      <c r="I220" s="5">
        <v>114988.25</v>
      </c>
      <c r="J220" s="5">
        <v>159294.21</v>
      </c>
      <c r="K220" s="5">
        <v>58945.14999999999</v>
      </c>
      <c r="L220" s="5">
        <f t="shared" si="6"/>
        <v>111075.87</v>
      </c>
      <c r="M220" s="5">
        <v>1.034159298999999E7</v>
      </c>
      <c r="N220" s="5">
        <v>1.218030503E7</v>
      </c>
      <c r="O220" s="5">
        <v>1.148681746E7</v>
      </c>
      <c r="P220" s="5">
        <f t="shared" si="11"/>
        <v>11336238.49</v>
      </c>
      <c r="Q220" s="5">
        <v>141175.3</v>
      </c>
      <c r="R220" s="5">
        <v>121752.74</v>
      </c>
      <c r="S220" s="5">
        <v>49093.5</v>
      </c>
      <c r="T220" s="5">
        <f t="shared" si="12"/>
        <v>104007.18</v>
      </c>
      <c r="U220" s="6">
        <v>0.6393818787747668</v>
      </c>
      <c r="V220" s="6">
        <v>0.917475228323443</v>
      </c>
      <c r="W220" s="4"/>
      <c r="X220" s="4"/>
      <c r="Y220" s="4"/>
      <c r="Z220" s="4"/>
    </row>
    <row r="221" ht="14.25" customHeight="1">
      <c r="A221" s="5">
        <v>50701.0</v>
      </c>
      <c r="B221" s="5" t="s">
        <v>314</v>
      </c>
      <c r="C221" s="5" t="s">
        <v>288</v>
      </c>
      <c r="D221" s="5" t="s">
        <v>315</v>
      </c>
      <c r="E221" s="5">
        <v>2.431345594E7</v>
      </c>
      <c r="F221" s="5">
        <v>2.89652042510144E7</v>
      </c>
      <c r="G221" s="5">
        <v>3.510428901E7</v>
      </c>
      <c r="H221" s="5">
        <f t="shared" si="5"/>
        <v>29460983.07</v>
      </c>
      <c r="I221" s="5">
        <v>194554.11</v>
      </c>
      <c r="J221" s="5">
        <v>292697.42</v>
      </c>
      <c r="K221" s="5">
        <v>535716.7700000001</v>
      </c>
      <c r="L221" s="5">
        <f t="shared" si="6"/>
        <v>340989.4333</v>
      </c>
      <c r="M221" s="5">
        <v>1.893551874999999E7</v>
      </c>
      <c r="N221" s="5">
        <v>2.241443293E7</v>
      </c>
      <c r="O221" s="5">
        <v>2.126432654E7</v>
      </c>
      <c r="P221" s="5">
        <f t="shared" si="11"/>
        <v>20871426.07</v>
      </c>
      <c r="Q221" s="5">
        <v>144840.26</v>
      </c>
      <c r="R221" s="5">
        <v>200884.27</v>
      </c>
      <c r="S221" s="5">
        <v>194406.0</v>
      </c>
      <c r="T221" s="5">
        <f t="shared" si="12"/>
        <v>180043.51</v>
      </c>
      <c r="U221" s="6">
        <v>1.1574272065456932</v>
      </c>
      <c r="V221" s="6">
        <v>0.8626315679982937</v>
      </c>
      <c r="W221" s="4"/>
      <c r="X221" s="4"/>
      <c r="Y221" s="4"/>
      <c r="Z221" s="4"/>
    </row>
    <row r="222" ht="14.25" customHeight="1">
      <c r="A222" s="5">
        <v>50702.0</v>
      </c>
      <c r="B222" s="5" t="s">
        <v>316</v>
      </c>
      <c r="C222" s="5" t="s">
        <v>288</v>
      </c>
      <c r="D222" s="5" t="s">
        <v>315</v>
      </c>
      <c r="E222" s="5">
        <v>1.170321119E7</v>
      </c>
      <c r="F222" s="5">
        <v>1.38867495214702E7</v>
      </c>
      <c r="G222" s="5">
        <v>1.674096265E7</v>
      </c>
      <c r="H222" s="5">
        <f t="shared" si="5"/>
        <v>14110307.79</v>
      </c>
      <c r="I222" s="5">
        <v>85852.0</v>
      </c>
      <c r="J222" s="5">
        <v>69768.90000000001</v>
      </c>
      <c r="K222" s="5">
        <v>80933.5</v>
      </c>
      <c r="L222" s="5">
        <f t="shared" si="6"/>
        <v>78851.46667</v>
      </c>
      <c r="M222" s="5">
        <v>8437939.479999995</v>
      </c>
      <c r="N222" s="5">
        <v>1.003355796E7</v>
      </c>
      <c r="O222" s="5">
        <v>9484577.569999998</v>
      </c>
      <c r="P222" s="5">
        <f t="shared" si="11"/>
        <v>9318691.67</v>
      </c>
      <c r="Q222" s="5">
        <v>98345.47</v>
      </c>
      <c r="R222" s="5">
        <v>174782.68</v>
      </c>
      <c r="S222" s="5">
        <v>133381.85</v>
      </c>
      <c r="T222" s="5">
        <f t="shared" si="12"/>
        <v>135503.3333</v>
      </c>
      <c r="U222" s="6">
        <v>0.5588217341257264</v>
      </c>
      <c r="V222" s="6">
        <v>1.4541025514296615</v>
      </c>
      <c r="W222" s="4"/>
      <c r="X222" s="4"/>
      <c r="Y222" s="4"/>
      <c r="Z222" s="4"/>
    </row>
    <row r="223" ht="14.25" customHeight="1">
      <c r="A223" s="5">
        <v>50801.0</v>
      </c>
      <c r="B223" s="5" t="s">
        <v>317</v>
      </c>
      <c r="C223" s="5" t="s">
        <v>288</v>
      </c>
      <c r="D223" s="5" t="s">
        <v>318</v>
      </c>
      <c r="E223" s="5">
        <v>5.347497173999999E7</v>
      </c>
      <c r="F223" s="5">
        <v>6.116856633622522E7</v>
      </c>
      <c r="G223" s="5">
        <v>7.756564880000001E7</v>
      </c>
      <c r="H223" s="5">
        <f t="shared" si="5"/>
        <v>64069728.96</v>
      </c>
      <c r="I223" s="5">
        <v>7183283.52</v>
      </c>
      <c r="J223" s="5">
        <v>4692714.140000001</v>
      </c>
      <c r="K223" s="5">
        <v>9079661.53</v>
      </c>
      <c r="L223" s="5">
        <f t="shared" si="6"/>
        <v>6985219.73</v>
      </c>
      <c r="M223" s="5">
        <v>5.413482557999995E7</v>
      </c>
      <c r="N223" s="5">
        <v>6.284863991999999E7</v>
      </c>
      <c r="O223" s="5">
        <v>6.138587293E7</v>
      </c>
      <c r="P223" s="5">
        <f t="shared" si="11"/>
        <v>59456446.14</v>
      </c>
      <c r="Q223" s="5">
        <v>1.119464037E7</v>
      </c>
      <c r="R223" s="5">
        <v>1.208669598E7</v>
      </c>
      <c r="S223" s="5">
        <v>1.323728679E7</v>
      </c>
      <c r="T223" s="5">
        <f t="shared" si="12"/>
        <v>12172874.38</v>
      </c>
      <c r="U223" s="6">
        <v>10.902527361241363</v>
      </c>
      <c r="V223" s="6">
        <v>20.47359902853008</v>
      </c>
      <c r="W223" s="4"/>
      <c r="X223" s="4"/>
      <c r="Y223" s="4"/>
      <c r="Z223" s="4"/>
    </row>
    <row r="224" ht="14.25" customHeight="1">
      <c r="A224" s="5">
        <v>50802.0</v>
      </c>
      <c r="B224" s="5" t="s">
        <v>319</v>
      </c>
      <c r="C224" s="5" t="s">
        <v>288</v>
      </c>
      <c r="D224" s="5" t="s">
        <v>318</v>
      </c>
      <c r="E224" s="5">
        <v>2.328380955E7</v>
      </c>
      <c r="F224" s="5">
        <v>2.783840384976938E7</v>
      </c>
      <c r="G224" s="5">
        <v>2.711188484E7</v>
      </c>
      <c r="H224" s="5">
        <f t="shared" si="5"/>
        <v>26078032.75</v>
      </c>
      <c r="I224" s="5">
        <v>1.175631948E7</v>
      </c>
      <c r="J224" s="5">
        <v>1.378151833E7</v>
      </c>
      <c r="K224" s="5">
        <v>1.006734398E7</v>
      </c>
      <c r="L224" s="5">
        <f t="shared" si="6"/>
        <v>11868393.93</v>
      </c>
      <c r="M224" s="5">
        <v>1.915399321999999E7</v>
      </c>
      <c r="N224" s="5">
        <v>2.154906073E7</v>
      </c>
      <c r="O224" s="5">
        <v>2.148670747E7</v>
      </c>
      <c r="P224" s="5">
        <f t="shared" si="11"/>
        <v>20729920.47</v>
      </c>
      <c r="Q224" s="5">
        <v>8390153.6</v>
      </c>
      <c r="R224" s="5">
        <v>8824458.33</v>
      </c>
      <c r="S224" s="5">
        <v>9417222.799999999</v>
      </c>
      <c r="T224" s="5">
        <f t="shared" si="12"/>
        <v>8877278.243</v>
      </c>
      <c r="U224" s="6">
        <v>45.51107840583575</v>
      </c>
      <c r="V224" s="6">
        <v>42.82350361523545</v>
      </c>
      <c r="W224" s="4"/>
      <c r="X224" s="4"/>
      <c r="Y224" s="4"/>
      <c r="Z224" s="4"/>
    </row>
    <row r="225" ht="14.25" customHeight="1">
      <c r="A225" s="5">
        <v>50901.0</v>
      </c>
      <c r="B225" s="5" t="s">
        <v>320</v>
      </c>
      <c r="C225" s="5" t="s">
        <v>288</v>
      </c>
      <c r="D225" s="5" t="s">
        <v>321</v>
      </c>
      <c r="E225" s="5">
        <v>7.410761351E7</v>
      </c>
      <c r="F225" s="5">
        <v>5.967698036872858E7</v>
      </c>
      <c r="G225" s="5">
        <v>6.671684167000001E7</v>
      </c>
      <c r="H225" s="5">
        <f t="shared" si="5"/>
        <v>66833811.85</v>
      </c>
      <c r="I225" s="5">
        <v>6.218464562000001E7</v>
      </c>
      <c r="J225" s="5">
        <v>4.526920661E7</v>
      </c>
      <c r="K225" s="5">
        <v>4.928202718000001E7</v>
      </c>
      <c r="L225" s="5">
        <f t="shared" si="6"/>
        <v>52245293.14</v>
      </c>
      <c r="M225" s="5">
        <v>8.165663024999999E7</v>
      </c>
      <c r="N225" s="5">
        <v>7.68832626E7</v>
      </c>
      <c r="O225" s="5">
        <v>6.509468951E7</v>
      </c>
      <c r="P225" s="5">
        <f t="shared" si="11"/>
        <v>74544860.79</v>
      </c>
      <c r="Q225" s="5">
        <v>6.920348469E7</v>
      </c>
      <c r="R225" s="5">
        <v>6.216164309E7</v>
      </c>
      <c r="S225" s="5">
        <v>5.113099855E7</v>
      </c>
      <c r="T225" s="5">
        <f t="shared" si="12"/>
        <v>60832042.11</v>
      </c>
      <c r="U225" s="6">
        <v>78.17194873495454</v>
      </c>
      <c r="V225" s="6">
        <v>81.60460891340296</v>
      </c>
      <c r="W225" s="4"/>
      <c r="X225" s="4"/>
      <c r="Y225" s="4"/>
      <c r="Z225" s="4"/>
    </row>
    <row r="226" ht="14.25" customHeight="1">
      <c r="A226" s="5">
        <v>50902.0</v>
      </c>
      <c r="B226" s="5" t="s">
        <v>322</v>
      </c>
      <c r="C226" s="5" t="s">
        <v>288</v>
      </c>
      <c r="D226" s="5" t="s">
        <v>321</v>
      </c>
      <c r="E226" s="5">
        <v>1002165.63</v>
      </c>
      <c r="F226" s="5">
        <v>1213433.172638537</v>
      </c>
      <c r="G226" s="5">
        <v>4158196.799999999</v>
      </c>
      <c r="H226" s="5">
        <f t="shared" si="5"/>
        <v>2124598.534</v>
      </c>
      <c r="I226" s="5">
        <v>0.0</v>
      </c>
      <c r="J226" s="5">
        <v>124.04</v>
      </c>
      <c r="K226" s="5">
        <v>2689200.39</v>
      </c>
      <c r="L226" s="5">
        <f t="shared" si="6"/>
        <v>896441.4767</v>
      </c>
      <c r="M226" s="5">
        <v>1127447.609999999</v>
      </c>
      <c r="N226" s="5">
        <v>1217921.53</v>
      </c>
      <c r="O226" s="5">
        <v>1254764.13</v>
      </c>
      <c r="P226" s="5">
        <f t="shared" si="11"/>
        <v>1200044.423</v>
      </c>
      <c r="Q226" s="5">
        <v>112332.0</v>
      </c>
      <c r="R226" s="5">
        <v>17795.4</v>
      </c>
      <c r="S226" s="5">
        <v>116452.75</v>
      </c>
      <c r="T226" s="5">
        <f t="shared" si="12"/>
        <v>82193.38333</v>
      </c>
      <c r="U226" s="6">
        <v>42.19345265616474</v>
      </c>
      <c r="V226" s="6">
        <v>6.849195057715185</v>
      </c>
      <c r="W226" s="4"/>
      <c r="X226" s="4"/>
      <c r="Y226" s="4"/>
      <c r="Z226" s="4"/>
    </row>
    <row r="227" ht="14.25" customHeight="1">
      <c r="A227" s="5">
        <v>51001.0</v>
      </c>
      <c r="B227" s="5" t="s">
        <v>323</v>
      </c>
      <c r="C227" s="5" t="s">
        <v>288</v>
      </c>
      <c r="D227" s="5" t="s">
        <v>324</v>
      </c>
      <c r="E227" s="5">
        <v>3184484.24</v>
      </c>
      <c r="F227" s="5">
        <v>6575583.559132155</v>
      </c>
      <c r="G227" s="5">
        <v>7968890.189999999</v>
      </c>
      <c r="H227" s="5">
        <f t="shared" si="5"/>
        <v>5909652.663</v>
      </c>
      <c r="I227" s="5">
        <v>0.0</v>
      </c>
      <c r="J227" s="5">
        <v>2759639.03</v>
      </c>
      <c r="K227" s="5">
        <v>3359821.55</v>
      </c>
      <c r="L227" s="5">
        <f t="shared" si="6"/>
        <v>2039820.193</v>
      </c>
      <c r="M227" s="5">
        <v>3618852.659999997</v>
      </c>
      <c r="N227" s="5">
        <v>4253925.279999999</v>
      </c>
      <c r="O227" s="5">
        <v>4303148.28</v>
      </c>
      <c r="P227" s="5">
        <f t="shared" si="11"/>
        <v>4058642.073</v>
      </c>
      <c r="Q227" s="5">
        <v>389337.2299999999</v>
      </c>
      <c r="R227" s="5">
        <v>436040.99</v>
      </c>
      <c r="S227" s="5">
        <v>681846.27</v>
      </c>
      <c r="T227" s="5">
        <f t="shared" si="12"/>
        <v>502408.1633</v>
      </c>
      <c r="U227" s="6">
        <v>34.51675266956596</v>
      </c>
      <c r="V227" s="6">
        <v>12.378725550457554</v>
      </c>
      <c r="W227" s="4"/>
      <c r="X227" s="4"/>
      <c r="Y227" s="4"/>
      <c r="Z227" s="4"/>
    </row>
    <row r="228" ht="14.25" customHeight="1">
      <c r="A228" s="5">
        <v>51002.0</v>
      </c>
      <c r="B228" s="5" t="s">
        <v>325</v>
      </c>
      <c r="C228" s="5" t="s">
        <v>288</v>
      </c>
      <c r="D228" s="5" t="s">
        <v>324</v>
      </c>
      <c r="E228" s="5">
        <v>3774902.77</v>
      </c>
      <c r="F228" s="5">
        <v>1069490.363867632</v>
      </c>
      <c r="G228" s="5">
        <v>1426510.34</v>
      </c>
      <c r="H228" s="5">
        <f t="shared" si="5"/>
        <v>2090301.158</v>
      </c>
      <c r="I228" s="5">
        <v>2889473.91</v>
      </c>
      <c r="J228" s="5">
        <v>0.0</v>
      </c>
      <c r="K228" s="5">
        <v>132292.14</v>
      </c>
      <c r="L228" s="5">
        <f t="shared" si="6"/>
        <v>1007255.35</v>
      </c>
      <c r="M228" s="5">
        <v>1210877.959999999</v>
      </c>
      <c r="N228" s="5">
        <v>1498720.04</v>
      </c>
      <c r="O228" s="5">
        <v>1385757.32</v>
      </c>
      <c r="P228" s="5">
        <f t="shared" si="11"/>
        <v>1365118.44</v>
      </c>
      <c r="Q228" s="5">
        <v>80778.39000000001</v>
      </c>
      <c r="R228" s="5">
        <v>162665.3</v>
      </c>
      <c r="S228" s="5">
        <v>118514.96</v>
      </c>
      <c r="T228" s="5">
        <f t="shared" si="12"/>
        <v>120652.8833</v>
      </c>
      <c r="U228" s="6">
        <v>48.18709237978911</v>
      </c>
      <c r="V228" s="6">
        <v>8.838272181960516</v>
      </c>
      <c r="W228" s="4"/>
      <c r="X228" s="4"/>
      <c r="Y228" s="4"/>
      <c r="Z228" s="4"/>
    </row>
    <row r="229" ht="14.25" customHeight="1">
      <c r="A229" s="5">
        <v>51003.0</v>
      </c>
      <c r="B229" s="5" t="s">
        <v>326</v>
      </c>
      <c r="C229" s="5" t="s">
        <v>288</v>
      </c>
      <c r="D229" s="5" t="s">
        <v>324</v>
      </c>
      <c r="E229" s="5">
        <v>4724431.4</v>
      </c>
      <c r="F229" s="5">
        <v>2532198.782680774</v>
      </c>
      <c r="G229" s="5">
        <v>3126021.91</v>
      </c>
      <c r="H229" s="5">
        <f t="shared" si="5"/>
        <v>3460884.031</v>
      </c>
      <c r="I229" s="5">
        <v>2612165.76</v>
      </c>
      <c r="J229" s="5">
        <v>5717.49</v>
      </c>
      <c r="K229" s="5">
        <v>75622.55</v>
      </c>
      <c r="L229" s="5">
        <f t="shared" si="6"/>
        <v>897835.2667</v>
      </c>
      <c r="M229" s="5">
        <v>2236199.539999998</v>
      </c>
      <c r="N229" s="5">
        <v>2629461.31</v>
      </c>
      <c r="O229" s="5">
        <v>2629306.48</v>
      </c>
      <c r="P229" s="5">
        <f t="shared" si="11"/>
        <v>2498322.443</v>
      </c>
      <c r="Q229" s="5">
        <v>48247.75999999999</v>
      </c>
      <c r="R229" s="5">
        <v>42863.94</v>
      </c>
      <c r="S229" s="5">
        <v>175902.22</v>
      </c>
      <c r="T229" s="5">
        <f t="shared" si="12"/>
        <v>89004.64</v>
      </c>
      <c r="U229" s="6">
        <v>25.94236786474604</v>
      </c>
      <c r="V229" s="6">
        <v>3.5625761693613684</v>
      </c>
      <c r="W229" s="4"/>
      <c r="X229" s="4"/>
      <c r="Y229" s="4"/>
      <c r="Z229" s="4"/>
    </row>
    <row r="230" ht="14.25" customHeight="1">
      <c r="A230" s="5">
        <v>51101.0</v>
      </c>
      <c r="B230" s="5" t="s">
        <v>327</v>
      </c>
      <c r="C230" s="5" t="s">
        <v>288</v>
      </c>
      <c r="D230" s="5" t="s">
        <v>328</v>
      </c>
      <c r="E230" s="5">
        <v>2.935273517E7</v>
      </c>
      <c r="F230" s="5">
        <v>3.546218346905679E7</v>
      </c>
      <c r="G230" s="5">
        <v>4.371511433999999E7</v>
      </c>
      <c r="H230" s="5">
        <f t="shared" si="5"/>
        <v>36176677.66</v>
      </c>
      <c r="I230" s="5">
        <v>207746.09</v>
      </c>
      <c r="J230" s="5">
        <v>530392.57</v>
      </c>
      <c r="K230" s="5">
        <v>1522055.9</v>
      </c>
      <c r="L230" s="5">
        <f t="shared" si="6"/>
        <v>753398.1867</v>
      </c>
      <c r="M230" s="5">
        <v>2.403993581999999E7</v>
      </c>
      <c r="N230" s="5">
        <v>2.524498043E7</v>
      </c>
      <c r="O230" s="5">
        <v>2.408961782E7</v>
      </c>
      <c r="P230" s="5">
        <f t="shared" si="11"/>
        <v>24458178.02</v>
      </c>
      <c r="Q230" s="5">
        <v>3039649.03</v>
      </c>
      <c r="R230" s="5">
        <v>419338.16</v>
      </c>
      <c r="S230" s="5">
        <v>542079.56</v>
      </c>
      <c r="T230" s="5">
        <f t="shared" si="12"/>
        <v>1333688.917</v>
      </c>
      <c r="U230" s="6">
        <v>2.082552172849845</v>
      </c>
      <c r="V230" s="6">
        <v>5.452936499989145</v>
      </c>
      <c r="W230" s="4"/>
      <c r="X230" s="4"/>
      <c r="Y230" s="4"/>
      <c r="Z230" s="4"/>
    </row>
    <row r="231" ht="14.25" customHeight="1">
      <c r="A231" s="5">
        <v>51102.0</v>
      </c>
      <c r="B231" s="5" t="s">
        <v>329</v>
      </c>
      <c r="C231" s="5" t="s">
        <v>288</v>
      </c>
      <c r="D231" s="5" t="s">
        <v>328</v>
      </c>
      <c r="E231" s="5">
        <v>1.382541226E7</v>
      </c>
      <c r="F231" s="5">
        <v>1.909424791413375E7</v>
      </c>
      <c r="G231" s="5">
        <v>2.052898319E7</v>
      </c>
      <c r="H231" s="5">
        <f t="shared" si="5"/>
        <v>17816214.45</v>
      </c>
      <c r="I231" s="5">
        <v>296457.36</v>
      </c>
      <c r="J231" s="5">
        <v>2763904.49</v>
      </c>
      <c r="K231" s="5">
        <v>772585.6299999999</v>
      </c>
      <c r="L231" s="5">
        <f t="shared" si="6"/>
        <v>1277649.16</v>
      </c>
      <c r="M231" s="5">
        <v>1.264471393999998E7</v>
      </c>
      <c r="N231" s="5">
        <v>1.470608906E7</v>
      </c>
      <c r="O231" s="5">
        <v>1.441979399E7</v>
      </c>
      <c r="P231" s="5">
        <f t="shared" si="11"/>
        <v>13923532.33</v>
      </c>
      <c r="Q231" s="5">
        <v>1082693.91</v>
      </c>
      <c r="R231" s="5">
        <v>1037915.34</v>
      </c>
      <c r="S231" s="5">
        <v>1455315.34</v>
      </c>
      <c r="T231" s="5">
        <f t="shared" si="12"/>
        <v>1191974.863</v>
      </c>
      <c r="U231" s="6">
        <v>7.171271783059074</v>
      </c>
      <c r="V231" s="6">
        <v>8.560865411753843</v>
      </c>
      <c r="W231" s="4"/>
      <c r="X231" s="4"/>
      <c r="Y231" s="4"/>
      <c r="Z231" s="4"/>
    </row>
    <row r="232" ht="14.25" customHeight="1">
      <c r="A232" s="5">
        <v>51103.0</v>
      </c>
      <c r="B232" s="5" t="s">
        <v>330</v>
      </c>
      <c r="C232" s="5" t="s">
        <v>288</v>
      </c>
      <c r="D232" s="5" t="s">
        <v>328</v>
      </c>
      <c r="E232" s="5">
        <v>2.184990332E7</v>
      </c>
      <c r="F232" s="5">
        <v>2.595754896335875E7</v>
      </c>
      <c r="G232" s="5">
        <v>3.138016822E7</v>
      </c>
      <c r="H232" s="5">
        <f t="shared" si="5"/>
        <v>26395873.5</v>
      </c>
      <c r="I232" s="5">
        <v>548551.97</v>
      </c>
      <c r="J232" s="5">
        <v>424741.77</v>
      </c>
      <c r="K232" s="5">
        <v>539264.86</v>
      </c>
      <c r="L232" s="5">
        <f t="shared" si="6"/>
        <v>504186.2</v>
      </c>
      <c r="M232" s="5">
        <v>1.522764916999999E7</v>
      </c>
      <c r="N232" s="5">
        <v>1.797117598E7</v>
      </c>
      <c r="O232" s="5">
        <v>1.703395941E7</v>
      </c>
      <c r="P232" s="5">
        <f t="shared" si="11"/>
        <v>16744261.52</v>
      </c>
      <c r="Q232" s="5">
        <v>77171.36000000002</v>
      </c>
      <c r="R232" s="5">
        <v>60898.84</v>
      </c>
      <c r="S232" s="5">
        <v>45769.44</v>
      </c>
      <c r="T232" s="5">
        <f t="shared" si="12"/>
        <v>61279.88</v>
      </c>
      <c r="U232" s="6">
        <v>1.910094772876582</v>
      </c>
      <c r="V232" s="6">
        <v>0.36597541149727586</v>
      </c>
      <c r="W232" s="4"/>
      <c r="X232" s="4"/>
      <c r="Y232" s="4"/>
      <c r="Z232" s="4"/>
    </row>
    <row r="233" ht="14.25" customHeight="1">
      <c r="A233" s="5">
        <v>51201.0</v>
      </c>
      <c r="B233" s="5" t="s">
        <v>331</v>
      </c>
      <c r="C233" s="5" t="s">
        <v>288</v>
      </c>
      <c r="D233" s="5" t="s">
        <v>332</v>
      </c>
      <c r="E233" s="5">
        <v>2.523914183E7</v>
      </c>
      <c r="F233" s="5">
        <v>3.107145407763321E7</v>
      </c>
      <c r="G233" s="5">
        <v>3.808653756E7</v>
      </c>
      <c r="H233" s="5">
        <f t="shared" si="5"/>
        <v>31465711.16</v>
      </c>
      <c r="I233" s="5">
        <v>2453115.07</v>
      </c>
      <c r="J233" s="5">
        <v>3372353.1</v>
      </c>
      <c r="K233" s="5">
        <v>4523614.97</v>
      </c>
      <c r="L233" s="5">
        <f t="shared" si="6"/>
        <v>3449694.38</v>
      </c>
      <c r="M233" s="5">
        <v>3.414798930999997E7</v>
      </c>
      <c r="N233" s="5">
        <v>4.398819003E7</v>
      </c>
      <c r="O233" s="5">
        <v>4.014065565E7</v>
      </c>
      <c r="P233" s="5">
        <f t="shared" si="11"/>
        <v>39425611.66</v>
      </c>
      <c r="Q233" s="5">
        <v>5716863.73</v>
      </c>
      <c r="R233" s="5">
        <v>1.037816444E7</v>
      </c>
      <c r="S233" s="5">
        <v>8260972.320000001</v>
      </c>
      <c r="T233" s="5">
        <f t="shared" si="12"/>
        <v>8118666.83</v>
      </c>
      <c r="U233" s="6">
        <v>10.963344711678648</v>
      </c>
      <c r="V233" s="6">
        <v>20.592367467441317</v>
      </c>
      <c r="W233" s="4"/>
      <c r="X233" s="4"/>
      <c r="Y233" s="4"/>
      <c r="Z233" s="4"/>
    </row>
    <row r="234" ht="14.25" customHeight="1">
      <c r="A234" s="5">
        <v>51202.0</v>
      </c>
      <c r="B234" s="5" t="s">
        <v>333</v>
      </c>
      <c r="C234" s="5" t="s">
        <v>288</v>
      </c>
      <c r="D234" s="5" t="s">
        <v>332</v>
      </c>
      <c r="E234" s="5">
        <v>1.627147178E7</v>
      </c>
      <c r="F234" s="5">
        <v>1.972134080242048E7</v>
      </c>
      <c r="G234" s="5">
        <v>2.443248038E7</v>
      </c>
      <c r="H234" s="5">
        <f t="shared" si="5"/>
        <v>20141764.32</v>
      </c>
      <c r="I234" s="5">
        <v>279545.26</v>
      </c>
      <c r="J234" s="5">
        <v>500420.4399999999</v>
      </c>
      <c r="K234" s="5">
        <v>1201392.3</v>
      </c>
      <c r="L234" s="5">
        <f t="shared" si="6"/>
        <v>660452.6667</v>
      </c>
      <c r="M234" s="5">
        <v>1.616960859999999E7</v>
      </c>
      <c r="N234" s="5">
        <v>1.557013011E7</v>
      </c>
      <c r="O234" s="5">
        <v>1.008807864E7</v>
      </c>
      <c r="P234" s="5">
        <f t="shared" si="11"/>
        <v>13942605.78</v>
      </c>
      <c r="Q234" s="5">
        <v>1999368.95</v>
      </c>
      <c r="R234" s="5">
        <v>848527.98</v>
      </c>
      <c r="S234" s="5">
        <v>575719.3099999999</v>
      </c>
      <c r="T234" s="5">
        <f t="shared" si="12"/>
        <v>1141205.413</v>
      </c>
      <c r="U234" s="6">
        <v>3.279020924618835</v>
      </c>
      <c r="V234" s="6">
        <v>8.185022448942105</v>
      </c>
      <c r="W234" s="4"/>
      <c r="X234" s="4"/>
      <c r="Y234" s="4"/>
      <c r="Z234" s="4"/>
    </row>
    <row r="235" ht="14.25" customHeight="1">
      <c r="A235" s="5">
        <v>51203.0</v>
      </c>
      <c r="B235" s="5" t="s">
        <v>334</v>
      </c>
      <c r="C235" s="5" t="s">
        <v>288</v>
      </c>
      <c r="D235" s="5" t="s">
        <v>332</v>
      </c>
      <c r="E235" s="5">
        <v>1.615599814E7</v>
      </c>
      <c r="F235" s="5">
        <v>1.664386462904128E7</v>
      </c>
      <c r="G235" s="5">
        <v>1.762128609E7</v>
      </c>
      <c r="H235" s="5">
        <f t="shared" si="5"/>
        <v>16807049.62</v>
      </c>
      <c r="I235" s="5">
        <v>8827551.469999999</v>
      </c>
      <c r="J235" s="5">
        <v>7769770.339999999</v>
      </c>
      <c r="K235" s="5">
        <v>6877748.919999999</v>
      </c>
      <c r="L235" s="5">
        <f t="shared" si="6"/>
        <v>7825023.577</v>
      </c>
      <c r="M235" s="5">
        <v>2.189567392999999E7</v>
      </c>
      <c r="N235" s="5">
        <v>2.92627199E7</v>
      </c>
      <c r="O235" s="5">
        <v>2.570606015E7</v>
      </c>
      <c r="P235" s="5">
        <f t="shared" si="11"/>
        <v>25621484.66</v>
      </c>
      <c r="Q235" s="5">
        <v>1.148445226E7</v>
      </c>
      <c r="R235" s="5">
        <v>1.695496533E7</v>
      </c>
      <c r="S235" s="5">
        <v>1.403196351E7</v>
      </c>
      <c r="T235" s="5">
        <f t="shared" si="12"/>
        <v>14157127.03</v>
      </c>
      <c r="U235" s="6">
        <v>46.55798461797754</v>
      </c>
      <c r="V235" s="6">
        <v>55.25490509703091</v>
      </c>
      <c r="W235" s="4"/>
      <c r="X235" s="4"/>
      <c r="Y235" s="4"/>
      <c r="Z235" s="4"/>
    </row>
    <row r="236" ht="14.25" customHeight="1">
      <c r="A236" s="5">
        <v>51204.0</v>
      </c>
      <c r="B236" s="5" t="s">
        <v>297</v>
      </c>
      <c r="C236" s="5" t="s">
        <v>288</v>
      </c>
      <c r="D236" s="5" t="s">
        <v>294</v>
      </c>
      <c r="E236" s="5">
        <v>0.0</v>
      </c>
      <c r="F236" s="5">
        <v>0.0</v>
      </c>
      <c r="G236" s="5">
        <v>0.0</v>
      </c>
      <c r="H236" s="5">
        <f t="shared" si="5"/>
        <v>0</v>
      </c>
      <c r="I236" s="5">
        <v>0.0</v>
      </c>
      <c r="J236" s="5">
        <v>0.0</v>
      </c>
      <c r="K236" s="5">
        <v>0.0</v>
      </c>
      <c r="L236" s="5">
        <f t="shared" si="6"/>
        <v>0</v>
      </c>
      <c r="M236" s="5">
        <v>6758412.68</v>
      </c>
      <c r="N236" s="5">
        <v>6758412.68</v>
      </c>
      <c r="O236" s="5">
        <v>6758412.68</v>
      </c>
      <c r="P236" s="5">
        <v>6758412.68</v>
      </c>
      <c r="Q236" s="5">
        <f t="shared" ref="Q236:T236" si="13">M236-5943111.39</f>
        <v>815301.29</v>
      </c>
      <c r="R236" s="5">
        <f t="shared" si="13"/>
        <v>815301.29</v>
      </c>
      <c r="S236" s="5">
        <f t="shared" si="13"/>
        <v>815301.29</v>
      </c>
      <c r="T236" s="5">
        <f t="shared" si="13"/>
        <v>815301.29</v>
      </c>
      <c r="U236" s="6">
        <v>0.0</v>
      </c>
      <c r="V236" s="6">
        <v>12.063502609313879</v>
      </c>
      <c r="W236" s="4"/>
      <c r="X236" s="4"/>
      <c r="Y236" s="4"/>
      <c r="Z236" s="4"/>
    </row>
    <row r="237" ht="14.25" customHeight="1">
      <c r="A237" s="5">
        <v>51301.0</v>
      </c>
      <c r="B237" s="5" t="s">
        <v>335</v>
      </c>
      <c r="C237" s="5" t="s">
        <v>288</v>
      </c>
      <c r="D237" s="5" t="s">
        <v>336</v>
      </c>
      <c r="E237" s="5">
        <v>6417436.089999999</v>
      </c>
      <c r="F237" s="5">
        <v>7549344.735505005</v>
      </c>
      <c r="G237" s="5">
        <v>9599545.02</v>
      </c>
      <c r="H237" s="5">
        <f t="shared" si="5"/>
        <v>7855441.949</v>
      </c>
      <c r="I237" s="5">
        <v>90249.17</v>
      </c>
      <c r="J237" s="5">
        <v>59873.60000000001</v>
      </c>
      <c r="K237" s="5">
        <v>578746.93</v>
      </c>
      <c r="L237" s="5">
        <f t="shared" si="6"/>
        <v>242956.5667</v>
      </c>
      <c r="M237" s="5">
        <v>4061523.279999997</v>
      </c>
      <c r="N237" s="5">
        <v>4789736.220000001</v>
      </c>
      <c r="O237" s="5">
        <v>4584626.72</v>
      </c>
      <c r="P237" s="5">
        <f t="shared" ref="P237:P274" si="14">AVERAGE(M237:O237)</f>
        <v>4478628.74</v>
      </c>
      <c r="Q237" s="5">
        <v>66406.31</v>
      </c>
      <c r="R237" s="5">
        <v>66794.63</v>
      </c>
      <c r="S237" s="5">
        <v>104861.09</v>
      </c>
      <c r="T237" s="5">
        <f t="shared" ref="T237:T274" si="15">AVERAGE(Q237:S237)</f>
        <v>79354.01</v>
      </c>
      <c r="U237" s="6">
        <v>3.0928440215003783</v>
      </c>
      <c r="V237" s="6">
        <v>1.7718371985439454</v>
      </c>
      <c r="W237" s="4"/>
      <c r="X237" s="4"/>
      <c r="Y237" s="4"/>
      <c r="Z237" s="4"/>
    </row>
    <row r="238" ht="14.25" customHeight="1">
      <c r="A238" s="5">
        <v>51302.0</v>
      </c>
      <c r="B238" s="5" t="s">
        <v>337</v>
      </c>
      <c r="C238" s="5" t="s">
        <v>288</v>
      </c>
      <c r="D238" s="5" t="s">
        <v>336</v>
      </c>
      <c r="E238" s="5">
        <v>7468246.030000001</v>
      </c>
      <c r="F238" s="5">
        <v>8965968.188945401</v>
      </c>
      <c r="G238" s="5">
        <v>1.08151901E7</v>
      </c>
      <c r="H238" s="5">
        <f t="shared" si="5"/>
        <v>9083134.773</v>
      </c>
      <c r="I238" s="5">
        <v>108030.97</v>
      </c>
      <c r="J238" s="5">
        <v>186393.8</v>
      </c>
      <c r="K238" s="5">
        <v>221958.1</v>
      </c>
      <c r="L238" s="5">
        <f t="shared" si="6"/>
        <v>172127.6233</v>
      </c>
      <c r="M238" s="5">
        <v>6007121.529999996</v>
      </c>
      <c r="N238" s="5">
        <v>7120049.27</v>
      </c>
      <c r="O238" s="5">
        <v>6707179.89</v>
      </c>
      <c r="P238" s="5">
        <f t="shared" si="14"/>
        <v>6611450.23</v>
      </c>
      <c r="Q238" s="5">
        <v>104229.43</v>
      </c>
      <c r="R238" s="5">
        <v>141826.48</v>
      </c>
      <c r="S238" s="5">
        <v>88239.98</v>
      </c>
      <c r="T238" s="5">
        <f t="shared" si="15"/>
        <v>111431.9633</v>
      </c>
      <c r="U238" s="6">
        <v>1.8950244341340703</v>
      </c>
      <c r="V238" s="6">
        <v>1.6854390407070097</v>
      </c>
      <c r="W238" s="4"/>
      <c r="X238" s="4"/>
      <c r="Y238" s="4"/>
      <c r="Z238" s="4"/>
    </row>
    <row r="239" ht="14.25" customHeight="1">
      <c r="A239" s="5">
        <v>51401.0</v>
      </c>
      <c r="B239" s="5" t="s">
        <v>338</v>
      </c>
      <c r="C239" s="5" t="s">
        <v>288</v>
      </c>
      <c r="D239" s="5" t="s">
        <v>339</v>
      </c>
      <c r="E239" s="5">
        <v>6206047.02</v>
      </c>
      <c r="F239" s="5">
        <v>4602608.816995025</v>
      </c>
      <c r="G239" s="5">
        <v>5555755.279999999</v>
      </c>
      <c r="H239" s="5">
        <f t="shared" si="5"/>
        <v>5454803.706</v>
      </c>
      <c r="I239" s="5">
        <v>2649405.54</v>
      </c>
      <c r="J239" s="5">
        <v>290598.2</v>
      </c>
      <c r="K239" s="5">
        <v>333874.4</v>
      </c>
      <c r="L239" s="5">
        <f t="shared" si="6"/>
        <v>1091292.713</v>
      </c>
      <c r="M239" s="5">
        <v>4213491.029999998</v>
      </c>
      <c r="N239" s="5">
        <v>4837920.25</v>
      </c>
      <c r="O239" s="5">
        <v>4734792.08</v>
      </c>
      <c r="P239" s="5">
        <f t="shared" si="14"/>
        <v>4595401.12</v>
      </c>
      <c r="Q239" s="5">
        <v>237537.97</v>
      </c>
      <c r="R239" s="5">
        <v>137633.44</v>
      </c>
      <c r="S239" s="5">
        <v>276515.01</v>
      </c>
      <c r="T239" s="5">
        <f t="shared" si="15"/>
        <v>217228.8067</v>
      </c>
      <c r="U239" s="6">
        <v>0.0</v>
      </c>
      <c r="V239" s="6">
        <v>4.72709130267755</v>
      </c>
      <c r="W239" s="4"/>
      <c r="X239" s="4"/>
      <c r="Y239" s="4"/>
      <c r="Z239" s="4"/>
    </row>
    <row r="240" ht="14.25" customHeight="1">
      <c r="A240" s="5">
        <v>51402.0</v>
      </c>
      <c r="B240" s="5" t="s">
        <v>340</v>
      </c>
      <c r="C240" s="5" t="s">
        <v>288</v>
      </c>
      <c r="D240" s="5" t="s">
        <v>339</v>
      </c>
      <c r="E240" s="5">
        <v>2710549.68</v>
      </c>
      <c r="F240" s="5">
        <v>3258778.316145607</v>
      </c>
      <c r="G240" s="5">
        <v>4012759.65</v>
      </c>
      <c r="H240" s="5">
        <f t="shared" si="5"/>
        <v>3327362.549</v>
      </c>
      <c r="I240" s="5">
        <v>6941.09</v>
      </c>
      <c r="J240" s="5">
        <v>4668.0</v>
      </c>
      <c r="K240" s="5">
        <v>78346.54</v>
      </c>
      <c r="L240" s="5">
        <f t="shared" si="6"/>
        <v>29985.21</v>
      </c>
      <c r="M240" s="5">
        <v>1629517.569999998</v>
      </c>
      <c r="N240" s="5">
        <v>1940634.98</v>
      </c>
      <c r="O240" s="5">
        <v>1959771.9</v>
      </c>
      <c r="P240" s="5">
        <f t="shared" si="14"/>
        <v>1843308.15</v>
      </c>
      <c r="Q240" s="5">
        <v>1154.27</v>
      </c>
      <c r="R240" s="5">
        <v>15556.4</v>
      </c>
      <c r="S240" s="5">
        <v>133829.99</v>
      </c>
      <c r="T240" s="5">
        <f t="shared" si="15"/>
        <v>50180.22</v>
      </c>
      <c r="U240" s="6">
        <v>0.9011705085031451</v>
      </c>
      <c r="V240" s="6">
        <v>2.722291441070231</v>
      </c>
      <c r="W240" s="4"/>
      <c r="X240" s="4"/>
      <c r="Y240" s="4"/>
      <c r="Z240" s="4"/>
    </row>
    <row r="241" ht="14.25" customHeight="1">
      <c r="A241" s="5">
        <v>51501.0</v>
      </c>
      <c r="B241" s="5" t="s">
        <v>341</v>
      </c>
      <c r="C241" s="5" t="s">
        <v>288</v>
      </c>
      <c r="D241" s="5" t="s">
        <v>342</v>
      </c>
      <c r="E241" s="5">
        <v>4.836839554E7</v>
      </c>
      <c r="F241" s="5">
        <v>5.878731307163624E7</v>
      </c>
      <c r="G241" s="5">
        <v>7.724123357000001E7</v>
      </c>
      <c r="H241" s="5">
        <f t="shared" si="5"/>
        <v>61465647.39</v>
      </c>
      <c r="I241" s="5">
        <v>4527993.069999999</v>
      </c>
      <c r="J241" s="5">
        <v>5326701.0</v>
      </c>
      <c r="K241" s="5">
        <v>1.241830541E7</v>
      </c>
      <c r="L241" s="5">
        <f t="shared" si="6"/>
        <v>7424333.16</v>
      </c>
      <c r="M241" s="5">
        <v>5.543010457999997E7</v>
      </c>
      <c r="N241" s="5">
        <v>6.698073278E7</v>
      </c>
      <c r="O241" s="5">
        <v>6.378642665E7</v>
      </c>
      <c r="P241" s="5">
        <f t="shared" si="14"/>
        <v>62065754.67</v>
      </c>
      <c r="Q241" s="5">
        <v>1.240176448E7</v>
      </c>
      <c r="R241" s="5">
        <v>1.611457655E7</v>
      </c>
      <c r="S241" s="5">
        <v>1.553899347E7</v>
      </c>
      <c r="T241" s="5">
        <f t="shared" si="15"/>
        <v>14685111.5</v>
      </c>
      <c r="U241" s="6">
        <v>12.078833421250803</v>
      </c>
      <c r="V241" s="6">
        <v>23.660570274348366</v>
      </c>
      <c r="W241" s="4"/>
      <c r="X241" s="4"/>
      <c r="Y241" s="4"/>
      <c r="Z241" s="4"/>
    </row>
    <row r="242" ht="14.25" customHeight="1">
      <c r="A242" s="5">
        <v>51601.0</v>
      </c>
      <c r="B242" s="5" t="s">
        <v>343</v>
      </c>
      <c r="C242" s="5" t="s">
        <v>288</v>
      </c>
      <c r="D242" s="5" t="s">
        <v>344</v>
      </c>
      <c r="E242" s="5">
        <v>2465105.310000001</v>
      </c>
      <c r="F242" s="5">
        <v>2508538.174641626</v>
      </c>
      <c r="G242" s="5">
        <v>6460170.94</v>
      </c>
      <c r="H242" s="5">
        <f t="shared" si="5"/>
        <v>3811271.475</v>
      </c>
      <c r="I242" s="5">
        <v>412758.06</v>
      </c>
      <c r="J242" s="5">
        <v>40932.07</v>
      </c>
      <c r="K242" s="5">
        <v>3477358.390000001</v>
      </c>
      <c r="L242" s="5">
        <f t="shared" si="6"/>
        <v>1310349.507</v>
      </c>
      <c r="M242" s="5">
        <v>1681358.899999999</v>
      </c>
      <c r="N242" s="5">
        <v>2100595.82</v>
      </c>
      <c r="O242" s="5">
        <v>1949603.99</v>
      </c>
      <c r="P242" s="5">
        <f t="shared" si="14"/>
        <v>1910519.57</v>
      </c>
      <c r="Q242" s="5">
        <v>68326.90000000001</v>
      </c>
      <c r="R242" s="5">
        <v>193641.31</v>
      </c>
      <c r="S242" s="5">
        <v>140853.16</v>
      </c>
      <c r="T242" s="5">
        <f t="shared" si="15"/>
        <v>134273.79</v>
      </c>
      <c r="U242" s="6">
        <v>34.38090189331731</v>
      </c>
      <c r="V242" s="6">
        <v>7.028129526043014</v>
      </c>
      <c r="W242" s="4"/>
      <c r="X242" s="4"/>
      <c r="Y242" s="4"/>
      <c r="Z242" s="4"/>
    </row>
    <row r="243" ht="14.25" customHeight="1">
      <c r="A243" s="5">
        <v>60101.0</v>
      </c>
      <c r="B243" s="5" t="s">
        <v>345</v>
      </c>
      <c r="C243" s="5" t="s">
        <v>346</v>
      </c>
      <c r="D243" s="5" t="s">
        <v>172</v>
      </c>
      <c r="E243" s="5">
        <v>3.797169581E8</v>
      </c>
      <c r="F243" s="5">
        <v>4.655557184518444E8</v>
      </c>
      <c r="G243" s="5">
        <v>5.651314988399999E8</v>
      </c>
      <c r="H243" s="5">
        <f t="shared" si="5"/>
        <v>470134725.1</v>
      </c>
      <c r="I243" s="5">
        <v>8.101793625E7</v>
      </c>
      <c r="J243" s="5">
        <v>9.145999882000001E7</v>
      </c>
      <c r="K243" s="5">
        <v>9.833783250999999E7</v>
      </c>
      <c r="L243" s="5">
        <f t="shared" si="6"/>
        <v>90271922.53</v>
      </c>
      <c r="M243" s="5">
        <v>3.924448123499998E8</v>
      </c>
      <c r="N243" s="5">
        <v>4.6092453087E8</v>
      </c>
      <c r="O243" s="5">
        <v>4.7527555795E8</v>
      </c>
      <c r="P243" s="5">
        <f t="shared" si="14"/>
        <v>442881633.7</v>
      </c>
      <c r="Q243" s="5">
        <v>1.6011694567E8</v>
      </c>
      <c r="R243" s="5">
        <v>1.8155829171E8</v>
      </c>
      <c r="S243" s="5">
        <v>2.0320210826E8</v>
      </c>
      <c r="T243" s="5">
        <f t="shared" si="15"/>
        <v>181625781.9</v>
      </c>
      <c r="U243" s="6">
        <v>19.201287992837997</v>
      </c>
      <c r="V243" s="6">
        <v>41.0100053942316</v>
      </c>
      <c r="W243" s="4"/>
      <c r="X243" s="4"/>
      <c r="Y243" s="4"/>
      <c r="Z243" s="4"/>
    </row>
    <row r="244" ht="14.25" customHeight="1">
      <c r="A244" s="5">
        <v>60201.0</v>
      </c>
      <c r="B244" s="5" t="s">
        <v>347</v>
      </c>
      <c r="C244" s="5" t="s">
        <v>346</v>
      </c>
      <c r="D244" s="5" t="s">
        <v>348</v>
      </c>
      <c r="E244" s="5">
        <v>4.063568422E7</v>
      </c>
      <c r="F244" s="5">
        <v>4.935050615152745E7</v>
      </c>
      <c r="G244" s="5">
        <v>6.105369816E7</v>
      </c>
      <c r="H244" s="5">
        <f t="shared" si="5"/>
        <v>50346629.51</v>
      </c>
      <c r="I244" s="5">
        <v>339228.67</v>
      </c>
      <c r="J244" s="5">
        <v>374023.67</v>
      </c>
      <c r="K244" s="5">
        <v>387232.09</v>
      </c>
      <c r="L244" s="5">
        <f t="shared" si="6"/>
        <v>366828.1433</v>
      </c>
      <c r="M244" s="5">
        <v>2.205116395999998E7</v>
      </c>
      <c r="N244" s="5">
        <v>2.623465126E7</v>
      </c>
      <c r="O244" s="5">
        <v>2.552833288E7</v>
      </c>
      <c r="P244" s="5">
        <f t="shared" si="14"/>
        <v>24604716.03</v>
      </c>
      <c r="Q244" s="5">
        <v>919043.13</v>
      </c>
      <c r="R244" s="5">
        <v>823899.58</v>
      </c>
      <c r="S244" s="5">
        <v>780936.7000000001</v>
      </c>
      <c r="T244" s="5">
        <f t="shared" si="15"/>
        <v>841293.1367</v>
      </c>
      <c r="U244" s="6">
        <v>0.7286051656283427</v>
      </c>
      <c r="V244" s="6">
        <v>3.419235302398621</v>
      </c>
      <c r="W244" s="4"/>
      <c r="X244" s="4"/>
      <c r="Y244" s="4"/>
      <c r="Z244" s="4"/>
    </row>
    <row r="245" ht="14.25" customHeight="1">
      <c r="A245" s="5">
        <v>60202.0</v>
      </c>
      <c r="B245" s="5" t="s">
        <v>349</v>
      </c>
      <c r="C245" s="5" t="s">
        <v>346</v>
      </c>
      <c r="D245" s="5" t="s">
        <v>348</v>
      </c>
      <c r="E245" s="5">
        <v>7.394413501E7</v>
      </c>
      <c r="F245" s="5">
        <v>8.945142412763552E7</v>
      </c>
      <c r="G245" s="5">
        <v>1.1077427335E8</v>
      </c>
      <c r="H245" s="5">
        <f t="shared" si="5"/>
        <v>91389944.16</v>
      </c>
      <c r="I245" s="5">
        <v>7960476.54</v>
      </c>
      <c r="J245" s="5">
        <v>7421678.56</v>
      </c>
      <c r="K245" s="5">
        <v>8600395.34</v>
      </c>
      <c r="L245" s="5">
        <f t="shared" si="6"/>
        <v>7994183.48</v>
      </c>
      <c r="M245" s="5">
        <v>5.309607165999999E7</v>
      </c>
      <c r="N245" s="5">
        <v>6.27240465E7</v>
      </c>
      <c r="O245" s="5">
        <v>6.147348E7</v>
      </c>
      <c r="P245" s="5">
        <f t="shared" si="14"/>
        <v>59097866.05</v>
      </c>
      <c r="Q245" s="5">
        <v>1.406320652E7</v>
      </c>
      <c r="R245" s="5">
        <v>1.578827688E7</v>
      </c>
      <c r="S245" s="5">
        <v>1.576296994E7</v>
      </c>
      <c r="T245" s="5">
        <f t="shared" si="15"/>
        <v>15204817.78</v>
      </c>
      <c r="U245" s="6">
        <v>8.747333804889553</v>
      </c>
      <c r="V245" s="6">
        <v>25.72820102552991</v>
      </c>
      <c r="W245" s="4"/>
      <c r="X245" s="4"/>
      <c r="Y245" s="4"/>
      <c r="Z245" s="4"/>
    </row>
    <row r="246" ht="14.25" customHeight="1">
      <c r="A246" s="5">
        <v>60301.0</v>
      </c>
      <c r="B246" s="5" t="s">
        <v>350</v>
      </c>
      <c r="C246" s="5" t="s">
        <v>346</v>
      </c>
      <c r="D246" s="5" t="s">
        <v>351</v>
      </c>
      <c r="E246" s="5">
        <v>1.8508180023E8</v>
      </c>
      <c r="F246" s="5">
        <v>2.294722715872116E8</v>
      </c>
      <c r="G246" s="5">
        <v>2.8156671431E8</v>
      </c>
      <c r="H246" s="5">
        <f t="shared" si="5"/>
        <v>232040262</v>
      </c>
      <c r="I246" s="5">
        <v>1.865294405E7</v>
      </c>
      <c r="J246" s="5">
        <v>2.308627041E7</v>
      </c>
      <c r="K246" s="5">
        <v>2.465375397E7</v>
      </c>
      <c r="L246" s="5">
        <f t="shared" si="6"/>
        <v>22130989.48</v>
      </c>
      <c r="M246" s="5">
        <v>1.408520568E8</v>
      </c>
      <c r="N246" s="5">
        <v>1.6055230891E8</v>
      </c>
      <c r="O246" s="5">
        <v>1.683585427E8</v>
      </c>
      <c r="P246" s="5">
        <f t="shared" si="14"/>
        <v>156587636.1</v>
      </c>
      <c r="Q246" s="5">
        <v>3.650138636000001E7</v>
      </c>
      <c r="R246" s="5">
        <v>3.507416588000001E7</v>
      </c>
      <c r="S246" s="5">
        <v>4.615598506999999E7</v>
      </c>
      <c r="T246" s="5">
        <f t="shared" si="15"/>
        <v>39243845.77</v>
      </c>
      <c r="U246" s="6">
        <v>9.537564421739177</v>
      </c>
      <c r="V246" s="6">
        <v>25.061905740596742</v>
      </c>
      <c r="W246" s="4"/>
      <c r="X246" s="4"/>
      <c r="Y246" s="4"/>
      <c r="Z246" s="4"/>
    </row>
    <row r="247" ht="14.25" customHeight="1">
      <c r="A247" s="5">
        <v>60302.0</v>
      </c>
      <c r="B247" s="5" t="s">
        <v>352</v>
      </c>
      <c r="C247" s="5" t="s">
        <v>346</v>
      </c>
      <c r="D247" s="5" t="s">
        <v>351</v>
      </c>
      <c r="E247" s="5">
        <v>2.080750816E7</v>
      </c>
      <c r="F247" s="5">
        <v>2.463214483314747E7</v>
      </c>
      <c r="G247" s="5">
        <v>3.09416731E7</v>
      </c>
      <c r="H247" s="5">
        <f t="shared" si="5"/>
        <v>25460442.03</v>
      </c>
      <c r="I247" s="5">
        <v>1934431.93</v>
      </c>
      <c r="J247" s="5">
        <v>1678863.15</v>
      </c>
      <c r="K247" s="5">
        <v>2505146.89</v>
      </c>
      <c r="L247" s="5">
        <f t="shared" si="6"/>
        <v>2039480.657</v>
      </c>
      <c r="M247" s="5">
        <v>2.084689298999999E7</v>
      </c>
      <c r="N247" s="5">
        <v>2.453527824E7</v>
      </c>
      <c r="O247" s="5">
        <v>2.442406172E7</v>
      </c>
      <c r="P247" s="5">
        <f t="shared" si="14"/>
        <v>23268744.32</v>
      </c>
      <c r="Q247" s="5">
        <v>3464832.73</v>
      </c>
      <c r="R247" s="5">
        <v>3633843.109999999</v>
      </c>
      <c r="S247" s="5">
        <v>4068267.33</v>
      </c>
      <c r="T247" s="5">
        <f t="shared" si="15"/>
        <v>3722314.39</v>
      </c>
      <c r="U247" s="6">
        <v>8.010389820331902</v>
      </c>
      <c r="V247" s="6">
        <v>15.997057423222548</v>
      </c>
      <c r="W247" s="4"/>
      <c r="X247" s="4"/>
      <c r="Y247" s="4"/>
      <c r="Z247" s="4"/>
    </row>
    <row r="248" ht="14.25" customHeight="1">
      <c r="A248" s="5">
        <v>60303.0</v>
      </c>
      <c r="B248" s="5" t="s">
        <v>353</v>
      </c>
      <c r="C248" s="5" t="s">
        <v>346</v>
      </c>
      <c r="D248" s="5" t="s">
        <v>351</v>
      </c>
      <c r="E248" s="5">
        <v>5.510853509E7</v>
      </c>
      <c r="F248" s="5">
        <v>6.714303100579032E7</v>
      </c>
      <c r="G248" s="5">
        <v>8.335042817E7</v>
      </c>
      <c r="H248" s="5">
        <f t="shared" si="5"/>
        <v>68533998.09</v>
      </c>
      <c r="I248" s="5">
        <v>7417767.000000001</v>
      </c>
      <c r="J248" s="5">
        <v>8175614.83</v>
      </c>
      <c r="K248" s="5">
        <v>9998998.46</v>
      </c>
      <c r="L248" s="5">
        <f t="shared" si="6"/>
        <v>8530793.43</v>
      </c>
      <c r="M248" s="5">
        <v>6.146755106999992E7</v>
      </c>
      <c r="N248" s="5">
        <v>7.059845112E7</v>
      </c>
      <c r="O248" s="5">
        <v>7.422897324E7</v>
      </c>
      <c r="P248" s="5">
        <f t="shared" si="14"/>
        <v>68764991.81</v>
      </c>
      <c r="Q248" s="5">
        <v>1.63689767E7</v>
      </c>
      <c r="R248" s="5">
        <v>1.636887833E7</v>
      </c>
      <c r="S248" s="5">
        <v>2.141506248E7</v>
      </c>
      <c r="T248" s="5">
        <f t="shared" si="15"/>
        <v>18050972.5</v>
      </c>
      <c r="U248" s="6">
        <v>12.447535045265981</v>
      </c>
      <c r="V248" s="6">
        <v>26.250235807791253</v>
      </c>
      <c r="W248" s="4"/>
      <c r="X248" s="4"/>
      <c r="Y248" s="4"/>
      <c r="Z248" s="4"/>
    </row>
    <row r="249" ht="14.25" customHeight="1">
      <c r="A249" s="5">
        <v>60401.0</v>
      </c>
      <c r="B249" s="5" t="s">
        <v>354</v>
      </c>
      <c r="C249" s="5" t="s">
        <v>346</v>
      </c>
      <c r="D249" s="5" t="s">
        <v>355</v>
      </c>
      <c r="E249" s="5">
        <v>2.560317043E7</v>
      </c>
      <c r="F249" s="5">
        <v>3.13521280478686E7</v>
      </c>
      <c r="G249" s="5">
        <v>3.937581784E7</v>
      </c>
      <c r="H249" s="5">
        <f t="shared" si="5"/>
        <v>32110372.11</v>
      </c>
      <c r="I249" s="5">
        <v>223157.9</v>
      </c>
      <c r="J249" s="5">
        <v>298059.5</v>
      </c>
      <c r="K249" s="5">
        <v>845703.1199999999</v>
      </c>
      <c r="L249" s="5">
        <f t="shared" si="6"/>
        <v>455640.1733</v>
      </c>
      <c r="M249" s="5">
        <v>1.741166032999999E7</v>
      </c>
      <c r="N249" s="5">
        <v>2.353590716E7</v>
      </c>
      <c r="O249" s="5">
        <v>2.343264087E7</v>
      </c>
      <c r="P249" s="5">
        <f t="shared" si="14"/>
        <v>21460069.45</v>
      </c>
      <c r="Q249" s="5">
        <v>691376.12</v>
      </c>
      <c r="R249" s="5">
        <v>3430234.36</v>
      </c>
      <c r="S249" s="5">
        <v>3851835.94</v>
      </c>
      <c r="T249" s="5">
        <f t="shared" si="15"/>
        <v>2657815.473</v>
      </c>
      <c r="U249" s="6">
        <v>1.418981293115616</v>
      </c>
      <c r="V249" s="6">
        <v>12.384934163950257</v>
      </c>
      <c r="W249" s="4"/>
      <c r="X249" s="4"/>
      <c r="Y249" s="4"/>
      <c r="Z249" s="4"/>
    </row>
    <row r="250" ht="14.25" customHeight="1">
      <c r="A250" s="5">
        <v>60402.0</v>
      </c>
      <c r="B250" s="5" t="s">
        <v>356</v>
      </c>
      <c r="C250" s="5" t="s">
        <v>346</v>
      </c>
      <c r="D250" s="5" t="s">
        <v>355</v>
      </c>
      <c r="E250" s="5">
        <v>1.105910897E7</v>
      </c>
      <c r="F250" s="5">
        <v>1.334548258470401E7</v>
      </c>
      <c r="G250" s="5">
        <v>1.65548498E7</v>
      </c>
      <c r="H250" s="5">
        <f t="shared" si="5"/>
        <v>13653147.12</v>
      </c>
      <c r="I250" s="5">
        <v>22704.68</v>
      </c>
      <c r="J250" s="5">
        <v>37420.15</v>
      </c>
      <c r="K250" s="5">
        <v>102783.85</v>
      </c>
      <c r="L250" s="5">
        <f t="shared" si="6"/>
        <v>54302.89333</v>
      </c>
      <c r="M250" s="5">
        <v>6318846.159999996</v>
      </c>
      <c r="N250" s="5">
        <v>7572750.620000001</v>
      </c>
      <c r="O250" s="5">
        <v>7365435.800000001</v>
      </c>
      <c r="P250" s="5">
        <f t="shared" si="14"/>
        <v>7085677.527</v>
      </c>
      <c r="Q250" s="5">
        <v>108913.6</v>
      </c>
      <c r="R250" s="5">
        <v>105407.5</v>
      </c>
      <c r="S250" s="5">
        <v>93040.61000000002</v>
      </c>
      <c r="T250" s="5">
        <f t="shared" si="15"/>
        <v>102453.9033</v>
      </c>
      <c r="U250" s="6">
        <v>0.3977316941147457</v>
      </c>
      <c r="V250" s="6">
        <v>1.445929523997559</v>
      </c>
      <c r="W250" s="4"/>
      <c r="X250" s="4"/>
      <c r="Y250" s="4"/>
      <c r="Z250" s="4"/>
    </row>
    <row r="251" ht="14.25" customHeight="1">
      <c r="A251" s="5">
        <v>60501.0</v>
      </c>
      <c r="B251" s="5" t="s">
        <v>357</v>
      </c>
      <c r="C251" s="5" t="s">
        <v>346</v>
      </c>
      <c r="D251" s="5" t="s">
        <v>358</v>
      </c>
      <c r="E251" s="5">
        <v>4.458702328E7</v>
      </c>
      <c r="F251" s="5">
        <v>5.449647352838834E7</v>
      </c>
      <c r="G251" s="5">
        <v>6.817336277E7</v>
      </c>
      <c r="H251" s="5">
        <f t="shared" si="5"/>
        <v>55752286.53</v>
      </c>
      <c r="I251" s="5">
        <v>351517.84</v>
      </c>
      <c r="J251" s="5">
        <v>492253.47</v>
      </c>
      <c r="K251" s="5">
        <v>1205089.72</v>
      </c>
      <c r="L251" s="5">
        <f t="shared" si="6"/>
        <v>682953.6767</v>
      </c>
      <c r="M251" s="5">
        <v>3.161877912999997E7</v>
      </c>
      <c r="N251" s="5">
        <v>3.781479314E7</v>
      </c>
      <c r="O251" s="5">
        <v>3.864683671E7</v>
      </c>
      <c r="P251" s="5">
        <f t="shared" si="14"/>
        <v>36026802.99</v>
      </c>
      <c r="Q251" s="5">
        <v>4624572.25</v>
      </c>
      <c r="R251" s="5">
        <v>5355088.33</v>
      </c>
      <c r="S251" s="5">
        <v>7034497.84</v>
      </c>
      <c r="T251" s="5">
        <f t="shared" si="15"/>
        <v>5671386.14</v>
      </c>
      <c r="U251" s="6">
        <v>1.2249787752589958</v>
      </c>
      <c r="V251" s="6">
        <v>15.742129938783293</v>
      </c>
      <c r="W251" s="4"/>
      <c r="X251" s="4"/>
      <c r="Y251" s="4"/>
      <c r="Z251" s="4"/>
    </row>
    <row r="252" ht="14.25" customHeight="1">
      <c r="A252" s="5">
        <v>60502.0</v>
      </c>
      <c r="B252" s="5" t="s">
        <v>359</v>
      </c>
      <c r="C252" s="5" t="s">
        <v>346</v>
      </c>
      <c r="D252" s="5" t="s">
        <v>358</v>
      </c>
      <c r="E252" s="5">
        <v>2.275792617E7</v>
      </c>
      <c r="F252" s="5">
        <v>2.834575507054891E7</v>
      </c>
      <c r="G252" s="5">
        <v>3.391175509E7</v>
      </c>
      <c r="H252" s="5">
        <f t="shared" si="5"/>
        <v>28338478.78</v>
      </c>
      <c r="I252" s="5">
        <v>442360.11</v>
      </c>
      <c r="J252" s="5">
        <v>1226462.46</v>
      </c>
      <c r="K252" s="5">
        <v>320378.78</v>
      </c>
      <c r="L252" s="5">
        <f t="shared" si="6"/>
        <v>663067.1167</v>
      </c>
      <c r="M252" s="5">
        <v>1.365210988E7</v>
      </c>
      <c r="N252" s="5">
        <v>1.668563582E7</v>
      </c>
      <c r="O252" s="5">
        <v>1.643897434E7</v>
      </c>
      <c r="P252" s="5">
        <f t="shared" si="14"/>
        <v>15592240.01</v>
      </c>
      <c r="Q252" s="5">
        <v>808585.23</v>
      </c>
      <c r="R252" s="5">
        <v>1241630.57</v>
      </c>
      <c r="S252" s="5">
        <v>1398145.59</v>
      </c>
      <c r="T252" s="5">
        <f t="shared" si="15"/>
        <v>1149453.797</v>
      </c>
      <c r="U252" s="6">
        <v>2.339811963401301</v>
      </c>
      <c r="V252" s="6">
        <v>7.371960639932032</v>
      </c>
      <c r="W252" s="4"/>
      <c r="X252" s="4"/>
      <c r="Y252" s="4"/>
      <c r="Z252" s="4"/>
    </row>
    <row r="253" ht="14.25" customHeight="1">
      <c r="A253" s="5">
        <v>60601.0</v>
      </c>
      <c r="B253" s="5" t="s">
        <v>360</v>
      </c>
      <c r="C253" s="5" t="s">
        <v>346</v>
      </c>
      <c r="D253" s="5" t="s">
        <v>361</v>
      </c>
      <c r="E253" s="5">
        <v>4.222110128E7</v>
      </c>
      <c r="F253" s="5">
        <v>5.065952371935344E7</v>
      </c>
      <c r="G253" s="5">
        <v>6.328318541000001E7</v>
      </c>
      <c r="H253" s="5">
        <f t="shared" si="5"/>
        <v>52054603.47</v>
      </c>
      <c r="I253" s="5">
        <v>1365920.36</v>
      </c>
      <c r="J253" s="5">
        <v>1198288.81</v>
      </c>
      <c r="K253" s="5">
        <v>2076203.81</v>
      </c>
      <c r="L253" s="5">
        <f t="shared" si="6"/>
        <v>1546804.327</v>
      </c>
      <c r="M253" s="5">
        <v>2.628843232999999E7</v>
      </c>
      <c r="N253" s="5">
        <v>3.182038589E7</v>
      </c>
      <c r="O253" s="5">
        <v>3.078245707E7</v>
      </c>
      <c r="P253" s="5">
        <f t="shared" si="14"/>
        <v>29630425.1</v>
      </c>
      <c r="Q253" s="5">
        <v>1411906.4</v>
      </c>
      <c r="R253" s="5">
        <v>1907118.1</v>
      </c>
      <c r="S253" s="5">
        <v>1650081.62</v>
      </c>
      <c r="T253" s="5">
        <f t="shared" si="15"/>
        <v>1656368.707</v>
      </c>
      <c r="U253" s="6">
        <v>2.9715034282501493</v>
      </c>
      <c r="V253" s="6">
        <v>5.590094307668247</v>
      </c>
      <c r="W253" s="4"/>
      <c r="X253" s="4"/>
      <c r="Y253" s="4"/>
      <c r="Z253" s="4"/>
    </row>
    <row r="254" ht="14.25" customHeight="1">
      <c r="A254" s="5">
        <v>70101.0</v>
      </c>
      <c r="B254" s="5" t="s">
        <v>362</v>
      </c>
      <c r="C254" s="5" t="s">
        <v>363</v>
      </c>
      <c r="D254" s="5" t="s">
        <v>364</v>
      </c>
      <c r="E254" s="5">
        <v>1.78516662436E9</v>
      </c>
      <c r="F254" s="5">
        <v>2.072849970683328E9</v>
      </c>
      <c r="G254" s="5">
        <v>2.44138666484E9</v>
      </c>
      <c r="H254" s="5">
        <f t="shared" si="5"/>
        <v>2099801087</v>
      </c>
      <c r="I254" s="5">
        <v>7.210871779699999E8</v>
      </c>
      <c r="J254" s="5">
        <v>7.8248567666E8</v>
      </c>
      <c r="K254" s="5">
        <v>8.940389695300001E8</v>
      </c>
      <c r="L254" s="5">
        <f t="shared" si="6"/>
        <v>799203941.4</v>
      </c>
      <c r="M254" s="5">
        <v>2.25488946043E9</v>
      </c>
      <c r="N254" s="5">
        <v>2.49261973724E9</v>
      </c>
      <c r="O254" s="5">
        <v>2.69945757702E9</v>
      </c>
      <c r="P254" s="5">
        <f t="shared" si="14"/>
        <v>2482322258</v>
      </c>
      <c r="Q254" s="5">
        <v>1.03178490868E9</v>
      </c>
      <c r="R254" s="5">
        <v>1.06975384736E9</v>
      </c>
      <c r="S254" s="5">
        <v>1.3151842959E9</v>
      </c>
      <c r="T254" s="5">
        <f t="shared" si="15"/>
        <v>1138907684</v>
      </c>
      <c r="U254" s="6">
        <v>38.060935698922165</v>
      </c>
      <c r="V254" s="6">
        <v>45.8807344696691</v>
      </c>
      <c r="W254" s="4"/>
      <c r="X254" s="4"/>
      <c r="Y254" s="4"/>
      <c r="Z254" s="4"/>
    </row>
    <row r="255" ht="14.25" customHeight="1">
      <c r="A255" s="5">
        <v>70102.0</v>
      </c>
      <c r="B255" s="5" t="s">
        <v>365</v>
      </c>
      <c r="C255" s="5" t="s">
        <v>363</v>
      </c>
      <c r="D255" s="5" t="s">
        <v>366</v>
      </c>
      <c r="E255" s="5">
        <v>4.965576037E7</v>
      </c>
      <c r="F255" s="5">
        <v>5.91529042134288E7</v>
      </c>
      <c r="G255" s="5">
        <v>6.959709011000001E7</v>
      </c>
      <c r="H255" s="5">
        <f t="shared" si="5"/>
        <v>59468584.9</v>
      </c>
      <c r="I255" s="5">
        <v>1.443451728E7</v>
      </c>
      <c r="J255" s="5">
        <v>1.692097659E7</v>
      </c>
      <c r="K255" s="5">
        <v>1.907513787E7</v>
      </c>
      <c r="L255" s="5">
        <f t="shared" si="6"/>
        <v>16810210.58</v>
      </c>
      <c r="M255" s="5">
        <v>8.228875575999996E7</v>
      </c>
      <c r="N255" s="5">
        <v>1.0432597651E8</v>
      </c>
      <c r="O255" s="5">
        <v>1.0579441619E8</v>
      </c>
      <c r="P255" s="5">
        <f t="shared" si="14"/>
        <v>97469716.15</v>
      </c>
      <c r="Q255" s="5">
        <v>4.401255055E7</v>
      </c>
      <c r="R255" s="5">
        <v>5.979881967E7</v>
      </c>
      <c r="S255" s="5">
        <v>6.060484357E7</v>
      </c>
      <c r="T255" s="5">
        <f t="shared" si="15"/>
        <v>54805404.6</v>
      </c>
      <c r="U255" s="6">
        <v>28.267379506148576</v>
      </c>
      <c r="V255" s="6">
        <v>56.22813604017292</v>
      </c>
      <c r="W255" s="4"/>
      <c r="X255" s="4"/>
      <c r="Y255" s="4"/>
      <c r="Z255" s="4"/>
    </row>
    <row r="256" ht="14.25" customHeight="1">
      <c r="A256" s="5">
        <v>70103.0</v>
      </c>
      <c r="B256" s="5" t="s">
        <v>367</v>
      </c>
      <c r="C256" s="5" t="s">
        <v>363</v>
      </c>
      <c r="D256" s="5" t="s">
        <v>366</v>
      </c>
      <c r="E256" s="5">
        <v>2.053140205E7</v>
      </c>
      <c r="F256" s="5">
        <v>2.758462274366691E7</v>
      </c>
      <c r="G256" s="5">
        <v>3.497673926000001E7</v>
      </c>
      <c r="H256" s="5">
        <f t="shared" si="5"/>
        <v>27697588.02</v>
      </c>
      <c r="I256" s="5">
        <v>9336201.27</v>
      </c>
      <c r="J256" s="5">
        <v>1.438891634E7</v>
      </c>
      <c r="K256" s="5">
        <v>1.92487255E7</v>
      </c>
      <c r="L256" s="5">
        <f t="shared" si="6"/>
        <v>14324614.37</v>
      </c>
      <c r="M256" s="5">
        <v>7.123011844E7</v>
      </c>
      <c r="N256" s="5">
        <v>7.468006796E7</v>
      </c>
      <c r="O256" s="5">
        <v>7.88396223E7</v>
      </c>
      <c r="P256" s="5">
        <f t="shared" si="14"/>
        <v>74916602.9</v>
      </c>
      <c r="Q256" s="5">
        <v>5.83525018E7</v>
      </c>
      <c r="R256" s="5">
        <v>5.969726621999999E7</v>
      </c>
      <c r="S256" s="5">
        <v>6.424412349999999E7</v>
      </c>
      <c r="T256" s="5">
        <f t="shared" si="15"/>
        <v>60764630.51</v>
      </c>
      <c r="U256" s="6">
        <v>51.71791262382918</v>
      </c>
      <c r="V256" s="6">
        <v>81.10969819036825</v>
      </c>
      <c r="W256" s="4"/>
      <c r="X256" s="4"/>
      <c r="Y256" s="4"/>
      <c r="Z256" s="4"/>
    </row>
    <row r="257" ht="14.25" customHeight="1">
      <c r="A257" s="5">
        <v>70104.0</v>
      </c>
      <c r="B257" s="5" t="s">
        <v>368</v>
      </c>
      <c r="C257" s="5" t="s">
        <v>363</v>
      </c>
      <c r="D257" s="5" t="s">
        <v>364</v>
      </c>
      <c r="E257" s="5">
        <v>6.625158717E7</v>
      </c>
      <c r="F257" s="5">
        <v>7.433583771516831E7</v>
      </c>
      <c r="G257" s="5">
        <v>9.107184595E7</v>
      </c>
      <c r="H257" s="5">
        <f t="shared" si="5"/>
        <v>77219756.95</v>
      </c>
      <c r="I257" s="5">
        <v>2.811458051E7</v>
      </c>
      <c r="J257" s="5">
        <v>2.855619822E7</v>
      </c>
      <c r="K257" s="5">
        <v>3.629263982E7</v>
      </c>
      <c r="L257" s="5">
        <f t="shared" si="6"/>
        <v>30987806.18</v>
      </c>
      <c r="M257" s="5">
        <v>1.3492580817E8</v>
      </c>
      <c r="N257" s="5">
        <v>1.4476617603E8</v>
      </c>
      <c r="O257" s="5">
        <v>1.5318904185E8</v>
      </c>
      <c r="P257" s="5">
        <f t="shared" si="14"/>
        <v>144293675.4</v>
      </c>
      <c r="Q257" s="5">
        <v>5.985075819000001E7</v>
      </c>
      <c r="R257" s="5">
        <v>5.742699863E7</v>
      </c>
      <c r="S257" s="5">
        <v>6.810748327E7</v>
      </c>
      <c r="T257" s="5">
        <f t="shared" si="15"/>
        <v>61795080.03</v>
      </c>
      <c r="U257" s="6">
        <v>40.12937544647024</v>
      </c>
      <c r="V257" s="6">
        <v>42.825910338834554</v>
      </c>
      <c r="W257" s="4"/>
      <c r="X257" s="4"/>
      <c r="Y257" s="4"/>
      <c r="Z257" s="4"/>
    </row>
    <row r="258" ht="14.25" customHeight="1">
      <c r="A258" s="5">
        <v>70105.0</v>
      </c>
      <c r="B258" s="5" t="s">
        <v>369</v>
      </c>
      <c r="C258" s="5" t="s">
        <v>363</v>
      </c>
      <c r="D258" s="5" t="s">
        <v>366</v>
      </c>
      <c r="E258" s="5">
        <v>4.119726588E7</v>
      </c>
      <c r="F258" s="5">
        <v>4.935628523557169E7</v>
      </c>
      <c r="G258" s="5">
        <v>5.799910905E7</v>
      </c>
      <c r="H258" s="5">
        <f t="shared" si="5"/>
        <v>49517553.39</v>
      </c>
      <c r="I258" s="5">
        <v>3510531.97</v>
      </c>
      <c r="J258" s="5">
        <v>4636449.62</v>
      </c>
      <c r="K258" s="5">
        <v>4620207.390000001</v>
      </c>
      <c r="L258" s="5">
        <f t="shared" si="6"/>
        <v>4255729.66</v>
      </c>
      <c r="M258" s="5">
        <v>5.997776881999996E7</v>
      </c>
      <c r="N258" s="5">
        <v>6.751334925E7</v>
      </c>
      <c r="O258" s="5">
        <v>6.785089568E7</v>
      </c>
      <c r="P258" s="5">
        <f t="shared" si="14"/>
        <v>65114004.58</v>
      </c>
      <c r="Q258" s="5">
        <v>1.822612889E7</v>
      </c>
      <c r="R258" s="5">
        <v>1.89431886E7</v>
      </c>
      <c r="S258" s="5">
        <v>2.053622666E7</v>
      </c>
      <c r="T258" s="5">
        <f t="shared" si="15"/>
        <v>19235181.38</v>
      </c>
      <c r="U258" s="6">
        <v>8.594385967757244</v>
      </c>
      <c r="V258" s="6">
        <v>29.540774686520823</v>
      </c>
      <c r="W258" s="4"/>
      <c r="X258" s="4"/>
      <c r="Y258" s="4"/>
      <c r="Z258" s="4"/>
    </row>
    <row r="259" ht="14.25" customHeight="1">
      <c r="A259" s="5">
        <v>70201.0</v>
      </c>
      <c r="B259" s="5" t="s">
        <v>370</v>
      </c>
      <c r="C259" s="5" t="s">
        <v>363</v>
      </c>
      <c r="D259" s="5" t="s">
        <v>371</v>
      </c>
      <c r="E259" s="5">
        <v>9.514949385E7</v>
      </c>
      <c r="F259" s="5">
        <v>1.068139266482144E8</v>
      </c>
      <c r="G259" s="5">
        <v>1.3304477991E8</v>
      </c>
      <c r="H259" s="5">
        <f t="shared" si="5"/>
        <v>111669400.1</v>
      </c>
      <c r="I259" s="5">
        <v>5.103475687E7</v>
      </c>
      <c r="J259" s="5">
        <v>5.405895485E7</v>
      </c>
      <c r="K259" s="5">
        <v>6.996995725999999E7</v>
      </c>
      <c r="L259" s="5">
        <f t="shared" si="6"/>
        <v>58354556.33</v>
      </c>
      <c r="M259" s="5">
        <v>1.9846084023E8</v>
      </c>
      <c r="N259" s="5">
        <v>2.1530676086E8</v>
      </c>
      <c r="O259" s="5">
        <v>1.9765447019E8</v>
      </c>
      <c r="P259" s="5">
        <f t="shared" si="14"/>
        <v>203807357.1</v>
      </c>
      <c r="Q259" s="5">
        <v>1.1739381294E8</v>
      </c>
      <c r="R259" s="5">
        <v>1.2100066344E8</v>
      </c>
      <c r="S259" s="5">
        <v>1.0578607746E8</v>
      </c>
      <c r="T259" s="5">
        <f t="shared" si="15"/>
        <v>114726851.3</v>
      </c>
      <c r="U259" s="6">
        <v>52.256532457020846</v>
      </c>
      <c r="V259" s="6">
        <v>56.291810519607964</v>
      </c>
      <c r="W259" s="4"/>
      <c r="X259" s="4"/>
      <c r="Y259" s="4"/>
      <c r="Z259" s="4"/>
    </row>
    <row r="260" ht="14.25" customHeight="1">
      <c r="A260" s="5">
        <v>70202.0</v>
      </c>
      <c r="B260" s="5" t="s">
        <v>372</v>
      </c>
      <c r="C260" s="5" t="s">
        <v>363</v>
      </c>
      <c r="D260" s="5" t="s">
        <v>371</v>
      </c>
      <c r="E260" s="5">
        <v>1.306807707E7</v>
      </c>
      <c r="F260" s="5">
        <v>1.561477121595462E7</v>
      </c>
      <c r="G260" s="5">
        <v>1.791093364E7</v>
      </c>
      <c r="H260" s="5">
        <f t="shared" si="5"/>
        <v>15531260.64</v>
      </c>
      <c r="I260" s="5">
        <v>1445546.24</v>
      </c>
      <c r="J260" s="5">
        <v>1844824.21</v>
      </c>
      <c r="K260" s="5">
        <v>1480169.52</v>
      </c>
      <c r="L260" s="5">
        <f t="shared" si="6"/>
        <v>1590179.99</v>
      </c>
      <c r="M260" s="5">
        <v>1.372000573999999E7</v>
      </c>
      <c r="N260" s="5">
        <v>1.69453356E7</v>
      </c>
      <c r="O260" s="5">
        <v>1.41463754E7</v>
      </c>
      <c r="P260" s="5">
        <f t="shared" si="14"/>
        <v>14937238.91</v>
      </c>
      <c r="Q260" s="5">
        <v>3224578.15</v>
      </c>
      <c r="R260" s="5">
        <v>4735802.39</v>
      </c>
      <c r="S260" s="5">
        <v>2252459.65</v>
      </c>
      <c r="T260" s="5">
        <f t="shared" si="15"/>
        <v>3404280.063</v>
      </c>
      <c r="U260" s="6">
        <v>10.238576421165368</v>
      </c>
      <c r="V260" s="6">
        <v>22.790557766968515</v>
      </c>
      <c r="W260" s="4"/>
      <c r="X260" s="4"/>
      <c r="Y260" s="4"/>
      <c r="Z260" s="4"/>
    </row>
    <row r="261" ht="14.25" customHeight="1">
      <c r="A261" s="5">
        <v>70301.0</v>
      </c>
      <c r="B261" s="5" t="s">
        <v>373</v>
      </c>
      <c r="C261" s="5" t="s">
        <v>363</v>
      </c>
      <c r="D261" s="5" t="s">
        <v>374</v>
      </c>
      <c r="E261" s="5">
        <v>4.916529017999999E7</v>
      </c>
      <c r="F261" s="5">
        <v>5.519297354441919E7</v>
      </c>
      <c r="G261" s="5">
        <v>6.49154995E7</v>
      </c>
      <c r="H261" s="5">
        <f t="shared" si="5"/>
        <v>56424587.74</v>
      </c>
      <c r="I261" s="5">
        <v>7448114.53</v>
      </c>
      <c r="J261" s="5">
        <v>5971845.959999999</v>
      </c>
      <c r="K261" s="5">
        <v>6236117.97</v>
      </c>
      <c r="L261" s="5">
        <f t="shared" si="6"/>
        <v>6552026.153</v>
      </c>
      <c r="M261" s="5">
        <v>5.864810855999996E7</v>
      </c>
      <c r="N261" s="5">
        <v>6.499136869E7</v>
      </c>
      <c r="O261" s="5">
        <v>6.237141108999999E7</v>
      </c>
      <c r="P261" s="5">
        <f t="shared" si="14"/>
        <v>62003629.45</v>
      </c>
      <c r="Q261" s="5">
        <v>1.461893704E7</v>
      </c>
      <c r="R261" s="5">
        <v>1.377021756E7</v>
      </c>
      <c r="S261" s="5">
        <v>1.247427624E7</v>
      </c>
      <c r="T261" s="5">
        <f t="shared" si="15"/>
        <v>13621143.61</v>
      </c>
      <c r="U261" s="6">
        <v>11.612005360771965</v>
      </c>
      <c r="V261" s="6">
        <v>21.968300460620238</v>
      </c>
      <c r="W261" s="4"/>
      <c r="X261" s="4"/>
      <c r="Y261" s="4"/>
      <c r="Z261" s="4"/>
    </row>
    <row r="262" ht="14.25" customHeight="1">
      <c r="A262" s="5">
        <v>70302.0</v>
      </c>
      <c r="B262" s="5" t="s">
        <v>375</v>
      </c>
      <c r="C262" s="5" t="s">
        <v>363</v>
      </c>
      <c r="D262" s="5" t="s">
        <v>374</v>
      </c>
      <c r="E262" s="5">
        <v>1.140792161E7</v>
      </c>
      <c r="F262" s="5">
        <v>1.337601349111546E7</v>
      </c>
      <c r="G262" s="5">
        <v>1.591076661E7</v>
      </c>
      <c r="H262" s="5">
        <f t="shared" si="5"/>
        <v>13564900.57</v>
      </c>
      <c r="I262" s="5">
        <v>922396.91</v>
      </c>
      <c r="J262" s="5">
        <v>1067404.09</v>
      </c>
      <c r="K262" s="5">
        <v>1253159.39</v>
      </c>
      <c r="L262" s="5">
        <f t="shared" si="6"/>
        <v>1080986.797</v>
      </c>
      <c r="M262" s="5">
        <v>1.093976934999999E7</v>
      </c>
      <c r="N262" s="5">
        <v>1.196037788E7</v>
      </c>
      <c r="O262" s="5">
        <v>1.184277332E7</v>
      </c>
      <c r="P262" s="5">
        <f t="shared" si="14"/>
        <v>11580973.52</v>
      </c>
      <c r="Q262" s="5">
        <v>1415579.41</v>
      </c>
      <c r="R262" s="5">
        <v>880693.9700000001</v>
      </c>
      <c r="S262" s="5">
        <v>1049501.75</v>
      </c>
      <c r="T262" s="5">
        <f t="shared" si="15"/>
        <v>1115258.377</v>
      </c>
      <c r="U262" s="6">
        <v>7.968999043219941</v>
      </c>
      <c r="V262" s="6">
        <v>9.630091762679983</v>
      </c>
      <c r="W262" s="4"/>
      <c r="X262" s="4"/>
      <c r="Y262" s="4"/>
      <c r="Z262" s="4"/>
    </row>
    <row r="263" ht="14.25" customHeight="1">
      <c r="A263" s="5">
        <v>70303.0</v>
      </c>
      <c r="B263" s="5" t="s">
        <v>376</v>
      </c>
      <c r="C263" s="5" t="s">
        <v>363</v>
      </c>
      <c r="D263" s="5" t="s">
        <v>374</v>
      </c>
      <c r="E263" s="5">
        <v>5396466.459999999</v>
      </c>
      <c r="F263" s="5">
        <v>6510267.620437585</v>
      </c>
      <c r="G263" s="5">
        <v>7681064.1</v>
      </c>
      <c r="H263" s="5">
        <f t="shared" si="5"/>
        <v>6529266.06</v>
      </c>
      <c r="I263" s="5">
        <v>281146.53</v>
      </c>
      <c r="J263" s="5">
        <v>503271.79</v>
      </c>
      <c r="K263" s="5">
        <v>526990.27</v>
      </c>
      <c r="L263" s="5">
        <f t="shared" si="6"/>
        <v>437136.1967</v>
      </c>
      <c r="M263" s="5">
        <v>6153244.249999994</v>
      </c>
      <c r="N263" s="5">
        <v>8352899.250000001</v>
      </c>
      <c r="O263" s="5">
        <v>8541880.1</v>
      </c>
      <c r="P263" s="5">
        <f t="shared" si="14"/>
        <v>7682674.533</v>
      </c>
      <c r="Q263" s="5">
        <v>991638.24</v>
      </c>
      <c r="R263" s="5">
        <v>2348247.53</v>
      </c>
      <c r="S263" s="5">
        <v>2692458.02</v>
      </c>
      <c r="T263" s="5">
        <f t="shared" si="15"/>
        <v>2010781.263</v>
      </c>
      <c r="U263" s="6">
        <v>6.695028087994644</v>
      </c>
      <c r="V263" s="6">
        <v>26.172933066590577</v>
      </c>
      <c r="W263" s="4"/>
      <c r="X263" s="4"/>
      <c r="Y263" s="4"/>
      <c r="Z263" s="4"/>
    </row>
    <row r="264" ht="14.25" customHeight="1">
      <c r="A264" s="5">
        <v>70401.0</v>
      </c>
      <c r="B264" s="5" t="s">
        <v>377</v>
      </c>
      <c r="C264" s="5" t="s">
        <v>363</v>
      </c>
      <c r="D264" s="5" t="s">
        <v>378</v>
      </c>
      <c r="E264" s="5">
        <v>1.419278631E7</v>
      </c>
      <c r="F264" s="5">
        <v>1.579435557951402E7</v>
      </c>
      <c r="G264" s="5">
        <v>1.914551869E7</v>
      </c>
      <c r="H264" s="5">
        <f t="shared" si="5"/>
        <v>16377553.53</v>
      </c>
      <c r="I264" s="5">
        <v>886352.6100000001</v>
      </c>
      <c r="J264" s="5">
        <v>65123.64</v>
      </c>
      <c r="K264" s="5">
        <v>386103.9</v>
      </c>
      <c r="L264" s="5">
        <f t="shared" si="6"/>
        <v>445860.05</v>
      </c>
      <c r="M264" s="5">
        <v>1.328516446E7</v>
      </c>
      <c r="N264" s="5">
        <v>1.518747833E7</v>
      </c>
      <c r="O264" s="5">
        <v>1.558286561E7</v>
      </c>
      <c r="P264" s="5">
        <f t="shared" si="14"/>
        <v>14685169.47</v>
      </c>
      <c r="Q264" s="5">
        <v>2455899.85</v>
      </c>
      <c r="R264" s="5">
        <v>2589589.41</v>
      </c>
      <c r="S264" s="5">
        <v>3310632.85</v>
      </c>
      <c r="T264" s="5">
        <f t="shared" si="15"/>
        <v>2785374.037</v>
      </c>
      <c r="U264" s="6">
        <v>2.722384935444972</v>
      </c>
      <c r="V264" s="6">
        <v>18.967258382608975</v>
      </c>
      <c r="W264" s="4"/>
      <c r="X264" s="4"/>
      <c r="Y264" s="4"/>
      <c r="Z264" s="4"/>
    </row>
    <row r="265" ht="14.25" customHeight="1">
      <c r="A265" s="5">
        <v>70402.0</v>
      </c>
      <c r="B265" s="5" t="s">
        <v>379</v>
      </c>
      <c r="C265" s="5" t="s">
        <v>363</v>
      </c>
      <c r="D265" s="5" t="s">
        <v>378</v>
      </c>
      <c r="E265" s="5">
        <v>1.942946768E7</v>
      </c>
      <c r="F265" s="5">
        <v>2.193423234867822E7</v>
      </c>
      <c r="G265" s="5">
        <v>2.54387381E7</v>
      </c>
      <c r="H265" s="5">
        <f t="shared" si="5"/>
        <v>22267479.38</v>
      </c>
      <c r="I265" s="5">
        <v>3052098.37</v>
      </c>
      <c r="J265" s="5">
        <v>2498155.06</v>
      </c>
      <c r="K265" s="5">
        <v>2238613.8</v>
      </c>
      <c r="L265" s="5">
        <f t="shared" si="6"/>
        <v>2596289.077</v>
      </c>
      <c r="M265" s="5">
        <v>2.033389125999998E7</v>
      </c>
      <c r="N265" s="5">
        <v>2.36292573E7</v>
      </c>
      <c r="O265" s="5">
        <v>2.296473996E7</v>
      </c>
      <c r="P265" s="5">
        <f t="shared" si="14"/>
        <v>22309296.17</v>
      </c>
      <c r="Q265" s="5">
        <v>3438381.66</v>
      </c>
      <c r="R265" s="5">
        <v>3974452.45</v>
      </c>
      <c r="S265" s="5">
        <v>3818002.92</v>
      </c>
      <c r="T265" s="5">
        <f t="shared" si="15"/>
        <v>3743612.343</v>
      </c>
      <c r="U265" s="6">
        <v>11.659555321913087</v>
      </c>
      <c r="V265" s="6">
        <v>16.78050402956296</v>
      </c>
      <c r="W265" s="4"/>
      <c r="X265" s="4"/>
      <c r="Y265" s="4"/>
      <c r="Z265" s="4"/>
    </row>
    <row r="266" ht="14.25" customHeight="1">
      <c r="A266" s="5">
        <v>70403.0</v>
      </c>
      <c r="B266" s="5" t="s">
        <v>380</v>
      </c>
      <c r="C266" s="5" t="s">
        <v>363</v>
      </c>
      <c r="D266" s="5" t="s">
        <v>378</v>
      </c>
      <c r="E266" s="5">
        <v>3.470089481E7</v>
      </c>
      <c r="F266" s="5">
        <v>4.089063024027112E7</v>
      </c>
      <c r="G266" s="5">
        <v>4.804953557E7</v>
      </c>
      <c r="H266" s="5">
        <f t="shared" si="5"/>
        <v>41213686.87</v>
      </c>
      <c r="I266" s="5">
        <v>3169982.79</v>
      </c>
      <c r="J266" s="5">
        <v>3578199.1</v>
      </c>
      <c r="K266" s="5">
        <v>3538786.44</v>
      </c>
      <c r="L266" s="5">
        <f t="shared" si="6"/>
        <v>3428989.443</v>
      </c>
      <c r="M266" s="5">
        <v>6.088706461999994E7</v>
      </c>
      <c r="N266" s="5">
        <v>6.119286918E7</v>
      </c>
      <c r="O266" s="5">
        <v>6.156957744999999E7</v>
      </c>
      <c r="P266" s="5">
        <f t="shared" si="14"/>
        <v>61216503.75</v>
      </c>
      <c r="Q266" s="5">
        <v>1.837356989E7</v>
      </c>
      <c r="R266" s="5">
        <v>1.173643622E7</v>
      </c>
      <c r="S266" s="5">
        <v>1.339154488E7</v>
      </c>
      <c r="T266" s="5">
        <f t="shared" si="15"/>
        <v>14500517</v>
      </c>
      <c r="U266" s="6">
        <v>8.320025951244094</v>
      </c>
      <c r="V266" s="6">
        <v>23.68726749878569</v>
      </c>
      <c r="W266" s="4"/>
      <c r="X266" s="4"/>
      <c r="Y266" s="4"/>
      <c r="Z266" s="4"/>
    </row>
    <row r="267" ht="14.25" customHeight="1">
      <c r="A267" s="5">
        <v>70404.0</v>
      </c>
      <c r="B267" s="5" t="s">
        <v>381</v>
      </c>
      <c r="C267" s="5" t="s">
        <v>363</v>
      </c>
      <c r="D267" s="5" t="s">
        <v>378</v>
      </c>
      <c r="E267" s="5">
        <v>1.024438598E7</v>
      </c>
      <c r="F267" s="5">
        <v>1.212128627251139E7</v>
      </c>
      <c r="G267" s="5">
        <v>1.425813567E7</v>
      </c>
      <c r="H267" s="5">
        <f t="shared" si="5"/>
        <v>12207935.97</v>
      </c>
      <c r="I267" s="5">
        <v>1209021.29</v>
      </c>
      <c r="J267" s="5">
        <v>1386143.39</v>
      </c>
      <c r="K267" s="5">
        <v>1440762.13</v>
      </c>
      <c r="L267" s="5">
        <f t="shared" si="6"/>
        <v>1345308.937</v>
      </c>
      <c r="M267" s="5">
        <v>9484765.749999994</v>
      </c>
      <c r="N267" s="5">
        <v>1.054270836E7</v>
      </c>
      <c r="O267" s="5">
        <v>1.075293282E7</v>
      </c>
      <c r="P267" s="5">
        <f t="shared" si="14"/>
        <v>10260135.64</v>
      </c>
      <c r="Q267" s="5">
        <v>1756735.82</v>
      </c>
      <c r="R267" s="5">
        <v>1552513.15</v>
      </c>
      <c r="S267" s="5">
        <v>1995139.92</v>
      </c>
      <c r="T267" s="5">
        <f t="shared" si="15"/>
        <v>1768129.63</v>
      </c>
      <c r="U267" s="6">
        <v>11.01995406523322</v>
      </c>
      <c r="V267" s="6">
        <v>17.233004430588277</v>
      </c>
      <c r="W267" s="4"/>
      <c r="X267" s="4"/>
      <c r="Y267" s="4"/>
      <c r="Z267" s="4"/>
    </row>
    <row r="268" ht="14.25" customHeight="1">
      <c r="A268" s="5">
        <v>70501.0</v>
      </c>
      <c r="B268" s="5" t="s">
        <v>382</v>
      </c>
      <c r="C268" s="5" t="s">
        <v>363</v>
      </c>
      <c r="D268" s="5" t="s">
        <v>383</v>
      </c>
      <c r="E268" s="5">
        <v>1.968500072E7</v>
      </c>
      <c r="F268" s="5">
        <v>2.724410520056855E7</v>
      </c>
      <c r="G268" s="5">
        <v>3.288973832000001E7</v>
      </c>
      <c r="H268" s="5">
        <f t="shared" si="5"/>
        <v>26606281.41</v>
      </c>
      <c r="I268" s="5">
        <v>3309912.61</v>
      </c>
      <c r="J268" s="5">
        <v>7764860.09</v>
      </c>
      <c r="K268" s="5">
        <v>9626276.43</v>
      </c>
      <c r="L268" s="5">
        <f t="shared" si="6"/>
        <v>6900349.71</v>
      </c>
      <c r="M268" s="5">
        <v>2.794077812999998E7</v>
      </c>
      <c r="N268" s="5">
        <v>3.288314062E7</v>
      </c>
      <c r="O268" s="5">
        <v>3.17604576E7</v>
      </c>
      <c r="P268" s="5">
        <f t="shared" si="14"/>
        <v>30861458.78</v>
      </c>
      <c r="Q268" s="5">
        <v>3620972.15</v>
      </c>
      <c r="R268" s="5">
        <v>4591586.14</v>
      </c>
      <c r="S268" s="5">
        <v>4200219.43</v>
      </c>
      <c r="T268" s="5">
        <f t="shared" si="15"/>
        <v>4137592.573</v>
      </c>
      <c r="U268" s="6">
        <v>25.935039935692938</v>
      </c>
      <c r="V268" s="6">
        <v>13.406989612454195</v>
      </c>
      <c r="W268" s="4"/>
      <c r="X268" s="4"/>
      <c r="Y268" s="4"/>
      <c r="Z268" s="4"/>
    </row>
    <row r="269" ht="14.25" customHeight="1">
      <c r="A269" s="5">
        <v>70502.0</v>
      </c>
      <c r="B269" s="5" t="s">
        <v>384</v>
      </c>
      <c r="C269" s="5" t="s">
        <v>363</v>
      </c>
      <c r="D269" s="5" t="s">
        <v>383</v>
      </c>
      <c r="E269" s="5">
        <v>3.223934667E7</v>
      </c>
      <c r="F269" s="5">
        <v>3.846484356318928E7</v>
      </c>
      <c r="G269" s="5">
        <v>4.677462627E7</v>
      </c>
      <c r="H269" s="5">
        <f t="shared" si="5"/>
        <v>39159605.5</v>
      </c>
      <c r="I269" s="5">
        <v>4206039.74</v>
      </c>
      <c r="J269" s="5">
        <v>5069431.08</v>
      </c>
      <c r="K269" s="5">
        <v>6879264.21</v>
      </c>
      <c r="L269" s="5">
        <f t="shared" si="6"/>
        <v>5384911.677</v>
      </c>
      <c r="M269" s="5">
        <v>4.742848397999995E7</v>
      </c>
      <c r="N269" s="5">
        <v>5.42027262E7</v>
      </c>
      <c r="O269" s="5">
        <v>5.484587718E7</v>
      </c>
      <c r="P269" s="5">
        <f t="shared" si="14"/>
        <v>52159029.12</v>
      </c>
      <c r="Q269" s="5">
        <v>1.558767842E7</v>
      </c>
      <c r="R269" s="5">
        <v>1.71619264E7</v>
      </c>
      <c r="S269" s="5">
        <v>1.876255025E7</v>
      </c>
      <c r="T269" s="5">
        <f t="shared" si="15"/>
        <v>17170718.36</v>
      </c>
      <c r="U269" s="6">
        <v>13.751189798172193</v>
      </c>
      <c r="V269" s="6">
        <v>32.9199347579165</v>
      </c>
      <c r="W269" s="4"/>
      <c r="X269" s="4"/>
      <c r="Y269" s="4"/>
      <c r="Z269" s="4"/>
    </row>
    <row r="270" ht="14.25" customHeight="1">
      <c r="A270" s="5">
        <v>70503.0</v>
      </c>
      <c r="B270" s="5" t="s">
        <v>385</v>
      </c>
      <c r="C270" s="5" t="s">
        <v>363</v>
      </c>
      <c r="D270" s="5" t="s">
        <v>383</v>
      </c>
      <c r="E270" s="5">
        <v>1.607723533E7</v>
      </c>
      <c r="F270" s="5">
        <v>1.910676885484702E7</v>
      </c>
      <c r="G270" s="5">
        <v>2.293931927E7</v>
      </c>
      <c r="H270" s="5">
        <f t="shared" si="5"/>
        <v>19374441.15</v>
      </c>
      <c r="I270" s="5">
        <v>1156255.03</v>
      </c>
      <c r="J270" s="5">
        <v>1304179.56</v>
      </c>
      <c r="K270" s="5">
        <v>1664583.22</v>
      </c>
      <c r="L270" s="5">
        <f t="shared" si="6"/>
        <v>1375005.937</v>
      </c>
      <c r="M270" s="5">
        <v>1.665467375999999E7</v>
      </c>
      <c r="N270" s="5">
        <v>1.90065649E7</v>
      </c>
      <c r="O270" s="5">
        <v>1.821429417E7</v>
      </c>
      <c r="P270" s="5">
        <f t="shared" si="14"/>
        <v>17958510.94</v>
      </c>
      <c r="Q270" s="5">
        <v>3502846.34</v>
      </c>
      <c r="R270" s="5">
        <v>3706818.2</v>
      </c>
      <c r="S270" s="5">
        <v>3310043.23</v>
      </c>
      <c r="T270" s="5">
        <f t="shared" si="15"/>
        <v>3506569.257</v>
      </c>
      <c r="U270" s="6">
        <v>7.097009539044185</v>
      </c>
      <c r="V270" s="6">
        <v>19.525946598419935</v>
      </c>
      <c r="W270" s="4"/>
      <c r="X270" s="4"/>
      <c r="Y270" s="4"/>
      <c r="Z270" s="4"/>
    </row>
    <row r="271" ht="14.25" customHeight="1">
      <c r="A271" s="5">
        <v>70601.0</v>
      </c>
      <c r="B271" s="5" t="s">
        <v>386</v>
      </c>
      <c r="C271" s="5" t="s">
        <v>363</v>
      </c>
      <c r="D271" s="5" t="s">
        <v>387</v>
      </c>
      <c r="E271" s="5">
        <v>1.832838819E7</v>
      </c>
      <c r="F271" s="5">
        <v>2.264019789750021E7</v>
      </c>
      <c r="G271" s="5">
        <v>2.698163016E7</v>
      </c>
      <c r="H271" s="5">
        <f t="shared" si="5"/>
        <v>22650072.08</v>
      </c>
      <c r="I271" s="5">
        <v>2373180.68</v>
      </c>
      <c r="J271" s="5">
        <v>3552129.73</v>
      </c>
      <c r="K271" s="5">
        <v>4157486.52</v>
      </c>
      <c r="L271" s="5">
        <f t="shared" si="6"/>
        <v>3360932.31</v>
      </c>
      <c r="M271" s="5">
        <v>2.266858234999999E7</v>
      </c>
      <c r="N271" s="5">
        <v>2.52117167E7</v>
      </c>
      <c r="O271" s="5">
        <v>2.403162918E7</v>
      </c>
      <c r="P271" s="5">
        <f t="shared" si="14"/>
        <v>23970642.74</v>
      </c>
      <c r="Q271" s="5">
        <v>7629777.269999999</v>
      </c>
      <c r="R271" s="5">
        <v>7716832.649999999</v>
      </c>
      <c r="S271" s="5">
        <v>6988981.890000001</v>
      </c>
      <c r="T271" s="5">
        <f t="shared" si="15"/>
        <v>7445197.27</v>
      </c>
      <c r="U271" s="6">
        <v>14.838506022224662</v>
      </c>
      <c r="V271" s="6">
        <v>31.059648044150357</v>
      </c>
      <c r="W271" s="4"/>
      <c r="X271" s="4"/>
      <c r="Y271" s="4"/>
      <c r="Z271" s="4"/>
    </row>
    <row r="272" ht="14.25" customHeight="1">
      <c r="A272" s="5">
        <v>70602.0</v>
      </c>
      <c r="B272" s="5" t="s">
        <v>388</v>
      </c>
      <c r="C272" s="5" t="s">
        <v>363</v>
      </c>
      <c r="D272" s="5" t="s">
        <v>387</v>
      </c>
      <c r="E272" s="5">
        <v>1.78504859E7</v>
      </c>
      <c r="F272" s="5">
        <v>1.922344300643966E7</v>
      </c>
      <c r="G272" s="5">
        <v>2.229609114E7</v>
      </c>
      <c r="H272" s="5">
        <f t="shared" si="5"/>
        <v>19790006.68</v>
      </c>
      <c r="I272" s="5">
        <v>2463365.48</v>
      </c>
      <c r="J272" s="5">
        <v>1171585.08</v>
      </c>
      <c r="K272" s="5">
        <v>802015.2</v>
      </c>
      <c r="L272" s="5">
        <f t="shared" si="6"/>
        <v>1478988.587</v>
      </c>
      <c r="M272" s="5">
        <v>1.813794545999999E7</v>
      </c>
      <c r="N272" s="5">
        <v>2.050428043E7</v>
      </c>
      <c r="O272" s="5">
        <v>2.131266954E7</v>
      </c>
      <c r="P272" s="5">
        <f t="shared" si="14"/>
        <v>19984965.14</v>
      </c>
      <c r="Q272" s="5">
        <v>1992610.55</v>
      </c>
      <c r="R272" s="5">
        <v>1706400.94</v>
      </c>
      <c r="S272" s="5">
        <v>3000707.4</v>
      </c>
      <c r="T272" s="5">
        <f t="shared" si="15"/>
        <v>2233239.63</v>
      </c>
      <c r="U272" s="6">
        <v>7.473411254585013</v>
      </c>
      <c r="V272" s="6">
        <v>11.174598574393682</v>
      </c>
      <c r="W272" s="4"/>
      <c r="X272" s="4"/>
      <c r="Y272" s="4"/>
      <c r="Z272" s="4"/>
    </row>
    <row r="273" ht="14.25" customHeight="1">
      <c r="A273" s="5">
        <v>70603.0</v>
      </c>
      <c r="B273" s="5" t="s">
        <v>389</v>
      </c>
      <c r="C273" s="5" t="s">
        <v>363</v>
      </c>
      <c r="D273" s="5" t="s">
        <v>387</v>
      </c>
      <c r="E273" s="5">
        <v>7243520.49</v>
      </c>
      <c r="F273" s="5">
        <v>8399989.622585356</v>
      </c>
      <c r="G273" s="5">
        <v>1.05354515E7</v>
      </c>
      <c r="H273" s="5">
        <f t="shared" si="5"/>
        <v>8726320.538</v>
      </c>
      <c r="I273" s="5">
        <v>1269578.26</v>
      </c>
      <c r="J273" s="5">
        <v>1193429.03</v>
      </c>
      <c r="K273" s="5">
        <v>1903028.36</v>
      </c>
      <c r="L273" s="5">
        <f t="shared" si="6"/>
        <v>1455345.217</v>
      </c>
      <c r="M273" s="5">
        <v>2.06754489E7</v>
      </c>
      <c r="N273" s="5">
        <v>1.941283041E7</v>
      </c>
      <c r="O273" s="5">
        <v>2.044867898E7</v>
      </c>
      <c r="P273" s="5">
        <f t="shared" si="14"/>
        <v>20178986.1</v>
      </c>
      <c r="Q273" s="5">
        <v>1.557270538E7</v>
      </c>
      <c r="R273" s="5">
        <v>1.347665405E7</v>
      </c>
      <c r="S273" s="5">
        <v>1.466596213E7</v>
      </c>
      <c r="T273" s="5">
        <f t="shared" si="15"/>
        <v>14571773.85</v>
      </c>
      <c r="U273" s="6">
        <v>16.67765022391514</v>
      </c>
      <c r="V273" s="6">
        <v>72.21261654836275</v>
      </c>
      <c r="W273" s="4"/>
      <c r="X273" s="4"/>
      <c r="Y273" s="4"/>
      <c r="Z273" s="4"/>
    </row>
    <row r="274" ht="14.25" customHeight="1">
      <c r="A274" s="5">
        <v>70701.0</v>
      </c>
      <c r="B274" s="5" t="s">
        <v>390</v>
      </c>
      <c r="C274" s="5" t="s">
        <v>363</v>
      </c>
      <c r="D274" s="5" t="s">
        <v>391</v>
      </c>
      <c r="E274" s="5">
        <v>5482399.030000001</v>
      </c>
      <c r="F274" s="5">
        <v>6387187.968073846</v>
      </c>
      <c r="G274" s="5">
        <v>7593651.640000002</v>
      </c>
      <c r="H274" s="5">
        <f t="shared" si="5"/>
        <v>6487746.213</v>
      </c>
      <c r="I274" s="5">
        <v>47650.64</v>
      </c>
      <c r="J274" s="5">
        <v>26818.76</v>
      </c>
      <c r="K274" s="5">
        <v>24426.95</v>
      </c>
      <c r="L274" s="5">
        <f t="shared" si="6"/>
        <v>32965.45</v>
      </c>
      <c r="M274" s="5">
        <v>4511590.979999997</v>
      </c>
      <c r="N274" s="5">
        <v>5626960.199999999</v>
      </c>
      <c r="O274" s="5">
        <v>5257233.569999999</v>
      </c>
      <c r="P274" s="5">
        <f t="shared" si="14"/>
        <v>5131928.25</v>
      </c>
      <c r="Q274" s="5">
        <v>0.0</v>
      </c>
      <c r="R274" s="5">
        <v>378476.8</v>
      </c>
      <c r="S274" s="5">
        <v>144433.8</v>
      </c>
      <c r="T274" s="5">
        <f t="shared" si="15"/>
        <v>174303.5333</v>
      </c>
      <c r="U274" s="6">
        <v>0.5081186735620642</v>
      </c>
      <c r="V274" s="6">
        <v>3.3964530453700976</v>
      </c>
      <c r="W274" s="4"/>
      <c r="X274" s="4"/>
      <c r="Y274" s="4"/>
      <c r="Z274" s="4"/>
    </row>
    <row r="275" ht="14.25" customHeight="1">
      <c r="A275" s="5">
        <v>70702.0</v>
      </c>
      <c r="B275" s="5" t="s">
        <v>392</v>
      </c>
      <c r="C275" s="5" t="s">
        <v>363</v>
      </c>
      <c r="D275" s="5" t="s">
        <v>391</v>
      </c>
      <c r="E275" s="5">
        <v>2.597599229E7</v>
      </c>
      <c r="F275" s="5">
        <v>3.066429381806834E7</v>
      </c>
      <c r="G275" s="5">
        <v>3.689833966999999E7</v>
      </c>
      <c r="H275" s="5">
        <f t="shared" si="5"/>
        <v>31179541.93</v>
      </c>
      <c r="I275" s="5">
        <v>1297065.67</v>
      </c>
      <c r="J275" s="5">
        <v>1579241.55</v>
      </c>
      <c r="K275" s="5">
        <v>2232891.81</v>
      </c>
      <c r="L275" s="5">
        <f t="shared" si="6"/>
        <v>1703066.343</v>
      </c>
      <c r="M275" s="5">
        <v>3.341418033E7</v>
      </c>
      <c r="N275" s="5">
        <v>3.341418033E7</v>
      </c>
      <c r="O275" s="5">
        <v>3.341418033E7</v>
      </c>
      <c r="P275" s="5">
        <v>3.341418033E7</v>
      </c>
      <c r="Q275" s="5">
        <v>2395126.8099999987</v>
      </c>
      <c r="R275" s="5">
        <v>2395126.8099999987</v>
      </c>
      <c r="S275" s="5">
        <v>2395126.8099999987</v>
      </c>
      <c r="T275" s="5">
        <f>P275-31019053.52</f>
        <v>2395126.81</v>
      </c>
      <c r="U275" s="6">
        <v>5.462127530205746</v>
      </c>
      <c r="V275" s="6">
        <v>7.167995103712301</v>
      </c>
      <c r="W275" s="4"/>
      <c r="X275" s="4"/>
      <c r="Y275" s="4"/>
      <c r="Z275" s="4"/>
    </row>
    <row r="276" ht="14.25" customHeight="1">
      <c r="A276" s="5">
        <v>70703.0</v>
      </c>
      <c r="B276" s="5" t="s">
        <v>393</v>
      </c>
      <c r="C276" s="5" t="s">
        <v>363</v>
      </c>
      <c r="D276" s="5" t="s">
        <v>391</v>
      </c>
      <c r="E276" s="5">
        <v>2.377692616E7</v>
      </c>
      <c r="F276" s="5">
        <v>2.822030346277855E7</v>
      </c>
      <c r="G276" s="5">
        <v>3.313281716E7</v>
      </c>
      <c r="H276" s="5">
        <f t="shared" si="5"/>
        <v>28376682.26</v>
      </c>
      <c r="I276" s="5">
        <v>1634525.4</v>
      </c>
      <c r="J276" s="5">
        <v>1949282.49</v>
      </c>
      <c r="K276" s="5">
        <v>1775848.74</v>
      </c>
      <c r="L276" s="5">
        <f t="shared" si="6"/>
        <v>1786552.21</v>
      </c>
      <c r="M276" s="5">
        <v>2.752830722999997E7</v>
      </c>
      <c r="N276" s="5">
        <v>3.294514974E7</v>
      </c>
      <c r="O276" s="5">
        <v>3.120908077E7</v>
      </c>
      <c r="P276" s="5">
        <f t="shared" ref="P276:P328" si="16">AVERAGE(M276:O276)</f>
        <v>30560845.91</v>
      </c>
      <c r="Q276" s="5">
        <v>5302220.63</v>
      </c>
      <c r="R276" s="5">
        <v>7087419.590000001</v>
      </c>
      <c r="S276" s="5">
        <v>6019755.930000001</v>
      </c>
      <c r="T276" s="5">
        <f t="shared" ref="T276:T328" si="17">AVERAGE(Q276:S276)</f>
        <v>6136465.383</v>
      </c>
      <c r="U276" s="6">
        <v>6.295845982178217</v>
      </c>
      <c r="V276" s="6">
        <v>20.07950107381049</v>
      </c>
      <c r="W276" s="4"/>
      <c r="X276" s="4"/>
      <c r="Y276" s="4"/>
      <c r="Z276" s="4"/>
    </row>
    <row r="277" ht="14.25" customHeight="1">
      <c r="A277" s="5">
        <v>70704.0</v>
      </c>
      <c r="B277" s="5" t="s">
        <v>394</v>
      </c>
      <c r="C277" s="5" t="s">
        <v>363</v>
      </c>
      <c r="D277" s="5" t="s">
        <v>391</v>
      </c>
      <c r="E277" s="5">
        <v>3532123.12</v>
      </c>
      <c r="F277" s="5">
        <v>4142895.375315792</v>
      </c>
      <c r="G277" s="5">
        <v>5247944.79</v>
      </c>
      <c r="H277" s="5">
        <f t="shared" si="5"/>
        <v>4307654.428</v>
      </c>
      <c r="I277" s="5">
        <v>68388.64</v>
      </c>
      <c r="J277" s="5">
        <v>71325.89</v>
      </c>
      <c r="K277" s="5">
        <v>397810.27</v>
      </c>
      <c r="L277" s="5">
        <f t="shared" si="6"/>
        <v>179174.9333</v>
      </c>
      <c r="M277" s="5">
        <v>4440460.519999998</v>
      </c>
      <c r="N277" s="5">
        <v>5171717.199999999</v>
      </c>
      <c r="O277" s="5">
        <v>5094196.5</v>
      </c>
      <c r="P277" s="5">
        <f t="shared" si="16"/>
        <v>4902124.74</v>
      </c>
      <c r="Q277" s="5">
        <v>192911.15</v>
      </c>
      <c r="R277" s="5">
        <v>230395.98</v>
      </c>
      <c r="S277" s="5">
        <v>280619.19</v>
      </c>
      <c r="T277" s="5">
        <f t="shared" si="17"/>
        <v>234642.1067</v>
      </c>
      <c r="U277" s="6">
        <v>4.159454670979241</v>
      </c>
      <c r="V277" s="6">
        <v>4.786538880825516</v>
      </c>
      <c r="W277" s="4"/>
      <c r="X277" s="4"/>
      <c r="Y277" s="4"/>
      <c r="Z277" s="4"/>
    </row>
    <row r="278" ht="14.25" customHeight="1">
      <c r="A278" s="5">
        <v>70705.0</v>
      </c>
      <c r="B278" s="5" t="s">
        <v>395</v>
      </c>
      <c r="C278" s="5" t="s">
        <v>363</v>
      </c>
      <c r="D278" s="5" t="s">
        <v>391</v>
      </c>
      <c r="E278" s="5">
        <v>1.220471019E7</v>
      </c>
      <c r="F278" s="5">
        <v>1.397575263464847E7</v>
      </c>
      <c r="G278" s="5">
        <v>1.670789855E7</v>
      </c>
      <c r="H278" s="5">
        <f t="shared" si="5"/>
        <v>14296120.46</v>
      </c>
      <c r="I278" s="5">
        <v>242980.32</v>
      </c>
      <c r="J278" s="5">
        <v>84877.45</v>
      </c>
      <c r="K278" s="5">
        <v>205321.31</v>
      </c>
      <c r="L278" s="5">
        <f t="shared" si="6"/>
        <v>177726.36</v>
      </c>
      <c r="M278" s="5">
        <f>3601952.83+6801667.38</f>
        <v>10403620.21</v>
      </c>
      <c r="N278" s="5">
        <v>1.215324266E7</v>
      </c>
      <c r="O278" s="5">
        <v>1.18214912E7</v>
      </c>
      <c r="P278" s="5">
        <f t="shared" si="16"/>
        <v>11459451.36</v>
      </c>
      <c r="Q278" s="5">
        <f>13798.05+(6801667.38-6744310.1)</f>
        <v>71155.33</v>
      </c>
      <c r="R278" s="5">
        <f>N278-12005084.52</f>
        <v>148158.14</v>
      </c>
      <c r="S278" s="5">
        <f>O278-11724939.94</f>
        <v>96551.26</v>
      </c>
      <c r="T278" s="5">
        <f t="shared" si="17"/>
        <v>105288.2433</v>
      </c>
      <c r="U278" s="6">
        <v>1.243178948578728</v>
      </c>
      <c r="V278" s="6">
        <v>0.9187895655412935</v>
      </c>
      <c r="W278" s="4"/>
      <c r="X278" s="4"/>
      <c r="Y278" s="4"/>
      <c r="Z278" s="4"/>
    </row>
    <row r="279" ht="14.25" customHeight="1">
      <c r="A279" s="5">
        <v>70706.0</v>
      </c>
      <c r="B279" s="5" t="s">
        <v>396</v>
      </c>
      <c r="C279" s="5" t="s">
        <v>363</v>
      </c>
      <c r="D279" s="5" t="s">
        <v>391</v>
      </c>
      <c r="E279" s="5">
        <v>4.004730471E7</v>
      </c>
      <c r="F279" s="5">
        <v>4.728452172524115E7</v>
      </c>
      <c r="G279" s="5">
        <v>5.343870025E7</v>
      </c>
      <c r="H279" s="5">
        <f t="shared" si="5"/>
        <v>46923508.9</v>
      </c>
      <c r="I279" s="5">
        <v>1.067704196E7</v>
      </c>
      <c r="J279" s="5">
        <v>1.182663947E7</v>
      </c>
      <c r="K279" s="5">
        <v>1.095896519E7</v>
      </c>
      <c r="L279" s="5">
        <f t="shared" si="6"/>
        <v>11154215.54</v>
      </c>
      <c r="M279" s="5">
        <v>3.895283309999997E7</v>
      </c>
      <c r="N279" s="5">
        <v>4.412986257000001E7</v>
      </c>
      <c r="O279" s="5">
        <v>4.303430476000001E7</v>
      </c>
      <c r="P279" s="5">
        <f t="shared" si="16"/>
        <v>42039000.14</v>
      </c>
      <c r="Q279" s="5">
        <v>1.049916869E7</v>
      </c>
      <c r="R279" s="5">
        <v>1.102935414E7</v>
      </c>
      <c r="S279" s="5">
        <v>1.078941799E7</v>
      </c>
      <c r="T279" s="5">
        <f t="shared" si="17"/>
        <v>10772646.94</v>
      </c>
      <c r="U279" s="6">
        <v>23.771060184225576</v>
      </c>
      <c r="V279" s="6">
        <v>25.625364312353554</v>
      </c>
      <c r="W279" s="4"/>
      <c r="X279" s="4"/>
      <c r="Y279" s="4"/>
      <c r="Z279" s="4"/>
    </row>
    <row r="280" ht="14.25" customHeight="1">
      <c r="A280" s="5">
        <v>70707.0</v>
      </c>
      <c r="B280" s="5" t="s">
        <v>397</v>
      </c>
      <c r="C280" s="5" t="s">
        <v>363</v>
      </c>
      <c r="D280" s="5" t="s">
        <v>391</v>
      </c>
      <c r="E280" s="5">
        <v>4201111.14</v>
      </c>
      <c r="F280" s="5">
        <v>5058021.886797721</v>
      </c>
      <c r="G280" s="5">
        <v>6007013.21</v>
      </c>
      <c r="H280" s="5">
        <f t="shared" si="5"/>
        <v>5088715.412</v>
      </c>
      <c r="I280" s="5">
        <v>154059.34</v>
      </c>
      <c r="J280" s="5">
        <v>276976.5</v>
      </c>
      <c r="K280" s="5">
        <v>305574.3</v>
      </c>
      <c r="L280" s="5">
        <f t="shared" si="6"/>
        <v>245536.7133</v>
      </c>
      <c r="M280" s="5">
        <v>4580361.979999997</v>
      </c>
      <c r="N280" s="5">
        <v>5518189.609999999</v>
      </c>
      <c r="O280" s="5">
        <v>5234009.71</v>
      </c>
      <c r="P280" s="5">
        <f t="shared" si="16"/>
        <v>5110853.767</v>
      </c>
      <c r="Q280" s="5">
        <v>303381.68</v>
      </c>
      <c r="R280" s="5">
        <v>542630.91</v>
      </c>
      <c r="S280" s="5">
        <v>387079.97</v>
      </c>
      <c r="T280" s="5">
        <f t="shared" si="17"/>
        <v>411030.8533</v>
      </c>
      <c r="U280" s="6">
        <v>4.82512173389552</v>
      </c>
      <c r="V280" s="6">
        <v>8.04231293045605</v>
      </c>
      <c r="W280" s="4"/>
      <c r="X280" s="4"/>
      <c r="Y280" s="4"/>
      <c r="Z280" s="4"/>
    </row>
    <row r="281" ht="14.25" customHeight="1">
      <c r="A281" s="5">
        <v>70801.0</v>
      </c>
      <c r="B281" s="5" t="s">
        <v>398</v>
      </c>
      <c r="C281" s="5" t="s">
        <v>363</v>
      </c>
      <c r="D281" s="5" t="s">
        <v>399</v>
      </c>
      <c r="E281" s="5">
        <v>1.982304861E7</v>
      </c>
      <c r="F281" s="5">
        <v>2.366646430302019E7</v>
      </c>
      <c r="G281" s="5">
        <v>2.838277585E7</v>
      </c>
      <c r="H281" s="5">
        <f t="shared" si="5"/>
        <v>23957429.59</v>
      </c>
      <c r="I281" s="5">
        <v>3334969.489999999</v>
      </c>
      <c r="J281" s="5">
        <v>3995767.25</v>
      </c>
      <c r="K281" s="5">
        <v>4876019.759999999</v>
      </c>
      <c r="L281" s="5">
        <f t="shared" si="6"/>
        <v>4068918.833</v>
      </c>
      <c r="M281" s="5">
        <v>2.005597130999999E7</v>
      </c>
      <c r="N281" s="5">
        <v>2.225290955E7</v>
      </c>
      <c r="O281" s="5">
        <v>2.262587065E7</v>
      </c>
      <c r="P281" s="5">
        <f t="shared" si="16"/>
        <v>21644917.17</v>
      </c>
      <c r="Q281" s="5">
        <v>5586455.030000001</v>
      </c>
      <c r="R281" s="5">
        <v>5420283.79</v>
      </c>
      <c r="S281" s="5">
        <v>6228363.250000001</v>
      </c>
      <c r="T281" s="5">
        <f t="shared" si="17"/>
        <v>5745034.023</v>
      </c>
      <c r="U281" s="6">
        <v>16.983954052511862</v>
      </c>
      <c r="V281" s="6">
        <v>26.542185300186734</v>
      </c>
      <c r="W281" s="4"/>
      <c r="X281" s="4"/>
      <c r="Y281" s="4"/>
      <c r="Z281" s="4"/>
    </row>
    <row r="282" ht="14.25" customHeight="1">
      <c r="A282" s="5">
        <v>70802.0</v>
      </c>
      <c r="B282" s="5" t="s">
        <v>400</v>
      </c>
      <c r="C282" s="5" t="s">
        <v>363</v>
      </c>
      <c r="D282" s="5" t="s">
        <v>399</v>
      </c>
      <c r="E282" s="5">
        <v>2206329.23</v>
      </c>
      <c r="F282" s="5">
        <v>2891426.108234666</v>
      </c>
      <c r="G282" s="5">
        <v>3045317.7</v>
      </c>
      <c r="H282" s="5">
        <f t="shared" si="5"/>
        <v>2714357.679</v>
      </c>
      <c r="I282" s="5">
        <v>82000.0</v>
      </c>
      <c r="J282" s="5">
        <v>374049.4</v>
      </c>
      <c r="K282" s="5">
        <v>41246.5</v>
      </c>
      <c r="L282" s="5">
        <f t="shared" si="6"/>
        <v>165765.3</v>
      </c>
      <c r="M282" s="5">
        <v>1996046.859999997</v>
      </c>
      <c r="N282" s="5">
        <v>2303241.15</v>
      </c>
      <c r="O282" s="5">
        <v>2118762.5</v>
      </c>
      <c r="P282" s="5">
        <f t="shared" si="16"/>
        <v>2139350.17</v>
      </c>
      <c r="Q282" s="5">
        <v>201399.88</v>
      </c>
      <c r="R282" s="5">
        <v>215410.48</v>
      </c>
      <c r="S282" s="5">
        <v>84909.1</v>
      </c>
      <c r="T282" s="5">
        <f t="shared" si="17"/>
        <v>167239.82</v>
      </c>
      <c r="U282" s="6">
        <v>6.106980714344774</v>
      </c>
      <c r="V282" s="6">
        <v>7.817318658029698</v>
      </c>
      <c r="W282" s="4"/>
      <c r="X282" s="4"/>
      <c r="Y282" s="4"/>
      <c r="Z282" s="4"/>
    </row>
    <row r="283" ht="14.25" customHeight="1">
      <c r="A283" s="5">
        <v>70803.0</v>
      </c>
      <c r="B283" s="5" t="s">
        <v>401</v>
      </c>
      <c r="C283" s="5" t="s">
        <v>363</v>
      </c>
      <c r="D283" s="5" t="s">
        <v>399</v>
      </c>
      <c r="E283" s="5">
        <v>3634286.890000001</v>
      </c>
      <c r="F283" s="5">
        <v>6132630.396851545</v>
      </c>
      <c r="G283" s="5">
        <v>5333081.089999999</v>
      </c>
      <c r="H283" s="5">
        <f t="shared" si="5"/>
        <v>5033332.792</v>
      </c>
      <c r="I283" s="5">
        <v>200486.05</v>
      </c>
      <c r="J283" s="5">
        <v>2101131.07</v>
      </c>
      <c r="K283" s="5">
        <v>531938.85</v>
      </c>
      <c r="L283" s="5">
        <f t="shared" si="6"/>
        <v>944518.6567</v>
      </c>
      <c r="M283" s="5">
        <v>2670128.169999997</v>
      </c>
      <c r="N283" s="5">
        <v>3006331.97</v>
      </c>
      <c r="O283" s="5">
        <v>2935639.28</v>
      </c>
      <c r="P283" s="5">
        <f t="shared" si="16"/>
        <v>2870699.807</v>
      </c>
      <c r="Q283" s="5">
        <v>344033.48</v>
      </c>
      <c r="R283" s="5">
        <v>300255.39</v>
      </c>
      <c r="S283" s="5">
        <v>299528.88</v>
      </c>
      <c r="T283" s="5">
        <f t="shared" si="17"/>
        <v>314605.9167</v>
      </c>
      <c r="U283" s="6">
        <v>18.765273341644</v>
      </c>
      <c r="V283" s="6">
        <v>10.959206390582988</v>
      </c>
      <c r="W283" s="4"/>
      <c r="X283" s="4"/>
      <c r="Y283" s="4"/>
      <c r="Z283" s="4"/>
    </row>
    <row r="284" ht="14.25" customHeight="1">
      <c r="A284" s="5">
        <v>70804.0</v>
      </c>
      <c r="B284" s="5" t="s">
        <v>402</v>
      </c>
      <c r="C284" s="5" t="s">
        <v>363</v>
      </c>
      <c r="D284" s="5" t="s">
        <v>399</v>
      </c>
      <c r="E284" s="5">
        <v>2702238.49</v>
      </c>
      <c r="F284" s="5">
        <v>3127083.922400161</v>
      </c>
      <c r="G284" s="5">
        <v>3693733.38</v>
      </c>
      <c r="H284" s="5">
        <f t="shared" si="5"/>
        <v>3174351.931</v>
      </c>
      <c r="I284" s="5">
        <v>145972.79</v>
      </c>
      <c r="J284" s="5">
        <v>107822.31</v>
      </c>
      <c r="K284" s="5">
        <v>93343.16</v>
      </c>
      <c r="L284" s="5">
        <f t="shared" si="6"/>
        <v>115712.7533</v>
      </c>
      <c r="M284" s="5">
        <v>2017848.929999998</v>
      </c>
      <c r="N284" s="5">
        <v>2395585.6</v>
      </c>
      <c r="O284" s="5">
        <v>2349440.41</v>
      </c>
      <c r="P284" s="5">
        <f t="shared" si="16"/>
        <v>2254291.647</v>
      </c>
      <c r="Q284" s="5">
        <v>8772.29</v>
      </c>
      <c r="R284" s="5">
        <v>58299.17</v>
      </c>
      <c r="S284" s="5">
        <v>72587.22</v>
      </c>
      <c r="T284" s="5">
        <f t="shared" si="17"/>
        <v>46552.89333</v>
      </c>
      <c r="U284" s="6">
        <v>3.6452402208651593</v>
      </c>
      <c r="V284" s="6">
        <v>2.065078553707516</v>
      </c>
      <c r="W284" s="4"/>
      <c r="X284" s="4"/>
      <c r="Y284" s="4"/>
      <c r="Z284" s="4"/>
    </row>
    <row r="285" ht="14.25" customHeight="1">
      <c r="A285" s="5">
        <v>70805.0</v>
      </c>
      <c r="B285" s="5" t="s">
        <v>403</v>
      </c>
      <c r="C285" s="5" t="s">
        <v>363</v>
      </c>
      <c r="D285" s="5" t="s">
        <v>399</v>
      </c>
      <c r="E285" s="5">
        <v>2655948.62</v>
      </c>
      <c r="F285" s="5">
        <v>3104101.148764302</v>
      </c>
      <c r="G285" s="5">
        <v>3700510.540000001</v>
      </c>
      <c r="H285" s="5">
        <f t="shared" si="5"/>
        <v>3153520.103</v>
      </c>
      <c r="I285" s="5">
        <v>43778.15</v>
      </c>
      <c r="J285" s="5">
        <v>43131.05</v>
      </c>
      <c r="K285" s="5">
        <v>56676.64</v>
      </c>
      <c r="L285" s="5">
        <f t="shared" si="6"/>
        <v>47861.94667</v>
      </c>
      <c r="M285" s="5">
        <v>1917109.349999998</v>
      </c>
      <c r="N285" s="5">
        <v>2092926.92</v>
      </c>
      <c r="O285" s="5">
        <v>2060195.99</v>
      </c>
      <c r="P285" s="5">
        <f t="shared" si="16"/>
        <v>2023410.753</v>
      </c>
      <c r="Q285" s="5">
        <v>172083.34</v>
      </c>
      <c r="R285" s="5">
        <v>62803.6</v>
      </c>
      <c r="S285" s="5">
        <v>82566.07</v>
      </c>
      <c r="T285" s="5">
        <f t="shared" si="17"/>
        <v>105817.67</v>
      </c>
      <c r="U285" s="6">
        <v>1.517730824748102</v>
      </c>
      <c r="V285" s="6">
        <v>5.229668263138256</v>
      </c>
      <c r="W285" s="4"/>
      <c r="X285" s="4"/>
      <c r="Y285" s="4"/>
      <c r="Z285" s="4"/>
    </row>
    <row r="286" ht="14.25" customHeight="1">
      <c r="A286" s="5">
        <v>70901.0</v>
      </c>
      <c r="B286" s="5" t="s">
        <v>404</v>
      </c>
      <c r="C286" s="5" t="s">
        <v>363</v>
      </c>
      <c r="D286" s="5" t="s">
        <v>405</v>
      </c>
      <c r="E286" s="5">
        <v>9876565.209999999</v>
      </c>
      <c r="F286" s="5">
        <v>1.367644474242137E7</v>
      </c>
      <c r="G286" s="5">
        <v>1.387971992E7</v>
      </c>
      <c r="H286" s="5">
        <f t="shared" si="5"/>
        <v>12477576.62</v>
      </c>
      <c r="I286" s="5">
        <v>301213.59</v>
      </c>
      <c r="J286" s="5">
        <v>2270932.22</v>
      </c>
      <c r="K286" s="5">
        <v>254559.19</v>
      </c>
      <c r="L286" s="5">
        <f t="shared" si="6"/>
        <v>942235</v>
      </c>
      <c r="M286" s="5">
        <v>1.372578178E7</v>
      </c>
      <c r="N286" s="5">
        <v>1.519989123E7</v>
      </c>
      <c r="O286" s="5">
        <v>1.631817349E7</v>
      </c>
      <c r="P286" s="5">
        <f t="shared" si="16"/>
        <v>15081282.17</v>
      </c>
      <c r="Q286" s="5">
        <v>4920560.45</v>
      </c>
      <c r="R286" s="5">
        <v>4956589.68</v>
      </c>
      <c r="S286" s="5">
        <v>6339665.29</v>
      </c>
      <c r="T286" s="5">
        <f t="shared" si="17"/>
        <v>5405605.14</v>
      </c>
      <c r="U286" s="6">
        <v>7.551426277575818</v>
      </c>
      <c r="V286" s="6">
        <v>35.84314039258356</v>
      </c>
      <c r="W286" s="4"/>
      <c r="X286" s="4"/>
      <c r="Y286" s="4"/>
      <c r="Z286" s="4"/>
    </row>
    <row r="287" ht="14.25" customHeight="1">
      <c r="A287" s="5">
        <v>70902.0</v>
      </c>
      <c r="B287" s="5" t="s">
        <v>406</v>
      </c>
      <c r="C287" s="5" t="s">
        <v>363</v>
      </c>
      <c r="D287" s="5" t="s">
        <v>405</v>
      </c>
      <c r="E287" s="5">
        <v>8276340.35</v>
      </c>
      <c r="F287" s="5">
        <v>9884824.106501563</v>
      </c>
      <c r="G287" s="5">
        <v>1.238197968E7</v>
      </c>
      <c r="H287" s="5">
        <f t="shared" si="5"/>
        <v>10181048.05</v>
      </c>
      <c r="I287" s="5">
        <v>351212.43</v>
      </c>
      <c r="J287" s="5">
        <v>503931.21</v>
      </c>
      <c r="K287" s="5">
        <v>1190564.38</v>
      </c>
      <c r="L287" s="5">
        <f t="shared" si="6"/>
        <v>681902.6733</v>
      </c>
      <c r="M287" s="5">
        <v>9719965.529999997</v>
      </c>
      <c r="N287" s="5">
        <v>1.04978497E7</v>
      </c>
      <c r="O287" s="5">
        <v>1.125745087E7</v>
      </c>
      <c r="P287" s="5">
        <f t="shared" si="16"/>
        <v>10491755.37</v>
      </c>
      <c r="Q287" s="5">
        <v>1986049.73</v>
      </c>
      <c r="R287" s="5">
        <v>1500807.4</v>
      </c>
      <c r="S287" s="5">
        <v>2492987.63</v>
      </c>
      <c r="T287" s="5">
        <f t="shared" si="17"/>
        <v>1993281.587</v>
      </c>
      <c r="U287" s="6">
        <v>6.697765006960141</v>
      </c>
      <c r="V287" s="6">
        <v>18.998551881980756</v>
      </c>
      <c r="W287" s="4"/>
      <c r="X287" s="4"/>
      <c r="Y287" s="4"/>
      <c r="Z287" s="4"/>
    </row>
    <row r="288" ht="14.25" customHeight="1">
      <c r="A288" s="5">
        <v>70903.0</v>
      </c>
      <c r="B288" s="5" t="s">
        <v>407</v>
      </c>
      <c r="C288" s="5" t="s">
        <v>363</v>
      </c>
      <c r="D288" s="5" t="s">
        <v>405</v>
      </c>
      <c r="E288" s="5">
        <v>8326161.670000001</v>
      </c>
      <c r="F288" s="5">
        <v>1.003766024772119E7</v>
      </c>
      <c r="G288" s="5">
        <v>1.210977394E7</v>
      </c>
      <c r="H288" s="5">
        <f t="shared" si="5"/>
        <v>10157865.29</v>
      </c>
      <c r="I288" s="5">
        <v>663192.74</v>
      </c>
      <c r="J288" s="5">
        <v>931786.45</v>
      </c>
      <c r="K288" s="5">
        <v>1237335.71</v>
      </c>
      <c r="L288" s="5">
        <f t="shared" si="6"/>
        <v>944104.9667</v>
      </c>
      <c r="M288" s="5">
        <v>1.042383606E7</v>
      </c>
      <c r="N288" s="5">
        <v>1.239376502E7</v>
      </c>
      <c r="O288" s="5">
        <v>1.19957767E7</v>
      </c>
      <c r="P288" s="5">
        <f t="shared" si="16"/>
        <v>11604459.26</v>
      </c>
      <c r="Q288" s="5">
        <v>1866679.9</v>
      </c>
      <c r="R288" s="5">
        <v>2439040.32</v>
      </c>
      <c r="S288" s="5">
        <v>2298385.76</v>
      </c>
      <c r="T288" s="5">
        <f t="shared" si="17"/>
        <v>2201368.66</v>
      </c>
      <c r="U288" s="6">
        <v>9.294324546482322</v>
      </c>
      <c r="V288" s="6">
        <v>18.970023597635517</v>
      </c>
      <c r="W288" s="4"/>
      <c r="X288" s="4"/>
      <c r="Y288" s="4"/>
      <c r="Z288" s="4"/>
    </row>
    <row r="289" ht="14.25" customHeight="1">
      <c r="A289" s="5">
        <v>70904.0</v>
      </c>
      <c r="B289" s="5" t="s">
        <v>408</v>
      </c>
      <c r="C289" s="5" t="s">
        <v>363</v>
      </c>
      <c r="D289" s="5" t="s">
        <v>405</v>
      </c>
      <c r="E289" s="5">
        <v>2079331.56</v>
      </c>
      <c r="F289" s="5">
        <v>2443690.450678456</v>
      </c>
      <c r="G289" s="5">
        <v>6548008.47</v>
      </c>
      <c r="H289" s="5">
        <f t="shared" si="5"/>
        <v>3690343.494</v>
      </c>
      <c r="I289" s="5">
        <v>36804.0</v>
      </c>
      <c r="J289" s="5">
        <v>33824.73</v>
      </c>
      <c r="K289" s="5">
        <v>3674954.15</v>
      </c>
      <c r="L289" s="5">
        <f t="shared" si="6"/>
        <v>1248527.627</v>
      </c>
      <c r="M289" s="5">
        <v>2684028.219999994</v>
      </c>
      <c r="N289" s="5">
        <v>3081337.070000001</v>
      </c>
      <c r="O289" s="5">
        <v>3121017.91</v>
      </c>
      <c r="P289" s="5">
        <f t="shared" si="16"/>
        <v>2962127.733</v>
      </c>
      <c r="Q289" s="5">
        <v>166208.06</v>
      </c>
      <c r="R289" s="5">
        <v>152232.95</v>
      </c>
      <c r="S289" s="5">
        <v>267636.78</v>
      </c>
      <c r="T289" s="5">
        <f t="shared" si="17"/>
        <v>195359.2633</v>
      </c>
      <c r="U289" s="6">
        <v>33.83228766768297</v>
      </c>
      <c r="V289" s="6">
        <v>6.595234268087834</v>
      </c>
      <c r="W289" s="4"/>
      <c r="X289" s="4"/>
      <c r="Y289" s="4"/>
      <c r="Z289" s="4"/>
    </row>
    <row r="290" ht="14.25" customHeight="1">
      <c r="A290" s="5">
        <v>71001.0</v>
      </c>
      <c r="B290" s="5" t="s">
        <v>409</v>
      </c>
      <c r="C290" s="5" t="s">
        <v>363</v>
      </c>
      <c r="D290" s="5" t="s">
        <v>410</v>
      </c>
      <c r="E290" s="5">
        <v>1.1308507123E8</v>
      </c>
      <c r="F290" s="5">
        <v>1.362887295820481E8</v>
      </c>
      <c r="G290" s="5">
        <v>1.6305452973E8</v>
      </c>
      <c r="H290" s="5">
        <f t="shared" si="5"/>
        <v>137476110.2</v>
      </c>
      <c r="I290" s="5">
        <v>3.697839923E7</v>
      </c>
      <c r="J290" s="5">
        <v>4.427847002E7</v>
      </c>
      <c r="K290" s="5">
        <v>5.279062726000001E7</v>
      </c>
      <c r="L290" s="5">
        <f t="shared" si="6"/>
        <v>44682498.84</v>
      </c>
      <c r="M290" s="5">
        <v>1.5545928604E8</v>
      </c>
      <c r="N290" s="5">
        <v>1.7447884309E8</v>
      </c>
      <c r="O290" s="5">
        <v>1.7748055562E8</v>
      </c>
      <c r="P290" s="5">
        <f t="shared" si="16"/>
        <v>169139561.6</v>
      </c>
      <c r="Q290" s="5">
        <v>6.336639282E7</v>
      </c>
      <c r="R290" s="5">
        <v>6.734625867999999E7</v>
      </c>
      <c r="S290" s="5">
        <v>7.311722348E7</v>
      </c>
      <c r="T290" s="5">
        <f t="shared" si="17"/>
        <v>67943291.66</v>
      </c>
      <c r="U290" s="6">
        <v>32.502009824064096</v>
      </c>
      <c r="V290" s="6">
        <v>40.1699584792438</v>
      </c>
      <c r="W290" s="4"/>
      <c r="X290" s="4"/>
      <c r="Y290" s="4"/>
      <c r="Z290" s="4"/>
    </row>
    <row r="291" ht="14.25" customHeight="1">
      <c r="A291" s="5">
        <v>71002.0</v>
      </c>
      <c r="B291" s="5" t="s">
        <v>411</v>
      </c>
      <c r="C291" s="5" t="s">
        <v>363</v>
      </c>
      <c r="D291" s="5" t="s">
        <v>410</v>
      </c>
      <c r="E291" s="5">
        <v>1.689485085E7</v>
      </c>
      <c r="F291" s="5">
        <v>2.039892974986101E7</v>
      </c>
      <c r="G291" s="5">
        <v>2.457785619000001E7</v>
      </c>
      <c r="H291" s="5">
        <f t="shared" si="5"/>
        <v>20623878.93</v>
      </c>
      <c r="I291" s="5">
        <v>429856.42</v>
      </c>
      <c r="J291" s="5">
        <v>858160.58</v>
      </c>
      <c r="K291" s="5">
        <v>1252546.84</v>
      </c>
      <c r="L291" s="5">
        <f t="shared" si="6"/>
        <v>846854.6133</v>
      </c>
      <c r="M291" s="5">
        <v>1.513620345999999E7</v>
      </c>
      <c r="N291" s="5">
        <v>1.756550093E7</v>
      </c>
      <c r="O291" s="5">
        <v>1.772572316E7</v>
      </c>
      <c r="P291" s="5">
        <f t="shared" si="16"/>
        <v>16809142.52</v>
      </c>
      <c r="Q291" s="5">
        <v>3188982.61</v>
      </c>
      <c r="R291" s="5">
        <v>3666572.15</v>
      </c>
      <c r="S291" s="5">
        <v>4186080.65</v>
      </c>
      <c r="T291" s="5">
        <f t="shared" si="17"/>
        <v>3680545.137</v>
      </c>
      <c r="U291" s="6">
        <v>4.1061849529352115</v>
      </c>
      <c r="V291" s="6">
        <v>21.896090969645353</v>
      </c>
      <c r="W291" s="4"/>
      <c r="X291" s="4"/>
      <c r="Y291" s="4"/>
      <c r="Z291" s="4"/>
    </row>
    <row r="292" ht="14.25" customHeight="1">
      <c r="A292" s="5">
        <v>71003.0</v>
      </c>
      <c r="B292" s="5" t="s">
        <v>412</v>
      </c>
      <c r="C292" s="5" t="s">
        <v>363</v>
      </c>
      <c r="D292" s="5" t="s">
        <v>410</v>
      </c>
      <c r="E292" s="5">
        <v>2.157015258E7</v>
      </c>
      <c r="F292" s="5">
        <v>2.527904828292052E7</v>
      </c>
      <c r="G292" s="5">
        <v>2.984069838E7</v>
      </c>
      <c r="H292" s="5">
        <f t="shared" si="5"/>
        <v>25563299.75</v>
      </c>
      <c r="I292" s="5">
        <v>2369385.71</v>
      </c>
      <c r="J292" s="5">
        <v>2347653.38</v>
      </c>
      <c r="K292" s="5">
        <v>2432379.71</v>
      </c>
      <c r="L292" s="5">
        <f t="shared" si="6"/>
        <v>2383139.6</v>
      </c>
      <c r="M292" s="5">
        <v>2.399915140999999E7</v>
      </c>
      <c r="N292" s="5">
        <v>2.776123081E7</v>
      </c>
      <c r="O292" s="5">
        <v>2.634298429E7</v>
      </c>
      <c r="P292" s="5">
        <f t="shared" si="16"/>
        <v>26034455.5</v>
      </c>
      <c r="Q292" s="5">
        <v>4448083.22</v>
      </c>
      <c r="R292" s="5">
        <v>5017190.98</v>
      </c>
      <c r="S292" s="5">
        <v>4186865.01</v>
      </c>
      <c r="T292" s="5">
        <f t="shared" si="17"/>
        <v>4550713.07</v>
      </c>
      <c r="U292" s="6">
        <v>9.322503837635416</v>
      </c>
      <c r="V292" s="6">
        <v>17.479578435651735</v>
      </c>
      <c r="W292" s="4"/>
      <c r="X292" s="4"/>
      <c r="Y292" s="4"/>
      <c r="Z292" s="4"/>
    </row>
    <row r="293" ht="14.25" customHeight="1">
      <c r="A293" s="5">
        <v>71004.0</v>
      </c>
      <c r="B293" s="5" t="s">
        <v>413</v>
      </c>
      <c r="C293" s="5" t="s">
        <v>363</v>
      </c>
      <c r="D293" s="5" t="s">
        <v>410</v>
      </c>
      <c r="E293" s="5">
        <v>1.263793025E7</v>
      </c>
      <c r="F293" s="5">
        <v>1.727990333665107E7</v>
      </c>
      <c r="G293" s="5">
        <v>1.97649989E7</v>
      </c>
      <c r="H293" s="5">
        <f t="shared" si="5"/>
        <v>16560944.16</v>
      </c>
      <c r="I293" s="5">
        <v>1052698.3</v>
      </c>
      <c r="J293" s="5">
        <v>3588595.23</v>
      </c>
      <c r="K293" s="5">
        <v>3435664.84</v>
      </c>
      <c r="L293" s="5">
        <f t="shared" si="6"/>
        <v>2692319.457</v>
      </c>
      <c r="M293" s="5">
        <v>1.517318173999999E7</v>
      </c>
      <c r="N293" s="5">
        <v>1.889904241E7</v>
      </c>
      <c r="O293" s="5">
        <v>1.812563906E7</v>
      </c>
      <c r="P293" s="5">
        <f t="shared" si="16"/>
        <v>17399287.74</v>
      </c>
      <c r="Q293" s="5">
        <v>2461985.27</v>
      </c>
      <c r="R293" s="5">
        <v>4111885.58</v>
      </c>
      <c r="S293" s="5">
        <v>3720728.07</v>
      </c>
      <c r="T293" s="5">
        <f t="shared" si="17"/>
        <v>3431532.973</v>
      </c>
      <c r="U293" s="6">
        <v>16.257040844380484</v>
      </c>
      <c r="V293" s="6">
        <v>19.72226119407082</v>
      </c>
      <c r="W293" s="4"/>
      <c r="X293" s="4"/>
      <c r="Y293" s="4"/>
      <c r="Z293" s="4"/>
    </row>
    <row r="294" ht="14.25" customHeight="1">
      <c r="A294" s="5">
        <v>71005.0</v>
      </c>
      <c r="B294" s="5" t="s">
        <v>414</v>
      </c>
      <c r="C294" s="5" t="s">
        <v>363</v>
      </c>
      <c r="D294" s="5" t="s">
        <v>410</v>
      </c>
      <c r="E294" s="5">
        <v>1.730789326E7</v>
      </c>
      <c r="F294" s="5">
        <v>1.906814492782974E7</v>
      </c>
      <c r="G294" s="5">
        <v>2.345743855E7</v>
      </c>
      <c r="H294" s="5">
        <f t="shared" si="5"/>
        <v>19944492.25</v>
      </c>
      <c r="I294" s="5">
        <v>2644545.51</v>
      </c>
      <c r="J294" s="5">
        <v>1726815.85</v>
      </c>
      <c r="K294" s="5">
        <v>2773285.540000001</v>
      </c>
      <c r="L294" s="5">
        <f t="shared" si="6"/>
        <v>2381548.967</v>
      </c>
      <c r="M294" s="5">
        <v>2.082265825999999E7</v>
      </c>
      <c r="N294" s="5">
        <v>2.197800253E7</v>
      </c>
      <c r="O294" s="5">
        <v>2.692417154E7</v>
      </c>
      <c r="P294" s="5">
        <f t="shared" si="16"/>
        <v>23241610.78</v>
      </c>
      <c r="Q294" s="5">
        <v>4759639.18</v>
      </c>
      <c r="R294" s="5">
        <v>3291641.0</v>
      </c>
      <c r="S294" s="5">
        <v>8720844.77</v>
      </c>
      <c r="T294" s="5">
        <f t="shared" si="17"/>
        <v>5590708.317</v>
      </c>
      <c r="U294" s="6">
        <v>11.940885419888685</v>
      </c>
      <c r="V294" s="6">
        <v>24.054736869956706</v>
      </c>
      <c r="W294" s="4"/>
      <c r="X294" s="4"/>
      <c r="Y294" s="4"/>
      <c r="Z294" s="4"/>
    </row>
    <row r="295" ht="14.25" customHeight="1">
      <c r="A295" s="5">
        <v>71101.0</v>
      </c>
      <c r="B295" s="5" t="s">
        <v>415</v>
      </c>
      <c r="C295" s="5" t="s">
        <v>363</v>
      </c>
      <c r="D295" s="5" t="s">
        <v>416</v>
      </c>
      <c r="E295" s="5">
        <v>1.660681144E7</v>
      </c>
      <c r="F295" s="5">
        <v>1.966485198834527E7</v>
      </c>
      <c r="G295" s="5">
        <v>2.553656350000001E7</v>
      </c>
      <c r="H295" s="5">
        <f t="shared" si="5"/>
        <v>20602742.31</v>
      </c>
      <c r="I295" s="5">
        <v>1743032.79</v>
      </c>
      <c r="J295" s="5">
        <v>2235322.44</v>
      </c>
      <c r="K295" s="5">
        <v>4785655.159999999</v>
      </c>
      <c r="L295" s="5">
        <f t="shared" si="6"/>
        <v>2921336.797</v>
      </c>
      <c r="M295" s="5">
        <v>2.149228586999999E7</v>
      </c>
      <c r="N295" s="5">
        <v>2.37711892E7</v>
      </c>
      <c r="O295" s="5">
        <v>2.504515496E7</v>
      </c>
      <c r="P295" s="5">
        <f t="shared" si="16"/>
        <v>23436210.01</v>
      </c>
      <c r="Q295" s="5">
        <v>5684058.779999999</v>
      </c>
      <c r="R295" s="5">
        <v>5381229.48</v>
      </c>
      <c r="S295" s="5">
        <v>7130568.579999999</v>
      </c>
      <c r="T295" s="5">
        <f t="shared" si="17"/>
        <v>6065285.613</v>
      </c>
      <c r="U295" s="6">
        <v>14.179359003713502</v>
      </c>
      <c r="V295" s="6">
        <v>25.879976373079675</v>
      </c>
      <c r="W295" s="4"/>
      <c r="X295" s="4"/>
      <c r="Y295" s="4"/>
      <c r="Z295" s="4"/>
    </row>
    <row r="296" ht="14.25" customHeight="1">
      <c r="A296" s="5">
        <v>71102.0</v>
      </c>
      <c r="B296" s="5" t="s">
        <v>417</v>
      </c>
      <c r="C296" s="5" t="s">
        <v>363</v>
      </c>
      <c r="D296" s="5" t="s">
        <v>416</v>
      </c>
      <c r="E296" s="5">
        <v>1.256579417E7</v>
      </c>
      <c r="F296" s="5">
        <v>1.520761521025758E7</v>
      </c>
      <c r="G296" s="5">
        <v>1.802957729E7</v>
      </c>
      <c r="H296" s="5">
        <f t="shared" si="5"/>
        <v>15267662.22</v>
      </c>
      <c r="I296" s="5">
        <v>1001733.71</v>
      </c>
      <c r="J296" s="5">
        <v>1639229.38</v>
      </c>
      <c r="K296" s="5">
        <v>1873432.33</v>
      </c>
      <c r="L296" s="5">
        <f t="shared" si="6"/>
        <v>1504798.473</v>
      </c>
      <c r="M296" s="5">
        <v>1.361655592999999E7</v>
      </c>
      <c r="N296" s="5">
        <v>1.630162642E7</v>
      </c>
      <c r="O296" s="5">
        <v>1.495548949E7</v>
      </c>
      <c r="P296" s="5">
        <f t="shared" si="16"/>
        <v>14957890.61</v>
      </c>
      <c r="Q296" s="5">
        <v>2164397.4</v>
      </c>
      <c r="R296" s="5">
        <v>2978872.88</v>
      </c>
      <c r="S296" s="5">
        <v>1977128.47</v>
      </c>
      <c r="T296" s="5">
        <f t="shared" si="17"/>
        <v>2373466.25</v>
      </c>
      <c r="U296" s="6">
        <v>9.856115830392884</v>
      </c>
      <c r="V296" s="6">
        <v>15.86765347705052</v>
      </c>
      <c r="W296" s="4"/>
      <c r="X296" s="4"/>
      <c r="Y296" s="4"/>
      <c r="Z296" s="4"/>
    </row>
    <row r="297" ht="14.25" customHeight="1">
      <c r="A297" s="5">
        <v>71103.0</v>
      </c>
      <c r="B297" s="5" t="s">
        <v>418</v>
      </c>
      <c r="C297" s="5" t="s">
        <v>363</v>
      </c>
      <c r="D297" s="5" t="s">
        <v>416</v>
      </c>
      <c r="E297" s="5">
        <v>6383799.76</v>
      </c>
      <c r="F297" s="5">
        <v>7374372.713663516</v>
      </c>
      <c r="G297" s="5">
        <v>9305885.73</v>
      </c>
      <c r="H297" s="5">
        <f t="shared" si="5"/>
        <v>7688019.401</v>
      </c>
      <c r="I297" s="5">
        <v>687215.88</v>
      </c>
      <c r="J297" s="5">
        <v>650976.9099999999</v>
      </c>
      <c r="K297" s="5">
        <v>1289871.2</v>
      </c>
      <c r="L297" s="5">
        <f t="shared" si="6"/>
        <v>876021.33</v>
      </c>
      <c r="M297" s="5">
        <v>8269788.249999998</v>
      </c>
      <c r="N297" s="5">
        <v>1.075480988E7</v>
      </c>
      <c r="O297" s="5">
        <v>1.236150038E7</v>
      </c>
      <c r="P297" s="5">
        <f t="shared" si="16"/>
        <v>10462032.84</v>
      </c>
      <c r="Q297" s="5">
        <v>1972127.38</v>
      </c>
      <c r="R297" s="5">
        <v>3428575.67</v>
      </c>
      <c r="S297" s="5">
        <v>5224656.99</v>
      </c>
      <c r="T297" s="5">
        <f t="shared" si="17"/>
        <v>3541786.68</v>
      </c>
      <c r="U297" s="6">
        <v>11.394629543479716</v>
      </c>
      <c r="V297" s="6">
        <v>33.853714046728776</v>
      </c>
      <c r="W297" s="4"/>
      <c r="X297" s="4"/>
      <c r="Y297" s="4"/>
      <c r="Z297" s="4"/>
    </row>
    <row r="298" ht="14.25" customHeight="1">
      <c r="A298" s="5">
        <v>71104.0</v>
      </c>
      <c r="B298" s="5" t="s">
        <v>419</v>
      </c>
      <c r="C298" s="5" t="s">
        <v>363</v>
      </c>
      <c r="D298" s="5" t="s">
        <v>416</v>
      </c>
      <c r="E298" s="5">
        <v>4.270751879000001E7</v>
      </c>
      <c r="F298" s="5">
        <v>5.226700736260369E7</v>
      </c>
      <c r="G298" s="5">
        <v>5.980451332E7</v>
      </c>
      <c r="H298" s="5">
        <f t="shared" si="5"/>
        <v>51593013.16</v>
      </c>
      <c r="I298" s="5">
        <v>4092336.48</v>
      </c>
      <c r="J298" s="5">
        <v>6847108.100000001</v>
      </c>
      <c r="K298" s="5">
        <v>5693365.94</v>
      </c>
      <c r="L298" s="5">
        <f t="shared" si="6"/>
        <v>5544270.173</v>
      </c>
      <c r="M298" s="5">
        <v>5.237796769999995E7</v>
      </c>
      <c r="N298" s="5">
        <v>5.929369161E7</v>
      </c>
      <c r="O298" s="5">
        <v>5.824756477E7</v>
      </c>
      <c r="P298" s="5">
        <f t="shared" si="16"/>
        <v>56639741.36</v>
      </c>
      <c r="Q298" s="5">
        <v>1.25079889E7</v>
      </c>
      <c r="R298" s="5">
        <v>1.291084268E7</v>
      </c>
      <c r="S298" s="5">
        <v>1.306366816E7</v>
      </c>
      <c r="T298" s="5">
        <f t="shared" si="17"/>
        <v>12827499.91</v>
      </c>
      <c r="U298" s="6">
        <v>10.746164711110028</v>
      </c>
      <c r="V298" s="6">
        <v>22.64752558067355</v>
      </c>
      <c r="W298" s="4"/>
      <c r="X298" s="4"/>
      <c r="Y298" s="4"/>
      <c r="Z298" s="4"/>
    </row>
    <row r="299" ht="14.25" customHeight="1">
      <c r="A299" s="5">
        <v>71105.0</v>
      </c>
      <c r="B299" s="5" t="s">
        <v>420</v>
      </c>
      <c r="C299" s="5" t="s">
        <v>363</v>
      </c>
      <c r="D299" s="5" t="s">
        <v>416</v>
      </c>
      <c r="E299" s="5">
        <v>6556576.96</v>
      </c>
      <c r="F299" s="5">
        <v>7616886.597794411</v>
      </c>
      <c r="G299" s="5">
        <v>9444562.739999998</v>
      </c>
      <c r="H299" s="5">
        <f t="shared" si="5"/>
        <v>7872675.433</v>
      </c>
      <c r="I299" s="5">
        <v>43207.64999999999</v>
      </c>
      <c r="J299" s="5">
        <v>11925.6</v>
      </c>
      <c r="K299" s="5">
        <v>398860.57</v>
      </c>
      <c r="L299" s="5">
        <f t="shared" si="6"/>
        <v>151331.2733</v>
      </c>
      <c r="M299" s="5">
        <v>5486445.989999998</v>
      </c>
      <c r="N299" s="5">
        <v>6407094.29</v>
      </c>
      <c r="O299" s="5">
        <v>6457905.730000001</v>
      </c>
      <c r="P299" s="5">
        <f t="shared" si="16"/>
        <v>6117148.67</v>
      </c>
      <c r="Q299" s="5">
        <v>37252.6</v>
      </c>
      <c r="R299" s="5">
        <v>67889.68</v>
      </c>
      <c r="S299" s="5">
        <v>282578.4</v>
      </c>
      <c r="T299" s="5">
        <f t="shared" si="17"/>
        <v>129240.2267</v>
      </c>
      <c r="U299" s="6">
        <v>1.9222343741839116</v>
      </c>
      <c r="V299" s="6">
        <v>2.112752748686533</v>
      </c>
      <c r="W299" s="4"/>
      <c r="X299" s="4"/>
      <c r="Y299" s="4"/>
      <c r="Z299" s="4"/>
    </row>
    <row r="300" ht="14.25" customHeight="1">
      <c r="A300" s="5">
        <v>71106.0</v>
      </c>
      <c r="B300" s="5" t="s">
        <v>421</v>
      </c>
      <c r="C300" s="5" t="s">
        <v>363</v>
      </c>
      <c r="D300" s="5" t="s">
        <v>416</v>
      </c>
      <c r="E300" s="5">
        <v>2.423314955E7</v>
      </c>
      <c r="F300" s="5">
        <v>2.80722101723805E7</v>
      </c>
      <c r="G300" s="5">
        <v>3.08169454E7</v>
      </c>
      <c r="H300" s="5">
        <f t="shared" si="5"/>
        <v>27707435.04</v>
      </c>
      <c r="I300" s="5">
        <v>6732100.17</v>
      </c>
      <c r="J300" s="5">
        <v>7330397.91</v>
      </c>
      <c r="K300" s="5">
        <v>6065376.65</v>
      </c>
      <c r="L300" s="5">
        <f t="shared" si="6"/>
        <v>6709291.577</v>
      </c>
      <c r="M300" s="5">
        <v>3.208540764999998E7</v>
      </c>
      <c r="N300" s="5">
        <v>3.734822173999999E7</v>
      </c>
      <c r="O300" s="5">
        <v>3.48516027E7</v>
      </c>
      <c r="P300" s="5">
        <f t="shared" si="16"/>
        <v>34761744.03</v>
      </c>
      <c r="Q300" s="5">
        <v>1.287574434E7</v>
      </c>
      <c r="R300" s="5">
        <v>1.500134109E7</v>
      </c>
      <c r="S300" s="5">
        <v>1.308237647E7</v>
      </c>
      <c r="T300" s="5">
        <f t="shared" si="17"/>
        <v>13653153.97</v>
      </c>
      <c r="U300" s="6">
        <v>24.21476967026582</v>
      </c>
      <c r="V300" s="6">
        <v>39.27637794836691</v>
      </c>
      <c r="W300" s="4"/>
      <c r="X300" s="4"/>
      <c r="Y300" s="4"/>
      <c r="Z300" s="4"/>
    </row>
    <row r="301" ht="14.25" customHeight="1">
      <c r="A301" s="5">
        <v>71201.0</v>
      </c>
      <c r="B301" s="5" t="s">
        <v>422</v>
      </c>
      <c r="C301" s="5" t="s">
        <v>363</v>
      </c>
      <c r="D301" s="5" t="s">
        <v>423</v>
      </c>
      <c r="E301" s="5">
        <v>1.372103006E7</v>
      </c>
      <c r="F301" s="5">
        <v>1.661990860675952E7</v>
      </c>
      <c r="G301" s="5">
        <v>1.933370314E7</v>
      </c>
      <c r="H301" s="5">
        <f t="shared" si="5"/>
        <v>16558213.94</v>
      </c>
      <c r="I301" s="5">
        <v>573602.8200000001</v>
      </c>
      <c r="J301" s="5">
        <v>1097762.04</v>
      </c>
      <c r="K301" s="5">
        <v>826210.27</v>
      </c>
      <c r="L301" s="5">
        <f t="shared" si="6"/>
        <v>832525.0433</v>
      </c>
      <c r="M301" s="5">
        <v>1.371775041999999E7</v>
      </c>
      <c r="N301" s="5">
        <v>1.474844357E7</v>
      </c>
      <c r="O301" s="5">
        <v>1.431073598E7</v>
      </c>
      <c r="P301" s="5">
        <f t="shared" si="16"/>
        <v>14258976.66</v>
      </c>
      <c r="Q301" s="5">
        <v>1551449.48</v>
      </c>
      <c r="R301" s="5">
        <v>594198.23</v>
      </c>
      <c r="S301" s="5">
        <v>522376.4</v>
      </c>
      <c r="T301" s="5">
        <f t="shared" si="17"/>
        <v>889341.37</v>
      </c>
      <c r="U301" s="6">
        <v>5.027867417174089</v>
      </c>
      <c r="V301" s="6">
        <v>6.237063089546443</v>
      </c>
      <c r="W301" s="4"/>
      <c r="X301" s="4"/>
      <c r="Y301" s="4"/>
      <c r="Z301" s="4"/>
    </row>
    <row r="302" ht="14.25" customHeight="1">
      <c r="A302" s="5">
        <v>71301.0</v>
      </c>
      <c r="B302" s="5" t="s">
        <v>424</v>
      </c>
      <c r="C302" s="5" t="s">
        <v>363</v>
      </c>
      <c r="D302" s="5" t="s">
        <v>425</v>
      </c>
      <c r="E302" s="5">
        <v>1.627481747E7</v>
      </c>
      <c r="F302" s="5">
        <v>1.893741732317449E7</v>
      </c>
      <c r="G302" s="5">
        <v>2.264057678E7</v>
      </c>
      <c r="H302" s="5">
        <f t="shared" si="5"/>
        <v>19284270.52</v>
      </c>
      <c r="I302" s="5">
        <v>1442498.44</v>
      </c>
      <c r="J302" s="5">
        <v>1466733.76</v>
      </c>
      <c r="K302" s="5">
        <v>1820378.31</v>
      </c>
      <c r="L302" s="5">
        <f t="shared" si="6"/>
        <v>1576536.837</v>
      </c>
      <c r="M302" s="5">
        <v>1.627501831999999E7</v>
      </c>
      <c r="N302" s="5">
        <v>1.825720739E7</v>
      </c>
      <c r="O302" s="5">
        <v>1.770526095E7</v>
      </c>
      <c r="P302" s="5">
        <f t="shared" si="16"/>
        <v>17412495.55</v>
      </c>
      <c r="Q302" s="5">
        <v>2890058.39</v>
      </c>
      <c r="R302" s="5">
        <v>2685514.41</v>
      </c>
      <c r="S302" s="5">
        <v>2536092.91</v>
      </c>
      <c r="T302" s="5">
        <f t="shared" si="17"/>
        <v>2703888.57</v>
      </c>
      <c r="U302" s="6">
        <v>8.1752474622911</v>
      </c>
      <c r="V302" s="6">
        <v>15.528437964094042</v>
      </c>
      <c r="W302" s="4"/>
      <c r="X302" s="4"/>
      <c r="Y302" s="4"/>
      <c r="Z302" s="4"/>
    </row>
    <row r="303" ht="14.25" customHeight="1">
      <c r="A303" s="5">
        <v>71302.0</v>
      </c>
      <c r="B303" s="5" t="s">
        <v>426</v>
      </c>
      <c r="C303" s="5" t="s">
        <v>363</v>
      </c>
      <c r="D303" s="5" t="s">
        <v>425</v>
      </c>
      <c r="E303" s="5">
        <v>6066761.23</v>
      </c>
      <c r="F303" s="5">
        <v>7094249.569596554</v>
      </c>
      <c r="G303" s="5">
        <v>8313054.739999999</v>
      </c>
      <c r="H303" s="5">
        <f t="shared" si="5"/>
        <v>7158021.847</v>
      </c>
      <c r="I303" s="5">
        <v>682128.52</v>
      </c>
      <c r="J303" s="5">
        <v>739073.65</v>
      </c>
      <c r="K303" s="5">
        <v>736055.47</v>
      </c>
      <c r="L303" s="5">
        <f t="shared" si="6"/>
        <v>719085.88</v>
      </c>
      <c r="M303" s="5">
        <v>7377270.349999996</v>
      </c>
      <c r="N303" s="5">
        <v>8902228.89</v>
      </c>
      <c r="O303" s="5">
        <v>9189542.45</v>
      </c>
      <c r="P303" s="5">
        <f t="shared" si="16"/>
        <v>8489680.563</v>
      </c>
      <c r="Q303" s="5">
        <v>1163699.38</v>
      </c>
      <c r="R303" s="5">
        <v>1673817.33</v>
      </c>
      <c r="S303" s="5">
        <v>2147992.87</v>
      </c>
      <c r="T303" s="5">
        <f t="shared" si="17"/>
        <v>1661836.527</v>
      </c>
      <c r="U303" s="6">
        <v>10.045874340944799</v>
      </c>
      <c r="V303" s="6">
        <v>19.57478275265252</v>
      </c>
      <c r="W303" s="4"/>
      <c r="X303" s="4"/>
      <c r="Y303" s="4"/>
      <c r="Z303" s="4"/>
    </row>
    <row r="304" ht="14.25" customHeight="1">
      <c r="A304" s="5">
        <v>71401.0</v>
      </c>
      <c r="B304" s="5" t="s">
        <v>427</v>
      </c>
      <c r="C304" s="5" t="s">
        <v>363</v>
      </c>
      <c r="D304" s="5" t="s">
        <v>428</v>
      </c>
      <c r="E304" s="5">
        <v>1.751544119E7</v>
      </c>
      <c r="F304" s="5">
        <v>2.000217352112403E7</v>
      </c>
      <c r="G304" s="5">
        <v>2.571813853E7</v>
      </c>
      <c r="H304" s="5">
        <f t="shared" si="5"/>
        <v>21078584.41</v>
      </c>
      <c r="I304" s="5">
        <v>3066219.09</v>
      </c>
      <c r="J304" s="5">
        <v>2554170.36</v>
      </c>
      <c r="K304" s="5">
        <v>4813814.12</v>
      </c>
      <c r="L304" s="5">
        <f t="shared" si="6"/>
        <v>3478067.857</v>
      </c>
      <c r="M304" s="5">
        <v>2.140322368999999E7</v>
      </c>
      <c r="N304" s="5">
        <v>2.547099087E7</v>
      </c>
      <c r="O304" s="5">
        <v>2.383204428E7</v>
      </c>
      <c r="P304" s="5">
        <f t="shared" si="16"/>
        <v>23568752.95</v>
      </c>
      <c r="Q304" s="5">
        <v>4730181.720000001</v>
      </c>
      <c r="R304" s="5">
        <v>6074437.23</v>
      </c>
      <c r="S304" s="5">
        <v>4936883.15</v>
      </c>
      <c r="T304" s="5">
        <f t="shared" si="17"/>
        <v>5247167.367</v>
      </c>
      <c r="U304" s="6">
        <v>16.500481191729264</v>
      </c>
      <c r="V304" s="6">
        <v>22.26323717058936</v>
      </c>
      <c r="W304" s="4"/>
      <c r="X304" s="4"/>
      <c r="Y304" s="4"/>
      <c r="Z304" s="4"/>
    </row>
    <row r="305" ht="14.25" customHeight="1">
      <c r="A305" s="5">
        <v>71402.0</v>
      </c>
      <c r="B305" s="5" t="s">
        <v>429</v>
      </c>
      <c r="C305" s="5" t="s">
        <v>363</v>
      </c>
      <c r="D305" s="5" t="s">
        <v>428</v>
      </c>
      <c r="E305" s="5">
        <v>1.695074605E7</v>
      </c>
      <c r="F305" s="5">
        <v>2.063445298009096E7</v>
      </c>
      <c r="G305" s="5">
        <v>2.41312325E7</v>
      </c>
      <c r="H305" s="5">
        <f t="shared" si="5"/>
        <v>20572143.84</v>
      </c>
      <c r="I305" s="5">
        <v>4800148.96</v>
      </c>
      <c r="J305" s="5">
        <v>5909739.9</v>
      </c>
      <c r="K305" s="5">
        <v>6476386.109999999</v>
      </c>
      <c r="L305" s="5">
        <f t="shared" si="6"/>
        <v>5728758.323</v>
      </c>
      <c r="M305" s="5">
        <v>2.368946204999999E7</v>
      </c>
      <c r="N305" s="5">
        <v>2.610466583E7</v>
      </c>
      <c r="O305" s="5">
        <v>2.658500121E7</v>
      </c>
      <c r="P305" s="5">
        <f t="shared" si="16"/>
        <v>25459709.7</v>
      </c>
      <c r="Q305" s="5">
        <v>9681599.420000002</v>
      </c>
      <c r="R305" s="5">
        <v>9809085.94</v>
      </c>
      <c r="S305" s="5">
        <v>1.071065787E7</v>
      </c>
      <c r="T305" s="5">
        <f t="shared" si="17"/>
        <v>10067114.41</v>
      </c>
      <c r="U305" s="6">
        <v>27.847162488032904</v>
      </c>
      <c r="V305" s="6">
        <v>39.54135585182279</v>
      </c>
      <c r="W305" s="4"/>
      <c r="X305" s="4"/>
      <c r="Y305" s="4"/>
      <c r="Z305" s="4"/>
    </row>
    <row r="306" ht="14.25" customHeight="1">
      <c r="A306" s="5">
        <v>71403.0</v>
      </c>
      <c r="B306" s="5" t="s">
        <v>430</v>
      </c>
      <c r="C306" s="5" t="s">
        <v>363</v>
      </c>
      <c r="D306" s="5" t="s">
        <v>428</v>
      </c>
      <c r="E306" s="5">
        <v>6042319.41</v>
      </c>
      <c r="F306" s="5">
        <v>6523413.248499303</v>
      </c>
      <c r="G306" s="5">
        <v>8780744.420000002</v>
      </c>
      <c r="H306" s="5">
        <f t="shared" si="5"/>
        <v>7115492.359</v>
      </c>
      <c r="I306" s="5">
        <v>1109058.44</v>
      </c>
      <c r="J306" s="5">
        <v>704467.4800000001</v>
      </c>
      <c r="K306" s="5">
        <v>1843965.67</v>
      </c>
      <c r="L306" s="5">
        <f t="shared" si="6"/>
        <v>1219163.863</v>
      </c>
      <c r="M306" s="5">
        <v>7376049.579999994</v>
      </c>
      <c r="N306" s="5">
        <v>7681913.010000001</v>
      </c>
      <c r="O306" s="5">
        <v>8820618.37</v>
      </c>
      <c r="P306" s="5">
        <f t="shared" si="16"/>
        <v>7959526.987</v>
      </c>
      <c r="Q306" s="5">
        <v>2043741.06</v>
      </c>
      <c r="R306" s="5">
        <v>1478681.79</v>
      </c>
      <c r="S306" s="5">
        <v>2777749.55</v>
      </c>
      <c r="T306" s="5">
        <f t="shared" si="17"/>
        <v>2100057.467</v>
      </c>
      <c r="U306" s="6">
        <v>17.133935386855544</v>
      </c>
      <c r="V306" s="6">
        <v>26.384199339791934</v>
      </c>
      <c r="W306" s="4"/>
      <c r="X306" s="4"/>
      <c r="Y306" s="4"/>
      <c r="Z306" s="4"/>
    </row>
    <row r="307" ht="14.25" customHeight="1">
      <c r="A307" s="5">
        <v>71501.0</v>
      </c>
      <c r="B307" s="5" t="s">
        <v>431</v>
      </c>
      <c r="C307" s="5" t="s">
        <v>363</v>
      </c>
      <c r="D307" s="5" t="s">
        <v>432</v>
      </c>
      <c r="E307" s="5">
        <v>1.88876176E7</v>
      </c>
      <c r="F307" s="5">
        <v>2.172802970657453E7</v>
      </c>
      <c r="G307" s="5">
        <v>2.6197664E7</v>
      </c>
      <c r="H307" s="5">
        <f t="shared" si="5"/>
        <v>22271103.77</v>
      </c>
      <c r="I307" s="5">
        <v>1505144.17</v>
      </c>
      <c r="J307" s="5">
        <v>1344320.03</v>
      </c>
      <c r="K307" s="5">
        <v>1929507.0</v>
      </c>
      <c r="L307" s="5">
        <f t="shared" si="6"/>
        <v>1592990.4</v>
      </c>
      <c r="M307" s="5">
        <v>2.589436114999998E7</v>
      </c>
      <c r="N307" s="5">
        <v>2.928839845E7</v>
      </c>
      <c r="O307" s="5">
        <v>2.89056796E7</v>
      </c>
      <c r="P307" s="5">
        <f t="shared" si="16"/>
        <v>28029479.73</v>
      </c>
      <c r="Q307" s="5">
        <v>3131900.18</v>
      </c>
      <c r="R307" s="5">
        <v>2808516.94</v>
      </c>
      <c r="S307" s="5">
        <v>3110285.37</v>
      </c>
      <c r="T307" s="5">
        <f t="shared" si="17"/>
        <v>3016900.83</v>
      </c>
      <c r="U307" s="6">
        <v>7.152723172290583</v>
      </c>
      <c r="V307" s="6">
        <v>10.763313692234641</v>
      </c>
      <c r="W307" s="4"/>
      <c r="X307" s="4"/>
      <c r="Y307" s="4"/>
      <c r="Z307" s="4"/>
    </row>
    <row r="308" ht="14.25" customHeight="1">
      <c r="A308" s="5">
        <v>71502.0</v>
      </c>
      <c r="B308" s="5" t="s">
        <v>433</v>
      </c>
      <c r="C308" s="5" t="s">
        <v>363</v>
      </c>
      <c r="D308" s="5" t="s">
        <v>432</v>
      </c>
      <c r="E308" s="5">
        <v>6383498.720000001</v>
      </c>
      <c r="F308" s="5">
        <v>7339859.704336697</v>
      </c>
      <c r="G308" s="5">
        <v>9454002.28</v>
      </c>
      <c r="H308" s="5">
        <f t="shared" si="5"/>
        <v>7725786.901</v>
      </c>
      <c r="I308" s="5">
        <v>188820.06</v>
      </c>
      <c r="J308" s="5">
        <v>118605.36</v>
      </c>
      <c r="K308" s="5">
        <v>867730.17</v>
      </c>
      <c r="L308" s="5">
        <f t="shared" si="6"/>
        <v>391718.53</v>
      </c>
      <c r="M308" s="5">
        <v>6018430.139999995</v>
      </c>
      <c r="N308" s="5">
        <v>7426554.11</v>
      </c>
      <c r="O308" s="5">
        <v>6782976.810000001</v>
      </c>
      <c r="P308" s="5">
        <f t="shared" si="16"/>
        <v>6742653.687</v>
      </c>
      <c r="Q308" s="5">
        <v>110947.05</v>
      </c>
      <c r="R308" s="5">
        <v>554216.9299999999</v>
      </c>
      <c r="S308" s="5">
        <v>88298.0</v>
      </c>
      <c r="T308" s="5">
        <f t="shared" si="17"/>
        <v>251153.9933</v>
      </c>
      <c r="U308" s="6">
        <v>5.070273552674691</v>
      </c>
      <c r="V308" s="6">
        <v>3.7248538187565603</v>
      </c>
      <c r="W308" s="4"/>
      <c r="X308" s="4"/>
      <c r="Y308" s="4"/>
      <c r="Z308" s="4"/>
    </row>
    <row r="309" ht="14.25" customHeight="1">
      <c r="A309" s="5">
        <v>71503.0</v>
      </c>
      <c r="B309" s="5" t="s">
        <v>434</v>
      </c>
      <c r="C309" s="5" t="s">
        <v>363</v>
      </c>
      <c r="D309" s="5" t="s">
        <v>432</v>
      </c>
      <c r="E309" s="5">
        <v>9337440.209999999</v>
      </c>
      <c r="F309" s="5">
        <v>1.169993270044134E7</v>
      </c>
      <c r="G309" s="5">
        <v>1.291043798E7</v>
      </c>
      <c r="H309" s="5">
        <f t="shared" si="5"/>
        <v>11315936.96</v>
      </c>
      <c r="I309" s="5">
        <v>489680.68</v>
      </c>
      <c r="J309" s="5">
        <v>1330178.32</v>
      </c>
      <c r="K309" s="5">
        <v>565967.41</v>
      </c>
      <c r="L309" s="5">
        <f t="shared" si="6"/>
        <v>795275.47</v>
      </c>
      <c r="M309" s="5">
        <v>1.46563516E7</v>
      </c>
      <c r="N309" s="5">
        <v>1.582413851E7</v>
      </c>
      <c r="O309" s="5">
        <v>1.615151265E7</v>
      </c>
      <c r="P309" s="5">
        <f t="shared" si="16"/>
        <v>15544000.92</v>
      </c>
      <c r="Q309" s="5">
        <v>2712055.21</v>
      </c>
      <c r="R309" s="5">
        <v>1929123.0</v>
      </c>
      <c r="S309" s="5">
        <v>2615682.9</v>
      </c>
      <c r="T309" s="5">
        <f t="shared" si="17"/>
        <v>2418953.703</v>
      </c>
      <c r="U309" s="6">
        <v>7.027924179558145</v>
      </c>
      <c r="V309" s="6">
        <v>15.561976068985803</v>
      </c>
      <c r="W309" s="4"/>
      <c r="X309" s="4"/>
      <c r="Y309" s="4"/>
      <c r="Z309" s="4"/>
    </row>
    <row r="310" ht="14.25" customHeight="1">
      <c r="A310" s="5">
        <v>80101.0</v>
      </c>
      <c r="B310" s="5" t="s">
        <v>435</v>
      </c>
      <c r="C310" s="5" t="s">
        <v>436</v>
      </c>
      <c r="D310" s="5" t="s">
        <v>172</v>
      </c>
      <c r="E310" s="5">
        <v>1.70085780802E8</v>
      </c>
      <c r="F310" s="5">
        <v>2.020860090411722E8</v>
      </c>
      <c r="G310" s="5">
        <v>2.4580017013E8</v>
      </c>
      <c r="H310" s="5">
        <f t="shared" si="5"/>
        <v>205990653.3</v>
      </c>
      <c r="I310" s="5">
        <v>3.210549775999999E7</v>
      </c>
      <c r="J310" s="5">
        <v>2.903043767E7</v>
      </c>
      <c r="K310" s="5">
        <v>3.222580105E7</v>
      </c>
      <c r="L310" s="5">
        <f t="shared" si="6"/>
        <v>31120578.83</v>
      </c>
      <c r="M310" s="5">
        <v>1.802041552299999E8</v>
      </c>
      <c r="N310" s="5">
        <v>2.0988712745E8</v>
      </c>
      <c r="O310" s="5">
        <v>2.0014365704E8</v>
      </c>
      <c r="P310" s="5">
        <f t="shared" si="16"/>
        <v>196744979.9</v>
      </c>
      <c r="Q310" s="5">
        <v>5.320273291E7</v>
      </c>
      <c r="R310" s="5">
        <v>5.639576420999999E7</v>
      </c>
      <c r="S310" s="5">
        <v>5.986958576000001E7</v>
      </c>
      <c r="T310" s="5">
        <f t="shared" si="17"/>
        <v>56489360.96</v>
      </c>
      <c r="U310" s="6">
        <v>15.107762572925328</v>
      </c>
      <c r="V310" s="6">
        <v>28.711970687535636</v>
      </c>
      <c r="W310" s="4"/>
      <c r="X310" s="4"/>
      <c r="Y310" s="4"/>
      <c r="Z310" s="4"/>
    </row>
    <row r="311" ht="14.25" customHeight="1">
      <c r="A311" s="5">
        <v>80102.0</v>
      </c>
      <c r="B311" s="5" t="s">
        <v>437</v>
      </c>
      <c r="C311" s="5" t="s">
        <v>436</v>
      </c>
      <c r="D311" s="5" t="s">
        <v>172</v>
      </c>
      <c r="E311" s="5">
        <v>5024705.27</v>
      </c>
      <c r="F311" s="5">
        <v>6210985.022862397</v>
      </c>
      <c r="G311" s="5">
        <v>7534514.209999999</v>
      </c>
      <c r="H311" s="5">
        <f t="shared" si="5"/>
        <v>6256734.834</v>
      </c>
      <c r="I311" s="5">
        <v>211173.76</v>
      </c>
      <c r="J311" s="5">
        <v>265195.7</v>
      </c>
      <c r="K311" s="5">
        <v>222250.41</v>
      </c>
      <c r="L311" s="5">
        <f t="shared" si="6"/>
        <v>232873.29</v>
      </c>
      <c r="M311" s="5">
        <v>6608069.429999994</v>
      </c>
      <c r="N311" s="5">
        <v>7963501.49</v>
      </c>
      <c r="O311" s="5">
        <v>7237321.299999999</v>
      </c>
      <c r="P311" s="5">
        <f t="shared" si="16"/>
        <v>7269630.74</v>
      </c>
      <c r="Q311" s="5">
        <v>321453.24</v>
      </c>
      <c r="R311" s="5">
        <v>365509.55</v>
      </c>
      <c r="S311" s="5">
        <v>293647.05</v>
      </c>
      <c r="T311" s="5">
        <f t="shared" si="17"/>
        <v>326869.9467</v>
      </c>
      <c r="U311" s="6">
        <v>3.7219619524841234</v>
      </c>
      <c r="V311" s="6">
        <v>4.496376203376003</v>
      </c>
      <c r="W311" s="4"/>
      <c r="X311" s="4"/>
      <c r="Y311" s="4"/>
      <c r="Z311" s="4"/>
    </row>
    <row r="312" ht="14.25" customHeight="1">
      <c r="A312" s="5">
        <v>80201.0</v>
      </c>
      <c r="B312" s="5" t="s">
        <v>438</v>
      </c>
      <c r="C312" s="5" t="s">
        <v>436</v>
      </c>
      <c r="D312" s="5" t="s">
        <v>439</v>
      </c>
      <c r="E312" s="5">
        <v>1.4420023414E8</v>
      </c>
      <c r="F312" s="5">
        <v>1.774018788498689E8</v>
      </c>
      <c r="G312" s="5">
        <v>2.1668059824E8</v>
      </c>
      <c r="H312" s="5">
        <f t="shared" si="5"/>
        <v>179427570.4</v>
      </c>
      <c r="I312" s="5">
        <v>9861909.86</v>
      </c>
      <c r="J312" s="5">
        <v>1.063913473E7</v>
      </c>
      <c r="K312" s="5">
        <v>1.135461423E7</v>
      </c>
      <c r="L312" s="5">
        <f t="shared" si="6"/>
        <v>10618552.94</v>
      </c>
      <c r="M312" s="5">
        <v>1.357489942999999E8</v>
      </c>
      <c r="N312" s="5">
        <v>1.544014557E8</v>
      </c>
      <c r="O312" s="5">
        <v>1.4665074046E8</v>
      </c>
      <c r="P312" s="5">
        <f t="shared" si="16"/>
        <v>145600396.8</v>
      </c>
      <c r="Q312" s="5">
        <v>2.96858169E7</v>
      </c>
      <c r="R312" s="5">
        <v>2.621561345E7</v>
      </c>
      <c r="S312" s="5">
        <v>2.950311525E7</v>
      </c>
      <c r="T312" s="5">
        <f t="shared" si="17"/>
        <v>28468181.87</v>
      </c>
      <c r="U312" s="6">
        <v>5.918016342604829</v>
      </c>
      <c r="V312" s="6">
        <v>19.552269422631284</v>
      </c>
      <c r="W312" s="4"/>
      <c r="X312" s="4"/>
      <c r="Y312" s="4"/>
      <c r="Z312" s="4"/>
    </row>
    <row r="313" ht="14.25" customHeight="1">
      <c r="A313" s="5">
        <v>80202.0</v>
      </c>
      <c r="B313" s="5" t="s">
        <v>440</v>
      </c>
      <c r="C313" s="5" t="s">
        <v>436</v>
      </c>
      <c r="D313" s="5" t="s">
        <v>439</v>
      </c>
      <c r="E313" s="5">
        <v>7.681335182000001E7</v>
      </c>
      <c r="F313" s="5">
        <v>9.43119106487996E7</v>
      </c>
      <c r="G313" s="5">
        <v>1.1583410788E8</v>
      </c>
      <c r="H313" s="5">
        <f t="shared" si="5"/>
        <v>95653123.45</v>
      </c>
      <c r="I313" s="5">
        <v>7204634.9</v>
      </c>
      <c r="J313" s="5">
        <v>6912982.960000001</v>
      </c>
      <c r="K313" s="5">
        <v>7945014.48</v>
      </c>
      <c r="L313" s="5">
        <f t="shared" si="6"/>
        <v>7354210.78</v>
      </c>
      <c r="M313" s="5">
        <v>5.565256710999995E7</v>
      </c>
      <c r="N313" s="5">
        <v>6.870158624E7</v>
      </c>
      <c r="O313" s="5">
        <v>6.279757081E7</v>
      </c>
      <c r="P313" s="5">
        <f t="shared" si="16"/>
        <v>62383908.05</v>
      </c>
      <c r="Q313" s="5">
        <v>5834561.21</v>
      </c>
      <c r="R313" s="5">
        <v>8492473.81</v>
      </c>
      <c r="S313" s="5">
        <v>7773154.319999998</v>
      </c>
      <c r="T313" s="5">
        <f t="shared" si="17"/>
        <v>7366729.78</v>
      </c>
      <c r="U313" s="6">
        <v>7.688416765475488</v>
      </c>
      <c r="V313" s="6">
        <v>11.808701971191075</v>
      </c>
      <c r="W313" s="4"/>
      <c r="X313" s="4"/>
      <c r="Y313" s="4"/>
      <c r="Z313" s="4"/>
    </row>
    <row r="314" ht="14.25" customHeight="1">
      <c r="A314" s="5">
        <v>80301.0</v>
      </c>
      <c r="B314" s="5" t="s">
        <v>441</v>
      </c>
      <c r="C314" s="5" t="s">
        <v>436</v>
      </c>
      <c r="D314" s="5" t="s">
        <v>442</v>
      </c>
      <c r="E314" s="5">
        <v>2.020863516999999E7</v>
      </c>
      <c r="F314" s="5">
        <v>2.466186788623235E7</v>
      </c>
      <c r="G314" s="5">
        <v>3.02073245E7</v>
      </c>
      <c r="H314" s="5">
        <f t="shared" si="5"/>
        <v>25025942.52</v>
      </c>
      <c r="I314" s="5">
        <v>543294.08</v>
      </c>
      <c r="J314" s="5">
        <v>245210.35</v>
      </c>
      <c r="K314" s="5">
        <v>143177.84</v>
      </c>
      <c r="L314" s="5">
        <f t="shared" si="6"/>
        <v>310560.7567</v>
      </c>
      <c r="M314" s="5">
        <v>1.627887244999999E7</v>
      </c>
      <c r="N314" s="5">
        <v>1.970528505E7</v>
      </c>
      <c r="O314" s="5">
        <v>1.822080659E7</v>
      </c>
      <c r="P314" s="5">
        <f t="shared" si="16"/>
        <v>18068321.36</v>
      </c>
      <c r="Q314" s="5">
        <v>497726.58</v>
      </c>
      <c r="R314" s="5">
        <v>632404.5399999999</v>
      </c>
      <c r="S314" s="5">
        <v>790353.89</v>
      </c>
      <c r="T314" s="5">
        <f t="shared" si="17"/>
        <v>640161.67</v>
      </c>
      <c r="U314" s="6">
        <v>1.2409552864355082</v>
      </c>
      <c r="V314" s="6">
        <v>3.543005778605987</v>
      </c>
      <c r="W314" s="4"/>
      <c r="X314" s="4"/>
      <c r="Y314" s="4"/>
      <c r="Z314" s="4"/>
    </row>
    <row r="315" ht="14.25" customHeight="1">
      <c r="A315" s="5">
        <v>80302.0</v>
      </c>
      <c r="B315" s="5" t="s">
        <v>443</v>
      </c>
      <c r="C315" s="5" t="s">
        <v>436</v>
      </c>
      <c r="D315" s="5" t="s">
        <v>444</v>
      </c>
      <c r="E315" s="5">
        <v>6.320564624E7</v>
      </c>
      <c r="F315" s="5">
        <v>7.723752141426474E7</v>
      </c>
      <c r="G315" s="5">
        <v>9.467649539E7</v>
      </c>
      <c r="H315" s="5">
        <f t="shared" si="5"/>
        <v>78373221.01</v>
      </c>
      <c r="I315" s="5">
        <v>1604060.77</v>
      </c>
      <c r="J315" s="5">
        <v>1205572.33</v>
      </c>
      <c r="K315" s="5">
        <v>1186382.46</v>
      </c>
      <c r="L315" s="5">
        <f t="shared" si="6"/>
        <v>1332005.187</v>
      </c>
      <c r="M315" s="5">
        <v>5.020346952999995E7</v>
      </c>
      <c r="N315" s="5">
        <v>6.062889531000001E7</v>
      </c>
      <c r="O315" s="5">
        <v>5.619165713E7</v>
      </c>
      <c r="P315" s="5">
        <f t="shared" si="16"/>
        <v>55674673.99</v>
      </c>
      <c r="Q315" s="5">
        <v>1517324.71</v>
      </c>
      <c r="R315" s="5">
        <v>1787726.51</v>
      </c>
      <c r="S315" s="5">
        <v>2417389.71</v>
      </c>
      <c r="T315" s="5">
        <f t="shared" si="17"/>
        <v>1907480.31</v>
      </c>
      <c r="U315" s="6">
        <v>1.6995667262621466</v>
      </c>
      <c r="V315" s="6">
        <v>3.4261185082872907</v>
      </c>
      <c r="W315" s="4"/>
      <c r="X315" s="4"/>
      <c r="Y315" s="4"/>
      <c r="Z315" s="4"/>
    </row>
    <row r="316" ht="14.25" customHeight="1">
      <c r="A316" s="5">
        <v>80303.0</v>
      </c>
      <c r="B316" s="5" t="s">
        <v>445</v>
      </c>
      <c r="C316" s="5" t="s">
        <v>436</v>
      </c>
      <c r="D316" s="5" t="s">
        <v>444</v>
      </c>
      <c r="E316" s="5">
        <v>1.865755253E7</v>
      </c>
      <c r="F316" s="5">
        <v>2.244339011629055E7</v>
      </c>
      <c r="G316" s="5">
        <v>2.74897917E7</v>
      </c>
      <c r="H316" s="5">
        <f t="shared" si="5"/>
        <v>22863578.12</v>
      </c>
      <c r="I316" s="5">
        <v>2727098.64</v>
      </c>
      <c r="J316" s="5">
        <v>2661879.85</v>
      </c>
      <c r="K316" s="5">
        <v>3132307.9</v>
      </c>
      <c r="L316" s="5">
        <f t="shared" si="6"/>
        <v>2840428.797</v>
      </c>
      <c r="M316" s="5">
        <v>1.221409617999999E7</v>
      </c>
      <c r="N316" s="5">
        <v>1.476599038E7</v>
      </c>
      <c r="O316" s="5">
        <v>1.370999461E7</v>
      </c>
      <c r="P316" s="5">
        <f t="shared" si="16"/>
        <v>13563360.39</v>
      </c>
      <c r="Q316" s="5">
        <v>922269.5700000001</v>
      </c>
      <c r="R316" s="5">
        <v>1118806.53</v>
      </c>
      <c r="S316" s="5">
        <v>1238028.58</v>
      </c>
      <c r="T316" s="5">
        <f t="shared" si="17"/>
        <v>1093034.893</v>
      </c>
      <c r="U316" s="6">
        <v>12.4233782758164</v>
      </c>
      <c r="V316" s="6">
        <v>8.0587322160901</v>
      </c>
      <c r="W316" s="4"/>
      <c r="X316" s="4"/>
      <c r="Y316" s="4"/>
      <c r="Z316" s="4"/>
    </row>
    <row r="317" ht="14.25" customHeight="1">
      <c r="A317" s="5">
        <v>80304.0</v>
      </c>
      <c r="B317" s="5" t="s">
        <v>446</v>
      </c>
      <c r="C317" s="5" t="s">
        <v>436</v>
      </c>
      <c r="D317" s="5" t="s">
        <v>444</v>
      </c>
      <c r="E317" s="5">
        <v>2.653272411E7</v>
      </c>
      <c r="F317" s="5">
        <v>3.257111014033207E7</v>
      </c>
      <c r="G317" s="5">
        <v>3.904194524E7</v>
      </c>
      <c r="H317" s="5">
        <f t="shared" si="5"/>
        <v>32715259.83</v>
      </c>
      <c r="I317" s="5">
        <v>2392610.52</v>
      </c>
      <c r="J317" s="5">
        <v>2590212.159999999</v>
      </c>
      <c r="K317" s="5">
        <v>2124202.75</v>
      </c>
      <c r="L317" s="5">
        <f t="shared" si="6"/>
        <v>2369008.477</v>
      </c>
      <c r="M317" s="5">
        <v>2.503932462999999E7</v>
      </c>
      <c r="N317" s="5">
        <v>3.019421175E7</v>
      </c>
      <c r="O317" s="5">
        <v>2.806672921E7</v>
      </c>
      <c r="P317" s="5">
        <f t="shared" si="16"/>
        <v>27766755.2</v>
      </c>
      <c r="Q317" s="5">
        <v>2170343.11</v>
      </c>
      <c r="R317" s="5">
        <v>2555122.17</v>
      </c>
      <c r="S317" s="5">
        <v>2807709.77</v>
      </c>
      <c r="T317" s="5">
        <f t="shared" si="17"/>
        <v>2511058.35</v>
      </c>
      <c r="U317" s="6">
        <v>7.241295007188856</v>
      </c>
      <c r="V317" s="6">
        <v>9.043398597404158</v>
      </c>
      <c r="W317" s="4"/>
      <c r="X317" s="4"/>
      <c r="Y317" s="4"/>
      <c r="Z317" s="4"/>
    </row>
    <row r="318" ht="14.25" customHeight="1">
      <c r="A318" s="5">
        <v>80401.0</v>
      </c>
      <c r="B318" s="5" t="s">
        <v>447</v>
      </c>
      <c r="C318" s="5" t="s">
        <v>436</v>
      </c>
      <c r="D318" s="5" t="s">
        <v>448</v>
      </c>
      <c r="E318" s="5">
        <v>4.32932293E7</v>
      </c>
      <c r="F318" s="5">
        <v>5.418832090317941E7</v>
      </c>
      <c r="G318" s="5">
        <v>6.530198599E7</v>
      </c>
      <c r="H318" s="5">
        <f t="shared" si="5"/>
        <v>54261178.73</v>
      </c>
      <c r="I318" s="5">
        <v>2137520.04</v>
      </c>
      <c r="J318" s="5">
        <v>2879237.46</v>
      </c>
      <c r="K318" s="5">
        <v>2065914.11</v>
      </c>
      <c r="L318" s="5">
        <f t="shared" si="6"/>
        <v>2360890.537</v>
      </c>
      <c r="M318" s="5">
        <v>3.503485534999999E7</v>
      </c>
      <c r="N318" s="5">
        <v>3.867426542E7</v>
      </c>
      <c r="O318" s="5">
        <v>3.412333358E7</v>
      </c>
      <c r="P318" s="5">
        <f t="shared" si="16"/>
        <v>35944151.45</v>
      </c>
      <c r="Q318" s="5">
        <v>1.306659731E7</v>
      </c>
      <c r="R318" s="5">
        <v>1.212377162E7</v>
      </c>
      <c r="S318" s="5">
        <v>9859169.73</v>
      </c>
      <c r="T318" s="5">
        <f t="shared" si="17"/>
        <v>11683179.55</v>
      </c>
      <c r="U318" s="6">
        <v>4.350975396919018</v>
      </c>
      <c r="V318" s="6">
        <v>32.50370110860785</v>
      </c>
      <c r="W318" s="4"/>
      <c r="X318" s="4"/>
      <c r="Y318" s="4"/>
      <c r="Z318" s="4"/>
    </row>
    <row r="319" ht="14.25" customHeight="1">
      <c r="A319" s="5">
        <v>80402.0</v>
      </c>
      <c r="B319" s="5" t="s">
        <v>449</v>
      </c>
      <c r="C319" s="5" t="s">
        <v>436</v>
      </c>
      <c r="D319" s="5" t="s">
        <v>448</v>
      </c>
      <c r="E319" s="5">
        <v>1.082899618E7</v>
      </c>
      <c r="F319" s="5">
        <v>1.365620639639251E7</v>
      </c>
      <c r="G319" s="5">
        <v>1.685095081E7</v>
      </c>
      <c r="H319" s="5">
        <f t="shared" si="5"/>
        <v>13778717.8</v>
      </c>
      <c r="I319" s="5">
        <v>0.0</v>
      </c>
      <c r="J319" s="5">
        <v>240389.38</v>
      </c>
      <c r="K319" s="5">
        <v>340501.62</v>
      </c>
      <c r="L319" s="5">
        <f t="shared" si="6"/>
        <v>193630.3333</v>
      </c>
      <c r="M319" s="5">
        <v>8057540.079999993</v>
      </c>
      <c r="N319" s="5">
        <v>9871213.11</v>
      </c>
      <c r="O319" s="5">
        <v>9485709.96</v>
      </c>
      <c r="P319" s="5">
        <f t="shared" si="16"/>
        <v>9138154.383</v>
      </c>
      <c r="Q319" s="5">
        <v>478219.1500000001</v>
      </c>
      <c r="R319" s="5">
        <v>710885.4</v>
      </c>
      <c r="S319" s="5">
        <v>1114233.61</v>
      </c>
      <c r="T319" s="5">
        <f t="shared" si="17"/>
        <v>767779.3867</v>
      </c>
      <c r="U319" s="6">
        <v>1.4052855730674356</v>
      </c>
      <c r="V319" s="6">
        <v>8.401908683737988</v>
      </c>
      <c r="W319" s="4"/>
      <c r="X319" s="4"/>
      <c r="Y319" s="4"/>
      <c r="Z319" s="4"/>
    </row>
    <row r="320" ht="14.25" customHeight="1">
      <c r="A320" s="5">
        <v>80501.0</v>
      </c>
      <c r="B320" s="5" t="s">
        <v>450</v>
      </c>
      <c r="C320" s="5" t="s">
        <v>436</v>
      </c>
      <c r="D320" s="5" t="s">
        <v>451</v>
      </c>
      <c r="E320" s="5">
        <v>3.665906654E7</v>
      </c>
      <c r="F320" s="5">
        <v>4.525465188985948E7</v>
      </c>
      <c r="G320" s="5">
        <v>5.505416296E7</v>
      </c>
      <c r="H320" s="5">
        <f t="shared" si="5"/>
        <v>45655960.46</v>
      </c>
      <c r="I320" s="5">
        <v>862229.6599999999</v>
      </c>
      <c r="J320" s="5">
        <v>1103867.89</v>
      </c>
      <c r="K320" s="5">
        <v>774668.91</v>
      </c>
      <c r="L320" s="5">
        <f t="shared" si="6"/>
        <v>913588.82</v>
      </c>
      <c r="M320" s="5">
        <v>2.629041533999998E7</v>
      </c>
      <c r="N320" s="5">
        <v>3.160693247E7</v>
      </c>
      <c r="O320" s="5">
        <v>2.895213309E7</v>
      </c>
      <c r="P320" s="5">
        <f t="shared" si="16"/>
        <v>28949826.97</v>
      </c>
      <c r="Q320" s="5">
        <v>1135073.86</v>
      </c>
      <c r="R320" s="5">
        <v>1204596.51</v>
      </c>
      <c r="S320" s="5">
        <v>1167811.95</v>
      </c>
      <c r="T320" s="5">
        <f t="shared" si="17"/>
        <v>1169160.773</v>
      </c>
      <c r="U320" s="6">
        <v>2.0010285858177217</v>
      </c>
      <c r="V320" s="6">
        <v>4.038576032525258</v>
      </c>
      <c r="W320" s="4"/>
      <c r="X320" s="4"/>
      <c r="Y320" s="4"/>
      <c r="Z320" s="4"/>
    </row>
    <row r="321" ht="14.25" customHeight="1">
      <c r="A321" s="5">
        <v>80601.0</v>
      </c>
      <c r="B321" s="5" t="s">
        <v>452</v>
      </c>
      <c r="C321" s="5" t="s">
        <v>436</v>
      </c>
      <c r="D321" s="5" t="s">
        <v>453</v>
      </c>
      <c r="E321" s="5">
        <v>7162452.11</v>
      </c>
      <c r="F321" s="5">
        <v>8727984.614327673</v>
      </c>
      <c r="G321" s="5">
        <v>1.065861154E7</v>
      </c>
      <c r="H321" s="5">
        <f t="shared" si="5"/>
        <v>8849682.755</v>
      </c>
      <c r="I321" s="5">
        <v>190202.75</v>
      </c>
      <c r="J321" s="5">
        <v>150158.69</v>
      </c>
      <c r="K321" s="5">
        <v>119146.28</v>
      </c>
      <c r="L321" s="5">
        <f t="shared" si="6"/>
        <v>153169.24</v>
      </c>
      <c r="M321" s="5">
        <v>4721805.829999997</v>
      </c>
      <c r="N321" s="5">
        <v>5586789.890000001</v>
      </c>
      <c r="O321" s="5">
        <v>5036867.33</v>
      </c>
      <c r="P321" s="5">
        <f t="shared" si="16"/>
        <v>5115154.35</v>
      </c>
      <c r="Q321" s="5">
        <v>161576.18</v>
      </c>
      <c r="R321" s="5">
        <v>75272.65</v>
      </c>
      <c r="S321" s="5">
        <v>0.0</v>
      </c>
      <c r="T321" s="5">
        <f t="shared" si="17"/>
        <v>78949.61</v>
      </c>
      <c r="U321" s="6">
        <v>1.7307879191187894</v>
      </c>
      <c r="V321" s="6">
        <v>1.5434453116747104</v>
      </c>
      <c r="W321" s="4"/>
      <c r="X321" s="4"/>
      <c r="Y321" s="4"/>
      <c r="Z321" s="4"/>
    </row>
    <row r="322" ht="14.25" customHeight="1">
      <c r="A322" s="5">
        <v>80602.0</v>
      </c>
      <c r="B322" s="5" t="s">
        <v>454</v>
      </c>
      <c r="C322" s="5" t="s">
        <v>436</v>
      </c>
      <c r="D322" s="5" t="s">
        <v>453</v>
      </c>
      <c r="E322" s="5">
        <v>1.956733262E7</v>
      </c>
      <c r="F322" s="5">
        <v>2.418925795610054E7</v>
      </c>
      <c r="G322" s="5">
        <v>2.931145543E7</v>
      </c>
      <c r="H322" s="5">
        <f t="shared" si="5"/>
        <v>24356015.34</v>
      </c>
      <c r="I322" s="5">
        <v>609594.52</v>
      </c>
      <c r="J322" s="5">
        <v>772202.73</v>
      </c>
      <c r="K322" s="5">
        <v>512310.0</v>
      </c>
      <c r="L322" s="5">
        <f t="shared" si="6"/>
        <v>631369.0833</v>
      </c>
      <c r="M322" s="5">
        <v>1.577667754999999E7</v>
      </c>
      <c r="N322" s="5">
        <v>1.875814202E7</v>
      </c>
      <c r="O322" s="5">
        <v>1.71899519E7</v>
      </c>
      <c r="P322" s="5">
        <f t="shared" si="16"/>
        <v>17241590.49</v>
      </c>
      <c r="Q322" s="5">
        <v>880766.25</v>
      </c>
      <c r="R322" s="5">
        <v>755137.27</v>
      </c>
      <c r="S322" s="5">
        <v>737247.49</v>
      </c>
      <c r="T322" s="5">
        <f t="shared" si="17"/>
        <v>791050.3367</v>
      </c>
      <c r="U322" s="6">
        <v>2.5922511323785216</v>
      </c>
      <c r="V322" s="6">
        <v>4.588035756477746</v>
      </c>
      <c r="W322" s="4"/>
      <c r="X322" s="4"/>
      <c r="Y322" s="4"/>
      <c r="Z322" s="4"/>
    </row>
    <row r="323" ht="14.25" customHeight="1">
      <c r="A323" s="5">
        <v>80701.0</v>
      </c>
      <c r="B323" s="5" t="s">
        <v>455</v>
      </c>
      <c r="C323" s="5" t="s">
        <v>436</v>
      </c>
      <c r="D323" s="5" t="s">
        <v>456</v>
      </c>
      <c r="E323" s="5">
        <v>9878957.190000001</v>
      </c>
      <c r="F323" s="5">
        <v>1.245858123674239E7</v>
      </c>
      <c r="G323" s="5">
        <v>1.548819173E7</v>
      </c>
      <c r="H323" s="5">
        <f t="shared" si="5"/>
        <v>12608576.72</v>
      </c>
      <c r="I323" s="5">
        <v>294309.75</v>
      </c>
      <c r="J323" s="5">
        <v>531581.34</v>
      </c>
      <c r="K323" s="5">
        <v>795055.81</v>
      </c>
      <c r="L323" s="5">
        <f t="shared" si="6"/>
        <v>540315.6333</v>
      </c>
      <c r="M323" s="5">
        <v>8964258.389999991</v>
      </c>
      <c r="N323" s="5">
        <v>1.112909595E7</v>
      </c>
      <c r="O323" s="5">
        <v>1.063493518E7</v>
      </c>
      <c r="P323" s="5">
        <f t="shared" si="16"/>
        <v>10242763.17</v>
      </c>
      <c r="Q323" s="5">
        <v>723692.04</v>
      </c>
      <c r="R323" s="5">
        <v>1169600.55</v>
      </c>
      <c r="S323" s="5">
        <v>1533108.57</v>
      </c>
      <c r="T323" s="5">
        <f t="shared" si="17"/>
        <v>1142133.72</v>
      </c>
      <c r="U323" s="6">
        <v>4.28530234124527</v>
      </c>
      <c r="V323" s="6">
        <v>11.150640707709659</v>
      </c>
      <c r="W323" s="4"/>
      <c r="X323" s="4"/>
      <c r="Y323" s="4"/>
      <c r="Z323" s="4"/>
    </row>
    <row r="324" ht="14.25" customHeight="1">
      <c r="A324" s="5">
        <v>80702.0</v>
      </c>
      <c r="B324" s="5" t="s">
        <v>457</v>
      </c>
      <c r="C324" s="5" t="s">
        <v>436</v>
      </c>
      <c r="D324" s="5" t="s">
        <v>456</v>
      </c>
      <c r="E324" s="5">
        <v>1.067934364E7</v>
      </c>
      <c r="F324" s="5">
        <v>1.318940326414221E7</v>
      </c>
      <c r="G324" s="5">
        <v>1.612279465E7</v>
      </c>
      <c r="H324" s="5">
        <f t="shared" si="5"/>
        <v>13330513.85</v>
      </c>
      <c r="I324" s="5">
        <v>340455.95</v>
      </c>
      <c r="J324" s="5">
        <v>281579.83</v>
      </c>
      <c r="K324" s="5">
        <v>209442.78</v>
      </c>
      <c r="L324" s="5">
        <f t="shared" si="6"/>
        <v>277159.52</v>
      </c>
      <c r="M324" s="5">
        <v>6451260.539999995</v>
      </c>
      <c r="N324" s="5">
        <v>7864681.570000002</v>
      </c>
      <c r="O324" s="5">
        <v>7121823.57</v>
      </c>
      <c r="P324" s="5">
        <f t="shared" si="16"/>
        <v>7145921.893</v>
      </c>
      <c r="Q324" s="5">
        <v>548285.72</v>
      </c>
      <c r="R324" s="5">
        <v>730350.38</v>
      </c>
      <c r="S324" s="5">
        <v>601883.98</v>
      </c>
      <c r="T324" s="5">
        <f t="shared" si="17"/>
        <v>626840.0267</v>
      </c>
      <c r="U324" s="6">
        <v>2.079136056494121</v>
      </c>
      <c r="V324" s="6">
        <v>8.77199661602048</v>
      </c>
      <c r="W324" s="4"/>
      <c r="X324" s="4"/>
      <c r="Y324" s="4"/>
      <c r="Z324" s="4"/>
    </row>
    <row r="325" ht="14.25" customHeight="1">
      <c r="A325" s="5">
        <v>80703.0</v>
      </c>
      <c r="B325" s="5" t="s">
        <v>458</v>
      </c>
      <c r="C325" s="5" t="s">
        <v>436</v>
      </c>
      <c r="D325" s="5" t="s">
        <v>456</v>
      </c>
      <c r="E325" s="5">
        <v>1824015.79</v>
      </c>
      <c r="F325" s="5">
        <v>2277499.972864104</v>
      </c>
      <c r="G325" s="5">
        <v>2779925.28</v>
      </c>
      <c r="H325" s="5">
        <f t="shared" si="5"/>
        <v>2293813.681</v>
      </c>
      <c r="I325" s="5">
        <v>5972.7</v>
      </c>
      <c r="J325" s="5">
        <v>29845.2</v>
      </c>
      <c r="K325" s="5">
        <v>15205.62</v>
      </c>
      <c r="L325" s="5">
        <f t="shared" si="6"/>
        <v>17007.84</v>
      </c>
      <c r="M325" s="5">
        <v>1226278.579999999</v>
      </c>
      <c r="N325" s="5">
        <v>1395812.27</v>
      </c>
      <c r="O325" s="5">
        <v>1267355.13</v>
      </c>
      <c r="P325" s="5">
        <f t="shared" si="16"/>
        <v>1296481.993</v>
      </c>
      <c r="Q325" s="5">
        <v>100950.45</v>
      </c>
      <c r="R325" s="5">
        <v>35644.4</v>
      </c>
      <c r="S325" s="5">
        <v>24361.85</v>
      </c>
      <c r="T325" s="5">
        <f t="shared" si="17"/>
        <v>53652.23333</v>
      </c>
      <c r="U325" s="6">
        <v>0.7414656273617314</v>
      </c>
      <c r="V325" s="6">
        <v>4.13829375257193</v>
      </c>
      <c r="W325" s="4"/>
      <c r="X325" s="4"/>
      <c r="Y325" s="4"/>
      <c r="Z325" s="4"/>
    </row>
    <row r="326" ht="14.25" customHeight="1">
      <c r="A326" s="5">
        <v>80801.0</v>
      </c>
      <c r="B326" s="5" t="s">
        <v>459</v>
      </c>
      <c r="C326" s="5" t="s">
        <v>436</v>
      </c>
      <c r="D326" s="5" t="s">
        <v>460</v>
      </c>
      <c r="E326" s="5">
        <v>1.793727962E7</v>
      </c>
      <c r="F326" s="5">
        <v>2.236569302940087E7</v>
      </c>
      <c r="G326" s="5">
        <v>2.7667285E7</v>
      </c>
      <c r="H326" s="5">
        <f t="shared" si="5"/>
        <v>22656752.55</v>
      </c>
      <c r="I326" s="5">
        <v>326624.95</v>
      </c>
      <c r="J326" s="5">
        <v>552017.13</v>
      </c>
      <c r="K326" s="5">
        <v>822843.2899999999</v>
      </c>
      <c r="L326" s="5">
        <f t="shared" si="6"/>
        <v>567161.79</v>
      </c>
      <c r="M326" s="5">
        <v>1.469762161999999E7</v>
      </c>
      <c r="N326" s="5">
        <v>1.748340978E7</v>
      </c>
      <c r="O326" s="5">
        <v>1.671575742E7</v>
      </c>
      <c r="P326" s="5">
        <f t="shared" si="16"/>
        <v>16298929.61</v>
      </c>
      <c r="Q326" s="5">
        <v>1143263.66</v>
      </c>
      <c r="R326" s="5">
        <v>1101778.24</v>
      </c>
      <c r="S326" s="5">
        <v>1744808.5</v>
      </c>
      <c r="T326" s="5">
        <f t="shared" si="17"/>
        <v>1329950.133</v>
      </c>
      <c r="U326" s="6">
        <v>2.503279270731141</v>
      </c>
      <c r="V326" s="6">
        <v>8.159739108201013</v>
      </c>
      <c r="W326" s="4"/>
      <c r="X326" s="4"/>
      <c r="Y326" s="4"/>
      <c r="Z326" s="4"/>
    </row>
    <row r="327" ht="14.25" customHeight="1">
      <c r="A327" s="5">
        <v>80802.0</v>
      </c>
      <c r="B327" s="5" t="s">
        <v>461</v>
      </c>
      <c r="C327" s="5" t="s">
        <v>436</v>
      </c>
      <c r="D327" s="5" t="s">
        <v>460</v>
      </c>
      <c r="E327" s="5">
        <v>9445205.09</v>
      </c>
      <c r="F327" s="5">
        <v>1.173711528087064E7</v>
      </c>
      <c r="G327" s="5">
        <v>1.508982748E7</v>
      </c>
      <c r="H327" s="5">
        <f t="shared" si="5"/>
        <v>12090715.95</v>
      </c>
      <c r="I327" s="5">
        <v>161898.21</v>
      </c>
      <c r="J327" s="5">
        <v>200349.28</v>
      </c>
      <c r="K327" s="5">
        <v>881731.22</v>
      </c>
      <c r="L327" s="5">
        <f t="shared" si="6"/>
        <v>414659.57</v>
      </c>
      <c r="M327" s="5">
        <v>1.220218155999999E7</v>
      </c>
      <c r="N327" s="5">
        <v>1.169259432E7</v>
      </c>
      <c r="O327" s="5">
        <v>1.044560587E7</v>
      </c>
      <c r="P327" s="5">
        <f t="shared" si="16"/>
        <v>11446793.92</v>
      </c>
      <c r="Q327" s="5">
        <v>5095859.689999999</v>
      </c>
      <c r="R327" s="5">
        <v>3103923.1</v>
      </c>
      <c r="S327" s="5">
        <v>2596560.57</v>
      </c>
      <c r="T327" s="5">
        <f t="shared" si="17"/>
        <v>3598781.12</v>
      </c>
      <c r="U327" s="6">
        <v>3.4295700246770493</v>
      </c>
      <c r="V327" s="6">
        <v>31.439206001255364</v>
      </c>
      <c r="W327" s="4"/>
      <c r="X327" s="4"/>
      <c r="Y327" s="4"/>
      <c r="Z327" s="4"/>
    </row>
    <row r="328" ht="14.25" customHeight="1">
      <c r="A328" s="5">
        <v>80803.0</v>
      </c>
      <c r="B328" s="5" t="s">
        <v>462</v>
      </c>
      <c r="C328" s="5" t="s">
        <v>436</v>
      </c>
      <c r="D328" s="5" t="s">
        <v>460</v>
      </c>
      <c r="E328" s="5">
        <v>6646582.479999999</v>
      </c>
      <c r="F328" s="5">
        <v>8280573.92311761</v>
      </c>
      <c r="G328" s="5">
        <v>1.015271297E7</v>
      </c>
      <c r="H328" s="5">
        <f t="shared" si="5"/>
        <v>8359956.458</v>
      </c>
      <c r="I328" s="5">
        <v>102506.2</v>
      </c>
      <c r="J328" s="5">
        <v>152276.55</v>
      </c>
      <c r="K328" s="5">
        <v>143562.45</v>
      </c>
      <c r="L328" s="5">
        <f t="shared" si="6"/>
        <v>132781.7333</v>
      </c>
      <c r="M328" s="5">
        <v>5060651.849999994</v>
      </c>
      <c r="N328" s="5">
        <v>6391922.5</v>
      </c>
      <c r="O328" s="5">
        <v>5746493.099999999</v>
      </c>
      <c r="P328" s="5">
        <f t="shared" si="16"/>
        <v>5733022.483</v>
      </c>
      <c r="Q328" s="5">
        <v>163246.43</v>
      </c>
      <c r="R328" s="5">
        <v>472901.15</v>
      </c>
      <c r="S328" s="5">
        <v>337212.15</v>
      </c>
      <c r="T328" s="5">
        <f t="shared" si="17"/>
        <v>324453.2433</v>
      </c>
      <c r="U328" s="6">
        <v>1.5883065181630283</v>
      </c>
      <c r="V328" s="6">
        <v>5.659375037801834</v>
      </c>
      <c r="W328" s="4"/>
      <c r="X328" s="4"/>
      <c r="Y328" s="4"/>
      <c r="Z328" s="4"/>
    </row>
    <row r="329" ht="14.25" customHeight="1">
      <c r="A329" s="5">
        <v>80901.0</v>
      </c>
      <c r="B329" s="5" t="s">
        <v>463</v>
      </c>
      <c r="C329" s="5" t="s">
        <v>436</v>
      </c>
      <c r="D329" s="5" t="s">
        <v>464</v>
      </c>
      <c r="E329" s="5">
        <v>0.0</v>
      </c>
      <c r="F329" s="5">
        <v>0.0</v>
      </c>
      <c r="G329" s="5">
        <v>0.0</v>
      </c>
      <c r="H329" s="5">
        <v>0.0</v>
      </c>
      <c r="I329" s="5">
        <v>0.0</v>
      </c>
      <c r="J329" s="5">
        <v>0.0</v>
      </c>
      <c r="K329" s="5">
        <v>0.0</v>
      </c>
      <c r="L329" s="5">
        <v>0.0</v>
      </c>
      <c r="M329" s="5">
        <v>4273955.99</v>
      </c>
      <c r="N329" s="5">
        <v>4273955.99</v>
      </c>
      <c r="O329" s="5">
        <v>4273955.99</v>
      </c>
      <c r="P329" s="5">
        <v>4273955.99</v>
      </c>
      <c r="Q329" s="5">
        <v>0.0</v>
      </c>
      <c r="R329" s="5">
        <v>0.0</v>
      </c>
      <c r="S329" s="5">
        <v>0.0</v>
      </c>
      <c r="T329" s="5">
        <v>0.0</v>
      </c>
      <c r="U329" s="6">
        <v>0.0</v>
      </c>
      <c r="V329" s="6">
        <v>0.0</v>
      </c>
      <c r="W329" s="4"/>
      <c r="X329" s="4"/>
      <c r="Y329" s="4"/>
      <c r="Z329" s="4"/>
    </row>
    <row r="330" ht="14.25" customHeight="1">
      <c r="A330" s="5">
        <v>90101.0</v>
      </c>
      <c r="B330" s="5" t="s">
        <v>465</v>
      </c>
      <c r="C330" s="5" t="s">
        <v>466</v>
      </c>
      <c r="D330" s="5" t="s">
        <v>467</v>
      </c>
      <c r="E330" s="5">
        <v>1.865315716E8</v>
      </c>
      <c r="F330" s="5">
        <v>2.44378579919096E8</v>
      </c>
      <c r="G330" s="5">
        <v>3.1070594065E8</v>
      </c>
      <c r="H330" s="5">
        <f t="shared" ref="H330:H344" si="18">AVERAGE(E330:G330)</f>
        <v>247205364.1</v>
      </c>
      <c r="I330" s="5">
        <v>9848205.95</v>
      </c>
      <c r="J330" s="5">
        <v>1.083718617E7</v>
      </c>
      <c r="K330" s="5">
        <v>1.3730188E7</v>
      </c>
      <c r="L330" s="5">
        <f t="shared" ref="L330:L344" si="19">AVERAGE(I330:K330)</f>
        <v>11471860.04</v>
      </c>
      <c r="M330" s="5">
        <v>1.5106731302E8</v>
      </c>
      <c r="N330" s="5">
        <v>1.8851959816E8</v>
      </c>
      <c r="O330" s="5">
        <v>1.5368104243E8</v>
      </c>
      <c r="P330" s="5">
        <f t="shared" ref="P330:P344" si="20">AVERAGE(M330:O330)</f>
        <v>164422651.2</v>
      </c>
      <c r="Q330" s="5">
        <v>3.389020410000001E7</v>
      </c>
      <c r="R330" s="5">
        <v>4.016637241E7</v>
      </c>
      <c r="S330" s="5">
        <v>2.853779472E7</v>
      </c>
      <c r="T330" s="5">
        <f t="shared" ref="T330:T344" si="21">AVERAGE(Q330:S330)</f>
        <v>34198123.74</v>
      </c>
      <c r="U330" s="6">
        <v>4.640619382912864</v>
      </c>
      <c r="V330" s="6">
        <v>20.798912736811552</v>
      </c>
      <c r="W330" s="4"/>
      <c r="X330" s="4"/>
      <c r="Y330" s="4"/>
      <c r="Z330" s="4"/>
    </row>
    <row r="331" ht="14.25" customHeight="1">
      <c r="A331" s="5">
        <v>90102.0</v>
      </c>
      <c r="B331" s="5" t="s">
        <v>468</v>
      </c>
      <c r="C331" s="5" t="s">
        <v>466</v>
      </c>
      <c r="D331" s="5" t="s">
        <v>467</v>
      </c>
      <c r="E331" s="5">
        <v>3.013211865000001E7</v>
      </c>
      <c r="F331" s="5">
        <v>3.954166263427671E7</v>
      </c>
      <c r="G331" s="5">
        <v>5.014182723999999E7</v>
      </c>
      <c r="H331" s="5">
        <f t="shared" si="18"/>
        <v>39938536.17</v>
      </c>
      <c r="I331" s="5">
        <v>299478.46</v>
      </c>
      <c r="J331" s="5">
        <v>376749.94</v>
      </c>
      <c r="K331" s="5">
        <v>417478.44</v>
      </c>
      <c r="L331" s="5">
        <f t="shared" si="19"/>
        <v>364568.9467</v>
      </c>
      <c r="M331" s="5">
        <v>2.114191330999999E7</v>
      </c>
      <c r="N331" s="5">
        <v>2.635580166E7</v>
      </c>
      <c r="O331" s="5">
        <v>2.23070413E7</v>
      </c>
      <c r="P331" s="5">
        <f t="shared" si="20"/>
        <v>23268252.09</v>
      </c>
      <c r="Q331" s="5">
        <v>1013061.07</v>
      </c>
      <c r="R331" s="5">
        <v>871344.48</v>
      </c>
      <c r="S331" s="5">
        <v>809721.9099999999</v>
      </c>
      <c r="T331" s="5">
        <f t="shared" si="21"/>
        <v>898042.4867</v>
      </c>
      <c r="U331" s="6">
        <v>0.9128250095882927</v>
      </c>
      <c r="V331" s="6">
        <v>3.859518468310813</v>
      </c>
      <c r="W331" s="4"/>
      <c r="X331" s="4"/>
      <c r="Y331" s="4"/>
      <c r="Z331" s="4"/>
    </row>
    <row r="332" ht="14.25" customHeight="1">
      <c r="A332" s="5">
        <v>90103.0</v>
      </c>
      <c r="B332" s="5" t="s">
        <v>469</v>
      </c>
      <c r="C332" s="5" t="s">
        <v>466</v>
      </c>
      <c r="D332" s="5" t="s">
        <v>467</v>
      </c>
      <c r="E332" s="5">
        <v>9804079.45</v>
      </c>
      <c r="F332" s="5">
        <v>1.27486911683857E7</v>
      </c>
      <c r="G332" s="5">
        <v>1.61459813E7</v>
      </c>
      <c r="H332" s="5">
        <f t="shared" si="18"/>
        <v>12899583.97</v>
      </c>
      <c r="I332" s="5">
        <v>0.0</v>
      </c>
      <c r="J332" s="5">
        <v>2508.08</v>
      </c>
      <c r="K332" s="5">
        <v>0.0</v>
      </c>
      <c r="L332" s="5">
        <f t="shared" si="19"/>
        <v>836.0266667</v>
      </c>
      <c r="M332" s="5">
        <v>5502852.409999997</v>
      </c>
      <c r="N332" s="5">
        <v>6974312.960000001</v>
      </c>
      <c r="O332" s="5">
        <v>6405750.58</v>
      </c>
      <c r="P332" s="5">
        <f t="shared" si="20"/>
        <v>6294305.317</v>
      </c>
      <c r="Q332" s="5">
        <v>0.0</v>
      </c>
      <c r="R332" s="5">
        <v>7227.08</v>
      </c>
      <c r="S332" s="5">
        <v>528756.52</v>
      </c>
      <c r="T332" s="5">
        <f t="shared" si="21"/>
        <v>178661.2</v>
      </c>
      <c r="U332" s="6">
        <v>0.006481035887900085</v>
      </c>
      <c r="V332" s="6">
        <v>2.8384577965565754</v>
      </c>
      <c r="W332" s="4"/>
      <c r="X332" s="4"/>
      <c r="Y332" s="4"/>
      <c r="Z332" s="4"/>
    </row>
    <row r="333" ht="14.25" customHeight="1">
      <c r="A333" s="5">
        <v>90104.0</v>
      </c>
      <c r="B333" s="5" t="s">
        <v>470</v>
      </c>
      <c r="C333" s="5" t="s">
        <v>466</v>
      </c>
      <c r="D333" s="5" t="s">
        <v>467</v>
      </c>
      <c r="E333" s="5">
        <v>1.903346039E7</v>
      </c>
      <c r="F333" s="5">
        <v>2.463703321931858E7</v>
      </c>
      <c r="G333" s="5">
        <v>3.129343083E7</v>
      </c>
      <c r="H333" s="5">
        <f t="shared" si="18"/>
        <v>24987974.81</v>
      </c>
      <c r="I333" s="5">
        <v>64577.30000000001</v>
      </c>
      <c r="J333" s="5">
        <v>0.0</v>
      </c>
      <c r="K333" s="5">
        <v>92284.39</v>
      </c>
      <c r="L333" s="5">
        <f t="shared" si="19"/>
        <v>52287.23</v>
      </c>
      <c r="M333" s="5">
        <v>1.008716388999999E7</v>
      </c>
      <c r="N333" s="5">
        <v>1.26263922E7</v>
      </c>
      <c r="O333" s="5">
        <v>1.064154292E7</v>
      </c>
      <c r="P333" s="5">
        <f t="shared" si="20"/>
        <v>11118366.34</v>
      </c>
      <c r="Q333" s="5">
        <v>187647.19</v>
      </c>
      <c r="R333" s="5">
        <v>92871.81</v>
      </c>
      <c r="S333" s="5">
        <v>68984.19</v>
      </c>
      <c r="T333" s="5">
        <f t="shared" si="21"/>
        <v>116501.0633</v>
      </c>
      <c r="U333" s="6">
        <v>0.20924957060776028</v>
      </c>
      <c r="V333" s="6">
        <v>1.047825371153051</v>
      </c>
      <c r="W333" s="4"/>
      <c r="X333" s="4"/>
      <c r="Y333" s="4"/>
      <c r="Z333" s="4"/>
    </row>
    <row r="334" ht="14.25" customHeight="1">
      <c r="A334" s="5">
        <v>90201.0</v>
      </c>
      <c r="B334" s="5" t="s">
        <v>471</v>
      </c>
      <c r="C334" s="5" t="s">
        <v>466</v>
      </c>
      <c r="D334" s="5" t="s">
        <v>472</v>
      </c>
      <c r="E334" s="5">
        <v>3.299372984E7</v>
      </c>
      <c r="F334" s="5">
        <v>4.277452408357044E7</v>
      </c>
      <c r="G334" s="5">
        <v>5.41681068E7</v>
      </c>
      <c r="H334" s="5">
        <f t="shared" si="18"/>
        <v>43312120.24</v>
      </c>
      <c r="I334" s="5">
        <v>270474.63</v>
      </c>
      <c r="J334" s="5">
        <v>146337.82</v>
      </c>
      <c r="K334" s="5">
        <v>144620.5</v>
      </c>
      <c r="L334" s="5">
        <f t="shared" si="19"/>
        <v>187144.3167</v>
      </c>
      <c r="M334" s="5">
        <v>1.611544072999999E7</v>
      </c>
      <c r="N334" s="5">
        <v>2.032211972E7</v>
      </c>
      <c r="O334" s="5">
        <v>1.738536278E7</v>
      </c>
      <c r="P334" s="5">
        <f t="shared" si="20"/>
        <v>17940974.41</v>
      </c>
      <c r="Q334" s="5">
        <v>314871.68</v>
      </c>
      <c r="R334" s="5">
        <v>317522.1300000001</v>
      </c>
      <c r="S334" s="5">
        <v>510577.99</v>
      </c>
      <c r="T334" s="5">
        <f t="shared" si="21"/>
        <v>380990.6</v>
      </c>
      <c r="U334" s="6">
        <v>0.4320830188513631</v>
      </c>
      <c r="V334" s="6">
        <v>2.1235780805062756</v>
      </c>
      <c r="W334" s="4"/>
      <c r="X334" s="4"/>
      <c r="Y334" s="4"/>
      <c r="Z334" s="4"/>
    </row>
    <row r="335" ht="14.25" customHeight="1">
      <c r="A335" s="5">
        <v>90202.0</v>
      </c>
      <c r="B335" s="5" t="s">
        <v>473</v>
      </c>
      <c r="C335" s="5" t="s">
        <v>466</v>
      </c>
      <c r="D335" s="5" t="s">
        <v>472</v>
      </c>
      <c r="E335" s="5">
        <v>9066495.08</v>
      </c>
      <c r="F335" s="5">
        <v>1.168185382840466E7</v>
      </c>
      <c r="G335" s="5">
        <v>1.480996422E7</v>
      </c>
      <c r="H335" s="5">
        <f t="shared" si="18"/>
        <v>11852771.04</v>
      </c>
      <c r="I335" s="5">
        <v>0.0</v>
      </c>
      <c r="J335" s="5">
        <v>0.0</v>
      </c>
      <c r="K335" s="5">
        <v>43609.82000000001</v>
      </c>
      <c r="L335" s="5">
        <f t="shared" si="19"/>
        <v>14536.60667</v>
      </c>
      <c r="M335" s="5">
        <v>7619516.139999994</v>
      </c>
      <c r="N335" s="5">
        <v>9682873.309999999</v>
      </c>
      <c r="O335" s="5">
        <v>8192778.160000002</v>
      </c>
      <c r="P335" s="5">
        <f t="shared" si="20"/>
        <v>8498389.203</v>
      </c>
      <c r="Q335" s="5">
        <v>44963.59</v>
      </c>
      <c r="R335" s="5">
        <v>92893.65</v>
      </c>
      <c r="S335" s="5">
        <v>103242.73</v>
      </c>
      <c r="T335" s="5">
        <f t="shared" si="21"/>
        <v>80366.65667</v>
      </c>
      <c r="U335" s="6">
        <v>0.12264310695088526</v>
      </c>
      <c r="V335" s="6">
        <v>0.9456692879533497</v>
      </c>
      <c r="W335" s="4"/>
      <c r="X335" s="4"/>
      <c r="Y335" s="4"/>
      <c r="Z335" s="4"/>
    </row>
    <row r="336" ht="14.25" customHeight="1">
      <c r="A336" s="5">
        <v>90203.0</v>
      </c>
      <c r="B336" s="5" t="s">
        <v>474</v>
      </c>
      <c r="C336" s="5" t="s">
        <v>466</v>
      </c>
      <c r="D336" s="5" t="s">
        <v>472</v>
      </c>
      <c r="E336" s="5">
        <v>2.594023341E7</v>
      </c>
      <c r="F336" s="5">
        <v>3.358198175045008E7</v>
      </c>
      <c r="G336" s="5">
        <v>4.254654626E7</v>
      </c>
      <c r="H336" s="5">
        <f t="shared" si="18"/>
        <v>34022920.47</v>
      </c>
      <c r="I336" s="5">
        <v>105049.3</v>
      </c>
      <c r="J336" s="5">
        <v>0.0</v>
      </c>
      <c r="K336" s="5">
        <v>9233.74</v>
      </c>
      <c r="L336" s="5">
        <f t="shared" si="19"/>
        <v>38094.34667</v>
      </c>
      <c r="M336" s="5">
        <v>1.473846913999999E7</v>
      </c>
      <c r="N336" s="5">
        <v>1.881051958E7</v>
      </c>
      <c r="O336" s="5">
        <v>1.56925941E7</v>
      </c>
      <c r="P336" s="5">
        <f t="shared" si="20"/>
        <v>16413860.94</v>
      </c>
      <c r="Q336" s="5">
        <v>161165.47</v>
      </c>
      <c r="R336" s="5">
        <v>354647.38</v>
      </c>
      <c r="S336" s="5">
        <v>124236.63</v>
      </c>
      <c r="T336" s="5">
        <f t="shared" si="21"/>
        <v>213349.8267</v>
      </c>
      <c r="U336" s="6">
        <v>0.11196671578019435</v>
      </c>
      <c r="V336" s="6">
        <v>1.2998150005446962</v>
      </c>
      <c r="W336" s="4"/>
      <c r="X336" s="4"/>
      <c r="Y336" s="4"/>
      <c r="Z336" s="4"/>
    </row>
    <row r="337" ht="14.25" customHeight="1">
      <c r="A337" s="5">
        <v>90301.0</v>
      </c>
      <c r="B337" s="5" t="s">
        <v>475</v>
      </c>
      <c r="C337" s="5" t="s">
        <v>466</v>
      </c>
      <c r="D337" s="5" t="s">
        <v>476</v>
      </c>
      <c r="E337" s="5">
        <v>3.160059144E7</v>
      </c>
      <c r="F337" s="5">
        <v>4.089656965252296E7</v>
      </c>
      <c r="G337" s="5">
        <v>5.196553569000001E7</v>
      </c>
      <c r="H337" s="5">
        <f t="shared" si="18"/>
        <v>41487565.59</v>
      </c>
      <c r="I337" s="5">
        <v>39847.63</v>
      </c>
      <c r="J337" s="5">
        <v>24191.49</v>
      </c>
      <c r="K337" s="5">
        <v>239027.87</v>
      </c>
      <c r="L337" s="5">
        <f t="shared" si="19"/>
        <v>101022.33</v>
      </c>
      <c r="M337" s="5">
        <v>2.076900258999999E7</v>
      </c>
      <c r="N337" s="5">
        <v>2.622372873E7</v>
      </c>
      <c r="O337" s="5">
        <v>2.213048537E7</v>
      </c>
      <c r="P337" s="5">
        <f t="shared" si="20"/>
        <v>23041072.23</v>
      </c>
      <c r="Q337" s="5">
        <v>103231.13</v>
      </c>
      <c r="R337" s="5">
        <v>59499.96</v>
      </c>
      <c r="S337" s="5">
        <v>59745.03</v>
      </c>
      <c r="T337" s="5">
        <f t="shared" si="21"/>
        <v>74158.70667</v>
      </c>
      <c r="U337" s="6">
        <v>0.2435002597843088</v>
      </c>
      <c r="V337" s="6">
        <v>0.32185440819073663</v>
      </c>
      <c r="W337" s="4"/>
      <c r="X337" s="4"/>
      <c r="Y337" s="4"/>
      <c r="Z337" s="4"/>
    </row>
    <row r="338" ht="14.25" customHeight="1">
      <c r="A338" s="5">
        <v>90302.0</v>
      </c>
      <c r="B338" s="5" t="s">
        <v>477</v>
      </c>
      <c r="C338" s="5" t="s">
        <v>466</v>
      </c>
      <c r="D338" s="5" t="s">
        <v>476</v>
      </c>
      <c r="E338" s="5">
        <v>2.89661817E7</v>
      </c>
      <c r="F338" s="5">
        <v>3.738974250518924E7</v>
      </c>
      <c r="G338" s="5">
        <v>4.730738405E7</v>
      </c>
      <c r="H338" s="5">
        <f t="shared" si="18"/>
        <v>37887769.42</v>
      </c>
      <c r="I338" s="5">
        <v>0.0</v>
      </c>
      <c r="J338" s="5">
        <v>0.0</v>
      </c>
      <c r="K338" s="5">
        <v>25035.81</v>
      </c>
      <c r="L338" s="5">
        <f t="shared" si="19"/>
        <v>8345.27</v>
      </c>
      <c r="M338" s="5">
        <v>1.948557162999999E7</v>
      </c>
      <c r="N338" s="5">
        <v>2.453534153E7</v>
      </c>
      <c r="O338" s="5">
        <v>2.07909822E7</v>
      </c>
      <c r="P338" s="5">
        <f t="shared" si="20"/>
        <v>21603965.12</v>
      </c>
      <c r="Q338" s="5">
        <v>106381.32</v>
      </c>
      <c r="R338" s="5">
        <v>0.0</v>
      </c>
      <c r="S338" s="5">
        <v>94289.21</v>
      </c>
      <c r="T338" s="5">
        <f t="shared" si="21"/>
        <v>66890.17667</v>
      </c>
      <c r="U338" s="6">
        <v>0.022026290088083024</v>
      </c>
      <c r="V338" s="6">
        <v>0.3096199067861978</v>
      </c>
      <c r="W338" s="4"/>
      <c r="X338" s="4"/>
      <c r="Y338" s="4"/>
      <c r="Z338" s="4"/>
    </row>
    <row r="339" ht="14.25" customHeight="1">
      <c r="A339" s="5">
        <v>90303.0</v>
      </c>
      <c r="B339" s="5" t="s">
        <v>478</v>
      </c>
      <c r="C339" s="5" t="s">
        <v>466</v>
      </c>
      <c r="D339" s="5" t="s">
        <v>476</v>
      </c>
      <c r="E339" s="5">
        <v>1.865992874E7</v>
      </c>
      <c r="F339" s="5">
        <v>2.403587407544383E7</v>
      </c>
      <c r="G339" s="5">
        <v>3.056615078999999E7</v>
      </c>
      <c r="H339" s="5">
        <f t="shared" si="18"/>
        <v>24420651.2</v>
      </c>
      <c r="I339" s="5">
        <v>162418.28</v>
      </c>
      <c r="J339" s="5">
        <v>47771.02</v>
      </c>
      <c r="K339" s="5">
        <v>197779.43</v>
      </c>
      <c r="L339" s="5">
        <f t="shared" si="19"/>
        <v>135989.5767</v>
      </c>
      <c r="M339" s="5">
        <v>2.159313137999999E7</v>
      </c>
      <c r="N339" s="5">
        <v>2.74194112E7</v>
      </c>
      <c r="O339" s="5">
        <v>2.374304242E7</v>
      </c>
      <c r="P339" s="5">
        <f t="shared" si="20"/>
        <v>24251861.67</v>
      </c>
      <c r="Q339" s="5">
        <v>679160.96</v>
      </c>
      <c r="R339" s="5">
        <v>940948.0099999999</v>
      </c>
      <c r="S339" s="5">
        <v>1407229.77</v>
      </c>
      <c r="T339" s="5">
        <f t="shared" si="21"/>
        <v>1009112.913</v>
      </c>
      <c r="U339" s="6">
        <v>0.5568630236058643</v>
      </c>
      <c r="V339" s="6">
        <v>4.160970927523983</v>
      </c>
      <c r="W339" s="4"/>
      <c r="X339" s="4"/>
      <c r="Y339" s="4"/>
      <c r="Z339" s="4"/>
    </row>
    <row r="340" ht="14.25" customHeight="1">
      <c r="A340" s="5">
        <v>90401.0</v>
      </c>
      <c r="B340" s="5" t="s">
        <v>479</v>
      </c>
      <c r="C340" s="5" t="s">
        <v>466</v>
      </c>
      <c r="D340" s="5" t="s">
        <v>480</v>
      </c>
      <c r="E340" s="5">
        <v>1.728411479E7</v>
      </c>
      <c r="F340" s="5">
        <v>2.242925607824181E7</v>
      </c>
      <c r="G340" s="5">
        <v>2.840145558E7</v>
      </c>
      <c r="H340" s="5">
        <f t="shared" si="18"/>
        <v>22704942.15</v>
      </c>
      <c r="I340" s="5">
        <v>5527.4</v>
      </c>
      <c r="J340" s="5">
        <v>0.0</v>
      </c>
      <c r="K340" s="5">
        <v>0.0</v>
      </c>
      <c r="L340" s="5">
        <f t="shared" si="19"/>
        <v>1842.466667</v>
      </c>
      <c r="M340" s="5">
        <v>6065098.189999994</v>
      </c>
      <c r="N340" s="5">
        <v>7797569.780000001</v>
      </c>
      <c r="O340" s="5">
        <v>6477463.800000001</v>
      </c>
      <c r="P340" s="5">
        <f t="shared" si="20"/>
        <v>6780043.923</v>
      </c>
      <c r="Q340" s="5">
        <v>0.0</v>
      </c>
      <c r="R340" s="5">
        <v>118647.21</v>
      </c>
      <c r="S340" s="5">
        <v>0.0</v>
      </c>
      <c r="T340" s="5">
        <f t="shared" si="21"/>
        <v>39549.07</v>
      </c>
      <c r="U340" s="6">
        <v>0.008114826519010642</v>
      </c>
      <c r="V340" s="6">
        <v>0.5833158375846649</v>
      </c>
      <c r="W340" s="4"/>
      <c r="X340" s="4"/>
      <c r="Y340" s="4"/>
      <c r="Z340" s="4"/>
    </row>
    <row r="341" ht="14.25" customHeight="1">
      <c r="A341" s="5">
        <v>90402.0</v>
      </c>
      <c r="B341" s="5" t="s">
        <v>481</v>
      </c>
      <c r="C341" s="5" t="s">
        <v>466</v>
      </c>
      <c r="D341" s="5" t="s">
        <v>480</v>
      </c>
      <c r="E341" s="5">
        <v>7626038.220000001</v>
      </c>
      <c r="F341" s="5">
        <v>9689841.649127522</v>
      </c>
      <c r="G341" s="5">
        <v>1.225220695E7</v>
      </c>
      <c r="H341" s="5">
        <f t="shared" si="18"/>
        <v>9856028.94</v>
      </c>
      <c r="I341" s="5">
        <v>115436.23</v>
      </c>
      <c r="J341" s="5">
        <v>0.0</v>
      </c>
      <c r="K341" s="5">
        <v>0.0</v>
      </c>
      <c r="L341" s="5">
        <f t="shared" si="19"/>
        <v>38478.74333</v>
      </c>
      <c r="M341" s="5">
        <v>4188411.939999997</v>
      </c>
      <c r="N341" s="5">
        <v>5302927.609999999</v>
      </c>
      <c r="O341" s="5">
        <v>4473253.47</v>
      </c>
      <c r="P341" s="5">
        <f t="shared" si="20"/>
        <v>4654864.34</v>
      </c>
      <c r="Q341" s="5">
        <v>0.0</v>
      </c>
      <c r="R341" s="5">
        <v>0.0</v>
      </c>
      <c r="S341" s="5">
        <v>60.0</v>
      </c>
      <c r="T341" s="5">
        <f t="shared" si="21"/>
        <v>20</v>
      </c>
      <c r="U341" s="6">
        <v>0.39040818131433713</v>
      </c>
      <c r="V341" s="6">
        <v>4.2965806389107366E-4</v>
      </c>
      <c r="W341" s="4"/>
      <c r="X341" s="4"/>
      <c r="Y341" s="4"/>
      <c r="Z341" s="4"/>
    </row>
    <row r="342" ht="14.25" customHeight="1">
      <c r="A342" s="5">
        <v>90501.0</v>
      </c>
      <c r="B342" s="5" t="s">
        <v>482</v>
      </c>
      <c r="C342" s="5" t="s">
        <v>466</v>
      </c>
      <c r="D342" s="5" t="s">
        <v>483</v>
      </c>
      <c r="E342" s="5">
        <v>6097283.49</v>
      </c>
      <c r="F342" s="5">
        <v>7939316.185480068</v>
      </c>
      <c r="G342" s="5">
        <v>1.000398414E7</v>
      </c>
      <c r="H342" s="5">
        <f t="shared" si="18"/>
        <v>8013527.938</v>
      </c>
      <c r="I342" s="5">
        <v>43583.47</v>
      </c>
      <c r="J342" s="5">
        <v>56015.21999999999</v>
      </c>
      <c r="K342" s="5">
        <v>14062.18</v>
      </c>
      <c r="L342" s="5">
        <f t="shared" si="19"/>
        <v>37886.95667</v>
      </c>
      <c r="M342" s="5">
        <v>5332565.349999996</v>
      </c>
      <c r="N342" s="5">
        <v>6710321.65</v>
      </c>
      <c r="O342" s="5">
        <v>5619587.48</v>
      </c>
      <c r="P342" s="5">
        <f t="shared" si="20"/>
        <v>5887491.493</v>
      </c>
      <c r="Q342" s="5">
        <v>95640.87</v>
      </c>
      <c r="R342" s="5">
        <v>79915.63</v>
      </c>
      <c r="S342" s="5">
        <v>26600.0</v>
      </c>
      <c r="T342" s="5">
        <f t="shared" si="21"/>
        <v>67385.5</v>
      </c>
      <c r="U342" s="6">
        <v>0.4727874783424027</v>
      </c>
      <c r="V342" s="6">
        <v>1.1445536707153392</v>
      </c>
      <c r="W342" s="4"/>
      <c r="X342" s="4"/>
      <c r="Y342" s="4"/>
      <c r="Z342" s="4"/>
    </row>
    <row r="343" ht="14.25" customHeight="1">
      <c r="A343" s="5">
        <v>90502.0</v>
      </c>
      <c r="B343" s="5" t="s">
        <v>484</v>
      </c>
      <c r="C343" s="5" t="s">
        <v>466</v>
      </c>
      <c r="D343" s="5" t="s">
        <v>483</v>
      </c>
      <c r="E343" s="5">
        <v>8298028.02</v>
      </c>
      <c r="F343" s="5">
        <v>1.070456735503399E7</v>
      </c>
      <c r="G343" s="5">
        <v>1.363141025E7</v>
      </c>
      <c r="H343" s="5">
        <f t="shared" si="18"/>
        <v>10878001.88</v>
      </c>
      <c r="I343" s="5">
        <v>0.0</v>
      </c>
      <c r="J343" s="5">
        <v>0.0</v>
      </c>
      <c r="K343" s="5">
        <v>96510.95</v>
      </c>
      <c r="L343" s="5">
        <f t="shared" si="19"/>
        <v>32170.31667</v>
      </c>
      <c r="M343" s="5">
        <v>7093350.369999995</v>
      </c>
      <c r="N343" s="5">
        <v>9144188.900000002</v>
      </c>
      <c r="O343" s="5">
        <v>7718785.830000001</v>
      </c>
      <c r="P343" s="5">
        <f t="shared" si="20"/>
        <v>7985441.7</v>
      </c>
      <c r="Q343" s="5">
        <v>0.0</v>
      </c>
      <c r="R343" s="5">
        <v>163439.23</v>
      </c>
      <c r="S343" s="5">
        <v>143166.2</v>
      </c>
      <c r="T343" s="5">
        <f t="shared" si="21"/>
        <v>102201.81</v>
      </c>
      <c r="U343" s="6">
        <v>0.29573737011911627</v>
      </c>
      <c r="V343" s="6">
        <v>1.2798516830947502</v>
      </c>
      <c r="W343" s="4"/>
      <c r="X343" s="4"/>
      <c r="Y343" s="4"/>
      <c r="Z343" s="4"/>
    </row>
    <row r="344" ht="14.25" customHeight="1">
      <c r="A344" s="5">
        <v>90503.0</v>
      </c>
      <c r="B344" s="5" t="s">
        <v>485</v>
      </c>
      <c r="C344" s="5" t="s">
        <v>466</v>
      </c>
      <c r="D344" s="5" t="s">
        <v>483</v>
      </c>
      <c r="E344" s="5">
        <v>4319803.199999999</v>
      </c>
      <c r="F344" s="5">
        <v>5433066.501833387</v>
      </c>
      <c r="G344" s="5">
        <v>6882368.87</v>
      </c>
      <c r="H344" s="5">
        <f t="shared" si="18"/>
        <v>5545079.524</v>
      </c>
      <c r="I344" s="5">
        <v>140985.73</v>
      </c>
      <c r="J344" s="5">
        <v>0.0</v>
      </c>
      <c r="K344" s="5">
        <v>0.0</v>
      </c>
      <c r="L344" s="5">
        <f t="shared" si="19"/>
        <v>46995.24333</v>
      </c>
      <c r="M344" s="5">
        <v>5482994.899999995</v>
      </c>
      <c r="N344" s="5">
        <v>6949770.18</v>
      </c>
      <c r="O344" s="5">
        <v>5855359.959999998</v>
      </c>
      <c r="P344" s="5">
        <f t="shared" si="20"/>
        <v>6096041.68</v>
      </c>
      <c r="Q344" s="5">
        <v>400.0</v>
      </c>
      <c r="R344" s="5">
        <v>8333.3</v>
      </c>
      <c r="S344" s="5">
        <v>0.0</v>
      </c>
      <c r="T344" s="5">
        <f t="shared" si="21"/>
        <v>2911.1</v>
      </c>
      <c r="U344" s="6">
        <v>0.8475125222352722</v>
      </c>
      <c r="V344" s="6">
        <v>0.047753938585275574</v>
      </c>
      <c r="W344" s="4"/>
      <c r="X344" s="4"/>
      <c r="Y344" s="4"/>
      <c r="Z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7"/>
      <c r="V345" s="7"/>
      <c r="W345" s="4"/>
      <c r="X345" s="4"/>
      <c r="Y345" s="4"/>
      <c r="Z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7"/>
      <c r="V346" s="7"/>
      <c r="W346" s="4"/>
      <c r="X346" s="4"/>
      <c r="Y346" s="4"/>
      <c r="Z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7"/>
      <c r="V347" s="7"/>
      <c r="W347" s="4"/>
      <c r="X347" s="4"/>
      <c r="Y347" s="4"/>
      <c r="Z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7"/>
      <c r="V348" s="7"/>
      <c r="W348" s="4"/>
      <c r="X348" s="4"/>
      <c r="Y348" s="4"/>
      <c r="Z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7"/>
      <c r="V349" s="7"/>
      <c r="W349" s="4"/>
      <c r="X349" s="4"/>
      <c r="Y349" s="4"/>
      <c r="Z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7"/>
      <c r="V350" s="7"/>
      <c r="W350" s="4"/>
      <c r="X350" s="4"/>
      <c r="Y350" s="4"/>
      <c r="Z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7"/>
      <c r="V351" s="7"/>
      <c r="W351" s="4"/>
      <c r="X351" s="4"/>
      <c r="Y351" s="4"/>
      <c r="Z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7"/>
      <c r="V352" s="7"/>
      <c r="W352" s="4"/>
      <c r="X352" s="4"/>
      <c r="Y352" s="4"/>
      <c r="Z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7"/>
      <c r="V353" s="7"/>
      <c r="W353" s="4"/>
      <c r="X353" s="4"/>
      <c r="Y353" s="4"/>
      <c r="Z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7"/>
      <c r="V354" s="7"/>
      <c r="W354" s="4"/>
      <c r="X354" s="4"/>
      <c r="Y354" s="4"/>
      <c r="Z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7"/>
      <c r="V355" s="7"/>
      <c r="W355" s="4"/>
      <c r="X355" s="4"/>
      <c r="Y355" s="4"/>
      <c r="Z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7"/>
      <c r="V356" s="7"/>
      <c r="W356" s="4"/>
      <c r="X356" s="4"/>
      <c r="Y356" s="4"/>
      <c r="Z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7"/>
      <c r="V357" s="7"/>
      <c r="W357" s="4"/>
      <c r="X357" s="4"/>
      <c r="Y357" s="4"/>
      <c r="Z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7"/>
      <c r="V358" s="7"/>
      <c r="W358" s="4"/>
      <c r="X358" s="4"/>
      <c r="Y358" s="4"/>
      <c r="Z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7"/>
      <c r="V359" s="7"/>
      <c r="W359" s="4"/>
      <c r="X359" s="4"/>
      <c r="Y359" s="4"/>
      <c r="Z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7"/>
      <c r="V360" s="7"/>
      <c r="W360" s="4"/>
      <c r="X360" s="4"/>
      <c r="Y360" s="4"/>
      <c r="Z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7"/>
      <c r="V361" s="7"/>
      <c r="W361" s="4"/>
      <c r="X361" s="4"/>
      <c r="Y361" s="4"/>
      <c r="Z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7"/>
      <c r="V362" s="7"/>
      <c r="W362" s="4"/>
      <c r="X362" s="4"/>
      <c r="Y362" s="4"/>
      <c r="Z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7"/>
      <c r="V363" s="7"/>
      <c r="W363" s="4"/>
      <c r="X363" s="4"/>
      <c r="Y363" s="4"/>
      <c r="Z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7"/>
      <c r="V364" s="7"/>
      <c r="W364" s="4"/>
      <c r="X364" s="4"/>
      <c r="Y364" s="4"/>
      <c r="Z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7"/>
      <c r="V365" s="7"/>
      <c r="W365" s="4"/>
      <c r="X365" s="4"/>
      <c r="Y365" s="4"/>
      <c r="Z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7"/>
      <c r="V366" s="7"/>
      <c r="W366" s="4"/>
      <c r="X366" s="4"/>
      <c r="Y366" s="4"/>
      <c r="Z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7"/>
      <c r="V367" s="7"/>
      <c r="W367" s="4"/>
      <c r="X367" s="4"/>
      <c r="Y367" s="4"/>
      <c r="Z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7"/>
      <c r="V368" s="7"/>
      <c r="W368" s="4"/>
      <c r="X368" s="4"/>
      <c r="Y368" s="4"/>
      <c r="Z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7"/>
      <c r="V369" s="7"/>
      <c r="W369" s="4"/>
      <c r="X369" s="4"/>
      <c r="Y369" s="4"/>
      <c r="Z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7"/>
      <c r="V370" s="7"/>
      <c r="W370" s="4"/>
      <c r="X370" s="4"/>
      <c r="Y370" s="4"/>
      <c r="Z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7"/>
      <c r="V371" s="7"/>
      <c r="W371" s="4"/>
      <c r="X371" s="4"/>
      <c r="Y371" s="4"/>
      <c r="Z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7"/>
      <c r="V372" s="7"/>
      <c r="W372" s="4"/>
      <c r="X372" s="4"/>
      <c r="Y372" s="4"/>
      <c r="Z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7"/>
      <c r="V373" s="7"/>
      <c r="W373" s="4"/>
      <c r="X373" s="4"/>
      <c r="Y373" s="4"/>
      <c r="Z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7"/>
      <c r="V374" s="7"/>
      <c r="W374" s="4"/>
      <c r="X374" s="4"/>
      <c r="Y374" s="4"/>
      <c r="Z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7"/>
      <c r="V375" s="7"/>
      <c r="W375" s="4"/>
      <c r="X375" s="4"/>
      <c r="Y375" s="4"/>
      <c r="Z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7"/>
      <c r="V376" s="7"/>
      <c r="W376" s="4"/>
      <c r="X376" s="4"/>
      <c r="Y376" s="4"/>
      <c r="Z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7"/>
      <c r="V377" s="7"/>
      <c r="W377" s="4"/>
      <c r="X377" s="4"/>
      <c r="Y377" s="4"/>
      <c r="Z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7"/>
      <c r="V378" s="7"/>
      <c r="W378" s="4"/>
      <c r="X378" s="4"/>
      <c r="Y378" s="4"/>
      <c r="Z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7"/>
      <c r="V379" s="7"/>
      <c r="W379" s="4"/>
      <c r="X379" s="4"/>
      <c r="Y379" s="4"/>
      <c r="Z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7"/>
      <c r="V380" s="7"/>
      <c r="W380" s="4"/>
      <c r="X380" s="4"/>
      <c r="Y380" s="4"/>
      <c r="Z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7"/>
      <c r="V381" s="7"/>
      <c r="W381" s="4"/>
      <c r="X381" s="4"/>
      <c r="Y381" s="4"/>
      <c r="Z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7"/>
      <c r="V382" s="7"/>
      <c r="W382" s="4"/>
      <c r="X382" s="4"/>
      <c r="Y382" s="4"/>
      <c r="Z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7"/>
      <c r="V383" s="7"/>
      <c r="W383" s="4"/>
      <c r="X383" s="4"/>
      <c r="Y383" s="4"/>
      <c r="Z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7"/>
      <c r="V384" s="7"/>
      <c r="W384" s="4"/>
      <c r="X384" s="4"/>
      <c r="Y384" s="4"/>
      <c r="Z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7"/>
      <c r="V385" s="7"/>
      <c r="W385" s="4"/>
      <c r="X385" s="4"/>
      <c r="Y385" s="4"/>
      <c r="Z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7"/>
      <c r="V386" s="7"/>
      <c r="W386" s="4"/>
      <c r="X386" s="4"/>
      <c r="Y386" s="4"/>
      <c r="Z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7"/>
      <c r="V387" s="7"/>
      <c r="W387" s="4"/>
      <c r="X387" s="4"/>
      <c r="Y387" s="4"/>
      <c r="Z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7"/>
      <c r="V388" s="7"/>
      <c r="W388" s="4"/>
      <c r="X388" s="4"/>
      <c r="Y388" s="4"/>
      <c r="Z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7"/>
      <c r="V389" s="7"/>
      <c r="W389" s="4"/>
      <c r="X389" s="4"/>
      <c r="Y389" s="4"/>
      <c r="Z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7"/>
      <c r="V390" s="7"/>
      <c r="W390" s="4"/>
      <c r="X390" s="4"/>
      <c r="Y390" s="4"/>
      <c r="Z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7"/>
      <c r="V391" s="7"/>
      <c r="W391" s="4"/>
      <c r="X391" s="4"/>
      <c r="Y391" s="4"/>
      <c r="Z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7"/>
      <c r="V392" s="7"/>
      <c r="W392" s="4"/>
      <c r="X392" s="4"/>
      <c r="Y392" s="4"/>
      <c r="Z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7"/>
      <c r="V393" s="7"/>
      <c r="W393" s="4"/>
      <c r="X393" s="4"/>
      <c r="Y393" s="4"/>
      <c r="Z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7"/>
      <c r="V394" s="7"/>
      <c r="W394" s="4"/>
      <c r="X394" s="4"/>
      <c r="Y394" s="4"/>
      <c r="Z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7"/>
      <c r="V395" s="7"/>
      <c r="W395" s="4"/>
      <c r="X395" s="4"/>
      <c r="Y395" s="4"/>
      <c r="Z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7"/>
      <c r="V396" s="7"/>
      <c r="W396" s="4"/>
      <c r="X396" s="4"/>
      <c r="Y396" s="4"/>
      <c r="Z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7"/>
      <c r="V397" s="7"/>
      <c r="W397" s="4"/>
      <c r="X397" s="4"/>
      <c r="Y397" s="4"/>
      <c r="Z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7"/>
      <c r="V398" s="7"/>
      <c r="W398" s="4"/>
      <c r="X398" s="4"/>
      <c r="Y398" s="4"/>
      <c r="Z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7"/>
      <c r="V399" s="7"/>
      <c r="W399" s="4"/>
      <c r="X399" s="4"/>
      <c r="Y399" s="4"/>
      <c r="Z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7"/>
      <c r="V400" s="7"/>
      <c r="W400" s="4"/>
      <c r="X400" s="4"/>
      <c r="Y400" s="4"/>
      <c r="Z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7"/>
      <c r="V401" s="7"/>
      <c r="W401" s="4"/>
      <c r="X401" s="4"/>
      <c r="Y401" s="4"/>
      <c r="Z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7"/>
      <c r="V402" s="7"/>
      <c r="W402" s="4"/>
      <c r="X402" s="4"/>
      <c r="Y402" s="4"/>
      <c r="Z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7"/>
      <c r="V403" s="7"/>
      <c r="W403" s="4"/>
      <c r="X403" s="4"/>
      <c r="Y403" s="4"/>
      <c r="Z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7"/>
      <c r="V404" s="7"/>
      <c r="W404" s="4"/>
      <c r="X404" s="4"/>
      <c r="Y404" s="4"/>
      <c r="Z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7"/>
      <c r="V405" s="7"/>
      <c r="W405" s="4"/>
      <c r="X405" s="4"/>
      <c r="Y405" s="4"/>
      <c r="Z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7"/>
      <c r="V406" s="7"/>
      <c r="W406" s="4"/>
      <c r="X406" s="4"/>
      <c r="Y406" s="4"/>
      <c r="Z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7"/>
      <c r="V407" s="7"/>
      <c r="W407" s="4"/>
      <c r="X407" s="4"/>
      <c r="Y407" s="4"/>
      <c r="Z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7"/>
      <c r="V408" s="7"/>
      <c r="W408" s="4"/>
      <c r="X408" s="4"/>
      <c r="Y408" s="4"/>
      <c r="Z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7"/>
      <c r="V409" s="7"/>
      <c r="W409" s="4"/>
      <c r="X409" s="4"/>
      <c r="Y409" s="4"/>
      <c r="Z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7"/>
      <c r="V410" s="7"/>
      <c r="W410" s="4"/>
      <c r="X410" s="4"/>
      <c r="Y410" s="4"/>
      <c r="Z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7"/>
      <c r="V411" s="7"/>
      <c r="W411" s="4"/>
      <c r="X411" s="4"/>
      <c r="Y411" s="4"/>
      <c r="Z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7"/>
      <c r="V412" s="7"/>
      <c r="W412" s="4"/>
      <c r="X412" s="4"/>
      <c r="Y412" s="4"/>
      <c r="Z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7"/>
      <c r="V413" s="7"/>
      <c r="W413" s="4"/>
      <c r="X413" s="4"/>
      <c r="Y413" s="4"/>
      <c r="Z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7"/>
      <c r="V414" s="7"/>
      <c r="W414" s="4"/>
      <c r="X414" s="4"/>
      <c r="Y414" s="4"/>
      <c r="Z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7"/>
      <c r="V415" s="7"/>
      <c r="W415" s="4"/>
      <c r="X415" s="4"/>
      <c r="Y415" s="4"/>
      <c r="Z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7"/>
      <c r="V416" s="7"/>
      <c r="W416" s="4"/>
      <c r="X416" s="4"/>
      <c r="Y416" s="4"/>
      <c r="Z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7"/>
      <c r="V417" s="7"/>
      <c r="W417" s="4"/>
      <c r="X417" s="4"/>
      <c r="Y417" s="4"/>
      <c r="Z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7"/>
      <c r="V418" s="7"/>
      <c r="W418" s="4"/>
      <c r="X418" s="4"/>
      <c r="Y418" s="4"/>
      <c r="Z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7"/>
      <c r="V419" s="7"/>
      <c r="W419" s="4"/>
      <c r="X419" s="4"/>
      <c r="Y419" s="4"/>
      <c r="Z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7"/>
      <c r="V420" s="7"/>
      <c r="W420" s="4"/>
      <c r="X420" s="4"/>
      <c r="Y420" s="4"/>
      <c r="Z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7"/>
      <c r="V421" s="7"/>
      <c r="W421" s="4"/>
      <c r="X421" s="4"/>
      <c r="Y421" s="4"/>
      <c r="Z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7"/>
      <c r="V422" s="7"/>
      <c r="W422" s="4"/>
      <c r="X422" s="4"/>
      <c r="Y422" s="4"/>
      <c r="Z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7"/>
      <c r="V423" s="7"/>
      <c r="W423" s="4"/>
      <c r="X423" s="4"/>
      <c r="Y423" s="4"/>
      <c r="Z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7"/>
      <c r="V424" s="7"/>
      <c r="W424" s="4"/>
      <c r="X424" s="4"/>
      <c r="Y424" s="4"/>
      <c r="Z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7"/>
      <c r="V425" s="7"/>
      <c r="W425" s="4"/>
      <c r="X425" s="4"/>
      <c r="Y425" s="4"/>
      <c r="Z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7"/>
      <c r="V426" s="7"/>
      <c r="W426" s="4"/>
      <c r="X426" s="4"/>
      <c r="Y426" s="4"/>
      <c r="Z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7"/>
      <c r="V427" s="7"/>
      <c r="W427" s="4"/>
      <c r="X427" s="4"/>
      <c r="Y427" s="4"/>
      <c r="Z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7"/>
      <c r="V428" s="7"/>
      <c r="W428" s="4"/>
      <c r="X428" s="4"/>
      <c r="Y428" s="4"/>
      <c r="Z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7"/>
      <c r="V429" s="7"/>
      <c r="W429" s="4"/>
      <c r="X429" s="4"/>
      <c r="Y429" s="4"/>
      <c r="Z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7"/>
      <c r="V430" s="7"/>
      <c r="W430" s="4"/>
      <c r="X430" s="4"/>
      <c r="Y430" s="4"/>
      <c r="Z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7"/>
      <c r="V431" s="7"/>
      <c r="W431" s="4"/>
      <c r="X431" s="4"/>
      <c r="Y431" s="4"/>
      <c r="Z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7"/>
      <c r="V432" s="7"/>
      <c r="W432" s="4"/>
      <c r="X432" s="4"/>
      <c r="Y432" s="4"/>
      <c r="Z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7"/>
      <c r="V433" s="7"/>
      <c r="W433" s="4"/>
      <c r="X433" s="4"/>
      <c r="Y433" s="4"/>
      <c r="Z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7"/>
      <c r="V434" s="7"/>
      <c r="W434" s="4"/>
      <c r="X434" s="4"/>
      <c r="Y434" s="4"/>
      <c r="Z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7"/>
      <c r="V435" s="7"/>
      <c r="W435" s="4"/>
      <c r="X435" s="4"/>
      <c r="Y435" s="4"/>
      <c r="Z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7"/>
      <c r="V436" s="7"/>
      <c r="W436" s="4"/>
      <c r="X436" s="4"/>
      <c r="Y436" s="4"/>
      <c r="Z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7"/>
      <c r="V437" s="7"/>
      <c r="W437" s="4"/>
      <c r="X437" s="4"/>
      <c r="Y437" s="4"/>
      <c r="Z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7"/>
      <c r="V438" s="7"/>
      <c r="W438" s="4"/>
      <c r="X438" s="4"/>
      <c r="Y438" s="4"/>
      <c r="Z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7"/>
      <c r="V439" s="7"/>
      <c r="W439" s="4"/>
      <c r="X439" s="4"/>
      <c r="Y439" s="4"/>
      <c r="Z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7"/>
      <c r="V440" s="7"/>
      <c r="W440" s="4"/>
      <c r="X440" s="4"/>
      <c r="Y440" s="4"/>
      <c r="Z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7"/>
      <c r="V441" s="7"/>
      <c r="W441" s="4"/>
      <c r="X441" s="4"/>
      <c r="Y441" s="4"/>
      <c r="Z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7"/>
      <c r="V442" s="7"/>
      <c r="W442" s="4"/>
      <c r="X442" s="4"/>
      <c r="Y442" s="4"/>
      <c r="Z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7"/>
      <c r="V443" s="7"/>
      <c r="W443" s="4"/>
      <c r="X443" s="4"/>
      <c r="Y443" s="4"/>
      <c r="Z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7"/>
      <c r="V444" s="7"/>
      <c r="W444" s="4"/>
      <c r="X444" s="4"/>
      <c r="Y444" s="4"/>
      <c r="Z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7"/>
      <c r="V445" s="7"/>
      <c r="W445" s="4"/>
      <c r="X445" s="4"/>
      <c r="Y445" s="4"/>
      <c r="Z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7"/>
      <c r="V446" s="7"/>
      <c r="W446" s="4"/>
      <c r="X446" s="4"/>
      <c r="Y446" s="4"/>
      <c r="Z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7"/>
      <c r="V447" s="7"/>
      <c r="W447" s="4"/>
      <c r="X447" s="4"/>
      <c r="Y447" s="4"/>
      <c r="Z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7"/>
      <c r="V448" s="7"/>
      <c r="W448" s="4"/>
      <c r="X448" s="4"/>
      <c r="Y448" s="4"/>
      <c r="Z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7"/>
      <c r="V449" s="7"/>
      <c r="W449" s="4"/>
      <c r="X449" s="4"/>
      <c r="Y449" s="4"/>
      <c r="Z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7"/>
      <c r="V450" s="7"/>
      <c r="W450" s="4"/>
      <c r="X450" s="4"/>
      <c r="Y450" s="4"/>
      <c r="Z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7"/>
      <c r="V451" s="7"/>
      <c r="W451" s="4"/>
      <c r="X451" s="4"/>
      <c r="Y451" s="4"/>
      <c r="Z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7"/>
      <c r="V452" s="7"/>
      <c r="W452" s="4"/>
      <c r="X452" s="4"/>
      <c r="Y452" s="4"/>
      <c r="Z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7"/>
      <c r="V453" s="7"/>
      <c r="W453" s="4"/>
      <c r="X453" s="4"/>
      <c r="Y453" s="4"/>
      <c r="Z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7"/>
      <c r="V454" s="7"/>
      <c r="W454" s="4"/>
      <c r="X454" s="4"/>
      <c r="Y454" s="4"/>
      <c r="Z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7"/>
      <c r="V455" s="7"/>
      <c r="W455" s="4"/>
      <c r="X455" s="4"/>
      <c r="Y455" s="4"/>
      <c r="Z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7"/>
      <c r="V456" s="7"/>
      <c r="W456" s="4"/>
      <c r="X456" s="4"/>
      <c r="Y456" s="4"/>
      <c r="Z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7"/>
      <c r="V457" s="7"/>
      <c r="W457" s="4"/>
      <c r="X457" s="4"/>
      <c r="Y457" s="4"/>
      <c r="Z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7"/>
      <c r="V458" s="7"/>
      <c r="W458" s="4"/>
      <c r="X458" s="4"/>
      <c r="Y458" s="4"/>
      <c r="Z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7"/>
      <c r="V459" s="7"/>
      <c r="W459" s="4"/>
      <c r="X459" s="4"/>
      <c r="Y459" s="4"/>
      <c r="Z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7"/>
      <c r="V460" s="7"/>
      <c r="W460" s="4"/>
      <c r="X460" s="4"/>
      <c r="Y460" s="4"/>
      <c r="Z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7"/>
      <c r="V461" s="7"/>
      <c r="W461" s="4"/>
      <c r="X461" s="4"/>
      <c r="Y461" s="4"/>
      <c r="Z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7"/>
      <c r="V462" s="7"/>
      <c r="W462" s="4"/>
      <c r="X462" s="4"/>
      <c r="Y462" s="4"/>
      <c r="Z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7"/>
      <c r="V463" s="7"/>
      <c r="W463" s="4"/>
      <c r="X463" s="4"/>
      <c r="Y463" s="4"/>
      <c r="Z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7"/>
      <c r="V464" s="7"/>
      <c r="W464" s="4"/>
      <c r="X464" s="4"/>
      <c r="Y464" s="4"/>
      <c r="Z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7"/>
      <c r="V465" s="7"/>
      <c r="W465" s="4"/>
      <c r="X465" s="4"/>
      <c r="Y465" s="4"/>
      <c r="Z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7"/>
      <c r="V466" s="7"/>
      <c r="W466" s="4"/>
      <c r="X466" s="4"/>
      <c r="Y466" s="4"/>
      <c r="Z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7"/>
      <c r="V467" s="7"/>
      <c r="W467" s="4"/>
      <c r="X467" s="4"/>
      <c r="Y467" s="4"/>
      <c r="Z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7"/>
      <c r="V468" s="7"/>
      <c r="W468" s="4"/>
      <c r="X468" s="4"/>
      <c r="Y468" s="4"/>
      <c r="Z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7"/>
      <c r="V469" s="7"/>
      <c r="W469" s="4"/>
      <c r="X469" s="4"/>
      <c r="Y469" s="4"/>
      <c r="Z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7"/>
      <c r="V470" s="7"/>
      <c r="W470" s="4"/>
      <c r="X470" s="4"/>
      <c r="Y470" s="4"/>
      <c r="Z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7"/>
      <c r="V471" s="7"/>
      <c r="W471" s="4"/>
      <c r="X471" s="4"/>
      <c r="Y471" s="4"/>
      <c r="Z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7"/>
      <c r="V472" s="7"/>
      <c r="W472" s="4"/>
      <c r="X472" s="4"/>
      <c r="Y472" s="4"/>
      <c r="Z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7"/>
      <c r="V473" s="7"/>
      <c r="W473" s="4"/>
      <c r="X473" s="4"/>
      <c r="Y473" s="4"/>
      <c r="Z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7"/>
      <c r="V474" s="7"/>
      <c r="W474" s="4"/>
      <c r="X474" s="4"/>
      <c r="Y474" s="4"/>
      <c r="Z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7"/>
      <c r="V475" s="7"/>
      <c r="W475" s="4"/>
      <c r="X475" s="4"/>
      <c r="Y475" s="4"/>
      <c r="Z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7"/>
      <c r="V476" s="7"/>
      <c r="W476" s="4"/>
      <c r="X476" s="4"/>
      <c r="Y476" s="4"/>
      <c r="Z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7"/>
      <c r="V477" s="7"/>
      <c r="W477" s="4"/>
      <c r="X477" s="4"/>
      <c r="Y477" s="4"/>
      <c r="Z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7"/>
      <c r="V478" s="7"/>
      <c r="W478" s="4"/>
      <c r="X478" s="4"/>
      <c r="Y478" s="4"/>
      <c r="Z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7"/>
      <c r="V479" s="7"/>
      <c r="W479" s="4"/>
      <c r="X479" s="4"/>
      <c r="Y479" s="4"/>
      <c r="Z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7"/>
      <c r="V480" s="7"/>
      <c r="W480" s="4"/>
      <c r="X480" s="4"/>
      <c r="Y480" s="4"/>
      <c r="Z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7"/>
      <c r="V481" s="7"/>
      <c r="W481" s="4"/>
      <c r="X481" s="4"/>
      <c r="Y481" s="4"/>
      <c r="Z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7"/>
      <c r="V482" s="7"/>
      <c r="W482" s="4"/>
      <c r="X482" s="4"/>
      <c r="Y482" s="4"/>
      <c r="Z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7"/>
      <c r="V483" s="7"/>
      <c r="W483" s="4"/>
      <c r="X483" s="4"/>
      <c r="Y483" s="4"/>
      <c r="Z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7"/>
      <c r="V484" s="7"/>
      <c r="W484" s="4"/>
      <c r="X484" s="4"/>
      <c r="Y484" s="4"/>
      <c r="Z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7"/>
      <c r="V485" s="7"/>
      <c r="W485" s="4"/>
      <c r="X485" s="4"/>
      <c r="Y485" s="4"/>
      <c r="Z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7"/>
      <c r="V486" s="7"/>
      <c r="W486" s="4"/>
      <c r="X486" s="4"/>
      <c r="Y486" s="4"/>
      <c r="Z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7"/>
      <c r="V487" s="7"/>
      <c r="W487" s="4"/>
      <c r="X487" s="4"/>
      <c r="Y487" s="4"/>
      <c r="Z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7"/>
      <c r="V488" s="7"/>
      <c r="W488" s="4"/>
      <c r="X488" s="4"/>
      <c r="Y488" s="4"/>
      <c r="Z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7"/>
      <c r="V489" s="7"/>
      <c r="W489" s="4"/>
      <c r="X489" s="4"/>
      <c r="Y489" s="4"/>
      <c r="Z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7"/>
      <c r="V490" s="7"/>
      <c r="W490" s="4"/>
      <c r="X490" s="4"/>
      <c r="Y490" s="4"/>
      <c r="Z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7"/>
      <c r="V491" s="7"/>
      <c r="W491" s="4"/>
      <c r="X491" s="4"/>
      <c r="Y491" s="4"/>
      <c r="Z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7"/>
      <c r="V492" s="7"/>
      <c r="W492" s="4"/>
      <c r="X492" s="4"/>
      <c r="Y492" s="4"/>
      <c r="Z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7"/>
      <c r="V493" s="7"/>
      <c r="W493" s="4"/>
      <c r="X493" s="4"/>
      <c r="Y493" s="4"/>
      <c r="Z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7"/>
      <c r="V494" s="7"/>
      <c r="W494" s="4"/>
      <c r="X494" s="4"/>
      <c r="Y494" s="4"/>
      <c r="Z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7"/>
      <c r="V495" s="7"/>
      <c r="W495" s="4"/>
      <c r="X495" s="4"/>
      <c r="Y495" s="4"/>
      <c r="Z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7"/>
      <c r="V496" s="7"/>
      <c r="W496" s="4"/>
      <c r="X496" s="4"/>
      <c r="Y496" s="4"/>
      <c r="Z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7"/>
      <c r="V497" s="7"/>
      <c r="W497" s="4"/>
      <c r="X497" s="4"/>
      <c r="Y497" s="4"/>
      <c r="Z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7"/>
      <c r="V498" s="7"/>
      <c r="W498" s="4"/>
      <c r="X498" s="4"/>
      <c r="Y498" s="4"/>
      <c r="Z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7"/>
      <c r="V499" s="7"/>
      <c r="W499" s="4"/>
      <c r="X499" s="4"/>
      <c r="Y499" s="4"/>
      <c r="Z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7"/>
      <c r="V500" s="7"/>
      <c r="W500" s="4"/>
      <c r="X500" s="4"/>
      <c r="Y500" s="4"/>
      <c r="Z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7"/>
      <c r="V501" s="7"/>
      <c r="W501" s="4"/>
      <c r="X501" s="4"/>
      <c r="Y501" s="4"/>
      <c r="Z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7"/>
      <c r="V502" s="7"/>
      <c r="W502" s="4"/>
      <c r="X502" s="4"/>
      <c r="Y502" s="4"/>
      <c r="Z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7"/>
      <c r="V503" s="7"/>
      <c r="W503" s="4"/>
      <c r="X503" s="4"/>
      <c r="Y503" s="4"/>
      <c r="Z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7"/>
      <c r="V504" s="7"/>
      <c r="W504" s="4"/>
      <c r="X504" s="4"/>
      <c r="Y504" s="4"/>
      <c r="Z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7"/>
      <c r="V505" s="7"/>
      <c r="W505" s="4"/>
      <c r="X505" s="4"/>
      <c r="Y505" s="4"/>
      <c r="Z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7"/>
      <c r="V506" s="7"/>
      <c r="W506" s="4"/>
      <c r="X506" s="4"/>
      <c r="Y506" s="4"/>
      <c r="Z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7"/>
      <c r="V507" s="7"/>
      <c r="W507" s="4"/>
      <c r="X507" s="4"/>
      <c r="Y507" s="4"/>
      <c r="Z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7"/>
      <c r="V508" s="7"/>
      <c r="W508" s="4"/>
      <c r="X508" s="4"/>
      <c r="Y508" s="4"/>
      <c r="Z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7"/>
      <c r="V509" s="7"/>
      <c r="W509" s="4"/>
      <c r="X509" s="4"/>
      <c r="Y509" s="4"/>
      <c r="Z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7"/>
      <c r="V510" s="7"/>
      <c r="W510" s="4"/>
      <c r="X510" s="4"/>
      <c r="Y510" s="4"/>
      <c r="Z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7"/>
      <c r="V511" s="7"/>
      <c r="W511" s="4"/>
      <c r="X511" s="4"/>
      <c r="Y511" s="4"/>
      <c r="Z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7"/>
      <c r="V512" s="7"/>
      <c r="W512" s="4"/>
      <c r="X512" s="4"/>
      <c r="Y512" s="4"/>
      <c r="Z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7"/>
      <c r="V513" s="7"/>
      <c r="W513" s="4"/>
      <c r="X513" s="4"/>
      <c r="Y513" s="4"/>
      <c r="Z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7"/>
      <c r="V514" s="7"/>
      <c r="W514" s="4"/>
      <c r="X514" s="4"/>
      <c r="Y514" s="4"/>
      <c r="Z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7"/>
      <c r="V515" s="7"/>
      <c r="W515" s="4"/>
      <c r="X515" s="4"/>
      <c r="Y515" s="4"/>
      <c r="Z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7"/>
      <c r="V516" s="7"/>
      <c r="W516" s="4"/>
      <c r="X516" s="4"/>
      <c r="Y516" s="4"/>
      <c r="Z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7"/>
      <c r="V517" s="7"/>
      <c r="W517" s="4"/>
      <c r="X517" s="4"/>
      <c r="Y517" s="4"/>
      <c r="Z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7"/>
      <c r="V518" s="7"/>
      <c r="W518" s="4"/>
      <c r="X518" s="4"/>
      <c r="Y518" s="4"/>
      <c r="Z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7"/>
      <c r="V519" s="7"/>
      <c r="W519" s="4"/>
      <c r="X519" s="4"/>
      <c r="Y519" s="4"/>
      <c r="Z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7"/>
      <c r="V520" s="7"/>
      <c r="W520" s="4"/>
      <c r="X520" s="4"/>
      <c r="Y520" s="4"/>
      <c r="Z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7"/>
      <c r="V521" s="7"/>
      <c r="W521" s="4"/>
      <c r="X521" s="4"/>
      <c r="Y521" s="4"/>
      <c r="Z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7"/>
      <c r="V522" s="7"/>
      <c r="W522" s="4"/>
      <c r="X522" s="4"/>
      <c r="Y522" s="4"/>
      <c r="Z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7"/>
      <c r="V523" s="7"/>
      <c r="W523" s="4"/>
      <c r="X523" s="4"/>
      <c r="Y523" s="4"/>
      <c r="Z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7"/>
      <c r="V524" s="7"/>
      <c r="W524" s="4"/>
      <c r="X524" s="4"/>
      <c r="Y524" s="4"/>
      <c r="Z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7"/>
      <c r="V525" s="7"/>
      <c r="W525" s="4"/>
      <c r="X525" s="4"/>
      <c r="Y525" s="4"/>
      <c r="Z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7"/>
      <c r="V526" s="7"/>
      <c r="W526" s="4"/>
      <c r="X526" s="4"/>
      <c r="Y526" s="4"/>
      <c r="Z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7"/>
      <c r="V527" s="7"/>
      <c r="W527" s="4"/>
      <c r="X527" s="4"/>
      <c r="Y527" s="4"/>
      <c r="Z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7"/>
      <c r="V528" s="7"/>
      <c r="W528" s="4"/>
      <c r="X528" s="4"/>
      <c r="Y528" s="4"/>
      <c r="Z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7"/>
      <c r="V529" s="7"/>
      <c r="W529" s="4"/>
      <c r="X529" s="4"/>
      <c r="Y529" s="4"/>
      <c r="Z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7"/>
      <c r="V530" s="7"/>
      <c r="W530" s="4"/>
      <c r="X530" s="4"/>
      <c r="Y530" s="4"/>
      <c r="Z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7"/>
      <c r="V531" s="7"/>
      <c r="W531" s="4"/>
      <c r="X531" s="4"/>
      <c r="Y531" s="4"/>
      <c r="Z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7"/>
      <c r="V532" s="7"/>
      <c r="W532" s="4"/>
      <c r="X532" s="4"/>
      <c r="Y532" s="4"/>
      <c r="Z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7"/>
      <c r="V533" s="7"/>
      <c r="W533" s="4"/>
      <c r="X533" s="4"/>
      <c r="Y533" s="4"/>
      <c r="Z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7"/>
      <c r="V534" s="7"/>
      <c r="W534" s="4"/>
      <c r="X534" s="4"/>
      <c r="Y534" s="4"/>
      <c r="Z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7"/>
      <c r="V535" s="7"/>
      <c r="W535" s="4"/>
      <c r="X535" s="4"/>
      <c r="Y535" s="4"/>
      <c r="Z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7"/>
      <c r="V536" s="7"/>
      <c r="W536" s="4"/>
      <c r="X536" s="4"/>
      <c r="Y536" s="4"/>
      <c r="Z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7"/>
      <c r="V537" s="7"/>
      <c r="W537" s="4"/>
      <c r="X537" s="4"/>
      <c r="Y537" s="4"/>
      <c r="Z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7"/>
      <c r="V538" s="7"/>
      <c r="W538" s="4"/>
      <c r="X538" s="4"/>
      <c r="Y538" s="4"/>
      <c r="Z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7"/>
      <c r="V539" s="7"/>
      <c r="W539" s="4"/>
      <c r="X539" s="4"/>
      <c r="Y539" s="4"/>
      <c r="Z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7"/>
      <c r="V540" s="7"/>
      <c r="W540" s="4"/>
      <c r="X540" s="4"/>
      <c r="Y540" s="4"/>
      <c r="Z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7"/>
      <c r="V541" s="7"/>
      <c r="W541" s="4"/>
      <c r="X541" s="4"/>
      <c r="Y541" s="4"/>
      <c r="Z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7"/>
      <c r="V542" s="7"/>
      <c r="W542" s="4"/>
      <c r="X542" s="4"/>
      <c r="Y542" s="4"/>
      <c r="Z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7"/>
      <c r="V543" s="7"/>
      <c r="W543" s="4"/>
      <c r="X543" s="4"/>
      <c r="Y543" s="4"/>
      <c r="Z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7"/>
      <c r="V544" s="7"/>
      <c r="W544" s="4"/>
      <c r="X544" s="4"/>
      <c r="Y544" s="4"/>
      <c r="Z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7"/>
      <c r="V545" s="7"/>
      <c r="W545" s="4"/>
      <c r="X545" s="4"/>
      <c r="Y545" s="4"/>
      <c r="Z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7"/>
      <c r="V546" s="7"/>
      <c r="W546" s="4"/>
      <c r="X546" s="4"/>
      <c r="Y546" s="4"/>
      <c r="Z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7"/>
      <c r="V547" s="7"/>
      <c r="W547" s="4"/>
      <c r="X547" s="4"/>
      <c r="Y547" s="4"/>
      <c r="Z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7"/>
      <c r="V548" s="7"/>
      <c r="W548" s="4"/>
      <c r="X548" s="4"/>
      <c r="Y548" s="4"/>
      <c r="Z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7"/>
      <c r="V549" s="7"/>
      <c r="W549" s="4"/>
      <c r="X549" s="4"/>
      <c r="Y549" s="4"/>
      <c r="Z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7"/>
      <c r="V550" s="7"/>
      <c r="W550" s="4"/>
      <c r="X550" s="4"/>
      <c r="Y550" s="4"/>
      <c r="Z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7"/>
      <c r="V551" s="7"/>
      <c r="W551" s="4"/>
      <c r="X551" s="4"/>
      <c r="Y551" s="4"/>
      <c r="Z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7"/>
      <c r="V552" s="7"/>
      <c r="W552" s="4"/>
      <c r="X552" s="4"/>
      <c r="Y552" s="4"/>
      <c r="Z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7"/>
      <c r="V553" s="7"/>
      <c r="W553" s="4"/>
      <c r="X553" s="4"/>
      <c r="Y553" s="4"/>
      <c r="Z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7"/>
      <c r="V554" s="7"/>
      <c r="W554" s="4"/>
      <c r="X554" s="4"/>
      <c r="Y554" s="4"/>
      <c r="Z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7"/>
      <c r="V555" s="7"/>
      <c r="W555" s="4"/>
      <c r="X555" s="4"/>
      <c r="Y555" s="4"/>
      <c r="Z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7"/>
      <c r="V556" s="7"/>
      <c r="W556" s="4"/>
      <c r="X556" s="4"/>
      <c r="Y556" s="4"/>
      <c r="Z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7"/>
      <c r="V557" s="7"/>
      <c r="W557" s="4"/>
      <c r="X557" s="4"/>
      <c r="Y557" s="4"/>
      <c r="Z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7"/>
      <c r="V558" s="7"/>
      <c r="W558" s="4"/>
      <c r="X558" s="4"/>
      <c r="Y558" s="4"/>
      <c r="Z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7"/>
      <c r="V559" s="7"/>
      <c r="W559" s="4"/>
      <c r="X559" s="4"/>
      <c r="Y559" s="4"/>
      <c r="Z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7"/>
      <c r="V560" s="7"/>
      <c r="W560" s="4"/>
      <c r="X560" s="4"/>
      <c r="Y560" s="4"/>
      <c r="Z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7"/>
      <c r="V561" s="7"/>
      <c r="W561" s="4"/>
      <c r="X561" s="4"/>
      <c r="Y561" s="4"/>
      <c r="Z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7"/>
      <c r="V562" s="7"/>
      <c r="W562" s="4"/>
      <c r="X562" s="4"/>
      <c r="Y562" s="4"/>
      <c r="Z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7"/>
      <c r="V563" s="7"/>
      <c r="W563" s="4"/>
      <c r="X563" s="4"/>
      <c r="Y563" s="4"/>
      <c r="Z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7"/>
      <c r="V564" s="7"/>
      <c r="W564" s="4"/>
      <c r="X564" s="4"/>
      <c r="Y564" s="4"/>
      <c r="Z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7"/>
      <c r="V565" s="7"/>
      <c r="W565" s="4"/>
      <c r="X565" s="4"/>
      <c r="Y565" s="4"/>
      <c r="Z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7"/>
      <c r="V566" s="7"/>
      <c r="W566" s="4"/>
      <c r="X566" s="4"/>
      <c r="Y566" s="4"/>
      <c r="Z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7"/>
      <c r="V567" s="7"/>
      <c r="W567" s="4"/>
      <c r="X567" s="4"/>
      <c r="Y567" s="4"/>
      <c r="Z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7"/>
      <c r="V568" s="7"/>
      <c r="W568" s="4"/>
      <c r="X568" s="4"/>
      <c r="Y568" s="4"/>
      <c r="Z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7"/>
      <c r="V569" s="7"/>
      <c r="W569" s="4"/>
      <c r="X569" s="4"/>
      <c r="Y569" s="4"/>
      <c r="Z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7"/>
      <c r="V570" s="7"/>
      <c r="W570" s="4"/>
      <c r="X570" s="4"/>
      <c r="Y570" s="4"/>
      <c r="Z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7"/>
      <c r="V571" s="7"/>
      <c r="W571" s="4"/>
      <c r="X571" s="4"/>
      <c r="Y571" s="4"/>
      <c r="Z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7"/>
      <c r="V572" s="7"/>
      <c r="W572" s="4"/>
      <c r="X572" s="4"/>
      <c r="Y572" s="4"/>
      <c r="Z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7"/>
      <c r="V573" s="7"/>
      <c r="W573" s="4"/>
      <c r="X573" s="4"/>
      <c r="Y573" s="4"/>
      <c r="Z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7"/>
      <c r="V574" s="7"/>
      <c r="W574" s="4"/>
      <c r="X574" s="4"/>
      <c r="Y574" s="4"/>
      <c r="Z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7"/>
      <c r="V575" s="7"/>
      <c r="W575" s="4"/>
      <c r="X575" s="4"/>
      <c r="Y575" s="4"/>
      <c r="Z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7"/>
      <c r="V576" s="7"/>
      <c r="W576" s="4"/>
      <c r="X576" s="4"/>
      <c r="Y576" s="4"/>
      <c r="Z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7"/>
      <c r="V577" s="7"/>
      <c r="W577" s="4"/>
      <c r="X577" s="4"/>
      <c r="Y577" s="4"/>
      <c r="Z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7"/>
      <c r="V578" s="7"/>
      <c r="W578" s="4"/>
      <c r="X578" s="4"/>
      <c r="Y578" s="4"/>
      <c r="Z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7"/>
      <c r="V579" s="7"/>
      <c r="W579" s="4"/>
      <c r="X579" s="4"/>
      <c r="Y579" s="4"/>
      <c r="Z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7"/>
      <c r="V580" s="7"/>
      <c r="W580" s="4"/>
      <c r="X580" s="4"/>
      <c r="Y580" s="4"/>
      <c r="Z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7"/>
      <c r="V581" s="7"/>
      <c r="W581" s="4"/>
      <c r="X581" s="4"/>
      <c r="Y581" s="4"/>
      <c r="Z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7"/>
      <c r="V582" s="7"/>
      <c r="W582" s="4"/>
      <c r="X582" s="4"/>
      <c r="Y582" s="4"/>
      <c r="Z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7"/>
      <c r="V583" s="7"/>
      <c r="W583" s="4"/>
      <c r="X583" s="4"/>
      <c r="Y583" s="4"/>
      <c r="Z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7"/>
      <c r="V584" s="7"/>
      <c r="W584" s="4"/>
      <c r="X584" s="4"/>
      <c r="Y584" s="4"/>
      <c r="Z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7"/>
      <c r="V585" s="7"/>
      <c r="W585" s="4"/>
      <c r="X585" s="4"/>
      <c r="Y585" s="4"/>
      <c r="Z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7"/>
      <c r="V586" s="7"/>
      <c r="W586" s="4"/>
      <c r="X586" s="4"/>
      <c r="Y586" s="4"/>
      <c r="Z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7"/>
      <c r="V587" s="7"/>
      <c r="W587" s="4"/>
      <c r="X587" s="4"/>
      <c r="Y587" s="4"/>
      <c r="Z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7"/>
      <c r="V588" s="7"/>
      <c r="W588" s="4"/>
      <c r="X588" s="4"/>
      <c r="Y588" s="4"/>
      <c r="Z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7"/>
      <c r="V589" s="7"/>
      <c r="W589" s="4"/>
      <c r="X589" s="4"/>
      <c r="Y589" s="4"/>
      <c r="Z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7"/>
      <c r="V590" s="7"/>
      <c r="W590" s="4"/>
      <c r="X590" s="4"/>
      <c r="Y590" s="4"/>
      <c r="Z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7"/>
      <c r="V591" s="7"/>
      <c r="W591" s="4"/>
      <c r="X591" s="4"/>
      <c r="Y591" s="4"/>
      <c r="Z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7"/>
      <c r="V592" s="7"/>
      <c r="W592" s="4"/>
      <c r="X592" s="4"/>
      <c r="Y592" s="4"/>
      <c r="Z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7"/>
      <c r="V593" s="7"/>
      <c r="W593" s="4"/>
      <c r="X593" s="4"/>
      <c r="Y593" s="4"/>
      <c r="Z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7"/>
      <c r="V594" s="7"/>
      <c r="W594" s="4"/>
      <c r="X594" s="4"/>
      <c r="Y594" s="4"/>
      <c r="Z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7"/>
      <c r="V595" s="7"/>
      <c r="W595" s="4"/>
      <c r="X595" s="4"/>
      <c r="Y595" s="4"/>
      <c r="Z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7"/>
      <c r="V596" s="7"/>
      <c r="W596" s="4"/>
      <c r="X596" s="4"/>
      <c r="Y596" s="4"/>
      <c r="Z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7"/>
      <c r="V597" s="7"/>
      <c r="W597" s="4"/>
      <c r="X597" s="4"/>
      <c r="Y597" s="4"/>
      <c r="Z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7"/>
      <c r="V598" s="7"/>
      <c r="W598" s="4"/>
      <c r="X598" s="4"/>
      <c r="Y598" s="4"/>
      <c r="Z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7"/>
      <c r="V599" s="7"/>
      <c r="W599" s="4"/>
      <c r="X599" s="4"/>
      <c r="Y599" s="4"/>
      <c r="Z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7"/>
      <c r="V600" s="7"/>
      <c r="W600" s="4"/>
      <c r="X600" s="4"/>
      <c r="Y600" s="4"/>
      <c r="Z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7"/>
      <c r="V601" s="7"/>
      <c r="W601" s="4"/>
      <c r="X601" s="4"/>
      <c r="Y601" s="4"/>
      <c r="Z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7"/>
      <c r="V602" s="7"/>
      <c r="W602" s="4"/>
      <c r="X602" s="4"/>
      <c r="Y602" s="4"/>
      <c r="Z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7"/>
      <c r="V603" s="7"/>
      <c r="W603" s="4"/>
      <c r="X603" s="4"/>
      <c r="Y603" s="4"/>
      <c r="Z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7"/>
      <c r="V604" s="7"/>
      <c r="W604" s="4"/>
      <c r="X604" s="4"/>
      <c r="Y604" s="4"/>
      <c r="Z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7"/>
      <c r="V605" s="7"/>
      <c r="W605" s="4"/>
      <c r="X605" s="4"/>
      <c r="Y605" s="4"/>
      <c r="Z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7"/>
      <c r="V606" s="7"/>
      <c r="W606" s="4"/>
      <c r="X606" s="4"/>
      <c r="Y606" s="4"/>
      <c r="Z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7"/>
      <c r="V607" s="7"/>
      <c r="W607" s="4"/>
      <c r="X607" s="4"/>
      <c r="Y607" s="4"/>
      <c r="Z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7"/>
      <c r="V608" s="7"/>
      <c r="W608" s="4"/>
      <c r="X608" s="4"/>
      <c r="Y608" s="4"/>
      <c r="Z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7"/>
      <c r="V609" s="7"/>
      <c r="W609" s="4"/>
      <c r="X609" s="4"/>
      <c r="Y609" s="4"/>
      <c r="Z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7"/>
      <c r="V610" s="7"/>
      <c r="W610" s="4"/>
      <c r="X610" s="4"/>
      <c r="Y610" s="4"/>
      <c r="Z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7"/>
      <c r="V611" s="7"/>
      <c r="W611" s="4"/>
      <c r="X611" s="4"/>
      <c r="Y611" s="4"/>
      <c r="Z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7"/>
      <c r="V612" s="7"/>
      <c r="W612" s="4"/>
      <c r="X612" s="4"/>
      <c r="Y612" s="4"/>
      <c r="Z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7"/>
      <c r="V613" s="7"/>
      <c r="W613" s="4"/>
      <c r="X613" s="4"/>
      <c r="Y613" s="4"/>
      <c r="Z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7"/>
      <c r="V614" s="7"/>
      <c r="W614" s="4"/>
      <c r="X614" s="4"/>
      <c r="Y614" s="4"/>
      <c r="Z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7"/>
      <c r="V615" s="7"/>
      <c r="W615" s="4"/>
      <c r="X615" s="4"/>
      <c r="Y615" s="4"/>
      <c r="Z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7"/>
      <c r="V616" s="7"/>
      <c r="W616" s="4"/>
      <c r="X616" s="4"/>
      <c r="Y616" s="4"/>
      <c r="Z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7"/>
      <c r="V617" s="7"/>
      <c r="W617" s="4"/>
      <c r="X617" s="4"/>
      <c r="Y617" s="4"/>
      <c r="Z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7"/>
      <c r="V618" s="7"/>
      <c r="W618" s="4"/>
      <c r="X618" s="4"/>
      <c r="Y618" s="4"/>
      <c r="Z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7"/>
      <c r="V619" s="7"/>
      <c r="W619" s="4"/>
      <c r="X619" s="4"/>
      <c r="Y619" s="4"/>
      <c r="Z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7"/>
      <c r="V620" s="7"/>
      <c r="W620" s="4"/>
      <c r="X620" s="4"/>
      <c r="Y620" s="4"/>
      <c r="Z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7"/>
      <c r="V621" s="7"/>
      <c r="W621" s="4"/>
      <c r="X621" s="4"/>
      <c r="Y621" s="4"/>
      <c r="Z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7"/>
      <c r="V622" s="7"/>
      <c r="W622" s="4"/>
      <c r="X622" s="4"/>
      <c r="Y622" s="4"/>
      <c r="Z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7"/>
      <c r="V623" s="7"/>
      <c r="W623" s="4"/>
      <c r="X623" s="4"/>
      <c r="Y623" s="4"/>
      <c r="Z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7"/>
      <c r="V624" s="7"/>
      <c r="W624" s="4"/>
      <c r="X624" s="4"/>
      <c r="Y624" s="4"/>
      <c r="Z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7"/>
      <c r="V625" s="7"/>
      <c r="W625" s="4"/>
      <c r="X625" s="4"/>
      <c r="Y625" s="4"/>
      <c r="Z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7"/>
      <c r="V626" s="7"/>
      <c r="W626" s="4"/>
      <c r="X626" s="4"/>
      <c r="Y626" s="4"/>
      <c r="Z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7"/>
      <c r="V627" s="7"/>
      <c r="W627" s="4"/>
      <c r="X627" s="4"/>
      <c r="Y627" s="4"/>
      <c r="Z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7"/>
      <c r="V628" s="7"/>
      <c r="W628" s="4"/>
      <c r="X628" s="4"/>
      <c r="Y628" s="4"/>
      <c r="Z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7"/>
      <c r="V629" s="7"/>
      <c r="W629" s="4"/>
      <c r="X629" s="4"/>
      <c r="Y629" s="4"/>
      <c r="Z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7"/>
      <c r="V630" s="7"/>
      <c r="W630" s="4"/>
      <c r="X630" s="4"/>
      <c r="Y630" s="4"/>
      <c r="Z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7"/>
      <c r="V631" s="7"/>
      <c r="W631" s="4"/>
      <c r="X631" s="4"/>
      <c r="Y631" s="4"/>
      <c r="Z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7"/>
      <c r="V632" s="7"/>
      <c r="W632" s="4"/>
      <c r="X632" s="4"/>
      <c r="Y632" s="4"/>
      <c r="Z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7"/>
      <c r="V633" s="7"/>
      <c r="W633" s="4"/>
      <c r="X633" s="4"/>
      <c r="Y633" s="4"/>
      <c r="Z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7"/>
      <c r="V634" s="7"/>
      <c r="W634" s="4"/>
      <c r="X634" s="4"/>
      <c r="Y634" s="4"/>
      <c r="Z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7"/>
      <c r="V635" s="7"/>
      <c r="W635" s="4"/>
      <c r="X635" s="4"/>
      <c r="Y635" s="4"/>
      <c r="Z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7"/>
      <c r="V636" s="7"/>
      <c r="W636" s="4"/>
      <c r="X636" s="4"/>
      <c r="Y636" s="4"/>
      <c r="Z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7"/>
      <c r="V637" s="7"/>
      <c r="W637" s="4"/>
      <c r="X637" s="4"/>
      <c r="Y637" s="4"/>
      <c r="Z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7"/>
      <c r="V638" s="7"/>
      <c r="W638" s="4"/>
      <c r="X638" s="4"/>
      <c r="Y638" s="4"/>
      <c r="Z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7"/>
      <c r="V639" s="7"/>
      <c r="W639" s="4"/>
      <c r="X639" s="4"/>
      <c r="Y639" s="4"/>
      <c r="Z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7"/>
      <c r="V640" s="7"/>
      <c r="W640" s="4"/>
      <c r="X640" s="4"/>
      <c r="Y640" s="4"/>
      <c r="Z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7"/>
      <c r="V641" s="7"/>
      <c r="W641" s="4"/>
      <c r="X641" s="4"/>
      <c r="Y641" s="4"/>
      <c r="Z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7"/>
      <c r="V642" s="7"/>
      <c r="W642" s="4"/>
      <c r="X642" s="4"/>
      <c r="Y642" s="4"/>
      <c r="Z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7"/>
      <c r="V643" s="7"/>
      <c r="W643" s="4"/>
      <c r="X643" s="4"/>
      <c r="Y643" s="4"/>
      <c r="Z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7"/>
      <c r="V644" s="7"/>
      <c r="W644" s="4"/>
      <c r="X644" s="4"/>
      <c r="Y644" s="4"/>
      <c r="Z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7"/>
      <c r="V645" s="7"/>
      <c r="W645" s="4"/>
      <c r="X645" s="4"/>
      <c r="Y645" s="4"/>
      <c r="Z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7"/>
      <c r="V646" s="7"/>
      <c r="W646" s="4"/>
      <c r="X646" s="4"/>
      <c r="Y646" s="4"/>
      <c r="Z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7"/>
      <c r="V647" s="7"/>
      <c r="W647" s="4"/>
      <c r="X647" s="4"/>
      <c r="Y647" s="4"/>
      <c r="Z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7"/>
      <c r="V648" s="7"/>
      <c r="W648" s="4"/>
      <c r="X648" s="4"/>
      <c r="Y648" s="4"/>
      <c r="Z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7"/>
      <c r="V649" s="7"/>
      <c r="W649" s="4"/>
      <c r="X649" s="4"/>
      <c r="Y649" s="4"/>
      <c r="Z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7"/>
      <c r="V650" s="7"/>
      <c r="W650" s="4"/>
      <c r="X650" s="4"/>
      <c r="Y650" s="4"/>
      <c r="Z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7"/>
      <c r="V651" s="7"/>
      <c r="W651" s="4"/>
      <c r="X651" s="4"/>
      <c r="Y651" s="4"/>
      <c r="Z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7"/>
      <c r="V652" s="7"/>
      <c r="W652" s="4"/>
      <c r="X652" s="4"/>
      <c r="Y652" s="4"/>
      <c r="Z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7"/>
      <c r="V653" s="7"/>
      <c r="W653" s="4"/>
      <c r="X653" s="4"/>
      <c r="Y653" s="4"/>
      <c r="Z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7"/>
      <c r="V654" s="7"/>
      <c r="W654" s="4"/>
      <c r="X654" s="4"/>
      <c r="Y654" s="4"/>
      <c r="Z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7"/>
      <c r="V655" s="7"/>
      <c r="W655" s="4"/>
      <c r="X655" s="4"/>
      <c r="Y655" s="4"/>
      <c r="Z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7"/>
      <c r="V656" s="7"/>
      <c r="W656" s="4"/>
      <c r="X656" s="4"/>
      <c r="Y656" s="4"/>
      <c r="Z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7"/>
      <c r="V657" s="7"/>
      <c r="W657" s="4"/>
      <c r="X657" s="4"/>
      <c r="Y657" s="4"/>
      <c r="Z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7"/>
      <c r="V658" s="7"/>
      <c r="W658" s="4"/>
      <c r="X658" s="4"/>
      <c r="Y658" s="4"/>
      <c r="Z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7"/>
      <c r="V659" s="7"/>
      <c r="W659" s="4"/>
      <c r="X659" s="4"/>
      <c r="Y659" s="4"/>
      <c r="Z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7"/>
      <c r="V660" s="7"/>
      <c r="W660" s="4"/>
      <c r="X660" s="4"/>
      <c r="Y660" s="4"/>
      <c r="Z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7"/>
      <c r="V661" s="7"/>
      <c r="W661" s="4"/>
      <c r="X661" s="4"/>
      <c r="Y661" s="4"/>
      <c r="Z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7"/>
      <c r="V662" s="7"/>
      <c r="W662" s="4"/>
      <c r="X662" s="4"/>
      <c r="Y662" s="4"/>
      <c r="Z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7"/>
      <c r="V663" s="7"/>
      <c r="W663" s="4"/>
      <c r="X663" s="4"/>
      <c r="Y663" s="4"/>
      <c r="Z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7"/>
      <c r="V664" s="7"/>
      <c r="W664" s="4"/>
      <c r="X664" s="4"/>
      <c r="Y664" s="4"/>
      <c r="Z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7"/>
      <c r="V665" s="7"/>
      <c r="W665" s="4"/>
      <c r="X665" s="4"/>
      <c r="Y665" s="4"/>
      <c r="Z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7"/>
      <c r="V666" s="7"/>
      <c r="W666" s="4"/>
      <c r="X666" s="4"/>
      <c r="Y666" s="4"/>
      <c r="Z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7"/>
      <c r="V667" s="7"/>
      <c r="W667" s="4"/>
      <c r="X667" s="4"/>
      <c r="Y667" s="4"/>
      <c r="Z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7"/>
      <c r="V668" s="7"/>
      <c r="W668" s="4"/>
      <c r="X668" s="4"/>
      <c r="Y668" s="4"/>
      <c r="Z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7"/>
      <c r="V669" s="7"/>
      <c r="W669" s="4"/>
      <c r="X669" s="4"/>
      <c r="Y669" s="4"/>
      <c r="Z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7"/>
      <c r="V670" s="7"/>
      <c r="W670" s="4"/>
      <c r="X670" s="4"/>
      <c r="Y670" s="4"/>
      <c r="Z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7"/>
      <c r="V671" s="7"/>
      <c r="W671" s="4"/>
      <c r="X671" s="4"/>
      <c r="Y671" s="4"/>
      <c r="Z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7"/>
      <c r="V672" s="7"/>
      <c r="W672" s="4"/>
      <c r="X672" s="4"/>
      <c r="Y672" s="4"/>
      <c r="Z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7"/>
      <c r="V673" s="7"/>
      <c r="W673" s="4"/>
      <c r="X673" s="4"/>
      <c r="Y673" s="4"/>
      <c r="Z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7"/>
      <c r="V674" s="7"/>
      <c r="W674" s="4"/>
      <c r="X674" s="4"/>
      <c r="Y674" s="4"/>
      <c r="Z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7"/>
      <c r="V675" s="7"/>
      <c r="W675" s="4"/>
      <c r="X675" s="4"/>
      <c r="Y675" s="4"/>
      <c r="Z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7"/>
      <c r="V676" s="7"/>
      <c r="W676" s="4"/>
      <c r="X676" s="4"/>
      <c r="Y676" s="4"/>
      <c r="Z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7"/>
      <c r="V677" s="7"/>
      <c r="W677" s="4"/>
      <c r="X677" s="4"/>
      <c r="Y677" s="4"/>
      <c r="Z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7"/>
      <c r="V678" s="7"/>
      <c r="W678" s="4"/>
      <c r="X678" s="4"/>
      <c r="Y678" s="4"/>
      <c r="Z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7"/>
      <c r="V679" s="7"/>
      <c r="W679" s="4"/>
      <c r="X679" s="4"/>
      <c r="Y679" s="4"/>
      <c r="Z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7"/>
      <c r="V680" s="7"/>
      <c r="W680" s="4"/>
      <c r="X680" s="4"/>
      <c r="Y680" s="4"/>
      <c r="Z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7"/>
      <c r="V681" s="7"/>
      <c r="W681" s="4"/>
      <c r="X681" s="4"/>
      <c r="Y681" s="4"/>
      <c r="Z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7"/>
      <c r="V682" s="7"/>
      <c r="W682" s="4"/>
      <c r="X682" s="4"/>
      <c r="Y682" s="4"/>
      <c r="Z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7"/>
      <c r="V683" s="7"/>
      <c r="W683" s="4"/>
      <c r="X683" s="4"/>
      <c r="Y683" s="4"/>
      <c r="Z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7"/>
      <c r="V684" s="7"/>
      <c r="W684" s="4"/>
      <c r="X684" s="4"/>
      <c r="Y684" s="4"/>
      <c r="Z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7"/>
      <c r="V685" s="7"/>
      <c r="W685" s="4"/>
      <c r="X685" s="4"/>
      <c r="Y685" s="4"/>
      <c r="Z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7"/>
      <c r="V686" s="7"/>
      <c r="W686" s="4"/>
      <c r="X686" s="4"/>
      <c r="Y686" s="4"/>
      <c r="Z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7"/>
      <c r="V687" s="7"/>
      <c r="W687" s="4"/>
      <c r="X687" s="4"/>
      <c r="Y687" s="4"/>
      <c r="Z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7"/>
      <c r="V688" s="7"/>
      <c r="W688" s="4"/>
      <c r="X688" s="4"/>
      <c r="Y688" s="4"/>
      <c r="Z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7"/>
      <c r="V689" s="7"/>
      <c r="W689" s="4"/>
      <c r="X689" s="4"/>
      <c r="Y689" s="4"/>
      <c r="Z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7"/>
      <c r="V690" s="7"/>
      <c r="W690" s="4"/>
      <c r="X690" s="4"/>
      <c r="Y690" s="4"/>
      <c r="Z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7"/>
      <c r="V691" s="7"/>
      <c r="W691" s="4"/>
      <c r="X691" s="4"/>
      <c r="Y691" s="4"/>
      <c r="Z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7"/>
      <c r="V692" s="7"/>
      <c r="W692" s="4"/>
      <c r="X692" s="4"/>
      <c r="Y692" s="4"/>
      <c r="Z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7"/>
      <c r="V693" s="7"/>
      <c r="W693" s="4"/>
      <c r="X693" s="4"/>
      <c r="Y693" s="4"/>
      <c r="Z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7"/>
      <c r="V694" s="7"/>
      <c r="W694" s="4"/>
      <c r="X694" s="4"/>
      <c r="Y694" s="4"/>
      <c r="Z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7"/>
      <c r="V695" s="7"/>
      <c r="W695" s="4"/>
      <c r="X695" s="4"/>
      <c r="Y695" s="4"/>
      <c r="Z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7"/>
      <c r="V696" s="7"/>
      <c r="W696" s="4"/>
      <c r="X696" s="4"/>
      <c r="Y696" s="4"/>
      <c r="Z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7"/>
      <c r="V697" s="7"/>
      <c r="W697" s="4"/>
      <c r="X697" s="4"/>
      <c r="Y697" s="4"/>
      <c r="Z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7"/>
      <c r="V698" s="7"/>
      <c r="W698" s="4"/>
      <c r="X698" s="4"/>
      <c r="Y698" s="4"/>
      <c r="Z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7"/>
      <c r="V699" s="7"/>
      <c r="W699" s="4"/>
      <c r="X699" s="4"/>
      <c r="Y699" s="4"/>
      <c r="Z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7"/>
      <c r="V700" s="7"/>
      <c r="W700" s="4"/>
      <c r="X700" s="4"/>
      <c r="Y700" s="4"/>
      <c r="Z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7"/>
      <c r="V701" s="7"/>
      <c r="W701" s="4"/>
      <c r="X701" s="4"/>
      <c r="Y701" s="4"/>
      <c r="Z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7"/>
      <c r="V702" s="7"/>
      <c r="W702" s="4"/>
      <c r="X702" s="4"/>
      <c r="Y702" s="4"/>
      <c r="Z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7"/>
      <c r="V703" s="7"/>
      <c r="W703" s="4"/>
      <c r="X703" s="4"/>
      <c r="Y703" s="4"/>
      <c r="Z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7"/>
      <c r="V704" s="7"/>
      <c r="W704" s="4"/>
      <c r="X704" s="4"/>
      <c r="Y704" s="4"/>
      <c r="Z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7"/>
      <c r="V705" s="7"/>
      <c r="W705" s="4"/>
      <c r="X705" s="4"/>
      <c r="Y705" s="4"/>
      <c r="Z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7"/>
      <c r="V706" s="7"/>
      <c r="W706" s="4"/>
      <c r="X706" s="4"/>
      <c r="Y706" s="4"/>
      <c r="Z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7"/>
      <c r="V707" s="7"/>
      <c r="W707" s="4"/>
      <c r="X707" s="4"/>
      <c r="Y707" s="4"/>
      <c r="Z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7"/>
      <c r="V708" s="7"/>
      <c r="W708" s="4"/>
      <c r="X708" s="4"/>
      <c r="Y708" s="4"/>
      <c r="Z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7"/>
      <c r="V709" s="7"/>
      <c r="W709" s="4"/>
      <c r="X709" s="4"/>
      <c r="Y709" s="4"/>
      <c r="Z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7"/>
      <c r="V710" s="7"/>
      <c r="W710" s="4"/>
      <c r="X710" s="4"/>
      <c r="Y710" s="4"/>
      <c r="Z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7"/>
      <c r="V711" s="7"/>
      <c r="W711" s="4"/>
      <c r="X711" s="4"/>
      <c r="Y711" s="4"/>
      <c r="Z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7"/>
      <c r="V712" s="7"/>
      <c r="W712" s="4"/>
      <c r="X712" s="4"/>
      <c r="Y712" s="4"/>
      <c r="Z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7"/>
      <c r="V713" s="7"/>
      <c r="W713" s="4"/>
      <c r="X713" s="4"/>
      <c r="Y713" s="4"/>
      <c r="Z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7"/>
      <c r="V714" s="7"/>
      <c r="W714" s="4"/>
      <c r="X714" s="4"/>
      <c r="Y714" s="4"/>
      <c r="Z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7"/>
      <c r="V715" s="7"/>
      <c r="W715" s="4"/>
      <c r="X715" s="4"/>
      <c r="Y715" s="4"/>
      <c r="Z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7"/>
      <c r="V716" s="7"/>
      <c r="W716" s="4"/>
      <c r="X716" s="4"/>
      <c r="Y716" s="4"/>
      <c r="Z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7"/>
      <c r="V717" s="7"/>
      <c r="W717" s="4"/>
      <c r="X717" s="4"/>
      <c r="Y717" s="4"/>
      <c r="Z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7"/>
      <c r="V718" s="7"/>
      <c r="W718" s="4"/>
      <c r="X718" s="4"/>
      <c r="Y718" s="4"/>
      <c r="Z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7"/>
      <c r="V719" s="7"/>
      <c r="W719" s="4"/>
      <c r="X719" s="4"/>
      <c r="Y719" s="4"/>
      <c r="Z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7"/>
      <c r="V720" s="7"/>
      <c r="W720" s="4"/>
      <c r="X720" s="4"/>
      <c r="Y720" s="4"/>
      <c r="Z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7"/>
      <c r="V721" s="7"/>
      <c r="W721" s="4"/>
      <c r="X721" s="4"/>
      <c r="Y721" s="4"/>
      <c r="Z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7"/>
      <c r="V722" s="7"/>
      <c r="W722" s="4"/>
      <c r="X722" s="4"/>
      <c r="Y722" s="4"/>
      <c r="Z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7"/>
      <c r="V723" s="7"/>
      <c r="W723" s="4"/>
      <c r="X723" s="4"/>
      <c r="Y723" s="4"/>
      <c r="Z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7"/>
      <c r="V724" s="7"/>
      <c r="W724" s="4"/>
      <c r="X724" s="4"/>
      <c r="Y724" s="4"/>
      <c r="Z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7"/>
      <c r="V725" s="7"/>
      <c r="W725" s="4"/>
      <c r="X725" s="4"/>
      <c r="Y725" s="4"/>
      <c r="Z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7"/>
      <c r="V726" s="7"/>
      <c r="W726" s="4"/>
      <c r="X726" s="4"/>
      <c r="Y726" s="4"/>
      <c r="Z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7"/>
      <c r="V727" s="7"/>
      <c r="W727" s="4"/>
      <c r="X727" s="4"/>
      <c r="Y727" s="4"/>
      <c r="Z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7"/>
      <c r="V728" s="7"/>
      <c r="W728" s="4"/>
      <c r="X728" s="4"/>
      <c r="Y728" s="4"/>
      <c r="Z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7"/>
      <c r="V729" s="7"/>
      <c r="W729" s="4"/>
      <c r="X729" s="4"/>
      <c r="Y729" s="4"/>
      <c r="Z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7"/>
      <c r="V730" s="7"/>
      <c r="W730" s="4"/>
      <c r="X730" s="4"/>
      <c r="Y730" s="4"/>
      <c r="Z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7"/>
      <c r="V731" s="7"/>
      <c r="W731" s="4"/>
      <c r="X731" s="4"/>
      <c r="Y731" s="4"/>
      <c r="Z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7"/>
      <c r="V732" s="7"/>
      <c r="W732" s="4"/>
      <c r="X732" s="4"/>
      <c r="Y732" s="4"/>
      <c r="Z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7"/>
      <c r="V733" s="7"/>
      <c r="W733" s="4"/>
      <c r="X733" s="4"/>
      <c r="Y733" s="4"/>
      <c r="Z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7"/>
      <c r="V734" s="7"/>
      <c r="W734" s="4"/>
      <c r="X734" s="4"/>
      <c r="Y734" s="4"/>
      <c r="Z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7"/>
      <c r="V735" s="7"/>
      <c r="W735" s="4"/>
      <c r="X735" s="4"/>
      <c r="Y735" s="4"/>
      <c r="Z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7"/>
      <c r="V736" s="7"/>
      <c r="W736" s="4"/>
      <c r="X736" s="4"/>
      <c r="Y736" s="4"/>
      <c r="Z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7"/>
      <c r="V737" s="7"/>
      <c r="W737" s="4"/>
      <c r="X737" s="4"/>
      <c r="Y737" s="4"/>
      <c r="Z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7"/>
      <c r="V738" s="7"/>
      <c r="W738" s="4"/>
      <c r="X738" s="4"/>
      <c r="Y738" s="4"/>
      <c r="Z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7"/>
      <c r="V739" s="7"/>
      <c r="W739" s="4"/>
      <c r="X739" s="4"/>
      <c r="Y739" s="4"/>
      <c r="Z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7"/>
      <c r="V740" s="7"/>
      <c r="W740" s="4"/>
      <c r="X740" s="4"/>
      <c r="Y740" s="4"/>
      <c r="Z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7"/>
      <c r="V741" s="7"/>
      <c r="W741" s="4"/>
      <c r="X741" s="4"/>
      <c r="Y741" s="4"/>
      <c r="Z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7"/>
      <c r="V742" s="7"/>
      <c r="W742" s="4"/>
      <c r="X742" s="4"/>
      <c r="Y742" s="4"/>
      <c r="Z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7"/>
      <c r="V743" s="7"/>
      <c r="W743" s="4"/>
      <c r="X743" s="4"/>
      <c r="Y743" s="4"/>
      <c r="Z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7"/>
      <c r="V744" s="7"/>
      <c r="W744" s="4"/>
      <c r="X744" s="4"/>
      <c r="Y744" s="4"/>
      <c r="Z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7"/>
      <c r="V745" s="7"/>
      <c r="W745" s="4"/>
      <c r="X745" s="4"/>
      <c r="Y745" s="4"/>
      <c r="Z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7"/>
      <c r="V746" s="7"/>
      <c r="W746" s="4"/>
      <c r="X746" s="4"/>
      <c r="Y746" s="4"/>
      <c r="Z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7"/>
      <c r="V747" s="7"/>
      <c r="W747" s="4"/>
      <c r="X747" s="4"/>
      <c r="Y747" s="4"/>
      <c r="Z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7"/>
      <c r="V748" s="7"/>
      <c r="W748" s="4"/>
      <c r="X748" s="4"/>
      <c r="Y748" s="4"/>
      <c r="Z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7"/>
      <c r="V749" s="7"/>
      <c r="W749" s="4"/>
      <c r="X749" s="4"/>
      <c r="Y749" s="4"/>
      <c r="Z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7"/>
      <c r="V750" s="7"/>
      <c r="W750" s="4"/>
      <c r="X750" s="4"/>
      <c r="Y750" s="4"/>
      <c r="Z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7"/>
      <c r="V751" s="7"/>
      <c r="W751" s="4"/>
      <c r="X751" s="4"/>
      <c r="Y751" s="4"/>
      <c r="Z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7"/>
      <c r="V752" s="7"/>
      <c r="W752" s="4"/>
      <c r="X752" s="4"/>
      <c r="Y752" s="4"/>
      <c r="Z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7"/>
      <c r="V753" s="7"/>
      <c r="W753" s="4"/>
      <c r="X753" s="4"/>
      <c r="Y753" s="4"/>
      <c r="Z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7"/>
      <c r="V754" s="7"/>
      <c r="W754" s="4"/>
      <c r="X754" s="4"/>
      <c r="Y754" s="4"/>
      <c r="Z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7"/>
      <c r="V755" s="7"/>
      <c r="W755" s="4"/>
      <c r="X755" s="4"/>
      <c r="Y755" s="4"/>
      <c r="Z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7"/>
      <c r="V756" s="7"/>
      <c r="W756" s="4"/>
      <c r="X756" s="4"/>
      <c r="Y756" s="4"/>
      <c r="Z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7"/>
      <c r="V757" s="7"/>
      <c r="W757" s="4"/>
      <c r="X757" s="4"/>
      <c r="Y757" s="4"/>
      <c r="Z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7"/>
      <c r="V758" s="7"/>
      <c r="W758" s="4"/>
      <c r="X758" s="4"/>
      <c r="Y758" s="4"/>
      <c r="Z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7"/>
      <c r="V759" s="7"/>
      <c r="W759" s="4"/>
      <c r="X759" s="4"/>
      <c r="Y759" s="4"/>
      <c r="Z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7"/>
      <c r="V760" s="7"/>
      <c r="W760" s="4"/>
      <c r="X760" s="4"/>
      <c r="Y760" s="4"/>
      <c r="Z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7"/>
      <c r="V761" s="7"/>
      <c r="W761" s="4"/>
      <c r="X761" s="4"/>
      <c r="Y761" s="4"/>
      <c r="Z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7"/>
      <c r="V762" s="7"/>
      <c r="W762" s="4"/>
      <c r="X762" s="4"/>
      <c r="Y762" s="4"/>
      <c r="Z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7"/>
      <c r="V763" s="7"/>
      <c r="W763" s="4"/>
      <c r="X763" s="4"/>
      <c r="Y763" s="4"/>
      <c r="Z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7"/>
      <c r="V764" s="7"/>
      <c r="W764" s="4"/>
      <c r="X764" s="4"/>
      <c r="Y764" s="4"/>
      <c r="Z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7"/>
      <c r="V765" s="7"/>
      <c r="W765" s="4"/>
      <c r="X765" s="4"/>
      <c r="Y765" s="4"/>
      <c r="Z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7"/>
      <c r="V766" s="7"/>
      <c r="W766" s="4"/>
      <c r="X766" s="4"/>
      <c r="Y766" s="4"/>
      <c r="Z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7"/>
      <c r="V767" s="7"/>
      <c r="W767" s="4"/>
      <c r="X767" s="4"/>
      <c r="Y767" s="4"/>
      <c r="Z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7"/>
      <c r="V768" s="7"/>
      <c r="W768" s="4"/>
      <c r="X768" s="4"/>
      <c r="Y768" s="4"/>
      <c r="Z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7"/>
      <c r="V769" s="7"/>
      <c r="W769" s="4"/>
      <c r="X769" s="4"/>
      <c r="Y769" s="4"/>
      <c r="Z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7"/>
      <c r="V770" s="7"/>
      <c r="W770" s="4"/>
      <c r="X770" s="4"/>
      <c r="Y770" s="4"/>
      <c r="Z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7"/>
      <c r="V771" s="7"/>
      <c r="W771" s="4"/>
      <c r="X771" s="4"/>
      <c r="Y771" s="4"/>
      <c r="Z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7"/>
      <c r="V772" s="7"/>
      <c r="W772" s="4"/>
      <c r="X772" s="4"/>
      <c r="Y772" s="4"/>
      <c r="Z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7"/>
      <c r="V773" s="7"/>
      <c r="W773" s="4"/>
      <c r="X773" s="4"/>
      <c r="Y773" s="4"/>
      <c r="Z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7"/>
      <c r="V774" s="7"/>
      <c r="W774" s="4"/>
      <c r="X774" s="4"/>
      <c r="Y774" s="4"/>
      <c r="Z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7"/>
      <c r="V775" s="7"/>
      <c r="W775" s="4"/>
      <c r="X775" s="4"/>
      <c r="Y775" s="4"/>
      <c r="Z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7"/>
      <c r="V776" s="7"/>
      <c r="W776" s="4"/>
      <c r="X776" s="4"/>
      <c r="Y776" s="4"/>
      <c r="Z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7"/>
      <c r="V777" s="7"/>
      <c r="W777" s="4"/>
      <c r="X777" s="4"/>
      <c r="Y777" s="4"/>
      <c r="Z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7"/>
      <c r="V778" s="7"/>
      <c r="W778" s="4"/>
      <c r="X778" s="4"/>
      <c r="Y778" s="4"/>
      <c r="Z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7"/>
      <c r="V779" s="7"/>
      <c r="W779" s="4"/>
      <c r="X779" s="4"/>
      <c r="Y779" s="4"/>
      <c r="Z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7"/>
      <c r="V780" s="7"/>
      <c r="W780" s="4"/>
      <c r="X780" s="4"/>
      <c r="Y780" s="4"/>
      <c r="Z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7"/>
      <c r="V781" s="7"/>
      <c r="W781" s="4"/>
      <c r="X781" s="4"/>
      <c r="Y781" s="4"/>
      <c r="Z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7"/>
      <c r="V782" s="7"/>
      <c r="W782" s="4"/>
      <c r="X782" s="4"/>
      <c r="Y782" s="4"/>
      <c r="Z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7"/>
      <c r="V783" s="7"/>
      <c r="W783" s="4"/>
      <c r="X783" s="4"/>
      <c r="Y783" s="4"/>
      <c r="Z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7"/>
      <c r="V784" s="7"/>
      <c r="W784" s="4"/>
      <c r="X784" s="4"/>
      <c r="Y784" s="4"/>
      <c r="Z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7"/>
      <c r="V785" s="7"/>
      <c r="W785" s="4"/>
      <c r="X785" s="4"/>
      <c r="Y785" s="4"/>
      <c r="Z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7"/>
      <c r="V786" s="7"/>
      <c r="W786" s="4"/>
      <c r="X786" s="4"/>
      <c r="Y786" s="4"/>
      <c r="Z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7"/>
      <c r="V787" s="7"/>
      <c r="W787" s="4"/>
      <c r="X787" s="4"/>
      <c r="Y787" s="4"/>
      <c r="Z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7"/>
      <c r="V788" s="7"/>
      <c r="W788" s="4"/>
      <c r="X788" s="4"/>
      <c r="Y788" s="4"/>
      <c r="Z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7"/>
      <c r="V789" s="7"/>
      <c r="W789" s="4"/>
      <c r="X789" s="4"/>
      <c r="Y789" s="4"/>
      <c r="Z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7"/>
      <c r="V790" s="7"/>
      <c r="W790" s="4"/>
      <c r="X790" s="4"/>
      <c r="Y790" s="4"/>
      <c r="Z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7"/>
      <c r="V791" s="7"/>
      <c r="W791" s="4"/>
      <c r="X791" s="4"/>
      <c r="Y791" s="4"/>
      <c r="Z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7"/>
      <c r="V792" s="7"/>
      <c r="W792" s="4"/>
      <c r="X792" s="4"/>
      <c r="Y792" s="4"/>
      <c r="Z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7"/>
      <c r="V793" s="7"/>
      <c r="W793" s="4"/>
      <c r="X793" s="4"/>
      <c r="Y793" s="4"/>
      <c r="Z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7"/>
      <c r="V794" s="7"/>
      <c r="W794" s="4"/>
      <c r="X794" s="4"/>
      <c r="Y794" s="4"/>
      <c r="Z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7"/>
      <c r="V795" s="7"/>
      <c r="W795" s="4"/>
      <c r="X795" s="4"/>
      <c r="Y795" s="4"/>
      <c r="Z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7"/>
      <c r="V796" s="7"/>
      <c r="W796" s="4"/>
      <c r="X796" s="4"/>
      <c r="Y796" s="4"/>
      <c r="Z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7"/>
      <c r="V797" s="7"/>
      <c r="W797" s="4"/>
      <c r="X797" s="4"/>
      <c r="Y797" s="4"/>
      <c r="Z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7"/>
      <c r="V798" s="7"/>
      <c r="W798" s="4"/>
      <c r="X798" s="4"/>
      <c r="Y798" s="4"/>
      <c r="Z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7"/>
      <c r="V799" s="7"/>
      <c r="W799" s="4"/>
      <c r="X799" s="4"/>
      <c r="Y799" s="4"/>
      <c r="Z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7"/>
      <c r="V800" s="7"/>
      <c r="W800" s="4"/>
      <c r="X800" s="4"/>
      <c r="Y800" s="4"/>
      <c r="Z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7"/>
      <c r="V801" s="7"/>
      <c r="W801" s="4"/>
      <c r="X801" s="4"/>
      <c r="Y801" s="4"/>
      <c r="Z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7"/>
      <c r="V802" s="7"/>
      <c r="W802" s="4"/>
      <c r="X802" s="4"/>
      <c r="Y802" s="4"/>
      <c r="Z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7"/>
      <c r="V803" s="7"/>
      <c r="W803" s="4"/>
      <c r="X803" s="4"/>
      <c r="Y803" s="4"/>
      <c r="Z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7"/>
      <c r="V804" s="7"/>
      <c r="W804" s="4"/>
      <c r="X804" s="4"/>
      <c r="Y804" s="4"/>
      <c r="Z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7"/>
      <c r="V805" s="7"/>
      <c r="W805" s="4"/>
      <c r="X805" s="4"/>
      <c r="Y805" s="4"/>
      <c r="Z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7"/>
      <c r="V806" s="7"/>
      <c r="W806" s="4"/>
      <c r="X806" s="4"/>
      <c r="Y806" s="4"/>
      <c r="Z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7"/>
      <c r="V807" s="7"/>
      <c r="W807" s="4"/>
      <c r="X807" s="4"/>
      <c r="Y807" s="4"/>
      <c r="Z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7"/>
      <c r="V808" s="7"/>
      <c r="W808" s="4"/>
      <c r="X808" s="4"/>
      <c r="Y808" s="4"/>
      <c r="Z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7"/>
      <c r="V809" s="7"/>
      <c r="W809" s="4"/>
      <c r="X809" s="4"/>
      <c r="Y809" s="4"/>
      <c r="Z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7"/>
      <c r="V810" s="7"/>
      <c r="W810" s="4"/>
      <c r="X810" s="4"/>
      <c r="Y810" s="4"/>
      <c r="Z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7"/>
      <c r="V811" s="7"/>
      <c r="W811" s="4"/>
      <c r="X811" s="4"/>
      <c r="Y811" s="4"/>
      <c r="Z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7"/>
      <c r="V812" s="7"/>
      <c r="W812" s="4"/>
      <c r="X812" s="4"/>
      <c r="Y812" s="4"/>
      <c r="Z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7"/>
      <c r="V813" s="7"/>
      <c r="W813" s="4"/>
      <c r="X813" s="4"/>
      <c r="Y813" s="4"/>
      <c r="Z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7"/>
      <c r="V814" s="7"/>
      <c r="W814" s="4"/>
      <c r="X814" s="4"/>
      <c r="Y814" s="4"/>
      <c r="Z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7"/>
      <c r="V815" s="7"/>
      <c r="W815" s="4"/>
      <c r="X815" s="4"/>
      <c r="Y815" s="4"/>
      <c r="Z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7"/>
      <c r="V816" s="7"/>
      <c r="W816" s="4"/>
      <c r="X816" s="4"/>
      <c r="Y816" s="4"/>
      <c r="Z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7"/>
      <c r="V817" s="7"/>
      <c r="W817" s="4"/>
      <c r="X817" s="4"/>
      <c r="Y817" s="4"/>
      <c r="Z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7"/>
      <c r="V818" s="7"/>
      <c r="W818" s="4"/>
      <c r="X818" s="4"/>
      <c r="Y818" s="4"/>
      <c r="Z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7"/>
      <c r="V819" s="7"/>
      <c r="W819" s="4"/>
      <c r="X819" s="4"/>
      <c r="Y819" s="4"/>
      <c r="Z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7"/>
      <c r="V820" s="7"/>
      <c r="W820" s="4"/>
      <c r="X820" s="4"/>
      <c r="Y820" s="4"/>
      <c r="Z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7"/>
      <c r="V821" s="7"/>
      <c r="W821" s="4"/>
      <c r="X821" s="4"/>
      <c r="Y821" s="4"/>
      <c r="Z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7"/>
      <c r="V822" s="7"/>
      <c r="W822" s="4"/>
      <c r="X822" s="4"/>
      <c r="Y822" s="4"/>
      <c r="Z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7"/>
      <c r="V823" s="7"/>
      <c r="W823" s="4"/>
      <c r="X823" s="4"/>
      <c r="Y823" s="4"/>
      <c r="Z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7"/>
      <c r="V824" s="7"/>
      <c r="W824" s="4"/>
      <c r="X824" s="4"/>
      <c r="Y824" s="4"/>
      <c r="Z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7"/>
      <c r="V825" s="7"/>
      <c r="W825" s="4"/>
      <c r="X825" s="4"/>
      <c r="Y825" s="4"/>
      <c r="Z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7"/>
      <c r="V826" s="7"/>
      <c r="W826" s="4"/>
      <c r="X826" s="4"/>
      <c r="Y826" s="4"/>
      <c r="Z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7"/>
      <c r="V827" s="7"/>
      <c r="W827" s="4"/>
      <c r="X827" s="4"/>
      <c r="Y827" s="4"/>
      <c r="Z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7"/>
      <c r="V828" s="7"/>
      <c r="W828" s="4"/>
      <c r="X828" s="4"/>
      <c r="Y828" s="4"/>
      <c r="Z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7"/>
      <c r="V829" s="7"/>
      <c r="W829" s="4"/>
      <c r="X829" s="4"/>
      <c r="Y829" s="4"/>
      <c r="Z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7"/>
      <c r="V830" s="7"/>
      <c r="W830" s="4"/>
      <c r="X830" s="4"/>
      <c r="Y830" s="4"/>
      <c r="Z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7"/>
      <c r="V831" s="7"/>
      <c r="W831" s="4"/>
      <c r="X831" s="4"/>
      <c r="Y831" s="4"/>
      <c r="Z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7"/>
      <c r="V832" s="7"/>
      <c r="W832" s="4"/>
      <c r="X832" s="4"/>
      <c r="Y832" s="4"/>
      <c r="Z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7"/>
      <c r="V833" s="7"/>
      <c r="W833" s="4"/>
      <c r="X833" s="4"/>
      <c r="Y833" s="4"/>
      <c r="Z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7"/>
      <c r="V834" s="7"/>
      <c r="W834" s="4"/>
      <c r="X834" s="4"/>
      <c r="Y834" s="4"/>
      <c r="Z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7"/>
      <c r="V835" s="7"/>
      <c r="W835" s="4"/>
      <c r="X835" s="4"/>
      <c r="Y835" s="4"/>
      <c r="Z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7"/>
      <c r="V836" s="7"/>
      <c r="W836" s="4"/>
      <c r="X836" s="4"/>
      <c r="Y836" s="4"/>
      <c r="Z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7"/>
      <c r="V837" s="7"/>
      <c r="W837" s="4"/>
      <c r="X837" s="4"/>
      <c r="Y837" s="4"/>
      <c r="Z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7"/>
      <c r="V838" s="7"/>
      <c r="W838" s="4"/>
      <c r="X838" s="4"/>
      <c r="Y838" s="4"/>
      <c r="Z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7"/>
      <c r="V839" s="7"/>
      <c r="W839" s="4"/>
      <c r="X839" s="4"/>
      <c r="Y839" s="4"/>
      <c r="Z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7"/>
      <c r="V840" s="7"/>
      <c r="W840" s="4"/>
      <c r="X840" s="4"/>
      <c r="Y840" s="4"/>
      <c r="Z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7"/>
      <c r="V841" s="7"/>
      <c r="W841" s="4"/>
      <c r="X841" s="4"/>
      <c r="Y841" s="4"/>
      <c r="Z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7"/>
      <c r="V842" s="7"/>
      <c r="W842" s="4"/>
      <c r="X842" s="4"/>
      <c r="Y842" s="4"/>
      <c r="Z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7"/>
      <c r="V843" s="7"/>
      <c r="W843" s="4"/>
      <c r="X843" s="4"/>
      <c r="Y843" s="4"/>
      <c r="Z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7"/>
      <c r="V844" s="7"/>
      <c r="W844" s="4"/>
      <c r="X844" s="4"/>
      <c r="Y844" s="4"/>
      <c r="Z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7"/>
      <c r="V845" s="7"/>
      <c r="W845" s="4"/>
      <c r="X845" s="4"/>
      <c r="Y845" s="4"/>
      <c r="Z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7"/>
      <c r="V846" s="7"/>
      <c r="W846" s="4"/>
      <c r="X846" s="4"/>
      <c r="Y846" s="4"/>
      <c r="Z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7"/>
      <c r="V847" s="7"/>
      <c r="W847" s="4"/>
      <c r="X847" s="4"/>
      <c r="Y847" s="4"/>
      <c r="Z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7"/>
      <c r="V848" s="7"/>
      <c r="W848" s="4"/>
      <c r="X848" s="4"/>
      <c r="Y848" s="4"/>
      <c r="Z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7"/>
      <c r="V849" s="7"/>
      <c r="W849" s="4"/>
      <c r="X849" s="4"/>
      <c r="Y849" s="4"/>
      <c r="Z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7"/>
      <c r="V850" s="7"/>
      <c r="W850" s="4"/>
      <c r="X850" s="4"/>
      <c r="Y850" s="4"/>
      <c r="Z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7"/>
      <c r="V851" s="7"/>
      <c r="W851" s="4"/>
      <c r="X851" s="4"/>
      <c r="Y851" s="4"/>
      <c r="Z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7"/>
      <c r="V852" s="7"/>
      <c r="W852" s="4"/>
      <c r="X852" s="4"/>
      <c r="Y852" s="4"/>
      <c r="Z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7"/>
      <c r="V853" s="7"/>
      <c r="W853" s="4"/>
      <c r="X853" s="4"/>
      <c r="Y853" s="4"/>
      <c r="Z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7"/>
      <c r="V854" s="7"/>
      <c r="W854" s="4"/>
      <c r="X854" s="4"/>
      <c r="Y854" s="4"/>
      <c r="Z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7"/>
      <c r="V855" s="7"/>
      <c r="W855" s="4"/>
      <c r="X855" s="4"/>
      <c r="Y855" s="4"/>
      <c r="Z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7"/>
      <c r="V856" s="7"/>
      <c r="W856" s="4"/>
      <c r="X856" s="4"/>
      <c r="Y856" s="4"/>
      <c r="Z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7"/>
      <c r="V857" s="7"/>
      <c r="W857" s="4"/>
      <c r="X857" s="4"/>
      <c r="Y857" s="4"/>
      <c r="Z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7"/>
      <c r="V858" s="7"/>
      <c r="W858" s="4"/>
      <c r="X858" s="4"/>
      <c r="Y858" s="4"/>
      <c r="Z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7"/>
      <c r="V859" s="7"/>
      <c r="W859" s="4"/>
      <c r="X859" s="4"/>
      <c r="Y859" s="4"/>
      <c r="Z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7"/>
      <c r="V860" s="7"/>
      <c r="W860" s="4"/>
      <c r="X860" s="4"/>
      <c r="Y860" s="4"/>
      <c r="Z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7"/>
      <c r="V861" s="7"/>
      <c r="W861" s="4"/>
      <c r="X861" s="4"/>
      <c r="Y861" s="4"/>
      <c r="Z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7"/>
      <c r="V862" s="7"/>
      <c r="W862" s="4"/>
      <c r="X862" s="4"/>
      <c r="Y862" s="4"/>
      <c r="Z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7"/>
      <c r="V863" s="7"/>
      <c r="W863" s="4"/>
      <c r="X863" s="4"/>
      <c r="Y863" s="4"/>
      <c r="Z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7"/>
      <c r="V864" s="7"/>
      <c r="W864" s="4"/>
      <c r="X864" s="4"/>
      <c r="Y864" s="4"/>
      <c r="Z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7"/>
      <c r="V865" s="7"/>
      <c r="W865" s="4"/>
      <c r="X865" s="4"/>
      <c r="Y865" s="4"/>
      <c r="Z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7"/>
      <c r="V866" s="7"/>
      <c r="W866" s="4"/>
      <c r="X866" s="4"/>
      <c r="Y866" s="4"/>
      <c r="Z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7"/>
      <c r="V867" s="7"/>
      <c r="W867" s="4"/>
      <c r="X867" s="4"/>
      <c r="Y867" s="4"/>
      <c r="Z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7"/>
      <c r="V868" s="7"/>
      <c r="W868" s="4"/>
      <c r="X868" s="4"/>
      <c r="Y868" s="4"/>
      <c r="Z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7"/>
      <c r="V869" s="7"/>
      <c r="W869" s="4"/>
      <c r="X869" s="4"/>
      <c r="Y869" s="4"/>
      <c r="Z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7"/>
      <c r="V870" s="7"/>
      <c r="W870" s="4"/>
      <c r="X870" s="4"/>
      <c r="Y870" s="4"/>
      <c r="Z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7"/>
      <c r="V871" s="7"/>
      <c r="W871" s="4"/>
      <c r="X871" s="4"/>
      <c r="Y871" s="4"/>
      <c r="Z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7"/>
      <c r="V872" s="7"/>
      <c r="W872" s="4"/>
      <c r="X872" s="4"/>
      <c r="Y872" s="4"/>
      <c r="Z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7"/>
      <c r="V873" s="7"/>
      <c r="W873" s="4"/>
      <c r="X873" s="4"/>
      <c r="Y873" s="4"/>
      <c r="Z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7"/>
      <c r="V874" s="7"/>
      <c r="W874" s="4"/>
      <c r="X874" s="4"/>
      <c r="Y874" s="4"/>
      <c r="Z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7"/>
      <c r="V875" s="7"/>
      <c r="W875" s="4"/>
      <c r="X875" s="4"/>
      <c r="Y875" s="4"/>
      <c r="Z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7"/>
      <c r="V876" s="7"/>
      <c r="W876" s="4"/>
      <c r="X876" s="4"/>
      <c r="Y876" s="4"/>
      <c r="Z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7"/>
      <c r="V877" s="7"/>
      <c r="W877" s="4"/>
      <c r="X877" s="4"/>
      <c r="Y877" s="4"/>
      <c r="Z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7"/>
      <c r="V878" s="7"/>
      <c r="W878" s="4"/>
      <c r="X878" s="4"/>
      <c r="Y878" s="4"/>
      <c r="Z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7"/>
      <c r="V879" s="7"/>
      <c r="W879" s="4"/>
      <c r="X879" s="4"/>
      <c r="Y879" s="4"/>
      <c r="Z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7"/>
      <c r="V880" s="7"/>
      <c r="W880" s="4"/>
      <c r="X880" s="4"/>
      <c r="Y880" s="4"/>
      <c r="Z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7"/>
      <c r="V881" s="7"/>
      <c r="W881" s="4"/>
      <c r="X881" s="4"/>
      <c r="Y881" s="4"/>
      <c r="Z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7"/>
      <c r="V882" s="7"/>
      <c r="W882" s="4"/>
      <c r="X882" s="4"/>
      <c r="Y882" s="4"/>
      <c r="Z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7"/>
      <c r="V883" s="7"/>
      <c r="W883" s="4"/>
      <c r="X883" s="4"/>
      <c r="Y883" s="4"/>
      <c r="Z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7"/>
      <c r="V884" s="7"/>
      <c r="W884" s="4"/>
      <c r="X884" s="4"/>
      <c r="Y884" s="4"/>
      <c r="Z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7"/>
      <c r="V885" s="7"/>
      <c r="W885" s="4"/>
      <c r="X885" s="4"/>
      <c r="Y885" s="4"/>
      <c r="Z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7"/>
      <c r="V886" s="7"/>
      <c r="W886" s="4"/>
      <c r="X886" s="4"/>
      <c r="Y886" s="4"/>
      <c r="Z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7"/>
      <c r="V887" s="7"/>
      <c r="W887" s="4"/>
      <c r="X887" s="4"/>
      <c r="Y887" s="4"/>
      <c r="Z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7"/>
      <c r="V888" s="7"/>
      <c r="W888" s="4"/>
      <c r="X888" s="4"/>
      <c r="Y888" s="4"/>
      <c r="Z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7"/>
      <c r="V889" s="7"/>
      <c r="W889" s="4"/>
      <c r="X889" s="4"/>
      <c r="Y889" s="4"/>
      <c r="Z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7"/>
      <c r="V890" s="7"/>
      <c r="W890" s="4"/>
      <c r="X890" s="4"/>
      <c r="Y890" s="4"/>
      <c r="Z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7"/>
      <c r="V891" s="7"/>
      <c r="W891" s="4"/>
      <c r="X891" s="4"/>
      <c r="Y891" s="4"/>
      <c r="Z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7"/>
      <c r="V892" s="7"/>
      <c r="W892" s="4"/>
      <c r="X892" s="4"/>
      <c r="Y892" s="4"/>
      <c r="Z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7"/>
      <c r="V893" s="7"/>
      <c r="W893" s="4"/>
      <c r="X893" s="4"/>
      <c r="Y893" s="4"/>
      <c r="Z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7"/>
      <c r="V894" s="7"/>
      <c r="W894" s="4"/>
      <c r="X894" s="4"/>
      <c r="Y894" s="4"/>
      <c r="Z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7"/>
      <c r="V895" s="7"/>
      <c r="W895" s="4"/>
      <c r="X895" s="4"/>
      <c r="Y895" s="4"/>
      <c r="Z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7"/>
      <c r="V896" s="7"/>
      <c r="W896" s="4"/>
      <c r="X896" s="4"/>
      <c r="Y896" s="4"/>
      <c r="Z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7"/>
      <c r="V897" s="7"/>
      <c r="W897" s="4"/>
      <c r="X897" s="4"/>
      <c r="Y897" s="4"/>
      <c r="Z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7"/>
      <c r="V898" s="7"/>
      <c r="W898" s="4"/>
      <c r="X898" s="4"/>
      <c r="Y898" s="4"/>
      <c r="Z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7"/>
      <c r="V899" s="7"/>
      <c r="W899" s="4"/>
      <c r="X899" s="4"/>
      <c r="Y899" s="4"/>
      <c r="Z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7"/>
      <c r="V900" s="7"/>
      <c r="W900" s="4"/>
      <c r="X900" s="4"/>
      <c r="Y900" s="4"/>
      <c r="Z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7"/>
      <c r="V901" s="7"/>
      <c r="W901" s="4"/>
      <c r="X901" s="4"/>
      <c r="Y901" s="4"/>
      <c r="Z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7"/>
      <c r="V902" s="7"/>
      <c r="W902" s="4"/>
      <c r="X902" s="4"/>
      <c r="Y902" s="4"/>
      <c r="Z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7"/>
      <c r="V903" s="7"/>
      <c r="W903" s="4"/>
      <c r="X903" s="4"/>
      <c r="Y903" s="4"/>
      <c r="Z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7"/>
      <c r="V904" s="7"/>
      <c r="W904" s="4"/>
      <c r="X904" s="4"/>
      <c r="Y904" s="4"/>
      <c r="Z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7"/>
      <c r="V905" s="7"/>
      <c r="W905" s="4"/>
      <c r="X905" s="4"/>
      <c r="Y905" s="4"/>
      <c r="Z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7"/>
      <c r="V906" s="7"/>
      <c r="W906" s="4"/>
      <c r="X906" s="4"/>
      <c r="Y906" s="4"/>
      <c r="Z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7"/>
      <c r="V907" s="7"/>
      <c r="W907" s="4"/>
      <c r="X907" s="4"/>
      <c r="Y907" s="4"/>
      <c r="Z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7"/>
      <c r="V908" s="7"/>
      <c r="W908" s="4"/>
      <c r="X908" s="4"/>
      <c r="Y908" s="4"/>
      <c r="Z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7"/>
      <c r="V909" s="7"/>
      <c r="W909" s="4"/>
      <c r="X909" s="4"/>
      <c r="Y909" s="4"/>
      <c r="Z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7"/>
      <c r="V910" s="7"/>
      <c r="W910" s="4"/>
      <c r="X910" s="4"/>
      <c r="Y910" s="4"/>
      <c r="Z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7"/>
      <c r="V911" s="7"/>
      <c r="W911" s="4"/>
      <c r="X911" s="4"/>
      <c r="Y911" s="4"/>
      <c r="Z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7"/>
      <c r="V912" s="7"/>
      <c r="W912" s="4"/>
      <c r="X912" s="4"/>
      <c r="Y912" s="4"/>
      <c r="Z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7"/>
      <c r="V913" s="7"/>
      <c r="W913" s="4"/>
      <c r="X913" s="4"/>
      <c r="Y913" s="4"/>
      <c r="Z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7"/>
      <c r="V914" s="7"/>
      <c r="W914" s="4"/>
      <c r="X914" s="4"/>
      <c r="Y914" s="4"/>
      <c r="Z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7"/>
      <c r="V915" s="7"/>
      <c r="W915" s="4"/>
      <c r="X915" s="4"/>
      <c r="Y915" s="4"/>
      <c r="Z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7"/>
      <c r="V916" s="7"/>
      <c r="W916" s="4"/>
      <c r="X916" s="4"/>
      <c r="Y916" s="4"/>
      <c r="Z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7"/>
      <c r="V917" s="7"/>
      <c r="W917" s="4"/>
      <c r="X917" s="4"/>
      <c r="Y917" s="4"/>
      <c r="Z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7"/>
      <c r="V918" s="7"/>
      <c r="W918" s="4"/>
      <c r="X918" s="4"/>
      <c r="Y918" s="4"/>
      <c r="Z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7"/>
      <c r="V919" s="7"/>
      <c r="W919" s="4"/>
      <c r="X919" s="4"/>
      <c r="Y919" s="4"/>
      <c r="Z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7"/>
      <c r="V920" s="7"/>
      <c r="W920" s="4"/>
      <c r="X920" s="4"/>
      <c r="Y920" s="4"/>
      <c r="Z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7"/>
      <c r="V921" s="7"/>
      <c r="W921" s="4"/>
      <c r="X921" s="4"/>
      <c r="Y921" s="4"/>
      <c r="Z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7"/>
      <c r="V922" s="7"/>
      <c r="W922" s="4"/>
      <c r="X922" s="4"/>
      <c r="Y922" s="4"/>
      <c r="Z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7"/>
      <c r="V923" s="7"/>
      <c r="W923" s="4"/>
      <c r="X923" s="4"/>
      <c r="Y923" s="4"/>
      <c r="Z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7"/>
      <c r="V924" s="7"/>
      <c r="W924" s="4"/>
      <c r="X924" s="4"/>
      <c r="Y924" s="4"/>
      <c r="Z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7"/>
      <c r="V925" s="7"/>
      <c r="W925" s="4"/>
      <c r="X925" s="4"/>
      <c r="Y925" s="4"/>
      <c r="Z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7"/>
      <c r="V926" s="7"/>
      <c r="W926" s="4"/>
      <c r="X926" s="4"/>
      <c r="Y926" s="4"/>
      <c r="Z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7"/>
      <c r="V927" s="7"/>
      <c r="W927" s="4"/>
      <c r="X927" s="4"/>
      <c r="Y927" s="4"/>
      <c r="Z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7"/>
      <c r="V928" s="7"/>
      <c r="W928" s="4"/>
      <c r="X928" s="4"/>
      <c r="Y928" s="4"/>
      <c r="Z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7"/>
      <c r="V929" s="7"/>
      <c r="W929" s="4"/>
      <c r="X929" s="4"/>
      <c r="Y929" s="4"/>
      <c r="Z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7"/>
      <c r="V930" s="7"/>
      <c r="W930" s="4"/>
      <c r="X930" s="4"/>
      <c r="Y930" s="4"/>
      <c r="Z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7"/>
      <c r="V931" s="7"/>
      <c r="W931" s="4"/>
      <c r="X931" s="4"/>
      <c r="Y931" s="4"/>
      <c r="Z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7"/>
      <c r="V932" s="7"/>
      <c r="W932" s="4"/>
      <c r="X932" s="4"/>
      <c r="Y932" s="4"/>
      <c r="Z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7"/>
      <c r="V933" s="7"/>
      <c r="W933" s="4"/>
      <c r="X933" s="4"/>
      <c r="Y933" s="4"/>
      <c r="Z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7"/>
      <c r="V934" s="7"/>
      <c r="W934" s="4"/>
      <c r="X934" s="4"/>
      <c r="Y934" s="4"/>
      <c r="Z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7"/>
      <c r="V935" s="7"/>
      <c r="W935" s="4"/>
      <c r="X935" s="4"/>
      <c r="Y935" s="4"/>
      <c r="Z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7"/>
      <c r="V936" s="7"/>
      <c r="W936" s="4"/>
      <c r="X936" s="4"/>
      <c r="Y936" s="4"/>
      <c r="Z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7"/>
      <c r="V937" s="7"/>
      <c r="W937" s="4"/>
      <c r="X937" s="4"/>
      <c r="Y937" s="4"/>
      <c r="Z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7"/>
      <c r="V938" s="7"/>
      <c r="W938" s="4"/>
      <c r="X938" s="4"/>
      <c r="Y938" s="4"/>
      <c r="Z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7"/>
      <c r="V939" s="7"/>
      <c r="W939" s="4"/>
      <c r="X939" s="4"/>
      <c r="Y939" s="4"/>
      <c r="Z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7"/>
      <c r="V940" s="7"/>
      <c r="W940" s="4"/>
      <c r="X940" s="4"/>
      <c r="Y940" s="4"/>
      <c r="Z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7"/>
      <c r="V941" s="7"/>
      <c r="W941" s="4"/>
      <c r="X941" s="4"/>
      <c r="Y941" s="4"/>
      <c r="Z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7"/>
      <c r="V942" s="7"/>
      <c r="W942" s="4"/>
      <c r="X942" s="4"/>
      <c r="Y942" s="4"/>
      <c r="Z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7"/>
      <c r="V943" s="7"/>
      <c r="W943" s="4"/>
      <c r="X943" s="4"/>
      <c r="Y943" s="4"/>
      <c r="Z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7"/>
      <c r="V944" s="7"/>
      <c r="W944" s="4"/>
      <c r="X944" s="4"/>
      <c r="Y944" s="4"/>
      <c r="Z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7"/>
      <c r="V945" s="7"/>
      <c r="W945" s="4"/>
      <c r="X945" s="4"/>
      <c r="Y945" s="4"/>
      <c r="Z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7"/>
      <c r="V946" s="7"/>
      <c r="W946" s="4"/>
      <c r="X946" s="4"/>
      <c r="Y946" s="4"/>
      <c r="Z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7"/>
      <c r="V947" s="7"/>
      <c r="W947" s="4"/>
      <c r="X947" s="4"/>
      <c r="Y947" s="4"/>
      <c r="Z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7"/>
      <c r="V948" s="7"/>
      <c r="W948" s="4"/>
      <c r="X948" s="4"/>
      <c r="Y948" s="4"/>
      <c r="Z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7"/>
      <c r="V949" s="7"/>
      <c r="W949" s="4"/>
      <c r="X949" s="4"/>
      <c r="Y949" s="4"/>
      <c r="Z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7"/>
      <c r="V950" s="7"/>
      <c r="W950" s="4"/>
      <c r="X950" s="4"/>
      <c r="Y950" s="4"/>
      <c r="Z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7"/>
      <c r="V951" s="7"/>
      <c r="W951" s="4"/>
      <c r="X951" s="4"/>
      <c r="Y951" s="4"/>
      <c r="Z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7"/>
      <c r="V952" s="7"/>
      <c r="W952" s="4"/>
      <c r="X952" s="4"/>
      <c r="Y952" s="4"/>
      <c r="Z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7"/>
      <c r="V953" s="7"/>
      <c r="W953" s="4"/>
      <c r="X953" s="4"/>
      <c r="Y953" s="4"/>
      <c r="Z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7"/>
      <c r="V954" s="7"/>
      <c r="W954" s="4"/>
      <c r="X954" s="4"/>
      <c r="Y954" s="4"/>
      <c r="Z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7"/>
      <c r="V955" s="7"/>
      <c r="W955" s="4"/>
      <c r="X955" s="4"/>
      <c r="Y955" s="4"/>
      <c r="Z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7"/>
      <c r="V956" s="7"/>
      <c r="W956" s="4"/>
      <c r="X956" s="4"/>
      <c r="Y956" s="4"/>
      <c r="Z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7"/>
      <c r="V957" s="7"/>
      <c r="W957" s="4"/>
      <c r="X957" s="4"/>
      <c r="Y957" s="4"/>
      <c r="Z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7"/>
      <c r="V958" s="7"/>
      <c r="W958" s="4"/>
      <c r="X958" s="4"/>
      <c r="Y958" s="4"/>
      <c r="Z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7"/>
      <c r="V959" s="7"/>
      <c r="W959" s="4"/>
      <c r="X959" s="4"/>
      <c r="Y959" s="4"/>
      <c r="Z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7"/>
      <c r="V960" s="7"/>
      <c r="W960" s="4"/>
      <c r="X960" s="4"/>
      <c r="Y960" s="4"/>
      <c r="Z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7"/>
      <c r="V961" s="7"/>
      <c r="W961" s="4"/>
      <c r="X961" s="4"/>
      <c r="Y961" s="4"/>
      <c r="Z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7"/>
      <c r="V962" s="7"/>
      <c r="W962" s="4"/>
      <c r="X962" s="4"/>
      <c r="Y962" s="4"/>
      <c r="Z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7"/>
      <c r="V963" s="7"/>
      <c r="W963" s="4"/>
      <c r="X963" s="4"/>
      <c r="Y963" s="4"/>
      <c r="Z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7"/>
      <c r="V964" s="7"/>
      <c r="W964" s="4"/>
      <c r="X964" s="4"/>
      <c r="Y964" s="4"/>
      <c r="Z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7"/>
      <c r="V965" s="7"/>
      <c r="W965" s="4"/>
      <c r="X965" s="4"/>
      <c r="Y965" s="4"/>
      <c r="Z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7"/>
      <c r="V966" s="7"/>
      <c r="W966" s="4"/>
      <c r="X966" s="4"/>
      <c r="Y966" s="4"/>
      <c r="Z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7"/>
      <c r="V967" s="7"/>
      <c r="W967" s="4"/>
      <c r="X967" s="4"/>
      <c r="Y967" s="4"/>
      <c r="Z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7"/>
      <c r="V968" s="7"/>
      <c r="W968" s="4"/>
      <c r="X968" s="4"/>
      <c r="Y968" s="4"/>
      <c r="Z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7"/>
      <c r="V969" s="7"/>
      <c r="W969" s="4"/>
      <c r="X969" s="4"/>
      <c r="Y969" s="4"/>
      <c r="Z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7"/>
      <c r="V970" s="7"/>
      <c r="W970" s="4"/>
      <c r="X970" s="4"/>
      <c r="Y970" s="4"/>
      <c r="Z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7"/>
      <c r="V971" s="7"/>
      <c r="W971" s="4"/>
      <c r="X971" s="4"/>
      <c r="Y971" s="4"/>
      <c r="Z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7"/>
      <c r="V972" s="7"/>
      <c r="W972" s="4"/>
      <c r="X972" s="4"/>
      <c r="Y972" s="4"/>
      <c r="Z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7"/>
      <c r="V973" s="7"/>
      <c r="W973" s="4"/>
      <c r="X973" s="4"/>
      <c r="Y973" s="4"/>
      <c r="Z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7"/>
      <c r="V974" s="7"/>
      <c r="W974" s="4"/>
      <c r="X974" s="4"/>
      <c r="Y974" s="4"/>
      <c r="Z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7"/>
      <c r="V975" s="7"/>
      <c r="W975" s="4"/>
      <c r="X975" s="4"/>
      <c r="Y975" s="4"/>
      <c r="Z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7"/>
      <c r="V976" s="7"/>
      <c r="W976" s="4"/>
      <c r="X976" s="4"/>
      <c r="Y976" s="4"/>
      <c r="Z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7"/>
      <c r="V977" s="7"/>
      <c r="W977" s="4"/>
      <c r="X977" s="4"/>
      <c r="Y977" s="4"/>
      <c r="Z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7"/>
      <c r="V978" s="7"/>
      <c r="W978" s="4"/>
      <c r="X978" s="4"/>
      <c r="Y978" s="4"/>
      <c r="Z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7"/>
      <c r="V979" s="7"/>
      <c r="W979" s="4"/>
      <c r="X979" s="4"/>
      <c r="Y979" s="4"/>
      <c r="Z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7"/>
      <c r="V980" s="7"/>
      <c r="W980" s="4"/>
      <c r="X980" s="4"/>
      <c r="Y980" s="4"/>
      <c r="Z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7"/>
      <c r="V981" s="7"/>
      <c r="W981" s="4"/>
      <c r="X981" s="4"/>
      <c r="Y981" s="4"/>
      <c r="Z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7"/>
      <c r="V982" s="7"/>
      <c r="W982" s="4"/>
      <c r="X982" s="4"/>
      <c r="Y982" s="4"/>
      <c r="Z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7"/>
      <c r="V983" s="7"/>
      <c r="W983" s="4"/>
      <c r="X983" s="4"/>
      <c r="Y983" s="4"/>
      <c r="Z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7"/>
      <c r="V984" s="7"/>
      <c r="W984" s="4"/>
      <c r="X984" s="4"/>
      <c r="Y984" s="4"/>
      <c r="Z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7"/>
      <c r="V985" s="7"/>
      <c r="W985" s="4"/>
      <c r="X985" s="4"/>
      <c r="Y985" s="4"/>
      <c r="Z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7"/>
      <c r="V986" s="7"/>
      <c r="W986" s="4"/>
      <c r="X986" s="4"/>
      <c r="Y986" s="4"/>
      <c r="Z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7"/>
      <c r="V987" s="7"/>
      <c r="W987" s="4"/>
      <c r="X987" s="4"/>
      <c r="Y987" s="4"/>
      <c r="Z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7"/>
      <c r="V988" s="7"/>
      <c r="W988" s="4"/>
      <c r="X988" s="4"/>
      <c r="Y988" s="4"/>
      <c r="Z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7"/>
      <c r="V989" s="7"/>
      <c r="W989" s="4"/>
      <c r="X989" s="4"/>
      <c r="Y989" s="4"/>
      <c r="Z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7"/>
      <c r="V990" s="7"/>
      <c r="W990" s="4"/>
      <c r="X990" s="4"/>
      <c r="Y990" s="4"/>
      <c r="Z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7"/>
      <c r="V991" s="7"/>
      <c r="W991" s="4"/>
      <c r="X991" s="4"/>
      <c r="Y991" s="4"/>
      <c r="Z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7"/>
      <c r="V992" s="7"/>
      <c r="W992" s="4"/>
      <c r="X992" s="4"/>
      <c r="Y992" s="4"/>
      <c r="Z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7"/>
      <c r="V993" s="7"/>
      <c r="W993" s="4"/>
      <c r="X993" s="4"/>
      <c r="Y993" s="4"/>
      <c r="Z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7"/>
      <c r="V994" s="7"/>
      <c r="W994" s="4"/>
      <c r="X994" s="4"/>
      <c r="Y994" s="4"/>
      <c r="Z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7"/>
      <c r="V995" s="7"/>
      <c r="W995" s="4"/>
      <c r="X995" s="4"/>
      <c r="Y995" s="4"/>
      <c r="Z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7"/>
      <c r="V996" s="7"/>
      <c r="W996" s="4"/>
      <c r="X996" s="4"/>
      <c r="Y996" s="4"/>
      <c r="Z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7"/>
      <c r="V997" s="7"/>
      <c r="W997" s="4"/>
      <c r="X997" s="4"/>
      <c r="Y997" s="4"/>
      <c r="Z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7"/>
      <c r="V998" s="7"/>
      <c r="W998" s="4"/>
      <c r="X998" s="4"/>
      <c r="Y998" s="4"/>
      <c r="Z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7"/>
      <c r="V999" s="7"/>
      <c r="W999" s="4"/>
      <c r="X999" s="4"/>
      <c r="Y999" s="4"/>
      <c r="Z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7"/>
      <c r="V1000" s="7"/>
      <c r="W1000" s="4"/>
      <c r="X1000" s="4"/>
      <c r="Y1000" s="4"/>
      <c r="Z1000" s="4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6.25"/>
    <col customWidth="1" min="3" max="3" width="17.25"/>
    <col customWidth="1" min="4" max="4" width="18.5"/>
    <col customWidth="1" min="5" max="5" width="18.0"/>
    <col customWidth="1" min="6" max="6" width="18.88"/>
    <col customWidth="1" min="7" max="26" width="8.88"/>
  </cols>
  <sheetData>
    <row r="1" ht="14.25" customHeight="1">
      <c r="A1" s="1" t="s">
        <v>0</v>
      </c>
      <c r="B1" s="1" t="s">
        <v>1</v>
      </c>
      <c r="C1" s="1" t="s">
        <v>486</v>
      </c>
      <c r="D1" s="1" t="s">
        <v>487</v>
      </c>
      <c r="E1" s="3" t="s">
        <v>488</v>
      </c>
      <c r="F1" s="3" t="s">
        <v>489</v>
      </c>
      <c r="G1" s="3" t="s">
        <v>20</v>
      </c>
      <c r="H1" s="3" t="s">
        <v>21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4.25" customHeight="1">
      <c r="A2" s="5">
        <v>10101.0</v>
      </c>
      <c r="B2" s="5" t="s">
        <v>22</v>
      </c>
      <c r="C2" s="9">
        <v>4.9483860335567427E8</v>
      </c>
      <c r="D2" s="9">
        <v>1.2581932301666667E8</v>
      </c>
      <c r="E2" s="9">
        <v>4.9932208292333335E8</v>
      </c>
      <c r="F2" s="9">
        <v>1.935209806766667E8</v>
      </c>
      <c r="G2" s="6">
        <f t="shared" ref="G2:G156" si="1">(D2*100)/C2</f>
        <v>25.42633541</v>
      </c>
      <c r="H2" s="6">
        <f t="shared" ref="H2:H344" si="2">(F2*100)/E2</f>
        <v>38.75674385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4.25" customHeight="1">
      <c r="A3" s="5">
        <v>10102.0</v>
      </c>
      <c r="B3" s="5" t="s">
        <v>25</v>
      </c>
      <c r="C3" s="9">
        <v>1.714464455670629E7</v>
      </c>
      <c r="D3" s="9">
        <v>549103.7266666667</v>
      </c>
      <c r="E3" s="9">
        <v>1.2570188633333331E7</v>
      </c>
      <c r="F3" s="9">
        <v>1497165.0033333332</v>
      </c>
      <c r="G3" s="6">
        <f t="shared" si="1"/>
        <v>3.202771133</v>
      </c>
      <c r="H3" s="6">
        <f t="shared" si="2"/>
        <v>11.91044182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4.25" customHeight="1">
      <c r="A4" s="5">
        <v>10103.0</v>
      </c>
      <c r="B4" s="5" t="s">
        <v>26</v>
      </c>
      <c r="C4" s="9">
        <v>2.943608550151403E7</v>
      </c>
      <c r="D4" s="9">
        <v>114746.79333333333</v>
      </c>
      <c r="E4" s="9">
        <v>2.0010289256666664E7</v>
      </c>
      <c r="F4" s="9">
        <v>246903.05666666667</v>
      </c>
      <c r="G4" s="6">
        <f t="shared" si="1"/>
        <v>0.3898167551</v>
      </c>
      <c r="H4" s="6">
        <f t="shared" si="2"/>
        <v>1.233880498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5">
        <v>10201.0</v>
      </c>
      <c r="B5" s="5" t="s">
        <v>27</v>
      </c>
      <c r="C5" s="9">
        <v>2.101443690513248E7</v>
      </c>
      <c r="D5" s="9">
        <v>526457.03</v>
      </c>
      <c r="E5" s="9">
        <v>1.289419967333333E7</v>
      </c>
      <c r="F5" s="9">
        <v>427173.1766666667</v>
      </c>
      <c r="G5" s="6">
        <f t="shared" si="1"/>
        <v>2.505215973</v>
      </c>
      <c r="H5" s="6">
        <f t="shared" si="2"/>
        <v>3.312909583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5">
        <v>10202.0</v>
      </c>
      <c r="B6" s="5" t="s">
        <v>29</v>
      </c>
      <c r="C6" s="9">
        <v>2.949182104991408E7</v>
      </c>
      <c r="D6" s="9">
        <v>128379.29</v>
      </c>
      <c r="E6" s="9">
        <v>1.6597420793333327E7</v>
      </c>
      <c r="F6" s="9">
        <v>200032.76333333334</v>
      </c>
      <c r="G6" s="6">
        <f t="shared" si="1"/>
        <v>0.4353047232</v>
      </c>
      <c r="H6" s="6">
        <f t="shared" si="2"/>
        <v>1.205203904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5">
        <v>10301.0</v>
      </c>
      <c r="B7" s="5" t="s">
        <v>30</v>
      </c>
      <c r="C7" s="9">
        <v>1.3357269440617466E7</v>
      </c>
      <c r="D7" s="9">
        <v>237881.5166666667</v>
      </c>
      <c r="E7" s="9">
        <v>1.4576151506666666E7</v>
      </c>
      <c r="F7" s="9">
        <v>1278108.0199999998</v>
      </c>
      <c r="G7" s="6">
        <f t="shared" si="1"/>
        <v>1.780914263</v>
      </c>
      <c r="H7" s="6">
        <f t="shared" si="2"/>
        <v>8.76848748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5">
        <v>10302.0</v>
      </c>
      <c r="B8" s="5" t="s">
        <v>32</v>
      </c>
      <c r="C8" s="9">
        <v>1.6422616152705824E7</v>
      </c>
      <c r="D8" s="9">
        <v>268126.37333333335</v>
      </c>
      <c r="E8" s="9">
        <v>1.4717037616666665E7</v>
      </c>
      <c r="F8" s="9">
        <v>221626.87666666668</v>
      </c>
      <c r="G8" s="6">
        <f t="shared" si="1"/>
        <v>1.63266541</v>
      </c>
      <c r="H8" s="6">
        <f t="shared" si="2"/>
        <v>1.505920433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5">
        <v>10303.0</v>
      </c>
      <c r="B9" s="5" t="s">
        <v>33</v>
      </c>
      <c r="C9" s="9">
        <v>1.4760366723466372E7</v>
      </c>
      <c r="D9" s="9">
        <v>602595.0433333333</v>
      </c>
      <c r="E9" s="9">
        <v>1.0210613116666665E7</v>
      </c>
      <c r="F9" s="9">
        <v>768021.91</v>
      </c>
      <c r="G9" s="6">
        <f t="shared" si="1"/>
        <v>4.082520811</v>
      </c>
      <c r="H9" s="6">
        <f t="shared" si="2"/>
        <v>7.521800123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5">
        <v>10304.0</v>
      </c>
      <c r="B10" s="5" t="s">
        <v>34</v>
      </c>
      <c r="C10" s="9">
        <v>1.4883282610223139E7</v>
      </c>
      <c r="D10" s="9">
        <v>131275.80333333334</v>
      </c>
      <c r="E10" s="9">
        <v>9553116.239999996</v>
      </c>
      <c r="F10" s="9">
        <v>160854.92666666667</v>
      </c>
      <c r="G10" s="6">
        <f t="shared" si="1"/>
        <v>0.8820352793</v>
      </c>
      <c r="H10" s="6">
        <f t="shared" si="2"/>
        <v>1.683795346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5">
        <v>10401.0</v>
      </c>
      <c r="B11" s="5" t="s">
        <v>35</v>
      </c>
      <c r="C11" s="9">
        <v>2.31611846669379E7</v>
      </c>
      <c r="D11" s="9">
        <v>1129960.7466666668</v>
      </c>
      <c r="E11" s="9">
        <v>1.4102893029999996E7</v>
      </c>
      <c r="F11" s="9">
        <v>1950717.3133333332</v>
      </c>
      <c r="G11" s="6">
        <f t="shared" si="1"/>
        <v>4.878682861</v>
      </c>
      <c r="H11" s="6">
        <f t="shared" si="2"/>
        <v>13.83203651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5">
        <v>10402.0</v>
      </c>
      <c r="B12" s="5" t="s">
        <v>37</v>
      </c>
      <c r="C12" s="9">
        <v>1.6224546301342098E7</v>
      </c>
      <c r="D12" s="9">
        <v>105710.88</v>
      </c>
      <c r="E12" s="9">
        <v>1.0405945526666665E7</v>
      </c>
      <c r="F12" s="9">
        <v>464744.02999999997</v>
      </c>
      <c r="G12" s="6">
        <f t="shared" si="1"/>
        <v>0.6515490667</v>
      </c>
      <c r="H12" s="6">
        <f t="shared" si="2"/>
        <v>4.46613937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5">
        <v>10403.0</v>
      </c>
      <c r="B13" s="5" t="s">
        <v>38</v>
      </c>
      <c r="C13" s="9">
        <v>1.323073542873461E7</v>
      </c>
      <c r="D13" s="9">
        <v>260705.31999999998</v>
      </c>
      <c r="E13" s="9">
        <v>9207601.083333332</v>
      </c>
      <c r="F13" s="9">
        <v>649868.0533333333</v>
      </c>
      <c r="G13" s="6">
        <f t="shared" si="1"/>
        <v>1.97045222</v>
      </c>
      <c r="H13" s="6">
        <f t="shared" si="2"/>
        <v>7.057951875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4.25" customHeight="1">
      <c r="A14" s="5">
        <v>10404.0</v>
      </c>
      <c r="B14" s="5" t="s">
        <v>39</v>
      </c>
      <c r="C14" s="9">
        <v>7151792.399805002</v>
      </c>
      <c r="D14" s="9">
        <v>37534.159999999996</v>
      </c>
      <c r="E14" s="9">
        <v>6032284.419999999</v>
      </c>
      <c r="F14" s="9">
        <v>295329.3466666667</v>
      </c>
      <c r="G14" s="6">
        <f t="shared" si="1"/>
        <v>0.5248217216</v>
      </c>
      <c r="H14" s="6">
        <f t="shared" si="2"/>
        <v>4.895812699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4.25" customHeight="1">
      <c r="A15" s="5">
        <v>10405.0</v>
      </c>
      <c r="B15" s="5" t="s">
        <v>40</v>
      </c>
      <c r="C15" s="9">
        <v>8263091.703582334</v>
      </c>
      <c r="D15" s="9">
        <v>81512.19666666667</v>
      </c>
      <c r="E15" s="9">
        <v>5650961.456666666</v>
      </c>
      <c r="F15" s="9">
        <v>425492.0</v>
      </c>
      <c r="G15" s="6">
        <f t="shared" si="1"/>
        <v>0.9864612374</v>
      </c>
      <c r="H15" s="6">
        <f t="shared" si="2"/>
        <v>7.52955056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4.25" customHeight="1">
      <c r="A16" s="5">
        <v>10501.0</v>
      </c>
      <c r="B16" s="5" t="s">
        <v>41</v>
      </c>
      <c r="C16" s="9">
        <v>4.943795777174708E7</v>
      </c>
      <c r="D16" s="9">
        <v>2835694.733333334</v>
      </c>
      <c r="E16" s="9">
        <v>3.479966708333333E7</v>
      </c>
      <c r="F16" s="9">
        <v>6354867.253333333</v>
      </c>
      <c r="G16" s="6">
        <f t="shared" si="1"/>
        <v>5.735865439</v>
      </c>
      <c r="H16" s="6">
        <f t="shared" si="2"/>
        <v>18.26128749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4.25" customHeight="1">
      <c r="A17" s="5">
        <v>10502.0</v>
      </c>
      <c r="B17" s="5" t="s">
        <v>43</v>
      </c>
      <c r="C17" s="9">
        <v>1.843937333754557E7</v>
      </c>
      <c r="D17" s="9">
        <v>633016.7733333333</v>
      </c>
      <c r="E17" s="9">
        <v>1.0047600159999998E7</v>
      </c>
      <c r="F17" s="9">
        <v>276113.3433333333</v>
      </c>
      <c r="G17" s="6">
        <f t="shared" si="1"/>
        <v>3.432962508</v>
      </c>
      <c r="H17" s="6">
        <f t="shared" si="2"/>
        <v>2.748052659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4.25" customHeight="1">
      <c r="A18" s="5">
        <v>10601.0</v>
      </c>
      <c r="B18" s="5" t="s">
        <v>44</v>
      </c>
      <c r="C18" s="9">
        <v>3.571243811510405E7</v>
      </c>
      <c r="D18" s="9">
        <v>821301.4233333332</v>
      </c>
      <c r="E18" s="9">
        <v>2.0656434399999995E7</v>
      </c>
      <c r="F18" s="9">
        <v>824955.11</v>
      </c>
      <c r="G18" s="6">
        <f t="shared" si="1"/>
        <v>2.299762958</v>
      </c>
      <c r="H18" s="6">
        <f t="shared" si="2"/>
        <v>3.993695592</v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4.25" customHeight="1">
      <c r="A19" s="5">
        <v>10602.0</v>
      </c>
      <c r="B19" s="5" t="s">
        <v>46</v>
      </c>
      <c r="C19" s="9">
        <v>1.7823720498125494E7</v>
      </c>
      <c r="D19" s="9">
        <v>151913.37666666668</v>
      </c>
      <c r="E19" s="9">
        <v>1.2318374289999997E7</v>
      </c>
      <c r="F19" s="9">
        <v>484559.5833333333</v>
      </c>
      <c r="G19" s="6">
        <f t="shared" si="1"/>
        <v>0.8523101374</v>
      </c>
      <c r="H19" s="6">
        <f t="shared" si="2"/>
        <v>3.933632571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4.25" customHeight="1">
      <c r="A20" s="5">
        <v>10701.0</v>
      </c>
      <c r="B20" s="5" t="s">
        <v>47</v>
      </c>
      <c r="C20" s="9">
        <v>2.6463172523186985E7</v>
      </c>
      <c r="D20" s="9">
        <v>1382616.6933333334</v>
      </c>
      <c r="E20" s="9">
        <v>2.0640161279999997E7</v>
      </c>
      <c r="F20" s="9">
        <v>2330263.2333333334</v>
      </c>
      <c r="G20" s="6">
        <f t="shared" si="1"/>
        <v>5.224682309</v>
      </c>
      <c r="H20" s="6">
        <f t="shared" si="2"/>
        <v>11.28994683</v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4.25" customHeight="1">
      <c r="A21" s="5">
        <v>10702.0</v>
      </c>
      <c r="B21" s="5" t="s">
        <v>49</v>
      </c>
      <c r="C21" s="9">
        <v>6.165251009088304E7</v>
      </c>
      <c r="D21" s="9">
        <v>3703705.2433333336</v>
      </c>
      <c r="E21" s="9">
        <v>4.1552181069999985E7</v>
      </c>
      <c r="F21" s="9">
        <v>3489817.1733333343</v>
      </c>
      <c r="G21" s="6">
        <f t="shared" si="1"/>
        <v>6.007387595</v>
      </c>
      <c r="H21" s="6">
        <f t="shared" si="2"/>
        <v>8.398637769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4.25" customHeight="1">
      <c r="A22" s="5">
        <v>10703.0</v>
      </c>
      <c r="B22" s="5" t="s">
        <v>50</v>
      </c>
      <c r="C22" s="9">
        <v>1.994276494482458E7</v>
      </c>
      <c r="D22" s="9">
        <v>446082.5433333334</v>
      </c>
      <c r="E22" s="9">
        <v>1.5545216416666662E7</v>
      </c>
      <c r="F22" s="9">
        <v>264435.2866666667</v>
      </c>
      <c r="G22" s="6">
        <f t="shared" si="1"/>
        <v>2.236813925</v>
      </c>
      <c r="H22" s="6">
        <f t="shared" si="2"/>
        <v>1.701071761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4.25" customHeight="1">
      <c r="A23" s="5">
        <v>10704.0</v>
      </c>
      <c r="B23" s="5" t="s">
        <v>51</v>
      </c>
      <c r="C23" s="9">
        <v>2.2306412070157066E7</v>
      </c>
      <c r="D23" s="9">
        <v>81998.19</v>
      </c>
      <c r="E23" s="9">
        <v>2.0112172896666665E7</v>
      </c>
      <c r="F23" s="9">
        <v>1210028.0166666668</v>
      </c>
      <c r="G23" s="6">
        <f t="shared" si="1"/>
        <v>0.3675991896</v>
      </c>
      <c r="H23" s="6">
        <f t="shared" si="2"/>
        <v>6.016396254</v>
      </c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4.25" customHeight="1">
      <c r="A24" s="5">
        <v>10801.0</v>
      </c>
      <c r="B24" s="5" t="s">
        <v>52</v>
      </c>
      <c r="C24" s="9">
        <v>2.2423213074601743E7</v>
      </c>
      <c r="D24" s="9">
        <v>484569.49666666664</v>
      </c>
      <c r="E24" s="9">
        <v>1.393002868E7</v>
      </c>
      <c r="F24" s="9">
        <v>867244.9133333332</v>
      </c>
      <c r="G24" s="6">
        <f t="shared" si="1"/>
        <v>2.161017224</v>
      </c>
      <c r="H24" s="6">
        <f t="shared" si="2"/>
        <v>6.225722382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4.25" customHeight="1">
      <c r="A25" s="5">
        <v>10901.0</v>
      </c>
      <c r="B25" s="5" t="s">
        <v>54</v>
      </c>
      <c r="C25" s="9">
        <v>5835341.374460558</v>
      </c>
      <c r="D25" s="9">
        <v>182223.87</v>
      </c>
      <c r="E25" s="9">
        <v>4398948.073333332</v>
      </c>
      <c r="F25" s="9">
        <v>286573.2766666667</v>
      </c>
      <c r="G25" s="6">
        <f t="shared" si="1"/>
        <v>3.122762805</v>
      </c>
      <c r="H25" s="6">
        <f t="shared" si="2"/>
        <v>6.514586485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4.25" customHeight="1">
      <c r="A26" s="5">
        <v>10902.0</v>
      </c>
      <c r="B26" s="5" t="s">
        <v>56</v>
      </c>
      <c r="C26" s="9">
        <v>3.222261294666964E7</v>
      </c>
      <c r="D26" s="9">
        <v>730577.0299999999</v>
      </c>
      <c r="E26" s="9">
        <v>2.1808089443333328E7</v>
      </c>
      <c r="F26" s="9">
        <v>1055467.7300000002</v>
      </c>
      <c r="G26" s="6">
        <f t="shared" si="1"/>
        <v>2.267280531</v>
      </c>
      <c r="H26" s="6">
        <f t="shared" si="2"/>
        <v>4.839799161</v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4.25" customHeight="1">
      <c r="A27" s="5">
        <v>10903.0</v>
      </c>
      <c r="B27" s="5" t="s">
        <v>57</v>
      </c>
      <c r="C27" s="9">
        <v>6453557.999541949</v>
      </c>
      <c r="D27" s="9">
        <v>193327.76666666663</v>
      </c>
      <c r="E27" s="9">
        <v>5128015.033333332</v>
      </c>
      <c r="F27" s="9">
        <v>343804.2133333333</v>
      </c>
      <c r="G27" s="6">
        <f t="shared" si="1"/>
        <v>2.995677217</v>
      </c>
      <c r="H27" s="6">
        <f t="shared" si="2"/>
        <v>6.704430683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4.25" customHeight="1">
      <c r="A28" s="5">
        <v>11001.0</v>
      </c>
      <c r="B28" s="5" t="s">
        <v>58</v>
      </c>
      <c r="C28" s="9">
        <v>2.102396114254937E7</v>
      </c>
      <c r="D28" s="9">
        <v>1998356.8466666667</v>
      </c>
      <c r="E28" s="9">
        <v>1.2549157736666664E7</v>
      </c>
      <c r="F28" s="9">
        <v>1172988.4066666665</v>
      </c>
      <c r="G28" s="6">
        <f t="shared" si="1"/>
        <v>9.505139555</v>
      </c>
      <c r="H28" s="6">
        <f t="shared" si="2"/>
        <v>9.34714848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4.25" customHeight="1">
      <c r="A29" s="5">
        <v>11002.0</v>
      </c>
      <c r="B29" s="5" t="s">
        <v>60</v>
      </c>
      <c r="C29" s="9">
        <v>6911775.149068042</v>
      </c>
      <c r="D29" s="9">
        <v>2713825.7666666666</v>
      </c>
      <c r="E29" s="9">
        <v>3048049.0899999994</v>
      </c>
      <c r="F29" s="9">
        <v>74501.06999999999</v>
      </c>
      <c r="G29" s="6">
        <f t="shared" si="1"/>
        <v>39.26380283</v>
      </c>
      <c r="H29" s="6">
        <f t="shared" si="2"/>
        <v>2.444221461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4.25" customHeight="1">
      <c r="A30" s="5">
        <v>11003.0</v>
      </c>
      <c r="B30" s="5" t="s">
        <v>61</v>
      </c>
      <c r="C30" s="9">
        <v>1.3386007632072957E7</v>
      </c>
      <c r="D30" s="9">
        <v>388889.64666666667</v>
      </c>
      <c r="E30" s="9">
        <v>9446337.259999998</v>
      </c>
      <c r="F30" s="9">
        <v>764537.1833333332</v>
      </c>
      <c r="G30" s="6">
        <f t="shared" si="1"/>
        <v>2.905195166</v>
      </c>
      <c r="H30" s="6">
        <f t="shared" si="2"/>
        <v>8.093477528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4.25" customHeight="1">
      <c r="A31" s="5">
        <v>20101.0</v>
      </c>
      <c r="B31" s="5" t="s">
        <v>62</v>
      </c>
      <c r="C31" s="9">
        <v>1.4589759174857616E9</v>
      </c>
      <c r="D31" s="9">
        <v>5.602587905766667E8</v>
      </c>
      <c r="E31" s="9">
        <v>1.50776004725E9</v>
      </c>
      <c r="F31" s="9">
        <v>7.902704993966665E8</v>
      </c>
      <c r="G31" s="6">
        <f t="shared" si="1"/>
        <v>38.40082512</v>
      </c>
      <c r="H31" s="6">
        <f t="shared" si="2"/>
        <v>52.41354557</v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4.25" customHeight="1">
      <c r="A32" s="5">
        <v>20102.0</v>
      </c>
      <c r="B32" s="5" t="s">
        <v>65</v>
      </c>
      <c r="C32" s="9">
        <v>1.903115689322222E7</v>
      </c>
      <c r="D32" s="9">
        <v>1769055.6966666665</v>
      </c>
      <c r="E32" s="9">
        <v>2.9933380419999998E7</v>
      </c>
      <c r="F32" s="9">
        <v>1.4373953663333334E7</v>
      </c>
      <c r="G32" s="6">
        <f t="shared" si="1"/>
        <v>9.295576231</v>
      </c>
      <c r="H32" s="6">
        <f t="shared" si="2"/>
        <v>48.01981421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4.25" customHeight="1">
      <c r="A33" s="5">
        <v>20103.0</v>
      </c>
      <c r="B33" s="5" t="s">
        <v>66</v>
      </c>
      <c r="C33" s="9">
        <v>1.5131476844098175E7</v>
      </c>
      <c r="D33" s="9">
        <v>1090536.4833333334</v>
      </c>
      <c r="E33" s="9">
        <v>2.428279098333333E7</v>
      </c>
      <c r="F33" s="9">
        <v>9461389.933333334</v>
      </c>
      <c r="G33" s="6">
        <f t="shared" si="1"/>
        <v>7.207072347</v>
      </c>
      <c r="H33" s="6">
        <f t="shared" si="2"/>
        <v>38.9633545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4.25" customHeight="1">
      <c r="A34" s="5">
        <v>20104.0</v>
      </c>
      <c r="B34" s="5" t="s">
        <v>67</v>
      </c>
      <c r="C34" s="9">
        <v>2.2089742799922246E7</v>
      </c>
      <c r="D34" s="9">
        <v>3864751.766666667</v>
      </c>
      <c r="E34" s="9">
        <v>6.0707511313333325E7</v>
      </c>
      <c r="F34" s="9">
        <v>3.974319179E7</v>
      </c>
      <c r="G34" s="6">
        <f t="shared" si="1"/>
        <v>17.49568477</v>
      </c>
      <c r="H34" s="6">
        <f t="shared" si="2"/>
        <v>65.46667938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4.25" customHeight="1">
      <c r="A35" s="5">
        <v>20105.0</v>
      </c>
      <c r="B35" s="5" t="s">
        <v>68</v>
      </c>
      <c r="C35" s="9">
        <v>9.181245834265896E8</v>
      </c>
      <c r="D35" s="9">
        <v>1.5887274207000005E8</v>
      </c>
      <c r="E35" s="9">
        <v>1.1920555481733334E9</v>
      </c>
      <c r="F35" s="9">
        <v>3.978053258899999E8</v>
      </c>
      <c r="G35" s="6">
        <f t="shared" si="1"/>
        <v>17.30405055</v>
      </c>
      <c r="H35" s="6">
        <f t="shared" si="2"/>
        <v>33.37137489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4.25" customHeight="1">
      <c r="A36" s="5">
        <v>20201.0</v>
      </c>
      <c r="B36" s="5" t="s">
        <v>69</v>
      </c>
      <c r="C36" s="9">
        <v>6.244948642504283E7</v>
      </c>
      <c r="D36" s="9">
        <v>723504.1933333334</v>
      </c>
      <c r="E36" s="9">
        <v>4.477098765666666E7</v>
      </c>
      <c r="F36" s="9">
        <v>1656086.75</v>
      </c>
      <c r="G36" s="6">
        <f t="shared" si="1"/>
        <v>1.158543064</v>
      </c>
      <c r="H36" s="6">
        <f t="shared" si="2"/>
        <v>3.699017682</v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4.25" customHeight="1">
      <c r="A37" s="5">
        <v>20202.0</v>
      </c>
      <c r="B37" s="5" t="s">
        <v>71</v>
      </c>
      <c r="C37" s="9">
        <v>1.8483165302182037E7</v>
      </c>
      <c r="D37" s="9">
        <v>64500.353333333325</v>
      </c>
      <c r="E37" s="9">
        <v>1.253693981333333E7</v>
      </c>
      <c r="F37" s="9">
        <v>240808.72999999998</v>
      </c>
      <c r="G37" s="6">
        <f t="shared" si="1"/>
        <v>0.3489681138</v>
      </c>
      <c r="H37" s="6">
        <f t="shared" si="2"/>
        <v>1.92079354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4.25" customHeight="1">
      <c r="A38" s="5">
        <v>20203.0</v>
      </c>
      <c r="B38" s="5" t="s">
        <v>72</v>
      </c>
      <c r="C38" s="9">
        <v>1974013.26</v>
      </c>
      <c r="D38" s="9">
        <v>0.0</v>
      </c>
      <c r="E38" s="9">
        <v>4888012.549999998</v>
      </c>
      <c r="F38" s="9">
        <v>205302.89666666664</v>
      </c>
      <c r="G38" s="6">
        <f t="shared" si="1"/>
        <v>0</v>
      </c>
      <c r="H38" s="6">
        <f t="shared" si="2"/>
        <v>4.20013031</v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4.25" customHeight="1">
      <c r="A39" s="5">
        <v>20204.0</v>
      </c>
      <c r="B39" s="5" t="s">
        <v>73</v>
      </c>
      <c r="C39" s="9">
        <v>1.0744372477719726E7</v>
      </c>
      <c r="D39" s="9">
        <v>869930.46</v>
      </c>
      <c r="E39" s="9">
        <v>9590389.716666665</v>
      </c>
      <c r="F39" s="9">
        <v>1579718.1600000001</v>
      </c>
      <c r="G39" s="6">
        <f t="shared" si="1"/>
        <v>8.096614873</v>
      </c>
      <c r="H39" s="6">
        <f t="shared" si="2"/>
        <v>16.47188703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4.25" customHeight="1">
      <c r="A40" s="5">
        <v>20205.0</v>
      </c>
      <c r="B40" s="5" t="s">
        <v>74</v>
      </c>
      <c r="C40" s="9">
        <v>1036397.0766666667</v>
      </c>
      <c r="D40" s="9">
        <v>21253.253333333334</v>
      </c>
      <c r="E40" s="9">
        <v>4540929.933333333</v>
      </c>
      <c r="F40" s="9">
        <v>865479.8233333332</v>
      </c>
      <c r="G40" s="6">
        <f t="shared" si="1"/>
        <v>2.050686345</v>
      </c>
      <c r="H40" s="6">
        <f t="shared" si="2"/>
        <v>19.05952825</v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4.25" customHeight="1">
      <c r="A41" s="5">
        <v>20206.0</v>
      </c>
      <c r="B41" s="5" t="s">
        <v>75</v>
      </c>
      <c r="C41" s="9">
        <v>1.4540056380721623E7</v>
      </c>
      <c r="D41" s="9">
        <v>425486.0</v>
      </c>
      <c r="E41" s="9">
        <v>1.0817183149999997E7</v>
      </c>
      <c r="F41" s="9">
        <v>851162.0299999999</v>
      </c>
      <c r="G41" s="6">
        <f t="shared" si="1"/>
        <v>2.92630227</v>
      </c>
      <c r="H41" s="6">
        <f t="shared" si="2"/>
        <v>7.868610693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4.25" customHeight="1">
      <c r="A42" s="5">
        <v>20301.0</v>
      </c>
      <c r="B42" s="5" t="s">
        <v>76</v>
      </c>
      <c r="C42" s="9">
        <v>1.446127225604648E7</v>
      </c>
      <c r="D42" s="9">
        <v>153656.42333333334</v>
      </c>
      <c r="E42" s="9">
        <v>1.4154565353333332E7</v>
      </c>
      <c r="F42" s="9">
        <v>407264.29666666663</v>
      </c>
      <c r="G42" s="6">
        <f t="shared" si="1"/>
        <v>1.06253738</v>
      </c>
      <c r="H42" s="6">
        <f t="shared" si="2"/>
        <v>2.877264589</v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4.25" customHeight="1">
      <c r="A43" s="5">
        <v>20302.0</v>
      </c>
      <c r="B43" s="5" t="s">
        <v>78</v>
      </c>
      <c r="C43" s="9">
        <v>1.0643460557632463E7</v>
      </c>
      <c r="D43" s="9">
        <v>942.9366666666666</v>
      </c>
      <c r="E43" s="9">
        <v>9457947.116666665</v>
      </c>
      <c r="F43" s="9">
        <v>210741.79333333333</v>
      </c>
      <c r="G43" s="6">
        <f t="shared" si="1"/>
        <v>0.008859305313</v>
      </c>
      <c r="H43" s="6">
        <f t="shared" si="2"/>
        <v>2.228198051</v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4.25" customHeight="1">
      <c r="A44" s="5">
        <v>20303.0</v>
      </c>
      <c r="B44" s="5" t="s">
        <v>79</v>
      </c>
      <c r="C44" s="9">
        <v>4683404.366223845</v>
      </c>
      <c r="D44" s="9">
        <v>7778.256666666667</v>
      </c>
      <c r="E44" s="9">
        <v>3833418.0166666657</v>
      </c>
      <c r="F44" s="9">
        <v>201965.08666666667</v>
      </c>
      <c r="G44" s="6">
        <f t="shared" si="1"/>
        <v>0.1660812533</v>
      </c>
      <c r="H44" s="6">
        <f t="shared" si="2"/>
        <v>5.268538046</v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4.25" customHeight="1">
      <c r="A45" s="5">
        <v>20304.0</v>
      </c>
      <c r="B45" s="5" t="s">
        <v>80</v>
      </c>
      <c r="C45" s="9">
        <v>3385242.1763203912</v>
      </c>
      <c r="D45" s="9">
        <v>59422.45999999999</v>
      </c>
      <c r="E45" s="9">
        <v>3078791.9299999992</v>
      </c>
      <c r="F45" s="9">
        <v>40835.916666666664</v>
      </c>
      <c r="G45" s="6">
        <f t="shared" si="1"/>
        <v>1.755338522</v>
      </c>
      <c r="H45" s="6">
        <f t="shared" si="2"/>
        <v>1.32636169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4.25" customHeight="1">
      <c r="A46" s="5">
        <v>20305.0</v>
      </c>
      <c r="B46" s="5" t="s">
        <v>81</v>
      </c>
      <c r="C46" s="9">
        <v>2024331.0441768756</v>
      </c>
      <c r="D46" s="9">
        <v>7.646666666666666</v>
      </c>
      <c r="E46" s="9">
        <v>4744579.513333332</v>
      </c>
      <c r="F46" s="9">
        <v>85.66666666666667</v>
      </c>
      <c r="G46" s="6">
        <f t="shared" si="1"/>
        <v>0.0003777379539</v>
      </c>
      <c r="H46" s="6">
        <f t="shared" si="2"/>
        <v>0.001805569206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4.25" customHeight="1">
      <c r="A47" s="5">
        <v>20306.0</v>
      </c>
      <c r="B47" s="5" t="s">
        <v>82</v>
      </c>
      <c r="C47" s="9">
        <v>319423.878626062</v>
      </c>
      <c r="D47" s="9">
        <v>34.93333333333334</v>
      </c>
      <c r="E47" s="9">
        <v>608526.7599999998</v>
      </c>
      <c r="F47" s="9">
        <v>29743.833333333332</v>
      </c>
      <c r="G47" s="6">
        <f t="shared" si="1"/>
        <v>0.01093635626</v>
      </c>
      <c r="H47" s="6">
        <f t="shared" si="2"/>
        <v>4.887843114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4.25" customHeight="1">
      <c r="A48" s="5">
        <v>20307.0</v>
      </c>
      <c r="B48" s="5" t="s">
        <v>83</v>
      </c>
      <c r="C48" s="9">
        <v>9937700.21987036</v>
      </c>
      <c r="D48" s="9">
        <v>51601.91333333333</v>
      </c>
      <c r="E48" s="9">
        <v>6974992.256666667</v>
      </c>
      <c r="F48" s="9">
        <v>152323.67333333334</v>
      </c>
      <c r="G48" s="6">
        <f t="shared" si="1"/>
        <v>0.5192540748</v>
      </c>
      <c r="H48" s="6">
        <f t="shared" si="2"/>
        <v>2.183854372</v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4.25" customHeight="1">
      <c r="A49" s="5">
        <v>20308.0</v>
      </c>
      <c r="B49" s="5" t="s">
        <v>84</v>
      </c>
      <c r="C49" s="9">
        <v>1.610732209290991E7</v>
      </c>
      <c r="D49" s="9">
        <v>52770.443333333336</v>
      </c>
      <c r="E49" s="9">
        <v>1.164296217333333E7</v>
      </c>
      <c r="F49" s="9">
        <v>1069688.57</v>
      </c>
      <c r="G49" s="6">
        <f t="shared" si="1"/>
        <v>0.327617732</v>
      </c>
      <c r="H49" s="6">
        <f t="shared" si="2"/>
        <v>9.18742631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4.25" customHeight="1">
      <c r="A50" s="5">
        <v>20401.0</v>
      </c>
      <c r="B50" s="5" t="s">
        <v>85</v>
      </c>
      <c r="C50" s="9">
        <v>2.1056838424821563E7</v>
      </c>
      <c r="D50" s="9">
        <v>12395.730000000001</v>
      </c>
      <c r="E50" s="9">
        <v>1.4724410803333329E7</v>
      </c>
      <c r="F50" s="9">
        <v>66679.46333333333</v>
      </c>
      <c r="G50" s="6">
        <f t="shared" si="1"/>
        <v>0.0588679542</v>
      </c>
      <c r="H50" s="6">
        <f t="shared" si="2"/>
        <v>0.4528497895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4.25" customHeight="1">
      <c r="A51" s="5">
        <v>20402.0</v>
      </c>
      <c r="B51" s="5" t="s">
        <v>87</v>
      </c>
      <c r="C51" s="9">
        <v>1.8360244604887705E7</v>
      </c>
      <c r="D51" s="9">
        <v>593408.89</v>
      </c>
      <c r="E51" s="9">
        <v>1.4966513499999998E7</v>
      </c>
      <c r="F51" s="9">
        <v>1310646.3166666667</v>
      </c>
      <c r="G51" s="6">
        <f t="shared" si="1"/>
        <v>3.232031505</v>
      </c>
      <c r="H51" s="6">
        <f t="shared" si="2"/>
        <v>8.757191958</v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4.25" customHeight="1">
      <c r="A52" s="5">
        <v>20403.0</v>
      </c>
      <c r="B52" s="5" t="s">
        <v>88</v>
      </c>
      <c r="C52" s="9">
        <v>6692753.580048961</v>
      </c>
      <c r="D52" s="9">
        <v>1015.9933333333332</v>
      </c>
      <c r="E52" s="9">
        <v>5059735.0266666645</v>
      </c>
      <c r="F52" s="9">
        <v>60687.556666666664</v>
      </c>
      <c r="G52" s="6">
        <f t="shared" si="1"/>
        <v>0.01518049815</v>
      </c>
      <c r="H52" s="6">
        <f t="shared" si="2"/>
        <v>1.199421637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4.25" customHeight="1">
      <c r="A53" s="5">
        <v>20404.0</v>
      </c>
      <c r="B53" s="5" t="s">
        <v>89</v>
      </c>
      <c r="C53" s="9">
        <v>8865148.56987544</v>
      </c>
      <c r="D53" s="9">
        <v>63266.44666666668</v>
      </c>
      <c r="E53" s="9">
        <v>6822293.636666666</v>
      </c>
      <c r="F53" s="9">
        <v>96045.60000000002</v>
      </c>
      <c r="G53" s="6">
        <f t="shared" si="1"/>
        <v>0.7136535408</v>
      </c>
      <c r="H53" s="6">
        <f t="shared" si="2"/>
        <v>1.407819791</v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4.25" customHeight="1">
      <c r="A54" s="5">
        <v>20405.0</v>
      </c>
      <c r="B54" s="5" t="s">
        <v>90</v>
      </c>
      <c r="C54" s="9">
        <v>1.5670269982367767E7</v>
      </c>
      <c r="D54" s="9">
        <v>29329.92</v>
      </c>
      <c r="E54" s="9">
        <v>1.1703429496666668E7</v>
      </c>
      <c r="F54" s="9">
        <v>964133.54</v>
      </c>
      <c r="G54" s="6">
        <f t="shared" si="1"/>
        <v>0.1871692066</v>
      </c>
      <c r="H54" s="6">
        <f t="shared" si="2"/>
        <v>8.238042877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4.25" customHeight="1">
      <c r="A55" s="5">
        <v>20501.0</v>
      </c>
      <c r="B55" s="5" t="s">
        <v>91</v>
      </c>
      <c r="C55" s="9">
        <v>9823300.372874027</v>
      </c>
      <c r="D55" s="9">
        <v>92509.46666666667</v>
      </c>
      <c r="E55" s="9">
        <v>7991595.806666665</v>
      </c>
      <c r="F55" s="9">
        <v>119911.60333333333</v>
      </c>
      <c r="G55" s="6">
        <f t="shared" si="1"/>
        <v>0.9417350906</v>
      </c>
      <c r="H55" s="6">
        <f t="shared" si="2"/>
        <v>1.500471323</v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4.25" customHeight="1">
      <c r="A56" s="5">
        <v>20502.0</v>
      </c>
      <c r="B56" s="5" t="s">
        <v>93</v>
      </c>
      <c r="C56" s="9">
        <v>5606727.769703147</v>
      </c>
      <c r="D56" s="9">
        <v>480840.44</v>
      </c>
      <c r="E56" s="9">
        <v>5596996.409999999</v>
      </c>
      <c r="F56" s="9">
        <v>454449.60333333333</v>
      </c>
      <c r="G56" s="6">
        <f t="shared" si="1"/>
        <v>8.57613317</v>
      </c>
      <c r="H56" s="6">
        <f t="shared" si="2"/>
        <v>8.11952644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4.25" customHeight="1">
      <c r="A57" s="5">
        <v>20503.0</v>
      </c>
      <c r="B57" s="5" t="s">
        <v>94</v>
      </c>
      <c r="C57" s="9">
        <v>2.3748004528409015E7</v>
      </c>
      <c r="D57" s="9">
        <v>967318.6966666667</v>
      </c>
      <c r="E57" s="9">
        <v>2.752759734333333E7</v>
      </c>
      <c r="F57" s="9">
        <v>5521494.9366666665</v>
      </c>
      <c r="G57" s="6">
        <f t="shared" si="1"/>
        <v>4.073263063</v>
      </c>
      <c r="H57" s="6">
        <f t="shared" si="2"/>
        <v>20.05803437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4.25" customHeight="1">
      <c r="A58" s="5">
        <v>20601.0</v>
      </c>
      <c r="B58" s="5" t="s">
        <v>95</v>
      </c>
      <c r="C58" s="9">
        <v>1.4832189114057317E7</v>
      </c>
      <c r="D58" s="9">
        <v>1182386.5866666667</v>
      </c>
      <c r="E58" s="9">
        <v>2.427537102333333E7</v>
      </c>
      <c r="F58" s="9">
        <v>1.043277803E7</v>
      </c>
      <c r="G58" s="6">
        <f t="shared" si="1"/>
        <v>7.971760457</v>
      </c>
      <c r="H58" s="6">
        <f t="shared" si="2"/>
        <v>42.97680155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4.25" customHeight="1">
      <c r="A59" s="5">
        <v>20602.0</v>
      </c>
      <c r="B59" s="5" t="s">
        <v>97</v>
      </c>
      <c r="C59" s="9">
        <v>8107374.438482881</v>
      </c>
      <c r="D59" s="9">
        <v>569267.64</v>
      </c>
      <c r="E59" s="9">
        <v>1.0173122203333331E7</v>
      </c>
      <c r="F59" s="9">
        <v>2515578.8433333337</v>
      </c>
      <c r="G59" s="6">
        <f t="shared" si="1"/>
        <v>7.021602916</v>
      </c>
      <c r="H59" s="6">
        <f t="shared" si="2"/>
        <v>24.72769709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4.25" customHeight="1">
      <c r="A60" s="5">
        <v>20603.0</v>
      </c>
      <c r="B60" s="5" t="s">
        <v>98</v>
      </c>
      <c r="C60" s="9">
        <v>3687718.0661415407</v>
      </c>
      <c r="D60" s="9">
        <v>483628.77333333326</v>
      </c>
      <c r="E60" s="9">
        <v>2656192.1666666665</v>
      </c>
      <c r="F60" s="9">
        <v>144332.59666666665</v>
      </c>
      <c r="G60" s="6">
        <f t="shared" si="1"/>
        <v>13.11458101</v>
      </c>
      <c r="H60" s="6">
        <f t="shared" si="2"/>
        <v>5.433816065</v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4.25" customHeight="1">
      <c r="A61" s="5">
        <v>20604.0</v>
      </c>
      <c r="B61" s="5" t="s">
        <v>99</v>
      </c>
      <c r="C61" s="9">
        <v>3281861.36165312</v>
      </c>
      <c r="D61" s="9">
        <v>6.653333333333333</v>
      </c>
      <c r="E61" s="9">
        <v>3506603.5466666655</v>
      </c>
      <c r="F61" s="9">
        <v>14631.269999999999</v>
      </c>
      <c r="G61" s="6">
        <f t="shared" si="1"/>
        <v>0.0002027304813</v>
      </c>
      <c r="H61" s="6">
        <f t="shared" si="2"/>
        <v>0.4172490504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4.25" customHeight="1">
      <c r="A62" s="5">
        <v>20605.0</v>
      </c>
      <c r="B62" s="5" t="s">
        <v>100</v>
      </c>
      <c r="C62" s="9">
        <v>1.212568112496119E7</v>
      </c>
      <c r="D62" s="9">
        <v>1231613.46</v>
      </c>
      <c r="E62" s="9">
        <v>1.2360542656666666E7</v>
      </c>
      <c r="F62" s="9">
        <v>3014109.5833333335</v>
      </c>
      <c r="G62" s="6">
        <f t="shared" si="1"/>
        <v>10.15706621</v>
      </c>
      <c r="H62" s="6">
        <f t="shared" si="2"/>
        <v>24.38492926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4.25" customHeight="1">
      <c r="A63" s="5">
        <v>20606.0</v>
      </c>
      <c r="B63" s="5" t="s">
        <v>101</v>
      </c>
      <c r="C63" s="9">
        <v>1.2447312445783362E7</v>
      </c>
      <c r="D63" s="9">
        <v>947531.7066666667</v>
      </c>
      <c r="E63" s="9">
        <v>1.8355426843333334E7</v>
      </c>
      <c r="F63" s="9">
        <v>5352999.683333333</v>
      </c>
      <c r="G63" s="6">
        <f t="shared" si="1"/>
        <v>7.612339698</v>
      </c>
      <c r="H63" s="6">
        <f t="shared" si="2"/>
        <v>29.1630357</v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4.25" customHeight="1">
      <c r="A64" s="5">
        <v>20607.0</v>
      </c>
      <c r="B64" s="5" t="s">
        <v>102</v>
      </c>
      <c r="C64" s="9">
        <v>8788570.718427211</v>
      </c>
      <c r="D64" s="9">
        <v>287402.45</v>
      </c>
      <c r="E64" s="9">
        <v>1.3192875699999997E7</v>
      </c>
      <c r="F64" s="9">
        <v>4434826.026666666</v>
      </c>
      <c r="G64" s="6">
        <f t="shared" si="1"/>
        <v>3.270184188</v>
      </c>
      <c r="H64" s="6">
        <f t="shared" si="2"/>
        <v>33.61530971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4.25" customHeight="1">
      <c r="A65" s="5">
        <v>20608.0</v>
      </c>
      <c r="B65" s="5" t="s">
        <v>103</v>
      </c>
      <c r="C65" s="9">
        <v>1.664467990671672E7</v>
      </c>
      <c r="D65" s="9">
        <v>359070.9766666666</v>
      </c>
      <c r="E65" s="9">
        <v>2.0447684439999994E7</v>
      </c>
      <c r="F65" s="9">
        <v>1438317.076666667</v>
      </c>
      <c r="G65" s="6">
        <f t="shared" si="1"/>
        <v>2.157271745</v>
      </c>
      <c r="H65" s="6">
        <f t="shared" si="2"/>
        <v>7.034131815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4.25" customHeight="1">
      <c r="A66" s="5">
        <v>20701.0</v>
      </c>
      <c r="B66" s="5" t="s">
        <v>104</v>
      </c>
      <c r="C66" s="9">
        <v>6653984.606062606</v>
      </c>
      <c r="D66" s="9">
        <v>461682.09</v>
      </c>
      <c r="E66" s="9">
        <v>1.063592922E7</v>
      </c>
      <c r="F66" s="9">
        <v>4289743.65</v>
      </c>
      <c r="G66" s="6">
        <f t="shared" si="1"/>
        <v>6.938430389</v>
      </c>
      <c r="H66" s="6">
        <f t="shared" si="2"/>
        <v>40.33257049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4.25" customHeight="1">
      <c r="A67" s="5">
        <v>20702.0</v>
      </c>
      <c r="B67" s="5" t="s">
        <v>106</v>
      </c>
      <c r="C67" s="9">
        <v>6.951946109882824E7</v>
      </c>
      <c r="D67" s="9">
        <v>1.4242535026666665E7</v>
      </c>
      <c r="E67" s="9">
        <v>1.222842014133333E8</v>
      </c>
      <c r="F67" s="9">
        <v>4.672008486333334E7</v>
      </c>
      <c r="G67" s="6">
        <f t="shared" si="1"/>
        <v>20.48711944</v>
      </c>
      <c r="H67" s="6">
        <f t="shared" si="2"/>
        <v>38.20614955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4.25" customHeight="1">
      <c r="A68" s="5">
        <v>20801.0</v>
      </c>
      <c r="B68" s="5" t="s">
        <v>107</v>
      </c>
      <c r="C68" s="9">
        <v>9108722.100642992</v>
      </c>
      <c r="D68" s="9">
        <v>79808.09</v>
      </c>
      <c r="E68" s="9">
        <v>7088972.616666664</v>
      </c>
      <c r="F68" s="9">
        <v>276601.7766666667</v>
      </c>
      <c r="G68" s="6">
        <f t="shared" si="1"/>
        <v>0.876172191</v>
      </c>
      <c r="H68" s="6">
        <f t="shared" si="2"/>
        <v>3.901859855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4.25" customHeight="1">
      <c r="A69" s="5">
        <v>20802.0</v>
      </c>
      <c r="B69" s="5" t="s">
        <v>109</v>
      </c>
      <c r="C69" s="9">
        <v>1.8243470676397998E7</v>
      </c>
      <c r="D69" s="9">
        <v>4532791.796666667</v>
      </c>
      <c r="E69" s="9">
        <v>1.1839625596666658E7</v>
      </c>
      <c r="F69" s="9">
        <v>429994.8333333333</v>
      </c>
      <c r="G69" s="6">
        <f t="shared" si="1"/>
        <v>24.84610454</v>
      </c>
      <c r="H69" s="6">
        <f t="shared" si="2"/>
        <v>3.631827965</v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4.25" customHeight="1">
      <c r="A70" s="5">
        <v>20803.0</v>
      </c>
      <c r="B70" s="5" t="s">
        <v>110</v>
      </c>
      <c r="C70" s="9">
        <v>6399845.237011564</v>
      </c>
      <c r="D70" s="9">
        <v>544477.9133333333</v>
      </c>
      <c r="E70" s="9">
        <v>8665046.053333333</v>
      </c>
      <c r="F70" s="9">
        <v>2125084.763333333</v>
      </c>
      <c r="G70" s="6">
        <f t="shared" si="1"/>
        <v>8.507673126</v>
      </c>
      <c r="H70" s="6">
        <f t="shared" si="2"/>
        <v>24.52479479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4.25" customHeight="1">
      <c r="A71" s="5">
        <v>20804.0</v>
      </c>
      <c r="B71" s="5" t="s">
        <v>111</v>
      </c>
      <c r="C71" s="9">
        <v>1.0033797998771852E7</v>
      </c>
      <c r="D71" s="9">
        <v>83379.96333333333</v>
      </c>
      <c r="E71" s="9">
        <v>8325592.859999999</v>
      </c>
      <c r="F71" s="9">
        <v>883308.4066666666</v>
      </c>
      <c r="G71" s="6">
        <f t="shared" si="1"/>
        <v>0.8309910499</v>
      </c>
      <c r="H71" s="6">
        <f t="shared" si="2"/>
        <v>10.60955564</v>
      </c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4.25" customHeight="1">
      <c r="A72" s="5">
        <v>20805.0</v>
      </c>
      <c r="B72" s="5" t="s">
        <v>112</v>
      </c>
      <c r="C72" s="9">
        <v>7784381.961181373</v>
      </c>
      <c r="D72" s="9">
        <v>152451.78333333333</v>
      </c>
      <c r="E72" s="9">
        <v>6068367.166666664</v>
      </c>
      <c r="F72" s="9">
        <v>316614.6166666667</v>
      </c>
      <c r="G72" s="6">
        <f t="shared" si="1"/>
        <v>1.958431435</v>
      </c>
      <c r="H72" s="6">
        <f t="shared" si="2"/>
        <v>5.217459787</v>
      </c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4.25" customHeight="1">
      <c r="A73" s="5">
        <v>20806.0</v>
      </c>
      <c r="B73" s="5" t="s">
        <v>113</v>
      </c>
      <c r="C73" s="9">
        <v>1.6053424776799656E7</v>
      </c>
      <c r="D73" s="9">
        <v>75125.82666666666</v>
      </c>
      <c r="E73" s="9">
        <v>1.473913511666666E7</v>
      </c>
      <c r="F73" s="9">
        <v>662143.8933333332</v>
      </c>
      <c r="G73" s="6">
        <f t="shared" si="1"/>
        <v>0.4679738293</v>
      </c>
      <c r="H73" s="6">
        <f t="shared" si="2"/>
        <v>4.492420268</v>
      </c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4.25" customHeight="1">
      <c r="A74" s="5">
        <v>20807.0</v>
      </c>
      <c r="B74" s="5" t="s">
        <v>114</v>
      </c>
      <c r="C74" s="9">
        <v>7166922.221907821</v>
      </c>
      <c r="D74" s="9">
        <v>12115.663333333332</v>
      </c>
      <c r="E74" s="9">
        <v>7286696.176666666</v>
      </c>
      <c r="F74" s="9">
        <v>1106234.7166666666</v>
      </c>
      <c r="G74" s="6">
        <f t="shared" si="1"/>
        <v>0.1690497393</v>
      </c>
      <c r="H74" s="6">
        <f t="shared" si="2"/>
        <v>15.18156775</v>
      </c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4.25" customHeight="1">
      <c r="A75" s="5">
        <v>20901.0</v>
      </c>
      <c r="B75" s="5" t="s">
        <v>115</v>
      </c>
      <c r="C75" s="9">
        <v>1.2538768852139318E7</v>
      </c>
      <c r="D75" s="9">
        <v>61818.746666666666</v>
      </c>
      <c r="E75" s="9">
        <v>1.0719325376666665E7</v>
      </c>
      <c r="F75" s="9">
        <v>292615.46666666673</v>
      </c>
      <c r="G75" s="6">
        <f t="shared" si="1"/>
        <v>0.4930208651</v>
      </c>
      <c r="H75" s="6">
        <f t="shared" si="2"/>
        <v>2.72979368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4.25" customHeight="1">
      <c r="A76" s="5">
        <v>20902.0</v>
      </c>
      <c r="B76" s="5" t="s">
        <v>117</v>
      </c>
      <c r="C76" s="9">
        <v>1.400906880502638E7</v>
      </c>
      <c r="D76" s="9">
        <v>144216.87</v>
      </c>
      <c r="E76" s="9">
        <v>1.2052193116666665E7</v>
      </c>
      <c r="F76" s="9">
        <v>367166.2233333333</v>
      </c>
      <c r="G76" s="6">
        <f t="shared" si="1"/>
        <v>1.029453649</v>
      </c>
      <c r="H76" s="6">
        <f t="shared" si="2"/>
        <v>3.046468139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4.25" customHeight="1">
      <c r="A77" s="5">
        <v>20903.0</v>
      </c>
      <c r="B77" s="5" t="s">
        <v>118</v>
      </c>
      <c r="C77" s="9">
        <v>9691831.683192706</v>
      </c>
      <c r="D77" s="9">
        <v>78831.32666666666</v>
      </c>
      <c r="E77" s="9">
        <v>7188373.9833333315</v>
      </c>
      <c r="F77" s="9">
        <v>341366.8333333333</v>
      </c>
      <c r="G77" s="6">
        <f t="shared" si="1"/>
        <v>0.8133790314</v>
      </c>
      <c r="H77" s="6">
        <f t="shared" si="2"/>
        <v>4.748874142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4.25" customHeight="1">
      <c r="A78" s="5">
        <v>20904.0</v>
      </c>
      <c r="B78" s="5" t="s">
        <v>119</v>
      </c>
      <c r="C78" s="9">
        <v>4724771.433493023</v>
      </c>
      <c r="D78" s="9">
        <v>196071.85</v>
      </c>
      <c r="E78" s="9">
        <v>5009312.453333332</v>
      </c>
      <c r="F78" s="9">
        <v>161285.69666666668</v>
      </c>
      <c r="G78" s="6">
        <f t="shared" si="1"/>
        <v>4.149869528</v>
      </c>
      <c r="H78" s="6">
        <f t="shared" si="2"/>
        <v>3.21971724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4.25" customHeight="1">
      <c r="A79" s="5">
        <v>20905.0</v>
      </c>
      <c r="B79" s="5" t="s">
        <v>120</v>
      </c>
      <c r="C79" s="9">
        <v>1.2844501997927228E7</v>
      </c>
      <c r="D79" s="9">
        <v>533227.9266666666</v>
      </c>
      <c r="E79" s="9">
        <v>1.2199538666666664E7</v>
      </c>
      <c r="F79" s="9">
        <v>1570627.9433333334</v>
      </c>
      <c r="G79" s="6">
        <f t="shared" si="1"/>
        <v>4.151409893</v>
      </c>
      <c r="H79" s="6">
        <f t="shared" si="2"/>
        <v>12.87448637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4.25" customHeight="1">
      <c r="A80" s="5">
        <v>21001.0</v>
      </c>
      <c r="B80" s="5" t="s">
        <v>121</v>
      </c>
      <c r="C80" s="9">
        <v>1.993002949568924E7</v>
      </c>
      <c r="D80" s="9">
        <v>241905.76</v>
      </c>
      <c r="E80" s="9">
        <v>1.570902119666666E7</v>
      </c>
      <c r="F80" s="9">
        <v>1933853.3466666667</v>
      </c>
      <c r="G80" s="6">
        <f t="shared" si="1"/>
        <v>1.213775223</v>
      </c>
      <c r="H80" s="6">
        <f t="shared" si="2"/>
        <v>12.31046367</v>
      </c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4.25" customHeight="1">
      <c r="A81" s="5">
        <v>21002.0</v>
      </c>
      <c r="B81" s="5" t="s">
        <v>123</v>
      </c>
      <c r="C81" s="9">
        <v>1.0074272492429107E7</v>
      </c>
      <c r="D81" s="9">
        <v>1363823.4733333334</v>
      </c>
      <c r="E81" s="9">
        <v>9527019.159999998</v>
      </c>
      <c r="F81" s="9">
        <v>1788685.8533333333</v>
      </c>
      <c r="G81" s="6">
        <f t="shared" si="1"/>
        <v>13.53768696</v>
      </c>
      <c r="H81" s="6">
        <f t="shared" si="2"/>
        <v>18.77487411</v>
      </c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4.25" customHeight="1">
      <c r="A82" s="5">
        <v>21003.0</v>
      </c>
      <c r="B82" s="5" t="s">
        <v>124</v>
      </c>
      <c r="C82" s="9">
        <v>9840741.209052438</v>
      </c>
      <c r="D82" s="9">
        <v>571395.4033333333</v>
      </c>
      <c r="E82" s="9">
        <v>1.0970370793333331E7</v>
      </c>
      <c r="F82" s="9">
        <v>1182236.5</v>
      </c>
      <c r="G82" s="6">
        <f t="shared" si="1"/>
        <v>5.806426479</v>
      </c>
      <c r="H82" s="6">
        <f t="shared" si="2"/>
        <v>10.7766321</v>
      </c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4.25" customHeight="1">
      <c r="A83" s="5">
        <v>21004.0</v>
      </c>
      <c r="B83" s="5" t="s">
        <v>125</v>
      </c>
      <c r="C83" s="9">
        <v>2.7024926959860846E7</v>
      </c>
      <c r="D83" s="9">
        <v>4360715.546666667</v>
      </c>
      <c r="E83" s="9">
        <v>2.521098531E7</v>
      </c>
      <c r="F83" s="9">
        <v>6844272.223333333</v>
      </c>
      <c r="G83" s="6">
        <f t="shared" si="1"/>
        <v>16.13590132</v>
      </c>
      <c r="H83" s="6">
        <f t="shared" si="2"/>
        <v>27.14797593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4.25" customHeight="1">
      <c r="A84" s="5">
        <v>21005.0</v>
      </c>
      <c r="B84" s="5" t="s">
        <v>126</v>
      </c>
      <c r="C84" s="9">
        <v>8542586.239703266</v>
      </c>
      <c r="D84" s="9">
        <v>218552.81999999998</v>
      </c>
      <c r="E84" s="9">
        <v>8182025.856666665</v>
      </c>
      <c r="F84" s="9">
        <v>775813.5033333333</v>
      </c>
      <c r="G84" s="6">
        <f t="shared" si="1"/>
        <v>2.558391731</v>
      </c>
      <c r="H84" s="6">
        <f t="shared" si="2"/>
        <v>9.481924366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4.25" customHeight="1">
      <c r="A85" s="5">
        <v>21006.0</v>
      </c>
      <c r="B85" s="5" t="s">
        <v>127</v>
      </c>
      <c r="C85" s="9">
        <v>3276228.0281530656</v>
      </c>
      <c r="D85" s="9">
        <v>25084.22</v>
      </c>
      <c r="E85" s="9">
        <v>5518797.723333333</v>
      </c>
      <c r="F85" s="9">
        <v>382072.6366666667</v>
      </c>
      <c r="G85" s="6">
        <f t="shared" si="1"/>
        <v>0.7656432881</v>
      </c>
      <c r="H85" s="6">
        <f t="shared" si="2"/>
        <v>6.923113617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4.25" customHeight="1">
      <c r="A86" s="5">
        <v>21101.0</v>
      </c>
      <c r="B86" s="5" t="s">
        <v>128</v>
      </c>
      <c r="C86" s="9">
        <v>1.5835227228336155E7</v>
      </c>
      <c r="D86" s="9">
        <v>411505.62000000005</v>
      </c>
      <c r="E86" s="9">
        <v>1.769870202333333E7</v>
      </c>
      <c r="F86" s="9">
        <v>1015822.2033333335</v>
      </c>
      <c r="G86" s="6">
        <f t="shared" si="1"/>
        <v>2.598672025</v>
      </c>
      <c r="H86" s="6">
        <f t="shared" si="2"/>
        <v>5.739529385</v>
      </c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4.25" customHeight="1">
      <c r="A87" s="5">
        <v>21102.0</v>
      </c>
      <c r="B87" s="5" t="s">
        <v>130</v>
      </c>
      <c r="C87" s="9">
        <v>1.4534931550591925E7</v>
      </c>
      <c r="D87" s="9">
        <v>1038875.4633333334</v>
      </c>
      <c r="E87" s="9">
        <v>2.033918379666666E7</v>
      </c>
      <c r="F87" s="9">
        <v>4167537.8433333337</v>
      </c>
      <c r="G87" s="6">
        <f t="shared" si="1"/>
        <v>7.147439668</v>
      </c>
      <c r="H87" s="6">
        <f t="shared" si="2"/>
        <v>20.49019216</v>
      </c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4.25" customHeight="1">
      <c r="A88" s="5">
        <v>21103.0</v>
      </c>
      <c r="B88" s="5" t="s">
        <v>131</v>
      </c>
      <c r="C88" s="9">
        <v>5690067.891272967</v>
      </c>
      <c r="D88" s="9">
        <v>744711.7566666667</v>
      </c>
      <c r="E88" s="9">
        <v>6794187.783333331</v>
      </c>
      <c r="F88" s="9">
        <v>785754.1133333333</v>
      </c>
      <c r="G88" s="6">
        <f t="shared" si="1"/>
        <v>13.08792392</v>
      </c>
      <c r="H88" s="6">
        <f t="shared" si="2"/>
        <v>11.56509267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4.25" customHeight="1">
      <c r="A89" s="5">
        <v>21104.0</v>
      </c>
      <c r="B89" s="5" t="s">
        <v>132</v>
      </c>
      <c r="C89" s="9">
        <v>2.098230409599997E7</v>
      </c>
      <c r="D89" s="9">
        <v>1032102.6333333334</v>
      </c>
      <c r="E89" s="9">
        <v>2.4227036416666668E7</v>
      </c>
      <c r="F89" s="9">
        <v>1077259.1166666665</v>
      </c>
      <c r="G89" s="6">
        <f t="shared" si="1"/>
        <v>4.918919431</v>
      </c>
      <c r="H89" s="6">
        <f t="shared" si="2"/>
        <v>4.446516273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4.25" customHeight="1">
      <c r="A90" s="5">
        <v>21105.0</v>
      </c>
      <c r="B90" s="5" t="s">
        <v>133</v>
      </c>
      <c r="C90" s="9">
        <v>2.1967533740477063E7</v>
      </c>
      <c r="D90" s="9">
        <v>430423.14666666667</v>
      </c>
      <c r="E90" s="9">
        <v>3.846647684666666E7</v>
      </c>
      <c r="F90" s="9">
        <v>862757.2200000001</v>
      </c>
      <c r="G90" s="6">
        <f t="shared" si="1"/>
        <v>1.959360353</v>
      </c>
      <c r="H90" s="6">
        <f t="shared" si="2"/>
        <v>2.242880791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4.25" customHeight="1">
      <c r="A91" s="5">
        <v>21201.0</v>
      </c>
      <c r="B91" s="5" t="s">
        <v>134</v>
      </c>
      <c r="C91" s="9">
        <v>3.0236005520723596E7</v>
      </c>
      <c r="D91" s="9">
        <v>614641.88</v>
      </c>
      <c r="E91" s="9">
        <v>3.069280289666665E7</v>
      </c>
      <c r="F91" s="9">
        <v>2488190.2399999998</v>
      </c>
      <c r="G91" s="6">
        <f t="shared" si="1"/>
        <v>2.032814419</v>
      </c>
      <c r="H91" s="6">
        <f t="shared" si="2"/>
        <v>8.106754695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4.25" customHeight="1">
      <c r="A92" s="5">
        <v>21202.0</v>
      </c>
      <c r="B92" s="5" t="s">
        <v>136</v>
      </c>
      <c r="C92" s="9">
        <v>2.0210197069597747E7</v>
      </c>
      <c r="D92" s="9">
        <v>389614.38666666666</v>
      </c>
      <c r="E92" s="9">
        <v>2.8745185199999988E7</v>
      </c>
      <c r="F92" s="9">
        <v>5787484.533333334</v>
      </c>
      <c r="G92" s="6">
        <f t="shared" si="1"/>
        <v>1.927810923</v>
      </c>
      <c r="H92" s="6">
        <f t="shared" si="2"/>
        <v>20.13375281</v>
      </c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4.25" customHeight="1">
      <c r="A93" s="5">
        <v>21203.0</v>
      </c>
      <c r="B93" s="5" t="s">
        <v>137</v>
      </c>
      <c r="C93" s="9">
        <v>2.4691931410738807E7</v>
      </c>
      <c r="D93" s="9">
        <v>122288.25</v>
      </c>
      <c r="E93" s="9">
        <v>1.6976326096666664E7</v>
      </c>
      <c r="F93" s="9">
        <v>663798.0633333334</v>
      </c>
      <c r="G93" s="6">
        <f t="shared" si="1"/>
        <v>0.4952559116</v>
      </c>
      <c r="H93" s="6">
        <f t="shared" si="2"/>
        <v>3.910139682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4.25" customHeight="1">
      <c r="A94" s="5">
        <v>21204.0</v>
      </c>
      <c r="B94" s="5" t="s">
        <v>138</v>
      </c>
      <c r="C94" s="9">
        <v>1.036474026436162E7</v>
      </c>
      <c r="D94" s="9">
        <v>28207.88666666667</v>
      </c>
      <c r="E94" s="9">
        <v>6098676.753333333</v>
      </c>
      <c r="F94" s="9">
        <v>23607.110000000004</v>
      </c>
      <c r="G94" s="6">
        <f t="shared" si="1"/>
        <v>0.2721523738</v>
      </c>
      <c r="H94" s="6">
        <f t="shared" si="2"/>
        <v>0.3870857721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4.25" customHeight="1">
      <c r="A95" s="5">
        <v>21301.0</v>
      </c>
      <c r="B95" s="5" t="s">
        <v>139</v>
      </c>
      <c r="C95" s="9">
        <v>3.2528961045534935E7</v>
      </c>
      <c r="D95" s="9">
        <v>140178.87333333332</v>
      </c>
      <c r="E95" s="9">
        <v>3.3517321649999995E7</v>
      </c>
      <c r="F95" s="9">
        <v>4208010.316666666</v>
      </c>
      <c r="G95" s="6">
        <f t="shared" si="1"/>
        <v>0.4309355996</v>
      </c>
      <c r="H95" s="6">
        <f t="shared" si="2"/>
        <v>12.55473322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4.25" customHeight="1">
      <c r="A96" s="5">
        <v>21302.0</v>
      </c>
      <c r="B96" s="5" t="s">
        <v>141</v>
      </c>
      <c r="C96" s="9">
        <v>1.1536467231768137E7</v>
      </c>
      <c r="D96" s="9">
        <v>2733.036666666668</v>
      </c>
      <c r="E96" s="9">
        <v>8355426.599999999</v>
      </c>
      <c r="F96" s="9">
        <v>22683.693333333333</v>
      </c>
      <c r="G96" s="6">
        <f t="shared" si="1"/>
        <v>0.02369041243</v>
      </c>
      <c r="H96" s="6">
        <f t="shared" si="2"/>
        <v>0.2714845623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4.25" customHeight="1">
      <c r="A97" s="5">
        <v>21303.0</v>
      </c>
      <c r="B97" s="5" t="s">
        <v>142</v>
      </c>
      <c r="C97" s="9">
        <v>8747875.88597389</v>
      </c>
      <c r="D97" s="9">
        <v>36074.933333333334</v>
      </c>
      <c r="E97" s="9">
        <v>7657996.893333332</v>
      </c>
      <c r="F97" s="9">
        <v>358846.3066666667</v>
      </c>
      <c r="G97" s="6">
        <f t="shared" si="1"/>
        <v>0.4123850613</v>
      </c>
      <c r="H97" s="6">
        <f t="shared" si="2"/>
        <v>4.685903007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4.25" customHeight="1">
      <c r="A98" s="5">
        <v>21304.0</v>
      </c>
      <c r="B98" s="5" t="s">
        <v>143</v>
      </c>
      <c r="C98" s="9">
        <v>1.4640068371526388E7</v>
      </c>
      <c r="D98" s="9">
        <v>187294.29333333333</v>
      </c>
      <c r="E98" s="9">
        <v>2.0531992583333332E7</v>
      </c>
      <c r="F98" s="9">
        <v>8914637.953333333</v>
      </c>
      <c r="G98" s="6">
        <f t="shared" si="1"/>
        <v>1.27932663</v>
      </c>
      <c r="H98" s="6">
        <f t="shared" si="2"/>
        <v>43.41827963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4.25" customHeight="1">
      <c r="A99" s="5">
        <v>21305.0</v>
      </c>
      <c r="B99" s="5" t="s">
        <v>144</v>
      </c>
      <c r="C99" s="9">
        <v>2.473172714403696E7</v>
      </c>
      <c r="D99" s="9">
        <v>650272.43</v>
      </c>
      <c r="E99" s="9">
        <v>2.5370910273333326E7</v>
      </c>
      <c r="F99" s="9">
        <v>3974202.5933333333</v>
      </c>
      <c r="G99" s="6">
        <f t="shared" si="1"/>
        <v>2.629304562</v>
      </c>
      <c r="H99" s="6">
        <f t="shared" si="2"/>
        <v>15.6644068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4.25" customHeight="1">
      <c r="A100" s="5">
        <v>21306.0</v>
      </c>
      <c r="B100" s="5" t="s">
        <v>145</v>
      </c>
      <c r="C100" s="9">
        <v>9916693.982307462</v>
      </c>
      <c r="D100" s="9">
        <v>199325.43999999997</v>
      </c>
      <c r="E100" s="9">
        <v>9634064.586666664</v>
      </c>
      <c r="F100" s="9">
        <v>387457.23</v>
      </c>
      <c r="G100" s="6">
        <f t="shared" si="1"/>
        <v>2.0099989</v>
      </c>
      <c r="H100" s="6">
        <f t="shared" si="2"/>
        <v>4.021742085</v>
      </c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4.25" customHeight="1">
      <c r="A101" s="5">
        <v>21307.0</v>
      </c>
      <c r="B101" s="5" t="s">
        <v>146</v>
      </c>
      <c r="C101" s="9">
        <v>3611292.607967321</v>
      </c>
      <c r="D101" s="9">
        <v>133008.2333333333</v>
      </c>
      <c r="E101" s="9">
        <v>5124096.806666666</v>
      </c>
      <c r="F101" s="9">
        <v>404878.6000000001</v>
      </c>
      <c r="G101" s="6">
        <f t="shared" si="1"/>
        <v>3.683119807</v>
      </c>
      <c r="H101" s="6">
        <f t="shared" si="2"/>
        <v>7.901462741</v>
      </c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4.25" customHeight="1">
      <c r="A102" s="5">
        <v>21401.0</v>
      </c>
      <c r="B102" s="5" t="s">
        <v>147</v>
      </c>
      <c r="C102" s="9">
        <v>1.6346879258186677E7</v>
      </c>
      <c r="D102" s="9">
        <v>1983484.8166666664</v>
      </c>
      <c r="E102" s="9">
        <v>2.124435749333333E7</v>
      </c>
      <c r="F102" s="9">
        <v>3087212.0866666664</v>
      </c>
      <c r="G102" s="6">
        <f t="shared" si="1"/>
        <v>12.13372158</v>
      </c>
      <c r="H102" s="6">
        <f t="shared" si="2"/>
        <v>14.53191553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4.25" customHeight="1">
      <c r="A103" s="5">
        <v>21402.0</v>
      </c>
      <c r="B103" s="5" t="s">
        <v>149</v>
      </c>
      <c r="C103" s="9">
        <v>1.3656887442743635E7</v>
      </c>
      <c r="D103" s="9">
        <v>150650.25999999998</v>
      </c>
      <c r="E103" s="9">
        <v>1.6351802183333328E7</v>
      </c>
      <c r="F103" s="9">
        <v>499878.54000000004</v>
      </c>
      <c r="G103" s="6">
        <f t="shared" si="1"/>
        <v>1.103108308</v>
      </c>
      <c r="H103" s="6">
        <f t="shared" si="2"/>
        <v>3.05702414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4.25" customHeight="1">
      <c r="A104" s="5">
        <v>21501.0</v>
      </c>
      <c r="B104" s="5" t="s">
        <v>150</v>
      </c>
      <c r="C104" s="9">
        <v>7212738.663449273</v>
      </c>
      <c r="D104" s="9">
        <v>617325.49</v>
      </c>
      <c r="E104" s="9">
        <v>9975178.129999999</v>
      </c>
      <c r="F104" s="9">
        <v>1211696.3433333333</v>
      </c>
      <c r="G104" s="6">
        <f t="shared" si="1"/>
        <v>8.558822367</v>
      </c>
      <c r="H104" s="6">
        <f t="shared" si="2"/>
        <v>12.14711484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4.25" customHeight="1">
      <c r="A105" s="5">
        <v>21502.0</v>
      </c>
      <c r="B105" s="5" t="s">
        <v>152</v>
      </c>
      <c r="C105" s="9">
        <v>7914733.147397223</v>
      </c>
      <c r="D105" s="9">
        <v>493720.3133333333</v>
      </c>
      <c r="E105" s="9">
        <v>9302329.013333332</v>
      </c>
      <c r="F105" s="9">
        <v>1148753.5599999998</v>
      </c>
      <c r="G105" s="6">
        <f t="shared" si="1"/>
        <v>6.237990645</v>
      </c>
      <c r="H105" s="6">
        <f t="shared" si="2"/>
        <v>12.34909621</v>
      </c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4.25" customHeight="1">
      <c r="A106" s="5">
        <v>21601.0</v>
      </c>
      <c r="B106" s="5" t="s">
        <v>153</v>
      </c>
      <c r="C106" s="9">
        <v>1.1839267371849567E7</v>
      </c>
      <c r="D106" s="9">
        <v>314161.2</v>
      </c>
      <c r="E106" s="9">
        <v>1.227998444333333E7</v>
      </c>
      <c r="F106" s="9">
        <v>89634.51666666668</v>
      </c>
      <c r="G106" s="6">
        <f t="shared" si="1"/>
        <v>2.653552708</v>
      </c>
      <c r="H106" s="6">
        <f t="shared" si="2"/>
        <v>0.7299236988</v>
      </c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4.25" customHeight="1">
      <c r="A107" s="5">
        <v>21602.0</v>
      </c>
      <c r="B107" s="5" t="s">
        <v>155</v>
      </c>
      <c r="C107" s="9">
        <v>2905635.596322117</v>
      </c>
      <c r="D107" s="9">
        <v>212810.83666666667</v>
      </c>
      <c r="E107" s="9">
        <v>3862776.603333333</v>
      </c>
      <c r="F107" s="9">
        <v>788312.1666666666</v>
      </c>
      <c r="G107" s="6">
        <f t="shared" si="1"/>
        <v>7.324071777</v>
      </c>
      <c r="H107" s="6">
        <f t="shared" si="2"/>
        <v>20.40791502</v>
      </c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4.25" customHeight="1">
      <c r="A108" s="5">
        <v>21701.0</v>
      </c>
      <c r="B108" s="5" t="s">
        <v>156</v>
      </c>
      <c r="C108" s="9">
        <v>1.8664703163799956E7</v>
      </c>
      <c r="D108" s="9">
        <v>1365491.2933333332</v>
      </c>
      <c r="E108" s="9">
        <v>1.5547165096666664E7</v>
      </c>
      <c r="F108" s="9">
        <v>1570707.8966666667</v>
      </c>
      <c r="G108" s="6">
        <f t="shared" si="1"/>
        <v>7.315901471</v>
      </c>
      <c r="H108" s="6">
        <f t="shared" si="2"/>
        <v>10.10285725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4.25" customHeight="1">
      <c r="A109" s="5">
        <v>21702.0</v>
      </c>
      <c r="B109" s="5" t="s">
        <v>158</v>
      </c>
      <c r="C109" s="9">
        <v>7248637.019192885</v>
      </c>
      <c r="D109" s="9">
        <v>11080.32</v>
      </c>
      <c r="E109" s="9">
        <v>5783219.409999999</v>
      </c>
      <c r="F109" s="9">
        <v>119097.39666666667</v>
      </c>
      <c r="G109" s="6">
        <f t="shared" si="1"/>
        <v>0.1528607374</v>
      </c>
      <c r="H109" s="6">
        <f t="shared" si="2"/>
        <v>2.059361546</v>
      </c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4.25" customHeight="1">
      <c r="A110" s="5">
        <v>21703.0</v>
      </c>
      <c r="B110" s="5" t="s">
        <v>159</v>
      </c>
      <c r="C110" s="9">
        <v>2658077.685162488</v>
      </c>
      <c r="D110" s="9">
        <v>569.5</v>
      </c>
      <c r="E110" s="9">
        <v>5881251.456666664</v>
      </c>
      <c r="F110" s="9">
        <v>20909.433333333334</v>
      </c>
      <c r="G110" s="6">
        <f t="shared" si="1"/>
        <v>0.02142525793</v>
      </c>
      <c r="H110" s="6">
        <f t="shared" si="2"/>
        <v>0.3555269399</v>
      </c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4.25" customHeight="1">
      <c r="A111" s="5">
        <v>21801.0</v>
      </c>
      <c r="B111" s="5" t="s">
        <v>160</v>
      </c>
      <c r="C111" s="9">
        <v>9725135.187920691</v>
      </c>
      <c r="D111" s="9">
        <v>352685.45999999996</v>
      </c>
      <c r="E111" s="9">
        <v>8316369.659999999</v>
      </c>
      <c r="F111" s="9">
        <v>25459.103333333333</v>
      </c>
      <c r="G111" s="6">
        <f t="shared" si="1"/>
        <v>3.626535294</v>
      </c>
      <c r="H111" s="6">
        <f t="shared" si="2"/>
        <v>0.3061324156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4.25" customHeight="1">
      <c r="A112" s="5">
        <v>21802.0</v>
      </c>
      <c r="B112" s="5" t="s">
        <v>162</v>
      </c>
      <c r="C112" s="9">
        <v>8283692.732570539</v>
      </c>
      <c r="D112" s="9">
        <v>189225.51333333334</v>
      </c>
      <c r="E112" s="9">
        <v>7194784.393333331</v>
      </c>
      <c r="F112" s="9">
        <v>639851.62</v>
      </c>
      <c r="G112" s="6">
        <f t="shared" si="1"/>
        <v>2.284313523</v>
      </c>
      <c r="H112" s="6">
        <f t="shared" si="2"/>
        <v>8.89327025</v>
      </c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4.25" customHeight="1">
      <c r="A113" s="5">
        <v>21803.0</v>
      </c>
      <c r="B113" s="5" t="s">
        <v>163</v>
      </c>
      <c r="C113" s="9">
        <v>1977850.7693785753</v>
      </c>
      <c r="D113" s="9">
        <v>74496.84333333334</v>
      </c>
      <c r="E113" s="9">
        <v>2008159.756666666</v>
      </c>
      <c r="F113" s="9">
        <v>132858.15666666665</v>
      </c>
      <c r="G113" s="6">
        <f t="shared" si="1"/>
        <v>3.766555318</v>
      </c>
      <c r="H113" s="6">
        <f t="shared" si="2"/>
        <v>6.615915702</v>
      </c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4.25" customHeight="1">
      <c r="A114" s="5">
        <v>21901.0</v>
      </c>
      <c r="B114" s="5" t="s">
        <v>164</v>
      </c>
      <c r="C114" s="9">
        <v>5313653.646669816</v>
      </c>
      <c r="D114" s="9">
        <v>44856.25</v>
      </c>
      <c r="E114" s="9">
        <v>4373743.183333333</v>
      </c>
      <c r="F114" s="9">
        <v>75431.84333333334</v>
      </c>
      <c r="G114" s="6">
        <f t="shared" si="1"/>
        <v>0.8441696238</v>
      </c>
      <c r="H114" s="6">
        <f t="shared" si="2"/>
        <v>1.724651864</v>
      </c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4.25" customHeight="1">
      <c r="A115" s="5">
        <v>21902.0</v>
      </c>
      <c r="B115" s="5" t="s">
        <v>166</v>
      </c>
      <c r="C115" s="9">
        <v>2073505.9584636183</v>
      </c>
      <c r="D115" s="9">
        <v>0.0</v>
      </c>
      <c r="E115" s="9">
        <v>2696707.7100000004</v>
      </c>
      <c r="F115" s="9">
        <v>433.3333333333333</v>
      </c>
      <c r="G115" s="6">
        <f t="shared" si="1"/>
        <v>0</v>
      </c>
      <c r="H115" s="6">
        <f t="shared" si="2"/>
        <v>0.01606897669</v>
      </c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4.25" customHeight="1">
      <c r="A116" s="5">
        <v>22001.0</v>
      </c>
      <c r="B116" s="5" t="s">
        <v>167</v>
      </c>
      <c r="C116" s="9">
        <v>5.5592190986014865E7</v>
      </c>
      <c r="D116" s="9">
        <v>4307875.966666667</v>
      </c>
      <c r="E116" s="9">
        <v>5.527532478666664E7</v>
      </c>
      <c r="F116" s="9">
        <v>8172900.963333334</v>
      </c>
      <c r="G116" s="6">
        <f t="shared" si="1"/>
        <v>7.749066713</v>
      </c>
      <c r="H116" s="6">
        <f t="shared" si="2"/>
        <v>14.7858036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4.25" customHeight="1">
      <c r="A117" s="5">
        <v>22002.0</v>
      </c>
      <c r="B117" s="5" t="s">
        <v>169</v>
      </c>
      <c r="C117" s="9">
        <v>1.018749922307543E7</v>
      </c>
      <c r="D117" s="9">
        <v>547053.5333333333</v>
      </c>
      <c r="E117" s="9">
        <v>1.0985821736666664E7</v>
      </c>
      <c r="F117" s="9">
        <v>509800.9266666667</v>
      </c>
      <c r="G117" s="6">
        <f t="shared" si="1"/>
        <v>5.369851043</v>
      </c>
      <c r="H117" s="6">
        <f t="shared" si="2"/>
        <v>4.640535218</v>
      </c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4.25" customHeight="1">
      <c r="A118" s="5">
        <v>30101.0</v>
      </c>
      <c r="B118" s="5" t="s">
        <v>170</v>
      </c>
      <c r="C118" s="9">
        <v>9.456636737530928E8</v>
      </c>
      <c r="D118" s="9">
        <v>3.2457170040333325E8</v>
      </c>
      <c r="E118" s="9">
        <v>1.1937248046633332E9</v>
      </c>
      <c r="F118" s="9">
        <v>5.9156445921E8</v>
      </c>
      <c r="G118" s="6">
        <f t="shared" si="1"/>
        <v>34.32210726</v>
      </c>
      <c r="H118" s="6">
        <f t="shared" si="2"/>
        <v>49.55618388</v>
      </c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4.25" customHeight="1">
      <c r="A119" s="5">
        <v>30201.0</v>
      </c>
      <c r="B119" s="5" t="s">
        <v>173</v>
      </c>
      <c r="C119" s="9">
        <v>3.5583634046523415E7</v>
      </c>
      <c r="D119" s="9">
        <v>2145109.766666667</v>
      </c>
      <c r="E119" s="9">
        <v>2.8563857046666663E7</v>
      </c>
      <c r="F119" s="9">
        <v>6396307.550000001</v>
      </c>
      <c r="G119" s="6">
        <f t="shared" si="1"/>
        <v>6.028360577</v>
      </c>
      <c r="H119" s="6">
        <f t="shared" si="2"/>
        <v>22.39301065</v>
      </c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4.25" customHeight="1">
      <c r="A120" s="5">
        <v>30202.0</v>
      </c>
      <c r="B120" s="5" t="s">
        <v>175</v>
      </c>
      <c r="C120" s="9">
        <v>6260081.005241611</v>
      </c>
      <c r="D120" s="9">
        <v>347034.5900000001</v>
      </c>
      <c r="E120" s="9">
        <v>7163700.153333332</v>
      </c>
      <c r="F120" s="9">
        <v>635551.6933333334</v>
      </c>
      <c r="G120" s="6">
        <f t="shared" si="1"/>
        <v>5.543611811</v>
      </c>
      <c r="H120" s="6">
        <f t="shared" si="2"/>
        <v>8.8718355</v>
      </c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4.25" customHeight="1">
      <c r="A121" s="5">
        <v>30203.0</v>
      </c>
      <c r="B121" s="5" t="s">
        <v>176</v>
      </c>
      <c r="C121" s="9">
        <v>7937784.484549403</v>
      </c>
      <c r="D121" s="9">
        <v>301734.44</v>
      </c>
      <c r="E121" s="9">
        <v>5929791.459999998</v>
      </c>
      <c r="F121" s="9">
        <v>553277.1</v>
      </c>
      <c r="G121" s="6">
        <f t="shared" si="1"/>
        <v>3.801242533</v>
      </c>
      <c r="H121" s="6">
        <f t="shared" si="2"/>
        <v>9.330464718</v>
      </c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4.25" customHeight="1">
      <c r="A122" s="5">
        <v>30301.0</v>
      </c>
      <c r="B122" s="5" t="s">
        <v>177</v>
      </c>
      <c r="C122" s="9">
        <v>3.6087864993732475E7</v>
      </c>
      <c r="D122" s="9">
        <v>1122367.67</v>
      </c>
      <c r="E122" s="9">
        <v>2.498614637333332E7</v>
      </c>
      <c r="F122" s="9">
        <v>2446526.123333333</v>
      </c>
      <c r="G122" s="6">
        <f t="shared" si="1"/>
        <v>3.110097176</v>
      </c>
      <c r="H122" s="6">
        <f t="shared" si="2"/>
        <v>9.791530422</v>
      </c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4.25" customHeight="1">
      <c r="A123" s="5">
        <v>30302.0</v>
      </c>
      <c r="B123" s="5" t="s">
        <v>179</v>
      </c>
      <c r="C123" s="9">
        <v>2.1539016568180032E7</v>
      </c>
      <c r="D123" s="9">
        <v>117982.82</v>
      </c>
      <c r="E123" s="9">
        <v>1.291372692333333E7</v>
      </c>
      <c r="F123" s="9">
        <v>721735.4033333333</v>
      </c>
      <c r="G123" s="6">
        <f t="shared" si="1"/>
        <v>0.5477632631</v>
      </c>
      <c r="H123" s="6">
        <f t="shared" si="2"/>
        <v>5.588900924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4.25" customHeight="1">
      <c r="A124" s="5">
        <v>30303.0</v>
      </c>
      <c r="B124" s="5" t="s">
        <v>180</v>
      </c>
      <c r="C124" s="9">
        <v>2.2946434553189714E7</v>
      </c>
      <c r="D124" s="9">
        <v>139319.56000000003</v>
      </c>
      <c r="E124" s="9">
        <v>2.1647064346666664E7</v>
      </c>
      <c r="F124" s="9">
        <v>4425371.846666667</v>
      </c>
      <c r="G124" s="6">
        <f t="shared" si="1"/>
        <v>0.6071512316</v>
      </c>
      <c r="H124" s="6">
        <f t="shared" si="2"/>
        <v>20.44328864</v>
      </c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4.25" customHeight="1">
      <c r="A125" s="5">
        <v>30401.0</v>
      </c>
      <c r="B125" s="5" t="s">
        <v>181</v>
      </c>
      <c r="C125" s="9">
        <v>1.17273022476157E7</v>
      </c>
      <c r="D125" s="9">
        <v>831076.4733333335</v>
      </c>
      <c r="E125" s="9">
        <v>9147787.826666666</v>
      </c>
      <c r="F125" s="9">
        <v>1295682.6966666668</v>
      </c>
      <c r="G125" s="6">
        <f t="shared" si="1"/>
        <v>7.086680771</v>
      </c>
      <c r="H125" s="6">
        <f t="shared" si="2"/>
        <v>14.163891</v>
      </c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4.25" customHeight="1">
      <c r="A126" s="5">
        <v>30402.0</v>
      </c>
      <c r="B126" s="5" t="s">
        <v>183</v>
      </c>
      <c r="C126" s="9">
        <v>1.2027627555267068E7</v>
      </c>
      <c r="D126" s="9">
        <v>309949.54000000004</v>
      </c>
      <c r="E126" s="9">
        <v>7079992.876666665</v>
      </c>
      <c r="F126" s="9">
        <v>228272.03000000003</v>
      </c>
      <c r="G126" s="6">
        <f t="shared" si="1"/>
        <v>2.576979862</v>
      </c>
      <c r="H126" s="6">
        <f t="shared" si="2"/>
        <v>3.224184459</v>
      </c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4.25" customHeight="1">
      <c r="A127" s="5">
        <v>30403.0</v>
      </c>
      <c r="B127" s="5" t="s">
        <v>184</v>
      </c>
      <c r="C127" s="9">
        <v>1.284186427840732E7</v>
      </c>
      <c r="D127" s="9">
        <v>1298995.0333333332</v>
      </c>
      <c r="E127" s="9">
        <v>1.956901284333333E7</v>
      </c>
      <c r="F127" s="9">
        <v>2948872.7066666665</v>
      </c>
      <c r="G127" s="6">
        <f t="shared" si="1"/>
        <v>10.11531508</v>
      </c>
      <c r="H127" s="6">
        <f t="shared" si="2"/>
        <v>15.06909281</v>
      </c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4.25" customHeight="1">
      <c r="A128" s="5">
        <v>30404.0</v>
      </c>
      <c r="B128" s="5" t="s">
        <v>185</v>
      </c>
      <c r="C128" s="9">
        <v>6207572.36046692</v>
      </c>
      <c r="D128" s="9">
        <v>155292.17</v>
      </c>
      <c r="E128" s="9">
        <v>4224782.326666665</v>
      </c>
      <c r="F128" s="9">
        <v>65543.50333333334</v>
      </c>
      <c r="G128" s="6">
        <f t="shared" si="1"/>
        <v>2.501657024</v>
      </c>
      <c r="H128" s="6">
        <f t="shared" si="2"/>
        <v>1.551405452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4.25" customHeight="1">
      <c r="A129" s="5">
        <v>30501.0</v>
      </c>
      <c r="B129" s="5" t="s">
        <v>186</v>
      </c>
      <c r="C129" s="9">
        <v>1.4692436537773646E7</v>
      </c>
      <c r="D129" s="9">
        <v>392168.76333333337</v>
      </c>
      <c r="E129" s="9">
        <v>1.0138564173333332E7</v>
      </c>
      <c r="F129" s="9">
        <v>1084062.1333333335</v>
      </c>
      <c r="G129" s="6">
        <f t="shared" si="1"/>
        <v>2.669188071</v>
      </c>
      <c r="H129" s="6">
        <f t="shared" si="2"/>
        <v>10.69246212</v>
      </c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4.25" customHeight="1">
      <c r="A130" s="5">
        <v>30502.0</v>
      </c>
      <c r="B130" s="5" t="s">
        <v>188</v>
      </c>
      <c r="C130" s="9">
        <v>1.6113741096240647E7</v>
      </c>
      <c r="D130" s="9">
        <v>207323.18000000002</v>
      </c>
      <c r="E130" s="9">
        <v>8815818.94</v>
      </c>
      <c r="F130" s="9">
        <v>298682.05</v>
      </c>
      <c r="G130" s="6">
        <f t="shared" si="1"/>
        <v>1.286623502</v>
      </c>
      <c r="H130" s="6">
        <f t="shared" si="2"/>
        <v>3.38802387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4.25" customHeight="1">
      <c r="A131" s="5">
        <v>30601.0</v>
      </c>
      <c r="B131" s="5" t="s">
        <v>189</v>
      </c>
      <c r="C131" s="9">
        <v>1.5790529440140748E7</v>
      </c>
      <c r="D131" s="9">
        <v>195193.40333333332</v>
      </c>
      <c r="E131" s="9">
        <v>1.061083933333333E7</v>
      </c>
      <c r="F131" s="9">
        <v>515945.6833333333</v>
      </c>
      <c r="G131" s="6">
        <f t="shared" si="1"/>
        <v>1.236142234</v>
      </c>
      <c r="H131" s="6">
        <f t="shared" si="2"/>
        <v>4.86243988</v>
      </c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4.25" customHeight="1">
      <c r="A132" s="5">
        <v>30602.0</v>
      </c>
      <c r="B132" s="5" t="s">
        <v>191</v>
      </c>
      <c r="C132" s="9">
        <v>1.5532170788248917E7</v>
      </c>
      <c r="D132" s="9">
        <v>227877.65666666665</v>
      </c>
      <c r="E132" s="9">
        <v>1.015919958E7</v>
      </c>
      <c r="F132" s="9">
        <v>390906.2633333334</v>
      </c>
      <c r="G132" s="6">
        <f t="shared" si="1"/>
        <v>1.467133344</v>
      </c>
      <c r="H132" s="6">
        <f t="shared" si="2"/>
        <v>3.847805728</v>
      </c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4.25" customHeight="1">
      <c r="A133" s="5">
        <v>30701.0</v>
      </c>
      <c r="B133" s="5" t="s">
        <v>192</v>
      </c>
      <c r="C133" s="9">
        <v>2.4394492307369664E7</v>
      </c>
      <c r="D133" s="9">
        <v>3102698.8866666667</v>
      </c>
      <c r="E133" s="9">
        <v>2.1702677716666657E7</v>
      </c>
      <c r="F133" s="9">
        <v>3146467.8033333328</v>
      </c>
      <c r="G133" s="6">
        <f t="shared" si="1"/>
        <v>12.71885001</v>
      </c>
      <c r="H133" s="6">
        <f t="shared" si="2"/>
        <v>14.49806261</v>
      </c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4.25" customHeight="1">
      <c r="A134" s="5">
        <v>30702.0</v>
      </c>
      <c r="B134" s="5" t="s">
        <v>194</v>
      </c>
      <c r="C134" s="9">
        <v>9030647.673556775</v>
      </c>
      <c r="D134" s="9">
        <v>1094746.0766666667</v>
      </c>
      <c r="E134" s="9">
        <v>1.0027433976666665E7</v>
      </c>
      <c r="F134" s="9">
        <v>3809280.01</v>
      </c>
      <c r="G134" s="6">
        <f t="shared" si="1"/>
        <v>12.12256436</v>
      </c>
      <c r="H134" s="6">
        <f t="shared" si="2"/>
        <v>37.98858231</v>
      </c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4.25" customHeight="1">
      <c r="A135" s="5">
        <v>30703.0</v>
      </c>
      <c r="B135" s="5" t="s">
        <v>195</v>
      </c>
      <c r="C135" s="9">
        <v>3064684.300554458</v>
      </c>
      <c r="D135" s="9">
        <v>209884.19666666668</v>
      </c>
      <c r="E135" s="9">
        <v>4238413.666666664</v>
      </c>
      <c r="F135" s="9">
        <v>675612.0133333333</v>
      </c>
      <c r="G135" s="6">
        <f t="shared" si="1"/>
        <v>6.848476909</v>
      </c>
      <c r="H135" s="6">
        <f t="shared" si="2"/>
        <v>15.94020939</v>
      </c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4.25" customHeight="1">
      <c r="A136" s="5">
        <v>30801.0</v>
      </c>
      <c r="B136" s="5" t="s">
        <v>196</v>
      </c>
      <c r="C136" s="9">
        <v>2.8565833438896447E7</v>
      </c>
      <c r="D136" s="9">
        <v>4431525.8533333335</v>
      </c>
      <c r="E136" s="9">
        <v>2.766896073666666E7</v>
      </c>
      <c r="F136" s="9">
        <v>6805396.613333333</v>
      </c>
      <c r="G136" s="6">
        <f t="shared" si="1"/>
        <v>15.51337847</v>
      </c>
      <c r="H136" s="6">
        <f t="shared" si="2"/>
        <v>24.59577965</v>
      </c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4.25" customHeight="1">
      <c r="A137" s="5">
        <v>30802.0</v>
      </c>
      <c r="B137" s="5" t="s">
        <v>198</v>
      </c>
      <c r="C137" s="9">
        <v>8807065.868324907</v>
      </c>
      <c r="D137" s="9">
        <v>494385.5033333334</v>
      </c>
      <c r="E137" s="9">
        <v>7134229.34</v>
      </c>
      <c r="F137" s="9">
        <v>411133.3133333333</v>
      </c>
      <c r="G137" s="6">
        <f t="shared" si="1"/>
        <v>5.613509774</v>
      </c>
      <c r="H137" s="6">
        <f t="shared" si="2"/>
        <v>5.762827262</v>
      </c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4.25" customHeight="1">
      <c r="A138" s="5">
        <v>30803.0</v>
      </c>
      <c r="B138" s="5" t="s">
        <v>200</v>
      </c>
      <c r="C138" s="9">
        <v>7638715.064273319</v>
      </c>
      <c r="D138" s="9">
        <v>1141436.2433333334</v>
      </c>
      <c r="E138" s="9">
        <v>7060326.829999999</v>
      </c>
      <c r="F138" s="9">
        <v>1780634.7433333334</v>
      </c>
      <c r="G138" s="6">
        <f t="shared" si="1"/>
        <v>14.94277812</v>
      </c>
      <c r="H138" s="6">
        <f t="shared" si="2"/>
        <v>25.22028776</v>
      </c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4.25" customHeight="1">
      <c r="A139" s="5">
        <v>30901.0</v>
      </c>
      <c r="B139" s="5" t="s">
        <v>201</v>
      </c>
      <c r="C139" s="9">
        <v>1.7686071593484953E8</v>
      </c>
      <c r="D139" s="9">
        <v>5.138146940333333E7</v>
      </c>
      <c r="E139" s="9">
        <v>2.2852431286666667E8</v>
      </c>
      <c r="F139" s="9">
        <v>9.782193831E7</v>
      </c>
      <c r="G139" s="6">
        <f t="shared" si="1"/>
        <v>29.05194018</v>
      </c>
      <c r="H139" s="6">
        <f t="shared" si="2"/>
        <v>42.80592165</v>
      </c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4.25" customHeight="1">
      <c r="A140" s="5">
        <v>30902.0</v>
      </c>
      <c r="B140" s="5" t="s">
        <v>203</v>
      </c>
      <c r="C140" s="9">
        <v>4.096815624504896E7</v>
      </c>
      <c r="D140" s="9">
        <v>2157206.653333334</v>
      </c>
      <c r="E140" s="9">
        <v>4.748557524666665E7</v>
      </c>
      <c r="F140" s="9">
        <v>7878554.626666668</v>
      </c>
      <c r="G140" s="6">
        <f t="shared" si="1"/>
        <v>5.265569289</v>
      </c>
      <c r="H140" s="6">
        <f t="shared" si="2"/>
        <v>16.59146927</v>
      </c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4.25" customHeight="1">
      <c r="A141" s="5">
        <v>30903.0</v>
      </c>
      <c r="B141" s="5" t="s">
        <v>204</v>
      </c>
      <c r="C141" s="9">
        <v>6.1287211859728955E7</v>
      </c>
      <c r="D141" s="9">
        <v>1.5193420670000002E7</v>
      </c>
      <c r="E141" s="9">
        <v>8.591952879666664E7</v>
      </c>
      <c r="F141" s="9">
        <v>3.456497719E7</v>
      </c>
      <c r="G141" s="6">
        <f t="shared" si="1"/>
        <v>24.79052352</v>
      </c>
      <c r="H141" s="6">
        <f t="shared" si="2"/>
        <v>40.22947713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4.25" customHeight="1">
      <c r="A142" s="5">
        <v>30904.0</v>
      </c>
      <c r="B142" s="5" t="s">
        <v>205</v>
      </c>
      <c r="C142" s="9">
        <v>4.377483907759466E7</v>
      </c>
      <c r="D142" s="9">
        <v>5194326.236666666</v>
      </c>
      <c r="E142" s="9">
        <v>6.748136749666665E7</v>
      </c>
      <c r="F142" s="9">
        <v>1.7968586673333332E7</v>
      </c>
      <c r="G142" s="6">
        <f t="shared" si="1"/>
        <v>11.86600875</v>
      </c>
      <c r="H142" s="6">
        <f t="shared" si="2"/>
        <v>26.62747858</v>
      </c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4.25" customHeight="1">
      <c r="A143" s="5">
        <v>30905.0</v>
      </c>
      <c r="B143" s="5" t="s">
        <v>206</v>
      </c>
      <c r="C143" s="9">
        <v>6.389693717277553E7</v>
      </c>
      <c r="D143" s="9">
        <v>1.3733020166666666E7</v>
      </c>
      <c r="E143" s="9">
        <v>9.071707814999999E7</v>
      </c>
      <c r="F143" s="9">
        <v>4.1183317586666666E7</v>
      </c>
      <c r="G143" s="6">
        <f t="shared" si="1"/>
        <v>21.49245453</v>
      </c>
      <c r="H143" s="6">
        <f t="shared" si="2"/>
        <v>45.39753531</v>
      </c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4.25" customHeight="1">
      <c r="A144" s="5">
        <v>31001.0</v>
      </c>
      <c r="B144" s="5" t="s">
        <v>207</v>
      </c>
      <c r="C144" s="9">
        <v>1.816112026756457E8</v>
      </c>
      <c r="D144" s="9">
        <v>3.935957287333333E7</v>
      </c>
      <c r="E144" s="9">
        <v>2.5143789744999996E8</v>
      </c>
      <c r="F144" s="9">
        <v>8.712842986999999E7</v>
      </c>
      <c r="G144" s="6">
        <f t="shared" si="1"/>
        <v>21.67243666</v>
      </c>
      <c r="H144" s="6">
        <f t="shared" si="2"/>
        <v>34.65206747</v>
      </c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4.25" customHeight="1">
      <c r="A145" s="5">
        <v>31002.0</v>
      </c>
      <c r="B145" s="5" t="s">
        <v>209</v>
      </c>
      <c r="C145" s="9">
        <v>2.280805004292628E7</v>
      </c>
      <c r="D145" s="9">
        <v>995191.7600000001</v>
      </c>
      <c r="E145" s="9">
        <v>2.065948161666666E7</v>
      </c>
      <c r="F145" s="9">
        <v>2280440.9133333336</v>
      </c>
      <c r="G145" s="6">
        <f t="shared" si="1"/>
        <v>4.363335568</v>
      </c>
      <c r="H145" s="6">
        <f t="shared" si="2"/>
        <v>11.03822911</v>
      </c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4.25" customHeight="1">
      <c r="A146" s="5">
        <v>31003.0</v>
      </c>
      <c r="B146" s="5" t="s">
        <v>210</v>
      </c>
      <c r="C146" s="9">
        <v>7.291249910494177E7</v>
      </c>
      <c r="D146" s="9">
        <v>7121822.849999999</v>
      </c>
      <c r="E146" s="9">
        <v>8.963922954333334E7</v>
      </c>
      <c r="F146" s="9">
        <v>2.162041871E7</v>
      </c>
      <c r="G146" s="6">
        <f t="shared" si="1"/>
        <v>9.767629607</v>
      </c>
      <c r="H146" s="6">
        <f t="shared" si="2"/>
        <v>24.11937142</v>
      </c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4.25" customHeight="1">
      <c r="A147" s="5">
        <v>31101.0</v>
      </c>
      <c r="B147" s="5" t="s">
        <v>211</v>
      </c>
      <c r="C147" s="9">
        <v>3.45207259886929E7</v>
      </c>
      <c r="D147" s="9">
        <v>485458.8033333333</v>
      </c>
      <c r="E147" s="9">
        <v>2.4404105943333328E7</v>
      </c>
      <c r="F147" s="9">
        <v>942800.7533333333</v>
      </c>
      <c r="G147" s="6">
        <f t="shared" si="1"/>
        <v>1.406282138</v>
      </c>
      <c r="H147" s="6">
        <f t="shared" si="2"/>
        <v>3.863287414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4.25" customHeight="1">
      <c r="A148" s="5">
        <v>31201.0</v>
      </c>
      <c r="B148" s="5" t="s">
        <v>213</v>
      </c>
      <c r="C148" s="9">
        <v>1.7143444036082584E7</v>
      </c>
      <c r="D148" s="9">
        <v>571126.2666666667</v>
      </c>
      <c r="E148" s="9">
        <v>1.536472607333333E7</v>
      </c>
      <c r="F148" s="9">
        <v>1393127.8066666666</v>
      </c>
      <c r="G148" s="6">
        <f t="shared" si="1"/>
        <v>3.331455835</v>
      </c>
      <c r="H148" s="6">
        <f t="shared" si="2"/>
        <v>9.067052676</v>
      </c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4.25" customHeight="1">
      <c r="A149" s="5">
        <v>31202.0</v>
      </c>
      <c r="B149" s="5" t="s">
        <v>215</v>
      </c>
      <c r="C149" s="9">
        <v>1.49188793699051E7</v>
      </c>
      <c r="D149" s="9">
        <v>233220.82333333333</v>
      </c>
      <c r="E149" s="9">
        <v>9997470.523333332</v>
      </c>
      <c r="F149" s="9">
        <v>321758.64333333325</v>
      </c>
      <c r="G149" s="6">
        <f t="shared" si="1"/>
        <v>1.563259663</v>
      </c>
      <c r="H149" s="6">
        <f t="shared" si="2"/>
        <v>3.21840052</v>
      </c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4.25" customHeight="1">
      <c r="A150" s="5">
        <v>31203.0</v>
      </c>
      <c r="B150" s="5" t="s">
        <v>216</v>
      </c>
      <c r="C150" s="9">
        <v>1.7313586648232494E7</v>
      </c>
      <c r="D150" s="9">
        <v>237935.19333333336</v>
      </c>
      <c r="E150" s="9">
        <v>1.0496678256666666E7</v>
      </c>
      <c r="F150" s="9">
        <v>255017.61000000002</v>
      </c>
      <c r="G150" s="6">
        <f t="shared" si="1"/>
        <v>1.374268649</v>
      </c>
      <c r="H150" s="6">
        <f t="shared" si="2"/>
        <v>2.429507733</v>
      </c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4.25" customHeight="1">
      <c r="A151" s="5">
        <v>31204.0</v>
      </c>
      <c r="B151" s="5" t="s">
        <v>217</v>
      </c>
      <c r="C151" s="9">
        <v>2.088604057320197E7</v>
      </c>
      <c r="D151" s="9">
        <v>1754732.6833333333</v>
      </c>
      <c r="E151" s="9">
        <v>2.5360989219999995E7</v>
      </c>
      <c r="F151" s="9">
        <v>4652565.29</v>
      </c>
      <c r="G151" s="6">
        <f t="shared" si="1"/>
        <v>8.401461623</v>
      </c>
      <c r="H151" s="6">
        <f t="shared" si="2"/>
        <v>18.34536204</v>
      </c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4.25" customHeight="1">
      <c r="A152" s="5">
        <v>31205.0</v>
      </c>
      <c r="B152" s="5" t="s">
        <v>218</v>
      </c>
      <c r="C152" s="9">
        <v>5.4365559151017316E7</v>
      </c>
      <c r="D152" s="9">
        <v>3384461.94</v>
      </c>
      <c r="E152" s="9">
        <v>5.6693374836666666E7</v>
      </c>
      <c r="F152" s="9">
        <v>1.2268933459999999E7</v>
      </c>
      <c r="G152" s="6">
        <f t="shared" si="1"/>
        <v>6.225378701</v>
      </c>
      <c r="H152" s="6">
        <f t="shared" si="2"/>
        <v>21.64085926</v>
      </c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4.25" customHeight="1">
      <c r="A153" s="5">
        <v>31206.0</v>
      </c>
      <c r="B153" s="5" t="s">
        <v>219</v>
      </c>
      <c r="C153" s="9">
        <v>3.1342012936804846E7</v>
      </c>
      <c r="D153" s="9">
        <v>3618561.4433333334</v>
      </c>
      <c r="E153" s="9">
        <v>4.522562236666665E7</v>
      </c>
      <c r="F153" s="9">
        <v>1.5167151556666667E7</v>
      </c>
      <c r="G153" s="6">
        <f t="shared" si="1"/>
        <v>11.54540218</v>
      </c>
      <c r="H153" s="6">
        <f t="shared" si="2"/>
        <v>33.53663424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4.25" customHeight="1">
      <c r="A154" s="5">
        <v>31301.0</v>
      </c>
      <c r="B154" s="5" t="s">
        <v>220</v>
      </c>
      <c r="C154" s="9">
        <v>3.644243071026506E7</v>
      </c>
      <c r="D154" s="9">
        <v>2298696.4000000004</v>
      </c>
      <c r="E154" s="9">
        <v>2.2525208166666657E7</v>
      </c>
      <c r="F154" s="9">
        <v>3894165.313333334</v>
      </c>
      <c r="G154" s="6">
        <f t="shared" si="1"/>
        <v>6.307747192</v>
      </c>
      <c r="H154" s="6">
        <f t="shared" si="2"/>
        <v>17.28803252</v>
      </c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4.25" customHeight="1">
      <c r="A155" s="5">
        <v>31302.0</v>
      </c>
      <c r="B155" s="5" t="s">
        <v>222</v>
      </c>
      <c r="C155" s="9">
        <v>6044540.965133953</v>
      </c>
      <c r="D155" s="9">
        <v>109015.90333333332</v>
      </c>
      <c r="E155" s="9">
        <v>5251175.55</v>
      </c>
      <c r="F155" s="9">
        <v>50561.079999999994</v>
      </c>
      <c r="G155" s="6">
        <f t="shared" si="1"/>
        <v>1.80354313</v>
      </c>
      <c r="H155" s="6">
        <f t="shared" si="2"/>
        <v>0.962852594</v>
      </c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4.25" customHeight="1">
      <c r="A156" s="5">
        <v>31303.0</v>
      </c>
      <c r="B156" s="5" t="s">
        <v>223</v>
      </c>
      <c r="C156" s="9">
        <v>6644039.432830614</v>
      </c>
      <c r="D156" s="9">
        <v>268894.7266666666</v>
      </c>
      <c r="E156" s="9">
        <v>3305252.6866666656</v>
      </c>
      <c r="F156" s="9">
        <v>21614.47333333333</v>
      </c>
      <c r="G156" s="6">
        <f t="shared" si="1"/>
        <v>4.047157296</v>
      </c>
      <c r="H156" s="6">
        <f t="shared" si="2"/>
        <v>0.6539431439</v>
      </c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4.25" customHeight="1">
      <c r="A157" s="10">
        <v>31304.0</v>
      </c>
      <c r="B157" s="10" t="s">
        <v>224</v>
      </c>
      <c r="C157" s="9">
        <v>0.0</v>
      </c>
      <c r="D157" s="9">
        <v>0.0</v>
      </c>
      <c r="E157" s="9">
        <v>7245132.78</v>
      </c>
      <c r="F157" s="9">
        <v>255458.10000000056</v>
      </c>
      <c r="G157" s="6">
        <v>0.0</v>
      </c>
      <c r="H157" s="6">
        <f t="shared" si="2"/>
        <v>3.525927098</v>
      </c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4.25" customHeight="1">
      <c r="A158" s="5">
        <v>31401.0</v>
      </c>
      <c r="B158" s="5" t="s">
        <v>225</v>
      </c>
      <c r="C158" s="9">
        <v>4.1384832944765784E7</v>
      </c>
      <c r="D158" s="9">
        <v>9466962.39</v>
      </c>
      <c r="E158" s="9">
        <v>4.6430179923333324E7</v>
      </c>
      <c r="F158" s="9">
        <v>1.8908712026666667E7</v>
      </c>
      <c r="G158" s="6">
        <f t="shared" ref="G158:G215" si="3">(D158*100)/C158</f>
        <v>22.87543942</v>
      </c>
      <c r="H158" s="6">
        <f t="shared" si="2"/>
        <v>40.72504577</v>
      </c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4.25" customHeight="1">
      <c r="A159" s="5">
        <v>31402.0</v>
      </c>
      <c r="B159" s="5" t="s">
        <v>227</v>
      </c>
      <c r="C159" s="9">
        <v>7492986.819642484</v>
      </c>
      <c r="D159" s="9">
        <v>170757.41666666666</v>
      </c>
      <c r="E159" s="9">
        <v>8295569.619999997</v>
      </c>
      <c r="F159" s="9">
        <v>545411.2166666667</v>
      </c>
      <c r="G159" s="6">
        <f t="shared" si="3"/>
        <v>2.278896531</v>
      </c>
      <c r="H159" s="6">
        <f t="shared" si="2"/>
        <v>6.574728941</v>
      </c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4.25" customHeight="1">
      <c r="A160" s="5">
        <v>31403.0</v>
      </c>
      <c r="B160" s="5" t="s">
        <v>228</v>
      </c>
      <c r="C160" s="9">
        <v>1.676656484733729E7</v>
      </c>
      <c r="D160" s="9">
        <v>1126639.6500000001</v>
      </c>
      <c r="E160" s="9">
        <v>1.4735931799999997E7</v>
      </c>
      <c r="F160" s="9">
        <v>1815067.4733333334</v>
      </c>
      <c r="G160" s="6">
        <f t="shared" si="3"/>
        <v>6.719561581</v>
      </c>
      <c r="H160" s="6">
        <f t="shared" si="2"/>
        <v>12.31729013</v>
      </c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4.25" customHeight="1">
      <c r="A161" s="5">
        <v>31404.0</v>
      </c>
      <c r="B161" s="5" t="s">
        <v>229</v>
      </c>
      <c r="C161" s="9">
        <v>1572890.979608804</v>
      </c>
      <c r="D161" s="9">
        <v>240175.58</v>
      </c>
      <c r="E161" s="9">
        <v>1259598.0233333332</v>
      </c>
      <c r="F161" s="9">
        <v>18709.95333333333</v>
      </c>
      <c r="G161" s="6">
        <f t="shared" si="3"/>
        <v>15.26969021</v>
      </c>
      <c r="H161" s="6">
        <f t="shared" si="2"/>
        <v>1.485390814</v>
      </c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4.25" customHeight="1">
      <c r="A162" s="5">
        <v>31405.0</v>
      </c>
      <c r="B162" s="5" t="s">
        <v>230</v>
      </c>
      <c r="C162" s="9">
        <v>2519186.507833919</v>
      </c>
      <c r="D162" s="9">
        <v>83960.03</v>
      </c>
      <c r="E162" s="9">
        <v>2690020.3299999987</v>
      </c>
      <c r="F162" s="9">
        <v>53565.59</v>
      </c>
      <c r="G162" s="6">
        <f t="shared" si="3"/>
        <v>3.332823105</v>
      </c>
      <c r="H162" s="6">
        <f t="shared" si="2"/>
        <v>1.991270824</v>
      </c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4.25" customHeight="1">
      <c r="A163" s="5">
        <v>31501.0</v>
      </c>
      <c r="B163" s="5" t="s">
        <v>231</v>
      </c>
      <c r="C163" s="9">
        <v>1.137578768823742E7</v>
      </c>
      <c r="D163" s="9">
        <v>170280.70333333334</v>
      </c>
      <c r="E163" s="9">
        <v>7213390.413333331</v>
      </c>
      <c r="F163" s="9">
        <v>278781.18666666665</v>
      </c>
      <c r="G163" s="6">
        <f t="shared" si="3"/>
        <v>1.496869562</v>
      </c>
      <c r="H163" s="6">
        <f t="shared" si="2"/>
        <v>3.864773299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4.25" customHeight="1">
      <c r="A164" s="5">
        <v>31601.0</v>
      </c>
      <c r="B164" s="5" t="s">
        <v>233</v>
      </c>
      <c r="C164" s="9">
        <v>2.60155152319811E7</v>
      </c>
      <c r="D164" s="9">
        <v>574879.4500000001</v>
      </c>
      <c r="E164" s="9">
        <v>2.2094605116666663E7</v>
      </c>
      <c r="F164" s="9">
        <v>1867351.423333333</v>
      </c>
      <c r="G164" s="6">
        <f t="shared" si="3"/>
        <v>2.209756158</v>
      </c>
      <c r="H164" s="6">
        <f t="shared" si="2"/>
        <v>8.451617096</v>
      </c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4.25" customHeight="1">
      <c r="A165" s="5">
        <v>31602.0</v>
      </c>
      <c r="B165" s="5" t="s">
        <v>235</v>
      </c>
      <c r="C165" s="9">
        <v>1.9926775975853715E7</v>
      </c>
      <c r="D165" s="9">
        <v>1502618.9933333334</v>
      </c>
      <c r="E165" s="9">
        <v>2.417867145333333E7</v>
      </c>
      <c r="F165" s="9">
        <v>4322555.806666667</v>
      </c>
      <c r="G165" s="6">
        <f t="shared" si="3"/>
        <v>7.540702998</v>
      </c>
      <c r="H165" s="6">
        <f t="shared" si="2"/>
        <v>17.87755715</v>
      </c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4.25" customHeight="1">
      <c r="A166" s="5">
        <v>40101.0</v>
      </c>
      <c r="B166" s="5" t="s">
        <v>236</v>
      </c>
      <c r="C166" s="9">
        <v>5.203502229280329E8</v>
      </c>
      <c r="D166" s="9">
        <v>1.0410040970333333E8</v>
      </c>
      <c r="E166" s="9">
        <v>5.203768985799999E8</v>
      </c>
      <c r="F166" s="9">
        <v>1.9242340036666667E8</v>
      </c>
      <c r="G166" s="6">
        <f t="shared" si="3"/>
        <v>20.00583552</v>
      </c>
      <c r="H166" s="6">
        <f t="shared" si="2"/>
        <v>36.97769845</v>
      </c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4.25" customHeight="1">
      <c r="A167" s="5">
        <v>40102.0</v>
      </c>
      <c r="B167" s="5" t="s">
        <v>238</v>
      </c>
      <c r="C167" s="9">
        <v>4.676392699579274E7</v>
      </c>
      <c r="D167" s="9">
        <v>2454522.1666666665</v>
      </c>
      <c r="E167" s="9">
        <v>3.097332065333332E7</v>
      </c>
      <c r="F167" s="9">
        <v>2361484.3233333332</v>
      </c>
      <c r="G167" s="6">
        <f t="shared" si="3"/>
        <v>5.248751173</v>
      </c>
      <c r="H167" s="6">
        <f t="shared" si="2"/>
        <v>7.624252981</v>
      </c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4.25" customHeight="1">
      <c r="A168" s="5">
        <v>40103.0</v>
      </c>
      <c r="B168" s="5" t="s">
        <v>239</v>
      </c>
      <c r="C168" s="9">
        <v>1.162347659240237E7</v>
      </c>
      <c r="D168" s="9">
        <v>8676.483333333334</v>
      </c>
      <c r="E168" s="9">
        <v>1.0984911546666667E7</v>
      </c>
      <c r="F168" s="9">
        <v>185431.58333333334</v>
      </c>
      <c r="G168" s="6">
        <f t="shared" si="3"/>
        <v>0.07464619784</v>
      </c>
      <c r="H168" s="6">
        <f t="shared" si="2"/>
        <v>1.688057137</v>
      </c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4.25" customHeight="1">
      <c r="A169" s="5">
        <v>40104.0</v>
      </c>
      <c r="B169" s="5" t="s">
        <v>240</v>
      </c>
      <c r="C169" s="9">
        <v>2.9530110558591932E7</v>
      </c>
      <c r="D169" s="9">
        <v>393324.9733333333</v>
      </c>
      <c r="E169" s="9">
        <v>1.788920428666666E7</v>
      </c>
      <c r="F169" s="9">
        <v>1988632.1333333335</v>
      </c>
      <c r="G169" s="6">
        <f t="shared" si="3"/>
        <v>1.331945482</v>
      </c>
      <c r="H169" s="6">
        <f t="shared" si="2"/>
        <v>11.11638115</v>
      </c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4.25" customHeight="1">
      <c r="A170" s="5">
        <v>40201.0</v>
      </c>
      <c r="B170" s="5" t="s">
        <v>241</v>
      </c>
      <c r="C170" s="9">
        <v>5.676123590122369E7</v>
      </c>
      <c r="D170" s="9">
        <v>1649845.1933333334</v>
      </c>
      <c r="E170" s="9">
        <v>4.026508963666663E7</v>
      </c>
      <c r="F170" s="9">
        <v>4470132.983333333</v>
      </c>
      <c r="G170" s="6">
        <f t="shared" si="3"/>
        <v>2.906640716</v>
      </c>
      <c r="H170" s="6">
        <f t="shared" si="2"/>
        <v>11.10175843</v>
      </c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4.25" customHeight="1">
      <c r="A171" s="5">
        <v>40202.0</v>
      </c>
      <c r="B171" s="5" t="s">
        <v>243</v>
      </c>
      <c r="C171" s="9">
        <v>6967790.229775141</v>
      </c>
      <c r="D171" s="9">
        <v>86782.31</v>
      </c>
      <c r="E171" s="9">
        <v>5061242.559999999</v>
      </c>
      <c r="F171" s="9">
        <v>47373.97333333333</v>
      </c>
      <c r="G171" s="6">
        <f t="shared" si="3"/>
        <v>1.245478224</v>
      </c>
      <c r="H171" s="6">
        <f t="shared" si="2"/>
        <v>0.9360146796</v>
      </c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4.25" customHeight="1">
      <c r="A172" s="5">
        <v>40301.0</v>
      </c>
      <c r="B172" s="5" t="s">
        <v>244</v>
      </c>
      <c r="C172" s="9">
        <v>1.858987438952431E7</v>
      </c>
      <c r="D172" s="9">
        <v>116781.47000000002</v>
      </c>
      <c r="E172" s="9">
        <v>1.1593694809999997E7</v>
      </c>
      <c r="F172" s="9">
        <v>180251.75333333333</v>
      </c>
      <c r="G172" s="6">
        <f t="shared" si="3"/>
        <v>0.6281993496</v>
      </c>
      <c r="H172" s="6">
        <f t="shared" si="2"/>
        <v>1.554739505</v>
      </c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4.25" customHeight="1">
      <c r="A173" s="5">
        <v>40302.0</v>
      </c>
      <c r="B173" s="5" t="s">
        <v>246</v>
      </c>
      <c r="C173" s="9">
        <v>3446530.0347651304</v>
      </c>
      <c r="D173" s="9">
        <v>0.0</v>
      </c>
      <c r="E173" s="9">
        <v>2331307.976666666</v>
      </c>
      <c r="F173" s="9">
        <v>41900.40333333333</v>
      </c>
      <c r="G173" s="6">
        <f t="shared" si="3"/>
        <v>0</v>
      </c>
      <c r="H173" s="6">
        <f t="shared" si="2"/>
        <v>1.797291639</v>
      </c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4.25" customHeight="1">
      <c r="A174" s="5">
        <v>40401.0</v>
      </c>
      <c r="B174" s="5" t="s">
        <v>247</v>
      </c>
      <c r="C174" s="9">
        <v>1.1378403181296492E7</v>
      </c>
      <c r="D174" s="9">
        <v>104384.2</v>
      </c>
      <c r="E174" s="9">
        <v>5633246.136666666</v>
      </c>
      <c r="F174" s="9">
        <v>454746.74000000005</v>
      </c>
      <c r="G174" s="6">
        <f t="shared" si="3"/>
        <v>0.9173888316</v>
      </c>
      <c r="H174" s="6">
        <f t="shared" si="2"/>
        <v>8.07255229</v>
      </c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4.25" customHeight="1">
      <c r="A175" s="5">
        <v>40402.0</v>
      </c>
      <c r="B175" s="5" t="s">
        <v>249</v>
      </c>
      <c r="C175" s="9">
        <v>9010135.880383335</v>
      </c>
      <c r="D175" s="9">
        <v>125413.52999999998</v>
      </c>
      <c r="E175" s="9">
        <v>6982529.369999998</v>
      </c>
      <c r="F175" s="9">
        <v>537731.1966666667</v>
      </c>
      <c r="G175" s="6">
        <f t="shared" si="3"/>
        <v>1.391916078</v>
      </c>
      <c r="H175" s="6">
        <f t="shared" si="2"/>
        <v>7.701094663</v>
      </c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4.25" customHeight="1">
      <c r="A176" s="5">
        <v>40501.0</v>
      </c>
      <c r="B176" s="5" t="s">
        <v>250</v>
      </c>
      <c r="C176" s="9">
        <v>3469707.366067453</v>
      </c>
      <c r="D176" s="9">
        <v>31376.486666666668</v>
      </c>
      <c r="E176" s="9">
        <v>1578304.4133333329</v>
      </c>
      <c r="F176" s="9">
        <v>337338.38666666666</v>
      </c>
      <c r="G176" s="6">
        <f t="shared" si="3"/>
        <v>0.9042977795</v>
      </c>
      <c r="H176" s="6">
        <f t="shared" si="2"/>
        <v>21.37346787</v>
      </c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4.25" customHeight="1">
      <c r="A177" s="5">
        <v>40502.0</v>
      </c>
      <c r="B177" s="5" t="s">
        <v>252</v>
      </c>
      <c r="C177" s="9">
        <v>1838804.0315934673</v>
      </c>
      <c r="D177" s="9">
        <v>0.0</v>
      </c>
      <c r="E177" s="9">
        <v>7483655.796666667</v>
      </c>
      <c r="F177" s="9">
        <v>2256881.0</v>
      </c>
      <c r="G177" s="6">
        <f t="shared" si="3"/>
        <v>0</v>
      </c>
      <c r="H177" s="6">
        <f t="shared" si="2"/>
        <v>30.15746664</v>
      </c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4.25" customHeight="1">
      <c r="A178" s="5">
        <v>40503.0</v>
      </c>
      <c r="B178" s="5" t="s">
        <v>253</v>
      </c>
      <c r="C178" s="9">
        <v>1871663.0036139172</v>
      </c>
      <c r="D178" s="9">
        <v>433.3333333333333</v>
      </c>
      <c r="E178" s="9">
        <v>3429487.5999999996</v>
      </c>
      <c r="F178" s="9">
        <v>995254.7833333333</v>
      </c>
      <c r="G178" s="6">
        <f t="shared" si="3"/>
        <v>0.02315231602</v>
      </c>
      <c r="H178" s="6">
        <f t="shared" si="2"/>
        <v>29.02050975</v>
      </c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4.25" customHeight="1">
      <c r="A179" s="5">
        <v>40504.0</v>
      </c>
      <c r="B179" s="5" t="s">
        <v>254</v>
      </c>
      <c r="C179" s="9">
        <v>477327.51345296233</v>
      </c>
      <c r="D179" s="9">
        <v>21.87</v>
      </c>
      <c r="E179" s="9">
        <v>652549.8799999999</v>
      </c>
      <c r="F179" s="9">
        <v>16881.666666666668</v>
      </c>
      <c r="G179" s="6">
        <f t="shared" si="3"/>
        <v>0.004581759774</v>
      </c>
      <c r="H179" s="6">
        <f t="shared" si="2"/>
        <v>2.587030844</v>
      </c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4.25" customHeight="1">
      <c r="A180" s="5">
        <v>40505.0</v>
      </c>
      <c r="B180" s="5" t="s">
        <v>255</v>
      </c>
      <c r="C180" s="9">
        <v>2267670.862396581</v>
      </c>
      <c r="D180" s="9">
        <v>245316.83</v>
      </c>
      <c r="E180" s="9">
        <v>4432900.879999999</v>
      </c>
      <c r="F180" s="9">
        <v>1088863.6666666667</v>
      </c>
      <c r="G180" s="6">
        <f t="shared" si="3"/>
        <v>10.81800865</v>
      </c>
      <c r="H180" s="6">
        <f t="shared" si="2"/>
        <v>24.56323063</v>
      </c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4.25" customHeight="1">
      <c r="A181" s="5">
        <v>40601.0</v>
      </c>
      <c r="B181" s="5" t="s">
        <v>256</v>
      </c>
      <c r="C181" s="9">
        <v>1.605529813210658E7</v>
      </c>
      <c r="D181" s="9">
        <v>3019060.039999999</v>
      </c>
      <c r="E181" s="9">
        <v>1.394614233333333E7</v>
      </c>
      <c r="F181" s="9">
        <v>4555311.78</v>
      </c>
      <c r="G181" s="6">
        <f t="shared" si="3"/>
        <v>18.80413565</v>
      </c>
      <c r="H181" s="6">
        <f t="shared" si="2"/>
        <v>32.66359737</v>
      </c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4.25" customHeight="1">
      <c r="A182" s="5">
        <v>40602.0</v>
      </c>
      <c r="B182" s="5" t="s">
        <v>258</v>
      </c>
      <c r="C182" s="9">
        <v>1.2112168328983584E7</v>
      </c>
      <c r="D182" s="9">
        <v>549755.44</v>
      </c>
      <c r="E182" s="9">
        <v>7645555.879999998</v>
      </c>
      <c r="F182" s="9">
        <v>274861.44</v>
      </c>
      <c r="G182" s="6">
        <f t="shared" si="3"/>
        <v>4.538868888</v>
      </c>
      <c r="H182" s="6">
        <f t="shared" si="2"/>
        <v>3.595048474</v>
      </c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4.25" customHeight="1">
      <c r="A183" s="5">
        <v>40603.0</v>
      </c>
      <c r="B183" s="5" t="s">
        <v>259</v>
      </c>
      <c r="C183" s="9">
        <v>1.165219682649838E7</v>
      </c>
      <c r="D183" s="9">
        <v>4616870.42</v>
      </c>
      <c r="E183" s="9">
        <v>9899816.356666664</v>
      </c>
      <c r="F183" s="9">
        <v>5860119.373333332</v>
      </c>
      <c r="G183" s="6">
        <f t="shared" si="3"/>
        <v>39.62231748</v>
      </c>
      <c r="H183" s="6">
        <f t="shared" si="2"/>
        <v>59.19422303</v>
      </c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4.25" customHeight="1">
      <c r="A184" s="5">
        <v>40701.0</v>
      </c>
      <c r="B184" s="5" t="s">
        <v>260</v>
      </c>
      <c r="C184" s="9">
        <v>4.769303152571241E7</v>
      </c>
      <c r="D184" s="9">
        <v>6936763.030000001</v>
      </c>
      <c r="E184" s="9">
        <v>3.9810773606666654E7</v>
      </c>
      <c r="F184" s="9">
        <v>9265448.589999998</v>
      </c>
      <c r="G184" s="6">
        <f t="shared" si="3"/>
        <v>14.54460496</v>
      </c>
      <c r="H184" s="6">
        <f t="shared" si="2"/>
        <v>23.27372153</v>
      </c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4.25" customHeight="1">
      <c r="A185" s="5">
        <v>40702.0</v>
      </c>
      <c r="B185" s="5" t="s">
        <v>262</v>
      </c>
      <c r="C185" s="9">
        <v>8904462.572868504</v>
      </c>
      <c r="D185" s="9">
        <v>180596.1433333333</v>
      </c>
      <c r="E185" s="9">
        <v>6360971.043333333</v>
      </c>
      <c r="F185" s="9">
        <v>395212.37000000005</v>
      </c>
      <c r="G185" s="6">
        <f t="shared" si="3"/>
        <v>2.028153208</v>
      </c>
      <c r="H185" s="6">
        <f t="shared" si="2"/>
        <v>6.213082363</v>
      </c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4.25" customHeight="1">
      <c r="A186" s="5">
        <v>40801.0</v>
      </c>
      <c r="B186" s="5" t="s">
        <v>263</v>
      </c>
      <c r="C186" s="9">
        <v>1.8976490768443387E7</v>
      </c>
      <c r="D186" s="9">
        <v>262430.39333333337</v>
      </c>
      <c r="E186" s="9">
        <v>1.701494512E7</v>
      </c>
      <c r="F186" s="9">
        <v>1059077.9500000011</v>
      </c>
      <c r="G186" s="6">
        <f t="shared" si="3"/>
        <v>1.382923727</v>
      </c>
      <c r="H186" s="6">
        <f t="shared" si="2"/>
        <v>6.224398272</v>
      </c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4.25" customHeight="1">
      <c r="A187" s="5">
        <v>40802.0</v>
      </c>
      <c r="B187" s="5" t="s">
        <v>265</v>
      </c>
      <c r="C187" s="9">
        <v>6425052.177269511</v>
      </c>
      <c r="D187" s="9">
        <v>42157.15</v>
      </c>
      <c r="E187" s="9">
        <v>3699488.47</v>
      </c>
      <c r="F187" s="9">
        <v>19999.333333333332</v>
      </c>
      <c r="G187" s="6">
        <f t="shared" si="3"/>
        <v>0.656137084</v>
      </c>
      <c r="H187" s="6">
        <f t="shared" si="2"/>
        <v>0.5405972608</v>
      </c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4.25" customHeight="1">
      <c r="A188" s="5">
        <v>40901.0</v>
      </c>
      <c r="B188" s="5" t="s">
        <v>266</v>
      </c>
      <c r="C188" s="9">
        <v>1.0674421237262746E7</v>
      </c>
      <c r="D188" s="9">
        <v>703647.7300000001</v>
      </c>
      <c r="E188" s="9">
        <v>1.1074488219999997E7</v>
      </c>
      <c r="F188" s="9">
        <v>1150153.0633333332</v>
      </c>
      <c r="G188" s="6">
        <f t="shared" si="3"/>
        <v>6.591905213</v>
      </c>
      <c r="H188" s="6">
        <f t="shared" si="2"/>
        <v>10.38560916</v>
      </c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4.25" customHeight="1">
      <c r="A189" s="5">
        <v>40902.0</v>
      </c>
      <c r="B189" s="5" t="s">
        <v>268</v>
      </c>
      <c r="C189" s="9">
        <v>1324962.250803417</v>
      </c>
      <c r="D189" s="9">
        <v>18357.203333333335</v>
      </c>
      <c r="E189" s="9">
        <v>2725583.686666667</v>
      </c>
      <c r="F189" s="9">
        <v>1608400.6133333333</v>
      </c>
      <c r="G189" s="6">
        <f t="shared" si="3"/>
        <v>1.385488781</v>
      </c>
      <c r="H189" s="6">
        <f t="shared" si="2"/>
        <v>59.01123569</v>
      </c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4.25" customHeight="1">
      <c r="A190" s="5">
        <v>40903.0</v>
      </c>
      <c r="B190" s="5" t="s">
        <v>269</v>
      </c>
      <c r="C190" s="9">
        <v>3886321.6387024894</v>
      </c>
      <c r="D190" s="9">
        <v>0.0</v>
      </c>
      <c r="E190" s="9">
        <v>2734311.06</v>
      </c>
      <c r="F190" s="9">
        <v>12919.180000000168</v>
      </c>
      <c r="G190" s="6">
        <f t="shared" si="3"/>
        <v>0</v>
      </c>
      <c r="H190" s="6">
        <f t="shared" si="2"/>
        <v>0.472483917</v>
      </c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4.25" customHeight="1">
      <c r="A191" s="5">
        <v>41001.0</v>
      </c>
      <c r="B191" s="5" t="s">
        <v>270</v>
      </c>
      <c r="C191" s="9">
        <v>1.706401631557544E7</v>
      </c>
      <c r="D191" s="9">
        <v>395119.58</v>
      </c>
      <c r="E191" s="9">
        <v>1.2789423429999998E7</v>
      </c>
      <c r="F191" s="9">
        <v>227274.68333333335</v>
      </c>
      <c r="G191" s="6">
        <f t="shared" si="3"/>
        <v>2.315513374</v>
      </c>
      <c r="H191" s="6">
        <f t="shared" si="2"/>
        <v>1.777051832</v>
      </c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4.25" customHeight="1">
      <c r="A192" s="5">
        <v>41101.0</v>
      </c>
      <c r="B192" s="5" t="s">
        <v>272</v>
      </c>
      <c r="C192" s="9">
        <v>1.1592913464725465E7</v>
      </c>
      <c r="D192" s="9">
        <v>22824.77</v>
      </c>
      <c r="E192" s="9">
        <v>6622439.383333333</v>
      </c>
      <c r="F192" s="9">
        <v>103371.50666666667</v>
      </c>
      <c r="G192" s="6">
        <f t="shared" si="3"/>
        <v>0.1968855376</v>
      </c>
      <c r="H192" s="6">
        <f t="shared" si="2"/>
        <v>1.56092794</v>
      </c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4.25" customHeight="1">
      <c r="A193" s="5">
        <v>41201.0</v>
      </c>
      <c r="B193" s="5" t="s">
        <v>274</v>
      </c>
      <c r="C193" s="9">
        <v>9933383.79299924</v>
      </c>
      <c r="D193" s="9">
        <v>66229.59999999999</v>
      </c>
      <c r="E193" s="9">
        <v>6934266.169999999</v>
      </c>
      <c r="F193" s="9">
        <v>478327.2166666666</v>
      </c>
      <c r="G193" s="6">
        <f t="shared" si="3"/>
        <v>0.6667375527</v>
      </c>
      <c r="H193" s="6">
        <f t="shared" si="2"/>
        <v>6.898022155</v>
      </c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4.25" customHeight="1">
      <c r="A194" s="5">
        <v>41202.0</v>
      </c>
      <c r="B194" s="5" t="s">
        <v>276</v>
      </c>
      <c r="C194" s="9">
        <v>3321185.406153972</v>
      </c>
      <c r="D194" s="9">
        <v>15045.373333333331</v>
      </c>
      <c r="E194" s="9">
        <v>2593419.6699999995</v>
      </c>
      <c r="F194" s="9">
        <v>98532.8</v>
      </c>
      <c r="G194" s="6">
        <f t="shared" si="3"/>
        <v>0.4530121476</v>
      </c>
      <c r="H194" s="6">
        <f t="shared" si="2"/>
        <v>3.799338809</v>
      </c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4.25" customHeight="1">
      <c r="A195" s="5">
        <v>41301.0</v>
      </c>
      <c r="B195" s="5" t="s">
        <v>277</v>
      </c>
      <c r="C195" s="9">
        <v>1.0807834740640769E7</v>
      </c>
      <c r="D195" s="9">
        <v>132401.43333333332</v>
      </c>
      <c r="E195" s="9">
        <v>6921806.763333331</v>
      </c>
      <c r="F195" s="9">
        <v>75951.63666666667</v>
      </c>
      <c r="G195" s="6">
        <f t="shared" si="3"/>
        <v>1.225050498</v>
      </c>
      <c r="H195" s="6">
        <f t="shared" si="2"/>
        <v>1.097280512</v>
      </c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4.25" customHeight="1">
      <c r="A196" s="5">
        <v>41401.0</v>
      </c>
      <c r="B196" s="5" t="s">
        <v>279</v>
      </c>
      <c r="C196" s="9">
        <v>1.9841419830123227E7</v>
      </c>
      <c r="D196" s="9">
        <v>513588.77</v>
      </c>
      <c r="E196" s="9">
        <v>1.752522898E7</v>
      </c>
      <c r="F196" s="9">
        <v>1083725.43</v>
      </c>
      <c r="G196" s="6">
        <f t="shared" si="3"/>
        <v>2.588467833</v>
      </c>
      <c r="H196" s="6">
        <f t="shared" si="2"/>
        <v>6.183801828</v>
      </c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4.25" customHeight="1">
      <c r="A197" s="5">
        <v>41501.0</v>
      </c>
      <c r="B197" s="5" t="s">
        <v>281</v>
      </c>
      <c r="C197" s="9">
        <v>941937.5965389954</v>
      </c>
      <c r="D197" s="9">
        <v>113777.7</v>
      </c>
      <c r="E197" s="9">
        <v>2013456.6566666665</v>
      </c>
      <c r="F197" s="9">
        <v>1383978.1866666668</v>
      </c>
      <c r="G197" s="6">
        <f t="shared" si="3"/>
        <v>12.07911229</v>
      </c>
      <c r="H197" s="6">
        <f t="shared" si="2"/>
        <v>68.73642808</v>
      </c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4.25" customHeight="1">
      <c r="A198" s="5">
        <v>41502.0</v>
      </c>
      <c r="B198" s="5" t="s">
        <v>283</v>
      </c>
      <c r="C198" s="9">
        <v>834821.5595738279</v>
      </c>
      <c r="D198" s="9">
        <v>6204.793333333332</v>
      </c>
      <c r="E198" s="9">
        <v>1138324.263333333</v>
      </c>
      <c r="F198" s="9">
        <v>238999.10666666666</v>
      </c>
      <c r="G198" s="6">
        <f t="shared" si="3"/>
        <v>0.7432478548</v>
      </c>
      <c r="H198" s="6">
        <f t="shared" si="2"/>
        <v>20.99569643</v>
      </c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4.25" customHeight="1">
      <c r="A199" s="5">
        <v>41503.0</v>
      </c>
      <c r="B199" s="5" t="s">
        <v>284</v>
      </c>
      <c r="C199" s="9">
        <v>955475.8225655818</v>
      </c>
      <c r="D199" s="9">
        <v>193400.87666666668</v>
      </c>
      <c r="E199" s="9">
        <v>2413458.1799999997</v>
      </c>
      <c r="F199" s="9">
        <v>1374258.0966666667</v>
      </c>
      <c r="G199" s="6">
        <f t="shared" si="3"/>
        <v>20.24131559</v>
      </c>
      <c r="H199" s="6">
        <f t="shared" si="2"/>
        <v>56.94145057</v>
      </c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4.25" customHeight="1">
      <c r="A200" s="5">
        <v>41601.0</v>
      </c>
      <c r="B200" s="5" t="s">
        <v>285</v>
      </c>
      <c r="C200" s="9">
        <v>1.2474845022480085E7</v>
      </c>
      <c r="D200" s="9">
        <v>34380.86666666667</v>
      </c>
      <c r="E200" s="9">
        <v>6992918.9866666645</v>
      </c>
      <c r="F200" s="9">
        <v>182961.25333333333</v>
      </c>
      <c r="G200" s="6">
        <f t="shared" si="3"/>
        <v>0.2756015534</v>
      </c>
      <c r="H200" s="6">
        <f t="shared" si="2"/>
        <v>2.61637885</v>
      </c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4.25" customHeight="1">
      <c r="A201" s="5">
        <v>50101.0</v>
      </c>
      <c r="B201" s="5" t="s">
        <v>287</v>
      </c>
      <c r="C201" s="9">
        <v>3.012159421619225E8</v>
      </c>
      <c r="D201" s="9">
        <v>8.601530317E7</v>
      </c>
      <c r="E201" s="9">
        <v>3.3912935047E8</v>
      </c>
      <c r="F201" s="9">
        <v>1.3728335817E8</v>
      </c>
      <c r="G201" s="6">
        <f t="shared" si="3"/>
        <v>28.55602614</v>
      </c>
      <c r="H201" s="6">
        <f t="shared" si="2"/>
        <v>40.48111966</v>
      </c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4.25" customHeight="1">
      <c r="A202" s="5">
        <v>50102.0</v>
      </c>
      <c r="B202" s="5" t="s">
        <v>290</v>
      </c>
      <c r="C202" s="9">
        <v>3.523246188570591E7</v>
      </c>
      <c r="D202" s="9">
        <v>1063907.4966666668</v>
      </c>
      <c r="E202" s="9">
        <v>2.9621395919999998E7</v>
      </c>
      <c r="F202" s="9">
        <v>922707.9433333334</v>
      </c>
      <c r="G202" s="6">
        <f t="shared" si="3"/>
        <v>3.019679692</v>
      </c>
      <c r="H202" s="6">
        <f t="shared" si="2"/>
        <v>3.11500493</v>
      </c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4.25" customHeight="1">
      <c r="A203" s="5">
        <v>50103.0</v>
      </c>
      <c r="B203" s="5" t="s">
        <v>291</v>
      </c>
      <c r="C203" s="9">
        <v>1.2315962037592068E7</v>
      </c>
      <c r="D203" s="9">
        <v>178809.55999999997</v>
      </c>
      <c r="E203" s="9">
        <v>9759582.969999999</v>
      </c>
      <c r="F203" s="9">
        <v>286236.5533333333</v>
      </c>
      <c r="G203" s="6">
        <f t="shared" si="3"/>
        <v>1.451852153</v>
      </c>
      <c r="H203" s="6">
        <f t="shared" si="2"/>
        <v>2.932876888</v>
      </c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4.25" customHeight="1">
      <c r="A204" s="5">
        <v>50104.0</v>
      </c>
      <c r="B204" s="5" t="s">
        <v>292</v>
      </c>
      <c r="C204" s="9">
        <v>3535323.3620208814</v>
      </c>
      <c r="D204" s="9">
        <v>426448.76666666666</v>
      </c>
      <c r="E204" s="9">
        <v>2981073.099999999</v>
      </c>
      <c r="F204" s="9">
        <v>70573.01</v>
      </c>
      <c r="G204" s="6">
        <f t="shared" si="3"/>
        <v>12.06251092</v>
      </c>
      <c r="H204" s="6">
        <f t="shared" si="2"/>
        <v>2.367369321</v>
      </c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4.25" customHeight="1">
      <c r="A205" s="5">
        <v>50201.0</v>
      </c>
      <c r="B205" s="5" t="s">
        <v>293</v>
      </c>
      <c r="C205" s="9">
        <v>3.035185612924594E7</v>
      </c>
      <c r="D205" s="9">
        <v>1206868.6766666668</v>
      </c>
      <c r="E205" s="9">
        <v>2.517075103333333E7</v>
      </c>
      <c r="F205" s="9">
        <v>1937584.7033333334</v>
      </c>
      <c r="G205" s="6">
        <f t="shared" si="3"/>
        <v>3.976259875</v>
      </c>
      <c r="H205" s="6">
        <f t="shared" si="2"/>
        <v>7.697762775</v>
      </c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4.25" customHeight="1">
      <c r="A206" s="5">
        <v>50202.0</v>
      </c>
      <c r="B206" s="5" t="s">
        <v>295</v>
      </c>
      <c r="C206" s="9">
        <v>2.3834074877478164E7</v>
      </c>
      <c r="D206" s="9">
        <v>2019494.6533333333</v>
      </c>
      <c r="E206" s="9">
        <v>1.740827312666667E7</v>
      </c>
      <c r="F206" s="9">
        <v>390818.29000000004</v>
      </c>
      <c r="G206" s="6">
        <f t="shared" si="3"/>
        <v>8.473140509</v>
      </c>
      <c r="H206" s="6">
        <f t="shared" si="2"/>
        <v>2.245014696</v>
      </c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4.25" customHeight="1">
      <c r="A207" s="5">
        <v>50203.0</v>
      </c>
      <c r="B207" s="5" t="s">
        <v>296</v>
      </c>
      <c r="C207" s="9">
        <v>6.74319281927747E7</v>
      </c>
      <c r="D207" s="9">
        <v>1.2767577403333334E7</v>
      </c>
      <c r="E207" s="9">
        <v>5.3473247633333325E7</v>
      </c>
      <c r="F207" s="9">
        <v>1.0104170523333333E7</v>
      </c>
      <c r="G207" s="6">
        <f t="shared" si="3"/>
        <v>18.9340239</v>
      </c>
      <c r="H207" s="6">
        <f t="shared" si="2"/>
        <v>18.89574875</v>
      </c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4.25" customHeight="1">
      <c r="A208" s="5">
        <v>50204.0</v>
      </c>
      <c r="B208" s="5" t="s">
        <v>297</v>
      </c>
      <c r="C208" s="9">
        <v>1.0954802153311051E7</v>
      </c>
      <c r="D208" s="9">
        <v>1045979.5333333333</v>
      </c>
      <c r="E208" s="9">
        <v>8635700.97333333</v>
      </c>
      <c r="F208" s="9">
        <v>175269.67666666667</v>
      </c>
      <c r="G208" s="6">
        <f t="shared" si="3"/>
        <v>9.548137143</v>
      </c>
      <c r="H208" s="6">
        <f t="shared" si="2"/>
        <v>2.029594091</v>
      </c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4.25" customHeight="1">
      <c r="A209" s="5">
        <v>50301.0</v>
      </c>
      <c r="B209" s="5" t="s">
        <v>298</v>
      </c>
      <c r="C209" s="9">
        <v>5.712546076081262E7</v>
      </c>
      <c r="D209" s="9">
        <v>744673.93</v>
      </c>
      <c r="E209" s="9">
        <v>3.740706421666666E7</v>
      </c>
      <c r="F209" s="9">
        <v>1615858.9266666665</v>
      </c>
      <c r="G209" s="6">
        <f t="shared" si="3"/>
        <v>1.303576234</v>
      </c>
      <c r="H209" s="6">
        <f t="shared" si="2"/>
        <v>4.319662504</v>
      </c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4.25" customHeight="1">
      <c r="A210" s="5">
        <v>50302.0</v>
      </c>
      <c r="B210" s="5" t="s">
        <v>300</v>
      </c>
      <c r="C210" s="9">
        <v>1.51604067985568E7</v>
      </c>
      <c r="D210" s="9">
        <v>438796.26333333337</v>
      </c>
      <c r="E210" s="9">
        <v>1.062759940333333E7</v>
      </c>
      <c r="F210" s="9">
        <v>171935.93666666668</v>
      </c>
      <c r="G210" s="6">
        <f t="shared" si="3"/>
        <v>2.894356788</v>
      </c>
      <c r="H210" s="6">
        <f t="shared" si="2"/>
        <v>1.61782478</v>
      </c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4.25" customHeight="1">
      <c r="A211" s="5">
        <v>50303.0</v>
      </c>
      <c r="B211" s="5" t="s">
        <v>301</v>
      </c>
      <c r="C211" s="9">
        <v>2.032725453534471E7</v>
      </c>
      <c r="D211" s="9">
        <v>186034.22</v>
      </c>
      <c r="E211" s="9">
        <v>1.322607310333333E7</v>
      </c>
      <c r="F211" s="9">
        <v>739303.8433333334</v>
      </c>
      <c r="G211" s="6">
        <f t="shared" si="3"/>
        <v>0.9151959979</v>
      </c>
      <c r="H211" s="6">
        <f t="shared" si="2"/>
        <v>5.58974563</v>
      </c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4.25" customHeight="1">
      <c r="A212" s="5">
        <v>50401.0</v>
      </c>
      <c r="B212" s="5" t="s">
        <v>302</v>
      </c>
      <c r="C212" s="9">
        <v>4.76461860720525E7</v>
      </c>
      <c r="D212" s="9">
        <v>491145.0233333334</v>
      </c>
      <c r="E212" s="9">
        <v>2.2858951133333325E7</v>
      </c>
      <c r="F212" s="9">
        <v>4012439.063333334</v>
      </c>
      <c r="G212" s="6">
        <f t="shared" si="3"/>
        <v>1.030817079</v>
      </c>
      <c r="H212" s="6">
        <f t="shared" si="2"/>
        <v>17.55303225</v>
      </c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4.25" customHeight="1">
      <c r="A213" s="5">
        <v>50402.0</v>
      </c>
      <c r="B213" s="5" t="s">
        <v>304</v>
      </c>
      <c r="C213" s="9">
        <v>3.7227849301231675E7</v>
      </c>
      <c r="D213" s="9">
        <v>1374387.5199999998</v>
      </c>
      <c r="E213" s="9">
        <v>2.259900849666665E7</v>
      </c>
      <c r="F213" s="9">
        <v>218086.87666666668</v>
      </c>
      <c r="G213" s="6">
        <f t="shared" si="3"/>
        <v>3.691826269</v>
      </c>
      <c r="H213" s="6">
        <f t="shared" si="2"/>
        <v>0.9650285175</v>
      </c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4.25" customHeight="1">
      <c r="A214" s="5">
        <v>50403.0</v>
      </c>
      <c r="B214" s="5" t="s">
        <v>305</v>
      </c>
      <c r="C214" s="9">
        <v>3.359592464924479E7</v>
      </c>
      <c r="D214" s="9">
        <v>135055.99666666667</v>
      </c>
      <c r="E214" s="9">
        <v>2.8002182519999992E7</v>
      </c>
      <c r="F214" s="9">
        <v>221448.6133333333</v>
      </c>
      <c r="G214" s="6">
        <f t="shared" si="3"/>
        <v>0.4020011298</v>
      </c>
      <c r="H214" s="6">
        <f t="shared" si="2"/>
        <v>0.7908262621</v>
      </c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4.25" customHeight="1">
      <c r="A215" s="5">
        <v>50404.0</v>
      </c>
      <c r="B215" s="5" t="s">
        <v>306</v>
      </c>
      <c r="C215" s="9">
        <v>2.5399097700457588E7</v>
      </c>
      <c r="D215" s="9">
        <v>226187.52333333332</v>
      </c>
      <c r="E215" s="9">
        <v>1.729445412E7</v>
      </c>
      <c r="F215" s="9">
        <v>288605.99</v>
      </c>
      <c r="G215" s="6">
        <f t="shared" si="3"/>
        <v>0.8905336953</v>
      </c>
      <c r="H215" s="6">
        <f t="shared" si="2"/>
        <v>1.668777679</v>
      </c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4.25" customHeight="1">
      <c r="A216" s="5">
        <v>50405.0</v>
      </c>
      <c r="B216" s="5" t="s">
        <v>307</v>
      </c>
      <c r="C216" s="9">
        <v>0.0</v>
      </c>
      <c r="D216" s="9">
        <v>0.0</v>
      </c>
      <c r="E216" s="9">
        <v>1.8365283663333327E7</v>
      </c>
      <c r="F216" s="9">
        <v>73698.86333333333</v>
      </c>
      <c r="G216" s="6">
        <v>0.0</v>
      </c>
      <c r="H216" s="6">
        <f t="shared" si="2"/>
        <v>0.401294446</v>
      </c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4.25" customHeight="1">
      <c r="A217" s="5">
        <v>50501.0</v>
      </c>
      <c r="B217" s="5" t="s">
        <v>308</v>
      </c>
      <c r="C217" s="9">
        <v>4.37586329775387E7</v>
      </c>
      <c r="D217" s="9">
        <v>971715.6133333337</v>
      </c>
      <c r="E217" s="9">
        <v>3.2435719179999992E7</v>
      </c>
      <c r="F217" s="9">
        <v>770033.6000000001</v>
      </c>
      <c r="G217" s="6">
        <f t="shared" ref="G217:G235" si="4">(D217*100)/C217</f>
        <v>2.220626074</v>
      </c>
      <c r="H217" s="6">
        <f t="shared" si="2"/>
        <v>2.374029679</v>
      </c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4.25" customHeight="1">
      <c r="A218" s="5">
        <v>50502.0</v>
      </c>
      <c r="B218" s="5" t="s">
        <v>310</v>
      </c>
      <c r="C218" s="9">
        <v>1.68873506545932E7</v>
      </c>
      <c r="D218" s="9">
        <v>433009.43</v>
      </c>
      <c r="E218" s="9">
        <v>1.2089867843333328E7</v>
      </c>
      <c r="F218" s="9">
        <v>621289.1933333334</v>
      </c>
      <c r="G218" s="6">
        <f t="shared" si="4"/>
        <v>2.564105163</v>
      </c>
      <c r="H218" s="6">
        <f t="shared" si="2"/>
        <v>5.138924605</v>
      </c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4.25" customHeight="1">
      <c r="A219" s="5">
        <v>50601.0</v>
      </c>
      <c r="B219" s="5" t="s">
        <v>311</v>
      </c>
      <c r="C219" s="9">
        <v>3.776992339017277E7</v>
      </c>
      <c r="D219" s="9">
        <v>1185333.8800000001</v>
      </c>
      <c r="E219" s="9">
        <v>3.563660563666666E7</v>
      </c>
      <c r="F219" s="9">
        <v>2083309.8399999999</v>
      </c>
      <c r="G219" s="6">
        <f t="shared" si="4"/>
        <v>3.138300991</v>
      </c>
      <c r="H219" s="6">
        <f t="shared" si="2"/>
        <v>5.845982811</v>
      </c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4.25" customHeight="1">
      <c r="A220" s="5">
        <v>50602.0</v>
      </c>
      <c r="B220" s="5" t="s">
        <v>313</v>
      </c>
      <c r="C220" s="9">
        <v>1.737238318559359E7</v>
      </c>
      <c r="D220" s="9">
        <v>111075.86999999998</v>
      </c>
      <c r="E220" s="9">
        <v>1.133623849333333E7</v>
      </c>
      <c r="F220" s="9">
        <v>104007.18</v>
      </c>
      <c r="G220" s="6">
        <f t="shared" si="4"/>
        <v>0.6393818788</v>
      </c>
      <c r="H220" s="6">
        <f t="shared" si="2"/>
        <v>0.9174752283</v>
      </c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4.25" customHeight="1">
      <c r="A221" s="5">
        <v>50701.0</v>
      </c>
      <c r="B221" s="5" t="s">
        <v>314</v>
      </c>
      <c r="C221" s="9">
        <v>2.94609830670048E7</v>
      </c>
      <c r="D221" s="9">
        <v>340989.43333333335</v>
      </c>
      <c r="E221" s="9">
        <v>2.087142607333333E7</v>
      </c>
      <c r="F221" s="9">
        <v>180043.51</v>
      </c>
      <c r="G221" s="6">
        <f t="shared" si="4"/>
        <v>1.157427207</v>
      </c>
      <c r="H221" s="6">
        <f t="shared" si="2"/>
        <v>0.862631568</v>
      </c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4.25" customHeight="1">
      <c r="A222" s="5">
        <v>50702.0</v>
      </c>
      <c r="B222" s="5" t="s">
        <v>316</v>
      </c>
      <c r="C222" s="9">
        <v>1.4110307787156733E7</v>
      </c>
      <c r="D222" s="9">
        <v>78851.46666666667</v>
      </c>
      <c r="E222" s="9">
        <v>9318691.67</v>
      </c>
      <c r="F222" s="9">
        <v>135503.33333333334</v>
      </c>
      <c r="G222" s="6">
        <f t="shared" si="4"/>
        <v>0.5588217341</v>
      </c>
      <c r="H222" s="6">
        <f t="shared" si="2"/>
        <v>1.454102551</v>
      </c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4.25" customHeight="1">
      <c r="A223" s="5">
        <v>50801.0</v>
      </c>
      <c r="B223" s="5" t="s">
        <v>317</v>
      </c>
      <c r="C223" s="9">
        <v>6.406972895874175E7</v>
      </c>
      <c r="D223" s="9">
        <v>6985219.7299999995</v>
      </c>
      <c r="E223" s="9">
        <v>5.9456446143333316E7</v>
      </c>
      <c r="F223" s="9">
        <v>1.217287438E7</v>
      </c>
      <c r="G223" s="6">
        <f t="shared" si="4"/>
        <v>10.90252736</v>
      </c>
      <c r="H223" s="6">
        <f t="shared" si="2"/>
        <v>20.47359903</v>
      </c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4.25" customHeight="1">
      <c r="A224" s="5">
        <v>50802.0</v>
      </c>
      <c r="B224" s="5" t="s">
        <v>319</v>
      </c>
      <c r="C224" s="9">
        <v>2.6078032746589795E7</v>
      </c>
      <c r="D224" s="9">
        <v>1.1868393930000002E7</v>
      </c>
      <c r="E224" s="9">
        <v>2.072992047333333E7</v>
      </c>
      <c r="F224" s="9">
        <v>8877278.243333332</v>
      </c>
      <c r="G224" s="6">
        <f t="shared" si="4"/>
        <v>45.51107841</v>
      </c>
      <c r="H224" s="6">
        <f t="shared" si="2"/>
        <v>42.82350362</v>
      </c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4.25" customHeight="1">
      <c r="A225" s="5">
        <v>50901.0</v>
      </c>
      <c r="B225" s="5" t="s">
        <v>320</v>
      </c>
      <c r="C225" s="9">
        <v>6.68338118495762E7</v>
      </c>
      <c r="D225" s="9">
        <v>5.224529313666668E7</v>
      </c>
      <c r="E225" s="9">
        <v>7.454486078666665E7</v>
      </c>
      <c r="F225" s="9">
        <v>6.083204210999999E7</v>
      </c>
      <c r="G225" s="6">
        <f t="shared" si="4"/>
        <v>78.17194873</v>
      </c>
      <c r="H225" s="6">
        <f t="shared" si="2"/>
        <v>81.60460891</v>
      </c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4.25" customHeight="1">
      <c r="A226" s="5">
        <v>50902.0</v>
      </c>
      <c r="B226" s="5" t="s">
        <v>322</v>
      </c>
      <c r="C226" s="9">
        <v>2124598.534212845</v>
      </c>
      <c r="D226" s="9">
        <v>896441.4766666667</v>
      </c>
      <c r="E226" s="9">
        <v>1200044.4233333329</v>
      </c>
      <c r="F226" s="9">
        <v>82193.38333333333</v>
      </c>
      <c r="G226" s="6">
        <f t="shared" si="4"/>
        <v>42.19345266</v>
      </c>
      <c r="H226" s="6">
        <f t="shared" si="2"/>
        <v>6.849195058</v>
      </c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4.25" customHeight="1">
      <c r="A227" s="5">
        <v>51001.0</v>
      </c>
      <c r="B227" s="5" t="s">
        <v>323</v>
      </c>
      <c r="C227" s="9">
        <v>5909652.663044051</v>
      </c>
      <c r="D227" s="9">
        <v>2039820.1933333334</v>
      </c>
      <c r="E227" s="9">
        <v>4058642.073333332</v>
      </c>
      <c r="F227" s="9">
        <v>502408.16333333333</v>
      </c>
      <c r="G227" s="6">
        <f t="shared" si="4"/>
        <v>34.51675267</v>
      </c>
      <c r="H227" s="6">
        <f t="shared" si="2"/>
        <v>12.37872555</v>
      </c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4.25" customHeight="1">
      <c r="A228" s="5">
        <v>51002.0</v>
      </c>
      <c r="B228" s="5" t="s">
        <v>325</v>
      </c>
      <c r="C228" s="9">
        <v>2090301.1579558775</v>
      </c>
      <c r="D228" s="9">
        <v>1007255.3500000001</v>
      </c>
      <c r="E228" s="9">
        <v>1365118.4399999997</v>
      </c>
      <c r="F228" s="9">
        <v>120652.88333333335</v>
      </c>
      <c r="G228" s="6">
        <f t="shared" si="4"/>
        <v>48.18709238</v>
      </c>
      <c r="H228" s="6">
        <f t="shared" si="2"/>
        <v>8.838272182</v>
      </c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4.25" customHeight="1">
      <c r="A229" s="5">
        <v>51003.0</v>
      </c>
      <c r="B229" s="5" t="s">
        <v>326</v>
      </c>
      <c r="C229" s="9">
        <v>3460884.0308935917</v>
      </c>
      <c r="D229" s="9">
        <v>897835.2666666666</v>
      </c>
      <c r="E229" s="9">
        <v>2498322.443333333</v>
      </c>
      <c r="F229" s="9">
        <v>89004.64</v>
      </c>
      <c r="G229" s="6">
        <f t="shared" si="4"/>
        <v>25.94236786</v>
      </c>
      <c r="H229" s="6">
        <f t="shared" si="2"/>
        <v>3.562576169</v>
      </c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4.25" customHeight="1">
      <c r="A230" s="5">
        <v>51101.0</v>
      </c>
      <c r="B230" s="5" t="s">
        <v>327</v>
      </c>
      <c r="C230" s="9">
        <v>3.617667765968559E7</v>
      </c>
      <c r="D230" s="9">
        <v>753398.1866666665</v>
      </c>
      <c r="E230" s="9">
        <v>2.445817802333333E7</v>
      </c>
      <c r="F230" s="9">
        <v>1333688.9166666667</v>
      </c>
      <c r="G230" s="6">
        <f t="shared" si="4"/>
        <v>2.082552173</v>
      </c>
      <c r="H230" s="6">
        <f t="shared" si="2"/>
        <v>5.4529365</v>
      </c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4.25" customHeight="1">
      <c r="A231" s="5">
        <v>51102.0</v>
      </c>
      <c r="B231" s="5" t="s">
        <v>329</v>
      </c>
      <c r="C231" s="9">
        <v>1.7816214454711247E7</v>
      </c>
      <c r="D231" s="9">
        <v>1277649.16</v>
      </c>
      <c r="E231" s="9">
        <v>1.3923532329999993E7</v>
      </c>
      <c r="F231" s="9">
        <v>1191974.8633333333</v>
      </c>
      <c r="G231" s="6">
        <f t="shared" si="4"/>
        <v>7.171271783</v>
      </c>
      <c r="H231" s="6">
        <f t="shared" si="2"/>
        <v>8.560865412</v>
      </c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4.25" customHeight="1">
      <c r="A232" s="5">
        <v>51103.0</v>
      </c>
      <c r="B232" s="5" t="s">
        <v>330</v>
      </c>
      <c r="C232" s="9">
        <v>2.6395873501119584E7</v>
      </c>
      <c r="D232" s="9">
        <v>504186.2</v>
      </c>
      <c r="E232" s="9">
        <v>1.6744261519999996E7</v>
      </c>
      <c r="F232" s="9">
        <v>61279.880000000005</v>
      </c>
      <c r="G232" s="6">
        <f t="shared" si="4"/>
        <v>1.910094773</v>
      </c>
      <c r="H232" s="6">
        <f t="shared" si="2"/>
        <v>0.3659754115</v>
      </c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4.25" customHeight="1">
      <c r="A233" s="5">
        <v>51201.0</v>
      </c>
      <c r="B233" s="5" t="s">
        <v>331</v>
      </c>
      <c r="C233" s="9">
        <v>3.146571115587774E7</v>
      </c>
      <c r="D233" s="9">
        <v>3449694.3800000004</v>
      </c>
      <c r="E233" s="9">
        <v>3.942561166333333E7</v>
      </c>
      <c r="F233" s="9">
        <v>8118666.830000001</v>
      </c>
      <c r="G233" s="6">
        <f t="shared" si="4"/>
        <v>10.96334471</v>
      </c>
      <c r="H233" s="6">
        <f t="shared" si="2"/>
        <v>20.59236747</v>
      </c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4.25" customHeight="1">
      <c r="A234" s="5">
        <v>51202.0</v>
      </c>
      <c r="B234" s="5" t="s">
        <v>333</v>
      </c>
      <c r="C234" s="9">
        <v>2.0141764320806827E7</v>
      </c>
      <c r="D234" s="9">
        <v>660452.6666666666</v>
      </c>
      <c r="E234" s="9">
        <v>1.3942605783333331E7</v>
      </c>
      <c r="F234" s="9">
        <v>1141205.4133333333</v>
      </c>
      <c r="G234" s="6">
        <f t="shared" si="4"/>
        <v>3.279020925</v>
      </c>
      <c r="H234" s="6">
        <f t="shared" si="2"/>
        <v>8.185022449</v>
      </c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4.25" customHeight="1">
      <c r="A235" s="5">
        <v>51203.0</v>
      </c>
      <c r="B235" s="5" t="s">
        <v>334</v>
      </c>
      <c r="C235" s="9">
        <v>1.6807049619680427E7</v>
      </c>
      <c r="D235" s="9">
        <v>7825023.576666665</v>
      </c>
      <c r="E235" s="9">
        <v>2.5621484659999996E7</v>
      </c>
      <c r="F235" s="9">
        <v>1.4157127033333331E7</v>
      </c>
      <c r="G235" s="6">
        <f t="shared" si="4"/>
        <v>46.55798462</v>
      </c>
      <c r="H235" s="6">
        <f t="shared" si="2"/>
        <v>55.2549051</v>
      </c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4.25" customHeight="1">
      <c r="A236" s="10">
        <v>51204.0</v>
      </c>
      <c r="B236" s="10" t="s">
        <v>490</v>
      </c>
      <c r="C236" s="9">
        <v>0.0</v>
      </c>
      <c r="D236" s="9">
        <v>0.0</v>
      </c>
      <c r="E236" s="9">
        <v>6758412.68</v>
      </c>
      <c r="F236" s="9">
        <v>815301.29</v>
      </c>
      <c r="G236" s="6">
        <v>0.0</v>
      </c>
      <c r="H236" s="6">
        <f t="shared" si="2"/>
        <v>12.06350261</v>
      </c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4.25" customHeight="1">
      <c r="A237" s="5">
        <v>51301.0</v>
      </c>
      <c r="B237" s="5" t="s">
        <v>335</v>
      </c>
      <c r="C237" s="9">
        <v>7855441.948501668</v>
      </c>
      <c r="D237" s="9">
        <v>242956.56666666668</v>
      </c>
      <c r="E237" s="9">
        <v>4478628.739999999</v>
      </c>
      <c r="F237" s="9">
        <v>79354.01</v>
      </c>
      <c r="G237" s="6">
        <f t="shared" ref="G237:G238" si="5">(D237*100)/C237</f>
        <v>3.092844022</v>
      </c>
      <c r="H237" s="6">
        <f t="shared" si="2"/>
        <v>1.771837199</v>
      </c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4.25" customHeight="1">
      <c r="A238" s="5">
        <v>51302.0</v>
      </c>
      <c r="B238" s="5" t="s">
        <v>337</v>
      </c>
      <c r="C238" s="9">
        <v>9083134.7729818</v>
      </c>
      <c r="D238" s="9">
        <v>172127.62333333332</v>
      </c>
      <c r="E238" s="9">
        <v>6611450.229999998</v>
      </c>
      <c r="F238" s="9">
        <v>111431.96333333333</v>
      </c>
      <c r="G238" s="6">
        <f t="shared" si="5"/>
        <v>1.895024434</v>
      </c>
      <c r="H238" s="6">
        <f t="shared" si="2"/>
        <v>1.685439041</v>
      </c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4.25" customHeight="1">
      <c r="A239" s="5">
        <v>51401.0</v>
      </c>
      <c r="B239" s="5" t="s">
        <v>338</v>
      </c>
      <c r="C239" s="9">
        <v>5454803.705665008</v>
      </c>
      <c r="D239" s="9">
        <v>1091292.7133333334</v>
      </c>
      <c r="E239" s="9">
        <v>4595401.119999999</v>
      </c>
      <c r="F239" s="9">
        <v>217228.80666666667</v>
      </c>
      <c r="G239" s="6">
        <v>0.0</v>
      </c>
      <c r="H239" s="6">
        <f t="shared" si="2"/>
        <v>4.727091303</v>
      </c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4.25" customHeight="1">
      <c r="A240" s="5">
        <v>51402.0</v>
      </c>
      <c r="B240" s="5" t="s">
        <v>340</v>
      </c>
      <c r="C240" s="9">
        <v>3327362.548715202</v>
      </c>
      <c r="D240" s="9">
        <v>29985.209999999995</v>
      </c>
      <c r="E240" s="9">
        <v>1843308.1499999992</v>
      </c>
      <c r="F240" s="9">
        <v>50180.219999999994</v>
      </c>
      <c r="G240" s="6">
        <f t="shared" ref="G240:G328" si="6">(D240*100)/C240</f>
        <v>0.9011705085</v>
      </c>
      <c r="H240" s="6">
        <f t="shared" si="2"/>
        <v>2.722291441</v>
      </c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4.25" customHeight="1">
      <c r="A241" s="5">
        <v>51501.0</v>
      </c>
      <c r="B241" s="5" t="s">
        <v>341</v>
      </c>
      <c r="C241" s="9">
        <v>6.146564739387875E7</v>
      </c>
      <c r="D241" s="9">
        <v>7424333.16</v>
      </c>
      <c r="E241" s="9">
        <v>6.206575466999999E7</v>
      </c>
      <c r="F241" s="9">
        <v>1.46851115E7</v>
      </c>
      <c r="G241" s="6">
        <f t="shared" si="6"/>
        <v>12.07883342</v>
      </c>
      <c r="H241" s="6">
        <f t="shared" si="2"/>
        <v>23.66057027</v>
      </c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4.25" customHeight="1">
      <c r="A242" s="5">
        <v>51601.0</v>
      </c>
      <c r="B242" s="5" t="s">
        <v>343</v>
      </c>
      <c r="C242" s="9">
        <v>3811271.4748805426</v>
      </c>
      <c r="D242" s="9">
        <v>1310349.506666667</v>
      </c>
      <c r="E242" s="9">
        <v>1910519.5699999996</v>
      </c>
      <c r="F242" s="9">
        <v>134273.79</v>
      </c>
      <c r="G242" s="6">
        <f t="shared" si="6"/>
        <v>34.38090189</v>
      </c>
      <c r="H242" s="6">
        <f t="shared" si="2"/>
        <v>7.028129526</v>
      </c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4.25" customHeight="1">
      <c r="A243" s="5">
        <v>60101.0</v>
      </c>
      <c r="B243" s="5" t="s">
        <v>345</v>
      </c>
      <c r="C243" s="9">
        <v>4.7013472513061476E8</v>
      </c>
      <c r="D243" s="9">
        <v>9.027192252666666E7</v>
      </c>
      <c r="E243" s="9">
        <v>4.428816337233333E8</v>
      </c>
      <c r="F243" s="9">
        <v>1.8162578188E8</v>
      </c>
      <c r="G243" s="6">
        <f t="shared" si="6"/>
        <v>19.20128799</v>
      </c>
      <c r="H243" s="6">
        <f t="shared" si="2"/>
        <v>41.01000539</v>
      </c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4.25" customHeight="1">
      <c r="A244" s="5">
        <v>60201.0</v>
      </c>
      <c r="B244" s="5" t="s">
        <v>347</v>
      </c>
      <c r="C244" s="9">
        <v>5.0346629510509156E7</v>
      </c>
      <c r="D244" s="9">
        <v>366828.1433333333</v>
      </c>
      <c r="E244" s="9">
        <v>2.4604716033333328E7</v>
      </c>
      <c r="F244" s="9">
        <v>841293.1366666667</v>
      </c>
      <c r="G244" s="6">
        <f t="shared" si="6"/>
        <v>0.7286051656</v>
      </c>
      <c r="H244" s="6">
        <f t="shared" si="2"/>
        <v>3.419235302</v>
      </c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4.25" customHeight="1">
      <c r="A245" s="5">
        <v>60202.0</v>
      </c>
      <c r="B245" s="5" t="s">
        <v>349</v>
      </c>
      <c r="C245" s="9">
        <v>9.138994416254516E7</v>
      </c>
      <c r="D245" s="9">
        <v>7994183.4799999995</v>
      </c>
      <c r="E245" s="9">
        <v>5.9097866053333335E7</v>
      </c>
      <c r="F245" s="9">
        <v>1.520481778E7</v>
      </c>
      <c r="G245" s="6">
        <f t="shared" si="6"/>
        <v>8.747333805</v>
      </c>
      <c r="H245" s="6">
        <f t="shared" si="2"/>
        <v>25.72820103</v>
      </c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4.25" customHeight="1">
      <c r="A246" s="5">
        <v>60301.0</v>
      </c>
      <c r="B246" s="5" t="s">
        <v>350</v>
      </c>
      <c r="C246" s="9">
        <v>2.3204026204240385E8</v>
      </c>
      <c r="D246" s="9">
        <v>2.2130989476666667E7</v>
      </c>
      <c r="E246" s="9">
        <v>1.565876361366667E8</v>
      </c>
      <c r="F246" s="9">
        <v>3.924384577E7</v>
      </c>
      <c r="G246" s="6">
        <f t="shared" si="6"/>
        <v>9.537564422</v>
      </c>
      <c r="H246" s="6">
        <f t="shared" si="2"/>
        <v>25.06190574</v>
      </c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4.25" customHeight="1">
      <c r="A247" s="5">
        <v>60302.0</v>
      </c>
      <c r="B247" s="5" t="s">
        <v>352</v>
      </c>
      <c r="C247" s="9">
        <v>2.546044203104916E7</v>
      </c>
      <c r="D247" s="9">
        <v>2039480.656666667</v>
      </c>
      <c r="E247" s="9">
        <v>2.3268744316666663E7</v>
      </c>
      <c r="F247" s="9">
        <v>3722314.389999999</v>
      </c>
      <c r="G247" s="6">
        <f t="shared" si="6"/>
        <v>8.01038982</v>
      </c>
      <c r="H247" s="6">
        <f t="shared" si="2"/>
        <v>15.99705742</v>
      </c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4.25" customHeight="1">
      <c r="A248" s="5">
        <v>60303.0</v>
      </c>
      <c r="B248" s="5" t="s">
        <v>353</v>
      </c>
      <c r="C248" s="9">
        <v>6.853399808859678E7</v>
      </c>
      <c r="D248" s="9">
        <v>8530793.430000002</v>
      </c>
      <c r="E248" s="9">
        <v>6.876499180999997E7</v>
      </c>
      <c r="F248" s="9">
        <v>1.8050972503333334E7</v>
      </c>
      <c r="G248" s="6">
        <f t="shared" si="6"/>
        <v>12.44753505</v>
      </c>
      <c r="H248" s="6">
        <f t="shared" si="2"/>
        <v>26.25023581</v>
      </c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4.25" customHeight="1">
      <c r="A249" s="5">
        <v>60401.0</v>
      </c>
      <c r="B249" s="5" t="s">
        <v>354</v>
      </c>
      <c r="C249" s="9">
        <v>3.21103721059562E7</v>
      </c>
      <c r="D249" s="9">
        <v>455640.17333333334</v>
      </c>
      <c r="E249" s="9">
        <v>2.1460069453333333E7</v>
      </c>
      <c r="F249" s="9">
        <v>2657815.473333333</v>
      </c>
      <c r="G249" s="6">
        <f t="shared" si="6"/>
        <v>1.418981293</v>
      </c>
      <c r="H249" s="6">
        <f t="shared" si="2"/>
        <v>12.38493416</v>
      </c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4.25" customHeight="1">
      <c r="A250" s="5">
        <v>60402.0</v>
      </c>
      <c r="B250" s="5" t="s">
        <v>356</v>
      </c>
      <c r="C250" s="9">
        <v>1.365314711823467E7</v>
      </c>
      <c r="D250" s="9">
        <v>54302.89333333333</v>
      </c>
      <c r="E250" s="9">
        <v>7085677.526666666</v>
      </c>
      <c r="F250" s="9">
        <v>102453.90333333334</v>
      </c>
      <c r="G250" s="6">
        <f t="shared" si="6"/>
        <v>0.3977316941</v>
      </c>
      <c r="H250" s="6">
        <f t="shared" si="2"/>
        <v>1.445929524</v>
      </c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4.25" customHeight="1">
      <c r="A251" s="5">
        <v>60501.0</v>
      </c>
      <c r="B251" s="5" t="s">
        <v>357</v>
      </c>
      <c r="C251" s="9">
        <v>5.575228652612945E7</v>
      </c>
      <c r="D251" s="9">
        <v>682953.6766666666</v>
      </c>
      <c r="E251" s="9">
        <v>3.602680299333332E7</v>
      </c>
      <c r="F251" s="9">
        <v>5671386.140000001</v>
      </c>
      <c r="G251" s="6">
        <f t="shared" si="6"/>
        <v>1.224978775</v>
      </c>
      <c r="H251" s="6">
        <f t="shared" si="2"/>
        <v>15.74212994</v>
      </c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4.25" customHeight="1">
      <c r="A252" s="5">
        <v>60502.0</v>
      </c>
      <c r="B252" s="5" t="s">
        <v>359</v>
      </c>
      <c r="C252" s="9">
        <v>2.833847877684964E7</v>
      </c>
      <c r="D252" s="9">
        <v>663067.1166666666</v>
      </c>
      <c r="E252" s="9">
        <v>1.5592240013333336E7</v>
      </c>
      <c r="F252" s="9">
        <v>1149453.7966666666</v>
      </c>
      <c r="G252" s="6">
        <f t="shared" si="6"/>
        <v>2.339811963</v>
      </c>
      <c r="H252" s="6">
        <f t="shared" si="2"/>
        <v>7.37196064</v>
      </c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4.25" customHeight="1">
      <c r="A253" s="5">
        <v>60601.0</v>
      </c>
      <c r="B253" s="5" t="s">
        <v>360</v>
      </c>
      <c r="C253" s="9">
        <v>5.2054603469784476E7</v>
      </c>
      <c r="D253" s="9">
        <v>1546804.326666667</v>
      </c>
      <c r="E253" s="9">
        <v>2.9630425096666664E7</v>
      </c>
      <c r="F253" s="9">
        <v>1656368.7066666668</v>
      </c>
      <c r="G253" s="6">
        <f t="shared" si="6"/>
        <v>2.971503428</v>
      </c>
      <c r="H253" s="6">
        <f t="shared" si="2"/>
        <v>5.590094308</v>
      </c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4.25" customHeight="1">
      <c r="A254" s="5">
        <v>70101.0</v>
      </c>
      <c r="B254" s="5" t="s">
        <v>362</v>
      </c>
      <c r="C254" s="9">
        <v>2.099801086627776E9</v>
      </c>
      <c r="D254" s="9">
        <v>7.992039413866667E8</v>
      </c>
      <c r="E254" s="9">
        <v>2.48232225823E9</v>
      </c>
      <c r="F254" s="9">
        <v>1.13890768398E9</v>
      </c>
      <c r="G254" s="6">
        <f t="shared" si="6"/>
        <v>38.0609357</v>
      </c>
      <c r="H254" s="6">
        <f t="shared" si="2"/>
        <v>45.88073447</v>
      </c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4.25" customHeight="1">
      <c r="A255" s="5">
        <v>70102.0</v>
      </c>
      <c r="B255" s="5" t="s">
        <v>365</v>
      </c>
      <c r="C255" s="9">
        <v>5.94685848978096E7</v>
      </c>
      <c r="D255" s="9">
        <v>1.681021058E7</v>
      </c>
      <c r="E255" s="9">
        <v>9.746971615333332E7</v>
      </c>
      <c r="F255" s="9">
        <v>5.4805404596666664E7</v>
      </c>
      <c r="G255" s="6">
        <f t="shared" si="6"/>
        <v>28.26737951</v>
      </c>
      <c r="H255" s="6">
        <f t="shared" si="2"/>
        <v>56.22813604</v>
      </c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4.25" customHeight="1">
      <c r="A256" s="5">
        <v>70103.0</v>
      </c>
      <c r="B256" s="5" t="s">
        <v>367</v>
      </c>
      <c r="C256" s="9">
        <v>2.7697588017888974E7</v>
      </c>
      <c r="D256" s="9">
        <v>1.432461437E7</v>
      </c>
      <c r="E256" s="9">
        <v>7.491660289999999E7</v>
      </c>
      <c r="F256" s="9">
        <v>6.076463050666666E7</v>
      </c>
      <c r="G256" s="6">
        <f t="shared" si="6"/>
        <v>51.71791262</v>
      </c>
      <c r="H256" s="6">
        <f t="shared" si="2"/>
        <v>81.10969819</v>
      </c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4.25" customHeight="1">
      <c r="A257" s="5">
        <v>70104.0</v>
      </c>
      <c r="B257" s="5" t="s">
        <v>368</v>
      </c>
      <c r="C257" s="9">
        <v>7.72197569450561E7</v>
      </c>
      <c r="D257" s="9">
        <v>3.0987806183333337E7</v>
      </c>
      <c r="E257" s="9">
        <v>1.4429367535E8</v>
      </c>
      <c r="F257" s="9">
        <v>6.179508003000001E7</v>
      </c>
      <c r="G257" s="6">
        <f t="shared" si="6"/>
        <v>40.12937545</v>
      </c>
      <c r="H257" s="6">
        <f t="shared" si="2"/>
        <v>42.82591034</v>
      </c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4.25" customHeight="1">
      <c r="A258" s="5">
        <v>70105.0</v>
      </c>
      <c r="B258" s="5" t="s">
        <v>369</v>
      </c>
      <c r="C258" s="9">
        <v>4.95175533885239E7</v>
      </c>
      <c r="D258" s="9">
        <v>4255729.66</v>
      </c>
      <c r="E258" s="9">
        <v>6.511400458333332E7</v>
      </c>
      <c r="F258" s="9">
        <v>1.9235181383333337E7</v>
      </c>
      <c r="G258" s="6">
        <f t="shared" si="6"/>
        <v>8.594385968</v>
      </c>
      <c r="H258" s="6">
        <f t="shared" si="2"/>
        <v>29.54077469</v>
      </c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4.25" customHeight="1">
      <c r="A259" s="5">
        <v>70201.0</v>
      </c>
      <c r="B259" s="5" t="s">
        <v>370</v>
      </c>
      <c r="C259" s="9">
        <v>1.1166940013607146E8</v>
      </c>
      <c r="D259" s="9">
        <v>5.835455632666666E7</v>
      </c>
      <c r="E259" s="9">
        <v>2.0380735709333333E8</v>
      </c>
      <c r="F259" s="9">
        <v>1.1472685127999999E8</v>
      </c>
      <c r="G259" s="6">
        <f t="shared" si="6"/>
        <v>52.25653246</v>
      </c>
      <c r="H259" s="6">
        <f t="shared" si="2"/>
        <v>56.29181052</v>
      </c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4.25" customHeight="1">
      <c r="A260" s="5">
        <v>70202.0</v>
      </c>
      <c r="B260" s="5" t="s">
        <v>372</v>
      </c>
      <c r="C260" s="9">
        <v>1.5531260641984874E7</v>
      </c>
      <c r="D260" s="9">
        <v>1590179.9900000002</v>
      </c>
      <c r="E260" s="9">
        <v>1.4937238913333332E7</v>
      </c>
      <c r="F260" s="9">
        <v>3404280.063333333</v>
      </c>
      <c r="G260" s="6">
        <f t="shared" si="6"/>
        <v>10.23857642</v>
      </c>
      <c r="H260" s="6">
        <f t="shared" si="2"/>
        <v>22.79055777</v>
      </c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4.25" customHeight="1">
      <c r="A261" s="5">
        <v>70301.0</v>
      </c>
      <c r="B261" s="5" t="s">
        <v>373</v>
      </c>
      <c r="C261" s="9">
        <v>5.642458774147306E7</v>
      </c>
      <c r="D261" s="9">
        <v>6552026.153333332</v>
      </c>
      <c r="E261" s="9">
        <v>6.200362944666665E7</v>
      </c>
      <c r="F261" s="9">
        <v>1.3621143613333335E7</v>
      </c>
      <c r="G261" s="6">
        <f t="shared" si="6"/>
        <v>11.61200536</v>
      </c>
      <c r="H261" s="6">
        <f t="shared" si="2"/>
        <v>21.96830046</v>
      </c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4.25" customHeight="1">
      <c r="A262" s="5">
        <v>70302.0</v>
      </c>
      <c r="B262" s="5" t="s">
        <v>375</v>
      </c>
      <c r="C262" s="9">
        <v>1.356490057037182E7</v>
      </c>
      <c r="D262" s="9">
        <v>1080986.7966666666</v>
      </c>
      <c r="E262" s="9">
        <v>1.1580973516666664E7</v>
      </c>
      <c r="F262" s="9">
        <v>1115258.3766666667</v>
      </c>
      <c r="G262" s="6">
        <f t="shared" si="6"/>
        <v>7.968999043</v>
      </c>
      <c r="H262" s="6">
        <f t="shared" si="2"/>
        <v>9.630091763</v>
      </c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4.25" customHeight="1">
      <c r="A263" s="5">
        <v>70303.0</v>
      </c>
      <c r="B263" s="5" t="s">
        <v>376</v>
      </c>
      <c r="C263" s="9">
        <v>6529266.0601458615</v>
      </c>
      <c r="D263" s="9">
        <v>437136.1966666667</v>
      </c>
      <c r="E263" s="9">
        <v>7682674.533333331</v>
      </c>
      <c r="F263" s="9">
        <v>2010781.263333333</v>
      </c>
      <c r="G263" s="6">
        <f t="shared" si="6"/>
        <v>6.695028088</v>
      </c>
      <c r="H263" s="6">
        <f t="shared" si="2"/>
        <v>26.17293307</v>
      </c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4.25" customHeight="1">
      <c r="A264" s="5">
        <v>70401.0</v>
      </c>
      <c r="B264" s="5" t="s">
        <v>377</v>
      </c>
      <c r="C264" s="9">
        <v>1.6377553526504675E7</v>
      </c>
      <c r="D264" s="9">
        <v>445860.05000000005</v>
      </c>
      <c r="E264" s="9">
        <v>1.4685169466666667E7</v>
      </c>
      <c r="F264" s="9">
        <v>2785374.0366666666</v>
      </c>
      <c r="G264" s="6">
        <f t="shared" si="6"/>
        <v>2.722384935</v>
      </c>
      <c r="H264" s="6">
        <f t="shared" si="2"/>
        <v>18.96725838</v>
      </c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4.25" customHeight="1">
      <c r="A265" s="5">
        <v>70402.0</v>
      </c>
      <c r="B265" s="5" t="s">
        <v>379</v>
      </c>
      <c r="C265" s="9">
        <v>2.2267479376226075E7</v>
      </c>
      <c r="D265" s="9">
        <v>2596289.0766666667</v>
      </c>
      <c r="E265" s="9">
        <v>2.230929617333333E7</v>
      </c>
      <c r="F265" s="9">
        <v>3743612.3433333337</v>
      </c>
      <c r="G265" s="6">
        <f t="shared" si="6"/>
        <v>11.65955532</v>
      </c>
      <c r="H265" s="6">
        <f t="shared" si="2"/>
        <v>16.78050403</v>
      </c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4.25" customHeight="1">
      <c r="A266" s="5">
        <v>70403.0</v>
      </c>
      <c r="B266" s="5" t="s">
        <v>380</v>
      </c>
      <c r="C266" s="9">
        <v>4.12136868734237E7</v>
      </c>
      <c r="D266" s="9">
        <v>3428989.4433333334</v>
      </c>
      <c r="E266" s="9">
        <v>6.121650374999998E7</v>
      </c>
      <c r="F266" s="9">
        <v>1.4500516996666668E7</v>
      </c>
      <c r="G266" s="6">
        <f t="shared" si="6"/>
        <v>8.320025951</v>
      </c>
      <c r="H266" s="6">
        <f t="shared" si="2"/>
        <v>23.6872675</v>
      </c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4.25" customHeight="1">
      <c r="A267" s="5">
        <v>70404.0</v>
      </c>
      <c r="B267" s="5" t="s">
        <v>381</v>
      </c>
      <c r="C267" s="9">
        <v>1.2207935974170463E7</v>
      </c>
      <c r="D267" s="9">
        <v>1345308.9366666665</v>
      </c>
      <c r="E267" s="9">
        <v>1.026013564333333E7</v>
      </c>
      <c r="F267" s="9">
        <v>1768129.63</v>
      </c>
      <c r="G267" s="6">
        <f t="shared" si="6"/>
        <v>11.01995407</v>
      </c>
      <c r="H267" s="6">
        <f t="shared" si="2"/>
        <v>17.23300443</v>
      </c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4.25" customHeight="1">
      <c r="A268" s="5">
        <v>70501.0</v>
      </c>
      <c r="B268" s="5" t="s">
        <v>382</v>
      </c>
      <c r="C268" s="9">
        <v>2.6606281413522854E7</v>
      </c>
      <c r="D268" s="9">
        <v>6900349.71</v>
      </c>
      <c r="E268" s="9">
        <v>3.086145878333333E7</v>
      </c>
      <c r="F268" s="9">
        <v>4137592.573333333</v>
      </c>
      <c r="G268" s="6">
        <f t="shared" si="6"/>
        <v>25.93503994</v>
      </c>
      <c r="H268" s="6">
        <f t="shared" si="2"/>
        <v>13.40698961</v>
      </c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4.25" customHeight="1">
      <c r="A269" s="5">
        <v>70502.0</v>
      </c>
      <c r="B269" s="5" t="s">
        <v>384</v>
      </c>
      <c r="C269" s="9">
        <v>3.91596055010631E7</v>
      </c>
      <c r="D269" s="9">
        <v>5384911.676666667</v>
      </c>
      <c r="E269" s="9">
        <v>5.215902911999998E7</v>
      </c>
      <c r="F269" s="9">
        <v>1.7170718356666666E7</v>
      </c>
      <c r="G269" s="6">
        <f t="shared" si="6"/>
        <v>13.7511898</v>
      </c>
      <c r="H269" s="6">
        <f t="shared" si="2"/>
        <v>32.91993476</v>
      </c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4.25" customHeight="1">
      <c r="A270" s="5">
        <v>70503.0</v>
      </c>
      <c r="B270" s="5" t="s">
        <v>385</v>
      </c>
      <c r="C270" s="9">
        <v>1.9374441151615676E7</v>
      </c>
      <c r="D270" s="9">
        <v>1375005.9366666665</v>
      </c>
      <c r="E270" s="9">
        <v>1.795851094333333E7</v>
      </c>
      <c r="F270" s="9">
        <v>3506569.2566666664</v>
      </c>
      <c r="G270" s="6">
        <f t="shared" si="6"/>
        <v>7.097009539</v>
      </c>
      <c r="H270" s="6">
        <f t="shared" si="2"/>
        <v>19.5259466</v>
      </c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4.25" customHeight="1">
      <c r="A271" s="5">
        <v>70601.0</v>
      </c>
      <c r="B271" s="5" t="s">
        <v>386</v>
      </c>
      <c r="C271" s="9">
        <v>2.265007208250007E7</v>
      </c>
      <c r="D271" s="9">
        <v>3360932.31</v>
      </c>
      <c r="E271" s="9">
        <v>2.397064274333333E7</v>
      </c>
      <c r="F271" s="9">
        <v>7445197.27</v>
      </c>
      <c r="G271" s="6">
        <f t="shared" si="6"/>
        <v>14.83850602</v>
      </c>
      <c r="H271" s="6">
        <f t="shared" si="2"/>
        <v>31.05964804</v>
      </c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4.25" customHeight="1">
      <c r="A272" s="5">
        <v>70602.0</v>
      </c>
      <c r="B272" s="5" t="s">
        <v>388</v>
      </c>
      <c r="C272" s="9">
        <v>1.9790006682146553E7</v>
      </c>
      <c r="D272" s="9">
        <v>1478988.5866666667</v>
      </c>
      <c r="E272" s="9">
        <v>1.9984965143333327E7</v>
      </c>
      <c r="F272" s="9">
        <v>2233239.6300000004</v>
      </c>
      <c r="G272" s="6">
        <f t="shared" si="6"/>
        <v>7.473411255</v>
      </c>
      <c r="H272" s="6">
        <f t="shared" si="2"/>
        <v>11.17459857</v>
      </c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4.25" customHeight="1">
      <c r="A273" s="5">
        <v>70603.0</v>
      </c>
      <c r="B273" s="5" t="s">
        <v>389</v>
      </c>
      <c r="C273" s="9">
        <v>8726320.537528453</v>
      </c>
      <c r="D273" s="9">
        <v>1455345.2166666668</v>
      </c>
      <c r="E273" s="9">
        <v>2.0178986096666668E7</v>
      </c>
      <c r="F273" s="9">
        <v>1.4571773853333334E7</v>
      </c>
      <c r="G273" s="6">
        <f t="shared" si="6"/>
        <v>16.67765022</v>
      </c>
      <c r="H273" s="6">
        <f t="shared" si="2"/>
        <v>72.21261655</v>
      </c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4.25" customHeight="1">
      <c r="A274" s="5">
        <v>70701.0</v>
      </c>
      <c r="B274" s="5" t="s">
        <v>390</v>
      </c>
      <c r="C274" s="9">
        <v>6487746.212691282</v>
      </c>
      <c r="D274" s="9">
        <v>32965.45</v>
      </c>
      <c r="E274" s="9">
        <v>5131928.249999999</v>
      </c>
      <c r="F274" s="9">
        <v>174303.53333333333</v>
      </c>
      <c r="G274" s="6">
        <f t="shared" si="6"/>
        <v>0.5081186736</v>
      </c>
      <c r="H274" s="6">
        <f t="shared" si="2"/>
        <v>3.396453045</v>
      </c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4.25" customHeight="1">
      <c r="A275" s="5">
        <v>70702.0</v>
      </c>
      <c r="B275" s="5" t="s">
        <v>392</v>
      </c>
      <c r="C275" s="9">
        <v>3.117954192602278E7</v>
      </c>
      <c r="D275" s="9">
        <v>1703066.343333333</v>
      </c>
      <c r="E275" s="9">
        <v>3.341418033E7</v>
      </c>
      <c r="F275" s="9">
        <v>2395126.8099999987</v>
      </c>
      <c r="G275" s="6">
        <f t="shared" si="6"/>
        <v>5.46212753</v>
      </c>
      <c r="H275" s="6">
        <f t="shared" si="2"/>
        <v>7.167995104</v>
      </c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4.25" customHeight="1">
      <c r="A276" s="5">
        <v>70703.0</v>
      </c>
      <c r="B276" s="5" t="s">
        <v>393</v>
      </c>
      <c r="C276" s="9">
        <v>2.8376682260926183E7</v>
      </c>
      <c r="D276" s="9">
        <v>1786552.21</v>
      </c>
      <c r="E276" s="9">
        <v>3.0560845913333323E7</v>
      </c>
      <c r="F276" s="9">
        <v>6136465.383333334</v>
      </c>
      <c r="G276" s="6">
        <f t="shared" si="6"/>
        <v>6.295845982</v>
      </c>
      <c r="H276" s="6">
        <f t="shared" si="2"/>
        <v>20.07950107</v>
      </c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4.25" customHeight="1">
      <c r="A277" s="5">
        <v>70704.0</v>
      </c>
      <c r="B277" s="5" t="s">
        <v>394</v>
      </c>
      <c r="C277" s="9">
        <v>4307654.428438597</v>
      </c>
      <c r="D277" s="9">
        <v>179174.93333333335</v>
      </c>
      <c r="E277" s="9">
        <v>4902124.739999999</v>
      </c>
      <c r="F277" s="9">
        <v>234642.1066666667</v>
      </c>
      <c r="G277" s="6">
        <f t="shared" si="6"/>
        <v>4.159454671</v>
      </c>
      <c r="H277" s="6">
        <f t="shared" si="2"/>
        <v>4.786538881</v>
      </c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4.25" customHeight="1">
      <c r="A278" s="5">
        <v>70705.0</v>
      </c>
      <c r="B278" s="5" t="s">
        <v>395</v>
      </c>
      <c r="C278" s="9">
        <v>1.4296120458216155E7</v>
      </c>
      <c r="D278" s="9">
        <v>177726.36000000002</v>
      </c>
      <c r="E278" s="9">
        <v>1.1459451356666667E7</v>
      </c>
      <c r="F278" s="9">
        <v>105288.24333333354</v>
      </c>
      <c r="G278" s="6">
        <f t="shared" si="6"/>
        <v>1.243178949</v>
      </c>
      <c r="H278" s="6">
        <f t="shared" si="2"/>
        <v>0.9187895655</v>
      </c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4.25" customHeight="1">
      <c r="A279" s="5">
        <v>70706.0</v>
      </c>
      <c r="B279" s="5" t="s">
        <v>396</v>
      </c>
      <c r="C279" s="9">
        <v>4.692350889508039E7</v>
      </c>
      <c r="D279" s="9">
        <v>1.115421554E7</v>
      </c>
      <c r="E279" s="9">
        <v>4.203900014333334E7</v>
      </c>
      <c r="F279" s="9">
        <v>1.077264694E7</v>
      </c>
      <c r="G279" s="6">
        <f t="shared" si="6"/>
        <v>23.77106018</v>
      </c>
      <c r="H279" s="6">
        <f t="shared" si="2"/>
        <v>25.62536431</v>
      </c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4.25" customHeight="1">
      <c r="A280" s="5">
        <v>70707.0</v>
      </c>
      <c r="B280" s="5" t="s">
        <v>397</v>
      </c>
      <c r="C280" s="9">
        <v>5088715.412265907</v>
      </c>
      <c r="D280" s="9">
        <v>245536.7133333333</v>
      </c>
      <c r="E280" s="9">
        <v>5110853.766666666</v>
      </c>
      <c r="F280" s="9">
        <v>411030.85333333333</v>
      </c>
      <c r="G280" s="6">
        <f t="shared" si="6"/>
        <v>4.825121734</v>
      </c>
      <c r="H280" s="6">
        <f t="shared" si="2"/>
        <v>8.04231293</v>
      </c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4.25" customHeight="1">
      <c r="A281" s="5">
        <v>70801.0</v>
      </c>
      <c r="B281" s="5" t="s">
        <v>398</v>
      </c>
      <c r="C281" s="9">
        <v>2.3957429587673396E7</v>
      </c>
      <c r="D281" s="9">
        <v>4068918.833333332</v>
      </c>
      <c r="E281" s="9">
        <v>2.1644917169999998E7</v>
      </c>
      <c r="F281" s="9">
        <v>5745034.023333333</v>
      </c>
      <c r="G281" s="6">
        <f t="shared" si="6"/>
        <v>16.98395405</v>
      </c>
      <c r="H281" s="6">
        <f t="shared" si="2"/>
        <v>26.5421853</v>
      </c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4.25" customHeight="1">
      <c r="A282" s="5">
        <v>70802.0</v>
      </c>
      <c r="B282" s="5" t="s">
        <v>400</v>
      </c>
      <c r="C282" s="9">
        <v>2714357.679411555</v>
      </c>
      <c r="D282" s="9">
        <v>165765.30000000002</v>
      </c>
      <c r="E282" s="9">
        <v>2139350.169999999</v>
      </c>
      <c r="F282" s="9">
        <v>167239.81999999998</v>
      </c>
      <c r="G282" s="6">
        <f t="shared" si="6"/>
        <v>6.106980714</v>
      </c>
      <c r="H282" s="6">
        <f t="shared" si="2"/>
        <v>7.817318658</v>
      </c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4.25" customHeight="1">
      <c r="A283" s="5">
        <v>70803.0</v>
      </c>
      <c r="B283" s="5" t="s">
        <v>401</v>
      </c>
      <c r="C283" s="9">
        <v>5033332.792283848</v>
      </c>
      <c r="D283" s="9">
        <v>944518.6566666666</v>
      </c>
      <c r="E283" s="9">
        <v>2870699.8066666652</v>
      </c>
      <c r="F283" s="9">
        <v>314605.9166666667</v>
      </c>
      <c r="G283" s="6">
        <f t="shared" si="6"/>
        <v>18.76527334</v>
      </c>
      <c r="H283" s="6">
        <f t="shared" si="2"/>
        <v>10.95920639</v>
      </c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4.25" customHeight="1">
      <c r="A284" s="5">
        <v>70804.0</v>
      </c>
      <c r="B284" s="5" t="s">
        <v>402</v>
      </c>
      <c r="C284" s="9">
        <v>3174351.930800054</v>
      </c>
      <c r="D284" s="9">
        <v>115712.75333333334</v>
      </c>
      <c r="E284" s="9">
        <v>2254291.646666666</v>
      </c>
      <c r="F284" s="9">
        <v>46552.89333333333</v>
      </c>
      <c r="G284" s="6">
        <f t="shared" si="6"/>
        <v>3.645240221</v>
      </c>
      <c r="H284" s="6">
        <f t="shared" si="2"/>
        <v>2.065078554</v>
      </c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4.25" customHeight="1">
      <c r="A285" s="5">
        <v>70805.0</v>
      </c>
      <c r="B285" s="5" t="s">
        <v>403</v>
      </c>
      <c r="C285" s="9">
        <v>3153520.102921434</v>
      </c>
      <c r="D285" s="9">
        <v>47861.94666666668</v>
      </c>
      <c r="E285" s="9">
        <v>2023410.7533333327</v>
      </c>
      <c r="F285" s="9">
        <v>105817.67</v>
      </c>
      <c r="G285" s="6">
        <f t="shared" si="6"/>
        <v>1.517730825</v>
      </c>
      <c r="H285" s="6">
        <f t="shared" si="2"/>
        <v>5.229668263</v>
      </c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4.25" customHeight="1">
      <c r="A286" s="5">
        <v>70901.0</v>
      </c>
      <c r="B286" s="5" t="s">
        <v>404</v>
      </c>
      <c r="C286" s="9">
        <v>1.2477576624140456E7</v>
      </c>
      <c r="D286" s="9">
        <v>942235.0</v>
      </c>
      <c r="E286" s="9">
        <v>1.5081282166666666E7</v>
      </c>
      <c r="F286" s="9">
        <v>5405605.14</v>
      </c>
      <c r="G286" s="6">
        <f t="shared" si="6"/>
        <v>7.551426278</v>
      </c>
      <c r="H286" s="6">
        <f t="shared" si="2"/>
        <v>35.84314039</v>
      </c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4.25" customHeight="1">
      <c r="A287" s="5">
        <v>70902.0</v>
      </c>
      <c r="B287" s="5" t="s">
        <v>406</v>
      </c>
      <c r="C287" s="9">
        <v>1.018104804550052E7</v>
      </c>
      <c r="D287" s="9">
        <v>681902.6733333333</v>
      </c>
      <c r="E287" s="9">
        <v>1.0491755366666665E7</v>
      </c>
      <c r="F287" s="9">
        <v>1993281.5866666667</v>
      </c>
      <c r="G287" s="6">
        <f t="shared" si="6"/>
        <v>6.697765007</v>
      </c>
      <c r="H287" s="6">
        <f t="shared" si="2"/>
        <v>18.99855188</v>
      </c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4.25" customHeight="1">
      <c r="A288" s="5">
        <v>70903.0</v>
      </c>
      <c r="B288" s="5" t="s">
        <v>407</v>
      </c>
      <c r="C288" s="9">
        <v>1.0157865285907062E7</v>
      </c>
      <c r="D288" s="9">
        <v>944104.9666666667</v>
      </c>
      <c r="E288" s="9">
        <v>1.160445926E7</v>
      </c>
      <c r="F288" s="9">
        <v>2201368.6599999997</v>
      </c>
      <c r="G288" s="6">
        <f t="shared" si="6"/>
        <v>9.294324546</v>
      </c>
      <c r="H288" s="6">
        <f t="shared" si="2"/>
        <v>18.9700236</v>
      </c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4.25" customHeight="1">
      <c r="A289" s="5">
        <v>70904.0</v>
      </c>
      <c r="B289" s="5" t="s">
        <v>408</v>
      </c>
      <c r="C289" s="9">
        <v>3690343.4935594853</v>
      </c>
      <c r="D289" s="9">
        <v>1248527.6266666667</v>
      </c>
      <c r="E289" s="9">
        <v>2962127.733333332</v>
      </c>
      <c r="F289" s="9">
        <v>195359.26333333334</v>
      </c>
      <c r="G289" s="6">
        <f t="shared" si="6"/>
        <v>33.83228767</v>
      </c>
      <c r="H289" s="6">
        <f t="shared" si="2"/>
        <v>6.595234268</v>
      </c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4.25" customHeight="1">
      <c r="A290" s="5">
        <v>71001.0</v>
      </c>
      <c r="B290" s="5" t="s">
        <v>409</v>
      </c>
      <c r="C290" s="9">
        <v>1.374761101806827E8</v>
      </c>
      <c r="D290" s="9">
        <v>4.468249883666667E7</v>
      </c>
      <c r="E290" s="9">
        <v>1.6913956158333334E8</v>
      </c>
      <c r="F290" s="9">
        <v>6.794329166000001E7</v>
      </c>
      <c r="G290" s="6">
        <f t="shared" si="6"/>
        <v>32.50200982</v>
      </c>
      <c r="H290" s="6">
        <f t="shared" si="2"/>
        <v>40.16995848</v>
      </c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4.25" customHeight="1">
      <c r="A291" s="5">
        <v>71002.0</v>
      </c>
      <c r="B291" s="5" t="s">
        <v>411</v>
      </c>
      <c r="C291" s="9">
        <v>2.0623878929953676E7</v>
      </c>
      <c r="D291" s="9">
        <v>846854.6133333333</v>
      </c>
      <c r="E291" s="9">
        <v>1.6809142516666662E7</v>
      </c>
      <c r="F291" s="9">
        <v>3680545.1366666667</v>
      </c>
      <c r="G291" s="6">
        <f t="shared" si="6"/>
        <v>4.106184953</v>
      </c>
      <c r="H291" s="6">
        <f t="shared" si="2"/>
        <v>21.89609097</v>
      </c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4.25" customHeight="1">
      <c r="A292" s="5">
        <v>71003.0</v>
      </c>
      <c r="B292" s="5" t="s">
        <v>412</v>
      </c>
      <c r="C292" s="9">
        <v>2.5563299747640174E7</v>
      </c>
      <c r="D292" s="9">
        <v>2383139.6</v>
      </c>
      <c r="E292" s="9">
        <v>2.603445550333333E7</v>
      </c>
      <c r="F292" s="9">
        <v>4550713.069999999</v>
      </c>
      <c r="G292" s="6">
        <f t="shared" si="6"/>
        <v>9.322503838</v>
      </c>
      <c r="H292" s="6">
        <f t="shared" si="2"/>
        <v>17.47957844</v>
      </c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4.25" customHeight="1">
      <c r="A293" s="5">
        <v>71004.0</v>
      </c>
      <c r="B293" s="5" t="s">
        <v>413</v>
      </c>
      <c r="C293" s="9">
        <v>1.6560944162217021E7</v>
      </c>
      <c r="D293" s="9">
        <v>2692319.4566666665</v>
      </c>
      <c r="E293" s="9">
        <v>1.7399287736666664E7</v>
      </c>
      <c r="F293" s="9">
        <v>3431532.973333333</v>
      </c>
      <c r="G293" s="6">
        <f t="shared" si="6"/>
        <v>16.25704084</v>
      </c>
      <c r="H293" s="6">
        <f t="shared" si="2"/>
        <v>19.72226119</v>
      </c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4.25" customHeight="1">
      <c r="A294" s="5">
        <v>71005.0</v>
      </c>
      <c r="B294" s="5" t="s">
        <v>414</v>
      </c>
      <c r="C294" s="9">
        <v>1.994449224594325E7</v>
      </c>
      <c r="D294" s="9">
        <v>2381548.966666667</v>
      </c>
      <c r="E294" s="9">
        <v>2.324161077666666E7</v>
      </c>
      <c r="F294" s="9">
        <v>5590708.316666666</v>
      </c>
      <c r="G294" s="6">
        <f t="shared" si="6"/>
        <v>11.94088542</v>
      </c>
      <c r="H294" s="6">
        <f t="shared" si="2"/>
        <v>24.05473687</v>
      </c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4.25" customHeight="1">
      <c r="A295" s="5">
        <v>71101.0</v>
      </c>
      <c r="B295" s="5" t="s">
        <v>415</v>
      </c>
      <c r="C295" s="9">
        <v>2.0602742309448425E7</v>
      </c>
      <c r="D295" s="9">
        <v>2921336.7966666664</v>
      </c>
      <c r="E295" s="9">
        <v>2.343621001E7</v>
      </c>
      <c r="F295" s="9">
        <v>6065285.613333333</v>
      </c>
      <c r="G295" s="6">
        <f t="shared" si="6"/>
        <v>14.179359</v>
      </c>
      <c r="H295" s="6">
        <f t="shared" si="2"/>
        <v>25.87997637</v>
      </c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4.25" customHeight="1">
      <c r="A296" s="5">
        <v>71102.0</v>
      </c>
      <c r="B296" s="5" t="s">
        <v>417</v>
      </c>
      <c r="C296" s="9">
        <v>1.5267662223419195E7</v>
      </c>
      <c r="D296" s="9">
        <v>1504798.4733333334</v>
      </c>
      <c r="E296" s="9">
        <v>1.495789061333333E7</v>
      </c>
      <c r="F296" s="9">
        <v>2373466.2499999995</v>
      </c>
      <c r="G296" s="6">
        <f t="shared" si="6"/>
        <v>9.85611583</v>
      </c>
      <c r="H296" s="6">
        <f t="shared" si="2"/>
        <v>15.86765348</v>
      </c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4.25" customHeight="1">
      <c r="A297" s="5">
        <v>71103.0</v>
      </c>
      <c r="B297" s="5" t="s">
        <v>418</v>
      </c>
      <c r="C297" s="9">
        <v>7688019.401221172</v>
      </c>
      <c r="D297" s="9">
        <v>876021.3300000001</v>
      </c>
      <c r="E297" s="9">
        <v>1.0462032836666666E7</v>
      </c>
      <c r="F297" s="9">
        <v>3541786.6799999997</v>
      </c>
      <c r="G297" s="6">
        <f t="shared" si="6"/>
        <v>11.39462954</v>
      </c>
      <c r="H297" s="6">
        <f t="shared" si="2"/>
        <v>33.85371405</v>
      </c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4.25" customHeight="1">
      <c r="A298" s="5">
        <v>71104.0</v>
      </c>
      <c r="B298" s="5" t="s">
        <v>419</v>
      </c>
      <c r="C298" s="9">
        <v>5.159301315753456E7</v>
      </c>
      <c r="D298" s="9">
        <v>5544270.173333333</v>
      </c>
      <c r="E298" s="9">
        <v>5.6639741359999985E7</v>
      </c>
      <c r="F298" s="9">
        <v>1.2827499913333332E7</v>
      </c>
      <c r="G298" s="6">
        <f t="shared" si="6"/>
        <v>10.74616471</v>
      </c>
      <c r="H298" s="6">
        <f t="shared" si="2"/>
        <v>22.64752558</v>
      </c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4.25" customHeight="1">
      <c r="A299" s="5">
        <v>71105.0</v>
      </c>
      <c r="B299" s="5" t="s">
        <v>420</v>
      </c>
      <c r="C299" s="9">
        <v>7872675.432598136</v>
      </c>
      <c r="D299" s="9">
        <v>151331.27333333335</v>
      </c>
      <c r="E299" s="9">
        <v>6117148.669999999</v>
      </c>
      <c r="F299" s="9">
        <v>129240.22666666668</v>
      </c>
      <c r="G299" s="6">
        <f t="shared" si="6"/>
        <v>1.922234374</v>
      </c>
      <c r="H299" s="6">
        <f t="shared" si="2"/>
        <v>2.112752749</v>
      </c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4.25" customHeight="1">
      <c r="A300" s="5">
        <v>71106.0</v>
      </c>
      <c r="B300" s="5" t="s">
        <v>421</v>
      </c>
      <c r="C300" s="9">
        <v>2.7707435040793497E7</v>
      </c>
      <c r="D300" s="9">
        <v>6709291.576666667</v>
      </c>
      <c r="E300" s="9">
        <v>3.4761744029999994E7</v>
      </c>
      <c r="F300" s="9">
        <v>1.3653153966666667E7</v>
      </c>
      <c r="G300" s="6">
        <f t="shared" si="6"/>
        <v>24.21476967</v>
      </c>
      <c r="H300" s="6">
        <f t="shared" si="2"/>
        <v>39.27637795</v>
      </c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4.25" customHeight="1">
      <c r="A301" s="5">
        <v>71201.0</v>
      </c>
      <c r="B301" s="5" t="s">
        <v>422</v>
      </c>
      <c r="C301" s="9">
        <v>1.6558213935586507E7</v>
      </c>
      <c r="D301" s="9">
        <v>832525.0433333333</v>
      </c>
      <c r="E301" s="9">
        <v>1.4258976656666664E7</v>
      </c>
      <c r="F301" s="9">
        <v>889341.37</v>
      </c>
      <c r="G301" s="6">
        <f t="shared" si="6"/>
        <v>5.027867417</v>
      </c>
      <c r="H301" s="6">
        <f t="shared" si="2"/>
        <v>6.23706309</v>
      </c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4.25" customHeight="1">
      <c r="A302" s="5">
        <v>71301.0</v>
      </c>
      <c r="B302" s="5" t="s">
        <v>424</v>
      </c>
      <c r="C302" s="9">
        <v>1.92842705243915E7</v>
      </c>
      <c r="D302" s="9">
        <v>1576536.8366666667</v>
      </c>
      <c r="E302" s="9">
        <v>1.741249555333333E7</v>
      </c>
      <c r="F302" s="9">
        <v>2703888.5700000003</v>
      </c>
      <c r="G302" s="6">
        <f t="shared" si="6"/>
        <v>8.175247462</v>
      </c>
      <c r="H302" s="6">
        <f t="shared" si="2"/>
        <v>15.52843796</v>
      </c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4.25" customHeight="1">
      <c r="A303" s="5">
        <v>71302.0</v>
      </c>
      <c r="B303" s="5" t="s">
        <v>426</v>
      </c>
      <c r="C303" s="9">
        <v>7158021.846532185</v>
      </c>
      <c r="D303" s="9">
        <v>719085.8799999999</v>
      </c>
      <c r="E303" s="9">
        <v>8489680.563333333</v>
      </c>
      <c r="F303" s="9">
        <v>1661836.5266666666</v>
      </c>
      <c r="G303" s="6">
        <f t="shared" si="6"/>
        <v>10.04587434</v>
      </c>
      <c r="H303" s="6">
        <f t="shared" si="2"/>
        <v>19.57478275</v>
      </c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4.25" customHeight="1">
      <c r="A304" s="5">
        <v>71401.0</v>
      </c>
      <c r="B304" s="5" t="s">
        <v>427</v>
      </c>
      <c r="C304" s="9">
        <v>2.1078584413708013E7</v>
      </c>
      <c r="D304" s="9">
        <v>3478067.856666667</v>
      </c>
      <c r="E304" s="9">
        <v>2.356875294666666E7</v>
      </c>
      <c r="F304" s="9">
        <v>5247167.366666667</v>
      </c>
      <c r="G304" s="6">
        <f t="shared" si="6"/>
        <v>16.50048119</v>
      </c>
      <c r="H304" s="6">
        <f t="shared" si="2"/>
        <v>22.26323717</v>
      </c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4.25" customHeight="1">
      <c r="A305" s="5">
        <v>71402.0</v>
      </c>
      <c r="B305" s="5" t="s">
        <v>429</v>
      </c>
      <c r="C305" s="9">
        <v>2.0572143843363654E7</v>
      </c>
      <c r="D305" s="9">
        <v>5728758.323333333</v>
      </c>
      <c r="E305" s="9">
        <v>2.545970969666666E7</v>
      </c>
      <c r="F305" s="9">
        <v>1.0067114409999998E7</v>
      </c>
      <c r="G305" s="6">
        <f t="shared" si="6"/>
        <v>27.84716249</v>
      </c>
      <c r="H305" s="6">
        <f t="shared" si="2"/>
        <v>39.54135585</v>
      </c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4.25" customHeight="1">
      <c r="A306" s="5">
        <v>71403.0</v>
      </c>
      <c r="B306" s="5" t="s">
        <v>430</v>
      </c>
      <c r="C306" s="9">
        <v>7115492.359499768</v>
      </c>
      <c r="D306" s="9">
        <v>1219163.8633333333</v>
      </c>
      <c r="E306" s="9">
        <v>7959526.9866666645</v>
      </c>
      <c r="F306" s="9">
        <v>2100057.466666667</v>
      </c>
      <c r="G306" s="6">
        <f t="shared" si="6"/>
        <v>17.13393539</v>
      </c>
      <c r="H306" s="6">
        <f t="shared" si="2"/>
        <v>26.38419934</v>
      </c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4.25" customHeight="1">
      <c r="A307" s="5">
        <v>71501.0</v>
      </c>
      <c r="B307" s="5" t="s">
        <v>431</v>
      </c>
      <c r="C307" s="9">
        <v>2.2271103768858176E7</v>
      </c>
      <c r="D307" s="9">
        <v>1592990.4000000001</v>
      </c>
      <c r="E307" s="9">
        <v>2.802947973333333E7</v>
      </c>
      <c r="F307" s="9">
        <v>3016900.83</v>
      </c>
      <c r="G307" s="6">
        <f t="shared" si="6"/>
        <v>7.152723172</v>
      </c>
      <c r="H307" s="6">
        <f t="shared" si="2"/>
        <v>10.76331369</v>
      </c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4.25" customHeight="1">
      <c r="A308" s="5">
        <v>71502.0</v>
      </c>
      <c r="B308" s="5" t="s">
        <v>433</v>
      </c>
      <c r="C308" s="9">
        <v>7725786.901445565</v>
      </c>
      <c r="D308" s="9">
        <v>391718.53</v>
      </c>
      <c r="E308" s="9">
        <v>6742653.6866666665</v>
      </c>
      <c r="F308" s="9">
        <v>251153.99333333332</v>
      </c>
      <c r="G308" s="6">
        <f t="shared" si="6"/>
        <v>5.070273553</v>
      </c>
      <c r="H308" s="6">
        <f t="shared" si="2"/>
        <v>3.724853819</v>
      </c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4.25" customHeight="1">
      <c r="A309" s="5">
        <v>71503.0</v>
      </c>
      <c r="B309" s="5" t="s">
        <v>434</v>
      </c>
      <c r="C309" s="9">
        <v>1.1315936963480448E7</v>
      </c>
      <c r="D309" s="9">
        <v>795275.4700000001</v>
      </c>
      <c r="E309" s="9">
        <v>1.554400092E7</v>
      </c>
      <c r="F309" s="9">
        <v>2418953.703333333</v>
      </c>
      <c r="G309" s="6">
        <f t="shared" si="6"/>
        <v>7.02792418</v>
      </c>
      <c r="H309" s="6">
        <f t="shared" si="2"/>
        <v>15.56197607</v>
      </c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4.25" customHeight="1">
      <c r="A310" s="5">
        <v>80101.0</v>
      </c>
      <c r="B310" s="5" t="s">
        <v>435</v>
      </c>
      <c r="C310" s="9">
        <v>2.0599065332439074E8</v>
      </c>
      <c r="D310" s="9">
        <v>3.1120578826666664E7</v>
      </c>
      <c r="E310" s="9">
        <v>1.9674497990666664E8</v>
      </c>
      <c r="F310" s="9">
        <v>5.648936096E7</v>
      </c>
      <c r="G310" s="6">
        <f t="shared" si="6"/>
        <v>15.10776257</v>
      </c>
      <c r="H310" s="6">
        <f t="shared" si="2"/>
        <v>28.71197069</v>
      </c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4.25" customHeight="1">
      <c r="A311" s="5">
        <v>80102.0</v>
      </c>
      <c r="B311" s="5" t="s">
        <v>437</v>
      </c>
      <c r="C311" s="9">
        <v>6256734.834287465</v>
      </c>
      <c r="D311" s="9">
        <v>232873.29</v>
      </c>
      <c r="E311" s="9">
        <v>7269630.739999997</v>
      </c>
      <c r="F311" s="9">
        <v>326869.9466666667</v>
      </c>
      <c r="G311" s="6">
        <f t="shared" si="6"/>
        <v>3.721961952</v>
      </c>
      <c r="H311" s="6">
        <f t="shared" si="2"/>
        <v>4.496376203</v>
      </c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4.25" customHeight="1">
      <c r="A312" s="5">
        <v>80201.0</v>
      </c>
      <c r="B312" s="5" t="s">
        <v>438</v>
      </c>
      <c r="C312" s="9">
        <v>1.794275704099563E8</v>
      </c>
      <c r="D312" s="9">
        <v>1.061855294E7</v>
      </c>
      <c r="E312" s="9">
        <v>1.4560039681999996E8</v>
      </c>
      <c r="F312" s="9">
        <v>2.8468181866666663E7</v>
      </c>
      <c r="G312" s="6">
        <f t="shared" si="6"/>
        <v>5.918016343</v>
      </c>
      <c r="H312" s="6">
        <f t="shared" si="2"/>
        <v>19.55226942</v>
      </c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4.25" customHeight="1">
      <c r="A313" s="5">
        <v>80202.0</v>
      </c>
      <c r="B313" s="5" t="s">
        <v>440</v>
      </c>
      <c r="C313" s="9">
        <v>9.565312344959986E7</v>
      </c>
      <c r="D313" s="9">
        <v>7354210.780000001</v>
      </c>
      <c r="E313" s="9">
        <v>6.238390805333331E7</v>
      </c>
      <c r="F313" s="9">
        <v>7366729.779999998</v>
      </c>
      <c r="G313" s="6">
        <f t="shared" si="6"/>
        <v>7.688416765</v>
      </c>
      <c r="H313" s="6">
        <f t="shared" si="2"/>
        <v>11.80870197</v>
      </c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4.25" customHeight="1">
      <c r="A314" s="5">
        <v>80301.0</v>
      </c>
      <c r="B314" s="5" t="s">
        <v>441</v>
      </c>
      <c r="C314" s="9">
        <v>2.502594251874411E7</v>
      </c>
      <c r="D314" s="9">
        <v>310560.75666666665</v>
      </c>
      <c r="E314" s="9">
        <v>1.806832136333333E7</v>
      </c>
      <c r="F314" s="9">
        <v>640161.6699999999</v>
      </c>
      <c r="G314" s="6">
        <f t="shared" si="6"/>
        <v>1.240955286</v>
      </c>
      <c r="H314" s="6">
        <f t="shared" si="2"/>
        <v>3.543005779</v>
      </c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4.25" customHeight="1">
      <c r="A315" s="5">
        <v>80302.0</v>
      </c>
      <c r="B315" s="5" t="s">
        <v>443</v>
      </c>
      <c r="C315" s="9">
        <v>7.83732210147549E7</v>
      </c>
      <c r="D315" s="9">
        <v>1332005.1866666668</v>
      </c>
      <c r="E315" s="9">
        <v>5.567467398999999E7</v>
      </c>
      <c r="F315" s="9">
        <v>1907480.3099999998</v>
      </c>
      <c r="G315" s="6">
        <f t="shared" si="6"/>
        <v>1.699566726</v>
      </c>
      <c r="H315" s="6">
        <f t="shared" si="2"/>
        <v>3.426118508</v>
      </c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4.25" customHeight="1">
      <c r="A316" s="5">
        <v>80303.0</v>
      </c>
      <c r="B316" s="5" t="s">
        <v>445</v>
      </c>
      <c r="C316" s="9">
        <v>2.2863578115430187E7</v>
      </c>
      <c r="D316" s="9">
        <v>2840428.796666667</v>
      </c>
      <c r="E316" s="9">
        <v>1.3563360389999995E7</v>
      </c>
      <c r="F316" s="9">
        <v>1093034.8933333333</v>
      </c>
      <c r="G316" s="6">
        <f t="shared" si="6"/>
        <v>12.42337828</v>
      </c>
      <c r="H316" s="6">
        <f t="shared" si="2"/>
        <v>8.058732216</v>
      </c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4.25" customHeight="1">
      <c r="A317" s="5">
        <v>80304.0</v>
      </c>
      <c r="B317" s="5" t="s">
        <v>446</v>
      </c>
      <c r="C317" s="9">
        <v>3.2715259830110688E7</v>
      </c>
      <c r="D317" s="9">
        <v>2369008.4766666666</v>
      </c>
      <c r="E317" s="9">
        <v>2.776675519666667E7</v>
      </c>
      <c r="F317" s="9">
        <v>2511058.3499999996</v>
      </c>
      <c r="G317" s="6">
        <f t="shared" si="6"/>
        <v>7.241295007</v>
      </c>
      <c r="H317" s="6">
        <f t="shared" si="2"/>
        <v>9.043398597</v>
      </c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4.25" customHeight="1">
      <c r="A318" s="5">
        <v>80401.0</v>
      </c>
      <c r="B318" s="5" t="s">
        <v>447</v>
      </c>
      <c r="C318" s="9">
        <v>5.42611787310598E7</v>
      </c>
      <c r="D318" s="9">
        <v>2360890.5366666666</v>
      </c>
      <c r="E318" s="9">
        <v>3.5944151449999996E7</v>
      </c>
      <c r="F318" s="9">
        <v>1.1683179553333333E7</v>
      </c>
      <c r="G318" s="6">
        <f t="shared" si="6"/>
        <v>4.350975397</v>
      </c>
      <c r="H318" s="6">
        <f t="shared" si="2"/>
        <v>32.50370111</v>
      </c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4.25" customHeight="1">
      <c r="A319" s="5">
        <v>80402.0</v>
      </c>
      <c r="B319" s="5" t="s">
        <v>449</v>
      </c>
      <c r="C319" s="9">
        <v>1.3778717795464167E7</v>
      </c>
      <c r="D319" s="9">
        <v>193630.33333333334</v>
      </c>
      <c r="E319" s="9">
        <v>9138154.383333331</v>
      </c>
      <c r="F319" s="9">
        <v>767779.3866666667</v>
      </c>
      <c r="G319" s="6">
        <f t="shared" si="6"/>
        <v>1.405285573</v>
      </c>
      <c r="H319" s="6">
        <f t="shared" si="2"/>
        <v>8.401908684</v>
      </c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4.25" customHeight="1">
      <c r="A320" s="5">
        <v>80501.0</v>
      </c>
      <c r="B320" s="5" t="s">
        <v>450</v>
      </c>
      <c r="C320" s="9">
        <v>4.56559604632865E7</v>
      </c>
      <c r="D320" s="9">
        <v>913588.82</v>
      </c>
      <c r="E320" s="9">
        <v>2.8949826966666657E7</v>
      </c>
      <c r="F320" s="9">
        <v>1169160.7733333334</v>
      </c>
      <c r="G320" s="6">
        <f t="shared" si="6"/>
        <v>2.001028586</v>
      </c>
      <c r="H320" s="6">
        <f t="shared" si="2"/>
        <v>4.038576033</v>
      </c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4.25" customHeight="1">
      <c r="A321" s="5">
        <v>80601.0</v>
      </c>
      <c r="B321" s="5" t="s">
        <v>452</v>
      </c>
      <c r="C321" s="9">
        <v>8849682.754775891</v>
      </c>
      <c r="D321" s="9">
        <v>153169.24</v>
      </c>
      <c r="E321" s="9">
        <v>5115154.35</v>
      </c>
      <c r="F321" s="9">
        <v>78949.61</v>
      </c>
      <c r="G321" s="6">
        <f t="shared" si="6"/>
        <v>1.730787919</v>
      </c>
      <c r="H321" s="6">
        <f t="shared" si="2"/>
        <v>1.543445312</v>
      </c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4.25" customHeight="1">
      <c r="A322" s="5">
        <v>80602.0</v>
      </c>
      <c r="B322" s="5" t="s">
        <v>454</v>
      </c>
      <c r="C322" s="9">
        <v>2.4356015335366845E7</v>
      </c>
      <c r="D322" s="9">
        <v>631369.0833333334</v>
      </c>
      <c r="E322" s="9">
        <v>1.724159049E7</v>
      </c>
      <c r="F322" s="9">
        <v>791050.3366666666</v>
      </c>
      <c r="G322" s="6">
        <f t="shared" si="6"/>
        <v>2.592251132</v>
      </c>
      <c r="H322" s="6">
        <f t="shared" si="2"/>
        <v>4.588035756</v>
      </c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4.25" customHeight="1">
      <c r="A323" s="5">
        <v>80701.0</v>
      </c>
      <c r="B323" s="5" t="s">
        <v>455</v>
      </c>
      <c r="C323" s="9">
        <v>1.260857671891413E7</v>
      </c>
      <c r="D323" s="9">
        <v>540315.6333333333</v>
      </c>
      <c r="E323" s="9">
        <v>1.024276317333333E7</v>
      </c>
      <c r="F323" s="9">
        <v>1142133.72</v>
      </c>
      <c r="G323" s="6">
        <f t="shared" si="6"/>
        <v>4.285302341</v>
      </c>
      <c r="H323" s="6">
        <f t="shared" si="2"/>
        <v>11.15064071</v>
      </c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4.25" customHeight="1">
      <c r="A324" s="5">
        <v>80702.0</v>
      </c>
      <c r="B324" s="5" t="s">
        <v>457</v>
      </c>
      <c r="C324" s="9">
        <v>1.3330513851380736E7</v>
      </c>
      <c r="D324" s="9">
        <v>277159.52</v>
      </c>
      <c r="E324" s="9">
        <v>7145921.893333334</v>
      </c>
      <c r="F324" s="9">
        <v>626840.0266666667</v>
      </c>
      <c r="G324" s="6">
        <f t="shared" si="6"/>
        <v>2.079136056</v>
      </c>
      <c r="H324" s="6">
        <f t="shared" si="2"/>
        <v>8.771996616</v>
      </c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4.25" customHeight="1">
      <c r="A325" s="5">
        <v>80703.0</v>
      </c>
      <c r="B325" s="5" t="s">
        <v>458</v>
      </c>
      <c r="C325" s="9">
        <v>2293813.6809547013</v>
      </c>
      <c r="D325" s="9">
        <v>17007.84</v>
      </c>
      <c r="E325" s="9">
        <v>1296481.993333333</v>
      </c>
      <c r="F325" s="9">
        <v>53652.23333333334</v>
      </c>
      <c r="G325" s="6">
        <f t="shared" si="6"/>
        <v>0.7414656274</v>
      </c>
      <c r="H325" s="6">
        <f t="shared" si="2"/>
        <v>4.138293753</v>
      </c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4.25" customHeight="1">
      <c r="A326" s="5">
        <v>80801.0</v>
      </c>
      <c r="B326" s="5" t="s">
        <v>459</v>
      </c>
      <c r="C326" s="9">
        <v>2.265675254980029E7</v>
      </c>
      <c r="D326" s="9">
        <v>567161.79</v>
      </c>
      <c r="E326" s="9">
        <v>1.6298929606666664E7</v>
      </c>
      <c r="F326" s="9">
        <v>1329950.1333333333</v>
      </c>
      <c r="G326" s="6">
        <f t="shared" si="6"/>
        <v>2.503279271</v>
      </c>
      <c r="H326" s="6">
        <f t="shared" si="2"/>
        <v>8.159739108</v>
      </c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4.25" customHeight="1">
      <c r="A327" s="5">
        <v>80802.0</v>
      </c>
      <c r="B327" s="5" t="s">
        <v>461</v>
      </c>
      <c r="C327" s="9">
        <v>1.2090715950290212E7</v>
      </c>
      <c r="D327" s="9">
        <v>414659.57</v>
      </c>
      <c r="E327" s="9">
        <v>1.1446793916666662E7</v>
      </c>
      <c r="F327" s="9">
        <v>3598781.1199999996</v>
      </c>
      <c r="G327" s="6">
        <f t="shared" si="6"/>
        <v>3.429570025</v>
      </c>
      <c r="H327" s="6">
        <f t="shared" si="2"/>
        <v>31.439206</v>
      </c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4.25" customHeight="1">
      <c r="A328" s="5">
        <v>80803.0</v>
      </c>
      <c r="B328" s="5" t="s">
        <v>462</v>
      </c>
      <c r="C328" s="9">
        <v>8359956.45770587</v>
      </c>
      <c r="D328" s="9">
        <v>132781.73333333334</v>
      </c>
      <c r="E328" s="9">
        <v>5733022.483333331</v>
      </c>
      <c r="F328" s="9">
        <v>324453.24333333335</v>
      </c>
      <c r="G328" s="6">
        <f t="shared" si="6"/>
        <v>1.588306518</v>
      </c>
      <c r="H328" s="6">
        <f t="shared" si="2"/>
        <v>5.659375038</v>
      </c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4.25" customHeight="1">
      <c r="A329" s="10">
        <v>80901.0</v>
      </c>
      <c r="B329" s="10" t="s">
        <v>464</v>
      </c>
      <c r="C329" s="9">
        <v>0.0</v>
      </c>
      <c r="D329" s="9">
        <v>0.0</v>
      </c>
      <c r="E329" s="9">
        <v>4273955.99</v>
      </c>
      <c r="F329" s="9">
        <v>0.0</v>
      </c>
      <c r="G329" s="6">
        <v>0.0</v>
      </c>
      <c r="H329" s="6">
        <f t="shared" si="2"/>
        <v>0</v>
      </c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4.25" customHeight="1">
      <c r="A330" s="5">
        <v>90101.0</v>
      </c>
      <c r="B330" s="5" t="s">
        <v>465</v>
      </c>
      <c r="C330" s="9">
        <v>2.4720536405636534E8</v>
      </c>
      <c r="D330" s="9">
        <v>1.147186004E7</v>
      </c>
      <c r="E330" s="9">
        <v>1.6442265120333335E8</v>
      </c>
      <c r="F330" s="9">
        <v>3.419812374333333E7</v>
      </c>
      <c r="G330" s="6">
        <f t="shared" ref="G330:G344" si="7">(D330*100)/C330</f>
        <v>4.640619383</v>
      </c>
      <c r="H330" s="6">
        <f t="shared" si="2"/>
        <v>20.79891274</v>
      </c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4.25" customHeight="1">
      <c r="A331" s="5">
        <v>90102.0</v>
      </c>
      <c r="B331" s="5" t="s">
        <v>468</v>
      </c>
      <c r="C331" s="9">
        <v>3.99385361747589E7</v>
      </c>
      <c r="D331" s="9">
        <v>364568.9466666667</v>
      </c>
      <c r="E331" s="9">
        <v>2.326825209E7</v>
      </c>
      <c r="F331" s="9">
        <v>898042.4866666667</v>
      </c>
      <c r="G331" s="6">
        <f t="shared" si="7"/>
        <v>0.9128250096</v>
      </c>
      <c r="H331" s="6">
        <f t="shared" si="2"/>
        <v>3.859518468</v>
      </c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4.25" customHeight="1">
      <c r="A332" s="5">
        <v>90103.0</v>
      </c>
      <c r="B332" s="5" t="s">
        <v>469</v>
      </c>
      <c r="C332" s="9">
        <v>1.2899583972795233E7</v>
      </c>
      <c r="D332" s="9">
        <v>836.0266666666666</v>
      </c>
      <c r="E332" s="9">
        <v>6294305.3166666655</v>
      </c>
      <c r="F332" s="9">
        <v>178661.19999999998</v>
      </c>
      <c r="G332" s="6">
        <f t="shared" si="7"/>
        <v>0.006481035888</v>
      </c>
      <c r="H332" s="6">
        <f t="shared" si="2"/>
        <v>2.838457797</v>
      </c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4.25" customHeight="1">
      <c r="A333" s="5">
        <v>90104.0</v>
      </c>
      <c r="B333" s="5" t="s">
        <v>470</v>
      </c>
      <c r="C333" s="9">
        <v>2.4987974813106194E7</v>
      </c>
      <c r="D333" s="9">
        <v>52287.23</v>
      </c>
      <c r="E333" s="9">
        <v>1.1118366336666664E7</v>
      </c>
      <c r="F333" s="9">
        <v>116501.06333333334</v>
      </c>
      <c r="G333" s="6">
        <f t="shared" si="7"/>
        <v>0.2092495706</v>
      </c>
      <c r="H333" s="6">
        <f t="shared" si="2"/>
        <v>1.047825371</v>
      </c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4.25" customHeight="1">
      <c r="A334" s="5">
        <v>90201.0</v>
      </c>
      <c r="B334" s="5" t="s">
        <v>471</v>
      </c>
      <c r="C334" s="9">
        <v>4.331212024119014E7</v>
      </c>
      <c r="D334" s="9">
        <v>187144.31666666665</v>
      </c>
      <c r="E334" s="9">
        <v>1.7940974409999996E7</v>
      </c>
      <c r="F334" s="9">
        <v>380990.60000000003</v>
      </c>
      <c r="G334" s="6">
        <f t="shared" si="7"/>
        <v>0.4320830189</v>
      </c>
      <c r="H334" s="6">
        <f t="shared" si="2"/>
        <v>2.123578081</v>
      </c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4.25" customHeight="1">
      <c r="A335" s="5">
        <v>90202.0</v>
      </c>
      <c r="B335" s="5" t="s">
        <v>473</v>
      </c>
      <c r="C335" s="9">
        <v>1.1852771042801553E7</v>
      </c>
      <c r="D335" s="9">
        <v>14536.606666666668</v>
      </c>
      <c r="E335" s="9">
        <v>8498389.203333331</v>
      </c>
      <c r="F335" s="9">
        <v>80366.65666666666</v>
      </c>
      <c r="G335" s="6">
        <f t="shared" si="7"/>
        <v>0.122643107</v>
      </c>
      <c r="H335" s="6">
        <f t="shared" si="2"/>
        <v>0.945669288</v>
      </c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4.25" customHeight="1">
      <c r="A336" s="5">
        <v>90203.0</v>
      </c>
      <c r="B336" s="5" t="s">
        <v>474</v>
      </c>
      <c r="C336" s="9">
        <v>3.402292047348336E7</v>
      </c>
      <c r="D336" s="9">
        <v>38094.34666666667</v>
      </c>
      <c r="E336" s="9">
        <v>1.6413860939999996E7</v>
      </c>
      <c r="F336" s="9">
        <v>213349.82666666666</v>
      </c>
      <c r="G336" s="6">
        <f t="shared" si="7"/>
        <v>0.1119667158</v>
      </c>
      <c r="H336" s="6">
        <f t="shared" si="2"/>
        <v>1.299815001</v>
      </c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4.25" customHeight="1">
      <c r="A337" s="5">
        <v>90301.0</v>
      </c>
      <c r="B337" s="5" t="s">
        <v>475</v>
      </c>
      <c r="C337" s="9">
        <v>4.1487565594174325E7</v>
      </c>
      <c r="D337" s="9">
        <v>101022.33</v>
      </c>
      <c r="E337" s="9">
        <v>2.304107223E7</v>
      </c>
      <c r="F337" s="9">
        <v>74158.70666666667</v>
      </c>
      <c r="G337" s="6">
        <f t="shared" si="7"/>
        <v>0.2435002598</v>
      </c>
      <c r="H337" s="6">
        <f t="shared" si="2"/>
        <v>0.3218544082</v>
      </c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4.25" customHeight="1">
      <c r="A338" s="5">
        <v>90302.0</v>
      </c>
      <c r="B338" s="5" t="s">
        <v>477</v>
      </c>
      <c r="C338" s="9">
        <v>3.788776941839641E7</v>
      </c>
      <c r="D338" s="9">
        <v>8345.27</v>
      </c>
      <c r="E338" s="9">
        <v>2.160396512E7</v>
      </c>
      <c r="F338" s="9">
        <v>66890.17666666668</v>
      </c>
      <c r="G338" s="6">
        <f t="shared" si="7"/>
        <v>0.02202629009</v>
      </c>
      <c r="H338" s="6">
        <f t="shared" si="2"/>
        <v>0.3096199068</v>
      </c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4.25" customHeight="1">
      <c r="A339" s="5">
        <v>90303.0</v>
      </c>
      <c r="B339" s="5" t="s">
        <v>478</v>
      </c>
      <c r="C339" s="9">
        <v>2.4420651201814607E7</v>
      </c>
      <c r="D339" s="9">
        <v>135989.57666666666</v>
      </c>
      <c r="E339" s="9">
        <v>2.4251861666666668E7</v>
      </c>
      <c r="F339" s="9">
        <v>1009112.9133333332</v>
      </c>
      <c r="G339" s="6">
        <f t="shared" si="7"/>
        <v>0.5568630236</v>
      </c>
      <c r="H339" s="6">
        <f t="shared" si="2"/>
        <v>4.160970928</v>
      </c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4.25" customHeight="1">
      <c r="A340" s="5">
        <v>90401.0</v>
      </c>
      <c r="B340" s="5" t="s">
        <v>479</v>
      </c>
      <c r="C340" s="9">
        <v>2.2704942149413932E7</v>
      </c>
      <c r="D340" s="9">
        <v>1842.4666666666665</v>
      </c>
      <c r="E340" s="9">
        <v>6780043.923333332</v>
      </c>
      <c r="F340" s="9">
        <v>39549.07</v>
      </c>
      <c r="G340" s="6">
        <f t="shared" si="7"/>
        <v>0.008114826519</v>
      </c>
      <c r="H340" s="6">
        <f t="shared" si="2"/>
        <v>0.5833158376</v>
      </c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4.25" customHeight="1">
      <c r="A341" s="5">
        <v>90402.0</v>
      </c>
      <c r="B341" s="5" t="s">
        <v>481</v>
      </c>
      <c r="C341" s="9">
        <v>9856028.939709174</v>
      </c>
      <c r="D341" s="9">
        <v>38478.74333333333</v>
      </c>
      <c r="E341" s="9">
        <v>4654864.339999999</v>
      </c>
      <c r="F341" s="9">
        <v>20.0</v>
      </c>
      <c r="G341" s="6">
        <f t="shared" si="7"/>
        <v>0.3904081813</v>
      </c>
      <c r="H341" s="6">
        <f t="shared" si="2"/>
        <v>0.0004296580639</v>
      </c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4.25" customHeight="1">
      <c r="A342" s="5">
        <v>90501.0</v>
      </c>
      <c r="B342" s="5" t="s">
        <v>482</v>
      </c>
      <c r="C342" s="9">
        <v>8013527.938493356</v>
      </c>
      <c r="D342" s="9">
        <v>37886.956666666665</v>
      </c>
      <c r="E342" s="9">
        <v>5887491.493333332</v>
      </c>
      <c r="F342" s="9">
        <v>67385.5</v>
      </c>
      <c r="G342" s="6">
        <f t="shared" si="7"/>
        <v>0.4727874783</v>
      </c>
      <c r="H342" s="6">
        <f t="shared" si="2"/>
        <v>1.144553671</v>
      </c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4.25" customHeight="1">
      <c r="A343" s="5">
        <v>90502.0</v>
      </c>
      <c r="B343" s="5" t="s">
        <v>484</v>
      </c>
      <c r="C343" s="9">
        <v>1.087800187501133E7</v>
      </c>
      <c r="D343" s="9">
        <v>32170.316666666666</v>
      </c>
      <c r="E343" s="9">
        <v>7985441.699999999</v>
      </c>
      <c r="F343" s="9">
        <v>102201.81000000001</v>
      </c>
      <c r="G343" s="6">
        <f t="shared" si="7"/>
        <v>0.2957373701</v>
      </c>
      <c r="H343" s="6">
        <f t="shared" si="2"/>
        <v>1.279851683</v>
      </c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4.25" customHeight="1">
      <c r="A344" s="5">
        <v>90503.0</v>
      </c>
      <c r="B344" s="5" t="s">
        <v>485</v>
      </c>
      <c r="C344" s="9">
        <v>5545079.523944463</v>
      </c>
      <c r="D344" s="9">
        <v>46995.24333333334</v>
      </c>
      <c r="E344" s="9">
        <v>6096041.679999997</v>
      </c>
      <c r="F344" s="9">
        <v>2911.1</v>
      </c>
      <c r="G344" s="6">
        <f t="shared" si="7"/>
        <v>0.8475125222</v>
      </c>
      <c r="H344" s="6">
        <f t="shared" si="2"/>
        <v>0.04775393859</v>
      </c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4.25" customHeight="1">
      <c r="A345" s="4"/>
      <c r="B345" s="4"/>
      <c r="C345" s="4"/>
      <c r="D345" s="4"/>
      <c r="E345" s="4"/>
      <c r="F345" s="4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4.25" customHeight="1">
      <c r="A346" s="4"/>
      <c r="B346" s="4"/>
      <c r="C346" s="4"/>
      <c r="D346" s="4"/>
      <c r="E346" s="4"/>
      <c r="F346" s="4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4.25" customHeight="1">
      <c r="A347" s="4"/>
      <c r="B347" s="4"/>
      <c r="C347" s="4"/>
      <c r="D347" s="4"/>
      <c r="E347" s="4"/>
      <c r="F347" s="4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4.25" customHeight="1">
      <c r="A348" s="4"/>
      <c r="B348" s="4"/>
      <c r="C348" s="4"/>
      <c r="D348" s="4"/>
      <c r="E348" s="4"/>
      <c r="F348" s="4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4.25" customHeight="1">
      <c r="A349" s="4"/>
      <c r="B349" s="4"/>
      <c r="C349" s="4"/>
      <c r="D349" s="4"/>
      <c r="E349" s="4"/>
      <c r="F349" s="4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4.25" customHeight="1">
      <c r="A350" s="4"/>
      <c r="B350" s="4"/>
      <c r="C350" s="4"/>
      <c r="D350" s="4"/>
      <c r="E350" s="4"/>
      <c r="F350" s="4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4.25" customHeight="1">
      <c r="A351" s="4"/>
      <c r="B351" s="4"/>
      <c r="C351" s="4"/>
      <c r="D351" s="4"/>
      <c r="E351" s="4"/>
      <c r="F351" s="4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4.25" customHeight="1">
      <c r="A352" s="4"/>
      <c r="B352" s="4"/>
      <c r="C352" s="4"/>
      <c r="D352" s="4"/>
      <c r="E352" s="4"/>
      <c r="F352" s="4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4.25" customHeight="1">
      <c r="A353" s="4"/>
      <c r="B353" s="4"/>
      <c r="C353" s="4"/>
      <c r="D353" s="4"/>
      <c r="E353" s="4"/>
      <c r="F353" s="4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4.25" customHeight="1">
      <c r="A354" s="4"/>
      <c r="B354" s="4"/>
      <c r="C354" s="4"/>
      <c r="D354" s="4"/>
      <c r="E354" s="4"/>
      <c r="F354" s="4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4.25" customHeight="1">
      <c r="A355" s="4"/>
      <c r="B355" s="4"/>
      <c r="C355" s="4"/>
      <c r="D355" s="4"/>
      <c r="E355" s="4"/>
      <c r="F355" s="4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4.25" customHeight="1">
      <c r="A356" s="4"/>
      <c r="B356" s="4"/>
      <c r="C356" s="4"/>
      <c r="D356" s="4"/>
      <c r="E356" s="4"/>
      <c r="F356" s="4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4.25" customHeight="1">
      <c r="A357" s="4"/>
      <c r="B357" s="4"/>
      <c r="C357" s="4"/>
      <c r="D357" s="4"/>
      <c r="E357" s="4"/>
      <c r="F357" s="4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4.25" customHeight="1">
      <c r="A358" s="4"/>
      <c r="B358" s="4"/>
      <c r="C358" s="4"/>
      <c r="D358" s="4"/>
      <c r="E358" s="4"/>
      <c r="F358" s="4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4.25" customHeight="1">
      <c r="A359" s="4"/>
      <c r="B359" s="4"/>
      <c r="C359" s="4"/>
      <c r="D359" s="4"/>
      <c r="E359" s="4"/>
      <c r="F359" s="4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4.25" customHeight="1">
      <c r="A360" s="4"/>
      <c r="B360" s="4"/>
      <c r="C360" s="4"/>
      <c r="D360" s="4"/>
      <c r="E360" s="4"/>
      <c r="F360" s="4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4.25" customHeight="1">
      <c r="A361" s="4"/>
      <c r="B361" s="4"/>
      <c r="C361" s="4"/>
      <c r="D361" s="4"/>
      <c r="E361" s="4"/>
      <c r="F361" s="4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4.25" customHeight="1">
      <c r="A362" s="4"/>
      <c r="B362" s="4"/>
      <c r="C362" s="4"/>
      <c r="D362" s="4"/>
      <c r="E362" s="4"/>
      <c r="F362" s="4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4.25" customHeight="1">
      <c r="A363" s="4"/>
      <c r="B363" s="4"/>
      <c r="C363" s="4"/>
      <c r="D363" s="4"/>
      <c r="E363" s="4"/>
      <c r="F363" s="4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4.25" customHeight="1">
      <c r="A364" s="4"/>
      <c r="B364" s="4"/>
      <c r="C364" s="4"/>
      <c r="D364" s="4"/>
      <c r="E364" s="4"/>
      <c r="F364" s="4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4.25" customHeight="1">
      <c r="A365" s="4"/>
      <c r="B365" s="4"/>
      <c r="C365" s="4"/>
      <c r="D365" s="4"/>
      <c r="E365" s="4"/>
      <c r="F365" s="4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4.25" customHeight="1">
      <c r="A366" s="4"/>
      <c r="B366" s="4"/>
      <c r="C366" s="4"/>
      <c r="D366" s="4"/>
      <c r="E366" s="4"/>
      <c r="F366" s="4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4.25" customHeight="1">
      <c r="A367" s="4"/>
      <c r="B367" s="4"/>
      <c r="C367" s="4"/>
      <c r="D367" s="4"/>
      <c r="E367" s="4"/>
      <c r="F367" s="4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4.25" customHeight="1">
      <c r="A368" s="4"/>
      <c r="B368" s="4"/>
      <c r="C368" s="4"/>
      <c r="D368" s="4"/>
      <c r="E368" s="4"/>
      <c r="F368" s="4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4.25" customHeight="1">
      <c r="A369" s="4"/>
      <c r="B369" s="4"/>
      <c r="C369" s="4"/>
      <c r="D369" s="4"/>
      <c r="E369" s="4"/>
      <c r="F369" s="4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4.25" customHeight="1">
      <c r="A370" s="4"/>
      <c r="B370" s="4"/>
      <c r="C370" s="4"/>
      <c r="D370" s="4"/>
      <c r="E370" s="4"/>
      <c r="F370" s="4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4.25" customHeight="1">
      <c r="A371" s="4"/>
      <c r="B371" s="4"/>
      <c r="C371" s="4"/>
      <c r="D371" s="4"/>
      <c r="E371" s="4"/>
      <c r="F371" s="4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4.25" customHeight="1">
      <c r="A372" s="4"/>
      <c r="B372" s="4"/>
      <c r="C372" s="4"/>
      <c r="D372" s="4"/>
      <c r="E372" s="4"/>
      <c r="F372" s="4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4.25" customHeight="1">
      <c r="A373" s="4"/>
      <c r="B373" s="4"/>
      <c r="C373" s="4"/>
      <c r="D373" s="4"/>
      <c r="E373" s="4"/>
      <c r="F373" s="4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4.25" customHeight="1">
      <c r="A374" s="4"/>
      <c r="B374" s="4"/>
      <c r="C374" s="4"/>
      <c r="D374" s="4"/>
      <c r="E374" s="4"/>
      <c r="F374" s="4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4.25" customHeight="1">
      <c r="A375" s="4"/>
      <c r="B375" s="4"/>
      <c r="C375" s="4"/>
      <c r="D375" s="4"/>
      <c r="E375" s="4"/>
      <c r="F375" s="4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4.25" customHeight="1">
      <c r="A376" s="4"/>
      <c r="B376" s="4"/>
      <c r="C376" s="4"/>
      <c r="D376" s="4"/>
      <c r="E376" s="4"/>
      <c r="F376" s="4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4.25" customHeight="1">
      <c r="A377" s="4"/>
      <c r="B377" s="4"/>
      <c r="C377" s="4"/>
      <c r="D377" s="4"/>
      <c r="E377" s="4"/>
      <c r="F377" s="4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4.25" customHeight="1">
      <c r="A378" s="4"/>
      <c r="B378" s="4"/>
      <c r="C378" s="4"/>
      <c r="D378" s="4"/>
      <c r="E378" s="4"/>
      <c r="F378" s="4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4.25" customHeight="1">
      <c r="A379" s="4"/>
      <c r="B379" s="4"/>
      <c r="C379" s="4"/>
      <c r="D379" s="4"/>
      <c r="E379" s="4"/>
      <c r="F379" s="4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4.25" customHeight="1">
      <c r="A380" s="4"/>
      <c r="B380" s="4"/>
      <c r="C380" s="4"/>
      <c r="D380" s="4"/>
      <c r="E380" s="4"/>
      <c r="F380" s="4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4.25" customHeight="1">
      <c r="A381" s="4"/>
      <c r="B381" s="4"/>
      <c r="C381" s="4"/>
      <c r="D381" s="4"/>
      <c r="E381" s="4"/>
      <c r="F381" s="4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4.25" customHeight="1">
      <c r="A382" s="4"/>
      <c r="B382" s="4"/>
      <c r="C382" s="4"/>
      <c r="D382" s="4"/>
      <c r="E382" s="4"/>
      <c r="F382" s="4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4.25" customHeight="1">
      <c r="A383" s="4"/>
      <c r="B383" s="4"/>
      <c r="C383" s="4"/>
      <c r="D383" s="4"/>
      <c r="E383" s="4"/>
      <c r="F383" s="4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4.25" customHeight="1">
      <c r="A384" s="4"/>
      <c r="B384" s="4"/>
      <c r="C384" s="4"/>
      <c r="D384" s="4"/>
      <c r="E384" s="4"/>
      <c r="F384" s="4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4.25" customHeight="1">
      <c r="A385" s="4"/>
      <c r="B385" s="4"/>
      <c r="C385" s="4"/>
      <c r="D385" s="4"/>
      <c r="E385" s="4"/>
      <c r="F385" s="4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4.25" customHeight="1">
      <c r="A386" s="4"/>
      <c r="B386" s="4"/>
      <c r="C386" s="4"/>
      <c r="D386" s="4"/>
      <c r="E386" s="4"/>
      <c r="F386" s="4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4.25" customHeight="1">
      <c r="A387" s="4"/>
      <c r="B387" s="4"/>
      <c r="C387" s="4"/>
      <c r="D387" s="4"/>
      <c r="E387" s="4"/>
      <c r="F387" s="4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4.25" customHeight="1">
      <c r="A388" s="4"/>
      <c r="B388" s="4"/>
      <c r="C388" s="4"/>
      <c r="D388" s="4"/>
      <c r="E388" s="4"/>
      <c r="F388" s="4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4.25" customHeight="1">
      <c r="A389" s="4"/>
      <c r="B389" s="4"/>
      <c r="C389" s="4"/>
      <c r="D389" s="4"/>
      <c r="E389" s="4"/>
      <c r="F389" s="4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4.25" customHeight="1">
      <c r="A390" s="4"/>
      <c r="B390" s="4"/>
      <c r="C390" s="4"/>
      <c r="D390" s="4"/>
      <c r="E390" s="4"/>
      <c r="F390" s="4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4.25" customHeight="1">
      <c r="A391" s="4"/>
      <c r="B391" s="4"/>
      <c r="C391" s="4"/>
      <c r="D391" s="4"/>
      <c r="E391" s="4"/>
      <c r="F391" s="4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4.25" customHeight="1">
      <c r="A392" s="4"/>
      <c r="B392" s="4"/>
      <c r="C392" s="4"/>
      <c r="D392" s="4"/>
      <c r="E392" s="4"/>
      <c r="F392" s="4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4.25" customHeight="1">
      <c r="A393" s="4"/>
      <c r="B393" s="4"/>
      <c r="C393" s="4"/>
      <c r="D393" s="4"/>
      <c r="E393" s="4"/>
      <c r="F393" s="4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4.25" customHeight="1">
      <c r="A394" s="4"/>
      <c r="B394" s="4"/>
      <c r="C394" s="4"/>
      <c r="D394" s="4"/>
      <c r="E394" s="4"/>
      <c r="F394" s="4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4.25" customHeight="1">
      <c r="A395" s="4"/>
      <c r="B395" s="4"/>
      <c r="C395" s="4"/>
      <c r="D395" s="4"/>
      <c r="E395" s="4"/>
      <c r="F395" s="4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4.25" customHeight="1">
      <c r="A396" s="4"/>
      <c r="B396" s="4"/>
      <c r="C396" s="4"/>
      <c r="D396" s="4"/>
      <c r="E396" s="4"/>
      <c r="F396" s="4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4.25" customHeight="1">
      <c r="A397" s="4"/>
      <c r="B397" s="4"/>
      <c r="C397" s="4"/>
      <c r="D397" s="4"/>
      <c r="E397" s="4"/>
      <c r="F397" s="4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4.25" customHeight="1">
      <c r="A398" s="4"/>
      <c r="B398" s="4"/>
      <c r="C398" s="4"/>
      <c r="D398" s="4"/>
      <c r="E398" s="4"/>
      <c r="F398" s="4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4.25" customHeight="1">
      <c r="A399" s="4"/>
      <c r="B399" s="4"/>
      <c r="C399" s="4"/>
      <c r="D399" s="4"/>
      <c r="E399" s="4"/>
      <c r="F399" s="4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4.25" customHeight="1">
      <c r="A400" s="4"/>
      <c r="B400" s="4"/>
      <c r="C400" s="4"/>
      <c r="D400" s="4"/>
      <c r="E400" s="4"/>
      <c r="F400" s="4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4.25" customHeight="1">
      <c r="A401" s="4"/>
      <c r="B401" s="4"/>
      <c r="C401" s="4"/>
      <c r="D401" s="4"/>
      <c r="E401" s="4"/>
      <c r="F401" s="4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4.25" customHeight="1">
      <c r="A402" s="4"/>
      <c r="B402" s="4"/>
      <c r="C402" s="4"/>
      <c r="D402" s="4"/>
      <c r="E402" s="4"/>
      <c r="F402" s="4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4.25" customHeight="1">
      <c r="A403" s="4"/>
      <c r="B403" s="4"/>
      <c r="C403" s="4"/>
      <c r="D403" s="4"/>
      <c r="E403" s="4"/>
      <c r="F403" s="4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4.25" customHeight="1">
      <c r="A404" s="4"/>
      <c r="B404" s="4"/>
      <c r="C404" s="4"/>
      <c r="D404" s="4"/>
      <c r="E404" s="4"/>
      <c r="F404" s="4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4.25" customHeight="1">
      <c r="A405" s="4"/>
      <c r="B405" s="4"/>
      <c r="C405" s="4"/>
      <c r="D405" s="4"/>
      <c r="E405" s="4"/>
      <c r="F405" s="4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4.25" customHeight="1">
      <c r="A406" s="4"/>
      <c r="B406" s="4"/>
      <c r="C406" s="4"/>
      <c r="D406" s="4"/>
      <c r="E406" s="4"/>
      <c r="F406" s="4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4.25" customHeight="1">
      <c r="A407" s="4"/>
      <c r="B407" s="4"/>
      <c r="C407" s="4"/>
      <c r="D407" s="4"/>
      <c r="E407" s="4"/>
      <c r="F407" s="4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4.25" customHeight="1">
      <c r="A408" s="4"/>
      <c r="B408" s="4"/>
      <c r="C408" s="4"/>
      <c r="D408" s="4"/>
      <c r="E408" s="4"/>
      <c r="F408" s="4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4.25" customHeight="1">
      <c r="A409" s="4"/>
      <c r="B409" s="4"/>
      <c r="C409" s="4"/>
      <c r="D409" s="4"/>
      <c r="E409" s="4"/>
      <c r="F409" s="4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4.25" customHeight="1">
      <c r="A410" s="4"/>
      <c r="B410" s="4"/>
      <c r="C410" s="4"/>
      <c r="D410" s="4"/>
      <c r="E410" s="4"/>
      <c r="F410" s="4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4.25" customHeight="1">
      <c r="A411" s="4"/>
      <c r="B411" s="4"/>
      <c r="C411" s="4"/>
      <c r="D411" s="4"/>
      <c r="E411" s="4"/>
      <c r="F411" s="4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4.25" customHeight="1">
      <c r="A412" s="4"/>
      <c r="B412" s="4"/>
      <c r="C412" s="4"/>
      <c r="D412" s="4"/>
      <c r="E412" s="4"/>
      <c r="F412" s="4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4.25" customHeight="1">
      <c r="A413" s="4"/>
      <c r="B413" s="4"/>
      <c r="C413" s="4"/>
      <c r="D413" s="4"/>
      <c r="E413" s="4"/>
      <c r="F413" s="4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4.25" customHeight="1">
      <c r="A414" s="4"/>
      <c r="B414" s="4"/>
      <c r="C414" s="4"/>
      <c r="D414" s="4"/>
      <c r="E414" s="4"/>
      <c r="F414" s="4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4.25" customHeight="1">
      <c r="A415" s="4"/>
      <c r="B415" s="4"/>
      <c r="C415" s="4"/>
      <c r="D415" s="4"/>
      <c r="E415" s="4"/>
      <c r="F415" s="4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4.25" customHeight="1">
      <c r="A416" s="4"/>
      <c r="B416" s="4"/>
      <c r="C416" s="4"/>
      <c r="D416" s="4"/>
      <c r="E416" s="4"/>
      <c r="F416" s="4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4.25" customHeight="1">
      <c r="A417" s="4"/>
      <c r="B417" s="4"/>
      <c r="C417" s="4"/>
      <c r="D417" s="4"/>
      <c r="E417" s="4"/>
      <c r="F417" s="4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4.25" customHeight="1">
      <c r="A418" s="4"/>
      <c r="B418" s="4"/>
      <c r="C418" s="4"/>
      <c r="D418" s="4"/>
      <c r="E418" s="4"/>
      <c r="F418" s="4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4.25" customHeight="1">
      <c r="A419" s="4"/>
      <c r="B419" s="4"/>
      <c r="C419" s="4"/>
      <c r="D419" s="4"/>
      <c r="E419" s="4"/>
      <c r="F419" s="4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4.25" customHeight="1">
      <c r="A420" s="4"/>
      <c r="B420" s="4"/>
      <c r="C420" s="4"/>
      <c r="D420" s="4"/>
      <c r="E420" s="4"/>
      <c r="F420" s="4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4.25" customHeight="1">
      <c r="A421" s="4"/>
      <c r="B421" s="4"/>
      <c r="C421" s="4"/>
      <c r="D421" s="4"/>
      <c r="E421" s="4"/>
      <c r="F421" s="4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4.25" customHeight="1">
      <c r="A422" s="4"/>
      <c r="B422" s="4"/>
      <c r="C422" s="4"/>
      <c r="D422" s="4"/>
      <c r="E422" s="4"/>
      <c r="F422" s="4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4.25" customHeight="1">
      <c r="A423" s="4"/>
      <c r="B423" s="4"/>
      <c r="C423" s="4"/>
      <c r="D423" s="4"/>
      <c r="E423" s="4"/>
      <c r="F423" s="4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4.25" customHeight="1">
      <c r="A424" s="4"/>
      <c r="B424" s="4"/>
      <c r="C424" s="4"/>
      <c r="D424" s="4"/>
      <c r="E424" s="4"/>
      <c r="F424" s="4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4.25" customHeight="1">
      <c r="A425" s="4"/>
      <c r="B425" s="4"/>
      <c r="C425" s="4"/>
      <c r="D425" s="4"/>
      <c r="E425" s="4"/>
      <c r="F425" s="4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4.25" customHeight="1">
      <c r="A426" s="4"/>
      <c r="B426" s="4"/>
      <c r="C426" s="4"/>
      <c r="D426" s="4"/>
      <c r="E426" s="4"/>
      <c r="F426" s="4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4.25" customHeight="1">
      <c r="A427" s="4"/>
      <c r="B427" s="4"/>
      <c r="C427" s="4"/>
      <c r="D427" s="4"/>
      <c r="E427" s="4"/>
      <c r="F427" s="4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4.25" customHeight="1">
      <c r="A428" s="4"/>
      <c r="B428" s="4"/>
      <c r="C428" s="4"/>
      <c r="D428" s="4"/>
      <c r="E428" s="4"/>
      <c r="F428" s="4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4.25" customHeight="1">
      <c r="A429" s="4"/>
      <c r="B429" s="4"/>
      <c r="C429" s="4"/>
      <c r="D429" s="4"/>
      <c r="E429" s="4"/>
      <c r="F429" s="4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4.25" customHeight="1">
      <c r="A430" s="4"/>
      <c r="B430" s="4"/>
      <c r="C430" s="4"/>
      <c r="D430" s="4"/>
      <c r="E430" s="4"/>
      <c r="F430" s="4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4.25" customHeight="1">
      <c r="A431" s="4"/>
      <c r="B431" s="4"/>
      <c r="C431" s="4"/>
      <c r="D431" s="4"/>
      <c r="E431" s="4"/>
      <c r="F431" s="4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4.25" customHeight="1">
      <c r="A432" s="4"/>
      <c r="B432" s="4"/>
      <c r="C432" s="4"/>
      <c r="D432" s="4"/>
      <c r="E432" s="4"/>
      <c r="F432" s="4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4.25" customHeight="1">
      <c r="A433" s="4"/>
      <c r="B433" s="4"/>
      <c r="C433" s="4"/>
      <c r="D433" s="4"/>
      <c r="E433" s="4"/>
      <c r="F433" s="4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4.25" customHeight="1">
      <c r="A434" s="4"/>
      <c r="B434" s="4"/>
      <c r="C434" s="4"/>
      <c r="D434" s="4"/>
      <c r="E434" s="4"/>
      <c r="F434" s="4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4.25" customHeight="1">
      <c r="A435" s="4"/>
      <c r="B435" s="4"/>
      <c r="C435" s="4"/>
      <c r="D435" s="4"/>
      <c r="E435" s="4"/>
      <c r="F435" s="4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4.25" customHeight="1">
      <c r="A436" s="4"/>
      <c r="B436" s="4"/>
      <c r="C436" s="4"/>
      <c r="D436" s="4"/>
      <c r="E436" s="4"/>
      <c r="F436" s="4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4.25" customHeight="1">
      <c r="A437" s="4"/>
      <c r="B437" s="4"/>
      <c r="C437" s="4"/>
      <c r="D437" s="4"/>
      <c r="E437" s="4"/>
      <c r="F437" s="4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4.25" customHeight="1">
      <c r="A438" s="4"/>
      <c r="B438" s="4"/>
      <c r="C438" s="4"/>
      <c r="D438" s="4"/>
      <c r="E438" s="4"/>
      <c r="F438" s="4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4.25" customHeight="1">
      <c r="A439" s="4"/>
      <c r="B439" s="4"/>
      <c r="C439" s="4"/>
      <c r="D439" s="4"/>
      <c r="E439" s="4"/>
      <c r="F439" s="4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4.25" customHeight="1">
      <c r="A440" s="4"/>
      <c r="B440" s="4"/>
      <c r="C440" s="4"/>
      <c r="D440" s="4"/>
      <c r="E440" s="4"/>
      <c r="F440" s="4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4.25" customHeight="1">
      <c r="A441" s="4"/>
      <c r="B441" s="4"/>
      <c r="C441" s="4"/>
      <c r="D441" s="4"/>
      <c r="E441" s="4"/>
      <c r="F441" s="4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4.25" customHeight="1">
      <c r="A442" s="4"/>
      <c r="B442" s="4"/>
      <c r="C442" s="4"/>
      <c r="D442" s="4"/>
      <c r="E442" s="4"/>
      <c r="F442" s="4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4.25" customHeight="1">
      <c r="A443" s="4"/>
      <c r="B443" s="4"/>
      <c r="C443" s="4"/>
      <c r="D443" s="4"/>
      <c r="E443" s="4"/>
      <c r="F443" s="4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4.25" customHeight="1">
      <c r="A444" s="4"/>
      <c r="B444" s="4"/>
      <c r="C444" s="4"/>
      <c r="D444" s="4"/>
      <c r="E444" s="4"/>
      <c r="F444" s="4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4.25" customHeight="1">
      <c r="A445" s="4"/>
      <c r="B445" s="4"/>
      <c r="C445" s="4"/>
      <c r="D445" s="4"/>
      <c r="E445" s="4"/>
      <c r="F445" s="4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4.25" customHeight="1">
      <c r="A446" s="4"/>
      <c r="B446" s="4"/>
      <c r="C446" s="4"/>
      <c r="D446" s="4"/>
      <c r="E446" s="4"/>
      <c r="F446" s="4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4.25" customHeight="1">
      <c r="A447" s="4"/>
      <c r="B447" s="4"/>
      <c r="C447" s="4"/>
      <c r="D447" s="4"/>
      <c r="E447" s="4"/>
      <c r="F447" s="4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4.25" customHeight="1">
      <c r="A448" s="4"/>
      <c r="B448" s="4"/>
      <c r="C448" s="4"/>
      <c r="D448" s="4"/>
      <c r="E448" s="4"/>
      <c r="F448" s="4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4.25" customHeight="1">
      <c r="A449" s="4"/>
      <c r="B449" s="4"/>
      <c r="C449" s="4"/>
      <c r="D449" s="4"/>
      <c r="E449" s="4"/>
      <c r="F449" s="4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4.25" customHeight="1">
      <c r="A450" s="4"/>
      <c r="B450" s="4"/>
      <c r="C450" s="4"/>
      <c r="D450" s="4"/>
      <c r="E450" s="4"/>
      <c r="F450" s="4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4.25" customHeight="1">
      <c r="A451" s="4"/>
      <c r="B451" s="4"/>
      <c r="C451" s="4"/>
      <c r="D451" s="4"/>
      <c r="E451" s="4"/>
      <c r="F451" s="4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4.25" customHeight="1">
      <c r="A452" s="4"/>
      <c r="B452" s="4"/>
      <c r="C452" s="4"/>
      <c r="D452" s="4"/>
      <c r="E452" s="4"/>
      <c r="F452" s="4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4.25" customHeight="1">
      <c r="A453" s="4"/>
      <c r="B453" s="4"/>
      <c r="C453" s="4"/>
      <c r="D453" s="4"/>
      <c r="E453" s="4"/>
      <c r="F453" s="4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4.25" customHeight="1">
      <c r="A454" s="4"/>
      <c r="B454" s="4"/>
      <c r="C454" s="4"/>
      <c r="D454" s="4"/>
      <c r="E454" s="4"/>
      <c r="F454" s="4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4.25" customHeight="1">
      <c r="A455" s="4"/>
      <c r="B455" s="4"/>
      <c r="C455" s="4"/>
      <c r="D455" s="4"/>
      <c r="E455" s="4"/>
      <c r="F455" s="4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4.25" customHeight="1">
      <c r="A456" s="4"/>
      <c r="B456" s="4"/>
      <c r="C456" s="4"/>
      <c r="D456" s="4"/>
      <c r="E456" s="4"/>
      <c r="F456" s="4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4.25" customHeight="1">
      <c r="A457" s="4"/>
      <c r="B457" s="4"/>
      <c r="C457" s="4"/>
      <c r="D457" s="4"/>
      <c r="E457" s="4"/>
      <c r="F457" s="4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4.25" customHeight="1">
      <c r="A458" s="4"/>
      <c r="B458" s="4"/>
      <c r="C458" s="4"/>
      <c r="D458" s="4"/>
      <c r="E458" s="4"/>
      <c r="F458" s="4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4.25" customHeight="1">
      <c r="A459" s="4"/>
      <c r="B459" s="4"/>
      <c r="C459" s="4"/>
      <c r="D459" s="4"/>
      <c r="E459" s="4"/>
      <c r="F459" s="4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4.25" customHeight="1">
      <c r="A460" s="4"/>
      <c r="B460" s="4"/>
      <c r="C460" s="4"/>
      <c r="D460" s="4"/>
      <c r="E460" s="4"/>
      <c r="F460" s="4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4.25" customHeight="1">
      <c r="A461" s="4"/>
      <c r="B461" s="4"/>
      <c r="C461" s="4"/>
      <c r="D461" s="4"/>
      <c r="E461" s="4"/>
      <c r="F461" s="4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4.25" customHeight="1">
      <c r="A462" s="4"/>
      <c r="B462" s="4"/>
      <c r="C462" s="4"/>
      <c r="D462" s="4"/>
      <c r="E462" s="4"/>
      <c r="F462" s="4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4.25" customHeight="1">
      <c r="A463" s="4"/>
      <c r="B463" s="4"/>
      <c r="C463" s="4"/>
      <c r="D463" s="4"/>
      <c r="E463" s="4"/>
      <c r="F463" s="4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4.25" customHeight="1">
      <c r="A464" s="4"/>
      <c r="B464" s="4"/>
      <c r="C464" s="4"/>
      <c r="D464" s="4"/>
      <c r="E464" s="4"/>
      <c r="F464" s="4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4.25" customHeight="1">
      <c r="A465" s="4"/>
      <c r="B465" s="4"/>
      <c r="C465" s="4"/>
      <c r="D465" s="4"/>
      <c r="E465" s="4"/>
      <c r="F465" s="4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4.25" customHeight="1">
      <c r="A466" s="4"/>
      <c r="B466" s="4"/>
      <c r="C466" s="4"/>
      <c r="D466" s="4"/>
      <c r="E466" s="4"/>
      <c r="F466" s="4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4.25" customHeight="1">
      <c r="A467" s="4"/>
      <c r="B467" s="4"/>
      <c r="C467" s="4"/>
      <c r="D467" s="4"/>
      <c r="E467" s="4"/>
      <c r="F467" s="4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4.25" customHeight="1">
      <c r="A468" s="4"/>
      <c r="B468" s="4"/>
      <c r="C468" s="4"/>
      <c r="D468" s="4"/>
      <c r="E468" s="4"/>
      <c r="F468" s="4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4.25" customHeight="1">
      <c r="A469" s="4"/>
      <c r="B469" s="4"/>
      <c r="C469" s="4"/>
      <c r="D469" s="4"/>
      <c r="E469" s="4"/>
      <c r="F469" s="4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4.25" customHeight="1">
      <c r="A470" s="4"/>
      <c r="B470" s="4"/>
      <c r="C470" s="4"/>
      <c r="D470" s="4"/>
      <c r="E470" s="4"/>
      <c r="F470" s="4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4.25" customHeight="1">
      <c r="A471" s="4"/>
      <c r="B471" s="4"/>
      <c r="C471" s="4"/>
      <c r="D471" s="4"/>
      <c r="E471" s="4"/>
      <c r="F471" s="4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4.25" customHeight="1">
      <c r="A472" s="4"/>
      <c r="B472" s="4"/>
      <c r="C472" s="4"/>
      <c r="D472" s="4"/>
      <c r="E472" s="4"/>
      <c r="F472" s="4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4.25" customHeight="1">
      <c r="A473" s="4"/>
      <c r="B473" s="4"/>
      <c r="C473" s="4"/>
      <c r="D473" s="4"/>
      <c r="E473" s="4"/>
      <c r="F473" s="4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4.25" customHeight="1">
      <c r="A474" s="4"/>
      <c r="B474" s="4"/>
      <c r="C474" s="4"/>
      <c r="D474" s="4"/>
      <c r="E474" s="4"/>
      <c r="F474" s="4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4.25" customHeight="1">
      <c r="A475" s="4"/>
      <c r="B475" s="4"/>
      <c r="C475" s="4"/>
      <c r="D475" s="4"/>
      <c r="E475" s="4"/>
      <c r="F475" s="4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4.25" customHeight="1">
      <c r="A476" s="4"/>
      <c r="B476" s="4"/>
      <c r="C476" s="4"/>
      <c r="D476" s="4"/>
      <c r="E476" s="4"/>
      <c r="F476" s="4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4.25" customHeight="1">
      <c r="A477" s="4"/>
      <c r="B477" s="4"/>
      <c r="C477" s="4"/>
      <c r="D477" s="4"/>
      <c r="E477" s="4"/>
      <c r="F477" s="4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4.25" customHeight="1">
      <c r="A478" s="4"/>
      <c r="B478" s="4"/>
      <c r="C478" s="4"/>
      <c r="D478" s="4"/>
      <c r="E478" s="4"/>
      <c r="F478" s="4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4.25" customHeight="1">
      <c r="A479" s="4"/>
      <c r="B479" s="4"/>
      <c r="C479" s="4"/>
      <c r="D479" s="4"/>
      <c r="E479" s="4"/>
      <c r="F479" s="4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4.25" customHeight="1">
      <c r="A480" s="4"/>
      <c r="B480" s="4"/>
      <c r="C480" s="4"/>
      <c r="D480" s="4"/>
      <c r="E480" s="4"/>
      <c r="F480" s="4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4.25" customHeight="1">
      <c r="A481" s="4"/>
      <c r="B481" s="4"/>
      <c r="C481" s="4"/>
      <c r="D481" s="4"/>
      <c r="E481" s="4"/>
      <c r="F481" s="4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4.25" customHeight="1">
      <c r="A482" s="4"/>
      <c r="B482" s="4"/>
      <c r="C482" s="4"/>
      <c r="D482" s="4"/>
      <c r="E482" s="4"/>
      <c r="F482" s="4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4.25" customHeight="1">
      <c r="A483" s="4"/>
      <c r="B483" s="4"/>
      <c r="C483" s="4"/>
      <c r="D483" s="4"/>
      <c r="E483" s="4"/>
      <c r="F483" s="4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4.25" customHeight="1">
      <c r="A484" s="4"/>
      <c r="B484" s="4"/>
      <c r="C484" s="4"/>
      <c r="D484" s="4"/>
      <c r="E484" s="4"/>
      <c r="F484" s="4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4.25" customHeight="1">
      <c r="A485" s="4"/>
      <c r="B485" s="4"/>
      <c r="C485" s="4"/>
      <c r="D485" s="4"/>
      <c r="E485" s="4"/>
      <c r="F485" s="4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4.25" customHeight="1">
      <c r="A486" s="4"/>
      <c r="B486" s="4"/>
      <c r="C486" s="4"/>
      <c r="D486" s="4"/>
      <c r="E486" s="4"/>
      <c r="F486" s="4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4.25" customHeight="1">
      <c r="A487" s="4"/>
      <c r="B487" s="4"/>
      <c r="C487" s="4"/>
      <c r="D487" s="4"/>
      <c r="E487" s="4"/>
      <c r="F487" s="4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4.25" customHeight="1">
      <c r="A488" s="4"/>
      <c r="B488" s="4"/>
      <c r="C488" s="4"/>
      <c r="D488" s="4"/>
      <c r="E488" s="4"/>
      <c r="F488" s="4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4.25" customHeight="1">
      <c r="A489" s="4"/>
      <c r="B489" s="4"/>
      <c r="C489" s="4"/>
      <c r="D489" s="4"/>
      <c r="E489" s="4"/>
      <c r="F489" s="4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4.25" customHeight="1">
      <c r="A490" s="4"/>
      <c r="B490" s="4"/>
      <c r="C490" s="4"/>
      <c r="D490" s="4"/>
      <c r="E490" s="4"/>
      <c r="F490" s="4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4.25" customHeight="1">
      <c r="A491" s="4"/>
      <c r="B491" s="4"/>
      <c r="C491" s="4"/>
      <c r="D491" s="4"/>
      <c r="E491" s="4"/>
      <c r="F491" s="4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4.25" customHeight="1">
      <c r="A492" s="4"/>
      <c r="B492" s="4"/>
      <c r="C492" s="4"/>
      <c r="D492" s="4"/>
      <c r="E492" s="4"/>
      <c r="F492" s="4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4.25" customHeight="1">
      <c r="A493" s="4"/>
      <c r="B493" s="4"/>
      <c r="C493" s="4"/>
      <c r="D493" s="4"/>
      <c r="E493" s="4"/>
      <c r="F493" s="4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4.25" customHeight="1">
      <c r="A494" s="4"/>
      <c r="B494" s="4"/>
      <c r="C494" s="4"/>
      <c r="D494" s="4"/>
      <c r="E494" s="4"/>
      <c r="F494" s="4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4.25" customHeight="1">
      <c r="A495" s="4"/>
      <c r="B495" s="4"/>
      <c r="C495" s="4"/>
      <c r="D495" s="4"/>
      <c r="E495" s="4"/>
      <c r="F495" s="4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4.25" customHeight="1">
      <c r="A496" s="4"/>
      <c r="B496" s="4"/>
      <c r="C496" s="4"/>
      <c r="D496" s="4"/>
      <c r="E496" s="4"/>
      <c r="F496" s="4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4.25" customHeight="1">
      <c r="A497" s="4"/>
      <c r="B497" s="4"/>
      <c r="C497" s="4"/>
      <c r="D497" s="4"/>
      <c r="E497" s="4"/>
      <c r="F497" s="4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4.25" customHeight="1">
      <c r="A498" s="4"/>
      <c r="B498" s="4"/>
      <c r="C498" s="4"/>
      <c r="D498" s="4"/>
      <c r="E498" s="4"/>
      <c r="F498" s="4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4.25" customHeight="1">
      <c r="A499" s="4"/>
      <c r="B499" s="4"/>
      <c r="C499" s="4"/>
      <c r="D499" s="4"/>
      <c r="E499" s="4"/>
      <c r="F499" s="4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4.25" customHeight="1">
      <c r="A500" s="4"/>
      <c r="B500" s="4"/>
      <c r="C500" s="4"/>
      <c r="D500" s="4"/>
      <c r="E500" s="4"/>
      <c r="F500" s="4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4.25" customHeight="1">
      <c r="A501" s="4"/>
      <c r="B501" s="4"/>
      <c r="C501" s="4"/>
      <c r="D501" s="4"/>
      <c r="E501" s="4"/>
      <c r="F501" s="4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4.25" customHeight="1">
      <c r="A502" s="4"/>
      <c r="B502" s="4"/>
      <c r="C502" s="4"/>
      <c r="D502" s="4"/>
      <c r="E502" s="4"/>
      <c r="F502" s="4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4.25" customHeight="1">
      <c r="A503" s="4"/>
      <c r="B503" s="4"/>
      <c r="C503" s="4"/>
      <c r="D503" s="4"/>
      <c r="E503" s="4"/>
      <c r="F503" s="4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4.25" customHeight="1">
      <c r="A504" s="4"/>
      <c r="B504" s="4"/>
      <c r="C504" s="4"/>
      <c r="D504" s="4"/>
      <c r="E504" s="4"/>
      <c r="F504" s="4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4.25" customHeight="1">
      <c r="A505" s="4"/>
      <c r="B505" s="4"/>
      <c r="C505" s="4"/>
      <c r="D505" s="4"/>
      <c r="E505" s="4"/>
      <c r="F505" s="4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4.25" customHeight="1">
      <c r="A506" s="4"/>
      <c r="B506" s="4"/>
      <c r="C506" s="4"/>
      <c r="D506" s="4"/>
      <c r="E506" s="4"/>
      <c r="F506" s="4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4.25" customHeight="1">
      <c r="A507" s="4"/>
      <c r="B507" s="4"/>
      <c r="C507" s="4"/>
      <c r="D507" s="4"/>
      <c r="E507" s="4"/>
      <c r="F507" s="4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4.25" customHeight="1">
      <c r="A508" s="4"/>
      <c r="B508" s="4"/>
      <c r="C508" s="4"/>
      <c r="D508" s="4"/>
      <c r="E508" s="4"/>
      <c r="F508" s="4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4.25" customHeight="1">
      <c r="A509" s="4"/>
      <c r="B509" s="4"/>
      <c r="C509" s="4"/>
      <c r="D509" s="4"/>
      <c r="E509" s="4"/>
      <c r="F509" s="4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4.25" customHeight="1">
      <c r="A510" s="4"/>
      <c r="B510" s="4"/>
      <c r="C510" s="4"/>
      <c r="D510" s="4"/>
      <c r="E510" s="4"/>
      <c r="F510" s="4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4.25" customHeight="1">
      <c r="A511" s="4"/>
      <c r="B511" s="4"/>
      <c r="C511" s="4"/>
      <c r="D511" s="4"/>
      <c r="E511" s="4"/>
      <c r="F511" s="4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4.25" customHeight="1">
      <c r="A512" s="4"/>
      <c r="B512" s="4"/>
      <c r="C512" s="4"/>
      <c r="D512" s="4"/>
      <c r="E512" s="4"/>
      <c r="F512" s="4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4.25" customHeight="1">
      <c r="A513" s="4"/>
      <c r="B513" s="4"/>
      <c r="C513" s="4"/>
      <c r="D513" s="4"/>
      <c r="E513" s="4"/>
      <c r="F513" s="4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4.25" customHeight="1">
      <c r="A514" s="4"/>
      <c r="B514" s="4"/>
      <c r="C514" s="4"/>
      <c r="D514" s="4"/>
      <c r="E514" s="4"/>
      <c r="F514" s="4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4.25" customHeight="1">
      <c r="A515" s="4"/>
      <c r="B515" s="4"/>
      <c r="C515" s="4"/>
      <c r="D515" s="4"/>
      <c r="E515" s="4"/>
      <c r="F515" s="4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4.25" customHeight="1">
      <c r="A516" s="4"/>
      <c r="B516" s="4"/>
      <c r="C516" s="4"/>
      <c r="D516" s="4"/>
      <c r="E516" s="4"/>
      <c r="F516" s="4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4.25" customHeight="1">
      <c r="A517" s="4"/>
      <c r="B517" s="4"/>
      <c r="C517" s="4"/>
      <c r="D517" s="4"/>
      <c r="E517" s="4"/>
      <c r="F517" s="4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4.25" customHeight="1">
      <c r="A518" s="4"/>
      <c r="B518" s="4"/>
      <c r="C518" s="4"/>
      <c r="D518" s="4"/>
      <c r="E518" s="4"/>
      <c r="F518" s="4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4.25" customHeight="1">
      <c r="A519" s="4"/>
      <c r="B519" s="4"/>
      <c r="C519" s="4"/>
      <c r="D519" s="4"/>
      <c r="E519" s="4"/>
      <c r="F519" s="4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4.25" customHeight="1">
      <c r="A520" s="4"/>
      <c r="B520" s="4"/>
      <c r="C520" s="4"/>
      <c r="D520" s="4"/>
      <c r="E520" s="4"/>
      <c r="F520" s="4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4.25" customHeight="1">
      <c r="A521" s="4"/>
      <c r="B521" s="4"/>
      <c r="C521" s="4"/>
      <c r="D521" s="4"/>
      <c r="E521" s="4"/>
      <c r="F521" s="4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4.25" customHeight="1">
      <c r="A522" s="4"/>
      <c r="B522" s="4"/>
      <c r="C522" s="4"/>
      <c r="D522" s="4"/>
      <c r="E522" s="4"/>
      <c r="F522" s="4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4.25" customHeight="1">
      <c r="A523" s="4"/>
      <c r="B523" s="4"/>
      <c r="C523" s="4"/>
      <c r="D523" s="4"/>
      <c r="E523" s="4"/>
      <c r="F523" s="4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4.25" customHeight="1">
      <c r="A524" s="4"/>
      <c r="B524" s="4"/>
      <c r="C524" s="4"/>
      <c r="D524" s="4"/>
      <c r="E524" s="4"/>
      <c r="F524" s="4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4.25" customHeight="1">
      <c r="A525" s="4"/>
      <c r="B525" s="4"/>
      <c r="C525" s="4"/>
      <c r="D525" s="4"/>
      <c r="E525" s="4"/>
      <c r="F525" s="4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4.25" customHeight="1">
      <c r="A526" s="4"/>
      <c r="B526" s="4"/>
      <c r="C526" s="4"/>
      <c r="D526" s="4"/>
      <c r="E526" s="4"/>
      <c r="F526" s="4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4.25" customHeight="1">
      <c r="A527" s="4"/>
      <c r="B527" s="4"/>
      <c r="C527" s="4"/>
      <c r="D527" s="4"/>
      <c r="E527" s="4"/>
      <c r="F527" s="4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4.25" customHeight="1">
      <c r="A528" s="4"/>
      <c r="B528" s="4"/>
      <c r="C528" s="4"/>
      <c r="D528" s="4"/>
      <c r="E528" s="4"/>
      <c r="F528" s="4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4.25" customHeight="1">
      <c r="A529" s="4"/>
      <c r="B529" s="4"/>
      <c r="C529" s="4"/>
      <c r="D529" s="4"/>
      <c r="E529" s="4"/>
      <c r="F529" s="4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4.25" customHeight="1">
      <c r="A530" s="4"/>
      <c r="B530" s="4"/>
      <c r="C530" s="4"/>
      <c r="D530" s="4"/>
      <c r="E530" s="4"/>
      <c r="F530" s="4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4.25" customHeight="1">
      <c r="A531" s="4"/>
      <c r="B531" s="4"/>
      <c r="C531" s="4"/>
      <c r="D531" s="4"/>
      <c r="E531" s="4"/>
      <c r="F531" s="4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4.25" customHeight="1">
      <c r="A532" s="4"/>
      <c r="B532" s="4"/>
      <c r="C532" s="4"/>
      <c r="D532" s="4"/>
      <c r="E532" s="4"/>
      <c r="F532" s="4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4.25" customHeight="1">
      <c r="A533" s="4"/>
      <c r="B533" s="4"/>
      <c r="C533" s="4"/>
      <c r="D533" s="4"/>
      <c r="E533" s="4"/>
      <c r="F533" s="4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4.25" customHeight="1">
      <c r="A534" s="4"/>
      <c r="B534" s="4"/>
      <c r="C534" s="4"/>
      <c r="D534" s="4"/>
      <c r="E534" s="4"/>
      <c r="F534" s="4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4.25" customHeight="1">
      <c r="A535" s="4"/>
      <c r="B535" s="4"/>
      <c r="C535" s="4"/>
      <c r="D535" s="4"/>
      <c r="E535" s="4"/>
      <c r="F535" s="4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4.25" customHeight="1">
      <c r="A536" s="4"/>
      <c r="B536" s="4"/>
      <c r="C536" s="4"/>
      <c r="D536" s="4"/>
      <c r="E536" s="4"/>
      <c r="F536" s="4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4.25" customHeight="1">
      <c r="A537" s="4"/>
      <c r="B537" s="4"/>
      <c r="C537" s="4"/>
      <c r="D537" s="4"/>
      <c r="E537" s="4"/>
      <c r="F537" s="4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4.25" customHeight="1">
      <c r="A538" s="4"/>
      <c r="B538" s="4"/>
      <c r="C538" s="4"/>
      <c r="D538" s="4"/>
      <c r="E538" s="4"/>
      <c r="F538" s="4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4.25" customHeight="1">
      <c r="A539" s="4"/>
      <c r="B539" s="4"/>
      <c r="C539" s="4"/>
      <c r="D539" s="4"/>
      <c r="E539" s="4"/>
      <c r="F539" s="4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4.25" customHeight="1">
      <c r="A540" s="4"/>
      <c r="B540" s="4"/>
      <c r="C540" s="4"/>
      <c r="D540" s="4"/>
      <c r="E540" s="4"/>
      <c r="F540" s="4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4.25" customHeight="1">
      <c r="A541" s="4"/>
      <c r="B541" s="4"/>
      <c r="C541" s="4"/>
      <c r="D541" s="4"/>
      <c r="E541" s="4"/>
      <c r="F541" s="4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4.25" customHeight="1">
      <c r="A542" s="4"/>
      <c r="B542" s="4"/>
      <c r="C542" s="4"/>
      <c r="D542" s="4"/>
      <c r="E542" s="4"/>
      <c r="F542" s="4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4.25" customHeight="1">
      <c r="A543" s="4"/>
      <c r="B543" s="4"/>
      <c r="C543" s="4"/>
      <c r="D543" s="4"/>
      <c r="E543" s="4"/>
      <c r="F543" s="4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4.25" customHeight="1">
      <c r="A544" s="4"/>
      <c r="B544" s="4"/>
      <c r="C544" s="4"/>
      <c r="D544" s="4"/>
      <c r="E544" s="4"/>
      <c r="F544" s="4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4.25" customHeight="1">
      <c r="A545" s="4"/>
      <c r="B545" s="4"/>
      <c r="C545" s="4"/>
      <c r="D545" s="4"/>
      <c r="E545" s="4"/>
      <c r="F545" s="4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4.25" customHeight="1">
      <c r="A546" s="4"/>
      <c r="B546" s="4"/>
      <c r="C546" s="4"/>
      <c r="D546" s="4"/>
      <c r="E546" s="4"/>
      <c r="F546" s="4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4.25" customHeight="1">
      <c r="A547" s="4"/>
      <c r="B547" s="4"/>
      <c r="C547" s="4"/>
      <c r="D547" s="4"/>
      <c r="E547" s="4"/>
      <c r="F547" s="4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4.25" customHeight="1">
      <c r="A548" s="4"/>
      <c r="B548" s="4"/>
      <c r="C548" s="4"/>
      <c r="D548" s="4"/>
      <c r="E548" s="4"/>
      <c r="F548" s="4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4.25" customHeight="1">
      <c r="A549" s="4"/>
      <c r="B549" s="4"/>
      <c r="C549" s="4"/>
      <c r="D549" s="4"/>
      <c r="E549" s="4"/>
      <c r="F549" s="4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4.25" customHeight="1">
      <c r="A550" s="4"/>
      <c r="B550" s="4"/>
      <c r="C550" s="4"/>
      <c r="D550" s="4"/>
      <c r="E550" s="4"/>
      <c r="F550" s="4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4.25" customHeight="1">
      <c r="A551" s="4"/>
      <c r="B551" s="4"/>
      <c r="C551" s="4"/>
      <c r="D551" s="4"/>
      <c r="E551" s="4"/>
      <c r="F551" s="4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4.25" customHeight="1">
      <c r="A552" s="4"/>
      <c r="B552" s="4"/>
      <c r="C552" s="4"/>
      <c r="D552" s="4"/>
      <c r="E552" s="4"/>
      <c r="F552" s="4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4.25" customHeight="1">
      <c r="A553" s="4"/>
      <c r="B553" s="4"/>
      <c r="C553" s="4"/>
      <c r="D553" s="4"/>
      <c r="E553" s="4"/>
      <c r="F553" s="4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4.25" customHeight="1">
      <c r="A554" s="4"/>
      <c r="B554" s="4"/>
      <c r="C554" s="4"/>
      <c r="D554" s="4"/>
      <c r="E554" s="4"/>
      <c r="F554" s="4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4.25" customHeight="1">
      <c r="A555" s="4"/>
      <c r="B555" s="4"/>
      <c r="C555" s="4"/>
      <c r="D555" s="4"/>
      <c r="E555" s="4"/>
      <c r="F555" s="4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4.25" customHeight="1">
      <c r="A556" s="4"/>
      <c r="B556" s="4"/>
      <c r="C556" s="4"/>
      <c r="D556" s="4"/>
      <c r="E556" s="4"/>
      <c r="F556" s="4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4.25" customHeight="1">
      <c r="A557" s="4"/>
      <c r="B557" s="4"/>
      <c r="C557" s="4"/>
      <c r="D557" s="4"/>
      <c r="E557" s="4"/>
      <c r="F557" s="4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4.25" customHeight="1">
      <c r="A558" s="4"/>
      <c r="B558" s="4"/>
      <c r="C558" s="4"/>
      <c r="D558" s="4"/>
      <c r="E558" s="4"/>
      <c r="F558" s="4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4.25" customHeight="1">
      <c r="A559" s="4"/>
      <c r="B559" s="4"/>
      <c r="C559" s="4"/>
      <c r="D559" s="4"/>
      <c r="E559" s="4"/>
      <c r="F559" s="4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4.25" customHeight="1">
      <c r="A560" s="4"/>
      <c r="B560" s="4"/>
      <c r="C560" s="4"/>
      <c r="D560" s="4"/>
      <c r="E560" s="4"/>
      <c r="F560" s="4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4.25" customHeight="1">
      <c r="A561" s="4"/>
      <c r="B561" s="4"/>
      <c r="C561" s="4"/>
      <c r="D561" s="4"/>
      <c r="E561" s="4"/>
      <c r="F561" s="4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4.25" customHeight="1">
      <c r="A562" s="4"/>
      <c r="B562" s="4"/>
      <c r="C562" s="4"/>
      <c r="D562" s="4"/>
      <c r="E562" s="4"/>
      <c r="F562" s="4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4.25" customHeight="1">
      <c r="A563" s="4"/>
      <c r="B563" s="4"/>
      <c r="C563" s="4"/>
      <c r="D563" s="4"/>
      <c r="E563" s="4"/>
      <c r="F563" s="4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4.25" customHeight="1">
      <c r="A564" s="4"/>
      <c r="B564" s="4"/>
      <c r="C564" s="4"/>
      <c r="D564" s="4"/>
      <c r="E564" s="4"/>
      <c r="F564" s="4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4.25" customHeight="1">
      <c r="A565" s="4"/>
      <c r="B565" s="4"/>
      <c r="C565" s="4"/>
      <c r="D565" s="4"/>
      <c r="E565" s="4"/>
      <c r="F565" s="4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4.25" customHeight="1">
      <c r="A566" s="4"/>
      <c r="B566" s="4"/>
      <c r="C566" s="4"/>
      <c r="D566" s="4"/>
      <c r="E566" s="4"/>
      <c r="F566" s="4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4.25" customHeight="1">
      <c r="A567" s="4"/>
      <c r="B567" s="4"/>
      <c r="C567" s="4"/>
      <c r="D567" s="4"/>
      <c r="E567" s="4"/>
      <c r="F567" s="4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4.25" customHeight="1">
      <c r="A568" s="4"/>
      <c r="B568" s="4"/>
      <c r="C568" s="4"/>
      <c r="D568" s="4"/>
      <c r="E568" s="4"/>
      <c r="F568" s="4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4.25" customHeight="1">
      <c r="A569" s="4"/>
      <c r="B569" s="4"/>
      <c r="C569" s="4"/>
      <c r="D569" s="4"/>
      <c r="E569" s="4"/>
      <c r="F569" s="4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4.25" customHeight="1">
      <c r="A570" s="4"/>
      <c r="B570" s="4"/>
      <c r="C570" s="4"/>
      <c r="D570" s="4"/>
      <c r="E570" s="4"/>
      <c r="F570" s="4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4.25" customHeight="1">
      <c r="A571" s="4"/>
      <c r="B571" s="4"/>
      <c r="C571" s="4"/>
      <c r="D571" s="4"/>
      <c r="E571" s="4"/>
      <c r="F571" s="4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4.25" customHeight="1">
      <c r="A572" s="4"/>
      <c r="B572" s="4"/>
      <c r="C572" s="4"/>
      <c r="D572" s="4"/>
      <c r="E572" s="4"/>
      <c r="F572" s="4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4.25" customHeight="1">
      <c r="A573" s="4"/>
      <c r="B573" s="4"/>
      <c r="C573" s="4"/>
      <c r="D573" s="4"/>
      <c r="E573" s="4"/>
      <c r="F573" s="4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4.25" customHeight="1">
      <c r="A574" s="4"/>
      <c r="B574" s="4"/>
      <c r="C574" s="4"/>
      <c r="D574" s="4"/>
      <c r="E574" s="4"/>
      <c r="F574" s="4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4.25" customHeight="1">
      <c r="A575" s="4"/>
      <c r="B575" s="4"/>
      <c r="C575" s="4"/>
      <c r="D575" s="4"/>
      <c r="E575" s="4"/>
      <c r="F575" s="4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4.25" customHeight="1">
      <c r="A576" s="4"/>
      <c r="B576" s="4"/>
      <c r="C576" s="4"/>
      <c r="D576" s="4"/>
      <c r="E576" s="4"/>
      <c r="F576" s="4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4.25" customHeight="1">
      <c r="A577" s="4"/>
      <c r="B577" s="4"/>
      <c r="C577" s="4"/>
      <c r="D577" s="4"/>
      <c r="E577" s="4"/>
      <c r="F577" s="4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4.25" customHeight="1">
      <c r="A578" s="4"/>
      <c r="B578" s="4"/>
      <c r="C578" s="4"/>
      <c r="D578" s="4"/>
      <c r="E578" s="4"/>
      <c r="F578" s="4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4.25" customHeight="1">
      <c r="A579" s="4"/>
      <c r="B579" s="4"/>
      <c r="C579" s="4"/>
      <c r="D579" s="4"/>
      <c r="E579" s="4"/>
      <c r="F579" s="4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4.25" customHeight="1">
      <c r="A580" s="4"/>
      <c r="B580" s="4"/>
      <c r="C580" s="4"/>
      <c r="D580" s="4"/>
      <c r="E580" s="4"/>
      <c r="F580" s="4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4.25" customHeight="1">
      <c r="A581" s="4"/>
      <c r="B581" s="4"/>
      <c r="C581" s="4"/>
      <c r="D581" s="4"/>
      <c r="E581" s="4"/>
      <c r="F581" s="4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4.25" customHeight="1">
      <c r="A582" s="4"/>
      <c r="B582" s="4"/>
      <c r="C582" s="4"/>
      <c r="D582" s="4"/>
      <c r="E582" s="4"/>
      <c r="F582" s="4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4.25" customHeight="1">
      <c r="A583" s="4"/>
      <c r="B583" s="4"/>
      <c r="C583" s="4"/>
      <c r="D583" s="4"/>
      <c r="E583" s="4"/>
      <c r="F583" s="4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4.25" customHeight="1">
      <c r="A584" s="4"/>
      <c r="B584" s="4"/>
      <c r="C584" s="4"/>
      <c r="D584" s="4"/>
      <c r="E584" s="4"/>
      <c r="F584" s="4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4.25" customHeight="1">
      <c r="A585" s="4"/>
      <c r="B585" s="4"/>
      <c r="C585" s="4"/>
      <c r="D585" s="4"/>
      <c r="E585" s="4"/>
      <c r="F585" s="4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4.25" customHeight="1">
      <c r="A586" s="4"/>
      <c r="B586" s="4"/>
      <c r="C586" s="4"/>
      <c r="D586" s="4"/>
      <c r="E586" s="4"/>
      <c r="F586" s="4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4.25" customHeight="1">
      <c r="A587" s="4"/>
      <c r="B587" s="4"/>
      <c r="C587" s="4"/>
      <c r="D587" s="4"/>
      <c r="E587" s="4"/>
      <c r="F587" s="4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4.25" customHeight="1">
      <c r="A588" s="4"/>
      <c r="B588" s="4"/>
      <c r="C588" s="4"/>
      <c r="D588" s="4"/>
      <c r="E588" s="4"/>
      <c r="F588" s="4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4.25" customHeight="1">
      <c r="A589" s="4"/>
      <c r="B589" s="4"/>
      <c r="C589" s="4"/>
      <c r="D589" s="4"/>
      <c r="E589" s="4"/>
      <c r="F589" s="4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4.25" customHeight="1">
      <c r="A590" s="4"/>
      <c r="B590" s="4"/>
      <c r="C590" s="4"/>
      <c r="D590" s="4"/>
      <c r="E590" s="4"/>
      <c r="F590" s="4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4.25" customHeight="1">
      <c r="A591" s="4"/>
      <c r="B591" s="4"/>
      <c r="C591" s="4"/>
      <c r="D591" s="4"/>
      <c r="E591" s="4"/>
      <c r="F591" s="4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4.25" customHeight="1">
      <c r="A592" s="4"/>
      <c r="B592" s="4"/>
      <c r="C592" s="4"/>
      <c r="D592" s="4"/>
      <c r="E592" s="4"/>
      <c r="F592" s="4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4.25" customHeight="1">
      <c r="A593" s="4"/>
      <c r="B593" s="4"/>
      <c r="C593" s="4"/>
      <c r="D593" s="4"/>
      <c r="E593" s="4"/>
      <c r="F593" s="4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4.25" customHeight="1">
      <c r="A594" s="4"/>
      <c r="B594" s="4"/>
      <c r="C594" s="4"/>
      <c r="D594" s="4"/>
      <c r="E594" s="4"/>
      <c r="F594" s="4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4.25" customHeight="1">
      <c r="A595" s="4"/>
      <c r="B595" s="4"/>
      <c r="C595" s="4"/>
      <c r="D595" s="4"/>
      <c r="E595" s="4"/>
      <c r="F595" s="4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4.25" customHeight="1">
      <c r="A596" s="4"/>
      <c r="B596" s="4"/>
      <c r="C596" s="4"/>
      <c r="D596" s="4"/>
      <c r="E596" s="4"/>
      <c r="F596" s="4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4.25" customHeight="1">
      <c r="A597" s="4"/>
      <c r="B597" s="4"/>
      <c r="C597" s="4"/>
      <c r="D597" s="4"/>
      <c r="E597" s="4"/>
      <c r="F597" s="4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4.25" customHeight="1">
      <c r="A598" s="4"/>
      <c r="B598" s="4"/>
      <c r="C598" s="4"/>
      <c r="D598" s="4"/>
      <c r="E598" s="4"/>
      <c r="F598" s="4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4.25" customHeight="1">
      <c r="A599" s="4"/>
      <c r="B599" s="4"/>
      <c r="C599" s="4"/>
      <c r="D599" s="4"/>
      <c r="E599" s="4"/>
      <c r="F599" s="4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4.25" customHeight="1">
      <c r="A600" s="4"/>
      <c r="B600" s="4"/>
      <c r="C600" s="4"/>
      <c r="D600" s="4"/>
      <c r="E600" s="4"/>
      <c r="F600" s="4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4.25" customHeight="1">
      <c r="A601" s="4"/>
      <c r="B601" s="4"/>
      <c r="C601" s="4"/>
      <c r="D601" s="4"/>
      <c r="E601" s="4"/>
      <c r="F601" s="4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4.25" customHeight="1">
      <c r="A602" s="4"/>
      <c r="B602" s="4"/>
      <c r="C602" s="4"/>
      <c r="D602" s="4"/>
      <c r="E602" s="4"/>
      <c r="F602" s="4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4.25" customHeight="1">
      <c r="A603" s="4"/>
      <c r="B603" s="4"/>
      <c r="C603" s="4"/>
      <c r="D603" s="4"/>
      <c r="E603" s="4"/>
      <c r="F603" s="4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4.25" customHeight="1">
      <c r="A604" s="4"/>
      <c r="B604" s="4"/>
      <c r="C604" s="4"/>
      <c r="D604" s="4"/>
      <c r="E604" s="4"/>
      <c r="F604" s="4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4.25" customHeight="1">
      <c r="A605" s="4"/>
      <c r="B605" s="4"/>
      <c r="C605" s="4"/>
      <c r="D605" s="4"/>
      <c r="E605" s="4"/>
      <c r="F605" s="4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4.25" customHeight="1">
      <c r="A606" s="4"/>
      <c r="B606" s="4"/>
      <c r="C606" s="4"/>
      <c r="D606" s="4"/>
      <c r="E606" s="4"/>
      <c r="F606" s="4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4.25" customHeight="1">
      <c r="A607" s="4"/>
      <c r="B607" s="4"/>
      <c r="C607" s="4"/>
      <c r="D607" s="4"/>
      <c r="E607" s="4"/>
      <c r="F607" s="4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4.25" customHeight="1">
      <c r="A608" s="4"/>
      <c r="B608" s="4"/>
      <c r="C608" s="4"/>
      <c r="D608" s="4"/>
      <c r="E608" s="4"/>
      <c r="F608" s="4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4.25" customHeight="1">
      <c r="A609" s="4"/>
      <c r="B609" s="4"/>
      <c r="C609" s="4"/>
      <c r="D609" s="4"/>
      <c r="E609" s="4"/>
      <c r="F609" s="4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4.25" customHeight="1">
      <c r="A610" s="4"/>
      <c r="B610" s="4"/>
      <c r="C610" s="4"/>
      <c r="D610" s="4"/>
      <c r="E610" s="4"/>
      <c r="F610" s="4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4.25" customHeight="1">
      <c r="A611" s="4"/>
      <c r="B611" s="4"/>
      <c r="C611" s="4"/>
      <c r="D611" s="4"/>
      <c r="E611" s="4"/>
      <c r="F611" s="4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4.25" customHeight="1">
      <c r="A612" s="4"/>
      <c r="B612" s="4"/>
      <c r="C612" s="4"/>
      <c r="D612" s="4"/>
      <c r="E612" s="4"/>
      <c r="F612" s="4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4.25" customHeight="1">
      <c r="A613" s="4"/>
      <c r="B613" s="4"/>
      <c r="C613" s="4"/>
      <c r="D613" s="4"/>
      <c r="E613" s="4"/>
      <c r="F613" s="4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4.25" customHeight="1">
      <c r="A614" s="4"/>
      <c r="B614" s="4"/>
      <c r="C614" s="4"/>
      <c r="D614" s="4"/>
      <c r="E614" s="4"/>
      <c r="F614" s="4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4.25" customHeight="1">
      <c r="A615" s="4"/>
      <c r="B615" s="4"/>
      <c r="C615" s="4"/>
      <c r="D615" s="4"/>
      <c r="E615" s="4"/>
      <c r="F615" s="4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4.25" customHeight="1">
      <c r="A616" s="4"/>
      <c r="B616" s="4"/>
      <c r="C616" s="4"/>
      <c r="D616" s="4"/>
      <c r="E616" s="4"/>
      <c r="F616" s="4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4.25" customHeight="1">
      <c r="A617" s="4"/>
      <c r="B617" s="4"/>
      <c r="C617" s="4"/>
      <c r="D617" s="4"/>
      <c r="E617" s="4"/>
      <c r="F617" s="4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4.25" customHeight="1">
      <c r="A618" s="4"/>
      <c r="B618" s="4"/>
      <c r="C618" s="4"/>
      <c r="D618" s="4"/>
      <c r="E618" s="4"/>
      <c r="F618" s="4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4.25" customHeight="1">
      <c r="A619" s="4"/>
      <c r="B619" s="4"/>
      <c r="C619" s="4"/>
      <c r="D619" s="4"/>
      <c r="E619" s="4"/>
      <c r="F619" s="4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4.25" customHeight="1">
      <c r="A620" s="4"/>
      <c r="B620" s="4"/>
      <c r="C620" s="4"/>
      <c r="D620" s="4"/>
      <c r="E620" s="4"/>
      <c r="F620" s="4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4.25" customHeight="1">
      <c r="A621" s="4"/>
      <c r="B621" s="4"/>
      <c r="C621" s="4"/>
      <c r="D621" s="4"/>
      <c r="E621" s="4"/>
      <c r="F621" s="4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4.25" customHeight="1">
      <c r="A622" s="4"/>
      <c r="B622" s="4"/>
      <c r="C622" s="4"/>
      <c r="D622" s="4"/>
      <c r="E622" s="4"/>
      <c r="F622" s="4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4.25" customHeight="1">
      <c r="A623" s="4"/>
      <c r="B623" s="4"/>
      <c r="C623" s="4"/>
      <c r="D623" s="4"/>
      <c r="E623" s="4"/>
      <c r="F623" s="4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4.25" customHeight="1">
      <c r="A624" s="4"/>
      <c r="B624" s="4"/>
      <c r="C624" s="4"/>
      <c r="D624" s="4"/>
      <c r="E624" s="4"/>
      <c r="F624" s="4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4.25" customHeight="1">
      <c r="A625" s="4"/>
      <c r="B625" s="4"/>
      <c r="C625" s="4"/>
      <c r="D625" s="4"/>
      <c r="E625" s="4"/>
      <c r="F625" s="4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4.25" customHeight="1">
      <c r="A626" s="4"/>
      <c r="B626" s="4"/>
      <c r="C626" s="4"/>
      <c r="D626" s="4"/>
      <c r="E626" s="4"/>
      <c r="F626" s="4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4.25" customHeight="1">
      <c r="A627" s="4"/>
      <c r="B627" s="4"/>
      <c r="C627" s="4"/>
      <c r="D627" s="4"/>
      <c r="E627" s="4"/>
      <c r="F627" s="4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4.25" customHeight="1">
      <c r="A628" s="4"/>
      <c r="B628" s="4"/>
      <c r="C628" s="4"/>
      <c r="D628" s="4"/>
      <c r="E628" s="4"/>
      <c r="F628" s="4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4.25" customHeight="1">
      <c r="A629" s="4"/>
      <c r="B629" s="4"/>
      <c r="C629" s="4"/>
      <c r="D629" s="4"/>
      <c r="E629" s="4"/>
      <c r="F629" s="4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4.25" customHeight="1">
      <c r="A630" s="4"/>
      <c r="B630" s="4"/>
      <c r="C630" s="4"/>
      <c r="D630" s="4"/>
      <c r="E630" s="4"/>
      <c r="F630" s="4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4.25" customHeight="1">
      <c r="A631" s="4"/>
      <c r="B631" s="4"/>
      <c r="C631" s="4"/>
      <c r="D631" s="4"/>
      <c r="E631" s="4"/>
      <c r="F631" s="4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4.25" customHeight="1">
      <c r="A632" s="4"/>
      <c r="B632" s="4"/>
      <c r="C632" s="4"/>
      <c r="D632" s="4"/>
      <c r="E632" s="4"/>
      <c r="F632" s="4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4.25" customHeight="1">
      <c r="A633" s="4"/>
      <c r="B633" s="4"/>
      <c r="C633" s="4"/>
      <c r="D633" s="4"/>
      <c r="E633" s="4"/>
      <c r="F633" s="4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4.25" customHeight="1">
      <c r="A634" s="4"/>
      <c r="B634" s="4"/>
      <c r="C634" s="4"/>
      <c r="D634" s="4"/>
      <c r="E634" s="4"/>
      <c r="F634" s="4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4.25" customHeight="1">
      <c r="A635" s="4"/>
      <c r="B635" s="4"/>
      <c r="C635" s="4"/>
      <c r="D635" s="4"/>
      <c r="E635" s="4"/>
      <c r="F635" s="4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4.25" customHeight="1">
      <c r="A636" s="4"/>
      <c r="B636" s="4"/>
      <c r="C636" s="4"/>
      <c r="D636" s="4"/>
      <c r="E636" s="4"/>
      <c r="F636" s="4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4.25" customHeight="1">
      <c r="A637" s="4"/>
      <c r="B637" s="4"/>
      <c r="C637" s="4"/>
      <c r="D637" s="4"/>
      <c r="E637" s="4"/>
      <c r="F637" s="4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4.25" customHeight="1">
      <c r="A638" s="4"/>
      <c r="B638" s="4"/>
      <c r="C638" s="4"/>
      <c r="D638" s="4"/>
      <c r="E638" s="4"/>
      <c r="F638" s="4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4.25" customHeight="1">
      <c r="A639" s="4"/>
      <c r="B639" s="4"/>
      <c r="C639" s="4"/>
      <c r="D639" s="4"/>
      <c r="E639" s="4"/>
      <c r="F639" s="4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4.25" customHeight="1">
      <c r="A640" s="4"/>
      <c r="B640" s="4"/>
      <c r="C640" s="4"/>
      <c r="D640" s="4"/>
      <c r="E640" s="4"/>
      <c r="F640" s="4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4.25" customHeight="1">
      <c r="A641" s="4"/>
      <c r="B641" s="4"/>
      <c r="C641" s="4"/>
      <c r="D641" s="4"/>
      <c r="E641" s="4"/>
      <c r="F641" s="4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4.25" customHeight="1">
      <c r="A642" s="4"/>
      <c r="B642" s="4"/>
      <c r="C642" s="4"/>
      <c r="D642" s="4"/>
      <c r="E642" s="4"/>
      <c r="F642" s="4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4.25" customHeight="1">
      <c r="A643" s="4"/>
      <c r="B643" s="4"/>
      <c r="C643" s="4"/>
      <c r="D643" s="4"/>
      <c r="E643" s="4"/>
      <c r="F643" s="4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4.25" customHeight="1">
      <c r="A644" s="4"/>
      <c r="B644" s="4"/>
      <c r="C644" s="4"/>
      <c r="D644" s="4"/>
      <c r="E644" s="4"/>
      <c r="F644" s="4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4.25" customHeight="1">
      <c r="A645" s="4"/>
      <c r="B645" s="4"/>
      <c r="C645" s="4"/>
      <c r="D645" s="4"/>
      <c r="E645" s="4"/>
      <c r="F645" s="4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4.25" customHeight="1">
      <c r="A646" s="4"/>
      <c r="B646" s="4"/>
      <c r="C646" s="4"/>
      <c r="D646" s="4"/>
      <c r="E646" s="4"/>
      <c r="F646" s="4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4.25" customHeight="1">
      <c r="A647" s="4"/>
      <c r="B647" s="4"/>
      <c r="C647" s="4"/>
      <c r="D647" s="4"/>
      <c r="E647" s="4"/>
      <c r="F647" s="4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4.25" customHeight="1">
      <c r="A648" s="4"/>
      <c r="B648" s="4"/>
      <c r="C648" s="4"/>
      <c r="D648" s="4"/>
      <c r="E648" s="4"/>
      <c r="F648" s="4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4.25" customHeight="1">
      <c r="A649" s="4"/>
      <c r="B649" s="4"/>
      <c r="C649" s="4"/>
      <c r="D649" s="4"/>
      <c r="E649" s="4"/>
      <c r="F649" s="4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4.25" customHeight="1">
      <c r="A650" s="4"/>
      <c r="B650" s="4"/>
      <c r="C650" s="4"/>
      <c r="D650" s="4"/>
      <c r="E650" s="4"/>
      <c r="F650" s="4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4.25" customHeight="1">
      <c r="A651" s="4"/>
      <c r="B651" s="4"/>
      <c r="C651" s="4"/>
      <c r="D651" s="4"/>
      <c r="E651" s="4"/>
      <c r="F651" s="4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4.25" customHeight="1">
      <c r="A652" s="4"/>
      <c r="B652" s="4"/>
      <c r="C652" s="4"/>
      <c r="D652" s="4"/>
      <c r="E652" s="4"/>
      <c r="F652" s="4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4.25" customHeight="1">
      <c r="A653" s="4"/>
      <c r="B653" s="4"/>
      <c r="C653" s="4"/>
      <c r="D653" s="4"/>
      <c r="E653" s="4"/>
      <c r="F653" s="4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4.25" customHeight="1">
      <c r="A654" s="4"/>
      <c r="B654" s="4"/>
      <c r="C654" s="4"/>
      <c r="D654" s="4"/>
      <c r="E654" s="4"/>
      <c r="F654" s="4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4.25" customHeight="1">
      <c r="A655" s="4"/>
      <c r="B655" s="4"/>
      <c r="C655" s="4"/>
      <c r="D655" s="4"/>
      <c r="E655" s="4"/>
      <c r="F655" s="4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4.25" customHeight="1">
      <c r="A656" s="4"/>
      <c r="B656" s="4"/>
      <c r="C656" s="4"/>
      <c r="D656" s="4"/>
      <c r="E656" s="4"/>
      <c r="F656" s="4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4.25" customHeight="1">
      <c r="A657" s="4"/>
      <c r="B657" s="4"/>
      <c r="C657" s="4"/>
      <c r="D657" s="4"/>
      <c r="E657" s="4"/>
      <c r="F657" s="4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4.25" customHeight="1">
      <c r="A658" s="4"/>
      <c r="B658" s="4"/>
      <c r="C658" s="4"/>
      <c r="D658" s="4"/>
      <c r="E658" s="4"/>
      <c r="F658" s="4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4.25" customHeight="1">
      <c r="A659" s="4"/>
      <c r="B659" s="4"/>
      <c r="C659" s="4"/>
      <c r="D659" s="4"/>
      <c r="E659" s="4"/>
      <c r="F659" s="4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4.25" customHeight="1">
      <c r="A660" s="4"/>
      <c r="B660" s="4"/>
      <c r="C660" s="4"/>
      <c r="D660" s="4"/>
      <c r="E660" s="4"/>
      <c r="F660" s="4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4.25" customHeight="1">
      <c r="A661" s="4"/>
      <c r="B661" s="4"/>
      <c r="C661" s="4"/>
      <c r="D661" s="4"/>
      <c r="E661" s="4"/>
      <c r="F661" s="4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4.25" customHeight="1">
      <c r="A662" s="4"/>
      <c r="B662" s="4"/>
      <c r="C662" s="4"/>
      <c r="D662" s="4"/>
      <c r="E662" s="4"/>
      <c r="F662" s="4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4.25" customHeight="1">
      <c r="A663" s="4"/>
      <c r="B663" s="4"/>
      <c r="C663" s="4"/>
      <c r="D663" s="4"/>
      <c r="E663" s="4"/>
      <c r="F663" s="4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4.25" customHeight="1">
      <c r="A664" s="4"/>
      <c r="B664" s="4"/>
      <c r="C664" s="4"/>
      <c r="D664" s="4"/>
      <c r="E664" s="4"/>
      <c r="F664" s="4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4.25" customHeight="1">
      <c r="A665" s="4"/>
      <c r="B665" s="4"/>
      <c r="C665" s="4"/>
      <c r="D665" s="4"/>
      <c r="E665" s="4"/>
      <c r="F665" s="4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4.25" customHeight="1">
      <c r="A666" s="4"/>
      <c r="B666" s="4"/>
      <c r="C666" s="4"/>
      <c r="D666" s="4"/>
      <c r="E666" s="4"/>
      <c r="F666" s="4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4.25" customHeight="1">
      <c r="A667" s="4"/>
      <c r="B667" s="4"/>
      <c r="C667" s="4"/>
      <c r="D667" s="4"/>
      <c r="E667" s="4"/>
      <c r="F667" s="4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4.25" customHeight="1">
      <c r="A668" s="4"/>
      <c r="B668" s="4"/>
      <c r="C668" s="4"/>
      <c r="D668" s="4"/>
      <c r="E668" s="4"/>
      <c r="F668" s="4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4.25" customHeight="1">
      <c r="A669" s="4"/>
      <c r="B669" s="4"/>
      <c r="C669" s="4"/>
      <c r="D669" s="4"/>
      <c r="E669" s="4"/>
      <c r="F669" s="4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4.25" customHeight="1">
      <c r="A670" s="4"/>
      <c r="B670" s="4"/>
      <c r="C670" s="4"/>
      <c r="D670" s="4"/>
      <c r="E670" s="4"/>
      <c r="F670" s="4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4.25" customHeight="1">
      <c r="A671" s="4"/>
      <c r="B671" s="4"/>
      <c r="C671" s="4"/>
      <c r="D671" s="4"/>
      <c r="E671" s="4"/>
      <c r="F671" s="4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4.25" customHeight="1">
      <c r="A672" s="4"/>
      <c r="B672" s="4"/>
      <c r="C672" s="4"/>
      <c r="D672" s="4"/>
      <c r="E672" s="4"/>
      <c r="F672" s="4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4.25" customHeight="1">
      <c r="A673" s="4"/>
      <c r="B673" s="4"/>
      <c r="C673" s="4"/>
      <c r="D673" s="4"/>
      <c r="E673" s="4"/>
      <c r="F673" s="4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4.25" customHeight="1">
      <c r="A674" s="4"/>
      <c r="B674" s="4"/>
      <c r="C674" s="4"/>
      <c r="D674" s="4"/>
      <c r="E674" s="4"/>
      <c r="F674" s="4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4.25" customHeight="1">
      <c r="A675" s="4"/>
      <c r="B675" s="4"/>
      <c r="C675" s="4"/>
      <c r="D675" s="4"/>
      <c r="E675" s="4"/>
      <c r="F675" s="4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4.25" customHeight="1">
      <c r="A676" s="4"/>
      <c r="B676" s="4"/>
      <c r="C676" s="4"/>
      <c r="D676" s="4"/>
      <c r="E676" s="4"/>
      <c r="F676" s="4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4.25" customHeight="1">
      <c r="A677" s="4"/>
      <c r="B677" s="4"/>
      <c r="C677" s="4"/>
      <c r="D677" s="4"/>
      <c r="E677" s="4"/>
      <c r="F677" s="4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4.25" customHeight="1">
      <c r="A678" s="4"/>
      <c r="B678" s="4"/>
      <c r="C678" s="4"/>
      <c r="D678" s="4"/>
      <c r="E678" s="4"/>
      <c r="F678" s="4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4.25" customHeight="1">
      <c r="A679" s="4"/>
      <c r="B679" s="4"/>
      <c r="C679" s="4"/>
      <c r="D679" s="4"/>
      <c r="E679" s="4"/>
      <c r="F679" s="4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4.25" customHeight="1">
      <c r="A680" s="4"/>
      <c r="B680" s="4"/>
      <c r="C680" s="4"/>
      <c r="D680" s="4"/>
      <c r="E680" s="4"/>
      <c r="F680" s="4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4.25" customHeight="1">
      <c r="A681" s="4"/>
      <c r="B681" s="4"/>
      <c r="C681" s="4"/>
      <c r="D681" s="4"/>
      <c r="E681" s="4"/>
      <c r="F681" s="4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4.25" customHeight="1">
      <c r="A682" s="4"/>
      <c r="B682" s="4"/>
      <c r="C682" s="4"/>
      <c r="D682" s="4"/>
      <c r="E682" s="4"/>
      <c r="F682" s="4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4.25" customHeight="1">
      <c r="A683" s="4"/>
      <c r="B683" s="4"/>
      <c r="C683" s="4"/>
      <c r="D683" s="4"/>
      <c r="E683" s="4"/>
      <c r="F683" s="4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4.25" customHeight="1">
      <c r="A684" s="4"/>
      <c r="B684" s="4"/>
      <c r="C684" s="4"/>
      <c r="D684" s="4"/>
      <c r="E684" s="4"/>
      <c r="F684" s="4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4.25" customHeight="1">
      <c r="A685" s="4"/>
      <c r="B685" s="4"/>
      <c r="C685" s="4"/>
      <c r="D685" s="4"/>
      <c r="E685" s="4"/>
      <c r="F685" s="4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4.25" customHeight="1">
      <c r="A686" s="4"/>
      <c r="B686" s="4"/>
      <c r="C686" s="4"/>
      <c r="D686" s="4"/>
      <c r="E686" s="4"/>
      <c r="F686" s="4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4.25" customHeight="1">
      <c r="A687" s="4"/>
      <c r="B687" s="4"/>
      <c r="C687" s="4"/>
      <c r="D687" s="4"/>
      <c r="E687" s="4"/>
      <c r="F687" s="4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4.25" customHeight="1">
      <c r="A688" s="4"/>
      <c r="B688" s="4"/>
      <c r="C688" s="4"/>
      <c r="D688" s="4"/>
      <c r="E688" s="4"/>
      <c r="F688" s="4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4.25" customHeight="1">
      <c r="A689" s="4"/>
      <c r="B689" s="4"/>
      <c r="C689" s="4"/>
      <c r="D689" s="4"/>
      <c r="E689" s="4"/>
      <c r="F689" s="4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4.25" customHeight="1">
      <c r="A690" s="4"/>
      <c r="B690" s="4"/>
      <c r="C690" s="4"/>
      <c r="D690" s="4"/>
      <c r="E690" s="4"/>
      <c r="F690" s="4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4.25" customHeight="1">
      <c r="A691" s="4"/>
      <c r="B691" s="4"/>
      <c r="C691" s="4"/>
      <c r="D691" s="4"/>
      <c r="E691" s="4"/>
      <c r="F691" s="4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4.25" customHeight="1">
      <c r="A692" s="4"/>
      <c r="B692" s="4"/>
      <c r="C692" s="4"/>
      <c r="D692" s="4"/>
      <c r="E692" s="4"/>
      <c r="F692" s="4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4.25" customHeight="1">
      <c r="A693" s="4"/>
      <c r="B693" s="4"/>
      <c r="C693" s="4"/>
      <c r="D693" s="4"/>
      <c r="E693" s="4"/>
      <c r="F693" s="4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4.25" customHeight="1">
      <c r="A694" s="4"/>
      <c r="B694" s="4"/>
      <c r="C694" s="4"/>
      <c r="D694" s="4"/>
      <c r="E694" s="4"/>
      <c r="F694" s="4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4.25" customHeight="1">
      <c r="A695" s="4"/>
      <c r="B695" s="4"/>
      <c r="C695" s="4"/>
      <c r="D695" s="4"/>
      <c r="E695" s="4"/>
      <c r="F695" s="4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4.25" customHeight="1">
      <c r="A696" s="4"/>
      <c r="B696" s="4"/>
      <c r="C696" s="4"/>
      <c r="D696" s="4"/>
      <c r="E696" s="4"/>
      <c r="F696" s="4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4.25" customHeight="1">
      <c r="A697" s="4"/>
      <c r="B697" s="4"/>
      <c r="C697" s="4"/>
      <c r="D697" s="4"/>
      <c r="E697" s="4"/>
      <c r="F697" s="4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4.25" customHeight="1">
      <c r="A698" s="4"/>
      <c r="B698" s="4"/>
      <c r="C698" s="4"/>
      <c r="D698" s="4"/>
      <c r="E698" s="4"/>
      <c r="F698" s="4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4.25" customHeight="1">
      <c r="A699" s="4"/>
      <c r="B699" s="4"/>
      <c r="C699" s="4"/>
      <c r="D699" s="4"/>
      <c r="E699" s="4"/>
      <c r="F699" s="4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4.25" customHeight="1">
      <c r="A700" s="4"/>
      <c r="B700" s="4"/>
      <c r="C700" s="4"/>
      <c r="D700" s="4"/>
      <c r="E700" s="4"/>
      <c r="F700" s="4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4.25" customHeight="1">
      <c r="A701" s="4"/>
      <c r="B701" s="4"/>
      <c r="C701" s="4"/>
      <c r="D701" s="4"/>
      <c r="E701" s="4"/>
      <c r="F701" s="4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4.25" customHeight="1">
      <c r="A702" s="4"/>
      <c r="B702" s="4"/>
      <c r="C702" s="4"/>
      <c r="D702" s="4"/>
      <c r="E702" s="4"/>
      <c r="F702" s="4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4.25" customHeight="1">
      <c r="A703" s="4"/>
      <c r="B703" s="4"/>
      <c r="C703" s="4"/>
      <c r="D703" s="4"/>
      <c r="E703" s="4"/>
      <c r="F703" s="4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4.25" customHeight="1">
      <c r="A704" s="4"/>
      <c r="B704" s="4"/>
      <c r="C704" s="4"/>
      <c r="D704" s="4"/>
      <c r="E704" s="4"/>
      <c r="F704" s="4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4.25" customHeight="1">
      <c r="A705" s="4"/>
      <c r="B705" s="4"/>
      <c r="C705" s="4"/>
      <c r="D705" s="4"/>
      <c r="E705" s="4"/>
      <c r="F705" s="4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4.25" customHeight="1">
      <c r="A706" s="4"/>
      <c r="B706" s="4"/>
      <c r="C706" s="4"/>
      <c r="D706" s="4"/>
      <c r="E706" s="4"/>
      <c r="F706" s="4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4.25" customHeight="1">
      <c r="A707" s="4"/>
      <c r="B707" s="4"/>
      <c r="C707" s="4"/>
      <c r="D707" s="4"/>
      <c r="E707" s="4"/>
      <c r="F707" s="4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4.25" customHeight="1">
      <c r="A708" s="4"/>
      <c r="B708" s="4"/>
      <c r="C708" s="4"/>
      <c r="D708" s="4"/>
      <c r="E708" s="4"/>
      <c r="F708" s="4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4.25" customHeight="1">
      <c r="A709" s="4"/>
      <c r="B709" s="4"/>
      <c r="C709" s="4"/>
      <c r="D709" s="4"/>
      <c r="E709" s="4"/>
      <c r="F709" s="4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4.25" customHeight="1">
      <c r="A710" s="4"/>
      <c r="B710" s="4"/>
      <c r="C710" s="4"/>
      <c r="D710" s="4"/>
      <c r="E710" s="4"/>
      <c r="F710" s="4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4.25" customHeight="1">
      <c r="A711" s="4"/>
      <c r="B711" s="4"/>
      <c r="C711" s="4"/>
      <c r="D711" s="4"/>
      <c r="E711" s="4"/>
      <c r="F711" s="4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4.25" customHeight="1">
      <c r="A712" s="4"/>
      <c r="B712" s="4"/>
      <c r="C712" s="4"/>
      <c r="D712" s="4"/>
      <c r="E712" s="4"/>
      <c r="F712" s="4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4.25" customHeight="1">
      <c r="A713" s="4"/>
      <c r="B713" s="4"/>
      <c r="C713" s="4"/>
      <c r="D713" s="4"/>
      <c r="E713" s="4"/>
      <c r="F713" s="4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4.25" customHeight="1">
      <c r="A714" s="4"/>
      <c r="B714" s="4"/>
      <c r="C714" s="4"/>
      <c r="D714" s="4"/>
      <c r="E714" s="4"/>
      <c r="F714" s="4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4.25" customHeight="1">
      <c r="A715" s="4"/>
      <c r="B715" s="4"/>
      <c r="C715" s="4"/>
      <c r="D715" s="4"/>
      <c r="E715" s="4"/>
      <c r="F715" s="4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4.25" customHeight="1">
      <c r="A716" s="4"/>
      <c r="B716" s="4"/>
      <c r="C716" s="4"/>
      <c r="D716" s="4"/>
      <c r="E716" s="4"/>
      <c r="F716" s="4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4.25" customHeight="1">
      <c r="A717" s="4"/>
      <c r="B717" s="4"/>
      <c r="C717" s="4"/>
      <c r="D717" s="4"/>
      <c r="E717" s="4"/>
      <c r="F717" s="4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4.25" customHeight="1">
      <c r="A718" s="4"/>
      <c r="B718" s="4"/>
      <c r="C718" s="4"/>
      <c r="D718" s="4"/>
      <c r="E718" s="4"/>
      <c r="F718" s="4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4.25" customHeight="1">
      <c r="A719" s="4"/>
      <c r="B719" s="4"/>
      <c r="C719" s="4"/>
      <c r="D719" s="4"/>
      <c r="E719" s="4"/>
      <c r="F719" s="4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4.25" customHeight="1">
      <c r="A720" s="4"/>
      <c r="B720" s="4"/>
      <c r="C720" s="4"/>
      <c r="D720" s="4"/>
      <c r="E720" s="4"/>
      <c r="F720" s="4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4.25" customHeight="1">
      <c r="A721" s="4"/>
      <c r="B721" s="4"/>
      <c r="C721" s="4"/>
      <c r="D721" s="4"/>
      <c r="E721" s="4"/>
      <c r="F721" s="4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4.25" customHeight="1">
      <c r="A722" s="4"/>
      <c r="B722" s="4"/>
      <c r="C722" s="4"/>
      <c r="D722" s="4"/>
      <c r="E722" s="4"/>
      <c r="F722" s="4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4.25" customHeight="1">
      <c r="A723" s="4"/>
      <c r="B723" s="4"/>
      <c r="C723" s="4"/>
      <c r="D723" s="4"/>
      <c r="E723" s="4"/>
      <c r="F723" s="4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4.25" customHeight="1">
      <c r="A724" s="4"/>
      <c r="B724" s="4"/>
      <c r="C724" s="4"/>
      <c r="D724" s="4"/>
      <c r="E724" s="4"/>
      <c r="F724" s="4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4.25" customHeight="1">
      <c r="A725" s="4"/>
      <c r="B725" s="4"/>
      <c r="C725" s="4"/>
      <c r="D725" s="4"/>
      <c r="E725" s="4"/>
      <c r="F725" s="4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4.25" customHeight="1">
      <c r="A726" s="4"/>
      <c r="B726" s="4"/>
      <c r="C726" s="4"/>
      <c r="D726" s="4"/>
      <c r="E726" s="4"/>
      <c r="F726" s="4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4.25" customHeight="1">
      <c r="A727" s="4"/>
      <c r="B727" s="4"/>
      <c r="C727" s="4"/>
      <c r="D727" s="4"/>
      <c r="E727" s="4"/>
      <c r="F727" s="4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4.25" customHeight="1">
      <c r="A728" s="4"/>
      <c r="B728" s="4"/>
      <c r="C728" s="4"/>
      <c r="D728" s="4"/>
      <c r="E728" s="4"/>
      <c r="F728" s="4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4.25" customHeight="1">
      <c r="A729" s="4"/>
      <c r="B729" s="4"/>
      <c r="C729" s="4"/>
      <c r="D729" s="4"/>
      <c r="E729" s="4"/>
      <c r="F729" s="4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4.25" customHeight="1">
      <c r="A730" s="4"/>
      <c r="B730" s="4"/>
      <c r="C730" s="4"/>
      <c r="D730" s="4"/>
      <c r="E730" s="4"/>
      <c r="F730" s="4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4.25" customHeight="1">
      <c r="A731" s="4"/>
      <c r="B731" s="4"/>
      <c r="C731" s="4"/>
      <c r="D731" s="4"/>
      <c r="E731" s="4"/>
      <c r="F731" s="4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4.25" customHeight="1">
      <c r="A732" s="4"/>
      <c r="B732" s="4"/>
      <c r="C732" s="4"/>
      <c r="D732" s="4"/>
      <c r="E732" s="4"/>
      <c r="F732" s="4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4.25" customHeight="1">
      <c r="A733" s="4"/>
      <c r="B733" s="4"/>
      <c r="C733" s="4"/>
      <c r="D733" s="4"/>
      <c r="E733" s="4"/>
      <c r="F733" s="4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4.25" customHeight="1">
      <c r="A734" s="4"/>
      <c r="B734" s="4"/>
      <c r="C734" s="4"/>
      <c r="D734" s="4"/>
      <c r="E734" s="4"/>
      <c r="F734" s="4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4.25" customHeight="1">
      <c r="A735" s="4"/>
      <c r="B735" s="4"/>
      <c r="C735" s="4"/>
      <c r="D735" s="4"/>
      <c r="E735" s="4"/>
      <c r="F735" s="4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4.25" customHeight="1">
      <c r="A736" s="4"/>
      <c r="B736" s="4"/>
      <c r="C736" s="4"/>
      <c r="D736" s="4"/>
      <c r="E736" s="4"/>
      <c r="F736" s="4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4.25" customHeight="1">
      <c r="A737" s="4"/>
      <c r="B737" s="4"/>
      <c r="C737" s="4"/>
      <c r="D737" s="4"/>
      <c r="E737" s="4"/>
      <c r="F737" s="4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4.25" customHeight="1">
      <c r="A738" s="4"/>
      <c r="B738" s="4"/>
      <c r="C738" s="4"/>
      <c r="D738" s="4"/>
      <c r="E738" s="4"/>
      <c r="F738" s="4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4.25" customHeight="1">
      <c r="A739" s="4"/>
      <c r="B739" s="4"/>
      <c r="C739" s="4"/>
      <c r="D739" s="4"/>
      <c r="E739" s="4"/>
      <c r="F739" s="4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4.25" customHeight="1">
      <c r="A740" s="4"/>
      <c r="B740" s="4"/>
      <c r="C740" s="4"/>
      <c r="D740" s="4"/>
      <c r="E740" s="4"/>
      <c r="F740" s="4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4.25" customHeight="1">
      <c r="A741" s="4"/>
      <c r="B741" s="4"/>
      <c r="C741" s="4"/>
      <c r="D741" s="4"/>
      <c r="E741" s="4"/>
      <c r="F741" s="4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4.25" customHeight="1">
      <c r="A742" s="4"/>
      <c r="B742" s="4"/>
      <c r="C742" s="4"/>
      <c r="D742" s="4"/>
      <c r="E742" s="4"/>
      <c r="F742" s="4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4.25" customHeight="1">
      <c r="A743" s="4"/>
      <c r="B743" s="4"/>
      <c r="C743" s="4"/>
      <c r="D743" s="4"/>
      <c r="E743" s="4"/>
      <c r="F743" s="4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4.25" customHeight="1">
      <c r="A744" s="4"/>
      <c r="B744" s="4"/>
      <c r="C744" s="4"/>
      <c r="D744" s="4"/>
      <c r="E744" s="4"/>
      <c r="F744" s="4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4.25" customHeight="1">
      <c r="A745" s="4"/>
      <c r="B745" s="4"/>
      <c r="C745" s="4"/>
      <c r="D745" s="4"/>
      <c r="E745" s="4"/>
      <c r="F745" s="4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4.25" customHeight="1">
      <c r="A746" s="4"/>
      <c r="B746" s="4"/>
      <c r="C746" s="4"/>
      <c r="D746" s="4"/>
      <c r="E746" s="4"/>
      <c r="F746" s="4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4.25" customHeight="1">
      <c r="A747" s="4"/>
      <c r="B747" s="4"/>
      <c r="C747" s="4"/>
      <c r="D747" s="4"/>
      <c r="E747" s="4"/>
      <c r="F747" s="4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4.25" customHeight="1">
      <c r="A748" s="4"/>
      <c r="B748" s="4"/>
      <c r="C748" s="4"/>
      <c r="D748" s="4"/>
      <c r="E748" s="4"/>
      <c r="F748" s="4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4.25" customHeight="1">
      <c r="A749" s="4"/>
      <c r="B749" s="4"/>
      <c r="C749" s="4"/>
      <c r="D749" s="4"/>
      <c r="E749" s="4"/>
      <c r="F749" s="4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4.25" customHeight="1">
      <c r="A750" s="4"/>
      <c r="B750" s="4"/>
      <c r="C750" s="4"/>
      <c r="D750" s="4"/>
      <c r="E750" s="4"/>
      <c r="F750" s="4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4.25" customHeight="1">
      <c r="A751" s="4"/>
      <c r="B751" s="4"/>
      <c r="C751" s="4"/>
      <c r="D751" s="4"/>
      <c r="E751" s="4"/>
      <c r="F751" s="4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4.25" customHeight="1">
      <c r="A752" s="4"/>
      <c r="B752" s="4"/>
      <c r="C752" s="4"/>
      <c r="D752" s="4"/>
      <c r="E752" s="4"/>
      <c r="F752" s="4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4.25" customHeight="1">
      <c r="A753" s="4"/>
      <c r="B753" s="4"/>
      <c r="C753" s="4"/>
      <c r="D753" s="4"/>
      <c r="E753" s="4"/>
      <c r="F753" s="4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4.25" customHeight="1">
      <c r="A754" s="4"/>
      <c r="B754" s="4"/>
      <c r="C754" s="4"/>
      <c r="D754" s="4"/>
      <c r="E754" s="4"/>
      <c r="F754" s="4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4.25" customHeight="1">
      <c r="A755" s="4"/>
      <c r="B755" s="4"/>
      <c r="C755" s="4"/>
      <c r="D755" s="4"/>
      <c r="E755" s="4"/>
      <c r="F755" s="4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4.25" customHeight="1">
      <c r="A756" s="4"/>
      <c r="B756" s="4"/>
      <c r="C756" s="4"/>
      <c r="D756" s="4"/>
      <c r="E756" s="4"/>
      <c r="F756" s="4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4.25" customHeight="1">
      <c r="A757" s="4"/>
      <c r="B757" s="4"/>
      <c r="C757" s="4"/>
      <c r="D757" s="4"/>
      <c r="E757" s="4"/>
      <c r="F757" s="4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4.25" customHeight="1">
      <c r="A758" s="4"/>
      <c r="B758" s="4"/>
      <c r="C758" s="4"/>
      <c r="D758" s="4"/>
      <c r="E758" s="4"/>
      <c r="F758" s="4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4.25" customHeight="1">
      <c r="A759" s="4"/>
      <c r="B759" s="4"/>
      <c r="C759" s="4"/>
      <c r="D759" s="4"/>
      <c r="E759" s="4"/>
      <c r="F759" s="4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4.25" customHeight="1">
      <c r="A760" s="4"/>
      <c r="B760" s="4"/>
      <c r="C760" s="4"/>
      <c r="D760" s="4"/>
      <c r="E760" s="4"/>
      <c r="F760" s="4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4.25" customHeight="1">
      <c r="A761" s="4"/>
      <c r="B761" s="4"/>
      <c r="C761" s="4"/>
      <c r="D761" s="4"/>
      <c r="E761" s="4"/>
      <c r="F761" s="4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4.25" customHeight="1">
      <c r="A762" s="4"/>
      <c r="B762" s="4"/>
      <c r="C762" s="4"/>
      <c r="D762" s="4"/>
      <c r="E762" s="4"/>
      <c r="F762" s="4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4.25" customHeight="1">
      <c r="A763" s="4"/>
      <c r="B763" s="4"/>
      <c r="C763" s="4"/>
      <c r="D763" s="4"/>
      <c r="E763" s="4"/>
      <c r="F763" s="4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4.25" customHeight="1">
      <c r="A764" s="4"/>
      <c r="B764" s="4"/>
      <c r="C764" s="4"/>
      <c r="D764" s="4"/>
      <c r="E764" s="4"/>
      <c r="F764" s="4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4.25" customHeight="1">
      <c r="A765" s="4"/>
      <c r="B765" s="4"/>
      <c r="C765" s="4"/>
      <c r="D765" s="4"/>
      <c r="E765" s="4"/>
      <c r="F765" s="4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4.25" customHeight="1">
      <c r="A766" s="4"/>
      <c r="B766" s="4"/>
      <c r="C766" s="4"/>
      <c r="D766" s="4"/>
      <c r="E766" s="4"/>
      <c r="F766" s="4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4.25" customHeight="1">
      <c r="A767" s="4"/>
      <c r="B767" s="4"/>
      <c r="C767" s="4"/>
      <c r="D767" s="4"/>
      <c r="E767" s="4"/>
      <c r="F767" s="4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4.25" customHeight="1">
      <c r="A768" s="4"/>
      <c r="B768" s="4"/>
      <c r="C768" s="4"/>
      <c r="D768" s="4"/>
      <c r="E768" s="4"/>
      <c r="F768" s="4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4.25" customHeight="1">
      <c r="A769" s="4"/>
      <c r="B769" s="4"/>
      <c r="C769" s="4"/>
      <c r="D769" s="4"/>
      <c r="E769" s="4"/>
      <c r="F769" s="4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4.25" customHeight="1">
      <c r="A770" s="4"/>
      <c r="B770" s="4"/>
      <c r="C770" s="4"/>
      <c r="D770" s="4"/>
      <c r="E770" s="4"/>
      <c r="F770" s="4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4.25" customHeight="1">
      <c r="A771" s="4"/>
      <c r="B771" s="4"/>
      <c r="C771" s="4"/>
      <c r="D771" s="4"/>
      <c r="E771" s="4"/>
      <c r="F771" s="4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4.25" customHeight="1">
      <c r="A772" s="4"/>
      <c r="B772" s="4"/>
      <c r="C772" s="4"/>
      <c r="D772" s="4"/>
      <c r="E772" s="4"/>
      <c r="F772" s="4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4.25" customHeight="1">
      <c r="A773" s="4"/>
      <c r="B773" s="4"/>
      <c r="C773" s="4"/>
      <c r="D773" s="4"/>
      <c r="E773" s="4"/>
      <c r="F773" s="4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4.25" customHeight="1">
      <c r="A774" s="4"/>
      <c r="B774" s="4"/>
      <c r="C774" s="4"/>
      <c r="D774" s="4"/>
      <c r="E774" s="4"/>
      <c r="F774" s="4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4.25" customHeight="1">
      <c r="A775" s="4"/>
      <c r="B775" s="4"/>
      <c r="C775" s="4"/>
      <c r="D775" s="4"/>
      <c r="E775" s="4"/>
      <c r="F775" s="4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4.25" customHeight="1">
      <c r="A776" s="4"/>
      <c r="B776" s="4"/>
      <c r="C776" s="4"/>
      <c r="D776" s="4"/>
      <c r="E776" s="4"/>
      <c r="F776" s="4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4.25" customHeight="1">
      <c r="A777" s="4"/>
      <c r="B777" s="4"/>
      <c r="C777" s="4"/>
      <c r="D777" s="4"/>
      <c r="E777" s="4"/>
      <c r="F777" s="4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4.25" customHeight="1">
      <c r="A778" s="4"/>
      <c r="B778" s="4"/>
      <c r="C778" s="4"/>
      <c r="D778" s="4"/>
      <c r="E778" s="4"/>
      <c r="F778" s="4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4.25" customHeight="1">
      <c r="A779" s="4"/>
      <c r="B779" s="4"/>
      <c r="C779" s="4"/>
      <c r="D779" s="4"/>
      <c r="E779" s="4"/>
      <c r="F779" s="4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4.25" customHeight="1">
      <c r="A780" s="4"/>
      <c r="B780" s="4"/>
      <c r="C780" s="4"/>
      <c r="D780" s="4"/>
      <c r="E780" s="4"/>
      <c r="F780" s="4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4.25" customHeight="1">
      <c r="A781" s="4"/>
      <c r="B781" s="4"/>
      <c r="C781" s="4"/>
      <c r="D781" s="4"/>
      <c r="E781" s="4"/>
      <c r="F781" s="4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4.25" customHeight="1">
      <c r="A782" s="4"/>
      <c r="B782" s="4"/>
      <c r="C782" s="4"/>
      <c r="D782" s="4"/>
      <c r="E782" s="4"/>
      <c r="F782" s="4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4.25" customHeight="1">
      <c r="A783" s="4"/>
      <c r="B783" s="4"/>
      <c r="C783" s="4"/>
      <c r="D783" s="4"/>
      <c r="E783" s="4"/>
      <c r="F783" s="4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4.25" customHeight="1">
      <c r="A784" s="4"/>
      <c r="B784" s="4"/>
      <c r="C784" s="4"/>
      <c r="D784" s="4"/>
      <c r="E784" s="4"/>
      <c r="F784" s="4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4.25" customHeight="1">
      <c r="A785" s="4"/>
      <c r="B785" s="4"/>
      <c r="C785" s="4"/>
      <c r="D785" s="4"/>
      <c r="E785" s="4"/>
      <c r="F785" s="4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4.25" customHeight="1">
      <c r="A786" s="4"/>
      <c r="B786" s="4"/>
      <c r="C786" s="4"/>
      <c r="D786" s="4"/>
      <c r="E786" s="4"/>
      <c r="F786" s="4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4.25" customHeight="1">
      <c r="A787" s="4"/>
      <c r="B787" s="4"/>
      <c r="C787" s="4"/>
      <c r="D787" s="4"/>
      <c r="E787" s="4"/>
      <c r="F787" s="4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4.25" customHeight="1">
      <c r="A788" s="4"/>
      <c r="B788" s="4"/>
      <c r="C788" s="4"/>
      <c r="D788" s="4"/>
      <c r="E788" s="4"/>
      <c r="F788" s="4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4.25" customHeight="1">
      <c r="A789" s="4"/>
      <c r="B789" s="4"/>
      <c r="C789" s="4"/>
      <c r="D789" s="4"/>
      <c r="E789" s="4"/>
      <c r="F789" s="4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4.25" customHeight="1">
      <c r="A790" s="4"/>
      <c r="B790" s="4"/>
      <c r="C790" s="4"/>
      <c r="D790" s="4"/>
      <c r="E790" s="4"/>
      <c r="F790" s="4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4.25" customHeight="1">
      <c r="A791" s="4"/>
      <c r="B791" s="4"/>
      <c r="C791" s="4"/>
      <c r="D791" s="4"/>
      <c r="E791" s="4"/>
      <c r="F791" s="4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4.25" customHeight="1">
      <c r="A792" s="4"/>
      <c r="B792" s="4"/>
      <c r="C792" s="4"/>
      <c r="D792" s="4"/>
      <c r="E792" s="4"/>
      <c r="F792" s="4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4.25" customHeight="1">
      <c r="A793" s="4"/>
      <c r="B793" s="4"/>
      <c r="C793" s="4"/>
      <c r="D793" s="4"/>
      <c r="E793" s="4"/>
      <c r="F793" s="4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4.25" customHeight="1">
      <c r="A794" s="4"/>
      <c r="B794" s="4"/>
      <c r="C794" s="4"/>
      <c r="D794" s="4"/>
      <c r="E794" s="4"/>
      <c r="F794" s="4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4.25" customHeight="1">
      <c r="A795" s="4"/>
      <c r="B795" s="4"/>
      <c r="C795" s="4"/>
      <c r="D795" s="4"/>
      <c r="E795" s="4"/>
      <c r="F795" s="4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4.25" customHeight="1">
      <c r="A796" s="4"/>
      <c r="B796" s="4"/>
      <c r="C796" s="4"/>
      <c r="D796" s="4"/>
      <c r="E796" s="4"/>
      <c r="F796" s="4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4.25" customHeight="1">
      <c r="A797" s="4"/>
      <c r="B797" s="4"/>
      <c r="C797" s="4"/>
      <c r="D797" s="4"/>
      <c r="E797" s="4"/>
      <c r="F797" s="4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4.25" customHeight="1">
      <c r="A798" s="4"/>
      <c r="B798" s="4"/>
      <c r="C798" s="4"/>
      <c r="D798" s="4"/>
      <c r="E798" s="4"/>
      <c r="F798" s="4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4.25" customHeight="1">
      <c r="A799" s="4"/>
      <c r="B799" s="4"/>
      <c r="C799" s="4"/>
      <c r="D799" s="4"/>
      <c r="E799" s="4"/>
      <c r="F799" s="4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4.25" customHeight="1">
      <c r="A800" s="4"/>
      <c r="B800" s="4"/>
      <c r="C800" s="4"/>
      <c r="D800" s="4"/>
      <c r="E800" s="4"/>
      <c r="F800" s="4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4.25" customHeight="1">
      <c r="A801" s="4"/>
      <c r="B801" s="4"/>
      <c r="C801" s="4"/>
      <c r="D801" s="4"/>
      <c r="E801" s="4"/>
      <c r="F801" s="4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4.25" customHeight="1">
      <c r="A802" s="4"/>
      <c r="B802" s="4"/>
      <c r="C802" s="4"/>
      <c r="D802" s="4"/>
      <c r="E802" s="4"/>
      <c r="F802" s="4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4.25" customHeight="1">
      <c r="A803" s="4"/>
      <c r="B803" s="4"/>
      <c r="C803" s="4"/>
      <c r="D803" s="4"/>
      <c r="E803" s="4"/>
      <c r="F803" s="4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4.25" customHeight="1">
      <c r="A804" s="4"/>
      <c r="B804" s="4"/>
      <c r="C804" s="4"/>
      <c r="D804" s="4"/>
      <c r="E804" s="4"/>
      <c r="F804" s="4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4.25" customHeight="1">
      <c r="A805" s="4"/>
      <c r="B805" s="4"/>
      <c r="C805" s="4"/>
      <c r="D805" s="4"/>
      <c r="E805" s="4"/>
      <c r="F805" s="4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4.25" customHeight="1">
      <c r="A806" s="4"/>
      <c r="B806" s="4"/>
      <c r="C806" s="4"/>
      <c r="D806" s="4"/>
      <c r="E806" s="4"/>
      <c r="F806" s="4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4.25" customHeight="1">
      <c r="A807" s="4"/>
      <c r="B807" s="4"/>
      <c r="C807" s="4"/>
      <c r="D807" s="4"/>
      <c r="E807" s="4"/>
      <c r="F807" s="4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4.25" customHeight="1">
      <c r="A808" s="4"/>
      <c r="B808" s="4"/>
      <c r="C808" s="4"/>
      <c r="D808" s="4"/>
      <c r="E808" s="4"/>
      <c r="F808" s="4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4.25" customHeight="1">
      <c r="A809" s="4"/>
      <c r="B809" s="4"/>
      <c r="C809" s="4"/>
      <c r="D809" s="4"/>
      <c r="E809" s="4"/>
      <c r="F809" s="4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4.25" customHeight="1">
      <c r="A810" s="4"/>
      <c r="B810" s="4"/>
      <c r="C810" s="4"/>
      <c r="D810" s="4"/>
      <c r="E810" s="4"/>
      <c r="F810" s="4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4.25" customHeight="1">
      <c r="A811" s="4"/>
      <c r="B811" s="4"/>
      <c r="C811" s="4"/>
      <c r="D811" s="4"/>
      <c r="E811" s="4"/>
      <c r="F811" s="4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4.25" customHeight="1">
      <c r="A812" s="4"/>
      <c r="B812" s="4"/>
      <c r="C812" s="4"/>
      <c r="D812" s="4"/>
      <c r="E812" s="4"/>
      <c r="F812" s="4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4.25" customHeight="1">
      <c r="A813" s="4"/>
      <c r="B813" s="4"/>
      <c r="C813" s="4"/>
      <c r="D813" s="4"/>
      <c r="E813" s="4"/>
      <c r="F813" s="4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4.25" customHeight="1">
      <c r="A814" s="4"/>
      <c r="B814" s="4"/>
      <c r="C814" s="4"/>
      <c r="D814" s="4"/>
      <c r="E814" s="4"/>
      <c r="F814" s="4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4.25" customHeight="1">
      <c r="A815" s="4"/>
      <c r="B815" s="4"/>
      <c r="C815" s="4"/>
      <c r="D815" s="4"/>
      <c r="E815" s="4"/>
      <c r="F815" s="4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4.25" customHeight="1">
      <c r="A816" s="4"/>
      <c r="B816" s="4"/>
      <c r="C816" s="4"/>
      <c r="D816" s="4"/>
      <c r="E816" s="4"/>
      <c r="F816" s="4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4.25" customHeight="1">
      <c r="A817" s="4"/>
      <c r="B817" s="4"/>
      <c r="C817" s="4"/>
      <c r="D817" s="4"/>
      <c r="E817" s="4"/>
      <c r="F817" s="4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4.25" customHeight="1">
      <c r="A818" s="4"/>
      <c r="B818" s="4"/>
      <c r="C818" s="4"/>
      <c r="D818" s="4"/>
      <c r="E818" s="4"/>
      <c r="F818" s="4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4.25" customHeight="1">
      <c r="A819" s="4"/>
      <c r="B819" s="4"/>
      <c r="C819" s="4"/>
      <c r="D819" s="4"/>
      <c r="E819" s="4"/>
      <c r="F819" s="4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4.25" customHeight="1">
      <c r="A820" s="4"/>
      <c r="B820" s="4"/>
      <c r="C820" s="4"/>
      <c r="D820" s="4"/>
      <c r="E820" s="4"/>
      <c r="F820" s="4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4.25" customHeight="1">
      <c r="A821" s="4"/>
      <c r="B821" s="4"/>
      <c r="C821" s="4"/>
      <c r="D821" s="4"/>
      <c r="E821" s="4"/>
      <c r="F821" s="4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4.25" customHeight="1">
      <c r="A822" s="4"/>
      <c r="B822" s="4"/>
      <c r="C822" s="4"/>
      <c r="D822" s="4"/>
      <c r="E822" s="4"/>
      <c r="F822" s="4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4.25" customHeight="1">
      <c r="A823" s="4"/>
      <c r="B823" s="4"/>
      <c r="C823" s="4"/>
      <c r="D823" s="4"/>
      <c r="E823" s="4"/>
      <c r="F823" s="4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4.25" customHeight="1">
      <c r="A824" s="4"/>
      <c r="B824" s="4"/>
      <c r="C824" s="4"/>
      <c r="D824" s="4"/>
      <c r="E824" s="4"/>
      <c r="F824" s="4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4.25" customHeight="1">
      <c r="A825" s="4"/>
      <c r="B825" s="4"/>
      <c r="C825" s="4"/>
      <c r="D825" s="4"/>
      <c r="E825" s="4"/>
      <c r="F825" s="4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4.25" customHeight="1">
      <c r="A826" s="4"/>
      <c r="B826" s="4"/>
      <c r="C826" s="4"/>
      <c r="D826" s="4"/>
      <c r="E826" s="4"/>
      <c r="F826" s="4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4.25" customHeight="1">
      <c r="A827" s="4"/>
      <c r="B827" s="4"/>
      <c r="C827" s="4"/>
      <c r="D827" s="4"/>
      <c r="E827" s="4"/>
      <c r="F827" s="4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4.25" customHeight="1">
      <c r="A828" s="4"/>
      <c r="B828" s="4"/>
      <c r="C828" s="4"/>
      <c r="D828" s="4"/>
      <c r="E828" s="4"/>
      <c r="F828" s="4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4.25" customHeight="1">
      <c r="A829" s="4"/>
      <c r="B829" s="4"/>
      <c r="C829" s="4"/>
      <c r="D829" s="4"/>
      <c r="E829" s="4"/>
      <c r="F829" s="4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4.25" customHeight="1">
      <c r="A830" s="4"/>
      <c r="B830" s="4"/>
      <c r="C830" s="4"/>
      <c r="D830" s="4"/>
      <c r="E830" s="4"/>
      <c r="F830" s="4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4.25" customHeight="1">
      <c r="A831" s="4"/>
      <c r="B831" s="4"/>
      <c r="C831" s="4"/>
      <c r="D831" s="4"/>
      <c r="E831" s="4"/>
      <c r="F831" s="4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4.25" customHeight="1">
      <c r="A832" s="4"/>
      <c r="B832" s="4"/>
      <c r="C832" s="4"/>
      <c r="D832" s="4"/>
      <c r="E832" s="4"/>
      <c r="F832" s="4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4.25" customHeight="1">
      <c r="A833" s="4"/>
      <c r="B833" s="4"/>
      <c r="C833" s="4"/>
      <c r="D833" s="4"/>
      <c r="E833" s="4"/>
      <c r="F833" s="4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4.25" customHeight="1">
      <c r="A834" s="4"/>
      <c r="B834" s="4"/>
      <c r="C834" s="4"/>
      <c r="D834" s="4"/>
      <c r="E834" s="4"/>
      <c r="F834" s="4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4.25" customHeight="1">
      <c r="A835" s="4"/>
      <c r="B835" s="4"/>
      <c r="C835" s="4"/>
      <c r="D835" s="4"/>
      <c r="E835" s="4"/>
      <c r="F835" s="4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4.25" customHeight="1">
      <c r="A836" s="4"/>
      <c r="B836" s="4"/>
      <c r="C836" s="4"/>
      <c r="D836" s="4"/>
      <c r="E836" s="4"/>
      <c r="F836" s="4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4.25" customHeight="1">
      <c r="A837" s="4"/>
      <c r="B837" s="4"/>
      <c r="C837" s="4"/>
      <c r="D837" s="4"/>
      <c r="E837" s="4"/>
      <c r="F837" s="4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4.25" customHeight="1">
      <c r="A838" s="4"/>
      <c r="B838" s="4"/>
      <c r="C838" s="4"/>
      <c r="D838" s="4"/>
      <c r="E838" s="4"/>
      <c r="F838" s="4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4.25" customHeight="1">
      <c r="A839" s="4"/>
      <c r="B839" s="4"/>
      <c r="C839" s="4"/>
      <c r="D839" s="4"/>
      <c r="E839" s="4"/>
      <c r="F839" s="4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4.25" customHeight="1">
      <c r="A840" s="4"/>
      <c r="B840" s="4"/>
      <c r="C840" s="4"/>
      <c r="D840" s="4"/>
      <c r="E840" s="4"/>
      <c r="F840" s="4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4.25" customHeight="1">
      <c r="A841" s="4"/>
      <c r="B841" s="4"/>
      <c r="C841" s="4"/>
      <c r="D841" s="4"/>
      <c r="E841" s="4"/>
      <c r="F841" s="4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4.25" customHeight="1">
      <c r="A842" s="4"/>
      <c r="B842" s="4"/>
      <c r="C842" s="4"/>
      <c r="D842" s="4"/>
      <c r="E842" s="4"/>
      <c r="F842" s="4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4.25" customHeight="1">
      <c r="A843" s="4"/>
      <c r="B843" s="4"/>
      <c r="C843" s="4"/>
      <c r="D843" s="4"/>
      <c r="E843" s="4"/>
      <c r="F843" s="4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4.25" customHeight="1">
      <c r="A844" s="4"/>
      <c r="B844" s="4"/>
      <c r="C844" s="4"/>
      <c r="D844" s="4"/>
      <c r="E844" s="4"/>
      <c r="F844" s="4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4.25" customHeight="1">
      <c r="A845" s="4"/>
      <c r="B845" s="4"/>
      <c r="C845" s="4"/>
      <c r="D845" s="4"/>
      <c r="E845" s="4"/>
      <c r="F845" s="4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4.25" customHeight="1">
      <c r="A846" s="4"/>
      <c r="B846" s="4"/>
      <c r="C846" s="4"/>
      <c r="D846" s="4"/>
      <c r="E846" s="4"/>
      <c r="F846" s="4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4.25" customHeight="1">
      <c r="A847" s="4"/>
      <c r="B847" s="4"/>
      <c r="C847" s="4"/>
      <c r="D847" s="4"/>
      <c r="E847" s="4"/>
      <c r="F847" s="4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4.25" customHeight="1">
      <c r="A848" s="4"/>
      <c r="B848" s="4"/>
      <c r="C848" s="4"/>
      <c r="D848" s="4"/>
      <c r="E848" s="4"/>
      <c r="F848" s="4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4.25" customHeight="1">
      <c r="A849" s="4"/>
      <c r="B849" s="4"/>
      <c r="C849" s="4"/>
      <c r="D849" s="4"/>
      <c r="E849" s="4"/>
      <c r="F849" s="4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4.25" customHeight="1">
      <c r="A850" s="4"/>
      <c r="B850" s="4"/>
      <c r="C850" s="4"/>
      <c r="D850" s="4"/>
      <c r="E850" s="4"/>
      <c r="F850" s="4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4.25" customHeight="1">
      <c r="A851" s="4"/>
      <c r="B851" s="4"/>
      <c r="C851" s="4"/>
      <c r="D851" s="4"/>
      <c r="E851" s="4"/>
      <c r="F851" s="4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4.25" customHeight="1">
      <c r="A852" s="4"/>
      <c r="B852" s="4"/>
      <c r="C852" s="4"/>
      <c r="D852" s="4"/>
      <c r="E852" s="4"/>
      <c r="F852" s="4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4.25" customHeight="1">
      <c r="A853" s="4"/>
      <c r="B853" s="4"/>
      <c r="C853" s="4"/>
      <c r="D853" s="4"/>
      <c r="E853" s="4"/>
      <c r="F853" s="4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4.25" customHeight="1">
      <c r="A854" s="4"/>
      <c r="B854" s="4"/>
      <c r="C854" s="4"/>
      <c r="D854" s="4"/>
      <c r="E854" s="4"/>
      <c r="F854" s="4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4.25" customHeight="1">
      <c r="A855" s="4"/>
      <c r="B855" s="4"/>
      <c r="C855" s="4"/>
      <c r="D855" s="4"/>
      <c r="E855" s="4"/>
      <c r="F855" s="4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4.25" customHeight="1">
      <c r="A856" s="4"/>
      <c r="B856" s="4"/>
      <c r="C856" s="4"/>
      <c r="D856" s="4"/>
      <c r="E856" s="4"/>
      <c r="F856" s="4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4.25" customHeight="1">
      <c r="A857" s="4"/>
      <c r="B857" s="4"/>
      <c r="C857" s="4"/>
      <c r="D857" s="4"/>
      <c r="E857" s="4"/>
      <c r="F857" s="4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4.25" customHeight="1">
      <c r="A858" s="4"/>
      <c r="B858" s="4"/>
      <c r="C858" s="4"/>
      <c r="D858" s="4"/>
      <c r="E858" s="4"/>
      <c r="F858" s="4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4.25" customHeight="1">
      <c r="A859" s="4"/>
      <c r="B859" s="4"/>
      <c r="C859" s="4"/>
      <c r="D859" s="4"/>
      <c r="E859" s="4"/>
      <c r="F859" s="4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4.25" customHeight="1">
      <c r="A860" s="4"/>
      <c r="B860" s="4"/>
      <c r="C860" s="4"/>
      <c r="D860" s="4"/>
      <c r="E860" s="4"/>
      <c r="F860" s="4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4.25" customHeight="1">
      <c r="A861" s="4"/>
      <c r="B861" s="4"/>
      <c r="C861" s="4"/>
      <c r="D861" s="4"/>
      <c r="E861" s="4"/>
      <c r="F861" s="4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4.25" customHeight="1">
      <c r="A862" s="4"/>
      <c r="B862" s="4"/>
      <c r="C862" s="4"/>
      <c r="D862" s="4"/>
      <c r="E862" s="4"/>
      <c r="F862" s="4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4.25" customHeight="1">
      <c r="A863" s="4"/>
      <c r="B863" s="4"/>
      <c r="C863" s="4"/>
      <c r="D863" s="4"/>
      <c r="E863" s="4"/>
      <c r="F863" s="4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4.25" customHeight="1">
      <c r="A864" s="4"/>
      <c r="B864" s="4"/>
      <c r="C864" s="4"/>
      <c r="D864" s="4"/>
      <c r="E864" s="4"/>
      <c r="F864" s="4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4.25" customHeight="1">
      <c r="A865" s="4"/>
      <c r="B865" s="4"/>
      <c r="C865" s="4"/>
      <c r="D865" s="4"/>
      <c r="E865" s="4"/>
      <c r="F865" s="4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4.25" customHeight="1">
      <c r="A866" s="4"/>
      <c r="B866" s="4"/>
      <c r="C866" s="4"/>
      <c r="D866" s="4"/>
      <c r="E866" s="4"/>
      <c r="F866" s="4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4.25" customHeight="1">
      <c r="A867" s="4"/>
      <c r="B867" s="4"/>
      <c r="C867" s="4"/>
      <c r="D867" s="4"/>
      <c r="E867" s="4"/>
      <c r="F867" s="4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4.25" customHeight="1">
      <c r="A868" s="4"/>
      <c r="B868" s="4"/>
      <c r="C868" s="4"/>
      <c r="D868" s="4"/>
      <c r="E868" s="4"/>
      <c r="F868" s="4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4.25" customHeight="1">
      <c r="A869" s="4"/>
      <c r="B869" s="4"/>
      <c r="C869" s="4"/>
      <c r="D869" s="4"/>
      <c r="E869" s="4"/>
      <c r="F869" s="4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4.25" customHeight="1">
      <c r="A870" s="4"/>
      <c r="B870" s="4"/>
      <c r="C870" s="4"/>
      <c r="D870" s="4"/>
      <c r="E870" s="4"/>
      <c r="F870" s="4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4.25" customHeight="1">
      <c r="A871" s="4"/>
      <c r="B871" s="4"/>
      <c r="C871" s="4"/>
      <c r="D871" s="4"/>
      <c r="E871" s="4"/>
      <c r="F871" s="4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4.25" customHeight="1">
      <c r="A872" s="4"/>
      <c r="B872" s="4"/>
      <c r="C872" s="4"/>
      <c r="D872" s="4"/>
      <c r="E872" s="4"/>
      <c r="F872" s="4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4.25" customHeight="1">
      <c r="A873" s="4"/>
      <c r="B873" s="4"/>
      <c r="C873" s="4"/>
      <c r="D873" s="4"/>
      <c r="E873" s="4"/>
      <c r="F873" s="4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4.25" customHeight="1">
      <c r="A874" s="4"/>
      <c r="B874" s="4"/>
      <c r="C874" s="4"/>
      <c r="D874" s="4"/>
      <c r="E874" s="4"/>
      <c r="F874" s="4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4.25" customHeight="1">
      <c r="A875" s="4"/>
      <c r="B875" s="4"/>
      <c r="C875" s="4"/>
      <c r="D875" s="4"/>
      <c r="E875" s="4"/>
      <c r="F875" s="4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4.25" customHeight="1">
      <c r="A876" s="4"/>
      <c r="B876" s="4"/>
      <c r="C876" s="4"/>
      <c r="D876" s="4"/>
      <c r="E876" s="4"/>
      <c r="F876" s="4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4.25" customHeight="1">
      <c r="A877" s="4"/>
      <c r="B877" s="4"/>
      <c r="C877" s="4"/>
      <c r="D877" s="4"/>
      <c r="E877" s="4"/>
      <c r="F877" s="4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4.25" customHeight="1">
      <c r="A878" s="4"/>
      <c r="B878" s="4"/>
      <c r="C878" s="4"/>
      <c r="D878" s="4"/>
      <c r="E878" s="4"/>
      <c r="F878" s="4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4.25" customHeight="1">
      <c r="A879" s="4"/>
      <c r="B879" s="4"/>
      <c r="C879" s="4"/>
      <c r="D879" s="4"/>
      <c r="E879" s="4"/>
      <c r="F879" s="4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4.25" customHeight="1">
      <c r="A880" s="4"/>
      <c r="B880" s="4"/>
      <c r="C880" s="4"/>
      <c r="D880" s="4"/>
      <c r="E880" s="4"/>
      <c r="F880" s="4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4.25" customHeight="1">
      <c r="A881" s="4"/>
      <c r="B881" s="4"/>
      <c r="C881" s="4"/>
      <c r="D881" s="4"/>
      <c r="E881" s="4"/>
      <c r="F881" s="4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4.25" customHeight="1">
      <c r="A882" s="4"/>
      <c r="B882" s="4"/>
      <c r="C882" s="4"/>
      <c r="D882" s="4"/>
      <c r="E882" s="4"/>
      <c r="F882" s="4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4.25" customHeight="1">
      <c r="A883" s="4"/>
      <c r="B883" s="4"/>
      <c r="C883" s="4"/>
      <c r="D883" s="4"/>
      <c r="E883" s="4"/>
      <c r="F883" s="4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4.25" customHeight="1">
      <c r="A884" s="4"/>
      <c r="B884" s="4"/>
      <c r="C884" s="4"/>
      <c r="D884" s="4"/>
      <c r="E884" s="4"/>
      <c r="F884" s="4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4.25" customHeight="1">
      <c r="A885" s="4"/>
      <c r="B885" s="4"/>
      <c r="C885" s="4"/>
      <c r="D885" s="4"/>
      <c r="E885" s="4"/>
      <c r="F885" s="4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4.25" customHeight="1">
      <c r="A886" s="4"/>
      <c r="B886" s="4"/>
      <c r="C886" s="4"/>
      <c r="D886" s="4"/>
      <c r="E886" s="4"/>
      <c r="F886" s="4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4.25" customHeight="1">
      <c r="A887" s="4"/>
      <c r="B887" s="4"/>
      <c r="C887" s="4"/>
      <c r="D887" s="4"/>
      <c r="E887" s="4"/>
      <c r="F887" s="4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4.25" customHeight="1">
      <c r="A888" s="4"/>
      <c r="B888" s="4"/>
      <c r="C888" s="4"/>
      <c r="D888" s="4"/>
      <c r="E888" s="4"/>
      <c r="F888" s="4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4.25" customHeight="1">
      <c r="A889" s="4"/>
      <c r="B889" s="4"/>
      <c r="C889" s="4"/>
      <c r="D889" s="4"/>
      <c r="E889" s="4"/>
      <c r="F889" s="4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4.25" customHeight="1">
      <c r="A890" s="4"/>
      <c r="B890" s="4"/>
      <c r="C890" s="4"/>
      <c r="D890" s="4"/>
      <c r="E890" s="4"/>
      <c r="F890" s="4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4.25" customHeight="1">
      <c r="A891" s="4"/>
      <c r="B891" s="4"/>
      <c r="C891" s="4"/>
      <c r="D891" s="4"/>
      <c r="E891" s="4"/>
      <c r="F891" s="4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4.25" customHeight="1">
      <c r="A892" s="4"/>
      <c r="B892" s="4"/>
      <c r="C892" s="4"/>
      <c r="D892" s="4"/>
      <c r="E892" s="4"/>
      <c r="F892" s="4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4.25" customHeight="1">
      <c r="A893" s="4"/>
      <c r="B893" s="4"/>
      <c r="C893" s="4"/>
      <c r="D893" s="4"/>
      <c r="E893" s="4"/>
      <c r="F893" s="4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4.25" customHeight="1">
      <c r="A894" s="4"/>
      <c r="B894" s="4"/>
      <c r="C894" s="4"/>
      <c r="D894" s="4"/>
      <c r="E894" s="4"/>
      <c r="F894" s="4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4.25" customHeight="1">
      <c r="A895" s="4"/>
      <c r="B895" s="4"/>
      <c r="C895" s="4"/>
      <c r="D895" s="4"/>
      <c r="E895" s="4"/>
      <c r="F895" s="4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4.25" customHeight="1">
      <c r="A896" s="4"/>
      <c r="B896" s="4"/>
      <c r="C896" s="4"/>
      <c r="D896" s="4"/>
      <c r="E896" s="4"/>
      <c r="F896" s="4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4.25" customHeight="1">
      <c r="A897" s="4"/>
      <c r="B897" s="4"/>
      <c r="C897" s="4"/>
      <c r="D897" s="4"/>
      <c r="E897" s="4"/>
      <c r="F897" s="4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4.25" customHeight="1">
      <c r="A898" s="4"/>
      <c r="B898" s="4"/>
      <c r="C898" s="4"/>
      <c r="D898" s="4"/>
      <c r="E898" s="4"/>
      <c r="F898" s="4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4.25" customHeight="1">
      <c r="A899" s="4"/>
      <c r="B899" s="4"/>
      <c r="C899" s="4"/>
      <c r="D899" s="4"/>
      <c r="E899" s="4"/>
      <c r="F899" s="4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4.25" customHeight="1">
      <c r="A900" s="4"/>
      <c r="B900" s="4"/>
      <c r="C900" s="4"/>
      <c r="D900" s="4"/>
      <c r="E900" s="4"/>
      <c r="F900" s="4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4.25" customHeight="1">
      <c r="A901" s="4"/>
      <c r="B901" s="4"/>
      <c r="C901" s="4"/>
      <c r="D901" s="4"/>
      <c r="E901" s="4"/>
      <c r="F901" s="4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4.25" customHeight="1">
      <c r="A902" s="4"/>
      <c r="B902" s="4"/>
      <c r="C902" s="4"/>
      <c r="D902" s="4"/>
      <c r="E902" s="4"/>
      <c r="F902" s="4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4.25" customHeight="1">
      <c r="A903" s="4"/>
      <c r="B903" s="4"/>
      <c r="C903" s="4"/>
      <c r="D903" s="4"/>
      <c r="E903" s="4"/>
      <c r="F903" s="4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4.25" customHeight="1">
      <c r="A904" s="4"/>
      <c r="B904" s="4"/>
      <c r="C904" s="4"/>
      <c r="D904" s="4"/>
      <c r="E904" s="4"/>
      <c r="F904" s="4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4.25" customHeight="1">
      <c r="A905" s="4"/>
      <c r="B905" s="4"/>
      <c r="C905" s="4"/>
      <c r="D905" s="4"/>
      <c r="E905" s="4"/>
      <c r="F905" s="4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4.25" customHeight="1">
      <c r="A906" s="4"/>
      <c r="B906" s="4"/>
      <c r="C906" s="4"/>
      <c r="D906" s="4"/>
      <c r="E906" s="4"/>
      <c r="F906" s="4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4.25" customHeight="1">
      <c r="A907" s="4"/>
      <c r="B907" s="4"/>
      <c r="C907" s="4"/>
      <c r="D907" s="4"/>
      <c r="E907" s="4"/>
      <c r="F907" s="4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4.25" customHeight="1">
      <c r="A908" s="4"/>
      <c r="B908" s="4"/>
      <c r="C908" s="4"/>
      <c r="D908" s="4"/>
      <c r="E908" s="4"/>
      <c r="F908" s="4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4.25" customHeight="1">
      <c r="A909" s="4"/>
      <c r="B909" s="4"/>
      <c r="C909" s="4"/>
      <c r="D909" s="4"/>
      <c r="E909" s="4"/>
      <c r="F909" s="4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4.25" customHeight="1">
      <c r="A910" s="4"/>
      <c r="B910" s="4"/>
      <c r="C910" s="4"/>
      <c r="D910" s="4"/>
      <c r="E910" s="4"/>
      <c r="F910" s="4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4.25" customHeight="1">
      <c r="A911" s="4"/>
      <c r="B911" s="4"/>
      <c r="C911" s="4"/>
      <c r="D911" s="4"/>
      <c r="E911" s="4"/>
      <c r="F911" s="4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4.25" customHeight="1">
      <c r="A912" s="4"/>
      <c r="B912" s="4"/>
      <c r="C912" s="4"/>
      <c r="D912" s="4"/>
      <c r="E912" s="4"/>
      <c r="F912" s="4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4.25" customHeight="1">
      <c r="A913" s="4"/>
      <c r="B913" s="4"/>
      <c r="C913" s="4"/>
      <c r="D913" s="4"/>
      <c r="E913" s="4"/>
      <c r="F913" s="4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4.25" customHeight="1">
      <c r="A914" s="4"/>
      <c r="B914" s="4"/>
      <c r="C914" s="4"/>
      <c r="D914" s="4"/>
      <c r="E914" s="4"/>
      <c r="F914" s="4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4.25" customHeight="1">
      <c r="A915" s="4"/>
      <c r="B915" s="4"/>
      <c r="C915" s="4"/>
      <c r="D915" s="4"/>
      <c r="E915" s="4"/>
      <c r="F915" s="4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4.25" customHeight="1">
      <c r="A916" s="4"/>
      <c r="B916" s="4"/>
      <c r="C916" s="4"/>
      <c r="D916" s="4"/>
      <c r="E916" s="4"/>
      <c r="F916" s="4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4.25" customHeight="1">
      <c r="A917" s="4"/>
      <c r="B917" s="4"/>
      <c r="C917" s="4"/>
      <c r="D917" s="4"/>
      <c r="E917" s="4"/>
      <c r="F917" s="4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4.25" customHeight="1">
      <c r="A918" s="4"/>
      <c r="B918" s="4"/>
      <c r="C918" s="4"/>
      <c r="D918" s="4"/>
      <c r="E918" s="4"/>
      <c r="F918" s="4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4.25" customHeight="1">
      <c r="A919" s="4"/>
      <c r="B919" s="4"/>
      <c r="C919" s="4"/>
      <c r="D919" s="4"/>
      <c r="E919" s="4"/>
      <c r="F919" s="4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4.25" customHeight="1">
      <c r="A920" s="4"/>
      <c r="B920" s="4"/>
      <c r="C920" s="4"/>
      <c r="D920" s="4"/>
      <c r="E920" s="4"/>
      <c r="F920" s="4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4.25" customHeight="1">
      <c r="A921" s="4"/>
      <c r="B921" s="4"/>
      <c r="C921" s="4"/>
      <c r="D921" s="4"/>
      <c r="E921" s="4"/>
      <c r="F921" s="4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4.25" customHeight="1">
      <c r="A922" s="4"/>
      <c r="B922" s="4"/>
      <c r="C922" s="4"/>
      <c r="D922" s="4"/>
      <c r="E922" s="4"/>
      <c r="F922" s="4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4.25" customHeight="1">
      <c r="A923" s="4"/>
      <c r="B923" s="4"/>
      <c r="C923" s="4"/>
      <c r="D923" s="4"/>
      <c r="E923" s="4"/>
      <c r="F923" s="4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4.25" customHeight="1">
      <c r="A924" s="4"/>
      <c r="B924" s="4"/>
      <c r="C924" s="4"/>
      <c r="D924" s="4"/>
      <c r="E924" s="4"/>
      <c r="F924" s="4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4.25" customHeight="1">
      <c r="A925" s="4"/>
      <c r="B925" s="4"/>
      <c r="C925" s="4"/>
      <c r="D925" s="4"/>
      <c r="E925" s="4"/>
      <c r="F925" s="4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4.25" customHeight="1">
      <c r="A926" s="4"/>
      <c r="B926" s="4"/>
      <c r="C926" s="4"/>
      <c r="D926" s="4"/>
      <c r="E926" s="4"/>
      <c r="F926" s="4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4.25" customHeight="1">
      <c r="A927" s="4"/>
      <c r="B927" s="4"/>
      <c r="C927" s="4"/>
      <c r="D927" s="4"/>
      <c r="E927" s="4"/>
      <c r="F927" s="4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4.25" customHeight="1">
      <c r="A928" s="4"/>
      <c r="B928" s="4"/>
      <c r="C928" s="4"/>
      <c r="D928" s="4"/>
      <c r="E928" s="4"/>
      <c r="F928" s="4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4.25" customHeight="1">
      <c r="A929" s="4"/>
      <c r="B929" s="4"/>
      <c r="C929" s="4"/>
      <c r="D929" s="4"/>
      <c r="E929" s="4"/>
      <c r="F929" s="4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4.25" customHeight="1">
      <c r="A930" s="4"/>
      <c r="B930" s="4"/>
      <c r="C930" s="4"/>
      <c r="D930" s="4"/>
      <c r="E930" s="4"/>
      <c r="F930" s="4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4.25" customHeight="1">
      <c r="A931" s="4"/>
      <c r="B931" s="4"/>
      <c r="C931" s="4"/>
      <c r="D931" s="4"/>
      <c r="E931" s="4"/>
      <c r="F931" s="4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4.25" customHeight="1">
      <c r="A932" s="4"/>
      <c r="B932" s="4"/>
      <c r="C932" s="4"/>
      <c r="D932" s="4"/>
      <c r="E932" s="4"/>
      <c r="F932" s="4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4.25" customHeight="1">
      <c r="A933" s="4"/>
      <c r="B933" s="4"/>
      <c r="C933" s="4"/>
      <c r="D933" s="4"/>
      <c r="E933" s="4"/>
      <c r="F933" s="4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4.25" customHeight="1">
      <c r="A934" s="4"/>
      <c r="B934" s="4"/>
      <c r="C934" s="4"/>
      <c r="D934" s="4"/>
      <c r="E934" s="4"/>
      <c r="F934" s="4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4.25" customHeight="1">
      <c r="A935" s="4"/>
      <c r="B935" s="4"/>
      <c r="C935" s="4"/>
      <c r="D935" s="4"/>
      <c r="E935" s="4"/>
      <c r="F935" s="4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4.25" customHeight="1">
      <c r="A936" s="4"/>
      <c r="B936" s="4"/>
      <c r="C936" s="4"/>
      <c r="D936" s="4"/>
      <c r="E936" s="4"/>
      <c r="F936" s="4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4.25" customHeight="1">
      <c r="A937" s="4"/>
      <c r="B937" s="4"/>
      <c r="C937" s="4"/>
      <c r="D937" s="4"/>
      <c r="E937" s="4"/>
      <c r="F937" s="4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4.25" customHeight="1">
      <c r="A938" s="4"/>
      <c r="B938" s="4"/>
      <c r="C938" s="4"/>
      <c r="D938" s="4"/>
      <c r="E938" s="4"/>
      <c r="F938" s="4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4.25" customHeight="1">
      <c r="A939" s="4"/>
      <c r="B939" s="4"/>
      <c r="C939" s="4"/>
      <c r="D939" s="4"/>
      <c r="E939" s="4"/>
      <c r="F939" s="4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4.25" customHeight="1">
      <c r="A940" s="4"/>
      <c r="B940" s="4"/>
      <c r="C940" s="4"/>
      <c r="D940" s="4"/>
      <c r="E940" s="4"/>
      <c r="F940" s="4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4.25" customHeight="1">
      <c r="A941" s="4"/>
      <c r="B941" s="4"/>
      <c r="C941" s="4"/>
      <c r="D941" s="4"/>
      <c r="E941" s="4"/>
      <c r="F941" s="4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4.25" customHeight="1">
      <c r="A942" s="4"/>
      <c r="B942" s="4"/>
      <c r="C942" s="4"/>
      <c r="D942" s="4"/>
      <c r="E942" s="4"/>
      <c r="F942" s="4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4.25" customHeight="1">
      <c r="A943" s="4"/>
      <c r="B943" s="4"/>
      <c r="C943" s="4"/>
      <c r="D943" s="4"/>
      <c r="E943" s="4"/>
      <c r="F943" s="4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4.25" customHeight="1">
      <c r="A944" s="4"/>
      <c r="B944" s="4"/>
      <c r="C944" s="4"/>
      <c r="D944" s="4"/>
      <c r="E944" s="4"/>
      <c r="F944" s="4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4.25" customHeight="1">
      <c r="A945" s="4"/>
      <c r="B945" s="4"/>
      <c r="C945" s="4"/>
      <c r="D945" s="4"/>
      <c r="E945" s="4"/>
      <c r="F945" s="4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4.25" customHeight="1">
      <c r="A946" s="4"/>
      <c r="B946" s="4"/>
      <c r="C946" s="4"/>
      <c r="D946" s="4"/>
      <c r="E946" s="4"/>
      <c r="F946" s="4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4.25" customHeight="1">
      <c r="A947" s="4"/>
      <c r="B947" s="4"/>
      <c r="C947" s="4"/>
      <c r="D947" s="4"/>
      <c r="E947" s="4"/>
      <c r="F947" s="4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4.25" customHeight="1">
      <c r="A948" s="4"/>
      <c r="B948" s="4"/>
      <c r="C948" s="4"/>
      <c r="D948" s="4"/>
      <c r="E948" s="4"/>
      <c r="F948" s="4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4.25" customHeight="1">
      <c r="A949" s="4"/>
      <c r="B949" s="4"/>
      <c r="C949" s="4"/>
      <c r="D949" s="4"/>
      <c r="E949" s="4"/>
      <c r="F949" s="4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4.25" customHeight="1">
      <c r="A950" s="4"/>
      <c r="B950" s="4"/>
      <c r="C950" s="4"/>
      <c r="D950" s="4"/>
      <c r="E950" s="4"/>
      <c r="F950" s="4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4.25" customHeight="1">
      <c r="A951" s="4"/>
      <c r="B951" s="4"/>
      <c r="C951" s="4"/>
      <c r="D951" s="4"/>
      <c r="E951" s="4"/>
      <c r="F951" s="4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4.25" customHeight="1">
      <c r="A952" s="4"/>
      <c r="B952" s="4"/>
      <c r="C952" s="4"/>
      <c r="D952" s="4"/>
      <c r="E952" s="4"/>
      <c r="F952" s="4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4.25" customHeight="1">
      <c r="A953" s="4"/>
      <c r="B953" s="4"/>
      <c r="C953" s="4"/>
      <c r="D953" s="4"/>
      <c r="E953" s="4"/>
      <c r="F953" s="4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4.25" customHeight="1">
      <c r="A954" s="4"/>
      <c r="B954" s="4"/>
      <c r="C954" s="4"/>
      <c r="D954" s="4"/>
      <c r="E954" s="4"/>
      <c r="F954" s="4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4.25" customHeight="1">
      <c r="A955" s="4"/>
      <c r="B955" s="4"/>
      <c r="C955" s="4"/>
      <c r="D955" s="4"/>
      <c r="E955" s="4"/>
      <c r="F955" s="4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4.25" customHeight="1">
      <c r="A956" s="4"/>
      <c r="B956" s="4"/>
      <c r="C956" s="4"/>
      <c r="D956" s="4"/>
      <c r="E956" s="4"/>
      <c r="F956" s="4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4.25" customHeight="1">
      <c r="A957" s="4"/>
      <c r="B957" s="4"/>
      <c r="C957" s="4"/>
      <c r="D957" s="4"/>
      <c r="E957" s="4"/>
      <c r="F957" s="4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4.25" customHeight="1">
      <c r="A958" s="4"/>
      <c r="B958" s="4"/>
      <c r="C958" s="4"/>
      <c r="D958" s="4"/>
      <c r="E958" s="4"/>
      <c r="F958" s="4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4.25" customHeight="1">
      <c r="A959" s="4"/>
      <c r="B959" s="4"/>
      <c r="C959" s="4"/>
      <c r="D959" s="4"/>
      <c r="E959" s="4"/>
      <c r="F959" s="4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4.25" customHeight="1">
      <c r="A960" s="4"/>
      <c r="B960" s="4"/>
      <c r="C960" s="4"/>
      <c r="D960" s="4"/>
      <c r="E960" s="4"/>
      <c r="F960" s="4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4.25" customHeight="1">
      <c r="A961" s="4"/>
      <c r="B961" s="4"/>
      <c r="C961" s="4"/>
      <c r="D961" s="4"/>
      <c r="E961" s="4"/>
      <c r="F961" s="4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4.25" customHeight="1">
      <c r="A962" s="4"/>
      <c r="B962" s="4"/>
      <c r="C962" s="4"/>
      <c r="D962" s="4"/>
      <c r="E962" s="4"/>
      <c r="F962" s="4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4.25" customHeight="1">
      <c r="A963" s="4"/>
      <c r="B963" s="4"/>
      <c r="C963" s="4"/>
      <c r="D963" s="4"/>
      <c r="E963" s="4"/>
      <c r="F963" s="4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4.25" customHeight="1">
      <c r="A964" s="4"/>
      <c r="B964" s="4"/>
      <c r="C964" s="4"/>
      <c r="D964" s="4"/>
      <c r="E964" s="4"/>
      <c r="F964" s="4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4.25" customHeight="1">
      <c r="A965" s="4"/>
      <c r="B965" s="4"/>
      <c r="C965" s="4"/>
      <c r="D965" s="4"/>
      <c r="E965" s="4"/>
      <c r="F965" s="4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4.25" customHeight="1">
      <c r="A966" s="4"/>
      <c r="B966" s="4"/>
      <c r="C966" s="4"/>
      <c r="D966" s="4"/>
      <c r="E966" s="4"/>
      <c r="F966" s="4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4.25" customHeight="1">
      <c r="A967" s="4"/>
      <c r="B967" s="4"/>
      <c r="C967" s="4"/>
      <c r="D967" s="4"/>
      <c r="E967" s="4"/>
      <c r="F967" s="4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4.25" customHeight="1">
      <c r="A968" s="4"/>
      <c r="B968" s="4"/>
      <c r="C968" s="4"/>
      <c r="D968" s="4"/>
      <c r="E968" s="4"/>
      <c r="F968" s="4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4.25" customHeight="1">
      <c r="A969" s="4"/>
      <c r="B969" s="4"/>
      <c r="C969" s="4"/>
      <c r="D969" s="4"/>
      <c r="E969" s="4"/>
      <c r="F969" s="4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4.25" customHeight="1">
      <c r="A970" s="4"/>
      <c r="B970" s="4"/>
      <c r="C970" s="4"/>
      <c r="D970" s="4"/>
      <c r="E970" s="4"/>
      <c r="F970" s="4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4.25" customHeight="1">
      <c r="A971" s="4"/>
      <c r="B971" s="4"/>
      <c r="C971" s="4"/>
      <c r="D971" s="4"/>
      <c r="E971" s="4"/>
      <c r="F971" s="4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4.25" customHeight="1">
      <c r="A972" s="4"/>
      <c r="B972" s="4"/>
      <c r="C972" s="4"/>
      <c r="D972" s="4"/>
      <c r="E972" s="4"/>
      <c r="F972" s="4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4.25" customHeight="1">
      <c r="A973" s="4"/>
      <c r="B973" s="4"/>
      <c r="C973" s="4"/>
      <c r="D973" s="4"/>
      <c r="E973" s="4"/>
      <c r="F973" s="4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4.25" customHeight="1">
      <c r="A974" s="4"/>
      <c r="B974" s="4"/>
      <c r="C974" s="4"/>
      <c r="D974" s="4"/>
      <c r="E974" s="4"/>
      <c r="F974" s="4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4.25" customHeight="1">
      <c r="A975" s="4"/>
      <c r="B975" s="4"/>
      <c r="C975" s="4"/>
      <c r="D975" s="4"/>
      <c r="E975" s="4"/>
      <c r="F975" s="4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4.25" customHeight="1">
      <c r="A976" s="4"/>
      <c r="B976" s="4"/>
      <c r="C976" s="4"/>
      <c r="D976" s="4"/>
      <c r="E976" s="4"/>
      <c r="F976" s="4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4.25" customHeight="1">
      <c r="A977" s="4"/>
      <c r="B977" s="4"/>
      <c r="C977" s="4"/>
      <c r="D977" s="4"/>
      <c r="E977" s="4"/>
      <c r="F977" s="4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4.25" customHeight="1">
      <c r="A978" s="4"/>
      <c r="B978" s="4"/>
      <c r="C978" s="4"/>
      <c r="D978" s="4"/>
      <c r="E978" s="4"/>
      <c r="F978" s="4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4.25" customHeight="1">
      <c r="A979" s="4"/>
      <c r="B979" s="4"/>
      <c r="C979" s="4"/>
      <c r="D979" s="4"/>
      <c r="E979" s="4"/>
      <c r="F979" s="4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4.25" customHeight="1">
      <c r="A980" s="4"/>
      <c r="B980" s="4"/>
      <c r="C980" s="4"/>
      <c r="D980" s="4"/>
      <c r="E980" s="4"/>
      <c r="F980" s="4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4.25" customHeight="1">
      <c r="A981" s="4"/>
      <c r="B981" s="4"/>
      <c r="C981" s="4"/>
      <c r="D981" s="4"/>
      <c r="E981" s="4"/>
      <c r="F981" s="4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4.25" customHeight="1">
      <c r="A982" s="4"/>
      <c r="B982" s="4"/>
      <c r="C982" s="4"/>
      <c r="D982" s="4"/>
      <c r="E982" s="4"/>
      <c r="F982" s="4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4.25" customHeight="1">
      <c r="A983" s="4"/>
      <c r="B983" s="4"/>
      <c r="C983" s="4"/>
      <c r="D983" s="4"/>
      <c r="E983" s="4"/>
      <c r="F983" s="4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4.25" customHeight="1">
      <c r="A984" s="4"/>
      <c r="B984" s="4"/>
      <c r="C984" s="4"/>
      <c r="D984" s="4"/>
      <c r="E984" s="4"/>
      <c r="F984" s="4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4.25" customHeight="1">
      <c r="A985" s="4"/>
      <c r="B985" s="4"/>
      <c r="C985" s="4"/>
      <c r="D985" s="4"/>
      <c r="E985" s="4"/>
      <c r="F985" s="4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4.25" customHeight="1">
      <c r="A986" s="4"/>
      <c r="B986" s="4"/>
      <c r="C986" s="4"/>
      <c r="D986" s="4"/>
      <c r="E986" s="4"/>
      <c r="F986" s="4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4.25" customHeight="1">
      <c r="A987" s="4"/>
      <c r="B987" s="4"/>
      <c r="C987" s="4"/>
      <c r="D987" s="4"/>
      <c r="E987" s="4"/>
      <c r="F987" s="4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4.25" customHeight="1">
      <c r="A988" s="4"/>
      <c r="B988" s="4"/>
      <c r="C988" s="4"/>
      <c r="D988" s="4"/>
      <c r="E988" s="4"/>
      <c r="F988" s="4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4.25" customHeight="1">
      <c r="A989" s="4"/>
      <c r="B989" s="4"/>
      <c r="C989" s="4"/>
      <c r="D989" s="4"/>
      <c r="E989" s="4"/>
      <c r="F989" s="4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4.25" customHeight="1">
      <c r="A990" s="4"/>
      <c r="B990" s="4"/>
      <c r="C990" s="4"/>
      <c r="D990" s="4"/>
      <c r="E990" s="4"/>
      <c r="F990" s="4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4.25" customHeight="1">
      <c r="A991" s="4"/>
      <c r="B991" s="4"/>
      <c r="C991" s="4"/>
      <c r="D991" s="4"/>
      <c r="E991" s="4"/>
      <c r="F991" s="4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4.25" customHeight="1">
      <c r="A992" s="4"/>
      <c r="B992" s="4"/>
      <c r="C992" s="4"/>
      <c r="D992" s="4"/>
      <c r="E992" s="4"/>
      <c r="F992" s="4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4.25" customHeight="1">
      <c r="A993" s="4"/>
      <c r="B993" s="4"/>
      <c r="C993" s="4"/>
      <c r="D993" s="4"/>
      <c r="E993" s="4"/>
      <c r="F993" s="4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4.25" customHeight="1">
      <c r="A994" s="4"/>
      <c r="B994" s="4"/>
      <c r="C994" s="4"/>
      <c r="D994" s="4"/>
      <c r="E994" s="4"/>
      <c r="F994" s="4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4.25" customHeight="1">
      <c r="A995" s="4"/>
      <c r="B995" s="4"/>
      <c r="C995" s="4"/>
      <c r="D995" s="4"/>
      <c r="E995" s="4"/>
      <c r="F995" s="4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4.25" customHeight="1">
      <c r="A996" s="4"/>
      <c r="B996" s="4"/>
      <c r="C996" s="4"/>
      <c r="D996" s="4"/>
      <c r="E996" s="4"/>
      <c r="F996" s="4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4.25" customHeight="1">
      <c r="A997" s="4"/>
      <c r="B997" s="4"/>
      <c r="C997" s="4"/>
      <c r="D997" s="4"/>
      <c r="E997" s="4"/>
      <c r="F997" s="4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4.25" customHeight="1">
      <c r="A998" s="4"/>
      <c r="B998" s="4"/>
      <c r="C998" s="4"/>
      <c r="D998" s="4"/>
      <c r="E998" s="4"/>
      <c r="F998" s="4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4.25" customHeight="1">
      <c r="A999" s="4"/>
      <c r="B999" s="4"/>
      <c r="C999" s="4"/>
      <c r="D999" s="4"/>
      <c r="E999" s="4"/>
      <c r="F999" s="4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4.25" customHeight="1">
      <c r="A1000" s="4"/>
      <c r="B1000" s="4"/>
      <c r="C1000" s="4"/>
      <c r="D1000" s="4"/>
      <c r="E1000" s="4"/>
      <c r="F1000" s="4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6.25"/>
    <col customWidth="1" min="3" max="4" width="16.25"/>
    <col customWidth="1" min="5" max="26" width="8.88"/>
  </cols>
  <sheetData>
    <row r="1" ht="14.25" customHeight="1">
      <c r="A1" s="11" t="s">
        <v>491</v>
      </c>
      <c r="B1" s="12" t="s">
        <v>1</v>
      </c>
      <c r="C1" s="13" t="s">
        <v>20</v>
      </c>
      <c r="D1" s="14" t="s">
        <v>21</v>
      </c>
    </row>
    <row r="2" ht="14.25" customHeight="1">
      <c r="A2" s="15">
        <v>80901.0</v>
      </c>
      <c r="B2" s="16" t="s">
        <v>464</v>
      </c>
      <c r="C2" s="17"/>
      <c r="D2" s="18"/>
    </row>
    <row r="3" ht="14.25" customHeight="1">
      <c r="A3" s="19">
        <v>21902.0</v>
      </c>
      <c r="B3" s="20" t="s">
        <v>166</v>
      </c>
      <c r="C3" s="17"/>
      <c r="D3" s="18">
        <v>0.01606897669059333</v>
      </c>
    </row>
    <row r="4" ht="14.25" customHeight="1">
      <c r="A4" s="19">
        <v>50405.0</v>
      </c>
      <c r="B4" s="20" t="s">
        <v>307</v>
      </c>
      <c r="C4" s="17"/>
      <c r="D4" s="18">
        <v>0.40129444600125974</v>
      </c>
    </row>
    <row r="5" ht="14.25" customHeight="1">
      <c r="A5" s="19">
        <v>40903.0</v>
      </c>
      <c r="B5" s="20" t="s">
        <v>269</v>
      </c>
      <c r="C5" s="17"/>
      <c r="D5" s="18">
        <v>0.47248391702735415</v>
      </c>
    </row>
    <row r="6" ht="14.25" customHeight="1">
      <c r="A6" s="19">
        <v>40302.0</v>
      </c>
      <c r="B6" s="20" t="s">
        <v>246</v>
      </c>
      <c r="C6" s="17"/>
      <c r="D6" s="18">
        <v>1.797291638543744</v>
      </c>
    </row>
    <row r="7" ht="14.25" customHeight="1">
      <c r="A7" s="15">
        <v>31304.0</v>
      </c>
      <c r="B7" s="16" t="s">
        <v>224</v>
      </c>
      <c r="C7" s="17"/>
      <c r="D7" s="18">
        <v>3.5259270983298743</v>
      </c>
    </row>
    <row r="8" ht="14.25" customHeight="1">
      <c r="A8" s="19">
        <v>20203.0</v>
      </c>
      <c r="B8" s="20" t="s">
        <v>72</v>
      </c>
      <c r="C8" s="17"/>
      <c r="D8" s="18">
        <v>4.200130309949117</v>
      </c>
    </row>
    <row r="9" ht="14.25" customHeight="1">
      <c r="A9" s="19">
        <v>51401.0</v>
      </c>
      <c r="B9" s="20" t="s">
        <v>338</v>
      </c>
      <c r="C9" s="17"/>
      <c r="D9" s="18">
        <v>4.72709130267755</v>
      </c>
    </row>
    <row r="10" ht="14.25" customHeight="1">
      <c r="A10" s="15">
        <v>51204.0</v>
      </c>
      <c r="B10" s="16" t="s">
        <v>490</v>
      </c>
      <c r="C10" s="17"/>
      <c r="D10" s="18">
        <v>12.063502609313879</v>
      </c>
      <c r="I10" s="21"/>
    </row>
    <row r="11" ht="14.25" customHeight="1">
      <c r="A11" s="19">
        <v>40502.0</v>
      </c>
      <c r="B11" s="20" t="s">
        <v>252</v>
      </c>
      <c r="C11" s="17"/>
      <c r="D11" s="18">
        <v>30.15746663556131</v>
      </c>
    </row>
    <row r="12" ht="14.25" customHeight="1">
      <c r="A12" s="19">
        <v>20604.0</v>
      </c>
      <c r="B12" s="20" t="s">
        <v>99</v>
      </c>
      <c r="C12" s="17">
        <v>2.0273048127730648E-4</v>
      </c>
      <c r="D12" s="18">
        <v>0.4172490504068618</v>
      </c>
    </row>
    <row r="13" ht="14.25" customHeight="1">
      <c r="A13" s="19">
        <v>20305.0</v>
      </c>
      <c r="B13" s="20" t="s">
        <v>81</v>
      </c>
      <c r="C13" s="17">
        <v>3.7773795391138305E-4</v>
      </c>
      <c r="D13" s="18">
        <v>0.0018055692064159563</v>
      </c>
    </row>
    <row r="14" ht="14.25" customHeight="1">
      <c r="A14" s="19">
        <v>40504.0</v>
      </c>
      <c r="B14" s="20" t="s">
        <v>254</v>
      </c>
      <c r="C14" s="17">
        <v>0.0045817597736601354</v>
      </c>
      <c r="D14" s="18">
        <v>2.58703084378265</v>
      </c>
    </row>
    <row r="15" ht="14.25" customHeight="1">
      <c r="A15" s="19">
        <v>90103.0</v>
      </c>
      <c r="B15" s="20" t="s">
        <v>469</v>
      </c>
      <c r="C15" s="17">
        <v>0.006481035887900085</v>
      </c>
      <c r="D15" s="18">
        <v>2.8384577965565754</v>
      </c>
    </row>
    <row r="16" ht="14.25" customHeight="1">
      <c r="A16" s="19">
        <v>90401.0</v>
      </c>
      <c r="B16" s="20" t="s">
        <v>479</v>
      </c>
      <c r="C16" s="17">
        <v>0.008114826519010642</v>
      </c>
      <c r="D16" s="18">
        <v>0.5833158375846649</v>
      </c>
    </row>
    <row r="17" ht="14.25" customHeight="1">
      <c r="A17" s="19">
        <v>20302.0</v>
      </c>
      <c r="B17" s="20" t="s">
        <v>78</v>
      </c>
      <c r="C17" s="17">
        <v>0.00885930531297439</v>
      </c>
      <c r="D17" s="18">
        <v>2.228198051160246</v>
      </c>
    </row>
    <row r="18" ht="14.25" customHeight="1">
      <c r="A18" s="19">
        <v>20306.0</v>
      </c>
      <c r="B18" s="20" t="s">
        <v>82</v>
      </c>
      <c r="C18" s="17">
        <v>0.010936356256016955</v>
      </c>
      <c r="D18" s="18">
        <v>4.88784311364275</v>
      </c>
    </row>
    <row r="19" ht="14.25" customHeight="1">
      <c r="A19" s="19">
        <v>20403.0</v>
      </c>
      <c r="B19" s="20" t="s">
        <v>88</v>
      </c>
      <c r="C19" s="17">
        <v>0.015180498148953227</v>
      </c>
      <c r="D19" s="18">
        <v>1.1994216366434391</v>
      </c>
    </row>
    <row r="20" ht="14.25" customHeight="1">
      <c r="A20" s="19">
        <v>21703.0</v>
      </c>
      <c r="B20" s="20" t="s">
        <v>159</v>
      </c>
      <c r="C20" s="17">
        <v>0.021425257929028007</v>
      </c>
      <c r="D20" s="18">
        <v>0.35552693992758205</v>
      </c>
    </row>
    <row r="21" ht="14.25" customHeight="1">
      <c r="A21" s="19">
        <v>90302.0</v>
      </c>
      <c r="B21" s="20" t="s">
        <v>477</v>
      </c>
      <c r="C21" s="17">
        <v>0.022026290088083024</v>
      </c>
      <c r="D21" s="18">
        <v>0.3096199067861978</v>
      </c>
    </row>
    <row r="22" ht="14.25" customHeight="1">
      <c r="A22" s="19">
        <v>40503.0</v>
      </c>
      <c r="B22" s="20" t="s">
        <v>253</v>
      </c>
      <c r="C22" s="17">
        <v>0.023152316015042654</v>
      </c>
      <c r="D22" s="18">
        <v>29.020509750008525</v>
      </c>
    </row>
    <row r="23" ht="14.25" customHeight="1">
      <c r="A23" s="19">
        <v>21302.0</v>
      </c>
      <c r="B23" s="20" t="s">
        <v>141</v>
      </c>
      <c r="C23" s="17">
        <v>0.023690412426610682</v>
      </c>
      <c r="D23" s="18">
        <v>0.271484562300306</v>
      </c>
    </row>
    <row r="24" ht="14.25" customHeight="1">
      <c r="A24" s="19">
        <v>20401.0</v>
      </c>
      <c r="B24" s="20" t="s">
        <v>85</v>
      </c>
      <c r="C24" s="17">
        <v>0.0588679542005131</v>
      </c>
      <c r="D24" s="18">
        <v>0.45284978953615146</v>
      </c>
    </row>
    <row r="25" ht="14.25" customHeight="1">
      <c r="A25" s="19">
        <v>40103.0</v>
      </c>
      <c r="B25" s="20" t="s">
        <v>239</v>
      </c>
      <c r="C25" s="17">
        <v>0.07464619784243103</v>
      </c>
      <c r="D25" s="18">
        <v>1.6880571367877961</v>
      </c>
    </row>
    <row r="26" ht="14.25" customHeight="1">
      <c r="A26" s="19">
        <v>90203.0</v>
      </c>
      <c r="B26" s="20" t="s">
        <v>474</v>
      </c>
      <c r="C26" s="17">
        <v>0.11196671578019435</v>
      </c>
      <c r="D26" s="18">
        <v>1.2998150005446962</v>
      </c>
    </row>
    <row r="27" ht="14.25" customHeight="1">
      <c r="A27" s="19">
        <v>90202.0</v>
      </c>
      <c r="B27" s="20" t="s">
        <v>473</v>
      </c>
      <c r="C27" s="17">
        <v>0.12264310695088526</v>
      </c>
      <c r="D27" s="18">
        <v>0.9456692879533497</v>
      </c>
    </row>
    <row r="28" ht="14.25" customHeight="1">
      <c r="A28" s="19">
        <v>21702.0</v>
      </c>
      <c r="B28" s="20" t="s">
        <v>158</v>
      </c>
      <c r="C28" s="17">
        <v>0.15286073741396644</v>
      </c>
      <c r="D28" s="18">
        <v>2.0593615462821715</v>
      </c>
    </row>
    <row r="29" ht="14.25" customHeight="1">
      <c r="A29" s="19">
        <v>20303.0</v>
      </c>
      <c r="B29" s="20" t="s">
        <v>79</v>
      </c>
      <c r="C29" s="17">
        <v>0.16608125326018247</v>
      </c>
      <c r="D29" s="18">
        <v>5.26853804590517</v>
      </c>
    </row>
    <row r="30" ht="14.25" customHeight="1">
      <c r="A30" s="19">
        <v>20807.0</v>
      </c>
      <c r="B30" s="20" t="s">
        <v>114</v>
      </c>
      <c r="C30" s="17">
        <v>0.16904973931903738</v>
      </c>
      <c r="D30" s="18">
        <v>15.181567748207103</v>
      </c>
    </row>
    <row r="31" ht="14.25" customHeight="1">
      <c r="A31" s="19">
        <v>20405.0</v>
      </c>
      <c r="B31" s="20" t="s">
        <v>90</v>
      </c>
      <c r="C31" s="17">
        <v>0.18716920661227987</v>
      </c>
      <c r="D31" s="18">
        <v>8.238042876872983</v>
      </c>
    </row>
    <row r="32" ht="14.25" customHeight="1">
      <c r="A32" s="19">
        <v>41101.0</v>
      </c>
      <c r="B32" s="20" t="s">
        <v>272</v>
      </c>
      <c r="C32" s="17">
        <v>0.19688553761270158</v>
      </c>
      <c r="D32" s="18">
        <v>1.5609279403420637</v>
      </c>
    </row>
    <row r="33" ht="14.25" customHeight="1">
      <c r="A33" s="19">
        <v>90104.0</v>
      </c>
      <c r="B33" s="20" t="s">
        <v>470</v>
      </c>
      <c r="C33" s="17">
        <v>0.20924957060776028</v>
      </c>
      <c r="D33" s="18">
        <v>1.047825371153051</v>
      </c>
    </row>
    <row r="34" ht="14.25" customHeight="1">
      <c r="A34" s="19">
        <v>90301.0</v>
      </c>
      <c r="B34" s="20" t="s">
        <v>475</v>
      </c>
      <c r="C34" s="17">
        <v>0.2435002597843088</v>
      </c>
      <c r="D34" s="18">
        <v>0.32185440819073663</v>
      </c>
    </row>
    <row r="35" ht="14.25" customHeight="1">
      <c r="A35" s="19">
        <v>21204.0</v>
      </c>
      <c r="B35" s="20" t="s">
        <v>138</v>
      </c>
      <c r="C35" s="17">
        <v>0.27215237379037244</v>
      </c>
      <c r="D35" s="18">
        <v>0.3870857721242095</v>
      </c>
    </row>
    <row r="36" ht="14.25" customHeight="1">
      <c r="A36" s="19">
        <v>41601.0</v>
      </c>
      <c r="B36" s="20" t="s">
        <v>285</v>
      </c>
      <c r="C36" s="17">
        <v>0.27560155340375936</v>
      </c>
      <c r="D36" s="18">
        <v>2.6163788495502933</v>
      </c>
    </row>
    <row r="37" ht="14.25" customHeight="1">
      <c r="A37" s="19">
        <v>90502.0</v>
      </c>
      <c r="B37" s="20" t="s">
        <v>484</v>
      </c>
      <c r="C37" s="17">
        <v>0.29573737011911627</v>
      </c>
      <c r="D37" s="18">
        <v>1.2798516830947502</v>
      </c>
    </row>
    <row r="38" ht="14.25" customHeight="1">
      <c r="A38" s="19">
        <v>20308.0</v>
      </c>
      <c r="B38" s="20" t="s">
        <v>84</v>
      </c>
      <c r="C38" s="17">
        <v>0.32761773204101835</v>
      </c>
      <c r="D38" s="18">
        <v>9.187426310204637</v>
      </c>
    </row>
    <row r="39" ht="14.25" customHeight="1">
      <c r="A39" s="19">
        <v>20202.0</v>
      </c>
      <c r="B39" s="20" t="s">
        <v>71</v>
      </c>
      <c r="C39" s="17">
        <v>0.3489681138420523</v>
      </c>
      <c r="D39" s="18">
        <v>1.9207935396155786</v>
      </c>
    </row>
    <row r="40" ht="14.25" customHeight="1">
      <c r="A40" s="19">
        <v>10704.0</v>
      </c>
      <c r="B40" s="20" t="s">
        <v>51</v>
      </c>
      <c r="C40" s="17">
        <v>0.36759918960567567</v>
      </c>
      <c r="D40" s="18">
        <v>6.016396253570461</v>
      </c>
    </row>
    <row r="41" ht="14.25" customHeight="1">
      <c r="A41" s="19">
        <v>10103.0</v>
      </c>
      <c r="B41" s="20" t="s">
        <v>26</v>
      </c>
      <c r="C41" s="17">
        <v>0.3898167551097492</v>
      </c>
      <c r="D41" s="18">
        <v>1.233880497676504</v>
      </c>
    </row>
    <row r="42" ht="14.25" customHeight="1">
      <c r="A42" s="19">
        <v>90402.0</v>
      </c>
      <c r="B42" s="20" t="s">
        <v>481</v>
      </c>
      <c r="C42" s="17">
        <v>0.39040818131433713</v>
      </c>
      <c r="D42" s="18">
        <v>4.2965806389107366E-4</v>
      </c>
    </row>
    <row r="43" ht="14.25" customHeight="1">
      <c r="A43" s="19">
        <v>60402.0</v>
      </c>
      <c r="B43" s="20" t="s">
        <v>356</v>
      </c>
      <c r="C43" s="17">
        <v>0.3977316941147457</v>
      </c>
      <c r="D43" s="18">
        <v>1.445929523997559</v>
      </c>
    </row>
    <row r="44" ht="14.25" customHeight="1">
      <c r="A44" s="19">
        <v>50403.0</v>
      </c>
      <c r="B44" s="20" t="s">
        <v>305</v>
      </c>
      <c r="C44" s="17">
        <v>0.40200112982960456</v>
      </c>
      <c r="D44" s="18">
        <v>0.7908262621142768</v>
      </c>
    </row>
    <row r="45" ht="14.25" customHeight="1">
      <c r="A45" s="19">
        <v>21303.0</v>
      </c>
      <c r="B45" s="20" t="s">
        <v>142</v>
      </c>
      <c r="C45" s="17">
        <v>0.4123850612829901</v>
      </c>
      <c r="D45" s="18">
        <v>4.685903006555935</v>
      </c>
    </row>
    <row r="46" ht="14.25" customHeight="1">
      <c r="A46" s="19">
        <v>21301.0</v>
      </c>
      <c r="B46" s="20" t="s">
        <v>139</v>
      </c>
      <c r="C46" s="17">
        <v>0.43093559962492217</v>
      </c>
      <c r="D46" s="18">
        <v>12.554733223042799</v>
      </c>
    </row>
    <row r="47" ht="14.25" customHeight="1">
      <c r="A47" s="19">
        <v>90201.0</v>
      </c>
      <c r="B47" s="20" t="s">
        <v>471</v>
      </c>
      <c r="C47" s="17">
        <v>0.4320830188513631</v>
      </c>
      <c r="D47" s="18">
        <v>2.1235780805062756</v>
      </c>
    </row>
    <row r="48" ht="14.25" customHeight="1">
      <c r="A48" s="19">
        <v>10202.0</v>
      </c>
      <c r="B48" s="20" t="s">
        <v>29</v>
      </c>
      <c r="C48" s="17">
        <v>0.43530472324079833</v>
      </c>
      <c r="D48" s="18">
        <v>1.205203903811852</v>
      </c>
    </row>
    <row r="49" ht="14.25" customHeight="1">
      <c r="A49" s="19">
        <v>41202.0</v>
      </c>
      <c r="B49" s="20" t="s">
        <v>276</v>
      </c>
      <c r="C49" s="17">
        <v>0.4530121475740286</v>
      </c>
      <c r="D49" s="18">
        <v>3.7993388089016853</v>
      </c>
    </row>
    <row r="50" ht="14.25" customHeight="1">
      <c r="A50" s="19">
        <v>20806.0</v>
      </c>
      <c r="B50" s="20" t="s">
        <v>113</v>
      </c>
      <c r="C50" s="17">
        <v>0.46797382933041304</v>
      </c>
      <c r="D50" s="18">
        <v>4.492420268164832</v>
      </c>
    </row>
    <row r="51" ht="14.25" customHeight="1">
      <c r="A51" s="19">
        <v>90501.0</v>
      </c>
      <c r="B51" s="20" t="s">
        <v>482</v>
      </c>
      <c r="C51" s="17">
        <v>0.4727874783424027</v>
      </c>
      <c r="D51" s="18">
        <v>1.1445536707153392</v>
      </c>
    </row>
    <row r="52" ht="14.25" customHeight="1">
      <c r="A52" s="19">
        <v>20901.0</v>
      </c>
      <c r="B52" s="20" t="s">
        <v>115</v>
      </c>
      <c r="C52" s="17">
        <v>0.49302086509170623</v>
      </c>
      <c r="D52" s="18">
        <v>2.729793679960668</v>
      </c>
    </row>
    <row r="53" ht="14.25" customHeight="1">
      <c r="A53" s="19">
        <v>21203.0</v>
      </c>
      <c r="B53" s="20" t="s">
        <v>137</v>
      </c>
      <c r="C53" s="17">
        <v>0.49525591160040006</v>
      </c>
      <c r="D53" s="18">
        <v>3.910139682482133</v>
      </c>
    </row>
    <row r="54" ht="14.25" customHeight="1">
      <c r="A54" s="19">
        <v>70701.0</v>
      </c>
      <c r="B54" s="20" t="s">
        <v>390</v>
      </c>
      <c r="C54" s="17">
        <v>0.5081186735620642</v>
      </c>
      <c r="D54" s="18">
        <v>3.3964530453700976</v>
      </c>
    </row>
    <row r="55" ht="14.25" customHeight="1">
      <c r="A55" s="19">
        <v>20307.0</v>
      </c>
      <c r="B55" s="20" t="s">
        <v>83</v>
      </c>
      <c r="C55" s="17">
        <v>0.5192540748024947</v>
      </c>
      <c r="D55" s="18">
        <v>2.183854371848844</v>
      </c>
    </row>
    <row r="56" ht="14.25" customHeight="1">
      <c r="A56" s="19">
        <v>10404.0</v>
      </c>
      <c r="B56" s="20" t="s">
        <v>39</v>
      </c>
      <c r="C56" s="17">
        <v>0.5248217216291595</v>
      </c>
      <c r="D56" s="18">
        <v>4.8958126988758055</v>
      </c>
    </row>
    <row r="57" ht="14.25" customHeight="1">
      <c r="A57" s="19">
        <v>30302.0</v>
      </c>
      <c r="B57" s="20" t="s">
        <v>179</v>
      </c>
      <c r="C57" s="17">
        <v>0.5477632631301194</v>
      </c>
      <c r="D57" s="18">
        <v>5.588900923940528</v>
      </c>
    </row>
    <row r="58" ht="14.25" customHeight="1">
      <c r="A58" s="19">
        <v>90303.0</v>
      </c>
      <c r="B58" s="20" t="s">
        <v>478</v>
      </c>
      <c r="C58" s="17">
        <v>0.5568630236058643</v>
      </c>
      <c r="D58" s="18">
        <v>4.160970927523983</v>
      </c>
    </row>
    <row r="59" ht="14.25" customHeight="1">
      <c r="A59" s="19">
        <v>50702.0</v>
      </c>
      <c r="B59" s="20" t="s">
        <v>316</v>
      </c>
      <c r="C59" s="17">
        <v>0.5588217341257264</v>
      </c>
      <c r="D59" s="18">
        <v>1.4541025514296615</v>
      </c>
    </row>
    <row r="60" ht="14.25" customHeight="1">
      <c r="A60" s="19">
        <v>30303.0</v>
      </c>
      <c r="B60" s="20" t="s">
        <v>180</v>
      </c>
      <c r="C60" s="17">
        <v>0.6071512316088062</v>
      </c>
      <c r="D60" s="18">
        <v>20.443288640882663</v>
      </c>
    </row>
    <row r="61" ht="14.25" customHeight="1">
      <c r="A61" s="19">
        <v>40301.0</v>
      </c>
      <c r="B61" s="20" t="s">
        <v>244</v>
      </c>
      <c r="C61" s="17">
        <v>0.6281993495653109</v>
      </c>
      <c r="D61" s="18">
        <v>1.5547395052857473</v>
      </c>
    </row>
    <row r="62" ht="14.25" customHeight="1">
      <c r="A62" s="19">
        <v>50602.0</v>
      </c>
      <c r="B62" s="20" t="s">
        <v>313</v>
      </c>
      <c r="C62" s="17">
        <v>0.6393818787747668</v>
      </c>
      <c r="D62" s="18">
        <v>0.917475228323443</v>
      </c>
    </row>
    <row r="63" ht="14.25" customHeight="1">
      <c r="A63" s="19">
        <v>10402.0</v>
      </c>
      <c r="B63" s="20" t="s">
        <v>37</v>
      </c>
      <c r="C63" s="17">
        <v>0.6515490666833351</v>
      </c>
      <c r="D63" s="18">
        <v>4.466139370122874</v>
      </c>
    </row>
    <row r="64" ht="14.25" customHeight="1">
      <c r="A64" s="19">
        <v>40802.0</v>
      </c>
      <c r="B64" s="20" t="s">
        <v>265</v>
      </c>
      <c r="C64" s="17">
        <v>0.6561370839779818</v>
      </c>
      <c r="D64" s="18">
        <v>0.5405972608243683</v>
      </c>
    </row>
    <row r="65" ht="14.25" customHeight="1">
      <c r="A65" s="19">
        <v>41201.0</v>
      </c>
      <c r="B65" s="20" t="s">
        <v>274</v>
      </c>
      <c r="C65" s="17">
        <v>0.6667375526824675</v>
      </c>
      <c r="D65" s="18">
        <v>6.898022154616351</v>
      </c>
    </row>
    <row r="66" ht="14.25" customHeight="1">
      <c r="A66" s="19">
        <v>20404.0</v>
      </c>
      <c r="B66" s="20" t="s">
        <v>89</v>
      </c>
      <c r="C66" s="17">
        <v>0.7136535408064302</v>
      </c>
      <c r="D66" s="18">
        <v>1.4078197907489562</v>
      </c>
    </row>
    <row r="67" ht="14.25" customHeight="1">
      <c r="A67" s="19">
        <v>60201.0</v>
      </c>
      <c r="B67" s="20" t="s">
        <v>347</v>
      </c>
      <c r="C67" s="17">
        <v>0.7286051656283427</v>
      </c>
      <c r="D67" s="18">
        <v>3.419235302398621</v>
      </c>
    </row>
    <row r="68" ht="14.25" customHeight="1">
      <c r="A68" s="19">
        <v>80703.0</v>
      </c>
      <c r="B68" s="20" t="s">
        <v>458</v>
      </c>
      <c r="C68" s="17">
        <v>0.7414656273617314</v>
      </c>
      <c r="D68" s="18">
        <v>4.13829375257193</v>
      </c>
    </row>
    <row r="69" ht="14.25" customHeight="1">
      <c r="A69" s="19">
        <v>41502.0</v>
      </c>
      <c r="B69" s="20" t="s">
        <v>283</v>
      </c>
      <c r="C69" s="17">
        <v>0.7432478548470702</v>
      </c>
      <c r="D69" s="18">
        <v>20.995696425446486</v>
      </c>
    </row>
    <row r="70" ht="14.25" customHeight="1">
      <c r="A70" s="19">
        <v>21006.0</v>
      </c>
      <c r="B70" s="20" t="s">
        <v>127</v>
      </c>
      <c r="C70" s="17">
        <v>0.7656432880876405</v>
      </c>
      <c r="D70" s="18">
        <v>6.923113616780582</v>
      </c>
    </row>
    <row r="71" ht="14.25" customHeight="1">
      <c r="A71" s="19">
        <v>20903.0</v>
      </c>
      <c r="B71" s="20" t="s">
        <v>118</v>
      </c>
      <c r="C71" s="17">
        <v>0.8133790313689998</v>
      </c>
      <c r="D71" s="18">
        <v>4.748874142119099</v>
      </c>
    </row>
    <row r="72" ht="14.25" customHeight="1">
      <c r="A72" s="19">
        <v>20804.0</v>
      </c>
      <c r="B72" s="20" t="s">
        <v>111</v>
      </c>
      <c r="C72" s="17">
        <v>0.8309910498849901</v>
      </c>
      <c r="D72" s="18">
        <v>10.609555637899241</v>
      </c>
    </row>
    <row r="73" ht="14.25" customHeight="1">
      <c r="A73" s="19">
        <v>21901.0</v>
      </c>
      <c r="B73" s="20" t="s">
        <v>164</v>
      </c>
      <c r="C73" s="17">
        <v>0.8441696238164187</v>
      </c>
      <c r="D73" s="18">
        <v>1.7246518638948745</v>
      </c>
    </row>
    <row r="74" ht="14.25" customHeight="1">
      <c r="A74" s="19">
        <v>90503.0</v>
      </c>
      <c r="B74" s="20" t="s">
        <v>485</v>
      </c>
      <c r="C74" s="17">
        <v>0.8475125222352722</v>
      </c>
      <c r="D74" s="18">
        <v>0.047753938585275574</v>
      </c>
    </row>
    <row r="75" ht="14.25" customHeight="1">
      <c r="A75" s="19">
        <v>10602.0</v>
      </c>
      <c r="B75" s="20" t="s">
        <v>46</v>
      </c>
      <c r="C75" s="17">
        <v>0.8523101373960801</v>
      </c>
      <c r="D75" s="18">
        <v>3.9336325713588414</v>
      </c>
    </row>
    <row r="76" ht="14.25" customHeight="1">
      <c r="A76" s="19">
        <v>20801.0</v>
      </c>
      <c r="B76" s="20" t="s">
        <v>107</v>
      </c>
      <c r="C76" s="17">
        <v>0.8761721909856739</v>
      </c>
      <c r="D76" s="18">
        <v>3.9018598550706316</v>
      </c>
    </row>
    <row r="77" ht="14.25" customHeight="1">
      <c r="A77" s="19">
        <v>10304.0</v>
      </c>
      <c r="B77" s="20" t="s">
        <v>34</v>
      </c>
      <c r="C77" s="17">
        <v>0.8820352792546025</v>
      </c>
      <c r="D77" s="18">
        <v>1.6837953462049229</v>
      </c>
    </row>
    <row r="78" ht="14.25" customHeight="1">
      <c r="A78" s="19">
        <v>50404.0</v>
      </c>
      <c r="B78" s="20" t="s">
        <v>306</v>
      </c>
      <c r="C78" s="17">
        <v>0.8905336953338242</v>
      </c>
      <c r="D78" s="18">
        <v>1.668777678656214</v>
      </c>
    </row>
    <row r="79" ht="14.25" customHeight="1">
      <c r="A79" s="19">
        <v>51402.0</v>
      </c>
      <c r="B79" s="20" t="s">
        <v>340</v>
      </c>
      <c r="C79" s="17">
        <v>0.9011705085031451</v>
      </c>
      <c r="D79" s="18">
        <v>2.722291441070231</v>
      </c>
    </row>
    <row r="80" ht="14.25" customHeight="1">
      <c r="A80" s="19">
        <v>40501.0</v>
      </c>
      <c r="B80" s="20" t="s">
        <v>250</v>
      </c>
      <c r="C80" s="17">
        <v>0.9042977795049214</v>
      </c>
      <c r="D80" s="18">
        <v>21.373467869497862</v>
      </c>
    </row>
    <row r="81" ht="14.25" customHeight="1">
      <c r="A81" s="19">
        <v>90102.0</v>
      </c>
      <c r="B81" s="20" t="s">
        <v>468</v>
      </c>
      <c r="C81" s="17">
        <v>0.9128250095882927</v>
      </c>
      <c r="D81" s="18">
        <v>3.859518468310813</v>
      </c>
    </row>
    <row r="82" ht="14.25" customHeight="1">
      <c r="A82" s="19">
        <v>50303.0</v>
      </c>
      <c r="B82" s="20" t="s">
        <v>301</v>
      </c>
      <c r="C82" s="17">
        <v>0.9151959979471238</v>
      </c>
      <c r="D82" s="18">
        <v>5.589745630144814</v>
      </c>
    </row>
    <row r="83" ht="14.25" customHeight="1">
      <c r="A83" s="19">
        <v>40401.0</v>
      </c>
      <c r="B83" s="20" t="s">
        <v>247</v>
      </c>
      <c r="C83" s="17">
        <v>0.9173888316032244</v>
      </c>
      <c r="D83" s="18">
        <v>8.072552289878908</v>
      </c>
    </row>
    <row r="84" ht="14.25" customHeight="1">
      <c r="A84" s="19">
        <v>20501.0</v>
      </c>
      <c r="B84" s="20" t="s">
        <v>91</v>
      </c>
      <c r="C84" s="17">
        <v>0.9417350906027621</v>
      </c>
      <c r="D84" s="18">
        <v>1.5004713230529245</v>
      </c>
    </row>
    <row r="85" ht="14.25" customHeight="1">
      <c r="A85" s="19">
        <v>10405.0</v>
      </c>
      <c r="B85" s="20" t="s">
        <v>40</v>
      </c>
      <c r="C85" s="17">
        <v>0.9864612374001408</v>
      </c>
      <c r="D85" s="18">
        <v>7.5295505598968475</v>
      </c>
    </row>
    <row r="86" ht="14.25" customHeight="1">
      <c r="A86" s="19">
        <v>20902.0</v>
      </c>
      <c r="B86" s="20" t="s">
        <v>117</v>
      </c>
      <c r="C86" s="17">
        <v>1.0294536489695572</v>
      </c>
      <c r="D86" s="18">
        <v>3.046468138861704</v>
      </c>
    </row>
    <row r="87" ht="14.25" customHeight="1">
      <c r="A87" s="19">
        <v>50401.0</v>
      </c>
      <c r="B87" s="20" t="s">
        <v>302</v>
      </c>
      <c r="C87" s="17">
        <v>1.0308170786022701</v>
      </c>
      <c r="D87" s="18">
        <v>17.55303224513361</v>
      </c>
    </row>
    <row r="88" ht="14.25" customHeight="1">
      <c r="A88" s="19">
        <v>20301.0</v>
      </c>
      <c r="B88" s="20" t="s">
        <v>76</v>
      </c>
      <c r="C88" s="17">
        <v>1.062537379925803</v>
      </c>
      <c r="D88" s="18">
        <v>2.877264589200246</v>
      </c>
    </row>
    <row r="89" ht="14.25" customHeight="1">
      <c r="A89" s="19">
        <v>21402.0</v>
      </c>
      <c r="B89" s="20" t="s">
        <v>149</v>
      </c>
      <c r="C89" s="17">
        <v>1.1031083080357782</v>
      </c>
      <c r="D89" s="18">
        <v>3.0570241395746836</v>
      </c>
    </row>
    <row r="90" ht="14.25" customHeight="1">
      <c r="A90" s="19">
        <v>50701.0</v>
      </c>
      <c r="B90" s="20" t="s">
        <v>314</v>
      </c>
      <c r="C90" s="17">
        <v>1.1574272065456932</v>
      </c>
      <c r="D90" s="18">
        <v>0.8626315679982937</v>
      </c>
    </row>
    <row r="91" ht="14.25" customHeight="1">
      <c r="A91" s="19">
        <v>20201.0</v>
      </c>
      <c r="B91" s="20" t="s">
        <v>69</v>
      </c>
      <c r="C91" s="17">
        <v>1.158543063763614</v>
      </c>
      <c r="D91" s="18">
        <v>3.6990176823883383</v>
      </c>
    </row>
    <row r="92" ht="14.25" customHeight="1">
      <c r="A92" s="19">
        <v>21001.0</v>
      </c>
      <c r="B92" s="20" t="s">
        <v>121</v>
      </c>
      <c r="C92" s="17">
        <v>1.213775223224446</v>
      </c>
      <c r="D92" s="18">
        <v>12.310463665788523</v>
      </c>
    </row>
    <row r="93" ht="14.25" customHeight="1">
      <c r="A93" s="19">
        <v>60501.0</v>
      </c>
      <c r="B93" s="20" t="s">
        <v>357</v>
      </c>
      <c r="C93" s="17">
        <v>1.2249787752589958</v>
      </c>
      <c r="D93" s="18">
        <v>15.742129938783293</v>
      </c>
    </row>
    <row r="94" ht="14.25" customHeight="1">
      <c r="A94" s="19">
        <v>41301.0</v>
      </c>
      <c r="B94" s="20" t="s">
        <v>277</v>
      </c>
      <c r="C94" s="17">
        <v>1.2250504981859445</v>
      </c>
      <c r="D94" s="18">
        <v>1.097280511628884</v>
      </c>
    </row>
    <row r="95" ht="14.25" customHeight="1">
      <c r="A95" s="19">
        <v>30601.0</v>
      </c>
      <c r="B95" s="20" t="s">
        <v>189</v>
      </c>
      <c r="C95" s="17">
        <v>1.2361422336931691</v>
      </c>
      <c r="D95" s="18">
        <v>4.862439879873783</v>
      </c>
    </row>
    <row r="96" ht="14.25" customHeight="1">
      <c r="A96" s="19">
        <v>80301.0</v>
      </c>
      <c r="B96" s="20" t="s">
        <v>441</v>
      </c>
      <c r="C96" s="17">
        <v>1.2409552864355082</v>
      </c>
      <c r="D96" s="18">
        <v>3.543005778605987</v>
      </c>
    </row>
    <row r="97" ht="14.25" customHeight="1">
      <c r="A97" s="19">
        <v>70705.0</v>
      </c>
      <c r="B97" s="20" t="s">
        <v>395</v>
      </c>
      <c r="C97" s="17">
        <v>1.243178948578728</v>
      </c>
      <c r="D97" s="18">
        <v>0.9187895655412935</v>
      </c>
    </row>
    <row r="98" ht="14.25" customHeight="1">
      <c r="A98" s="19">
        <v>40202.0</v>
      </c>
      <c r="B98" s="20" t="s">
        <v>243</v>
      </c>
      <c r="C98" s="17">
        <v>1.2454782239160573</v>
      </c>
      <c r="D98" s="18">
        <v>0.93601467963103</v>
      </c>
    </row>
    <row r="99" ht="14.25" customHeight="1">
      <c r="A99" s="19">
        <v>21304.0</v>
      </c>
      <c r="B99" s="20" t="s">
        <v>143</v>
      </c>
      <c r="C99" s="17">
        <v>1.2793266300422736</v>
      </c>
      <c r="D99" s="18">
        <v>43.418279629468174</v>
      </c>
    </row>
    <row r="100" ht="14.25" customHeight="1">
      <c r="A100" s="19">
        <v>30502.0</v>
      </c>
      <c r="B100" s="20" t="s">
        <v>188</v>
      </c>
      <c r="C100" s="17">
        <v>1.2866235020269052</v>
      </c>
      <c r="D100" s="18">
        <v>3.3880238697370526</v>
      </c>
    </row>
    <row r="101" ht="14.25" customHeight="1">
      <c r="A101" s="19">
        <v>50301.0</v>
      </c>
      <c r="B101" s="20" t="s">
        <v>298</v>
      </c>
      <c r="C101" s="17">
        <v>1.3035762339283177</v>
      </c>
      <c r="D101" s="18">
        <v>4.319662503604661</v>
      </c>
    </row>
    <row r="102" ht="14.25" customHeight="1">
      <c r="A102" s="19">
        <v>40104.0</v>
      </c>
      <c r="B102" s="20" t="s">
        <v>240</v>
      </c>
      <c r="C102" s="17">
        <v>1.3319454817242244</v>
      </c>
      <c r="D102" s="18">
        <v>11.116381150700583</v>
      </c>
    </row>
    <row r="103" ht="14.25" customHeight="1">
      <c r="A103" s="19">
        <v>31203.0</v>
      </c>
      <c r="B103" s="20" t="s">
        <v>216</v>
      </c>
      <c r="C103" s="17">
        <v>1.3742686490532778</v>
      </c>
      <c r="D103" s="18">
        <v>2.429507733439699</v>
      </c>
    </row>
    <row r="104" ht="14.25" customHeight="1">
      <c r="A104" s="19">
        <v>40801.0</v>
      </c>
      <c r="B104" s="20" t="s">
        <v>263</v>
      </c>
      <c r="C104" s="17">
        <v>1.382923726707876</v>
      </c>
      <c r="D104" s="18">
        <v>6.224398271817647</v>
      </c>
    </row>
    <row r="105" ht="14.25" customHeight="1">
      <c r="A105" s="19">
        <v>40902.0</v>
      </c>
      <c r="B105" s="20" t="s">
        <v>268</v>
      </c>
      <c r="C105" s="17">
        <v>1.385488780695607</v>
      </c>
      <c r="D105" s="18">
        <v>59.0112356924316</v>
      </c>
    </row>
    <row r="106" ht="14.25" customHeight="1">
      <c r="A106" s="19">
        <v>40402.0</v>
      </c>
      <c r="B106" s="20" t="s">
        <v>249</v>
      </c>
      <c r="C106" s="17">
        <v>1.3919160783473588</v>
      </c>
      <c r="D106" s="18">
        <v>7.701094663160246</v>
      </c>
    </row>
    <row r="107" ht="14.25" customHeight="1">
      <c r="A107" s="19">
        <v>80402.0</v>
      </c>
      <c r="B107" s="20" t="s">
        <v>449</v>
      </c>
      <c r="C107" s="17">
        <v>1.4052855730674356</v>
      </c>
      <c r="D107" s="18">
        <v>8.401908683737988</v>
      </c>
    </row>
    <row r="108" ht="14.25" customHeight="1">
      <c r="A108" s="19">
        <v>31101.0</v>
      </c>
      <c r="B108" s="20" t="s">
        <v>211</v>
      </c>
      <c r="C108" s="17">
        <v>1.4062821375551111</v>
      </c>
      <c r="D108" s="18">
        <v>3.8632874136939486</v>
      </c>
    </row>
    <row r="109" ht="14.25" customHeight="1">
      <c r="A109" s="19">
        <v>60401.0</v>
      </c>
      <c r="B109" s="20" t="s">
        <v>354</v>
      </c>
      <c r="C109" s="17">
        <v>1.418981293115616</v>
      </c>
      <c r="D109" s="18">
        <v>12.384934163950257</v>
      </c>
    </row>
    <row r="110" ht="14.25" customHeight="1">
      <c r="A110" s="19">
        <v>50103.0</v>
      </c>
      <c r="B110" s="20" t="s">
        <v>291</v>
      </c>
      <c r="C110" s="17">
        <v>1.4518521529558042</v>
      </c>
      <c r="D110" s="18">
        <v>2.932876888420298</v>
      </c>
    </row>
    <row r="111" ht="14.25" customHeight="1">
      <c r="A111" s="19">
        <v>30602.0</v>
      </c>
      <c r="B111" s="20" t="s">
        <v>191</v>
      </c>
      <c r="C111" s="17">
        <v>1.4671333439049659</v>
      </c>
      <c r="D111" s="18">
        <v>3.8478057277553104</v>
      </c>
    </row>
    <row r="112" ht="14.25" customHeight="1">
      <c r="A112" s="19">
        <v>31501.0</v>
      </c>
      <c r="B112" s="20" t="s">
        <v>231</v>
      </c>
      <c r="C112" s="17">
        <v>1.4968695619152932</v>
      </c>
      <c r="D112" s="18">
        <v>3.8647732992708064</v>
      </c>
    </row>
    <row r="113" ht="14.25" customHeight="1">
      <c r="A113" s="19">
        <v>70805.0</v>
      </c>
      <c r="B113" s="20" t="s">
        <v>403</v>
      </c>
      <c r="C113" s="17">
        <v>1.517730824748102</v>
      </c>
      <c r="D113" s="18">
        <v>5.229668263138256</v>
      </c>
    </row>
    <row r="114" ht="14.25" customHeight="1">
      <c r="A114" s="19">
        <v>31202.0</v>
      </c>
      <c r="B114" s="20" t="s">
        <v>215</v>
      </c>
      <c r="C114" s="17">
        <v>1.563259662812173</v>
      </c>
      <c r="D114" s="18">
        <v>3.2184005202353254</v>
      </c>
    </row>
    <row r="115" ht="14.25" customHeight="1">
      <c r="A115" s="19">
        <v>80803.0</v>
      </c>
      <c r="B115" s="20" t="s">
        <v>462</v>
      </c>
      <c r="C115" s="17">
        <v>1.5883065181630283</v>
      </c>
      <c r="D115" s="18">
        <v>5.659375037801834</v>
      </c>
    </row>
    <row r="116" ht="14.25" customHeight="1">
      <c r="A116" s="19">
        <v>10302.0</v>
      </c>
      <c r="B116" s="20" t="s">
        <v>32</v>
      </c>
      <c r="C116" s="17">
        <v>1.6326654099453959</v>
      </c>
      <c r="D116" s="18">
        <v>1.5059204334415777</v>
      </c>
    </row>
    <row r="117" ht="14.25" customHeight="1">
      <c r="A117" s="19">
        <v>80302.0</v>
      </c>
      <c r="B117" s="20" t="s">
        <v>443</v>
      </c>
      <c r="C117" s="17">
        <v>1.6995667262621466</v>
      </c>
      <c r="D117" s="18">
        <v>3.4261185082872907</v>
      </c>
    </row>
    <row r="118" ht="14.25" customHeight="1">
      <c r="A118" s="19">
        <v>80601.0</v>
      </c>
      <c r="B118" s="20" t="s">
        <v>452</v>
      </c>
      <c r="C118" s="17">
        <v>1.7307879191187894</v>
      </c>
      <c r="D118" s="18">
        <v>1.5434453116747104</v>
      </c>
    </row>
    <row r="119" ht="14.25" customHeight="1">
      <c r="A119" s="19">
        <v>20304.0</v>
      </c>
      <c r="B119" s="20" t="s">
        <v>80</v>
      </c>
      <c r="C119" s="17">
        <v>1.7553385224743236</v>
      </c>
      <c r="D119" s="18">
        <v>1.3263616897510406</v>
      </c>
    </row>
    <row r="120" ht="14.25" customHeight="1">
      <c r="A120" s="19">
        <v>10301.0</v>
      </c>
      <c r="B120" s="20" t="s">
        <v>30</v>
      </c>
      <c r="C120" s="17">
        <v>1.7809142633845838</v>
      </c>
      <c r="D120" s="18">
        <v>8.768487480494656</v>
      </c>
    </row>
    <row r="121" ht="14.25" customHeight="1">
      <c r="A121" s="19">
        <v>31302.0</v>
      </c>
      <c r="B121" s="20" t="s">
        <v>222</v>
      </c>
      <c r="C121" s="17">
        <v>1.8035431302750287</v>
      </c>
      <c r="D121" s="18">
        <v>0.962852594025351</v>
      </c>
    </row>
    <row r="122" ht="14.25" customHeight="1">
      <c r="A122" s="19">
        <v>51302.0</v>
      </c>
      <c r="B122" s="20" t="s">
        <v>337</v>
      </c>
      <c r="C122" s="17">
        <v>1.8950244341340703</v>
      </c>
      <c r="D122" s="18">
        <v>1.6854390407070097</v>
      </c>
    </row>
    <row r="123" ht="14.25" customHeight="1">
      <c r="A123" s="19">
        <v>51103.0</v>
      </c>
      <c r="B123" s="20" t="s">
        <v>330</v>
      </c>
      <c r="C123" s="17">
        <v>1.910094772876582</v>
      </c>
      <c r="D123" s="18">
        <v>0.36597541149727586</v>
      </c>
    </row>
    <row r="124" ht="14.25" customHeight="1">
      <c r="A124" s="19">
        <v>71105.0</v>
      </c>
      <c r="B124" s="20" t="s">
        <v>420</v>
      </c>
      <c r="C124" s="17">
        <v>1.9222343741839116</v>
      </c>
      <c r="D124" s="18">
        <v>2.112752748686533</v>
      </c>
    </row>
    <row r="125" ht="14.25" customHeight="1">
      <c r="A125" s="19">
        <v>21202.0</v>
      </c>
      <c r="B125" s="20" t="s">
        <v>136</v>
      </c>
      <c r="C125" s="17">
        <v>1.9278109229957217</v>
      </c>
      <c r="D125" s="18">
        <v>20.13375281135199</v>
      </c>
    </row>
    <row r="126" ht="14.25" customHeight="1">
      <c r="A126" s="19">
        <v>20805.0</v>
      </c>
      <c r="B126" s="20" t="s">
        <v>112</v>
      </c>
      <c r="C126" s="17">
        <v>1.9584314348084344</v>
      </c>
      <c r="D126" s="18">
        <v>5.21745978730193</v>
      </c>
    </row>
    <row r="127" ht="14.25" customHeight="1">
      <c r="A127" s="19">
        <v>21105.0</v>
      </c>
      <c r="B127" s="20" t="s">
        <v>133</v>
      </c>
      <c r="C127" s="17">
        <v>1.9593603531086201</v>
      </c>
      <c r="D127" s="18">
        <v>2.2428807905623493</v>
      </c>
    </row>
    <row r="128" ht="14.25" customHeight="1">
      <c r="A128" s="19">
        <v>10403.0</v>
      </c>
      <c r="B128" s="20" t="s">
        <v>38</v>
      </c>
      <c r="C128" s="17">
        <v>1.970452220167582</v>
      </c>
      <c r="D128" s="18">
        <v>7.057951875322431</v>
      </c>
    </row>
    <row r="129" ht="14.25" customHeight="1">
      <c r="A129" s="19">
        <v>80501.0</v>
      </c>
      <c r="B129" s="20" t="s">
        <v>450</v>
      </c>
      <c r="C129" s="17">
        <v>2.0010285858177217</v>
      </c>
      <c r="D129" s="18">
        <v>4.038576032525258</v>
      </c>
    </row>
    <row r="130" ht="14.25" customHeight="1">
      <c r="A130" s="19">
        <v>21306.0</v>
      </c>
      <c r="B130" s="20" t="s">
        <v>145</v>
      </c>
      <c r="C130" s="17">
        <v>2.009998900395835</v>
      </c>
      <c r="D130" s="18">
        <v>4.021742085227791</v>
      </c>
    </row>
    <row r="131" ht="14.25" customHeight="1">
      <c r="A131" s="19">
        <v>40702.0</v>
      </c>
      <c r="B131" s="20" t="s">
        <v>262</v>
      </c>
      <c r="C131" s="17">
        <v>2.0281532080734626</v>
      </c>
      <c r="D131" s="18">
        <v>6.213082362860393</v>
      </c>
    </row>
    <row r="132" ht="14.25" customHeight="1">
      <c r="A132" s="19">
        <v>21201.0</v>
      </c>
      <c r="B132" s="20" t="s">
        <v>134</v>
      </c>
      <c r="C132" s="17">
        <v>2.032814419149142</v>
      </c>
      <c r="D132" s="18">
        <v>8.106754695480179</v>
      </c>
    </row>
    <row r="133" ht="14.25" customHeight="1">
      <c r="A133" s="19">
        <v>20205.0</v>
      </c>
      <c r="B133" s="20" t="s">
        <v>74</v>
      </c>
      <c r="C133" s="17">
        <v>2.0506863452075286</v>
      </c>
      <c r="D133" s="18">
        <v>19.059528247290437</v>
      </c>
    </row>
    <row r="134" ht="14.25" customHeight="1">
      <c r="A134" s="19">
        <v>80702.0</v>
      </c>
      <c r="B134" s="20" t="s">
        <v>457</v>
      </c>
      <c r="C134" s="17">
        <v>2.079136056494121</v>
      </c>
      <c r="D134" s="18">
        <v>8.77199661602048</v>
      </c>
    </row>
    <row r="135" ht="14.25" customHeight="1">
      <c r="A135" s="19">
        <v>51101.0</v>
      </c>
      <c r="B135" s="20" t="s">
        <v>327</v>
      </c>
      <c r="C135" s="17">
        <v>2.082552172849845</v>
      </c>
      <c r="D135" s="18">
        <v>5.452936499989145</v>
      </c>
    </row>
    <row r="136" ht="14.25" customHeight="1">
      <c r="A136" s="19">
        <v>20608.0</v>
      </c>
      <c r="B136" s="20" t="s">
        <v>103</v>
      </c>
      <c r="C136" s="17">
        <v>2.1572717449601946</v>
      </c>
      <c r="D136" s="18">
        <v>7.034131815204535</v>
      </c>
    </row>
    <row r="137" ht="14.25" customHeight="1">
      <c r="A137" s="19">
        <v>10801.0</v>
      </c>
      <c r="B137" s="20" t="s">
        <v>52</v>
      </c>
      <c r="C137" s="17">
        <v>2.161017223778368</v>
      </c>
      <c r="D137" s="18">
        <v>6.22572238188194</v>
      </c>
    </row>
    <row r="138" ht="14.25" customHeight="1">
      <c r="A138" s="19">
        <v>31601.0</v>
      </c>
      <c r="B138" s="20" t="s">
        <v>233</v>
      </c>
      <c r="C138" s="17">
        <v>2.2097561584838257</v>
      </c>
      <c r="D138" s="18">
        <v>8.451617095997477</v>
      </c>
    </row>
    <row r="139" ht="14.25" customHeight="1">
      <c r="A139" s="19">
        <v>50501.0</v>
      </c>
      <c r="B139" s="20" t="s">
        <v>308</v>
      </c>
      <c r="C139" s="17">
        <v>2.220626073561565</v>
      </c>
      <c r="D139" s="18">
        <v>2.374029679214902</v>
      </c>
    </row>
    <row r="140" ht="14.25" customHeight="1">
      <c r="A140" s="19">
        <v>10703.0</v>
      </c>
      <c r="B140" s="20" t="s">
        <v>50</v>
      </c>
      <c r="C140" s="17">
        <v>2.2368139250876435</v>
      </c>
      <c r="D140" s="18">
        <v>1.7010717611055888</v>
      </c>
    </row>
    <row r="141" ht="14.25" customHeight="1">
      <c r="A141" s="19">
        <v>10902.0</v>
      </c>
      <c r="B141" s="20" t="s">
        <v>56</v>
      </c>
      <c r="C141" s="17">
        <v>2.2672805312503637</v>
      </c>
      <c r="D141" s="18">
        <v>4.839799161419221</v>
      </c>
    </row>
    <row r="142" ht="14.25" customHeight="1">
      <c r="A142" s="19">
        <v>31402.0</v>
      </c>
      <c r="B142" s="20" t="s">
        <v>227</v>
      </c>
      <c r="C142" s="17">
        <v>2.2788965305401945</v>
      </c>
      <c r="D142" s="18">
        <v>6.574728941478847</v>
      </c>
    </row>
    <row r="143" ht="14.25" customHeight="1">
      <c r="A143" s="19">
        <v>21802.0</v>
      </c>
      <c r="B143" s="20" t="s">
        <v>162</v>
      </c>
      <c r="C143" s="17">
        <v>2.2843135234763126</v>
      </c>
      <c r="D143" s="18">
        <v>8.893270249945015</v>
      </c>
    </row>
    <row r="144" ht="14.25" customHeight="1">
      <c r="A144" s="19">
        <v>10601.0</v>
      </c>
      <c r="B144" s="20" t="s">
        <v>44</v>
      </c>
      <c r="C144" s="17">
        <v>2.299762958457815</v>
      </c>
      <c r="D144" s="18">
        <v>3.993695591529583</v>
      </c>
    </row>
    <row r="145" ht="14.25" customHeight="1">
      <c r="A145" s="19">
        <v>41001.0</v>
      </c>
      <c r="B145" s="20" t="s">
        <v>270</v>
      </c>
      <c r="C145" s="17">
        <v>2.315513374417889</v>
      </c>
      <c r="D145" s="18">
        <v>1.7770518317519917</v>
      </c>
    </row>
    <row r="146" ht="14.25" customHeight="1">
      <c r="A146" s="19">
        <v>60502.0</v>
      </c>
      <c r="B146" s="20" t="s">
        <v>359</v>
      </c>
      <c r="C146" s="17">
        <v>2.339811963401301</v>
      </c>
      <c r="D146" s="18">
        <v>7.371960639932032</v>
      </c>
    </row>
    <row r="147" ht="14.25" customHeight="1">
      <c r="A147" s="19">
        <v>30404.0</v>
      </c>
      <c r="B147" s="20" t="s">
        <v>185</v>
      </c>
      <c r="C147" s="17">
        <v>2.5016570243946266</v>
      </c>
      <c r="D147" s="18">
        <v>1.5514054515809073</v>
      </c>
    </row>
    <row r="148" ht="14.25" customHeight="1">
      <c r="A148" s="19">
        <v>80801.0</v>
      </c>
      <c r="B148" s="20" t="s">
        <v>459</v>
      </c>
      <c r="C148" s="17">
        <v>2.503279270731141</v>
      </c>
      <c r="D148" s="18">
        <v>8.159739108201013</v>
      </c>
    </row>
    <row r="149" ht="14.25" customHeight="1">
      <c r="A149" s="19">
        <v>10201.0</v>
      </c>
      <c r="B149" s="20" t="s">
        <v>27</v>
      </c>
      <c r="C149" s="17">
        <v>2.505215973079061</v>
      </c>
      <c r="D149" s="18">
        <v>3.3129095832920084</v>
      </c>
    </row>
    <row r="150" ht="14.25" customHeight="1">
      <c r="A150" s="19">
        <v>21005.0</v>
      </c>
      <c r="B150" s="20" t="s">
        <v>126</v>
      </c>
      <c r="C150" s="17">
        <v>2.558391731349868</v>
      </c>
      <c r="D150" s="18">
        <v>9.481924365971114</v>
      </c>
    </row>
    <row r="151" ht="14.25" customHeight="1">
      <c r="A151" s="19">
        <v>50502.0</v>
      </c>
      <c r="B151" s="20" t="s">
        <v>310</v>
      </c>
      <c r="C151" s="17">
        <v>2.564105162832191</v>
      </c>
      <c r="D151" s="18">
        <v>5.13892460516786</v>
      </c>
    </row>
    <row r="152" ht="14.25" customHeight="1">
      <c r="A152" s="19">
        <v>30402.0</v>
      </c>
      <c r="B152" s="20" t="s">
        <v>183</v>
      </c>
      <c r="C152" s="17">
        <v>2.576979862202906</v>
      </c>
      <c r="D152" s="18">
        <v>3.2241844586074344</v>
      </c>
    </row>
    <row r="153" ht="14.25" customHeight="1">
      <c r="A153" s="19">
        <v>41401.0</v>
      </c>
      <c r="B153" s="20" t="s">
        <v>279</v>
      </c>
      <c r="C153" s="17">
        <v>2.588467833437353</v>
      </c>
      <c r="D153" s="18">
        <v>6.183801827849213</v>
      </c>
    </row>
    <row r="154" ht="14.25" customHeight="1">
      <c r="A154" s="19">
        <v>80602.0</v>
      </c>
      <c r="B154" s="20" t="s">
        <v>454</v>
      </c>
      <c r="C154" s="17">
        <v>2.5922511323785216</v>
      </c>
      <c r="D154" s="18">
        <v>4.588035756477746</v>
      </c>
    </row>
    <row r="155" ht="14.25" customHeight="1">
      <c r="A155" s="19">
        <v>21101.0</v>
      </c>
      <c r="B155" s="20" t="s">
        <v>128</v>
      </c>
      <c r="C155" s="17">
        <v>2.598672024507715</v>
      </c>
      <c r="D155" s="18">
        <v>5.739529384663972</v>
      </c>
    </row>
    <row r="156" ht="14.25" customHeight="1">
      <c r="A156" s="19">
        <v>21305.0</v>
      </c>
      <c r="B156" s="20" t="s">
        <v>144</v>
      </c>
      <c r="C156" s="17">
        <v>2.629304561759192</v>
      </c>
      <c r="D156" s="18">
        <v>15.664406797065178</v>
      </c>
    </row>
    <row r="157" ht="14.25" customHeight="1">
      <c r="A157" s="19">
        <v>21601.0</v>
      </c>
      <c r="B157" s="20" t="s">
        <v>153</v>
      </c>
      <c r="C157" s="17">
        <v>2.653552708396354</v>
      </c>
      <c r="D157" s="18">
        <v>0.7299236988474223</v>
      </c>
    </row>
    <row r="158" ht="14.25" customHeight="1">
      <c r="A158" s="19">
        <v>30501.0</v>
      </c>
      <c r="B158" s="20" t="s">
        <v>186</v>
      </c>
      <c r="C158" s="17">
        <v>2.6691880705088207</v>
      </c>
      <c r="D158" s="18">
        <v>10.692462115934099</v>
      </c>
    </row>
    <row r="159" ht="14.25" customHeight="1">
      <c r="A159" s="19">
        <v>70401.0</v>
      </c>
      <c r="B159" s="20" t="s">
        <v>377</v>
      </c>
      <c r="C159" s="17">
        <v>2.722384935444972</v>
      </c>
      <c r="D159" s="18">
        <v>18.967258382608975</v>
      </c>
    </row>
    <row r="160" ht="14.25" customHeight="1">
      <c r="A160" s="19">
        <v>50302.0</v>
      </c>
      <c r="B160" s="20" t="s">
        <v>300</v>
      </c>
      <c r="C160" s="17">
        <v>2.8943567884676074</v>
      </c>
      <c r="D160" s="18">
        <v>1.6178247800038383</v>
      </c>
    </row>
    <row r="161" ht="14.25" customHeight="1">
      <c r="A161" s="19">
        <v>11003.0</v>
      </c>
      <c r="B161" s="20" t="s">
        <v>61</v>
      </c>
      <c r="C161" s="17">
        <v>2.9051951661441207</v>
      </c>
      <c r="D161" s="18">
        <v>8.093477527747442</v>
      </c>
    </row>
    <row r="162" ht="14.25" customHeight="1">
      <c r="A162" s="19">
        <v>40201.0</v>
      </c>
      <c r="B162" s="20" t="s">
        <v>241</v>
      </c>
      <c r="C162" s="17">
        <v>2.9066407155129705</v>
      </c>
      <c r="D162" s="18">
        <v>11.101758430615021</v>
      </c>
    </row>
    <row r="163" ht="14.25" customHeight="1">
      <c r="A163" s="19">
        <v>20206.0</v>
      </c>
      <c r="B163" s="20" t="s">
        <v>75</v>
      </c>
      <c r="C163" s="17">
        <v>2.9263022704928683</v>
      </c>
      <c r="D163" s="18">
        <v>7.868610692793901</v>
      </c>
    </row>
    <row r="164" ht="14.25" customHeight="1">
      <c r="A164" s="19">
        <v>60601.0</v>
      </c>
      <c r="B164" s="20" t="s">
        <v>360</v>
      </c>
      <c r="C164" s="17">
        <v>2.9715034282501493</v>
      </c>
      <c r="D164" s="18">
        <v>5.590094307668247</v>
      </c>
    </row>
    <row r="165" ht="14.25" customHeight="1">
      <c r="A165" s="19">
        <v>10903.0</v>
      </c>
      <c r="B165" s="20" t="s">
        <v>57</v>
      </c>
      <c r="C165" s="17">
        <v>2.99567721682192</v>
      </c>
      <c r="D165" s="18">
        <v>6.7044306831887805</v>
      </c>
    </row>
    <row r="166" ht="14.25" customHeight="1">
      <c r="A166" s="19">
        <v>50102.0</v>
      </c>
      <c r="B166" s="20" t="s">
        <v>290</v>
      </c>
      <c r="C166" s="17">
        <v>3.0196796923189253</v>
      </c>
      <c r="D166" s="18">
        <v>3.115004930305572</v>
      </c>
    </row>
    <row r="167" ht="14.25" customHeight="1">
      <c r="A167" s="19">
        <v>51301.0</v>
      </c>
      <c r="B167" s="20" t="s">
        <v>335</v>
      </c>
      <c r="C167" s="17">
        <v>3.0928440215003783</v>
      </c>
      <c r="D167" s="18">
        <v>1.7718371985439454</v>
      </c>
    </row>
    <row r="168" ht="14.25" customHeight="1">
      <c r="A168" s="19">
        <v>30301.0</v>
      </c>
      <c r="B168" s="20" t="s">
        <v>177</v>
      </c>
      <c r="C168" s="17">
        <v>3.110097175864868</v>
      </c>
      <c r="D168" s="18">
        <v>9.79153042161159</v>
      </c>
    </row>
    <row r="169" ht="14.25" customHeight="1">
      <c r="A169" s="19">
        <v>10901.0</v>
      </c>
      <c r="B169" s="20" t="s">
        <v>54</v>
      </c>
      <c r="C169" s="17">
        <v>3.122762805232547</v>
      </c>
      <c r="D169" s="18">
        <v>6.5145864849801205</v>
      </c>
    </row>
    <row r="170" ht="14.25" customHeight="1">
      <c r="A170" s="19">
        <v>50601.0</v>
      </c>
      <c r="B170" s="20" t="s">
        <v>311</v>
      </c>
      <c r="C170" s="17">
        <v>3.138300990857737</v>
      </c>
      <c r="D170" s="18">
        <v>5.845982811158853</v>
      </c>
    </row>
    <row r="171" ht="14.25" customHeight="1">
      <c r="A171" s="19">
        <v>10102.0</v>
      </c>
      <c r="B171" s="20" t="s">
        <v>25</v>
      </c>
      <c r="C171" s="17">
        <v>3.2027711327026585</v>
      </c>
      <c r="D171" s="18">
        <v>11.910441815989827</v>
      </c>
    </row>
    <row r="172" ht="14.25" customHeight="1">
      <c r="A172" s="19">
        <v>20402.0</v>
      </c>
      <c r="B172" s="20" t="s">
        <v>87</v>
      </c>
      <c r="C172" s="17">
        <v>3.232031504863654</v>
      </c>
      <c r="D172" s="18">
        <v>8.757191958345322</v>
      </c>
    </row>
    <row r="173" ht="14.25" customHeight="1">
      <c r="A173" s="19">
        <v>20607.0</v>
      </c>
      <c r="B173" s="20" t="s">
        <v>102</v>
      </c>
      <c r="C173" s="17">
        <v>3.2701841881683475</v>
      </c>
      <c r="D173" s="18">
        <v>33.61530971345896</v>
      </c>
    </row>
    <row r="174" ht="14.25" customHeight="1">
      <c r="A174" s="19">
        <v>51202.0</v>
      </c>
      <c r="B174" s="20" t="s">
        <v>333</v>
      </c>
      <c r="C174" s="17">
        <v>3.279020924618835</v>
      </c>
      <c r="D174" s="18">
        <v>8.185022448942105</v>
      </c>
    </row>
    <row r="175" ht="14.25" customHeight="1">
      <c r="A175" s="19">
        <v>31201.0</v>
      </c>
      <c r="B175" s="20" t="s">
        <v>213</v>
      </c>
      <c r="C175" s="17">
        <v>3.331455835038697</v>
      </c>
      <c r="D175" s="18">
        <v>9.067052676484403</v>
      </c>
    </row>
    <row r="176" ht="14.25" customHeight="1">
      <c r="A176" s="19">
        <v>31405.0</v>
      </c>
      <c r="B176" s="20" t="s">
        <v>230</v>
      </c>
      <c r="C176" s="17">
        <v>3.3328231053520385</v>
      </c>
      <c r="D176" s="18">
        <v>1.991270824336113</v>
      </c>
    </row>
    <row r="177" ht="14.25" customHeight="1">
      <c r="A177" s="19">
        <v>80802.0</v>
      </c>
      <c r="B177" s="20" t="s">
        <v>461</v>
      </c>
      <c r="C177" s="17">
        <v>3.4295700246770493</v>
      </c>
      <c r="D177" s="18">
        <v>31.439206001255364</v>
      </c>
    </row>
    <row r="178" ht="14.25" customHeight="1">
      <c r="A178" s="19">
        <v>10502.0</v>
      </c>
      <c r="B178" s="20" t="s">
        <v>43</v>
      </c>
      <c r="C178" s="17">
        <v>3.432962507703057</v>
      </c>
      <c r="D178" s="18">
        <v>2.748052658709036</v>
      </c>
    </row>
    <row r="179" ht="14.25" customHeight="1">
      <c r="A179" s="19">
        <v>21801.0</v>
      </c>
      <c r="B179" s="20" t="s">
        <v>160</v>
      </c>
      <c r="C179" s="17">
        <v>3.62653529421432</v>
      </c>
      <c r="D179" s="18">
        <v>0.3061324156354701</v>
      </c>
    </row>
    <row r="180" ht="14.25" customHeight="1">
      <c r="A180" s="19">
        <v>70804.0</v>
      </c>
      <c r="B180" s="20" t="s">
        <v>402</v>
      </c>
      <c r="C180" s="17">
        <v>3.6452402208651593</v>
      </c>
      <c r="D180" s="18">
        <v>2.065078553707516</v>
      </c>
    </row>
    <row r="181" ht="14.25" customHeight="1">
      <c r="A181" s="19">
        <v>21307.0</v>
      </c>
      <c r="B181" s="20" t="s">
        <v>146</v>
      </c>
      <c r="C181" s="17">
        <v>3.6831198070155637</v>
      </c>
      <c r="D181" s="18">
        <v>7.901462741165155</v>
      </c>
    </row>
    <row r="182" ht="14.25" customHeight="1">
      <c r="A182" s="19">
        <v>50402.0</v>
      </c>
      <c r="B182" s="20" t="s">
        <v>304</v>
      </c>
      <c r="C182" s="17">
        <v>3.6918262693045993</v>
      </c>
      <c r="D182" s="18">
        <v>0.9650285175070156</v>
      </c>
    </row>
    <row r="183" ht="14.25" customHeight="1">
      <c r="A183" s="19">
        <v>80102.0</v>
      </c>
      <c r="B183" s="20" t="s">
        <v>437</v>
      </c>
      <c r="C183" s="17">
        <v>3.7219619524841234</v>
      </c>
      <c r="D183" s="18">
        <v>4.496376203376003</v>
      </c>
    </row>
    <row r="184" ht="14.25" customHeight="1">
      <c r="A184" s="19">
        <v>21803.0</v>
      </c>
      <c r="B184" s="20" t="s">
        <v>163</v>
      </c>
      <c r="C184" s="17">
        <v>3.7665553178584674</v>
      </c>
      <c r="D184" s="18">
        <v>6.61591570220475</v>
      </c>
    </row>
    <row r="185" ht="14.25" customHeight="1">
      <c r="A185" s="19">
        <v>30203.0</v>
      </c>
      <c r="B185" s="20" t="s">
        <v>176</v>
      </c>
      <c r="C185" s="17">
        <v>3.8012425329424686</v>
      </c>
      <c r="D185" s="18">
        <v>9.330464717556866</v>
      </c>
    </row>
    <row r="186" ht="14.25" customHeight="1">
      <c r="A186" s="19">
        <v>50201.0</v>
      </c>
      <c r="B186" s="20" t="s">
        <v>293</v>
      </c>
      <c r="C186" s="17">
        <v>3.9762598752692826</v>
      </c>
      <c r="D186" s="18">
        <v>7.697762775403136</v>
      </c>
    </row>
    <row r="187" ht="14.25" customHeight="1">
      <c r="A187" s="19">
        <v>31303.0</v>
      </c>
      <c r="B187" s="20" t="s">
        <v>223</v>
      </c>
      <c r="C187" s="17">
        <v>4.047157296176781</v>
      </c>
      <c r="D187" s="18">
        <v>0.6539431439092617</v>
      </c>
    </row>
    <row r="188" ht="14.25" customHeight="1">
      <c r="A188" s="19">
        <v>20503.0</v>
      </c>
      <c r="B188" s="20" t="s">
        <v>94</v>
      </c>
      <c r="C188" s="17">
        <v>4.073263063048067</v>
      </c>
      <c r="D188" s="18">
        <v>20.058034371110377</v>
      </c>
    </row>
    <row r="189" ht="14.25" customHeight="1">
      <c r="A189" s="19">
        <v>10303.0</v>
      </c>
      <c r="B189" s="20" t="s">
        <v>33</v>
      </c>
      <c r="C189" s="17">
        <v>4.082520811460015</v>
      </c>
      <c r="D189" s="18">
        <v>7.521800123308626</v>
      </c>
    </row>
    <row r="190" ht="14.25" customHeight="1">
      <c r="A190" s="19">
        <v>71002.0</v>
      </c>
      <c r="B190" s="20" t="s">
        <v>411</v>
      </c>
      <c r="C190" s="17">
        <v>4.1061849529352115</v>
      </c>
      <c r="D190" s="18">
        <v>21.896090969645353</v>
      </c>
    </row>
    <row r="191" ht="14.25" customHeight="1">
      <c r="A191" s="19">
        <v>20904.0</v>
      </c>
      <c r="B191" s="20" t="s">
        <v>119</v>
      </c>
      <c r="C191" s="17">
        <v>4.149869528292591</v>
      </c>
      <c r="D191" s="18">
        <v>3.219717240024483</v>
      </c>
    </row>
    <row r="192" ht="14.25" customHeight="1">
      <c r="A192" s="19">
        <v>20905.0</v>
      </c>
      <c r="B192" s="20" t="s">
        <v>120</v>
      </c>
      <c r="C192" s="17">
        <v>4.151409893141174</v>
      </c>
      <c r="D192" s="18">
        <v>12.874486374020266</v>
      </c>
    </row>
    <row r="193" ht="14.25" customHeight="1">
      <c r="A193" s="19">
        <v>70704.0</v>
      </c>
      <c r="B193" s="20" t="s">
        <v>394</v>
      </c>
      <c r="C193" s="17">
        <v>4.159454670979241</v>
      </c>
      <c r="D193" s="18">
        <v>4.786538880825516</v>
      </c>
    </row>
    <row r="194" ht="14.25" customHeight="1">
      <c r="A194" s="19">
        <v>80701.0</v>
      </c>
      <c r="B194" s="20" t="s">
        <v>455</v>
      </c>
      <c r="C194" s="17">
        <v>4.28530234124527</v>
      </c>
      <c r="D194" s="18">
        <v>11.150640707709659</v>
      </c>
    </row>
    <row r="195" ht="14.25" customHeight="1">
      <c r="A195" s="19">
        <v>80401.0</v>
      </c>
      <c r="B195" s="20" t="s">
        <v>447</v>
      </c>
      <c r="C195" s="17">
        <v>4.350975396919018</v>
      </c>
      <c r="D195" s="18">
        <v>32.50370110860785</v>
      </c>
    </row>
    <row r="196" ht="14.25" customHeight="1">
      <c r="A196" s="19">
        <v>31002.0</v>
      </c>
      <c r="B196" s="20" t="s">
        <v>209</v>
      </c>
      <c r="C196" s="17">
        <v>4.363335568481227</v>
      </c>
      <c r="D196" s="18">
        <v>11.038229107808927</v>
      </c>
    </row>
    <row r="197" ht="14.25" customHeight="1">
      <c r="A197" s="19">
        <v>40602.0</v>
      </c>
      <c r="B197" s="20" t="s">
        <v>258</v>
      </c>
      <c r="C197" s="17">
        <v>4.53886888844232</v>
      </c>
      <c r="D197" s="18">
        <v>3.595048474094732</v>
      </c>
    </row>
    <row r="198" ht="14.25" customHeight="1">
      <c r="A198" s="19">
        <v>90101.0</v>
      </c>
      <c r="B198" s="20" t="s">
        <v>465</v>
      </c>
      <c r="C198" s="17">
        <v>4.640619382912864</v>
      </c>
      <c r="D198" s="18">
        <v>20.798912736811552</v>
      </c>
    </row>
    <row r="199" ht="14.25" customHeight="1">
      <c r="A199" s="19">
        <v>70707.0</v>
      </c>
      <c r="B199" s="20" t="s">
        <v>397</v>
      </c>
      <c r="C199" s="17">
        <v>4.82512173389552</v>
      </c>
      <c r="D199" s="18">
        <v>8.04231293045605</v>
      </c>
    </row>
    <row r="200" ht="14.25" customHeight="1">
      <c r="A200" s="19">
        <v>10401.0</v>
      </c>
      <c r="B200" s="20" t="s">
        <v>35</v>
      </c>
      <c r="C200" s="17">
        <v>4.878682860638221</v>
      </c>
      <c r="D200" s="18">
        <v>13.832036513243933</v>
      </c>
    </row>
    <row r="201" ht="14.25" customHeight="1">
      <c r="A201" s="19">
        <v>21104.0</v>
      </c>
      <c r="B201" s="20" t="s">
        <v>132</v>
      </c>
      <c r="C201" s="17">
        <v>4.918919431398821</v>
      </c>
      <c r="D201" s="18">
        <v>4.446516272727358</v>
      </c>
    </row>
    <row r="202" ht="14.25" customHeight="1">
      <c r="A202" s="19">
        <v>71201.0</v>
      </c>
      <c r="B202" s="20" t="s">
        <v>422</v>
      </c>
      <c r="C202" s="17">
        <v>5.027867417174089</v>
      </c>
      <c r="D202" s="18">
        <v>6.237063089546443</v>
      </c>
    </row>
    <row r="203" ht="14.25" customHeight="1">
      <c r="A203" s="19">
        <v>71502.0</v>
      </c>
      <c r="B203" s="20" t="s">
        <v>433</v>
      </c>
      <c r="C203" s="17">
        <v>5.070273552674691</v>
      </c>
      <c r="D203" s="18">
        <v>3.7248538187565603</v>
      </c>
    </row>
    <row r="204" ht="14.25" customHeight="1">
      <c r="A204" s="19">
        <v>10701.0</v>
      </c>
      <c r="B204" s="20" t="s">
        <v>47</v>
      </c>
      <c r="C204" s="17">
        <v>5.224682309431672</v>
      </c>
      <c r="D204" s="18">
        <v>11.289946826100255</v>
      </c>
    </row>
    <row r="205" ht="14.25" customHeight="1">
      <c r="A205" s="19">
        <v>40102.0</v>
      </c>
      <c r="B205" s="20" t="s">
        <v>238</v>
      </c>
      <c r="C205" s="17">
        <v>5.248751172859147</v>
      </c>
      <c r="D205" s="18">
        <v>7.624252981345067</v>
      </c>
    </row>
    <row r="206" ht="14.25" customHeight="1">
      <c r="A206" s="19">
        <v>30902.0</v>
      </c>
      <c r="B206" s="20" t="s">
        <v>203</v>
      </c>
      <c r="C206" s="17">
        <v>5.265569288571618</v>
      </c>
      <c r="D206" s="18">
        <v>16.591469274071223</v>
      </c>
    </row>
    <row r="207" ht="14.25" customHeight="1">
      <c r="A207" s="19">
        <v>22002.0</v>
      </c>
      <c r="B207" s="20" t="s">
        <v>169</v>
      </c>
      <c r="C207" s="17">
        <v>5.36985104346528</v>
      </c>
      <c r="D207" s="18">
        <v>4.640535217908527</v>
      </c>
    </row>
    <row r="208" ht="14.25" customHeight="1">
      <c r="A208" s="19">
        <v>70702.0</v>
      </c>
      <c r="B208" s="20" t="s">
        <v>392</v>
      </c>
      <c r="C208" s="17">
        <v>5.462127530205746</v>
      </c>
      <c r="D208" s="18">
        <v>7.167995103712301</v>
      </c>
    </row>
    <row r="209" ht="14.25" customHeight="1">
      <c r="A209" s="19">
        <v>30202.0</v>
      </c>
      <c r="B209" s="20" t="s">
        <v>175</v>
      </c>
      <c r="C209" s="17">
        <v>5.5436118112437445</v>
      </c>
      <c r="D209" s="18">
        <v>8.871835500228267</v>
      </c>
    </row>
    <row r="210" ht="14.25" customHeight="1">
      <c r="A210" s="19">
        <v>30802.0</v>
      </c>
      <c r="B210" s="20" t="s">
        <v>198</v>
      </c>
      <c r="C210" s="17">
        <v>5.613509774139624</v>
      </c>
      <c r="D210" s="18">
        <v>5.762827261918851</v>
      </c>
    </row>
    <row r="211" ht="14.25" customHeight="1">
      <c r="A211" s="19">
        <v>10501.0</v>
      </c>
      <c r="B211" s="20" t="s">
        <v>41</v>
      </c>
      <c r="C211" s="17">
        <v>5.735865438507015</v>
      </c>
      <c r="D211" s="18">
        <v>18.26128749483607</v>
      </c>
    </row>
    <row r="212" ht="14.25" customHeight="1">
      <c r="A212" s="19">
        <v>21003.0</v>
      </c>
      <c r="B212" s="20" t="s">
        <v>124</v>
      </c>
      <c r="C212" s="17">
        <v>5.806426479417121</v>
      </c>
      <c r="D212" s="18">
        <v>10.776632096322965</v>
      </c>
    </row>
    <row r="213" ht="14.25" customHeight="1">
      <c r="A213" s="19">
        <v>80201.0</v>
      </c>
      <c r="B213" s="20" t="s">
        <v>438</v>
      </c>
      <c r="C213" s="17">
        <v>5.918016342604829</v>
      </c>
      <c r="D213" s="18">
        <v>19.552269422631284</v>
      </c>
    </row>
    <row r="214" ht="14.25" customHeight="1">
      <c r="A214" s="19">
        <v>10702.0</v>
      </c>
      <c r="B214" s="20" t="s">
        <v>49</v>
      </c>
      <c r="C214" s="17">
        <v>6.007387595206809</v>
      </c>
      <c r="D214" s="18">
        <v>8.398637769349072</v>
      </c>
    </row>
    <row r="215" ht="14.25" customHeight="1">
      <c r="A215" s="19">
        <v>30201.0</v>
      </c>
      <c r="B215" s="20" t="s">
        <v>173</v>
      </c>
      <c r="C215" s="17">
        <v>6.028360576837284</v>
      </c>
      <c r="D215" s="18">
        <v>22.393010648211586</v>
      </c>
    </row>
    <row r="216" ht="14.25" customHeight="1">
      <c r="A216" s="19">
        <v>70802.0</v>
      </c>
      <c r="B216" s="20" t="s">
        <v>400</v>
      </c>
      <c r="C216" s="17">
        <v>6.106980714344774</v>
      </c>
      <c r="D216" s="18">
        <v>7.817318658029698</v>
      </c>
    </row>
    <row r="217" ht="14.25" customHeight="1">
      <c r="A217" s="19">
        <v>31205.0</v>
      </c>
      <c r="B217" s="20" t="s">
        <v>218</v>
      </c>
      <c r="C217" s="17">
        <v>6.225378700876782</v>
      </c>
      <c r="D217" s="18">
        <v>21.640859263267952</v>
      </c>
    </row>
    <row r="218" ht="14.25" customHeight="1">
      <c r="A218" s="19">
        <v>21502.0</v>
      </c>
      <c r="B218" s="20" t="s">
        <v>152</v>
      </c>
      <c r="C218" s="17">
        <v>6.237990645277716</v>
      </c>
      <c r="D218" s="18">
        <v>12.34909621400677</v>
      </c>
    </row>
    <row r="219" ht="14.25" customHeight="1">
      <c r="A219" s="19">
        <v>70703.0</v>
      </c>
      <c r="B219" s="20" t="s">
        <v>393</v>
      </c>
      <c r="C219" s="17">
        <v>6.295845982178217</v>
      </c>
      <c r="D219" s="18">
        <v>20.07950107381049</v>
      </c>
    </row>
    <row r="220" ht="14.25" customHeight="1">
      <c r="A220" s="19">
        <v>31301.0</v>
      </c>
      <c r="B220" s="20" t="s">
        <v>220</v>
      </c>
      <c r="C220" s="17">
        <v>6.307747192484902</v>
      </c>
      <c r="D220" s="18">
        <v>17.28803252125329</v>
      </c>
    </row>
    <row r="221" ht="14.25" customHeight="1">
      <c r="A221" s="19">
        <v>40901.0</v>
      </c>
      <c r="B221" s="20" t="s">
        <v>266</v>
      </c>
      <c r="C221" s="17">
        <v>6.591905213030897</v>
      </c>
      <c r="D221" s="18">
        <v>10.385609163014971</v>
      </c>
    </row>
    <row r="222" ht="14.25" customHeight="1">
      <c r="A222" s="19">
        <v>70303.0</v>
      </c>
      <c r="B222" s="20" t="s">
        <v>376</v>
      </c>
      <c r="C222" s="17">
        <v>6.695028087994644</v>
      </c>
      <c r="D222" s="18">
        <v>26.172933066590577</v>
      </c>
    </row>
    <row r="223" ht="14.25" customHeight="1">
      <c r="A223" s="19">
        <v>70902.0</v>
      </c>
      <c r="B223" s="20" t="s">
        <v>406</v>
      </c>
      <c r="C223" s="17">
        <v>6.697765006960141</v>
      </c>
      <c r="D223" s="18">
        <v>18.998551881980756</v>
      </c>
    </row>
    <row r="224" ht="14.25" customHeight="1">
      <c r="A224" s="19">
        <v>31403.0</v>
      </c>
      <c r="B224" s="20" t="s">
        <v>228</v>
      </c>
      <c r="C224" s="17">
        <v>6.719561581386914</v>
      </c>
      <c r="D224" s="18">
        <v>12.317290131142801</v>
      </c>
    </row>
    <row r="225" ht="14.25" customHeight="1">
      <c r="A225" s="19">
        <v>30703.0</v>
      </c>
      <c r="B225" s="20" t="s">
        <v>195</v>
      </c>
      <c r="C225" s="17">
        <v>6.848476909308236</v>
      </c>
      <c r="D225" s="18">
        <v>15.940209391233726</v>
      </c>
    </row>
    <row r="226" ht="14.25" customHeight="1">
      <c r="A226" s="19">
        <v>20701.0</v>
      </c>
      <c r="B226" s="20" t="s">
        <v>104</v>
      </c>
      <c r="C226" s="17">
        <v>6.938430389203941</v>
      </c>
      <c r="D226" s="18">
        <v>40.332570490723896</v>
      </c>
    </row>
    <row r="227" ht="14.25" customHeight="1">
      <c r="A227" s="19">
        <v>20602.0</v>
      </c>
      <c r="B227" s="20" t="s">
        <v>97</v>
      </c>
      <c r="C227" s="17">
        <v>7.02160291620287</v>
      </c>
      <c r="D227" s="18">
        <v>24.727697092924704</v>
      </c>
    </row>
    <row r="228" ht="14.25" customHeight="1">
      <c r="A228" s="19">
        <v>71503.0</v>
      </c>
      <c r="B228" s="20" t="s">
        <v>434</v>
      </c>
      <c r="C228" s="17">
        <v>7.027924179558145</v>
      </c>
      <c r="D228" s="18">
        <v>15.561976068985803</v>
      </c>
    </row>
    <row r="229" ht="14.25" customHeight="1">
      <c r="A229" s="19">
        <v>30401.0</v>
      </c>
      <c r="B229" s="20" t="s">
        <v>181</v>
      </c>
      <c r="C229" s="17">
        <v>7.086680770953108</v>
      </c>
      <c r="D229" s="18">
        <v>14.163890999850578</v>
      </c>
    </row>
    <row r="230" ht="14.25" customHeight="1">
      <c r="A230" s="19">
        <v>70503.0</v>
      </c>
      <c r="B230" s="20" t="s">
        <v>385</v>
      </c>
      <c r="C230" s="17">
        <v>7.097009539044185</v>
      </c>
      <c r="D230" s="18">
        <v>19.525946598419935</v>
      </c>
    </row>
    <row r="231" ht="14.25" customHeight="1">
      <c r="A231" s="19">
        <v>21102.0</v>
      </c>
      <c r="B231" s="20" t="s">
        <v>130</v>
      </c>
      <c r="C231" s="17">
        <v>7.14743966779139</v>
      </c>
      <c r="D231" s="18">
        <v>20.49019215813538</v>
      </c>
    </row>
    <row r="232" ht="14.25" customHeight="1">
      <c r="A232" s="19">
        <v>71501.0</v>
      </c>
      <c r="B232" s="20" t="s">
        <v>431</v>
      </c>
      <c r="C232" s="17">
        <v>7.152723172290583</v>
      </c>
      <c r="D232" s="18">
        <v>10.763313692234641</v>
      </c>
    </row>
    <row r="233" ht="14.25" customHeight="1">
      <c r="A233" s="19">
        <v>51102.0</v>
      </c>
      <c r="B233" s="20" t="s">
        <v>329</v>
      </c>
      <c r="C233" s="17">
        <v>7.171271783059074</v>
      </c>
      <c r="D233" s="18">
        <v>8.560865411753843</v>
      </c>
    </row>
    <row r="234" ht="14.25" customHeight="1">
      <c r="A234" s="19">
        <v>20103.0</v>
      </c>
      <c r="B234" s="20" t="s">
        <v>66</v>
      </c>
      <c r="C234" s="17">
        <v>7.207072347063613</v>
      </c>
      <c r="D234" s="18">
        <v>38.9633545000129</v>
      </c>
    </row>
    <row r="235" ht="14.25" customHeight="1">
      <c r="A235" s="19">
        <v>80304.0</v>
      </c>
      <c r="B235" s="20" t="s">
        <v>446</v>
      </c>
      <c r="C235" s="17">
        <v>7.241295007188856</v>
      </c>
      <c r="D235" s="18">
        <v>9.043398597404158</v>
      </c>
    </row>
    <row r="236" ht="14.25" customHeight="1">
      <c r="A236" s="19">
        <v>21701.0</v>
      </c>
      <c r="B236" s="20" t="s">
        <v>156</v>
      </c>
      <c r="C236" s="17">
        <v>7.315901471080947</v>
      </c>
      <c r="D236" s="18">
        <v>10.102857253400037</v>
      </c>
    </row>
    <row r="237" ht="14.25" customHeight="1">
      <c r="A237" s="19">
        <v>21602.0</v>
      </c>
      <c r="B237" s="20" t="s">
        <v>155</v>
      </c>
      <c r="C237" s="17">
        <v>7.324071777480889</v>
      </c>
      <c r="D237" s="18">
        <v>20.40791502118975</v>
      </c>
    </row>
    <row r="238" ht="14.25" customHeight="1">
      <c r="A238" s="19">
        <v>70602.0</v>
      </c>
      <c r="B238" s="20" t="s">
        <v>388</v>
      </c>
      <c r="C238" s="17">
        <v>7.473411254585013</v>
      </c>
      <c r="D238" s="18">
        <v>11.174598574393682</v>
      </c>
    </row>
    <row r="239" ht="14.25" customHeight="1">
      <c r="A239" s="19">
        <v>31602.0</v>
      </c>
      <c r="B239" s="20" t="s">
        <v>235</v>
      </c>
      <c r="C239" s="17">
        <v>7.540702997585425</v>
      </c>
      <c r="D239" s="18">
        <v>17.877557147875258</v>
      </c>
    </row>
    <row r="240" ht="14.25" customHeight="1">
      <c r="A240" s="19">
        <v>70901.0</v>
      </c>
      <c r="B240" s="20" t="s">
        <v>404</v>
      </c>
      <c r="C240" s="17">
        <v>7.551426277575818</v>
      </c>
      <c r="D240" s="18">
        <v>35.84314039258356</v>
      </c>
    </row>
    <row r="241" ht="14.25" customHeight="1">
      <c r="A241" s="19">
        <v>20606.0</v>
      </c>
      <c r="B241" s="20" t="s">
        <v>101</v>
      </c>
      <c r="C241" s="17">
        <v>7.612339698178393</v>
      </c>
      <c r="D241" s="18">
        <v>29.16303570067909</v>
      </c>
    </row>
    <row r="242" ht="14.25" customHeight="1">
      <c r="A242" s="19">
        <v>80202.0</v>
      </c>
      <c r="B242" s="20" t="s">
        <v>440</v>
      </c>
      <c r="C242" s="17">
        <v>7.688416765475488</v>
      </c>
      <c r="D242" s="18">
        <v>11.808701971191075</v>
      </c>
    </row>
    <row r="243" ht="14.25" customHeight="1">
      <c r="A243" s="19">
        <v>22001.0</v>
      </c>
      <c r="B243" s="20" t="s">
        <v>167</v>
      </c>
      <c r="C243" s="17">
        <v>7.749066712895673</v>
      </c>
      <c r="D243" s="18">
        <v>14.785803602016607</v>
      </c>
    </row>
    <row r="244" ht="14.25" customHeight="1">
      <c r="A244" s="19">
        <v>70302.0</v>
      </c>
      <c r="B244" s="20" t="s">
        <v>375</v>
      </c>
      <c r="C244" s="17">
        <v>7.968999043219941</v>
      </c>
      <c r="D244" s="18">
        <v>9.630091762679983</v>
      </c>
    </row>
    <row r="245" ht="14.25" customHeight="1">
      <c r="A245" s="19">
        <v>20601.0</v>
      </c>
      <c r="B245" s="20" t="s">
        <v>95</v>
      </c>
      <c r="C245" s="17">
        <v>7.97176045676259</v>
      </c>
      <c r="D245" s="18">
        <v>42.976801549076555</v>
      </c>
    </row>
    <row r="246" ht="14.25" customHeight="1">
      <c r="A246" s="19">
        <v>60302.0</v>
      </c>
      <c r="B246" s="20" t="s">
        <v>352</v>
      </c>
      <c r="C246" s="17">
        <v>8.010389820331902</v>
      </c>
      <c r="D246" s="18">
        <v>15.997057423222548</v>
      </c>
    </row>
    <row r="247" ht="14.25" customHeight="1">
      <c r="A247" s="19">
        <v>20204.0</v>
      </c>
      <c r="B247" s="20" t="s">
        <v>73</v>
      </c>
      <c r="C247" s="17">
        <v>8.096614872613063</v>
      </c>
      <c r="D247" s="18">
        <v>16.471887031396502</v>
      </c>
    </row>
    <row r="248" ht="14.25" customHeight="1">
      <c r="A248" s="19">
        <v>71301.0</v>
      </c>
      <c r="B248" s="20" t="s">
        <v>424</v>
      </c>
      <c r="C248" s="17">
        <v>8.1752474622911</v>
      </c>
      <c r="D248" s="18">
        <v>15.528437964094042</v>
      </c>
    </row>
    <row r="249" ht="14.25" customHeight="1">
      <c r="A249" s="19">
        <v>70403.0</v>
      </c>
      <c r="B249" s="20" t="s">
        <v>380</v>
      </c>
      <c r="C249" s="17">
        <v>8.320025951244094</v>
      </c>
      <c r="D249" s="18">
        <v>23.68726749878569</v>
      </c>
    </row>
    <row r="250" ht="14.25" customHeight="1">
      <c r="A250" s="19">
        <v>31204.0</v>
      </c>
      <c r="B250" s="20" t="s">
        <v>217</v>
      </c>
      <c r="C250" s="17">
        <v>8.401461623055352</v>
      </c>
      <c r="D250" s="18">
        <v>18.34536204262462</v>
      </c>
    </row>
    <row r="251" ht="14.25" customHeight="1">
      <c r="A251" s="19">
        <v>50202.0</v>
      </c>
      <c r="B251" s="20" t="s">
        <v>295</v>
      </c>
      <c r="C251" s="17">
        <v>8.473140508766464</v>
      </c>
      <c r="D251" s="18">
        <v>2.2450146959225346</v>
      </c>
    </row>
    <row r="252" ht="14.25" customHeight="1">
      <c r="A252" s="19">
        <v>20803.0</v>
      </c>
      <c r="B252" s="20" t="s">
        <v>110</v>
      </c>
      <c r="C252" s="17">
        <v>8.50767312597671</v>
      </c>
      <c r="D252" s="18">
        <v>24.524794793396858</v>
      </c>
    </row>
    <row r="253" ht="14.25" customHeight="1">
      <c r="A253" s="19">
        <v>21501.0</v>
      </c>
      <c r="B253" s="20" t="s">
        <v>150</v>
      </c>
      <c r="C253" s="17">
        <v>8.55882236699233</v>
      </c>
      <c r="D253" s="18">
        <v>12.147114843886335</v>
      </c>
    </row>
    <row r="254" ht="14.25" customHeight="1">
      <c r="A254" s="19">
        <v>20502.0</v>
      </c>
      <c r="B254" s="20" t="s">
        <v>93</v>
      </c>
      <c r="C254" s="17">
        <v>8.576133169837467</v>
      </c>
      <c r="D254" s="18">
        <v>8.119526439598582</v>
      </c>
    </row>
    <row r="255" ht="14.25" customHeight="1">
      <c r="A255" s="19">
        <v>70105.0</v>
      </c>
      <c r="B255" s="20" t="s">
        <v>369</v>
      </c>
      <c r="C255" s="17">
        <v>8.594385967757244</v>
      </c>
      <c r="D255" s="18">
        <v>29.540774686520823</v>
      </c>
    </row>
    <row r="256" ht="14.25" customHeight="1">
      <c r="A256" s="19">
        <v>60202.0</v>
      </c>
      <c r="B256" s="20" t="s">
        <v>349</v>
      </c>
      <c r="C256" s="17">
        <v>8.747333804889553</v>
      </c>
      <c r="D256" s="18">
        <v>25.72820102552991</v>
      </c>
    </row>
    <row r="257" ht="14.25" customHeight="1">
      <c r="A257" s="19">
        <v>70903.0</v>
      </c>
      <c r="B257" s="20" t="s">
        <v>407</v>
      </c>
      <c r="C257" s="17">
        <v>9.294324546482322</v>
      </c>
      <c r="D257" s="18">
        <v>18.970023597635517</v>
      </c>
    </row>
    <row r="258" ht="14.25" customHeight="1">
      <c r="A258" s="19">
        <v>20102.0</v>
      </c>
      <c r="B258" s="20" t="s">
        <v>65</v>
      </c>
      <c r="C258" s="17">
        <v>9.295576231083988</v>
      </c>
      <c r="D258" s="18">
        <v>48.01981420624773</v>
      </c>
    </row>
    <row r="259" ht="14.25" customHeight="1">
      <c r="A259" s="19">
        <v>71003.0</v>
      </c>
      <c r="B259" s="20" t="s">
        <v>412</v>
      </c>
      <c r="C259" s="17">
        <v>9.322503837635416</v>
      </c>
      <c r="D259" s="18">
        <v>17.479578435651735</v>
      </c>
    </row>
    <row r="260" ht="14.25" customHeight="1">
      <c r="A260" s="19">
        <v>11001.0</v>
      </c>
      <c r="B260" s="20" t="s">
        <v>58</v>
      </c>
      <c r="C260" s="17">
        <v>9.505139555372796</v>
      </c>
      <c r="D260" s="18">
        <v>9.347148480247236</v>
      </c>
    </row>
    <row r="261" ht="14.25" customHeight="1">
      <c r="A261" s="19">
        <v>60301.0</v>
      </c>
      <c r="B261" s="20" t="s">
        <v>350</v>
      </c>
      <c r="C261" s="17">
        <v>9.537564421739177</v>
      </c>
      <c r="D261" s="18">
        <v>25.061905740596742</v>
      </c>
    </row>
    <row r="262" ht="14.25" customHeight="1">
      <c r="A262" s="19">
        <v>50204.0</v>
      </c>
      <c r="B262" s="20" t="s">
        <v>297</v>
      </c>
      <c r="C262" s="17">
        <v>9.54813714291672</v>
      </c>
      <c r="D262" s="18">
        <v>2.029594090947473</v>
      </c>
    </row>
    <row r="263" ht="14.25" customHeight="1">
      <c r="A263" s="19">
        <v>31003.0</v>
      </c>
      <c r="B263" s="20" t="s">
        <v>210</v>
      </c>
      <c r="C263" s="17">
        <v>9.767629607304606</v>
      </c>
      <c r="D263" s="18">
        <v>24.119371418234103</v>
      </c>
    </row>
    <row r="264" ht="14.25" customHeight="1">
      <c r="A264" s="19">
        <v>71102.0</v>
      </c>
      <c r="B264" s="20" t="s">
        <v>417</v>
      </c>
      <c r="C264" s="17">
        <v>9.856115830392884</v>
      </c>
      <c r="D264" s="18">
        <v>15.86765347705052</v>
      </c>
    </row>
    <row r="265" ht="14.25" customHeight="1">
      <c r="A265" s="19">
        <v>71302.0</v>
      </c>
      <c r="B265" s="20" t="s">
        <v>426</v>
      </c>
      <c r="C265" s="17">
        <v>10.045874340944799</v>
      </c>
      <c r="D265" s="18">
        <v>19.57478275265252</v>
      </c>
    </row>
    <row r="266" ht="14.25" customHeight="1">
      <c r="A266" s="19">
        <v>30403.0</v>
      </c>
      <c r="B266" s="20" t="s">
        <v>184</v>
      </c>
      <c r="C266" s="17">
        <v>10.115315075533859</v>
      </c>
      <c r="D266" s="18">
        <v>15.069092806443086</v>
      </c>
    </row>
    <row r="267" ht="14.25" customHeight="1">
      <c r="A267" s="19">
        <v>20605.0</v>
      </c>
      <c r="B267" s="20" t="s">
        <v>100</v>
      </c>
      <c r="C267" s="17">
        <v>10.157066207725647</v>
      </c>
      <c r="D267" s="18">
        <v>24.384929262856204</v>
      </c>
    </row>
    <row r="268" ht="14.25" customHeight="1">
      <c r="A268" s="19">
        <v>70202.0</v>
      </c>
      <c r="B268" s="20" t="s">
        <v>372</v>
      </c>
      <c r="C268" s="17">
        <v>10.238576421165368</v>
      </c>
      <c r="D268" s="18">
        <v>22.790557766968515</v>
      </c>
    </row>
    <row r="269" ht="14.25" customHeight="1">
      <c r="A269" s="19">
        <v>71104.0</v>
      </c>
      <c r="B269" s="20" t="s">
        <v>419</v>
      </c>
      <c r="C269" s="17">
        <v>10.746164711110028</v>
      </c>
      <c r="D269" s="18">
        <v>22.64752558067355</v>
      </c>
    </row>
    <row r="270" ht="14.25" customHeight="1">
      <c r="A270" s="19">
        <v>40505.0</v>
      </c>
      <c r="B270" s="20" t="s">
        <v>255</v>
      </c>
      <c r="C270" s="17">
        <v>10.818008647901294</v>
      </c>
      <c r="D270" s="18">
        <v>24.563230628036667</v>
      </c>
    </row>
    <row r="271" ht="14.25" customHeight="1">
      <c r="A271" s="19">
        <v>50801.0</v>
      </c>
      <c r="B271" s="20" t="s">
        <v>317</v>
      </c>
      <c r="C271" s="17">
        <v>10.902527361241363</v>
      </c>
      <c r="D271" s="18">
        <v>20.47359902853008</v>
      </c>
    </row>
    <row r="272" ht="14.25" customHeight="1">
      <c r="A272" s="19">
        <v>51201.0</v>
      </c>
      <c r="B272" s="20" t="s">
        <v>331</v>
      </c>
      <c r="C272" s="17">
        <v>10.963344711678648</v>
      </c>
      <c r="D272" s="18">
        <v>20.592367467441317</v>
      </c>
    </row>
    <row r="273" ht="14.25" customHeight="1">
      <c r="A273" s="19">
        <v>70404.0</v>
      </c>
      <c r="B273" s="20" t="s">
        <v>381</v>
      </c>
      <c r="C273" s="17">
        <v>11.01995406523322</v>
      </c>
      <c r="D273" s="18">
        <v>17.233004430588277</v>
      </c>
    </row>
    <row r="274" ht="14.25" customHeight="1">
      <c r="A274" s="19">
        <v>71103.0</v>
      </c>
      <c r="B274" s="20" t="s">
        <v>418</v>
      </c>
      <c r="C274" s="17">
        <v>11.394629543479716</v>
      </c>
      <c r="D274" s="18">
        <v>33.853714046728776</v>
      </c>
    </row>
    <row r="275" ht="14.25" customHeight="1">
      <c r="A275" s="19">
        <v>31206.0</v>
      </c>
      <c r="B275" s="20" t="s">
        <v>219</v>
      </c>
      <c r="C275" s="17">
        <v>11.54540217512343</v>
      </c>
      <c r="D275" s="18">
        <v>33.536634241755735</v>
      </c>
    </row>
    <row r="276" ht="14.25" customHeight="1">
      <c r="A276" s="19">
        <v>70301.0</v>
      </c>
      <c r="B276" s="20" t="s">
        <v>373</v>
      </c>
      <c r="C276" s="17">
        <v>11.612005360771965</v>
      </c>
      <c r="D276" s="18">
        <v>21.968300460620238</v>
      </c>
    </row>
    <row r="277" ht="14.25" customHeight="1">
      <c r="A277" s="19">
        <v>70402.0</v>
      </c>
      <c r="B277" s="20" t="s">
        <v>379</v>
      </c>
      <c r="C277" s="17">
        <v>11.659555321913087</v>
      </c>
      <c r="D277" s="18">
        <v>16.78050402956296</v>
      </c>
    </row>
    <row r="278" ht="14.25" customHeight="1">
      <c r="A278" s="19">
        <v>30904.0</v>
      </c>
      <c r="B278" s="20" t="s">
        <v>205</v>
      </c>
      <c r="C278" s="17">
        <v>11.866008753245847</v>
      </c>
      <c r="D278" s="18">
        <v>26.627478576543247</v>
      </c>
    </row>
    <row r="279" ht="14.25" customHeight="1">
      <c r="A279" s="19">
        <v>71005.0</v>
      </c>
      <c r="B279" s="20" t="s">
        <v>414</v>
      </c>
      <c r="C279" s="17">
        <v>11.940885419888685</v>
      </c>
      <c r="D279" s="18">
        <v>24.054736869956706</v>
      </c>
    </row>
    <row r="280" ht="14.25" customHeight="1">
      <c r="A280" s="19">
        <v>50104.0</v>
      </c>
      <c r="B280" s="20" t="s">
        <v>292</v>
      </c>
      <c r="C280" s="17">
        <v>12.062510921855182</v>
      </c>
      <c r="D280" s="18">
        <v>2.3673693207992788</v>
      </c>
    </row>
    <row r="281" ht="14.25" customHeight="1">
      <c r="A281" s="19">
        <v>51501.0</v>
      </c>
      <c r="B281" s="20" t="s">
        <v>341</v>
      </c>
      <c r="C281" s="17">
        <v>12.078833421250803</v>
      </c>
      <c r="D281" s="18">
        <v>23.660570274348366</v>
      </c>
    </row>
    <row r="282" ht="14.25" customHeight="1">
      <c r="A282" s="19">
        <v>41501.0</v>
      </c>
      <c r="B282" s="20" t="s">
        <v>281</v>
      </c>
      <c r="C282" s="17">
        <v>12.079112291308748</v>
      </c>
      <c r="D282" s="18">
        <v>68.73642807677227</v>
      </c>
    </row>
    <row r="283" ht="14.25" customHeight="1">
      <c r="A283" s="19">
        <v>30702.0</v>
      </c>
      <c r="B283" s="20" t="s">
        <v>194</v>
      </c>
      <c r="C283" s="17">
        <v>12.122564363487058</v>
      </c>
      <c r="D283" s="18">
        <v>37.9885823119255</v>
      </c>
    </row>
    <row r="284" ht="14.25" customHeight="1">
      <c r="A284" s="19">
        <v>21401.0</v>
      </c>
      <c r="B284" s="20" t="s">
        <v>147</v>
      </c>
      <c r="C284" s="17">
        <v>12.13372158281109</v>
      </c>
      <c r="D284" s="18">
        <v>14.531915533973956</v>
      </c>
    </row>
    <row r="285" ht="14.25" customHeight="1">
      <c r="A285" s="19">
        <v>80303.0</v>
      </c>
      <c r="B285" s="20" t="s">
        <v>445</v>
      </c>
      <c r="C285" s="17">
        <v>12.4233782758164</v>
      </c>
      <c r="D285" s="18">
        <v>8.0587322160901</v>
      </c>
    </row>
    <row r="286" ht="14.25" customHeight="1">
      <c r="A286" s="19">
        <v>60303.0</v>
      </c>
      <c r="B286" s="20" t="s">
        <v>353</v>
      </c>
      <c r="C286" s="17">
        <v>12.447535045265981</v>
      </c>
      <c r="D286" s="18">
        <v>26.250235807791253</v>
      </c>
    </row>
    <row r="287" ht="14.25" customHeight="1">
      <c r="A287" s="19">
        <v>30701.0</v>
      </c>
      <c r="B287" s="20" t="s">
        <v>192</v>
      </c>
      <c r="C287" s="17">
        <v>12.718850007504892</v>
      </c>
      <c r="D287" s="18">
        <v>14.498062609652035</v>
      </c>
    </row>
    <row r="288" ht="14.25" customHeight="1">
      <c r="A288" s="19">
        <v>21103.0</v>
      </c>
      <c r="B288" s="20" t="s">
        <v>131</v>
      </c>
      <c r="C288" s="17">
        <v>13.087923921063476</v>
      </c>
      <c r="D288" s="18">
        <v>11.565092670250431</v>
      </c>
    </row>
    <row r="289" ht="14.25" customHeight="1">
      <c r="A289" s="19">
        <v>20603.0</v>
      </c>
      <c r="B289" s="20" t="s">
        <v>98</v>
      </c>
      <c r="C289" s="17">
        <v>13.114581013492554</v>
      </c>
      <c r="D289" s="18">
        <v>5.433816064889381</v>
      </c>
    </row>
    <row r="290" ht="14.25" customHeight="1">
      <c r="A290" s="19">
        <v>21002.0</v>
      </c>
      <c r="B290" s="20" t="s">
        <v>123</v>
      </c>
      <c r="C290" s="17">
        <v>13.537686958122853</v>
      </c>
      <c r="D290" s="18">
        <v>18.774874105882805</v>
      </c>
    </row>
    <row r="291" ht="14.25" customHeight="1">
      <c r="A291" s="19">
        <v>70502.0</v>
      </c>
      <c r="B291" s="20" t="s">
        <v>384</v>
      </c>
      <c r="C291" s="17">
        <v>13.751189798172193</v>
      </c>
      <c r="D291" s="18">
        <v>32.9199347579165</v>
      </c>
    </row>
    <row r="292" ht="14.25" customHeight="1">
      <c r="A292" s="19">
        <v>71101.0</v>
      </c>
      <c r="B292" s="20" t="s">
        <v>415</v>
      </c>
      <c r="C292" s="17">
        <v>14.179359003713502</v>
      </c>
      <c r="D292" s="18">
        <v>25.879976373079675</v>
      </c>
    </row>
    <row r="293" ht="14.25" customHeight="1">
      <c r="A293" s="19">
        <v>40701.0</v>
      </c>
      <c r="B293" s="20" t="s">
        <v>260</v>
      </c>
      <c r="C293" s="17">
        <v>14.544604962383724</v>
      </c>
      <c r="D293" s="18">
        <v>23.27372153463609</v>
      </c>
    </row>
    <row r="294" ht="14.25" customHeight="1">
      <c r="A294" s="19">
        <v>70601.0</v>
      </c>
      <c r="B294" s="20" t="s">
        <v>386</v>
      </c>
      <c r="C294" s="17">
        <v>14.838506022224662</v>
      </c>
      <c r="D294" s="18">
        <v>31.059648044150357</v>
      </c>
    </row>
    <row r="295" ht="14.25" customHeight="1">
      <c r="A295" s="19">
        <v>30803.0</v>
      </c>
      <c r="B295" s="20" t="s">
        <v>200</v>
      </c>
      <c r="C295" s="17">
        <v>14.942778120784896</v>
      </c>
      <c r="D295" s="18">
        <v>25.220287760153642</v>
      </c>
    </row>
    <row r="296" ht="14.25" customHeight="1">
      <c r="A296" s="19">
        <v>80101.0</v>
      </c>
      <c r="B296" s="20" t="s">
        <v>435</v>
      </c>
      <c r="C296" s="17">
        <v>15.107762572925328</v>
      </c>
      <c r="D296" s="18">
        <v>28.711970687535636</v>
      </c>
    </row>
    <row r="297" ht="14.25" customHeight="1">
      <c r="A297" s="19">
        <v>31404.0</v>
      </c>
      <c r="B297" s="20" t="s">
        <v>229</v>
      </c>
      <c r="C297" s="17">
        <v>15.269690214622148</v>
      </c>
      <c r="D297" s="18">
        <v>1.4853908141122916</v>
      </c>
    </row>
    <row r="298" ht="14.25" customHeight="1">
      <c r="A298" s="19">
        <v>30801.0</v>
      </c>
      <c r="B298" s="20" t="s">
        <v>196</v>
      </c>
      <c r="C298" s="17">
        <v>15.5133784659655</v>
      </c>
      <c r="D298" s="18">
        <v>24.595779646739253</v>
      </c>
    </row>
    <row r="299" ht="14.25" customHeight="1">
      <c r="A299" s="19">
        <v>21004.0</v>
      </c>
      <c r="B299" s="20" t="s">
        <v>125</v>
      </c>
      <c r="C299" s="17">
        <v>16.135901322299524</v>
      </c>
      <c r="D299" s="18">
        <v>27.147975928646215</v>
      </c>
    </row>
    <row r="300" ht="14.25" customHeight="1">
      <c r="A300" s="19">
        <v>71004.0</v>
      </c>
      <c r="B300" s="20" t="s">
        <v>413</v>
      </c>
      <c r="C300" s="17">
        <v>16.257040844380484</v>
      </c>
      <c r="D300" s="18">
        <v>19.72226119407082</v>
      </c>
    </row>
    <row r="301" ht="14.25" customHeight="1">
      <c r="A301" s="19">
        <v>71401.0</v>
      </c>
      <c r="B301" s="20" t="s">
        <v>427</v>
      </c>
      <c r="C301" s="17">
        <v>16.500481191729264</v>
      </c>
      <c r="D301" s="18">
        <v>22.26323717058936</v>
      </c>
    </row>
    <row r="302" ht="14.25" customHeight="1">
      <c r="A302" s="19">
        <v>70603.0</v>
      </c>
      <c r="B302" s="20" t="s">
        <v>389</v>
      </c>
      <c r="C302" s="17">
        <v>16.67765022391514</v>
      </c>
      <c r="D302" s="18">
        <v>72.21261654836275</v>
      </c>
    </row>
    <row r="303" ht="14.25" customHeight="1">
      <c r="A303" s="19">
        <v>70801.0</v>
      </c>
      <c r="B303" s="20" t="s">
        <v>398</v>
      </c>
      <c r="C303" s="17">
        <v>16.983954052511862</v>
      </c>
      <c r="D303" s="18">
        <v>26.542185300186734</v>
      </c>
    </row>
    <row r="304" ht="14.25" customHeight="1">
      <c r="A304" s="19">
        <v>71403.0</v>
      </c>
      <c r="B304" s="20" t="s">
        <v>430</v>
      </c>
      <c r="C304" s="17">
        <v>17.133935386855544</v>
      </c>
      <c r="D304" s="18">
        <v>26.384199339791934</v>
      </c>
    </row>
    <row r="305" ht="14.25" customHeight="1">
      <c r="A305" s="19">
        <v>20105.0</v>
      </c>
      <c r="B305" s="20" t="s">
        <v>68</v>
      </c>
      <c r="C305" s="17">
        <v>17.304050554562135</v>
      </c>
      <c r="D305" s="18">
        <v>33.371374891009374</v>
      </c>
    </row>
    <row r="306" ht="14.25" customHeight="1">
      <c r="A306" s="19">
        <v>20104.0</v>
      </c>
      <c r="B306" s="20" t="s">
        <v>67</v>
      </c>
      <c r="C306" s="17">
        <v>17.495684769495234</v>
      </c>
      <c r="D306" s="18">
        <v>65.46667937822566</v>
      </c>
    </row>
    <row r="307" ht="14.25" customHeight="1">
      <c r="A307" s="19">
        <v>70803.0</v>
      </c>
      <c r="B307" s="20" t="s">
        <v>401</v>
      </c>
      <c r="C307" s="17">
        <v>18.765273341644</v>
      </c>
      <c r="D307" s="18">
        <v>10.959206390582988</v>
      </c>
    </row>
    <row r="308" ht="14.25" customHeight="1">
      <c r="A308" s="19">
        <v>40601.0</v>
      </c>
      <c r="B308" s="20" t="s">
        <v>256</v>
      </c>
      <c r="C308" s="17">
        <v>18.804135651412377</v>
      </c>
      <c r="D308" s="18">
        <v>32.663597367080754</v>
      </c>
    </row>
    <row r="309" ht="14.25" customHeight="1">
      <c r="A309" s="19">
        <v>50203.0</v>
      </c>
      <c r="B309" s="20" t="s">
        <v>296</v>
      </c>
      <c r="C309" s="17">
        <v>18.93402390457133</v>
      </c>
      <c r="D309" s="18">
        <v>18.895748753877353</v>
      </c>
    </row>
    <row r="310" ht="14.25" customHeight="1">
      <c r="A310" s="19">
        <v>60101.0</v>
      </c>
      <c r="B310" s="20" t="s">
        <v>345</v>
      </c>
      <c r="C310" s="17">
        <v>19.201287992837997</v>
      </c>
      <c r="D310" s="18">
        <v>41.0100053942316</v>
      </c>
    </row>
    <row r="311" ht="14.25" customHeight="1">
      <c r="A311" s="19">
        <v>40101.0</v>
      </c>
      <c r="B311" s="20" t="s">
        <v>236</v>
      </c>
      <c r="C311" s="17">
        <v>20.005835515464163</v>
      </c>
      <c r="D311" s="18">
        <v>36.97769845120912</v>
      </c>
    </row>
    <row r="312" ht="14.25" customHeight="1">
      <c r="A312" s="19">
        <v>41503.0</v>
      </c>
      <c r="B312" s="20" t="s">
        <v>284</v>
      </c>
      <c r="C312" s="17">
        <v>20.241315593665067</v>
      </c>
      <c r="D312" s="18">
        <v>56.94145057308044</v>
      </c>
    </row>
    <row r="313" ht="14.25" customHeight="1">
      <c r="A313" s="19">
        <v>20702.0</v>
      </c>
      <c r="B313" s="20" t="s">
        <v>106</v>
      </c>
      <c r="C313" s="17">
        <v>20.487119436123944</v>
      </c>
      <c r="D313" s="18">
        <v>38.206149546182665</v>
      </c>
    </row>
    <row r="314" ht="14.25" customHeight="1">
      <c r="A314" s="19">
        <v>30905.0</v>
      </c>
      <c r="B314" s="20" t="s">
        <v>206</v>
      </c>
      <c r="C314" s="17">
        <v>21.492454528036237</v>
      </c>
      <c r="D314" s="18">
        <v>45.39753531145521</v>
      </c>
    </row>
    <row r="315" ht="14.25" customHeight="1">
      <c r="A315" s="19">
        <v>31001.0</v>
      </c>
      <c r="B315" s="20" t="s">
        <v>207</v>
      </c>
      <c r="C315" s="17">
        <v>21.672436663298136</v>
      </c>
      <c r="D315" s="18">
        <v>34.65206747018954</v>
      </c>
    </row>
    <row r="316" ht="14.25" customHeight="1">
      <c r="A316" s="19">
        <v>31401.0</v>
      </c>
      <c r="B316" s="20" t="s">
        <v>225</v>
      </c>
      <c r="C316" s="17">
        <v>22.875439421575216</v>
      </c>
      <c r="D316" s="18">
        <v>40.725045773867784</v>
      </c>
    </row>
    <row r="317" ht="14.25" customHeight="1">
      <c r="A317" s="19">
        <v>70706.0</v>
      </c>
      <c r="B317" s="20" t="s">
        <v>396</v>
      </c>
      <c r="C317" s="17">
        <v>23.771060184225576</v>
      </c>
      <c r="D317" s="18">
        <v>25.625364312353554</v>
      </c>
    </row>
    <row r="318" ht="14.25" customHeight="1">
      <c r="A318" s="19">
        <v>71106.0</v>
      </c>
      <c r="B318" s="20" t="s">
        <v>421</v>
      </c>
      <c r="C318" s="17">
        <v>24.21476967026582</v>
      </c>
      <c r="D318" s="18">
        <v>39.27637794836691</v>
      </c>
    </row>
    <row r="319" ht="14.25" customHeight="1">
      <c r="A319" s="19">
        <v>30903.0</v>
      </c>
      <c r="B319" s="20" t="s">
        <v>204</v>
      </c>
      <c r="C319" s="17">
        <v>24.790523518632124</v>
      </c>
      <c r="D319" s="18">
        <v>40.22947713295769</v>
      </c>
    </row>
    <row r="320" ht="14.25" customHeight="1">
      <c r="A320" s="19">
        <v>20802.0</v>
      </c>
      <c r="B320" s="20" t="s">
        <v>109</v>
      </c>
      <c r="C320" s="17">
        <v>24.84610454375244</v>
      </c>
      <c r="D320" s="18">
        <v>3.6318279646815395</v>
      </c>
    </row>
    <row r="321" ht="14.25" customHeight="1">
      <c r="A321" s="19">
        <v>10101.0</v>
      </c>
      <c r="B321" s="20" t="s">
        <v>22</v>
      </c>
      <c r="C321" s="17">
        <v>25.426335407836348</v>
      </c>
      <c r="D321" s="18">
        <v>38.75674385232031</v>
      </c>
    </row>
    <row r="322" ht="14.25" customHeight="1">
      <c r="A322" s="19">
        <v>70501.0</v>
      </c>
      <c r="B322" s="20" t="s">
        <v>382</v>
      </c>
      <c r="C322" s="17">
        <v>25.935039935692938</v>
      </c>
      <c r="D322" s="18">
        <v>13.406989612454195</v>
      </c>
    </row>
    <row r="323" ht="14.25" customHeight="1">
      <c r="A323" s="19">
        <v>51003.0</v>
      </c>
      <c r="B323" s="20" t="s">
        <v>326</v>
      </c>
      <c r="C323" s="17">
        <v>25.94236786474604</v>
      </c>
      <c r="D323" s="18">
        <v>3.5625761693613684</v>
      </c>
    </row>
    <row r="324" ht="14.25" customHeight="1">
      <c r="A324" s="19">
        <v>71402.0</v>
      </c>
      <c r="B324" s="20" t="s">
        <v>429</v>
      </c>
      <c r="C324" s="17">
        <v>27.847162488032904</v>
      </c>
      <c r="D324" s="18">
        <v>39.54135585182279</v>
      </c>
    </row>
    <row r="325" ht="14.25" customHeight="1">
      <c r="A325" s="19">
        <v>70102.0</v>
      </c>
      <c r="B325" s="20" t="s">
        <v>365</v>
      </c>
      <c r="C325" s="17">
        <v>28.267379506148576</v>
      </c>
      <c r="D325" s="18">
        <v>56.22813604017292</v>
      </c>
    </row>
    <row r="326" ht="14.25" customHeight="1">
      <c r="A326" s="19">
        <v>50101.0</v>
      </c>
      <c r="B326" s="20" t="s">
        <v>287</v>
      </c>
      <c r="C326" s="17">
        <v>28.556026136146993</v>
      </c>
      <c r="D326" s="18">
        <v>40.48111966119674</v>
      </c>
    </row>
    <row r="327" ht="14.25" customHeight="1">
      <c r="A327" s="19">
        <v>30901.0</v>
      </c>
      <c r="B327" s="20" t="s">
        <v>201</v>
      </c>
      <c r="C327" s="17">
        <v>29.051940184535272</v>
      </c>
      <c r="D327" s="18">
        <v>42.805921646977914</v>
      </c>
    </row>
    <row r="328" ht="14.25" customHeight="1">
      <c r="A328" s="19">
        <v>71001.0</v>
      </c>
      <c r="B328" s="20" t="s">
        <v>409</v>
      </c>
      <c r="C328" s="17">
        <v>32.502009824064096</v>
      </c>
      <c r="D328" s="18">
        <v>40.1699584792438</v>
      </c>
    </row>
    <row r="329" ht="14.25" customHeight="1">
      <c r="A329" s="19">
        <v>70904.0</v>
      </c>
      <c r="B329" s="20" t="s">
        <v>408</v>
      </c>
      <c r="C329" s="17">
        <v>33.83228766768297</v>
      </c>
      <c r="D329" s="18">
        <v>6.595234268087834</v>
      </c>
    </row>
    <row r="330" ht="14.25" customHeight="1">
      <c r="A330" s="19">
        <v>30101.0</v>
      </c>
      <c r="B330" s="20" t="s">
        <v>170</v>
      </c>
      <c r="C330" s="17">
        <v>34.32210725777302</v>
      </c>
      <c r="D330" s="18">
        <v>49.55618387915121</v>
      </c>
    </row>
    <row r="331" ht="14.25" customHeight="1">
      <c r="A331" s="19">
        <v>51601.0</v>
      </c>
      <c r="B331" s="20" t="s">
        <v>343</v>
      </c>
      <c r="C331" s="17">
        <v>34.38090189331731</v>
      </c>
      <c r="D331" s="18">
        <v>7.028129526043014</v>
      </c>
    </row>
    <row r="332" ht="14.25" customHeight="1">
      <c r="A332" s="19">
        <v>51001.0</v>
      </c>
      <c r="B332" s="20" t="s">
        <v>323</v>
      </c>
      <c r="C332" s="17">
        <v>34.51675266956596</v>
      </c>
      <c r="D332" s="18">
        <v>12.378725550457554</v>
      </c>
    </row>
    <row r="333" ht="14.25" customHeight="1">
      <c r="A333" s="19">
        <v>70101.0</v>
      </c>
      <c r="B333" s="20" t="s">
        <v>362</v>
      </c>
      <c r="C333" s="17">
        <v>38.060935698922165</v>
      </c>
      <c r="D333" s="18">
        <v>45.8807344696691</v>
      </c>
    </row>
    <row r="334" ht="14.25" customHeight="1">
      <c r="A334" s="19">
        <v>20101.0</v>
      </c>
      <c r="B334" s="20" t="s">
        <v>62</v>
      </c>
      <c r="C334" s="17">
        <v>38.40082511726136</v>
      </c>
      <c r="D334" s="18">
        <v>52.41354556635448</v>
      </c>
    </row>
    <row r="335" ht="14.25" customHeight="1">
      <c r="A335" s="19">
        <v>11002.0</v>
      </c>
      <c r="B335" s="20" t="s">
        <v>60</v>
      </c>
      <c r="C335" s="17">
        <v>39.263802831210285</v>
      </c>
      <c r="D335" s="18">
        <v>2.4442214610132806</v>
      </c>
    </row>
    <row r="336" ht="14.25" customHeight="1">
      <c r="A336" s="19">
        <v>40603.0</v>
      </c>
      <c r="B336" s="20" t="s">
        <v>259</v>
      </c>
      <c r="C336" s="17">
        <v>39.622317480088626</v>
      </c>
      <c r="D336" s="18">
        <v>59.19422302603677</v>
      </c>
    </row>
    <row r="337" ht="14.25" customHeight="1">
      <c r="A337" s="19">
        <v>70104.0</v>
      </c>
      <c r="B337" s="20" t="s">
        <v>368</v>
      </c>
      <c r="C337" s="17">
        <v>40.12937544647024</v>
      </c>
      <c r="D337" s="18">
        <v>42.825910338834554</v>
      </c>
    </row>
    <row r="338" ht="14.25" customHeight="1">
      <c r="A338" s="19">
        <v>50902.0</v>
      </c>
      <c r="B338" s="20" t="s">
        <v>322</v>
      </c>
      <c r="C338" s="17">
        <v>42.19345265616474</v>
      </c>
      <c r="D338" s="18">
        <v>6.849195057715185</v>
      </c>
    </row>
    <row r="339" ht="14.25" customHeight="1">
      <c r="A339" s="19">
        <v>50802.0</v>
      </c>
      <c r="B339" s="20" t="s">
        <v>319</v>
      </c>
      <c r="C339" s="17">
        <v>45.51107840583575</v>
      </c>
      <c r="D339" s="18">
        <v>42.82350361523545</v>
      </c>
    </row>
    <row r="340" ht="14.25" customHeight="1">
      <c r="A340" s="19">
        <v>51203.0</v>
      </c>
      <c r="B340" s="20" t="s">
        <v>334</v>
      </c>
      <c r="C340" s="17">
        <v>46.55798461797754</v>
      </c>
      <c r="D340" s="18">
        <v>55.25490509703091</v>
      </c>
    </row>
    <row r="341" ht="14.25" customHeight="1">
      <c r="A341" s="19">
        <v>51002.0</v>
      </c>
      <c r="B341" s="20" t="s">
        <v>325</v>
      </c>
      <c r="C341" s="17">
        <v>48.18709237978911</v>
      </c>
      <c r="D341" s="18">
        <v>8.838272181960516</v>
      </c>
    </row>
    <row r="342" ht="14.25" customHeight="1">
      <c r="A342" s="19">
        <v>70103.0</v>
      </c>
      <c r="B342" s="20" t="s">
        <v>367</v>
      </c>
      <c r="C342" s="17">
        <v>51.71791262382918</v>
      </c>
      <c r="D342" s="18">
        <v>81.10969819036825</v>
      </c>
    </row>
    <row r="343" ht="14.25" customHeight="1">
      <c r="A343" s="19">
        <v>70201.0</v>
      </c>
      <c r="B343" s="20" t="s">
        <v>370</v>
      </c>
      <c r="C343" s="17">
        <v>52.256532457020846</v>
      </c>
      <c r="D343" s="18">
        <v>56.291810519607964</v>
      </c>
    </row>
    <row r="344" ht="14.25" customHeight="1">
      <c r="A344" s="22">
        <v>50901.0</v>
      </c>
      <c r="B344" s="23" t="s">
        <v>320</v>
      </c>
      <c r="C344" s="24">
        <v>78.17194873495454</v>
      </c>
      <c r="D344" s="25">
        <v>81.60460891340296</v>
      </c>
    </row>
    <row r="345" ht="14.25" customHeight="1">
      <c r="A345" s="4"/>
      <c r="B345" s="4"/>
      <c r="C345" s="7"/>
      <c r="D345" s="7"/>
    </row>
    <row r="346" ht="14.25" customHeight="1">
      <c r="A346" s="4"/>
      <c r="B346" s="4"/>
      <c r="C346" s="7"/>
      <c r="D346" s="7"/>
    </row>
    <row r="347" ht="14.25" customHeight="1">
      <c r="A347" s="4"/>
      <c r="B347" s="4"/>
      <c r="C347" s="7"/>
      <c r="D347" s="7"/>
    </row>
    <row r="348" ht="14.25" customHeight="1">
      <c r="A348" s="4"/>
      <c r="B348" s="4"/>
      <c r="C348" s="7"/>
      <c r="D348" s="7"/>
    </row>
    <row r="349" ht="14.25" customHeight="1">
      <c r="A349" s="4"/>
      <c r="B349" s="4"/>
      <c r="C349" s="7"/>
      <c r="D349" s="7"/>
    </row>
    <row r="350" ht="14.25" customHeight="1">
      <c r="A350" s="4"/>
      <c r="B350" s="4"/>
      <c r="C350" s="7"/>
      <c r="D350" s="7"/>
    </row>
    <row r="351" ht="14.25" customHeight="1">
      <c r="A351" s="4"/>
      <c r="B351" s="4"/>
      <c r="C351" s="7"/>
      <c r="D351" s="7"/>
    </row>
    <row r="352" ht="14.25" customHeight="1">
      <c r="A352" s="4"/>
      <c r="B352" s="4"/>
      <c r="C352" s="7"/>
      <c r="D352" s="7"/>
    </row>
    <row r="353" ht="14.25" customHeight="1">
      <c r="A353" s="4"/>
      <c r="B353" s="4"/>
      <c r="C353" s="7"/>
      <c r="D353" s="7"/>
    </row>
    <row r="354" ht="14.25" customHeight="1">
      <c r="A354" s="4"/>
      <c r="B354" s="4"/>
      <c r="C354" s="7"/>
      <c r="D354" s="7"/>
    </row>
    <row r="355" ht="14.25" customHeight="1">
      <c r="A355" s="4"/>
      <c r="B355" s="4"/>
      <c r="C355" s="7"/>
      <c r="D355" s="7"/>
    </row>
    <row r="356" ht="14.25" customHeight="1">
      <c r="A356" s="4"/>
      <c r="B356" s="4"/>
      <c r="C356" s="7"/>
      <c r="D356" s="7"/>
    </row>
    <row r="357" ht="14.25" customHeight="1">
      <c r="A357" s="4"/>
      <c r="B357" s="4"/>
      <c r="C357" s="7"/>
      <c r="D357" s="7"/>
    </row>
    <row r="358" ht="14.25" customHeight="1">
      <c r="A358" s="4"/>
      <c r="B358" s="4"/>
      <c r="C358" s="7"/>
      <c r="D358" s="7"/>
    </row>
    <row r="359" ht="14.25" customHeight="1">
      <c r="A359" s="4"/>
      <c r="B359" s="4"/>
      <c r="C359" s="7"/>
      <c r="D359" s="7"/>
    </row>
    <row r="360" ht="14.25" customHeight="1">
      <c r="A360" s="4"/>
      <c r="B360" s="4"/>
      <c r="C360" s="7"/>
      <c r="D360" s="7"/>
    </row>
    <row r="361" ht="14.25" customHeight="1">
      <c r="A361" s="4"/>
      <c r="B361" s="4"/>
      <c r="C361" s="7"/>
      <c r="D361" s="7"/>
    </row>
    <row r="362" ht="14.25" customHeight="1">
      <c r="A362" s="4"/>
      <c r="B362" s="4"/>
      <c r="C362" s="7"/>
      <c r="D362" s="7"/>
    </row>
    <row r="363" ht="14.25" customHeight="1">
      <c r="A363" s="4"/>
      <c r="B363" s="4"/>
      <c r="C363" s="7"/>
      <c r="D363" s="7"/>
    </row>
    <row r="364" ht="14.25" customHeight="1">
      <c r="A364" s="4"/>
      <c r="B364" s="4"/>
      <c r="C364" s="7"/>
      <c r="D364" s="7"/>
    </row>
    <row r="365" ht="14.25" customHeight="1">
      <c r="A365" s="4"/>
      <c r="B365" s="4"/>
      <c r="C365" s="7"/>
      <c r="D365" s="7"/>
    </row>
    <row r="366" ht="14.25" customHeight="1">
      <c r="A366" s="4"/>
      <c r="B366" s="4"/>
      <c r="C366" s="7"/>
      <c r="D366" s="7"/>
    </row>
    <row r="367" ht="14.25" customHeight="1">
      <c r="A367" s="4"/>
      <c r="B367" s="4"/>
      <c r="C367" s="7"/>
      <c r="D367" s="7"/>
    </row>
    <row r="368" ht="14.25" customHeight="1">
      <c r="A368" s="4"/>
      <c r="B368" s="4"/>
      <c r="C368" s="7"/>
      <c r="D368" s="7"/>
    </row>
    <row r="369" ht="14.25" customHeight="1">
      <c r="A369" s="4"/>
      <c r="B369" s="4"/>
      <c r="C369" s="7"/>
      <c r="D369" s="7"/>
    </row>
    <row r="370" ht="14.25" customHeight="1">
      <c r="A370" s="4"/>
      <c r="B370" s="4"/>
      <c r="C370" s="7"/>
      <c r="D370" s="7"/>
    </row>
    <row r="371" ht="14.25" customHeight="1">
      <c r="A371" s="4"/>
      <c r="B371" s="4"/>
      <c r="C371" s="7"/>
      <c r="D371" s="7"/>
    </row>
    <row r="372" ht="14.25" customHeight="1">
      <c r="A372" s="4"/>
      <c r="B372" s="4"/>
      <c r="C372" s="7"/>
      <c r="D372" s="7"/>
    </row>
    <row r="373" ht="14.25" customHeight="1">
      <c r="A373" s="4"/>
      <c r="B373" s="4"/>
      <c r="C373" s="7"/>
      <c r="D373" s="7"/>
    </row>
    <row r="374" ht="14.25" customHeight="1">
      <c r="A374" s="4"/>
      <c r="B374" s="4"/>
      <c r="C374" s="7"/>
      <c r="D374" s="7"/>
    </row>
    <row r="375" ht="14.25" customHeight="1">
      <c r="A375" s="4"/>
      <c r="B375" s="4"/>
      <c r="C375" s="7"/>
      <c r="D375" s="7"/>
    </row>
    <row r="376" ht="14.25" customHeight="1">
      <c r="A376" s="4"/>
      <c r="B376" s="4"/>
      <c r="C376" s="7"/>
      <c r="D376" s="7"/>
    </row>
    <row r="377" ht="14.25" customHeight="1">
      <c r="A377" s="4"/>
      <c r="B377" s="4"/>
      <c r="C377" s="7"/>
      <c r="D377" s="7"/>
    </row>
    <row r="378" ht="14.25" customHeight="1">
      <c r="A378" s="4"/>
      <c r="B378" s="4"/>
      <c r="C378" s="7"/>
      <c r="D378" s="7"/>
    </row>
    <row r="379" ht="14.25" customHeight="1">
      <c r="A379" s="4"/>
      <c r="B379" s="4"/>
      <c r="C379" s="7"/>
      <c r="D379" s="7"/>
    </row>
    <row r="380" ht="14.25" customHeight="1">
      <c r="A380" s="4"/>
      <c r="B380" s="4"/>
      <c r="C380" s="7"/>
      <c r="D380" s="7"/>
    </row>
    <row r="381" ht="14.25" customHeight="1">
      <c r="A381" s="4"/>
      <c r="B381" s="4"/>
      <c r="C381" s="7"/>
      <c r="D381" s="7"/>
    </row>
    <row r="382" ht="14.25" customHeight="1">
      <c r="A382" s="4"/>
      <c r="B382" s="4"/>
      <c r="C382" s="7"/>
      <c r="D382" s="7"/>
    </row>
    <row r="383" ht="14.25" customHeight="1">
      <c r="A383" s="4"/>
      <c r="B383" s="4"/>
      <c r="C383" s="7"/>
      <c r="D383" s="7"/>
    </row>
    <row r="384" ht="14.25" customHeight="1">
      <c r="A384" s="4"/>
      <c r="B384" s="4"/>
      <c r="C384" s="7"/>
      <c r="D384" s="7"/>
    </row>
    <row r="385" ht="14.25" customHeight="1">
      <c r="A385" s="4"/>
      <c r="B385" s="4"/>
      <c r="C385" s="7"/>
      <c r="D385" s="7"/>
    </row>
    <row r="386" ht="14.25" customHeight="1">
      <c r="A386" s="4"/>
      <c r="B386" s="4"/>
      <c r="C386" s="7"/>
      <c r="D386" s="7"/>
    </row>
    <row r="387" ht="14.25" customHeight="1">
      <c r="A387" s="4"/>
      <c r="B387" s="4"/>
      <c r="C387" s="7"/>
      <c r="D387" s="7"/>
    </row>
    <row r="388" ht="14.25" customHeight="1">
      <c r="A388" s="4"/>
      <c r="B388" s="4"/>
      <c r="C388" s="7"/>
      <c r="D388" s="7"/>
    </row>
    <row r="389" ht="14.25" customHeight="1">
      <c r="A389" s="4"/>
      <c r="B389" s="4"/>
      <c r="C389" s="7"/>
      <c r="D389" s="7"/>
    </row>
    <row r="390" ht="14.25" customHeight="1">
      <c r="A390" s="4"/>
      <c r="B390" s="4"/>
      <c r="C390" s="7"/>
      <c r="D390" s="7"/>
    </row>
    <row r="391" ht="14.25" customHeight="1">
      <c r="A391" s="4"/>
      <c r="B391" s="4"/>
      <c r="C391" s="7"/>
      <c r="D391" s="7"/>
    </row>
    <row r="392" ht="14.25" customHeight="1">
      <c r="A392" s="4"/>
      <c r="B392" s="4"/>
      <c r="C392" s="7"/>
      <c r="D392" s="7"/>
    </row>
    <row r="393" ht="14.25" customHeight="1">
      <c r="A393" s="4"/>
      <c r="B393" s="4"/>
      <c r="C393" s="7"/>
      <c r="D393" s="7"/>
    </row>
    <row r="394" ht="14.25" customHeight="1">
      <c r="A394" s="4"/>
      <c r="B394" s="4"/>
      <c r="C394" s="7"/>
      <c r="D394" s="7"/>
    </row>
    <row r="395" ht="14.25" customHeight="1">
      <c r="A395" s="4"/>
      <c r="B395" s="4"/>
      <c r="C395" s="7"/>
      <c r="D395" s="7"/>
    </row>
    <row r="396" ht="14.25" customHeight="1">
      <c r="A396" s="4"/>
      <c r="B396" s="4"/>
      <c r="C396" s="7"/>
      <c r="D396" s="7"/>
    </row>
    <row r="397" ht="14.25" customHeight="1">
      <c r="A397" s="4"/>
      <c r="B397" s="4"/>
      <c r="C397" s="7"/>
      <c r="D397" s="7"/>
    </row>
    <row r="398" ht="14.25" customHeight="1">
      <c r="A398" s="4"/>
      <c r="B398" s="4"/>
      <c r="C398" s="7"/>
      <c r="D398" s="7"/>
    </row>
    <row r="399" ht="14.25" customHeight="1">
      <c r="A399" s="4"/>
      <c r="B399" s="4"/>
      <c r="C399" s="7"/>
      <c r="D399" s="7"/>
    </row>
    <row r="400" ht="14.25" customHeight="1">
      <c r="A400" s="4"/>
      <c r="B400" s="4"/>
      <c r="C400" s="7"/>
      <c r="D400" s="7"/>
    </row>
    <row r="401" ht="14.25" customHeight="1">
      <c r="A401" s="4"/>
      <c r="B401" s="4"/>
      <c r="C401" s="7"/>
      <c r="D401" s="7"/>
    </row>
    <row r="402" ht="14.25" customHeight="1">
      <c r="A402" s="4"/>
      <c r="B402" s="4"/>
      <c r="C402" s="7"/>
      <c r="D402" s="7"/>
    </row>
    <row r="403" ht="14.25" customHeight="1">
      <c r="A403" s="4"/>
      <c r="B403" s="4"/>
      <c r="C403" s="7"/>
      <c r="D403" s="7"/>
    </row>
    <row r="404" ht="14.25" customHeight="1">
      <c r="A404" s="4"/>
      <c r="B404" s="4"/>
      <c r="C404" s="7"/>
      <c r="D404" s="7"/>
    </row>
    <row r="405" ht="14.25" customHeight="1">
      <c r="A405" s="4"/>
      <c r="B405" s="4"/>
      <c r="C405" s="7"/>
      <c r="D405" s="7"/>
    </row>
    <row r="406" ht="14.25" customHeight="1">
      <c r="A406" s="4"/>
      <c r="B406" s="4"/>
      <c r="C406" s="7"/>
      <c r="D406" s="7"/>
    </row>
    <row r="407" ht="14.25" customHeight="1">
      <c r="A407" s="4"/>
      <c r="B407" s="4"/>
      <c r="C407" s="7"/>
      <c r="D407" s="7"/>
    </row>
    <row r="408" ht="14.25" customHeight="1">
      <c r="A408" s="4"/>
      <c r="B408" s="4"/>
      <c r="C408" s="7"/>
      <c r="D408" s="7"/>
    </row>
    <row r="409" ht="14.25" customHeight="1">
      <c r="A409" s="4"/>
      <c r="B409" s="4"/>
      <c r="C409" s="7"/>
      <c r="D409" s="7"/>
    </row>
    <row r="410" ht="14.25" customHeight="1">
      <c r="A410" s="4"/>
      <c r="B410" s="4"/>
      <c r="C410" s="7"/>
      <c r="D410" s="7"/>
    </row>
    <row r="411" ht="14.25" customHeight="1">
      <c r="A411" s="4"/>
      <c r="B411" s="4"/>
      <c r="C411" s="7"/>
      <c r="D411" s="7"/>
    </row>
    <row r="412" ht="14.25" customHeight="1">
      <c r="A412" s="4"/>
      <c r="B412" s="4"/>
      <c r="C412" s="7"/>
      <c r="D412" s="7"/>
    </row>
    <row r="413" ht="14.25" customHeight="1">
      <c r="A413" s="4"/>
      <c r="B413" s="4"/>
      <c r="C413" s="7"/>
      <c r="D413" s="7"/>
    </row>
    <row r="414" ht="14.25" customHeight="1">
      <c r="A414" s="4"/>
      <c r="B414" s="4"/>
      <c r="C414" s="7"/>
      <c r="D414" s="7"/>
    </row>
    <row r="415" ht="14.25" customHeight="1">
      <c r="A415" s="4"/>
      <c r="B415" s="4"/>
      <c r="C415" s="7"/>
      <c r="D415" s="7"/>
    </row>
    <row r="416" ht="14.25" customHeight="1">
      <c r="A416" s="4"/>
      <c r="B416" s="4"/>
      <c r="C416" s="7"/>
      <c r="D416" s="7"/>
    </row>
    <row r="417" ht="14.25" customHeight="1">
      <c r="A417" s="4"/>
      <c r="B417" s="4"/>
      <c r="C417" s="7"/>
      <c r="D417" s="7"/>
    </row>
    <row r="418" ht="14.25" customHeight="1">
      <c r="A418" s="4"/>
      <c r="B418" s="4"/>
      <c r="C418" s="7"/>
      <c r="D418" s="7"/>
    </row>
    <row r="419" ht="14.25" customHeight="1">
      <c r="A419" s="4"/>
      <c r="B419" s="4"/>
      <c r="C419" s="7"/>
      <c r="D419" s="7"/>
    </row>
    <row r="420" ht="14.25" customHeight="1">
      <c r="A420" s="4"/>
      <c r="B420" s="4"/>
      <c r="C420" s="7"/>
      <c r="D420" s="7"/>
    </row>
    <row r="421" ht="14.25" customHeight="1">
      <c r="A421" s="4"/>
      <c r="B421" s="4"/>
      <c r="C421" s="7"/>
      <c r="D421" s="7"/>
    </row>
    <row r="422" ht="14.25" customHeight="1">
      <c r="A422" s="4"/>
      <c r="B422" s="4"/>
      <c r="C422" s="7"/>
      <c r="D422" s="7"/>
    </row>
    <row r="423" ht="14.25" customHeight="1">
      <c r="A423" s="4"/>
      <c r="B423" s="4"/>
      <c r="C423" s="7"/>
      <c r="D423" s="7"/>
    </row>
    <row r="424" ht="14.25" customHeight="1">
      <c r="A424" s="4"/>
      <c r="B424" s="4"/>
      <c r="C424" s="7"/>
      <c r="D424" s="7"/>
    </row>
    <row r="425" ht="14.25" customHeight="1">
      <c r="A425" s="4"/>
      <c r="B425" s="4"/>
      <c r="C425" s="7"/>
      <c r="D425" s="7"/>
    </row>
    <row r="426" ht="14.25" customHeight="1">
      <c r="A426" s="4"/>
      <c r="B426" s="4"/>
      <c r="C426" s="7"/>
      <c r="D426" s="7"/>
    </row>
    <row r="427" ht="14.25" customHeight="1">
      <c r="A427" s="4"/>
      <c r="B427" s="4"/>
      <c r="C427" s="7"/>
      <c r="D427" s="7"/>
    </row>
    <row r="428" ht="14.25" customHeight="1">
      <c r="A428" s="4"/>
      <c r="B428" s="4"/>
      <c r="C428" s="7"/>
      <c r="D428" s="7"/>
    </row>
    <row r="429" ht="14.25" customHeight="1">
      <c r="A429" s="4"/>
      <c r="B429" s="4"/>
      <c r="C429" s="7"/>
      <c r="D429" s="7"/>
    </row>
    <row r="430" ht="14.25" customHeight="1">
      <c r="A430" s="4"/>
      <c r="B430" s="4"/>
      <c r="C430" s="7"/>
      <c r="D430" s="7"/>
    </row>
    <row r="431" ht="14.25" customHeight="1">
      <c r="A431" s="4"/>
      <c r="B431" s="4"/>
      <c r="C431" s="7"/>
      <c r="D431" s="7"/>
    </row>
    <row r="432" ht="14.25" customHeight="1">
      <c r="A432" s="4"/>
      <c r="B432" s="4"/>
      <c r="C432" s="7"/>
      <c r="D432" s="7"/>
    </row>
    <row r="433" ht="14.25" customHeight="1">
      <c r="A433" s="4"/>
      <c r="B433" s="4"/>
      <c r="C433" s="7"/>
      <c r="D433" s="7"/>
    </row>
    <row r="434" ht="14.25" customHeight="1">
      <c r="A434" s="4"/>
      <c r="B434" s="4"/>
      <c r="C434" s="7"/>
      <c r="D434" s="7"/>
    </row>
    <row r="435" ht="14.25" customHeight="1">
      <c r="A435" s="4"/>
      <c r="B435" s="4"/>
      <c r="C435" s="7"/>
      <c r="D435" s="7"/>
    </row>
    <row r="436" ht="14.25" customHeight="1">
      <c r="A436" s="4"/>
      <c r="B436" s="4"/>
      <c r="C436" s="7"/>
      <c r="D436" s="7"/>
    </row>
    <row r="437" ht="14.25" customHeight="1">
      <c r="A437" s="4"/>
      <c r="B437" s="4"/>
      <c r="C437" s="7"/>
      <c r="D437" s="7"/>
    </row>
    <row r="438" ht="14.25" customHeight="1">
      <c r="A438" s="4"/>
      <c r="B438" s="4"/>
      <c r="C438" s="7"/>
      <c r="D438" s="7"/>
    </row>
    <row r="439" ht="14.25" customHeight="1">
      <c r="A439" s="4"/>
      <c r="B439" s="4"/>
      <c r="C439" s="7"/>
      <c r="D439" s="7"/>
    </row>
    <row r="440" ht="14.25" customHeight="1">
      <c r="A440" s="4"/>
      <c r="B440" s="4"/>
      <c r="C440" s="7"/>
      <c r="D440" s="7"/>
    </row>
    <row r="441" ht="14.25" customHeight="1">
      <c r="A441" s="4"/>
      <c r="B441" s="4"/>
      <c r="C441" s="7"/>
      <c r="D441" s="7"/>
    </row>
    <row r="442" ht="14.25" customHeight="1">
      <c r="A442" s="4"/>
      <c r="B442" s="4"/>
      <c r="C442" s="7"/>
      <c r="D442" s="7"/>
    </row>
    <row r="443" ht="14.25" customHeight="1">
      <c r="A443" s="4"/>
      <c r="B443" s="4"/>
      <c r="C443" s="7"/>
      <c r="D443" s="7"/>
    </row>
    <row r="444" ht="14.25" customHeight="1">
      <c r="A444" s="4"/>
      <c r="B444" s="4"/>
      <c r="C444" s="7"/>
      <c r="D444" s="7"/>
    </row>
    <row r="445" ht="14.25" customHeight="1">
      <c r="A445" s="4"/>
      <c r="B445" s="4"/>
      <c r="C445" s="7"/>
      <c r="D445" s="7"/>
    </row>
    <row r="446" ht="14.25" customHeight="1">
      <c r="A446" s="4"/>
      <c r="B446" s="4"/>
      <c r="C446" s="7"/>
      <c r="D446" s="7"/>
    </row>
    <row r="447" ht="14.25" customHeight="1">
      <c r="A447" s="4"/>
      <c r="B447" s="4"/>
      <c r="C447" s="7"/>
      <c r="D447" s="7"/>
    </row>
    <row r="448" ht="14.25" customHeight="1">
      <c r="A448" s="4"/>
      <c r="B448" s="4"/>
      <c r="C448" s="7"/>
      <c r="D448" s="7"/>
    </row>
    <row r="449" ht="14.25" customHeight="1">
      <c r="A449" s="4"/>
      <c r="B449" s="4"/>
      <c r="C449" s="7"/>
      <c r="D449" s="7"/>
    </row>
    <row r="450" ht="14.25" customHeight="1">
      <c r="A450" s="4"/>
      <c r="B450" s="4"/>
      <c r="C450" s="7"/>
      <c r="D450" s="7"/>
    </row>
    <row r="451" ht="14.25" customHeight="1">
      <c r="A451" s="4"/>
      <c r="B451" s="4"/>
      <c r="C451" s="7"/>
      <c r="D451" s="7"/>
    </row>
    <row r="452" ht="14.25" customHeight="1">
      <c r="A452" s="4"/>
      <c r="B452" s="4"/>
      <c r="C452" s="7"/>
      <c r="D452" s="7"/>
    </row>
    <row r="453" ht="14.25" customHeight="1">
      <c r="A453" s="4"/>
      <c r="B453" s="4"/>
      <c r="C453" s="7"/>
      <c r="D453" s="7"/>
    </row>
    <row r="454" ht="14.25" customHeight="1">
      <c r="A454" s="4"/>
      <c r="B454" s="4"/>
      <c r="C454" s="7"/>
      <c r="D454" s="7"/>
    </row>
    <row r="455" ht="14.25" customHeight="1">
      <c r="A455" s="4"/>
      <c r="B455" s="4"/>
      <c r="C455" s="7"/>
      <c r="D455" s="7"/>
    </row>
    <row r="456" ht="14.25" customHeight="1">
      <c r="A456" s="4"/>
      <c r="B456" s="4"/>
      <c r="C456" s="7"/>
      <c r="D456" s="7"/>
    </row>
    <row r="457" ht="14.25" customHeight="1">
      <c r="A457" s="4"/>
      <c r="B457" s="4"/>
      <c r="C457" s="7"/>
      <c r="D457" s="7"/>
    </row>
    <row r="458" ht="14.25" customHeight="1">
      <c r="A458" s="4"/>
      <c r="B458" s="4"/>
      <c r="C458" s="7"/>
      <c r="D458" s="7"/>
    </row>
    <row r="459" ht="14.25" customHeight="1">
      <c r="A459" s="4"/>
      <c r="B459" s="4"/>
      <c r="C459" s="7"/>
      <c r="D459" s="7"/>
    </row>
    <row r="460" ht="14.25" customHeight="1">
      <c r="A460" s="4"/>
      <c r="B460" s="4"/>
      <c r="C460" s="7"/>
      <c r="D460" s="7"/>
    </row>
    <row r="461" ht="14.25" customHeight="1">
      <c r="A461" s="4"/>
      <c r="B461" s="4"/>
      <c r="C461" s="7"/>
      <c r="D461" s="7"/>
    </row>
    <row r="462" ht="14.25" customHeight="1">
      <c r="A462" s="4"/>
      <c r="B462" s="4"/>
      <c r="C462" s="7"/>
      <c r="D462" s="7"/>
    </row>
    <row r="463" ht="14.25" customHeight="1">
      <c r="A463" s="4"/>
      <c r="B463" s="4"/>
      <c r="C463" s="7"/>
      <c r="D463" s="7"/>
    </row>
    <row r="464" ht="14.25" customHeight="1">
      <c r="A464" s="4"/>
      <c r="B464" s="4"/>
      <c r="C464" s="7"/>
      <c r="D464" s="7"/>
    </row>
    <row r="465" ht="14.25" customHeight="1">
      <c r="A465" s="4"/>
      <c r="B465" s="4"/>
      <c r="C465" s="7"/>
      <c r="D465" s="7"/>
    </row>
    <row r="466" ht="14.25" customHeight="1">
      <c r="A466" s="4"/>
      <c r="B466" s="4"/>
      <c r="C466" s="7"/>
      <c r="D466" s="7"/>
    </row>
    <row r="467" ht="14.25" customHeight="1">
      <c r="A467" s="4"/>
      <c r="B467" s="4"/>
      <c r="C467" s="7"/>
      <c r="D467" s="7"/>
    </row>
    <row r="468" ht="14.25" customHeight="1">
      <c r="A468" s="4"/>
      <c r="B468" s="4"/>
      <c r="C468" s="7"/>
      <c r="D468" s="7"/>
    </row>
    <row r="469" ht="14.25" customHeight="1">
      <c r="A469" s="4"/>
      <c r="B469" s="4"/>
      <c r="C469" s="7"/>
      <c r="D469" s="7"/>
    </row>
    <row r="470" ht="14.25" customHeight="1">
      <c r="A470" s="4"/>
      <c r="B470" s="4"/>
      <c r="C470" s="7"/>
      <c r="D470" s="7"/>
    </row>
    <row r="471" ht="14.25" customHeight="1">
      <c r="A471" s="4"/>
      <c r="B471" s="4"/>
      <c r="C471" s="7"/>
      <c r="D471" s="7"/>
    </row>
    <row r="472" ht="14.25" customHeight="1">
      <c r="A472" s="4"/>
      <c r="B472" s="4"/>
      <c r="C472" s="7"/>
      <c r="D472" s="7"/>
    </row>
    <row r="473" ht="14.25" customHeight="1">
      <c r="A473" s="4"/>
      <c r="B473" s="4"/>
      <c r="C473" s="7"/>
      <c r="D473" s="7"/>
    </row>
    <row r="474" ht="14.25" customHeight="1">
      <c r="A474" s="4"/>
      <c r="B474" s="4"/>
      <c r="C474" s="7"/>
      <c r="D474" s="7"/>
    </row>
    <row r="475" ht="14.25" customHeight="1">
      <c r="A475" s="4"/>
      <c r="B475" s="4"/>
      <c r="C475" s="7"/>
      <c r="D475" s="7"/>
    </row>
    <row r="476" ht="14.25" customHeight="1">
      <c r="A476" s="4"/>
      <c r="B476" s="4"/>
      <c r="C476" s="7"/>
      <c r="D476" s="7"/>
    </row>
    <row r="477" ht="14.25" customHeight="1">
      <c r="A477" s="4"/>
      <c r="B477" s="4"/>
      <c r="C477" s="7"/>
      <c r="D477" s="7"/>
    </row>
    <row r="478" ht="14.25" customHeight="1">
      <c r="A478" s="4"/>
      <c r="B478" s="4"/>
      <c r="C478" s="7"/>
      <c r="D478" s="7"/>
    </row>
    <row r="479" ht="14.25" customHeight="1">
      <c r="A479" s="4"/>
      <c r="B479" s="4"/>
      <c r="C479" s="7"/>
      <c r="D479" s="7"/>
    </row>
    <row r="480" ht="14.25" customHeight="1">
      <c r="A480" s="4"/>
      <c r="B480" s="4"/>
      <c r="C480" s="7"/>
      <c r="D480" s="7"/>
    </row>
    <row r="481" ht="14.25" customHeight="1">
      <c r="A481" s="4"/>
      <c r="B481" s="4"/>
      <c r="C481" s="7"/>
      <c r="D481" s="7"/>
    </row>
    <row r="482" ht="14.25" customHeight="1">
      <c r="A482" s="4"/>
      <c r="B482" s="4"/>
      <c r="C482" s="7"/>
      <c r="D482" s="7"/>
    </row>
    <row r="483" ht="14.25" customHeight="1">
      <c r="A483" s="4"/>
      <c r="B483" s="4"/>
      <c r="C483" s="7"/>
      <c r="D483" s="7"/>
    </row>
    <row r="484" ht="14.25" customHeight="1">
      <c r="A484" s="4"/>
      <c r="B484" s="4"/>
      <c r="C484" s="7"/>
      <c r="D484" s="7"/>
    </row>
    <row r="485" ht="14.25" customHeight="1">
      <c r="A485" s="4"/>
      <c r="B485" s="4"/>
      <c r="C485" s="7"/>
      <c r="D485" s="7"/>
    </row>
    <row r="486" ht="14.25" customHeight="1">
      <c r="A486" s="4"/>
      <c r="B486" s="4"/>
      <c r="C486" s="7"/>
      <c r="D486" s="7"/>
    </row>
    <row r="487" ht="14.25" customHeight="1">
      <c r="A487" s="4"/>
      <c r="B487" s="4"/>
      <c r="C487" s="7"/>
      <c r="D487" s="7"/>
    </row>
    <row r="488" ht="14.25" customHeight="1">
      <c r="A488" s="4"/>
      <c r="B488" s="4"/>
      <c r="C488" s="7"/>
      <c r="D488" s="7"/>
    </row>
    <row r="489" ht="14.25" customHeight="1">
      <c r="A489" s="4"/>
      <c r="B489" s="4"/>
      <c r="C489" s="7"/>
      <c r="D489" s="7"/>
    </row>
    <row r="490" ht="14.25" customHeight="1">
      <c r="A490" s="4"/>
      <c r="B490" s="4"/>
      <c r="C490" s="7"/>
      <c r="D490" s="7"/>
    </row>
    <row r="491" ht="14.25" customHeight="1">
      <c r="A491" s="4"/>
      <c r="B491" s="4"/>
      <c r="C491" s="7"/>
      <c r="D491" s="7"/>
    </row>
    <row r="492" ht="14.25" customHeight="1">
      <c r="A492" s="4"/>
      <c r="B492" s="4"/>
      <c r="C492" s="7"/>
      <c r="D492" s="7"/>
    </row>
    <row r="493" ht="14.25" customHeight="1">
      <c r="A493" s="4"/>
      <c r="B493" s="4"/>
      <c r="C493" s="7"/>
      <c r="D493" s="7"/>
    </row>
    <row r="494" ht="14.25" customHeight="1">
      <c r="A494" s="4"/>
      <c r="B494" s="4"/>
      <c r="C494" s="7"/>
      <c r="D494" s="7"/>
    </row>
    <row r="495" ht="14.25" customHeight="1">
      <c r="A495" s="4"/>
      <c r="B495" s="4"/>
      <c r="C495" s="7"/>
      <c r="D495" s="7"/>
    </row>
    <row r="496" ht="14.25" customHeight="1">
      <c r="A496" s="4"/>
      <c r="B496" s="4"/>
      <c r="C496" s="7"/>
      <c r="D496" s="7"/>
    </row>
    <row r="497" ht="14.25" customHeight="1">
      <c r="A497" s="4"/>
      <c r="B497" s="4"/>
      <c r="C497" s="7"/>
      <c r="D497" s="7"/>
    </row>
    <row r="498" ht="14.25" customHeight="1">
      <c r="A498" s="4"/>
      <c r="B498" s="4"/>
      <c r="C498" s="7"/>
      <c r="D498" s="7"/>
    </row>
    <row r="499" ht="14.25" customHeight="1">
      <c r="A499" s="4"/>
      <c r="B499" s="4"/>
      <c r="C499" s="7"/>
      <c r="D499" s="7"/>
    </row>
    <row r="500" ht="14.25" customHeight="1">
      <c r="A500" s="4"/>
      <c r="B500" s="4"/>
      <c r="C500" s="7"/>
      <c r="D500" s="7"/>
    </row>
    <row r="501" ht="14.25" customHeight="1">
      <c r="A501" s="4"/>
      <c r="B501" s="4"/>
      <c r="C501" s="7"/>
      <c r="D501" s="7"/>
    </row>
    <row r="502" ht="14.25" customHeight="1">
      <c r="A502" s="4"/>
      <c r="B502" s="4"/>
      <c r="C502" s="7"/>
      <c r="D502" s="7"/>
    </row>
    <row r="503" ht="14.25" customHeight="1">
      <c r="A503" s="4"/>
      <c r="B503" s="4"/>
      <c r="C503" s="7"/>
      <c r="D503" s="7"/>
    </row>
    <row r="504" ht="14.25" customHeight="1">
      <c r="A504" s="4"/>
      <c r="B504" s="4"/>
      <c r="C504" s="7"/>
      <c r="D504" s="7"/>
    </row>
    <row r="505" ht="14.25" customHeight="1">
      <c r="A505" s="4"/>
      <c r="B505" s="4"/>
      <c r="C505" s="7"/>
      <c r="D505" s="7"/>
    </row>
    <row r="506" ht="14.25" customHeight="1">
      <c r="A506" s="4"/>
      <c r="B506" s="4"/>
      <c r="C506" s="7"/>
      <c r="D506" s="7"/>
    </row>
    <row r="507" ht="14.25" customHeight="1">
      <c r="A507" s="4"/>
      <c r="B507" s="4"/>
      <c r="C507" s="7"/>
      <c r="D507" s="7"/>
    </row>
    <row r="508" ht="14.25" customHeight="1">
      <c r="A508" s="4"/>
      <c r="B508" s="4"/>
      <c r="C508" s="7"/>
      <c r="D508" s="7"/>
    </row>
    <row r="509" ht="14.25" customHeight="1">
      <c r="A509" s="4"/>
      <c r="B509" s="4"/>
      <c r="C509" s="7"/>
      <c r="D509" s="7"/>
    </row>
    <row r="510" ht="14.25" customHeight="1">
      <c r="A510" s="4"/>
      <c r="B510" s="4"/>
      <c r="C510" s="7"/>
      <c r="D510" s="7"/>
    </row>
    <row r="511" ht="14.25" customHeight="1">
      <c r="A511" s="4"/>
      <c r="B511" s="4"/>
      <c r="C511" s="7"/>
      <c r="D511" s="7"/>
    </row>
    <row r="512" ht="14.25" customHeight="1">
      <c r="A512" s="4"/>
      <c r="B512" s="4"/>
      <c r="C512" s="7"/>
      <c r="D512" s="7"/>
    </row>
    <row r="513" ht="14.25" customHeight="1">
      <c r="A513" s="4"/>
      <c r="B513" s="4"/>
      <c r="C513" s="7"/>
      <c r="D513" s="7"/>
    </row>
    <row r="514" ht="14.25" customHeight="1">
      <c r="A514" s="4"/>
      <c r="B514" s="4"/>
      <c r="C514" s="7"/>
      <c r="D514" s="7"/>
    </row>
    <row r="515" ht="14.25" customHeight="1">
      <c r="A515" s="4"/>
      <c r="B515" s="4"/>
      <c r="C515" s="7"/>
      <c r="D515" s="7"/>
    </row>
    <row r="516" ht="14.25" customHeight="1">
      <c r="A516" s="4"/>
      <c r="B516" s="4"/>
      <c r="C516" s="7"/>
      <c r="D516" s="7"/>
    </row>
    <row r="517" ht="14.25" customHeight="1">
      <c r="A517" s="4"/>
      <c r="B517" s="4"/>
      <c r="C517" s="7"/>
      <c r="D517" s="7"/>
    </row>
    <row r="518" ht="14.25" customHeight="1">
      <c r="A518" s="4"/>
      <c r="B518" s="4"/>
      <c r="C518" s="7"/>
      <c r="D518" s="7"/>
    </row>
    <row r="519" ht="14.25" customHeight="1">
      <c r="A519" s="4"/>
      <c r="B519" s="4"/>
      <c r="C519" s="7"/>
      <c r="D519" s="7"/>
    </row>
    <row r="520" ht="14.25" customHeight="1">
      <c r="A520" s="4"/>
      <c r="B520" s="4"/>
      <c r="C520" s="7"/>
      <c r="D520" s="7"/>
    </row>
    <row r="521" ht="14.25" customHeight="1">
      <c r="A521" s="4"/>
      <c r="B521" s="4"/>
      <c r="C521" s="7"/>
      <c r="D521" s="7"/>
    </row>
    <row r="522" ht="14.25" customHeight="1">
      <c r="A522" s="4"/>
      <c r="B522" s="4"/>
      <c r="C522" s="7"/>
      <c r="D522" s="7"/>
    </row>
    <row r="523" ht="14.25" customHeight="1">
      <c r="A523" s="4"/>
      <c r="B523" s="4"/>
      <c r="C523" s="7"/>
      <c r="D523" s="7"/>
    </row>
    <row r="524" ht="14.25" customHeight="1">
      <c r="A524" s="4"/>
      <c r="B524" s="4"/>
      <c r="C524" s="7"/>
      <c r="D524" s="7"/>
    </row>
    <row r="525" ht="14.25" customHeight="1">
      <c r="A525" s="4"/>
      <c r="B525" s="4"/>
      <c r="C525" s="7"/>
      <c r="D525" s="7"/>
    </row>
    <row r="526" ht="14.25" customHeight="1">
      <c r="A526" s="4"/>
      <c r="B526" s="4"/>
      <c r="C526" s="7"/>
      <c r="D526" s="7"/>
    </row>
    <row r="527" ht="14.25" customHeight="1">
      <c r="A527" s="4"/>
      <c r="B527" s="4"/>
      <c r="C527" s="7"/>
      <c r="D527" s="7"/>
    </row>
    <row r="528" ht="14.25" customHeight="1">
      <c r="A528" s="4"/>
      <c r="B528" s="4"/>
      <c r="C528" s="7"/>
      <c r="D528" s="7"/>
    </row>
    <row r="529" ht="14.25" customHeight="1">
      <c r="A529" s="4"/>
      <c r="B529" s="4"/>
      <c r="C529" s="7"/>
      <c r="D529" s="7"/>
    </row>
    <row r="530" ht="14.25" customHeight="1">
      <c r="A530" s="4"/>
      <c r="B530" s="4"/>
      <c r="C530" s="7"/>
      <c r="D530" s="7"/>
    </row>
    <row r="531" ht="14.25" customHeight="1">
      <c r="A531" s="4"/>
      <c r="B531" s="4"/>
      <c r="C531" s="7"/>
      <c r="D531" s="7"/>
    </row>
    <row r="532" ht="14.25" customHeight="1">
      <c r="A532" s="4"/>
      <c r="B532" s="4"/>
      <c r="C532" s="7"/>
      <c r="D532" s="7"/>
    </row>
    <row r="533" ht="14.25" customHeight="1">
      <c r="A533" s="4"/>
      <c r="B533" s="4"/>
      <c r="C533" s="7"/>
      <c r="D533" s="7"/>
    </row>
    <row r="534" ht="14.25" customHeight="1">
      <c r="A534" s="4"/>
      <c r="B534" s="4"/>
      <c r="C534" s="7"/>
      <c r="D534" s="7"/>
    </row>
    <row r="535" ht="14.25" customHeight="1">
      <c r="A535" s="4"/>
      <c r="B535" s="4"/>
      <c r="C535" s="7"/>
      <c r="D535" s="7"/>
    </row>
    <row r="536" ht="14.25" customHeight="1">
      <c r="A536" s="4"/>
      <c r="B536" s="4"/>
      <c r="C536" s="7"/>
      <c r="D536" s="7"/>
    </row>
    <row r="537" ht="14.25" customHeight="1">
      <c r="A537" s="4"/>
      <c r="B537" s="4"/>
      <c r="C537" s="7"/>
      <c r="D537" s="7"/>
    </row>
    <row r="538" ht="14.25" customHeight="1">
      <c r="A538" s="4"/>
      <c r="B538" s="4"/>
      <c r="C538" s="7"/>
      <c r="D538" s="7"/>
    </row>
    <row r="539" ht="14.25" customHeight="1">
      <c r="A539" s="4"/>
      <c r="B539" s="4"/>
      <c r="C539" s="7"/>
      <c r="D539" s="7"/>
    </row>
    <row r="540" ht="14.25" customHeight="1">
      <c r="A540" s="4"/>
      <c r="B540" s="4"/>
      <c r="C540" s="7"/>
      <c r="D540" s="7"/>
    </row>
    <row r="541" ht="14.25" customHeight="1">
      <c r="A541" s="4"/>
      <c r="B541" s="4"/>
      <c r="C541" s="7"/>
      <c r="D541" s="7"/>
    </row>
    <row r="542" ht="14.25" customHeight="1">
      <c r="A542" s="4"/>
      <c r="B542" s="4"/>
      <c r="C542" s="7"/>
      <c r="D542" s="7"/>
    </row>
    <row r="543" ht="14.25" customHeight="1">
      <c r="A543" s="4"/>
      <c r="B543" s="4"/>
      <c r="C543" s="7"/>
      <c r="D543" s="7"/>
    </row>
    <row r="544" ht="14.25" customHeight="1">
      <c r="A544" s="4"/>
      <c r="B544" s="4"/>
      <c r="C544" s="7"/>
      <c r="D544" s="7"/>
    </row>
    <row r="545" ht="14.25" customHeight="1">
      <c r="A545" s="4"/>
      <c r="B545" s="4"/>
      <c r="C545" s="7"/>
      <c r="D545" s="7"/>
    </row>
    <row r="546" ht="14.25" customHeight="1">
      <c r="A546" s="4"/>
      <c r="B546" s="4"/>
      <c r="C546" s="7"/>
      <c r="D546" s="7"/>
    </row>
    <row r="547" ht="14.25" customHeight="1">
      <c r="A547" s="4"/>
      <c r="B547" s="4"/>
      <c r="C547" s="7"/>
      <c r="D547" s="7"/>
    </row>
    <row r="548" ht="14.25" customHeight="1">
      <c r="A548" s="4"/>
      <c r="B548" s="4"/>
      <c r="C548" s="7"/>
      <c r="D548" s="7"/>
    </row>
    <row r="549" ht="14.25" customHeight="1">
      <c r="A549" s="4"/>
      <c r="B549" s="4"/>
      <c r="C549" s="7"/>
      <c r="D549" s="7"/>
    </row>
    <row r="550" ht="14.25" customHeight="1">
      <c r="A550" s="4"/>
      <c r="B550" s="4"/>
      <c r="C550" s="7"/>
      <c r="D550" s="7"/>
    </row>
    <row r="551" ht="14.25" customHeight="1">
      <c r="A551" s="4"/>
      <c r="B551" s="4"/>
      <c r="C551" s="7"/>
      <c r="D551" s="7"/>
    </row>
    <row r="552" ht="14.25" customHeight="1">
      <c r="A552" s="4"/>
      <c r="B552" s="4"/>
      <c r="C552" s="7"/>
      <c r="D552" s="7"/>
    </row>
    <row r="553" ht="14.25" customHeight="1">
      <c r="A553" s="4"/>
      <c r="B553" s="4"/>
      <c r="C553" s="7"/>
      <c r="D553" s="7"/>
    </row>
    <row r="554" ht="14.25" customHeight="1">
      <c r="A554" s="4"/>
      <c r="B554" s="4"/>
      <c r="C554" s="7"/>
      <c r="D554" s="7"/>
    </row>
    <row r="555" ht="14.25" customHeight="1">
      <c r="A555" s="4"/>
      <c r="B555" s="4"/>
      <c r="C555" s="7"/>
      <c r="D555" s="7"/>
    </row>
    <row r="556" ht="14.25" customHeight="1">
      <c r="A556" s="4"/>
      <c r="B556" s="4"/>
      <c r="C556" s="7"/>
      <c r="D556" s="7"/>
    </row>
    <row r="557" ht="14.25" customHeight="1">
      <c r="A557" s="4"/>
      <c r="B557" s="4"/>
      <c r="C557" s="7"/>
      <c r="D557" s="7"/>
    </row>
    <row r="558" ht="14.25" customHeight="1">
      <c r="A558" s="4"/>
      <c r="B558" s="4"/>
      <c r="C558" s="7"/>
      <c r="D558" s="7"/>
    </row>
    <row r="559" ht="14.25" customHeight="1">
      <c r="A559" s="4"/>
      <c r="B559" s="4"/>
      <c r="C559" s="7"/>
      <c r="D559" s="7"/>
    </row>
    <row r="560" ht="14.25" customHeight="1">
      <c r="A560" s="4"/>
      <c r="B560" s="4"/>
      <c r="C560" s="7"/>
      <c r="D560" s="7"/>
    </row>
    <row r="561" ht="14.25" customHeight="1">
      <c r="A561" s="4"/>
      <c r="B561" s="4"/>
      <c r="C561" s="7"/>
      <c r="D561" s="7"/>
    </row>
    <row r="562" ht="14.25" customHeight="1">
      <c r="A562" s="4"/>
      <c r="B562" s="4"/>
      <c r="C562" s="7"/>
      <c r="D562" s="7"/>
    </row>
    <row r="563" ht="14.25" customHeight="1">
      <c r="A563" s="4"/>
      <c r="B563" s="4"/>
      <c r="C563" s="7"/>
      <c r="D563" s="7"/>
    </row>
    <row r="564" ht="14.25" customHeight="1">
      <c r="A564" s="4"/>
      <c r="B564" s="4"/>
      <c r="C564" s="7"/>
      <c r="D564" s="7"/>
    </row>
    <row r="565" ht="14.25" customHeight="1">
      <c r="A565" s="4"/>
      <c r="B565" s="4"/>
      <c r="C565" s="7"/>
      <c r="D565" s="7"/>
    </row>
    <row r="566" ht="14.25" customHeight="1">
      <c r="A566" s="4"/>
      <c r="B566" s="4"/>
      <c r="C566" s="7"/>
      <c r="D566" s="7"/>
    </row>
    <row r="567" ht="14.25" customHeight="1">
      <c r="A567" s="4"/>
      <c r="B567" s="4"/>
      <c r="C567" s="7"/>
      <c r="D567" s="7"/>
    </row>
    <row r="568" ht="14.25" customHeight="1">
      <c r="A568" s="4"/>
      <c r="B568" s="4"/>
      <c r="C568" s="7"/>
      <c r="D568" s="7"/>
    </row>
    <row r="569" ht="14.25" customHeight="1">
      <c r="A569" s="4"/>
      <c r="B569" s="4"/>
      <c r="C569" s="7"/>
      <c r="D569" s="7"/>
    </row>
    <row r="570" ht="14.25" customHeight="1">
      <c r="A570" s="4"/>
      <c r="B570" s="4"/>
      <c r="C570" s="7"/>
      <c r="D570" s="7"/>
    </row>
    <row r="571" ht="14.25" customHeight="1">
      <c r="A571" s="4"/>
      <c r="B571" s="4"/>
      <c r="C571" s="7"/>
      <c r="D571" s="7"/>
    </row>
    <row r="572" ht="14.25" customHeight="1">
      <c r="A572" s="4"/>
      <c r="B572" s="4"/>
      <c r="C572" s="7"/>
      <c r="D572" s="7"/>
    </row>
    <row r="573" ht="14.25" customHeight="1">
      <c r="A573" s="4"/>
      <c r="B573" s="4"/>
      <c r="C573" s="7"/>
      <c r="D573" s="7"/>
    </row>
    <row r="574" ht="14.25" customHeight="1">
      <c r="A574" s="4"/>
      <c r="B574" s="4"/>
      <c r="C574" s="7"/>
      <c r="D574" s="7"/>
    </row>
    <row r="575" ht="14.25" customHeight="1">
      <c r="A575" s="4"/>
      <c r="B575" s="4"/>
      <c r="C575" s="7"/>
      <c r="D575" s="7"/>
    </row>
    <row r="576" ht="14.25" customHeight="1">
      <c r="A576" s="4"/>
      <c r="B576" s="4"/>
      <c r="C576" s="7"/>
      <c r="D576" s="7"/>
    </row>
    <row r="577" ht="14.25" customHeight="1">
      <c r="A577" s="4"/>
      <c r="B577" s="4"/>
      <c r="C577" s="7"/>
      <c r="D577" s="7"/>
    </row>
    <row r="578" ht="14.25" customHeight="1">
      <c r="A578" s="4"/>
      <c r="B578" s="4"/>
      <c r="C578" s="7"/>
      <c r="D578" s="7"/>
    </row>
    <row r="579" ht="14.25" customHeight="1">
      <c r="A579" s="4"/>
      <c r="B579" s="4"/>
      <c r="C579" s="7"/>
      <c r="D579" s="7"/>
    </row>
    <row r="580" ht="14.25" customHeight="1">
      <c r="A580" s="4"/>
      <c r="B580" s="4"/>
      <c r="C580" s="7"/>
      <c r="D580" s="7"/>
    </row>
    <row r="581" ht="14.25" customHeight="1">
      <c r="A581" s="4"/>
      <c r="B581" s="4"/>
      <c r="C581" s="7"/>
      <c r="D581" s="7"/>
    </row>
    <row r="582" ht="14.25" customHeight="1">
      <c r="A582" s="4"/>
      <c r="B582" s="4"/>
      <c r="C582" s="7"/>
      <c r="D582" s="7"/>
    </row>
    <row r="583" ht="14.25" customHeight="1">
      <c r="A583" s="4"/>
      <c r="B583" s="4"/>
      <c r="C583" s="7"/>
      <c r="D583" s="7"/>
    </row>
    <row r="584" ht="14.25" customHeight="1">
      <c r="A584" s="4"/>
      <c r="B584" s="4"/>
      <c r="C584" s="7"/>
      <c r="D584" s="7"/>
    </row>
    <row r="585" ht="14.25" customHeight="1">
      <c r="A585" s="4"/>
      <c r="B585" s="4"/>
      <c r="C585" s="7"/>
      <c r="D585" s="7"/>
    </row>
    <row r="586" ht="14.25" customHeight="1">
      <c r="A586" s="4"/>
      <c r="B586" s="4"/>
      <c r="C586" s="7"/>
      <c r="D586" s="7"/>
    </row>
    <row r="587" ht="14.25" customHeight="1">
      <c r="A587" s="4"/>
      <c r="B587" s="4"/>
      <c r="C587" s="7"/>
      <c r="D587" s="7"/>
    </row>
    <row r="588" ht="14.25" customHeight="1">
      <c r="A588" s="4"/>
      <c r="B588" s="4"/>
      <c r="C588" s="7"/>
      <c r="D588" s="7"/>
    </row>
    <row r="589" ht="14.25" customHeight="1">
      <c r="A589" s="4"/>
      <c r="B589" s="4"/>
      <c r="C589" s="7"/>
      <c r="D589" s="7"/>
    </row>
    <row r="590" ht="14.25" customHeight="1">
      <c r="A590" s="4"/>
      <c r="B590" s="4"/>
      <c r="C590" s="7"/>
      <c r="D590" s="7"/>
    </row>
    <row r="591" ht="14.25" customHeight="1">
      <c r="A591" s="4"/>
      <c r="B591" s="4"/>
      <c r="C591" s="7"/>
      <c r="D591" s="7"/>
    </row>
    <row r="592" ht="14.25" customHeight="1">
      <c r="A592" s="4"/>
      <c r="B592" s="4"/>
      <c r="C592" s="7"/>
      <c r="D592" s="7"/>
    </row>
    <row r="593" ht="14.25" customHeight="1">
      <c r="A593" s="4"/>
      <c r="B593" s="4"/>
      <c r="C593" s="7"/>
      <c r="D593" s="7"/>
    </row>
    <row r="594" ht="14.25" customHeight="1">
      <c r="A594" s="4"/>
      <c r="B594" s="4"/>
      <c r="C594" s="7"/>
      <c r="D594" s="7"/>
    </row>
    <row r="595" ht="14.25" customHeight="1">
      <c r="A595" s="4"/>
      <c r="B595" s="4"/>
      <c r="C595" s="7"/>
      <c r="D595" s="7"/>
    </row>
    <row r="596" ht="14.25" customHeight="1">
      <c r="A596" s="4"/>
      <c r="B596" s="4"/>
      <c r="C596" s="7"/>
      <c r="D596" s="7"/>
    </row>
    <row r="597" ht="14.25" customHeight="1">
      <c r="A597" s="4"/>
      <c r="B597" s="4"/>
      <c r="C597" s="7"/>
      <c r="D597" s="7"/>
    </row>
    <row r="598" ht="14.25" customHeight="1">
      <c r="A598" s="4"/>
      <c r="B598" s="4"/>
      <c r="C598" s="7"/>
      <c r="D598" s="7"/>
    </row>
    <row r="599" ht="14.25" customHeight="1">
      <c r="A599" s="4"/>
      <c r="B599" s="4"/>
      <c r="C599" s="7"/>
      <c r="D599" s="7"/>
    </row>
    <row r="600" ht="14.25" customHeight="1">
      <c r="A600" s="4"/>
      <c r="B600" s="4"/>
      <c r="C600" s="7"/>
      <c r="D600" s="7"/>
    </row>
    <row r="601" ht="14.25" customHeight="1">
      <c r="A601" s="4"/>
      <c r="B601" s="4"/>
      <c r="C601" s="7"/>
      <c r="D601" s="7"/>
    </row>
    <row r="602" ht="14.25" customHeight="1">
      <c r="A602" s="4"/>
      <c r="B602" s="4"/>
      <c r="C602" s="7"/>
      <c r="D602" s="7"/>
    </row>
    <row r="603" ht="14.25" customHeight="1">
      <c r="A603" s="4"/>
      <c r="B603" s="4"/>
      <c r="C603" s="7"/>
      <c r="D603" s="7"/>
    </row>
    <row r="604" ht="14.25" customHeight="1">
      <c r="A604" s="4"/>
      <c r="B604" s="4"/>
      <c r="C604" s="7"/>
      <c r="D604" s="7"/>
    </row>
    <row r="605" ht="14.25" customHeight="1">
      <c r="A605" s="4"/>
      <c r="B605" s="4"/>
      <c r="C605" s="7"/>
      <c r="D605" s="7"/>
    </row>
    <row r="606" ht="14.25" customHeight="1">
      <c r="A606" s="4"/>
      <c r="B606" s="4"/>
      <c r="C606" s="7"/>
      <c r="D606" s="7"/>
    </row>
    <row r="607" ht="14.25" customHeight="1">
      <c r="A607" s="4"/>
      <c r="B607" s="4"/>
      <c r="C607" s="7"/>
      <c r="D607" s="7"/>
    </row>
    <row r="608" ht="14.25" customHeight="1">
      <c r="A608" s="4"/>
      <c r="B608" s="4"/>
      <c r="C608" s="7"/>
      <c r="D608" s="7"/>
    </row>
    <row r="609" ht="14.25" customHeight="1">
      <c r="A609" s="4"/>
      <c r="B609" s="4"/>
      <c r="C609" s="7"/>
      <c r="D609" s="7"/>
    </row>
    <row r="610" ht="14.25" customHeight="1">
      <c r="A610" s="4"/>
      <c r="B610" s="4"/>
      <c r="C610" s="7"/>
      <c r="D610" s="7"/>
    </row>
    <row r="611" ht="14.25" customHeight="1">
      <c r="A611" s="4"/>
      <c r="B611" s="4"/>
      <c r="C611" s="7"/>
      <c r="D611" s="7"/>
    </row>
    <row r="612" ht="14.25" customHeight="1">
      <c r="A612" s="4"/>
      <c r="B612" s="4"/>
      <c r="C612" s="7"/>
      <c r="D612" s="7"/>
    </row>
    <row r="613" ht="14.25" customHeight="1">
      <c r="A613" s="4"/>
      <c r="B613" s="4"/>
      <c r="C613" s="7"/>
      <c r="D613" s="7"/>
    </row>
    <row r="614" ht="14.25" customHeight="1">
      <c r="A614" s="4"/>
      <c r="B614" s="4"/>
      <c r="C614" s="7"/>
      <c r="D614" s="7"/>
    </row>
    <row r="615" ht="14.25" customHeight="1">
      <c r="A615" s="4"/>
      <c r="B615" s="4"/>
      <c r="C615" s="7"/>
      <c r="D615" s="7"/>
    </row>
    <row r="616" ht="14.25" customHeight="1">
      <c r="A616" s="4"/>
      <c r="B616" s="4"/>
      <c r="C616" s="7"/>
      <c r="D616" s="7"/>
    </row>
    <row r="617" ht="14.25" customHeight="1">
      <c r="A617" s="4"/>
      <c r="B617" s="4"/>
      <c r="C617" s="7"/>
      <c r="D617" s="7"/>
    </row>
    <row r="618" ht="14.25" customHeight="1">
      <c r="A618" s="4"/>
      <c r="B618" s="4"/>
      <c r="C618" s="7"/>
      <c r="D618" s="7"/>
    </row>
    <row r="619" ht="14.25" customHeight="1">
      <c r="A619" s="4"/>
      <c r="B619" s="4"/>
      <c r="C619" s="7"/>
      <c r="D619" s="7"/>
    </row>
    <row r="620" ht="14.25" customHeight="1">
      <c r="A620" s="4"/>
      <c r="B620" s="4"/>
      <c r="C620" s="7"/>
      <c r="D620" s="7"/>
    </row>
    <row r="621" ht="14.25" customHeight="1">
      <c r="A621" s="4"/>
      <c r="B621" s="4"/>
      <c r="C621" s="7"/>
      <c r="D621" s="7"/>
    </row>
    <row r="622" ht="14.25" customHeight="1">
      <c r="A622" s="4"/>
      <c r="B622" s="4"/>
      <c r="C622" s="7"/>
      <c r="D622" s="7"/>
    </row>
    <row r="623" ht="14.25" customHeight="1">
      <c r="A623" s="4"/>
      <c r="B623" s="4"/>
      <c r="C623" s="7"/>
      <c r="D623" s="7"/>
    </row>
    <row r="624" ht="14.25" customHeight="1">
      <c r="A624" s="4"/>
      <c r="B624" s="4"/>
      <c r="C624" s="7"/>
      <c r="D624" s="7"/>
    </row>
    <row r="625" ht="14.25" customHeight="1">
      <c r="A625" s="4"/>
      <c r="B625" s="4"/>
      <c r="C625" s="7"/>
      <c r="D625" s="7"/>
    </row>
    <row r="626" ht="14.25" customHeight="1">
      <c r="A626" s="4"/>
      <c r="B626" s="4"/>
      <c r="C626" s="7"/>
      <c r="D626" s="7"/>
    </row>
    <row r="627" ht="14.25" customHeight="1">
      <c r="A627" s="4"/>
      <c r="B627" s="4"/>
      <c r="C627" s="7"/>
      <c r="D627" s="7"/>
    </row>
    <row r="628" ht="14.25" customHeight="1">
      <c r="A628" s="4"/>
      <c r="B628" s="4"/>
      <c r="C628" s="7"/>
      <c r="D628" s="7"/>
    </row>
    <row r="629" ht="14.25" customHeight="1">
      <c r="A629" s="4"/>
      <c r="B629" s="4"/>
      <c r="C629" s="7"/>
      <c r="D629" s="7"/>
    </row>
    <row r="630" ht="14.25" customHeight="1">
      <c r="A630" s="4"/>
      <c r="B630" s="4"/>
      <c r="C630" s="7"/>
      <c r="D630" s="7"/>
    </row>
    <row r="631" ht="14.25" customHeight="1">
      <c r="A631" s="4"/>
      <c r="B631" s="4"/>
      <c r="C631" s="7"/>
      <c r="D631" s="7"/>
    </row>
    <row r="632" ht="14.25" customHeight="1">
      <c r="A632" s="4"/>
      <c r="B632" s="4"/>
      <c r="C632" s="7"/>
      <c r="D632" s="7"/>
    </row>
    <row r="633" ht="14.25" customHeight="1">
      <c r="A633" s="4"/>
      <c r="B633" s="4"/>
      <c r="C633" s="7"/>
      <c r="D633" s="7"/>
    </row>
    <row r="634" ht="14.25" customHeight="1">
      <c r="A634" s="4"/>
      <c r="B634" s="4"/>
      <c r="C634" s="7"/>
      <c r="D634" s="7"/>
    </row>
    <row r="635" ht="14.25" customHeight="1">
      <c r="A635" s="4"/>
      <c r="B635" s="4"/>
      <c r="C635" s="7"/>
      <c r="D635" s="7"/>
    </row>
    <row r="636" ht="14.25" customHeight="1">
      <c r="A636" s="4"/>
      <c r="B636" s="4"/>
      <c r="C636" s="7"/>
      <c r="D636" s="7"/>
    </row>
    <row r="637" ht="14.25" customHeight="1">
      <c r="A637" s="4"/>
      <c r="B637" s="4"/>
      <c r="C637" s="7"/>
      <c r="D637" s="7"/>
    </row>
    <row r="638" ht="14.25" customHeight="1">
      <c r="A638" s="4"/>
      <c r="B638" s="4"/>
      <c r="C638" s="7"/>
      <c r="D638" s="7"/>
    </row>
    <row r="639" ht="14.25" customHeight="1">
      <c r="A639" s="4"/>
      <c r="B639" s="4"/>
      <c r="C639" s="7"/>
      <c r="D639" s="7"/>
    </row>
    <row r="640" ht="14.25" customHeight="1">
      <c r="A640" s="4"/>
      <c r="B640" s="4"/>
      <c r="C640" s="7"/>
      <c r="D640" s="7"/>
    </row>
    <row r="641" ht="14.25" customHeight="1">
      <c r="A641" s="4"/>
      <c r="B641" s="4"/>
      <c r="C641" s="7"/>
      <c r="D641" s="7"/>
    </row>
    <row r="642" ht="14.25" customHeight="1">
      <c r="A642" s="4"/>
      <c r="B642" s="4"/>
      <c r="C642" s="7"/>
      <c r="D642" s="7"/>
    </row>
    <row r="643" ht="14.25" customHeight="1">
      <c r="A643" s="4"/>
      <c r="B643" s="4"/>
      <c r="C643" s="7"/>
      <c r="D643" s="7"/>
    </row>
    <row r="644" ht="14.25" customHeight="1">
      <c r="A644" s="4"/>
      <c r="B644" s="4"/>
      <c r="C644" s="7"/>
      <c r="D644" s="7"/>
    </row>
    <row r="645" ht="14.25" customHeight="1">
      <c r="A645" s="4"/>
      <c r="B645" s="4"/>
      <c r="C645" s="7"/>
      <c r="D645" s="7"/>
    </row>
    <row r="646" ht="14.25" customHeight="1">
      <c r="A646" s="4"/>
      <c r="B646" s="4"/>
      <c r="C646" s="7"/>
      <c r="D646" s="7"/>
    </row>
    <row r="647" ht="14.25" customHeight="1">
      <c r="A647" s="4"/>
      <c r="B647" s="4"/>
      <c r="C647" s="7"/>
      <c r="D647" s="7"/>
    </row>
    <row r="648" ht="14.25" customHeight="1">
      <c r="A648" s="4"/>
      <c r="B648" s="4"/>
      <c r="C648" s="7"/>
      <c r="D648" s="7"/>
    </row>
    <row r="649" ht="14.25" customHeight="1">
      <c r="A649" s="4"/>
      <c r="B649" s="4"/>
      <c r="C649" s="7"/>
      <c r="D649" s="7"/>
    </row>
    <row r="650" ht="14.25" customHeight="1">
      <c r="A650" s="4"/>
      <c r="B650" s="4"/>
      <c r="C650" s="7"/>
      <c r="D650" s="7"/>
    </row>
    <row r="651" ht="14.25" customHeight="1">
      <c r="A651" s="4"/>
      <c r="B651" s="4"/>
      <c r="C651" s="7"/>
      <c r="D651" s="7"/>
    </row>
    <row r="652" ht="14.25" customHeight="1">
      <c r="A652" s="4"/>
      <c r="B652" s="4"/>
      <c r="C652" s="7"/>
      <c r="D652" s="7"/>
    </row>
    <row r="653" ht="14.25" customHeight="1">
      <c r="A653" s="4"/>
      <c r="B653" s="4"/>
      <c r="C653" s="7"/>
      <c r="D653" s="7"/>
    </row>
    <row r="654" ht="14.25" customHeight="1">
      <c r="A654" s="4"/>
      <c r="B654" s="4"/>
      <c r="C654" s="7"/>
      <c r="D654" s="7"/>
    </row>
    <row r="655" ht="14.25" customHeight="1">
      <c r="A655" s="4"/>
      <c r="B655" s="4"/>
      <c r="C655" s="7"/>
      <c r="D655" s="7"/>
    </row>
    <row r="656" ht="14.25" customHeight="1">
      <c r="A656" s="4"/>
      <c r="B656" s="4"/>
      <c r="C656" s="7"/>
      <c r="D656" s="7"/>
    </row>
    <row r="657" ht="14.25" customHeight="1">
      <c r="A657" s="4"/>
      <c r="B657" s="4"/>
      <c r="C657" s="7"/>
      <c r="D657" s="7"/>
    </row>
    <row r="658" ht="14.25" customHeight="1">
      <c r="A658" s="4"/>
      <c r="B658" s="4"/>
      <c r="C658" s="7"/>
      <c r="D658" s="7"/>
    </row>
    <row r="659" ht="14.25" customHeight="1">
      <c r="A659" s="4"/>
      <c r="B659" s="4"/>
      <c r="C659" s="7"/>
      <c r="D659" s="7"/>
    </row>
    <row r="660" ht="14.25" customHeight="1">
      <c r="A660" s="4"/>
      <c r="B660" s="4"/>
      <c r="C660" s="7"/>
      <c r="D660" s="7"/>
    </row>
    <row r="661" ht="14.25" customHeight="1">
      <c r="A661" s="4"/>
      <c r="B661" s="4"/>
      <c r="C661" s="7"/>
      <c r="D661" s="7"/>
    </row>
    <row r="662" ht="14.25" customHeight="1">
      <c r="A662" s="4"/>
      <c r="B662" s="4"/>
      <c r="C662" s="7"/>
      <c r="D662" s="7"/>
    </row>
    <row r="663" ht="14.25" customHeight="1">
      <c r="A663" s="4"/>
      <c r="B663" s="4"/>
      <c r="C663" s="7"/>
      <c r="D663" s="7"/>
    </row>
    <row r="664" ht="14.25" customHeight="1">
      <c r="A664" s="4"/>
      <c r="B664" s="4"/>
      <c r="C664" s="7"/>
      <c r="D664" s="7"/>
    </row>
    <row r="665" ht="14.25" customHeight="1">
      <c r="A665" s="4"/>
      <c r="B665" s="4"/>
      <c r="C665" s="7"/>
      <c r="D665" s="7"/>
    </row>
    <row r="666" ht="14.25" customHeight="1">
      <c r="A666" s="4"/>
      <c r="B666" s="4"/>
      <c r="C666" s="7"/>
      <c r="D666" s="7"/>
    </row>
    <row r="667" ht="14.25" customHeight="1">
      <c r="A667" s="4"/>
      <c r="B667" s="4"/>
      <c r="C667" s="7"/>
      <c r="D667" s="7"/>
    </row>
    <row r="668" ht="14.25" customHeight="1">
      <c r="A668" s="4"/>
      <c r="B668" s="4"/>
      <c r="C668" s="7"/>
      <c r="D668" s="7"/>
    </row>
    <row r="669" ht="14.25" customHeight="1">
      <c r="A669" s="4"/>
      <c r="B669" s="4"/>
      <c r="C669" s="7"/>
      <c r="D669" s="7"/>
    </row>
    <row r="670" ht="14.25" customHeight="1">
      <c r="A670" s="4"/>
      <c r="B670" s="4"/>
      <c r="C670" s="7"/>
      <c r="D670" s="7"/>
    </row>
    <row r="671" ht="14.25" customHeight="1">
      <c r="A671" s="4"/>
      <c r="B671" s="4"/>
      <c r="C671" s="7"/>
      <c r="D671" s="7"/>
    </row>
    <row r="672" ht="14.25" customHeight="1">
      <c r="A672" s="4"/>
      <c r="B672" s="4"/>
      <c r="C672" s="7"/>
      <c r="D672" s="7"/>
    </row>
    <row r="673" ht="14.25" customHeight="1">
      <c r="A673" s="4"/>
      <c r="B673" s="4"/>
      <c r="C673" s="7"/>
      <c r="D673" s="7"/>
    </row>
    <row r="674" ht="14.25" customHeight="1">
      <c r="A674" s="4"/>
      <c r="B674" s="4"/>
      <c r="C674" s="7"/>
      <c r="D674" s="7"/>
    </row>
    <row r="675" ht="14.25" customHeight="1">
      <c r="A675" s="4"/>
      <c r="B675" s="4"/>
      <c r="C675" s="7"/>
      <c r="D675" s="7"/>
    </row>
    <row r="676" ht="14.25" customHeight="1">
      <c r="A676" s="4"/>
      <c r="B676" s="4"/>
      <c r="C676" s="7"/>
      <c r="D676" s="7"/>
    </row>
    <row r="677" ht="14.25" customHeight="1">
      <c r="A677" s="4"/>
      <c r="B677" s="4"/>
      <c r="C677" s="7"/>
      <c r="D677" s="7"/>
    </row>
    <row r="678" ht="14.25" customHeight="1">
      <c r="A678" s="4"/>
      <c r="B678" s="4"/>
      <c r="C678" s="7"/>
      <c r="D678" s="7"/>
    </row>
    <row r="679" ht="14.25" customHeight="1">
      <c r="A679" s="4"/>
      <c r="B679" s="4"/>
      <c r="C679" s="7"/>
      <c r="D679" s="7"/>
    </row>
    <row r="680" ht="14.25" customHeight="1">
      <c r="A680" s="4"/>
      <c r="B680" s="4"/>
      <c r="C680" s="7"/>
      <c r="D680" s="7"/>
    </row>
    <row r="681" ht="14.25" customHeight="1">
      <c r="A681" s="4"/>
      <c r="B681" s="4"/>
      <c r="C681" s="7"/>
      <c r="D681" s="7"/>
    </row>
    <row r="682" ht="14.25" customHeight="1">
      <c r="A682" s="4"/>
      <c r="B682" s="4"/>
      <c r="C682" s="7"/>
      <c r="D682" s="7"/>
    </row>
    <row r="683" ht="14.25" customHeight="1">
      <c r="A683" s="4"/>
      <c r="B683" s="4"/>
      <c r="C683" s="7"/>
      <c r="D683" s="7"/>
    </row>
    <row r="684" ht="14.25" customHeight="1">
      <c r="A684" s="4"/>
      <c r="B684" s="4"/>
      <c r="C684" s="7"/>
      <c r="D684" s="7"/>
    </row>
    <row r="685" ht="14.25" customHeight="1">
      <c r="A685" s="4"/>
      <c r="B685" s="4"/>
      <c r="C685" s="7"/>
      <c r="D685" s="7"/>
    </row>
    <row r="686" ht="14.25" customHeight="1">
      <c r="A686" s="4"/>
      <c r="B686" s="4"/>
      <c r="C686" s="7"/>
      <c r="D686" s="7"/>
    </row>
    <row r="687" ht="14.25" customHeight="1">
      <c r="A687" s="4"/>
      <c r="B687" s="4"/>
      <c r="C687" s="7"/>
      <c r="D687" s="7"/>
    </row>
    <row r="688" ht="14.25" customHeight="1">
      <c r="A688" s="4"/>
      <c r="B688" s="4"/>
      <c r="C688" s="7"/>
      <c r="D688" s="7"/>
    </row>
    <row r="689" ht="14.25" customHeight="1">
      <c r="A689" s="4"/>
      <c r="B689" s="4"/>
      <c r="C689" s="7"/>
      <c r="D689" s="7"/>
    </row>
    <row r="690" ht="14.25" customHeight="1">
      <c r="A690" s="4"/>
      <c r="B690" s="4"/>
      <c r="C690" s="7"/>
      <c r="D690" s="7"/>
    </row>
    <row r="691" ht="14.25" customHeight="1">
      <c r="A691" s="4"/>
      <c r="B691" s="4"/>
      <c r="C691" s="7"/>
      <c r="D691" s="7"/>
    </row>
    <row r="692" ht="14.25" customHeight="1">
      <c r="A692" s="4"/>
      <c r="B692" s="4"/>
      <c r="C692" s="7"/>
      <c r="D692" s="7"/>
    </row>
    <row r="693" ht="14.25" customHeight="1">
      <c r="A693" s="4"/>
      <c r="B693" s="4"/>
      <c r="C693" s="7"/>
      <c r="D693" s="7"/>
    </row>
    <row r="694" ht="14.25" customHeight="1">
      <c r="A694" s="4"/>
      <c r="B694" s="4"/>
      <c r="C694" s="7"/>
      <c r="D694" s="7"/>
    </row>
    <row r="695" ht="14.25" customHeight="1">
      <c r="A695" s="4"/>
      <c r="B695" s="4"/>
      <c r="C695" s="7"/>
      <c r="D695" s="7"/>
    </row>
    <row r="696" ht="14.25" customHeight="1">
      <c r="A696" s="4"/>
      <c r="B696" s="4"/>
      <c r="C696" s="7"/>
      <c r="D696" s="7"/>
    </row>
    <row r="697" ht="14.25" customHeight="1">
      <c r="A697" s="4"/>
      <c r="B697" s="4"/>
      <c r="C697" s="7"/>
      <c r="D697" s="7"/>
    </row>
    <row r="698" ht="14.25" customHeight="1">
      <c r="A698" s="4"/>
      <c r="B698" s="4"/>
      <c r="C698" s="7"/>
      <c r="D698" s="7"/>
    </row>
    <row r="699" ht="14.25" customHeight="1">
      <c r="A699" s="4"/>
      <c r="B699" s="4"/>
      <c r="C699" s="7"/>
      <c r="D699" s="7"/>
    </row>
    <row r="700" ht="14.25" customHeight="1">
      <c r="A700" s="4"/>
      <c r="B700" s="4"/>
      <c r="C700" s="7"/>
      <c r="D700" s="7"/>
    </row>
    <row r="701" ht="14.25" customHeight="1">
      <c r="A701" s="4"/>
      <c r="B701" s="4"/>
      <c r="C701" s="7"/>
      <c r="D701" s="7"/>
    </row>
    <row r="702" ht="14.25" customHeight="1">
      <c r="A702" s="4"/>
      <c r="B702" s="4"/>
      <c r="C702" s="7"/>
      <c r="D702" s="7"/>
    </row>
    <row r="703" ht="14.25" customHeight="1">
      <c r="A703" s="4"/>
      <c r="B703" s="4"/>
      <c r="C703" s="7"/>
      <c r="D703" s="7"/>
    </row>
    <row r="704" ht="14.25" customHeight="1">
      <c r="A704" s="4"/>
      <c r="B704" s="4"/>
      <c r="C704" s="7"/>
      <c r="D704" s="7"/>
    </row>
    <row r="705" ht="14.25" customHeight="1">
      <c r="A705" s="4"/>
      <c r="B705" s="4"/>
      <c r="C705" s="7"/>
      <c r="D705" s="7"/>
    </row>
    <row r="706" ht="14.25" customHeight="1">
      <c r="A706" s="4"/>
      <c r="B706" s="4"/>
      <c r="C706" s="7"/>
      <c r="D706" s="7"/>
    </row>
    <row r="707" ht="14.25" customHeight="1">
      <c r="A707" s="4"/>
      <c r="B707" s="4"/>
      <c r="C707" s="7"/>
      <c r="D707" s="7"/>
    </row>
    <row r="708" ht="14.25" customHeight="1">
      <c r="A708" s="4"/>
      <c r="B708" s="4"/>
      <c r="C708" s="7"/>
      <c r="D708" s="7"/>
    </row>
    <row r="709" ht="14.25" customHeight="1">
      <c r="A709" s="4"/>
      <c r="B709" s="4"/>
      <c r="C709" s="7"/>
      <c r="D709" s="7"/>
    </row>
    <row r="710" ht="14.25" customHeight="1">
      <c r="A710" s="4"/>
      <c r="B710" s="4"/>
      <c r="C710" s="7"/>
      <c r="D710" s="7"/>
    </row>
    <row r="711" ht="14.25" customHeight="1">
      <c r="A711" s="4"/>
      <c r="B711" s="4"/>
      <c r="C711" s="7"/>
      <c r="D711" s="7"/>
    </row>
    <row r="712" ht="14.25" customHeight="1">
      <c r="A712" s="4"/>
      <c r="B712" s="4"/>
      <c r="C712" s="7"/>
      <c r="D712" s="7"/>
    </row>
    <row r="713" ht="14.25" customHeight="1">
      <c r="A713" s="4"/>
      <c r="B713" s="4"/>
      <c r="C713" s="7"/>
      <c r="D713" s="7"/>
    </row>
    <row r="714" ht="14.25" customHeight="1">
      <c r="A714" s="4"/>
      <c r="B714" s="4"/>
      <c r="C714" s="7"/>
      <c r="D714" s="7"/>
    </row>
    <row r="715" ht="14.25" customHeight="1">
      <c r="A715" s="4"/>
      <c r="B715" s="4"/>
      <c r="C715" s="7"/>
      <c r="D715" s="7"/>
    </row>
    <row r="716" ht="14.25" customHeight="1">
      <c r="A716" s="4"/>
      <c r="B716" s="4"/>
      <c r="C716" s="7"/>
      <c r="D716" s="7"/>
    </row>
    <row r="717" ht="14.25" customHeight="1">
      <c r="A717" s="4"/>
      <c r="B717" s="4"/>
      <c r="C717" s="7"/>
      <c r="D717" s="7"/>
    </row>
    <row r="718" ht="14.25" customHeight="1">
      <c r="A718" s="4"/>
      <c r="B718" s="4"/>
      <c r="C718" s="7"/>
      <c r="D718" s="7"/>
    </row>
    <row r="719" ht="14.25" customHeight="1">
      <c r="A719" s="4"/>
      <c r="B719" s="4"/>
      <c r="C719" s="7"/>
      <c r="D719" s="7"/>
    </row>
    <row r="720" ht="14.25" customHeight="1">
      <c r="A720" s="4"/>
      <c r="B720" s="4"/>
      <c r="C720" s="7"/>
      <c r="D720" s="7"/>
    </row>
    <row r="721" ht="14.25" customHeight="1">
      <c r="A721" s="4"/>
      <c r="B721" s="4"/>
      <c r="C721" s="7"/>
      <c r="D721" s="7"/>
    </row>
    <row r="722" ht="14.25" customHeight="1">
      <c r="A722" s="4"/>
      <c r="B722" s="4"/>
      <c r="C722" s="7"/>
      <c r="D722" s="7"/>
    </row>
    <row r="723" ht="14.25" customHeight="1">
      <c r="A723" s="4"/>
      <c r="B723" s="4"/>
      <c r="C723" s="7"/>
      <c r="D723" s="7"/>
    </row>
    <row r="724" ht="14.25" customHeight="1">
      <c r="A724" s="4"/>
      <c r="B724" s="4"/>
      <c r="C724" s="7"/>
      <c r="D724" s="7"/>
    </row>
    <row r="725" ht="14.25" customHeight="1">
      <c r="A725" s="4"/>
      <c r="B725" s="4"/>
      <c r="C725" s="7"/>
      <c r="D725" s="7"/>
    </row>
    <row r="726" ht="14.25" customHeight="1">
      <c r="A726" s="4"/>
      <c r="B726" s="4"/>
      <c r="C726" s="7"/>
      <c r="D726" s="7"/>
    </row>
    <row r="727" ht="14.25" customHeight="1">
      <c r="A727" s="4"/>
      <c r="B727" s="4"/>
      <c r="C727" s="7"/>
      <c r="D727" s="7"/>
    </row>
    <row r="728" ht="14.25" customHeight="1">
      <c r="A728" s="4"/>
      <c r="B728" s="4"/>
      <c r="C728" s="7"/>
      <c r="D728" s="7"/>
    </row>
    <row r="729" ht="14.25" customHeight="1">
      <c r="A729" s="4"/>
      <c r="B729" s="4"/>
      <c r="C729" s="7"/>
      <c r="D729" s="7"/>
    </row>
    <row r="730" ht="14.25" customHeight="1">
      <c r="A730" s="4"/>
      <c r="B730" s="4"/>
      <c r="C730" s="7"/>
      <c r="D730" s="7"/>
    </row>
    <row r="731" ht="14.25" customHeight="1">
      <c r="A731" s="4"/>
      <c r="B731" s="4"/>
      <c r="C731" s="7"/>
      <c r="D731" s="7"/>
    </row>
    <row r="732" ht="14.25" customHeight="1">
      <c r="A732" s="4"/>
      <c r="B732" s="4"/>
      <c r="C732" s="7"/>
      <c r="D732" s="7"/>
    </row>
    <row r="733" ht="14.25" customHeight="1">
      <c r="A733" s="4"/>
      <c r="B733" s="4"/>
      <c r="C733" s="7"/>
      <c r="D733" s="7"/>
    </row>
    <row r="734" ht="14.25" customHeight="1">
      <c r="A734" s="4"/>
      <c r="B734" s="4"/>
      <c r="C734" s="7"/>
      <c r="D734" s="7"/>
    </row>
    <row r="735" ht="14.25" customHeight="1">
      <c r="A735" s="4"/>
      <c r="B735" s="4"/>
      <c r="C735" s="7"/>
      <c r="D735" s="7"/>
    </row>
    <row r="736" ht="14.25" customHeight="1">
      <c r="A736" s="4"/>
      <c r="B736" s="4"/>
      <c r="C736" s="7"/>
      <c r="D736" s="7"/>
    </row>
    <row r="737" ht="14.25" customHeight="1">
      <c r="A737" s="4"/>
      <c r="B737" s="4"/>
      <c r="C737" s="7"/>
      <c r="D737" s="7"/>
    </row>
    <row r="738" ht="14.25" customHeight="1">
      <c r="A738" s="4"/>
      <c r="B738" s="4"/>
      <c r="C738" s="7"/>
      <c r="D738" s="7"/>
    </row>
    <row r="739" ht="14.25" customHeight="1">
      <c r="A739" s="4"/>
      <c r="B739" s="4"/>
      <c r="C739" s="7"/>
      <c r="D739" s="7"/>
    </row>
    <row r="740" ht="14.25" customHeight="1">
      <c r="A740" s="4"/>
      <c r="B740" s="4"/>
      <c r="C740" s="7"/>
      <c r="D740" s="7"/>
    </row>
    <row r="741" ht="14.25" customHeight="1">
      <c r="A741" s="4"/>
      <c r="B741" s="4"/>
      <c r="C741" s="7"/>
      <c r="D741" s="7"/>
    </row>
    <row r="742" ht="14.25" customHeight="1">
      <c r="A742" s="4"/>
      <c r="B742" s="4"/>
      <c r="C742" s="7"/>
      <c r="D742" s="7"/>
    </row>
    <row r="743" ht="14.25" customHeight="1">
      <c r="A743" s="4"/>
      <c r="B743" s="4"/>
      <c r="C743" s="7"/>
      <c r="D743" s="7"/>
    </row>
    <row r="744" ht="14.25" customHeight="1">
      <c r="A744" s="4"/>
      <c r="B744" s="4"/>
      <c r="C744" s="7"/>
      <c r="D744" s="7"/>
    </row>
    <row r="745" ht="14.25" customHeight="1">
      <c r="A745" s="4"/>
      <c r="B745" s="4"/>
      <c r="C745" s="7"/>
      <c r="D745" s="7"/>
    </row>
    <row r="746" ht="14.25" customHeight="1">
      <c r="A746" s="4"/>
      <c r="B746" s="4"/>
      <c r="C746" s="7"/>
      <c r="D746" s="7"/>
    </row>
    <row r="747" ht="14.25" customHeight="1">
      <c r="A747" s="4"/>
      <c r="B747" s="4"/>
      <c r="C747" s="7"/>
      <c r="D747" s="7"/>
    </row>
    <row r="748" ht="14.25" customHeight="1">
      <c r="A748" s="4"/>
      <c r="B748" s="4"/>
      <c r="C748" s="7"/>
      <c r="D748" s="7"/>
    </row>
    <row r="749" ht="14.25" customHeight="1">
      <c r="A749" s="4"/>
      <c r="B749" s="4"/>
      <c r="C749" s="7"/>
      <c r="D749" s="7"/>
    </row>
    <row r="750" ht="14.25" customHeight="1">
      <c r="A750" s="4"/>
      <c r="B750" s="4"/>
      <c r="C750" s="7"/>
      <c r="D750" s="7"/>
    </row>
    <row r="751" ht="14.25" customHeight="1">
      <c r="A751" s="4"/>
      <c r="B751" s="4"/>
      <c r="C751" s="7"/>
      <c r="D751" s="7"/>
    </row>
    <row r="752" ht="14.25" customHeight="1">
      <c r="A752" s="4"/>
      <c r="B752" s="4"/>
      <c r="C752" s="7"/>
      <c r="D752" s="7"/>
    </row>
    <row r="753" ht="14.25" customHeight="1">
      <c r="A753" s="4"/>
      <c r="B753" s="4"/>
      <c r="C753" s="7"/>
      <c r="D753" s="7"/>
    </row>
    <row r="754" ht="14.25" customHeight="1">
      <c r="A754" s="4"/>
      <c r="B754" s="4"/>
      <c r="C754" s="7"/>
      <c r="D754" s="7"/>
    </row>
    <row r="755" ht="14.25" customHeight="1">
      <c r="A755" s="4"/>
      <c r="B755" s="4"/>
      <c r="C755" s="7"/>
      <c r="D755" s="7"/>
    </row>
    <row r="756" ht="14.25" customHeight="1">
      <c r="A756" s="4"/>
      <c r="B756" s="4"/>
      <c r="C756" s="7"/>
      <c r="D756" s="7"/>
    </row>
    <row r="757" ht="14.25" customHeight="1">
      <c r="A757" s="4"/>
      <c r="B757" s="4"/>
      <c r="C757" s="7"/>
      <c r="D757" s="7"/>
    </row>
    <row r="758" ht="14.25" customHeight="1">
      <c r="A758" s="4"/>
      <c r="B758" s="4"/>
      <c r="C758" s="7"/>
      <c r="D758" s="7"/>
    </row>
    <row r="759" ht="14.25" customHeight="1">
      <c r="A759" s="4"/>
      <c r="B759" s="4"/>
      <c r="C759" s="7"/>
      <c r="D759" s="7"/>
    </row>
    <row r="760" ht="14.25" customHeight="1">
      <c r="A760" s="4"/>
      <c r="B760" s="4"/>
      <c r="C760" s="7"/>
      <c r="D760" s="7"/>
    </row>
    <row r="761" ht="14.25" customHeight="1">
      <c r="A761" s="4"/>
      <c r="B761" s="4"/>
      <c r="C761" s="7"/>
      <c r="D761" s="7"/>
    </row>
    <row r="762" ht="14.25" customHeight="1">
      <c r="A762" s="4"/>
      <c r="B762" s="4"/>
      <c r="C762" s="7"/>
      <c r="D762" s="7"/>
    </row>
    <row r="763" ht="14.25" customHeight="1">
      <c r="A763" s="4"/>
      <c r="B763" s="4"/>
      <c r="C763" s="7"/>
      <c r="D763" s="7"/>
    </row>
    <row r="764" ht="14.25" customHeight="1">
      <c r="A764" s="4"/>
      <c r="B764" s="4"/>
      <c r="C764" s="7"/>
      <c r="D764" s="7"/>
    </row>
    <row r="765" ht="14.25" customHeight="1">
      <c r="A765" s="4"/>
      <c r="B765" s="4"/>
      <c r="C765" s="7"/>
      <c r="D765" s="7"/>
    </row>
    <row r="766" ht="14.25" customHeight="1">
      <c r="A766" s="4"/>
      <c r="B766" s="4"/>
      <c r="C766" s="7"/>
      <c r="D766" s="7"/>
    </row>
    <row r="767" ht="14.25" customHeight="1">
      <c r="A767" s="4"/>
      <c r="B767" s="4"/>
      <c r="C767" s="7"/>
      <c r="D767" s="7"/>
    </row>
    <row r="768" ht="14.25" customHeight="1">
      <c r="A768" s="4"/>
      <c r="B768" s="4"/>
      <c r="C768" s="7"/>
      <c r="D768" s="7"/>
    </row>
    <row r="769" ht="14.25" customHeight="1">
      <c r="A769" s="4"/>
      <c r="B769" s="4"/>
      <c r="C769" s="7"/>
      <c r="D769" s="7"/>
    </row>
    <row r="770" ht="14.25" customHeight="1">
      <c r="A770" s="4"/>
      <c r="B770" s="4"/>
      <c r="C770" s="7"/>
      <c r="D770" s="7"/>
    </row>
    <row r="771" ht="14.25" customHeight="1">
      <c r="A771" s="4"/>
      <c r="B771" s="4"/>
      <c r="C771" s="7"/>
      <c r="D771" s="7"/>
    </row>
    <row r="772" ht="14.25" customHeight="1">
      <c r="A772" s="4"/>
      <c r="B772" s="4"/>
      <c r="C772" s="7"/>
      <c r="D772" s="7"/>
    </row>
    <row r="773" ht="14.25" customHeight="1">
      <c r="A773" s="4"/>
      <c r="B773" s="4"/>
      <c r="C773" s="7"/>
      <c r="D773" s="7"/>
    </row>
    <row r="774" ht="14.25" customHeight="1">
      <c r="A774" s="4"/>
      <c r="B774" s="4"/>
      <c r="C774" s="7"/>
      <c r="D774" s="7"/>
    </row>
    <row r="775" ht="14.25" customHeight="1">
      <c r="A775" s="4"/>
      <c r="B775" s="4"/>
      <c r="C775" s="7"/>
      <c r="D775" s="7"/>
    </row>
    <row r="776" ht="14.25" customHeight="1">
      <c r="A776" s="4"/>
      <c r="B776" s="4"/>
      <c r="C776" s="7"/>
      <c r="D776" s="7"/>
    </row>
    <row r="777" ht="14.25" customHeight="1">
      <c r="A777" s="4"/>
      <c r="B777" s="4"/>
      <c r="C777" s="7"/>
      <c r="D777" s="7"/>
    </row>
    <row r="778" ht="14.25" customHeight="1">
      <c r="A778" s="4"/>
      <c r="B778" s="4"/>
      <c r="C778" s="7"/>
      <c r="D778" s="7"/>
    </row>
    <row r="779" ht="14.25" customHeight="1">
      <c r="A779" s="4"/>
      <c r="B779" s="4"/>
      <c r="C779" s="7"/>
      <c r="D779" s="7"/>
    </row>
    <row r="780" ht="14.25" customHeight="1">
      <c r="A780" s="4"/>
      <c r="B780" s="4"/>
      <c r="C780" s="7"/>
      <c r="D780" s="7"/>
    </row>
    <row r="781" ht="14.25" customHeight="1">
      <c r="A781" s="4"/>
      <c r="B781" s="4"/>
      <c r="C781" s="7"/>
      <c r="D781" s="7"/>
    </row>
    <row r="782" ht="14.25" customHeight="1">
      <c r="A782" s="4"/>
      <c r="B782" s="4"/>
      <c r="C782" s="7"/>
      <c r="D782" s="7"/>
    </row>
    <row r="783" ht="14.25" customHeight="1">
      <c r="A783" s="4"/>
      <c r="B783" s="4"/>
      <c r="C783" s="7"/>
      <c r="D783" s="7"/>
    </row>
    <row r="784" ht="14.25" customHeight="1">
      <c r="A784" s="4"/>
      <c r="B784" s="4"/>
      <c r="C784" s="7"/>
      <c r="D784" s="7"/>
    </row>
    <row r="785" ht="14.25" customHeight="1">
      <c r="A785" s="4"/>
      <c r="B785" s="4"/>
      <c r="C785" s="7"/>
      <c r="D785" s="7"/>
    </row>
    <row r="786" ht="14.25" customHeight="1">
      <c r="A786" s="4"/>
      <c r="B786" s="4"/>
      <c r="C786" s="7"/>
      <c r="D786" s="7"/>
    </row>
    <row r="787" ht="14.25" customHeight="1">
      <c r="A787" s="4"/>
      <c r="B787" s="4"/>
      <c r="C787" s="7"/>
      <c r="D787" s="7"/>
    </row>
    <row r="788" ht="14.25" customHeight="1">
      <c r="A788" s="4"/>
      <c r="B788" s="4"/>
      <c r="C788" s="7"/>
      <c r="D788" s="7"/>
    </row>
    <row r="789" ht="14.25" customHeight="1">
      <c r="A789" s="4"/>
      <c r="B789" s="4"/>
      <c r="C789" s="7"/>
      <c r="D789" s="7"/>
    </row>
    <row r="790" ht="14.25" customHeight="1">
      <c r="A790" s="4"/>
      <c r="B790" s="4"/>
      <c r="C790" s="7"/>
      <c r="D790" s="7"/>
    </row>
    <row r="791" ht="14.25" customHeight="1">
      <c r="A791" s="4"/>
      <c r="B791" s="4"/>
      <c r="C791" s="7"/>
      <c r="D791" s="7"/>
    </row>
    <row r="792" ht="14.25" customHeight="1">
      <c r="A792" s="4"/>
      <c r="B792" s="4"/>
      <c r="C792" s="7"/>
      <c r="D792" s="7"/>
    </row>
    <row r="793" ht="14.25" customHeight="1">
      <c r="A793" s="4"/>
      <c r="B793" s="4"/>
      <c r="C793" s="7"/>
      <c r="D793" s="7"/>
    </row>
    <row r="794" ht="14.25" customHeight="1">
      <c r="A794" s="4"/>
      <c r="B794" s="4"/>
      <c r="C794" s="7"/>
      <c r="D794" s="7"/>
    </row>
    <row r="795" ht="14.25" customHeight="1">
      <c r="A795" s="4"/>
      <c r="B795" s="4"/>
      <c r="C795" s="7"/>
      <c r="D795" s="7"/>
    </row>
    <row r="796" ht="14.25" customHeight="1">
      <c r="A796" s="4"/>
      <c r="B796" s="4"/>
      <c r="C796" s="7"/>
      <c r="D796" s="7"/>
    </row>
    <row r="797" ht="14.25" customHeight="1">
      <c r="A797" s="4"/>
      <c r="B797" s="4"/>
      <c r="C797" s="7"/>
      <c r="D797" s="7"/>
    </row>
    <row r="798" ht="14.25" customHeight="1">
      <c r="A798" s="4"/>
      <c r="B798" s="4"/>
      <c r="C798" s="7"/>
      <c r="D798" s="7"/>
    </row>
    <row r="799" ht="14.25" customHeight="1">
      <c r="A799" s="4"/>
      <c r="B799" s="4"/>
      <c r="C799" s="7"/>
      <c r="D799" s="7"/>
    </row>
    <row r="800" ht="14.25" customHeight="1">
      <c r="A800" s="4"/>
      <c r="B800" s="4"/>
      <c r="C800" s="7"/>
      <c r="D800" s="7"/>
    </row>
    <row r="801" ht="14.25" customHeight="1">
      <c r="A801" s="4"/>
      <c r="B801" s="4"/>
      <c r="C801" s="7"/>
      <c r="D801" s="7"/>
    </row>
    <row r="802" ht="14.25" customHeight="1">
      <c r="A802" s="4"/>
      <c r="B802" s="4"/>
      <c r="C802" s="7"/>
      <c r="D802" s="7"/>
    </row>
    <row r="803" ht="14.25" customHeight="1">
      <c r="A803" s="4"/>
      <c r="B803" s="4"/>
      <c r="C803" s="7"/>
      <c r="D803" s="7"/>
    </row>
    <row r="804" ht="14.25" customHeight="1">
      <c r="A804" s="4"/>
      <c r="B804" s="4"/>
      <c r="C804" s="7"/>
      <c r="D804" s="7"/>
    </row>
    <row r="805" ht="14.25" customHeight="1">
      <c r="A805" s="4"/>
      <c r="B805" s="4"/>
      <c r="C805" s="7"/>
      <c r="D805" s="7"/>
    </row>
    <row r="806" ht="14.25" customHeight="1">
      <c r="A806" s="4"/>
      <c r="B806" s="4"/>
      <c r="C806" s="7"/>
      <c r="D806" s="7"/>
    </row>
    <row r="807" ht="14.25" customHeight="1">
      <c r="A807" s="4"/>
      <c r="B807" s="4"/>
      <c r="C807" s="7"/>
      <c r="D807" s="7"/>
    </row>
    <row r="808" ht="14.25" customHeight="1">
      <c r="A808" s="4"/>
      <c r="B808" s="4"/>
      <c r="C808" s="7"/>
      <c r="D808" s="7"/>
    </row>
    <row r="809" ht="14.25" customHeight="1">
      <c r="A809" s="4"/>
      <c r="B809" s="4"/>
      <c r="C809" s="7"/>
      <c r="D809" s="7"/>
    </row>
    <row r="810" ht="14.25" customHeight="1">
      <c r="A810" s="4"/>
      <c r="B810" s="4"/>
      <c r="C810" s="7"/>
      <c r="D810" s="7"/>
    </row>
    <row r="811" ht="14.25" customHeight="1">
      <c r="A811" s="4"/>
      <c r="B811" s="4"/>
      <c r="C811" s="7"/>
      <c r="D811" s="7"/>
    </row>
    <row r="812" ht="14.25" customHeight="1">
      <c r="A812" s="4"/>
      <c r="B812" s="4"/>
      <c r="C812" s="7"/>
      <c r="D812" s="7"/>
    </row>
    <row r="813" ht="14.25" customHeight="1">
      <c r="A813" s="4"/>
      <c r="B813" s="4"/>
      <c r="C813" s="7"/>
      <c r="D813" s="7"/>
    </row>
    <row r="814" ht="14.25" customHeight="1">
      <c r="A814" s="4"/>
      <c r="B814" s="4"/>
      <c r="C814" s="7"/>
      <c r="D814" s="7"/>
    </row>
    <row r="815" ht="14.25" customHeight="1">
      <c r="A815" s="4"/>
      <c r="B815" s="4"/>
      <c r="C815" s="7"/>
      <c r="D815" s="7"/>
    </row>
    <row r="816" ht="14.25" customHeight="1">
      <c r="A816" s="4"/>
      <c r="B816" s="4"/>
      <c r="C816" s="7"/>
      <c r="D816" s="7"/>
    </row>
    <row r="817" ht="14.25" customHeight="1">
      <c r="A817" s="4"/>
      <c r="B817" s="4"/>
      <c r="C817" s="7"/>
      <c r="D817" s="7"/>
    </row>
    <row r="818" ht="14.25" customHeight="1">
      <c r="A818" s="4"/>
      <c r="B818" s="4"/>
      <c r="C818" s="7"/>
      <c r="D818" s="7"/>
    </row>
    <row r="819" ht="14.25" customHeight="1">
      <c r="A819" s="4"/>
      <c r="B819" s="4"/>
      <c r="C819" s="7"/>
      <c r="D819" s="7"/>
    </row>
    <row r="820" ht="14.25" customHeight="1">
      <c r="A820" s="4"/>
      <c r="B820" s="4"/>
      <c r="C820" s="7"/>
      <c r="D820" s="7"/>
    </row>
    <row r="821" ht="14.25" customHeight="1">
      <c r="A821" s="4"/>
      <c r="B821" s="4"/>
      <c r="C821" s="7"/>
      <c r="D821" s="7"/>
    </row>
    <row r="822" ht="14.25" customHeight="1">
      <c r="A822" s="4"/>
      <c r="B822" s="4"/>
      <c r="C822" s="7"/>
      <c r="D822" s="7"/>
    </row>
    <row r="823" ht="14.25" customHeight="1">
      <c r="A823" s="4"/>
      <c r="B823" s="4"/>
      <c r="C823" s="7"/>
      <c r="D823" s="7"/>
    </row>
    <row r="824" ht="14.25" customHeight="1">
      <c r="A824" s="4"/>
      <c r="B824" s="4"/>
      <c r="C824" s="7"/>
      <c r="D824" s="7"/>
    </row>
    <row r="825" ht="14.25" customHeight="1">
      <c r="A825" s="4"/>
      <c r="B825" s="4"/>
      <c r="C825" s="7"/>
      <c r="D825" s="7"/>
    </row>
    <row r="826" ht="14.25" customHeight="1">
      <c r="A826" s="4"/>
      <c r="B826" s="4"/>
      <c r="C826" s="7"/>
      <c r="D826" s="7"/>
    </row>
    <row r="827" ht="14.25" customHeight="1">
      <c r="A827" s="4"/>
      <c r="B827" s="4"/>
      <c r="C827" s="7"/>
      <c r="D827" s="7"/>
    </row>
    <row r="828" ht="14.25" customHeight="1">
      <c r="A828" s="4"/>
      <c r="B828" s="4"/>
      <c r="C828" s="7"/>
      <c r="D828" s="7"/>
    </row>
    <row r="829" ht="14.25" customHeight="1">
      <c r="A829" s="4"/>
      <c r="B829" s="4"/>
      <c r="C829" s="7"/>
      <c r="D829" s="7"/>
    </row>
    <row r="830" ht="14.25" customHeight="1">
      <c r="A830" s="4"/>
      <c r="B830" s="4"/>
      <c r="C830" s="7"/>
      <c r="D830" s="7"/>
    </row>
    <row r="831" ht="14.25" customHeight="1">
      <c r="A831" s="4"/>
      <c r="B831" s="4"/>
      <c r="C831" s="7"/>
      <c r="D831" s="7"/>
    </row>
    <row r="832" ht="14.25" customHeight="1">
      <c r="A832" s="4"/>
      <c r="B832" s="4"/>
      <c r="C832" s="7"/>
      <c r="D832" s="7"/>
    </row>
    <row r="833" ht="14.25" customHeight="1">
      <c r="A833" s="4"/>
      <c r="B833" s="4"/>
      <c r="C833" s="7"/>
      <c r="D833" s="7"/>
    </row>
    <row r="834" ht="14.25" customHeight="1">
      <c r="A834" s="4"/>
      <c r="B834" s="4"/>
      <c r="C834" s="7"/>
      <c r="D834" s="7"/>
    </row>
    <row r="835" ht="14.25" customHeight="1">
      <c r="A835" s="4"/>
      <c r="B835" s="4"/>
      <c r="C835" s="7"/>
      <c r="D835" s="7"/>
    </row>
    <row r="836" ht="14.25" customHeight="1">
      <c r="A836" s="4"/>
      <c r="B836" s="4"/>
      <c r="C836" s="7"/>
      <c r="D836" s="7"/>
    </row>
    <row r="837" ht="14.25" customHeight="1">
      <c r="A837" s="4"/>
      <c r="B837" s="4"/>
      <c r="C837" s="7"/>
      <c r="D837" s="7"/>
    </row>
    <row r="838" ht="14.25" customHeight="1">
      <c r="A838" s="4"/>
      <c r="B838" s="4"/>
      <c r="C838" s="7"/>
      <c r="D838" s="7"/>
    </row>
    <row r="839" ht="14.25" customHeight="1">
      <c r="A839" s="4"/>
      <c r="B839" s="4"/>
      <c r="C839" s="7"/>
      <c r="D839" s="7"/>
    </row>
    <row r="840" ht="14.25" customHeight="1">
      <c r="A840" s="4"/>
      <c r="B840" s="4"/>
      <c r="C840" s="7"/>
      <c r="D840" s="7"/>
    </row>
    <row r="841" ht="14.25" customHeight="1">
      <c r="A841" s="4"/>
      <c r="B841" s="4"/>
      <c r="C841" s="7"/>
      <c r="D841" s="7"/>
    </row>
    <row r="842" ht="14.25" customHeight="1">
      <c r="A842" s="4"/>
      <c r="B842" s="4"/>
      <c r="C842" s="7"/>
      <c r="D842" s="7"/>
    </row>
    <row r="843" ht="14.25" customHeight="1">
      <c r="A843" s="4"/>
      <c r="B843" s="4"/>
      <c r="C843" s="7"/>
      <c r="D843" s="7"/>
    </row>
    <row r="844" ht="14.25" customHeight="1">
      <c r="A844" s="4"/>
      <c r="B844" s="4"/>
      <c r="C844" s="7"/>
      <c r="D844" s="7"/>
    </row>
    <row r="845" ht="14.25" customHeight="1">
      <c r="A845" s="4"/>
      <c r="B845" s="4"/>
      <c r="C845" s="7"/>
      <c r="D845" s="7"/>
    </row>
    <row r="846" ht="14.25" customHeight="1">
      <c r="A846" s="4"/>
      <c r="B846" s="4"/>
      <c r="C846" s="7"/>
      <c r="D846" s="7"/>
    </row>
    <row r="847" ht="14.25" customHeight="1">
      <c r="A847" s="4"/>
      <c r="B847" s="4"/>
      <c r="C847" s="7"/>
      <c r="D847" s="7"/>
    </row>
    <row r="848" ht="14.25" customHeight="1">
      <c r="A848" s="4"/>
      <c r="B848" s="4"/>
      <c r="C848" s="7"/>
      <c r="D848" s="7"/>
    </row>
    <row r="849" ht="14.25" customHeight="1">
      <c r="A849" s="4"/>
      <c r="B849" s="4"/>
      <c r="C849" s="7"/>
      <c r="D849" s="7"/>
    </row>
    <row r="850" ht="14.25" customHeight="1">
      <c r="A850" s="4"/>
      <c r="B850" s="4"/>
      <c r="C850" s="7"/>
      <c r="D850" s="7"/>
    </row>
    <row r="851" ht="14.25" customHeight="1">
      <c r="A851" s="4"/>
      <c r="B851" s="4"/>
      <c r="C851" s="7"/>
      <c r="D851" s="7"/>
    </row>
    <row r="852" ht="14.25" customHeight="1">
      <c r="A852" s="4"/>
      <c r="B852" s="4"/>
      <c r="C852" s="7"/>
      <c r="D852" s="7"/>
    </row>
    <row r="853" ht="14.25" customHeight="1">
      <c r="A853" s="4"/>
      <c r="B853" s="4"/>
      <c r="C853" s="7"/>
      <c r="D853" s="7"/>
    </row>
    <row r="854" ht="14.25" customHeight="1">
      <c r="A854" s="4"/>
      <c r="B854" s="4"/>
      <c r="C854" s="7"/>
      <c r="D854" s="7"/>
    </row>
    <row r="855" ht="14.25" customHeight="1">
      <c r="A855" s="4"/>
      <c r="B855" s="4"/>
      <c r="C855" s="7"/>
      <c r="D855" s="7"/>
    </row>
    <row r="856" ht="14.25" customHeight="1">
      <c r="A856" s="4"/>
      <c r="B856" s="4"/>
      <c r="C856" s="7"/>
      <c r="D856" s="7"/>
    </row>
    <row r="857" ht="14.25" customHeight="1">
      <c r="A857" s="4"/>
      <c r="B857" s="4"/>
      <c r="C857" s="7"/>
      <c r="D857" s="7"/>
    </row>
    <row r="858" ht="14.25" customHeight="1">
      <c r="A858" s="4"/>
      <c r="B858" s="4"/>
      <c r="C858" s="7"/>
      <c r="D858" s="7"/>
    </row>
    <row r="859" ht="14.25" customHeight="1">
      <c r="A859" s="4"/>
      <c r="B859" s="4"/>
      <c r="C859" s="7"/>
      <c r="D859" s="7"/>
    </row>
    <row r="860" ht="14.25" customHeight="1">
      <c r="A860" s="4"/>
      <c r="B860" s="4"/>
      <c r="C860" s="7"/>
      <c r="D860" s="7"/>
    </row>
    <row r="861" ht="14.25" customHeight="1">
      <c r="A861" s="4"/>
      <c r="B861" s="4"/>
      <c r="C861" s="7"/>
      <c r="D861" s="7"/>
    </row>
    <row r="862" ht="14.25" customHeight="1">
      <c r="A862" s="4"/>
      <c r="B862" s="4"/>
      <c r="C862" s="7"/>
      <c r="D862" s="7"/>
    </row>
    <row r="863" ht="14.25" customHeight="1">
      <c r="A863" s="4"/>
      <c r="B863" s="4"/>
      <c r="C863" s="7"/>
      <c r="D863" s="7"/>
    </row>
    <row r="864" ht="14.25" customHeight="1">
      <c r="A864" s="4"/>
      <c r="B864" s="4"/>
      <c r="C864" s="7"/>
      <c r="D864" s="7"/>
    </row>
    <row r="865" ht="14.25" customHeight="1">
      <c r="A865" s="4"/>
      <c r="B865" s="4"/>
      <c r="C865" s="7"/>
      <c r="D865" s="7"/>
    </row>
    <row r="866" ht="14.25" customHeight="1">
      <c r="A866" s="4"/>
      <c r="B866" s="4"/>
      <c r="C866" s="7"/>
      <c r="D866" s="7"/>
    </row>
    <row r="867" ht="14.25" customHeight="1">
      <c r="A867" s="4"/>
      <c r="B867" s="4"/>
      <c r="C867" s="7"/>
      <c r="D867" s="7"/>
    </row>
    <row r="868" ht="14.25" customHeight="1">
      <c r="A868" s="4"/>
      <c r="B868" s="4"/>
      <c r="C868" s="7"/>
      <c r="D868" s="7"/>
    </row>
    <row r="869" ht="14.25" customHeight="1">
      <c r="A869" s="4"/>
      <c r="B869" s="4"/>
      <c r="C869" s="7"/>
      <c r="D869" s="7"/>
    </row>
    <row r="870" ht="14.25" customHeight="1">
      <c r="A870" s="4"/>
      <c r="B870" s="4"/>
      <c r="C870" s="7"/>
      <c r="D870" s="7"/>
    </row>
    <row r="871" ht="14.25" customHeight="1">
      <c r="A871" s="4"/>
      <c r="B871" s="4"/>
      <c r="C871" s="7"/>
      <c r="D871" s="7"/>
    </row>
    <row r="872" ht="14.25" customHeight="1">
      <c r="A872" s="4"/>
      <c r="B872" s="4"/>
      <c r="C872" s="7"/>
      <c r="D872" s="7"/>
    </row>
    <row r="873" ht="14.25" customHeight="1">
      <c r="A873" s="4"/>
      <c r="B873" s="4"/>
      <c r="C873" s="7"/>
      <c r="D873" s="7"/>
    </row>
    <row r="874" ht="14.25" customHeight="1">
      <c r="A874" s="4"/>
      <c r="B874" s="4"/>
      <c r="C874" s="7"/>
      <c r="D874" s="7"/>
    </row>
    <row r="875" ht="14.25" customHeight="1">
      <c r="A875" s="4"/>
      <c r="B875" s="4"/>
      <c r="C875" s="7"/>
      <c r="D875" s="7"/>
    </row>
    <row r="876" ht="14.25" customHeight="1">
      <c r="A876" s="4"/>
      <c r="B876" s="4"/>
      <c r="C876" s="7"/>
      <c r="D876" s="7"/>
    </row>
    <row r="877" ht="14.25" customHeight="1">
      <c r="A877" s="4"/>
      <c r="B877" s="4"/>
      <c r="C877" s="7"/>
      <c r="D877" s="7"/>
    </row>
    <row r="878" ht="14.25" customHeight="1">
      <c r="A878" s="4"/>
      <c r="B878" s="4"/>
      <c r="C878" s="7"/>
      <c r="D878" s="7"/>
    </row>
    <row r="879" ht="14.25" customHeight="1">
      <c r="A879" s="4"/>
      <c r="B879" s="4"/>
      <c r="C879" s="7"/>
      <c r="D879" s="7"/>
    </row>
    <row r="880" ht="14.25" customHeight="1">
      <c r="A880" s="4"/>
      <c r="B880" s="4"/>
      <c r="C880" s="7"/>
      <c r="D880" s="7"/>
    </row>
    <row r="881" ht="14.25" customHeight="1">
      <c r="A881" s="4"/>
      <c r="B881" s="4"/>
      <c r="C881" s="7"/>
      <c r="D881" s="7"/>
    </row>
    <row r="882" ht="14.25" customHeight="1">
      <c r="A882" s="4"/>
      <c r="B882" s="4"/>
      <c r="C882" s="7"/>
      <c r="D882" s="7"/>
    </row>
    <row r="883" ht="14.25" customHeight="1">
      <c r="A883" s="4"/>
      <c r="B883" s="4"/>
      <c r="C883" s="7"/>
      <c r="D883" s="7"/>
    </row>
    <row r="884" ht="14.25" customHeight="1">
      <c r="A884" s="4"/>
      <c r="B884" s="4"/>
      <c r="C884" s="7"/>
      <c r="D884" s="7"/>
    </row>
    <row r="885" ht="14.25" customHeight="1">
      <c r="A885" s="4"/>
      <c r="B885" s="4"/>
      <c r="C885" s="7"/>
      <c r="D885" s="7"/>
    </row>
    <row r="886" ht="14.25" customHeight="1">
      <c r="A886" s="4"/>
      <c r="B886" s="4"/>
      <c r="C886" s="7"/>
      <c r="D886" s="7"/>
    </row>
    <row r="887" ht="14.25" customHeight="1">
      <c r="A887" s="4"/>
      <c r="B887" s="4"/>
      <c r="C887" s="7"/>
      <c r="D887" s="7"/>
    </row>
    <row r="888" ht="14.25" customHeight="1">
      <c r="A888" s="4"/>
      <c r="B888" s="4"/>
      <c r="C888" s="7"/>
      <c r="D888" s="7"/>
    </row>
    <row r="889" ht="14.25" customHeight="1">
      <c r="A889" s="4"/>
      <c r="B889" s="4"/>
      <c r="C889" s="7"/>
      <c r="D889" s="7"/>
    </row>
    <row r="890" ht="14.25" customHeight="1">
      <c r="A890" s="4"/>
      <c r="B890" s="4"/>
      <c r="C890" s="7"/>
      <c r="D890" s="7"/>
    </row>
    <row r="891" ht="14.25" customHeight="1">
      <c r="A891" s="4"/>
      <c r="B891" s="4"/>
      <c r="C891" s="7"/>
      <c r="D891" s="7"/>
    </row>
    <row r="892" ht="14.25" customHeight="1">
      <c r="A892" s="4"/>
      <c r="B892" s="4"/>
      <c r="C892" s="7"/>
      <c r="D892" s="7"/>
    </row>
    <row r="893" ht="14.25" customHeight="1">
      <c r="A893" s="4"/>
      <c r="B893" s="4"/>
      <c r="C893" s="7"/>
      <c r="D893" s="7"/>
    </row>
    <row r="894" ht="14.25" customHeight="1">
      <c r="A894" s="4"/>
      <c r="B894" s="4"/>
      <c r="C894" s="7"/>
      <c r="D894" s="7"/>
    </row>
    <row r="895" ht="14.25" customHeight="1">
      <c r="A895" s="4"/>
      <c r="B895" s="4"/>
      <c r="C895" s="7"/>
      <c r="D895" s="7"/>
    </row>
    <row r="896" ht="14.25" customHeight="1">
      <c r="A896" s="4"/>
      <c r="B896" s="4"/>
      <c r="C896" s="7"/>
      <c r="D896" s="7"/>
    </row>
    <row r="897" ht="14.25" customHeight="1">
      <c r="A897" s="4"/>
      <c r="B897" s="4"/>
      <c r="C897" s="7"/>
      <c r="D897" s="7"/>
    </row>
    <row r="898" ht="14.25" customHeight="1">
      <c r="A898" s="4"/>
      <c r="B898" s="4"/>
      <c r="C898" s="7"/>
      <c r="D898" s="7"/>
    </row>
    <row r="899" ht="14.25" customHeight="1">
      <c r="A899" s="4"/>
      <c r="B899" s="4"/>
      <c r="C899" s="7"/>
      <c r="D899" s="7"/>
    </row>
    <row r="900" ht="14.25" customHeight="1">
      <c r="A900" s="4"/>
      <c r="B900" s="4"/>
      <c r="C900" s="7"/>
      <c r="D900" s="7"/>
    </row>
    <row r="901" ht="14.25" customHeight="1">
      <c r="A901" s="4"/>
      <c r="B901" s="4"/>
      <c r="C901" s="7"/>
      <c r="D901" s="7"/>
    </row>
    <row r="902" ht="14.25" customHeight="1">
      <c r="A902" s="4"/>
      <c r="B902" s="4"/>
      <c r="C902" s="7"/>
      <c r="D902" s="7"/>
    </row>
    <row r="903" ht="14.25" customHeight="1">
      <c r="A903" s="4"/>
      <c r="B903" s="4"/>
      <c r="C903" s="7"/>
      <c r="D903" s="7"/>
    </row>
    <row r="904" ht="14.25" customHeight="1">
      <c r="A904" s="4"/>
      <c r="B904" s="4"/>
      <c r="C904" s="7"/>
      <c r="D904" s="7"/>
    </row>
    <row r="905" ht="14.25" customHeight="1">
      <c r="A905" s="4"/>
      <c r="B905" s="4"/>
      <c r="C905" s="7"/>
      <c r="D905" s="7"/>
    </row>
    <row r="906" ht="14.25" customHeight="1">
      <c r="A906" s="4"/>
      <c r="B906" s="4"/>
      <c r="C906" s="7"/>
      <c r="D906" s="7"/>
    </row>
    <row r="907" ht="14.25" customHeight="1">
      <c r="A907" s="4"/>
      <c r="B907" s="4"/>
      <c r="C907" s="7"/>
      <c r="D907" s="7"/>
    </row>
    <row r="908" ht="14.25" customHeight="1">
      <c r="A908" s="4"/>
      <c r="B908" s="4"/>
      <c r="C908" s="7"/>
      <c r="D908" s="7"/>
    </row>
    <row r="909" ht="14.25" customHeight="1">
      <c r="A909" s="4"/>
      <c r="B909" s="4"/>
      <c r="C909" s="7"/>
      <c r="D909" s="7"/>
    </row>
    <row r="910" ht="14.25" customHeight="1">
      <c r="A910" s="4"/>
      <c r="B910" s="4"/>
      <c r="C910" s="7"/>
      <c r="D910" s="7"/>
    </row>
    <row r="911" ht="14.25" customHeight="1">
      <c r="A911" s="4"/>
      <c r="B911" s="4"/>
      <c r="C911" s="7"/>
      <c r="D911" s="7"/>
    </row>
    <row r="912" ht="14.25" customHeight="1">
      <c r="A912" s="4"/>
      <c r="B912" s="4"/>
      <c r="C912" s="7"/>
      <c r="D912" s="7"/>
    </row>
    <row r="913" ht="14.25" customHeight="1">
      <c r="A913" s="4"/>
      <c r="B913" s="4"/>
      <c r="C913" s="7"/>
      <c r="D913" s="7"/>
    </row>
    <row r="914" ht="14.25" customHeight="1">
      <c r="A914" s="4"/>
      <c r="B914" s="4"/>
      <c r="C914" s="7"/>
      <c r="D914" s="7"/>
    </row>
    <row r="915" ht="14.25" customHeight="1">
      <c r="A915" s="4"/>
      <c r="B915" s="4"/>
      <c r="C915" s="7"/>
      <c r="D915" s="7"/>
    </row>
    <row r="916" ht="14.25" customHeight="1">
      <c r="A916" s="4"/>
      <c r="B916" s="4"/>
      <c r="C916" s="7"/>
      <c r="D916" s="7"/>
    </row>
    <row r="917" ht="14.25" customHeight="1">
      <c r="A917" s="4"/>
      <c r="B917" s="4"/>
      <c r="C917" s="7"/>
      <c r="D917" s="7"/>
    </row>
    <row r="918" ht="14.25" customHeight="1">
      <c r="A918" s="4"/>
      <c r="B918" s="4"/>
      <c r="C918" s="7"/>
      <c r="D918" s="7"/>
    </row>
    <row r="919" ht="14.25" customHeight="1">
      <c r="A919" s="4"/>
      <c r="B919" s="4"/>
      <c r="C919" s="7"/>
      <c r="D919" s="7"/>
    </row>
    <row r="920" ht="14.25" customHeight="1">
      <c r="A920" s="4"/>
      <c r="B920" s="4"/>
      <c r="C920" s="7"/>
      <c r="D920" s="7"/>
    </row>
    <row r="921" ht="14.25" customHeight="1">
      <c r="A921" s="4"/>
      <c r="B921" s="4"/>
      <c r="C921" s="7"/>
      <c r="D921" s="7"/>
    </row>
    <row r="922" ht="14.25" customHeight="1">
      <c r="A922" s="4"/>
      <c r="B922" s="4"/>
      <c r="C922" s="7"/>
      <c r="D922" s="7"/>
    </row>
    <row r="923" ht="14.25" customHeight="1">
      <c r="A923" s="4"/>
      <c r="B923" s="4"/>
      <c r="C923" s="7"/>
      <c r="D923" s="7"/>
    </row>
    <row r="924" ht="14.25" customHeight="1">
      <c r="A924" s="4"/>
      <c r="B924" s="4"/>
      <c r="C924" s="7"/>
      <c r="D924" s="7"/>
    </row>
    <row r="925" ht="14.25" customHeight="1">
      <c r="A925" s="4"/>
      <c r="B925" s="4"/>
      <c r="C925" s="7"/>
      <c r="D925" s="7"/>
    </row>
    <row r="926" ht="14.25" customHeight="1">
      <c r="A926" s="4"/>
      <c r="B926" s="4"/>
      <c r="C926" s="7"/>
      <c r="D926" s="7"/>
    </row>
    <row r="927" ht="14.25" customHeight="1">
      <c r="A927" s="4"/>
      <c r="B927" s="4"/>
      <c r="C927" s="7"/>
      <c r="D927" s="7"/>
    </row>
    <row r="928" ht="14.25" customHeight="1">
      <c r="A928" s="4"/>
      <c r="B928" s="4"/>
      <c r="C928" s="7"/>
      <c r="D928" s="7"/>
    </row>
    <row r="929" ht="14.25" customHeight="1">
      <c r="A929" s="4"/>
      <c r="B929" s="4"/>
      <c r="C929" s="7"/>
      <c r="D929" s="7"/>
    </row>
    <row r="930" ht="14.25" customHeight="1">
      <c r="A930" s="4"/>
      <c r="B930" s="4"/>
      <c r="C930" s="7"/>
      <c r="D930" s="7"/>
    </row>
    <row r="931" ht="14.25" customHeight="1">
      <c r="A931" s="4"/>
      <c r="B931" s="4"/>
      <c r="C931" s="7"/>
      <c r="D931" s="7"/>
    </row>
    <row r="932" ht="14.25" customHeight="1">
      <c r="A932" s="4"/>
      <c r="B932" s="4"/>
      <c r="C932" s="7"/>
      <c r="D932" s="7"/>
    </row>
    <row r="933" ht="14.25" customHeight="1">
      <c r="A933" s="4"/>
      <c r="B933" s="4"/>
      <c r="C933" s="7"/>
      <c r="D933" s="7"/>
    </row>
    <row r="934" ht="14.25" customHeight="1">
      <c r="A934" s="4"/>
      <c r="B934" s="4"/>
      <c r="C934" s="7"/>
      <c r="D934" s="7"/>
    </row>
    <row r="935" ht="14.25" customHeight="1">
      <c r="A935" s="4"/>
      <c r="B935" s="4"/>
      <c r="C935" s="7"/>
      <c r="D935" s="7"/>
    </row>
    <row r="936" ht="14.25" customHeight="1">
      <c r="A936" s="4"/>
      <c r="B936" s="4"/>
      <c r="C936" s="7"/>
      <c r="D936" s="7"/>
    </row>
    <row r="937" ht="14.25" customHeight="1">
      <c r="A937" s="4"/>
      <c r="B937" s="4"/>
      <c r="C937" s="7"/>
      <c r="D937" s="7"/>
    </row>
    <row r="938" ht="14.25" customHeight="1">
      <c r="A938" s="4"/>
      <c r="B938" s="4"/>
      <c r="C938" s="7"/>
      <c r="D938" s="7"/>
    </row>
    <row r="939" ht="14.25" customHeight="1">
      <c r="A939" s="4"/>
      <c r="B939" s="4"/>
      <c r="C939" s="7"/>
      <c r="D939" s="7"/>
    </row>
    <row r="940" ht="14.25" customHeight="1">
      <c r="A940" s="4"/>
      <c r="B940" s="4"/>
      <c r="C940" s="7"/>
      <c r="D940" s="7"/>
    </row>
    <row r="941" ht="14.25" customHeight="1">
      <c r="A941" s="4"/>
      <c r="B941" s="4"/>
      <c r="C941" s="7"/>
      <c r="D941" s="7"/>
    </row>
    <row r="942" ht="14.25" customHeight="1">
      <c r="A942" s="4"/>
      <c r="B942" s="4"/>
      <c r="C942" s="7"/>
      <c r="D942" s="7"/>
    </row>
    <row r="943" ht="14.25" customHeight="1">
      <c r="A943" s="4"/>
      <c r="B943" s="4"/>
      <c r="C943" s="7"/>
      <c r="D943" s="7"/>
    </row>
    <row r="944" ht="14.25" customHeight="1">
      <c r="A944" s="4"/>
      <c r="B944" s="4"/>
      <c r="C944" s="7"/>
      <c r="D944" s="7"/>
    </row>
    <row r="945" ht="14.25" customHeight="1">
      <c r="A945" s="4"/>
      <c r="B945" s="4"/>
      <c r="C945" s="7"/>
      <c r="D945" s="7"/>
    </row>
    <row r="946" ht="14.25" customHeight="1">
      <c r="A946" s="4"/>
      <c r="B946" s="4"/>
      <c r="C946" s="7"/>
      <c r="D946" s="7"/>
    </row>
    <row r="947" ht="14.25" customHeight="1">
      <c r="A947" s="4"/>
      <c r="B947" s="4"/>
      <c r="C947" s="7"/>
      <c r="D947" s="7"/>
    </row>
    <row r="948" ht="14.25" customHeight="1">
      <c r="A948" s="4"/>
      <c r="B948" s="4"/>
      <c r="C948" s="7"/>
      <c r="D948" s="7"/>
    </row>
    <row r="949" ht="14.25" customHeight="1">
      <c r="A949" s="4"/>
      <c r="B949" s="4"/>
      <c r="C949" s="7"/>
      <c r="D949" s="7"/>
    </row>
    <row r="950" ht="14.25" customHeight="1">
      <c r="A950" s="4"/>
      <c r="B950" s="4"/>
      <c r="C950" s="7"/>
      <c r="D950" s="7"/>
    </row>
    <row r="951" ht="14.25" customHeight="1">
      <c r="A951" s="4"/>
      <c r="B951" s="4"/>
      <c r="C951" s="7"/>
      <c r="D951" s="7"/>
    </row>
    <row r="952" ht="14.25" customHeight="1">
      <c r="A952" s="4"/>
      <c r="B952" s="4"/>
      <c r="C952" s="7"/>
      <c r="D952" s="7"/>
    </row>
    <row r="953" ht="14.25" customHeight="1">
      <c r="A953" s="4"/>
      <c r="B953" s="4"/>
      <c r="C953" s="7"/>
      <c r="D953" s="7"/>
    </row>
    <row r="954" ht="14.25" customHeight="1">
      <c r="A954" s="4"/>
      <c r="B954" s="4"/>
      <c r="C954" s="7"/>
      <c r="D954" s="7"/>
    </row>
    <row r="955" ht="14.25" customHeight="1">
      <c r="A955" s="4"/>
      <c r="B955" s="4"/>
      <c r="C955" s="7"/>
      <c r="D955" s="7"/>
    </row>
    <row r="956" ht="14.25" customHeight="1">
      <c r="A956" s="4"/>
      <c r="B956" s="4"/>
      <c r="C956" s="7"/>
      <c r="D956" s="7"/>
    </row>
    <row r="957" ht="14.25" customHeight="1">
      <c r="A957" s="4"/>
      <c r="B957" s="4"/>
      <c r="C957" s="7"/>
      <c r="D957" s="7"/>
    </row>
    <row r="958" ht="14.25" customHeight="1">
      <c r="A958" s="4"/>
      <c r="B958" s="4"/>
      <c r="C958" s="7"/>
      <c r="D958" s="7"/>
    </row>
    <row r="959" ht="14.25" customHeight="1">
      <c r="A959" s="4"/>
      <c r="B959" s="4"/>
      <c r="C959" s="7"/>
      <c r="D959" s="7"/>
    </row>
    <row r="960" ht="14.25" customHeight="1">
      <c r="A960" s="4"/>
      <c r="B960" s="4"/>
      <c r="C960" s="7"/>
      <c r="D960" s="7"/>
    </row>
    <row r="961" ht="14.25" customHeight="1">
      <c r="A961" s="4"/>
      <c r="B961" s="4"/>
      <c r="C961" s="7"/>
      <c r="D961" s="7"/>
    </row>
    <row r="962" ht="14.25" customHeight="1">
      <c r="A962" s="4"/>
      <c r="B962" s="4"/>
      <c r="C962" s="7"/>
      <c r="D962" s="7"/>
    </row>
    <row r="963" ht="14.25" customHeight="1">
      <c r="A963" s="4"/>
      <c r="B963" s="4"/>
      <c r="C963" s="7"/>
      <c r="D963" s="7"/>
    </row>
    <row r="964" ht="14.25" customHeight="1">
      <c r="A964" s="4"/>
      <c r="B964" s="4"/>
      <c r="C964" s="7"/>
      <c r="D964" s="7"/>
    </row>
    <row r="965" ht="14.25" customHeight="1">
      <c r="A965" s="4"/>
      <c r="B965" s="4"/>
      <c r="C965" s="7"/>
      <c r="D965" s="7"/>
    </row>
    <row r="966" ht="14.25" customHeight="1">
      <c r="A966" s="4"/>
      <c r="B966" s="4"/>
      <c r="C966" s="7"/>
      <c r="D966" s="7"/>
    </row>
    <row r="967" ht="14.25" customHeight="1">
      <c r="A967" s="4"/>
      <c r="B967" s="4"/>
      <c r="C967" s="7"/>
      <c r="D967" s="7"/>
    </row>
    <row r="968" ht="14.25" customHeight="1">
      <c r="A968" s="4"/>
      <c r="B968" s="4"/>
      <c r="C968" s="7"/>
      <c r="D968" s="7"/>
    </row>
    <row r="969" ht="14.25" customHeight="1">
      <c r="A969" s="4"/>
      <c r="B969" s="4"/>
      <c r="C969" s="7"/>
      <c r="D969" s="7"/>
    </row>
    <row r="970" ht="14.25" customHeight="1">
      <c r="A970" s="4"/>
      <c r="B970" s="4"/>
      <c r="C970" s="7"/>
      <c r="D970" s="7"/>
    </row>
    <row r="971" ht="14.25" customHeight="1">
      <c r="A971" s="4"/>
      <c r="B971" s="4"/>
      <c r="C971" s="7"/>
      <c r="D971" s="7"/>
    </row>
    <row r="972" ht="14.25" customHeight="1">
      <c r="A972" s="4"/>
      <c r="B972" s="4"/>
      <c r="C972" s="7"/>
      <c r="D972" s="7"/>
    </row>
    <row r="973" ht="14.25" customHeight="1">
      <c r="A973" s="4"/>
      <c r="B973" s="4"/>
      <c r="C973" s="7"/>
      <c r="D973" s="7"/>
    </row>
    <row r="974" ht="14.25" customHeight="1">
      <c r="A974" s="4"/>
      <c r="B974" s="4"/>
      <c r="C974" s="7"/>
      <c r="D974" s="7"/>
    </row>
    <row r="975" ht="14.25" customHeight="1">
      <c r="A975" s="4"/>
      <c r="B975" s="4"/>
      <c r="C975" s="7"/>
      <c r="D975" s="7"/>
    </row>
    <row r="976" ht="14.25" customHeight="1">
      <c r="A976" s="4"/>
      <c r="B976" s="4"/>
      <c r="C976" s="7"/>
      <c r="D976" s="7"/>
    </row>
    <row r="977" ht="14.25" customHeight="1">
      <c r="A977" s="4"/>
      <c r="B977" s="4"/>
      <c r="C977" s="7"/>
      <c r="D977" s="7"/>
    </row>
    <row r="978" ht="14.25" customHeight="1">
      <c r="A978" s="4"/>
      <c r="B978" s="4"/>
      <c r="C978" s="7"/>
      <c r="D978" s="7"/>
    </row>
    <row r="979" ht="14.25" customHeight="1">
      <c r="A979" s="4"/>
      <c r="B979" s="4"/>
      <c r="C979" s="7"/>
      <c r="D979" s="7"/>
    </row>
    <row r="980" ht="14.25" customHeight="1">
      <c r="A980" s="4"/>
      <c r="B980" s="4"/>
      <c r="C980" s="7"/>
      <c r="D980" s="7"/>
    </row>
    <row r="981" ht="14.25" customHeight="1">
      <c r="A981" s="4"/>
      <c r="B981" s="4"/>
      <c r="C981" s="7"/>
      <c r="D981" s="7"/>
    </row>
    <row r="982" ht="14.25" customHeight="1">
      <c r="A982" s="4"/>
      <c r="B982" s="4"/>
      <c r="C982" s="7"/>
      <c r="D982" s="7"/>
    </row>
    <row r="983" ht="14.25" customHeight="1">
      <c r="A983" s="4"/>
      <c r="B983" s="4"/>
      <c r="C983" s="7"/>
      <c r="D983" s="7"/>
    </row>
    <row r="984" ht="14.25" customHeight="1">
      <c r="A984" s="4"/>
      <c r="B984" s="4"/>
      <c r="C984" s="7"/>
      <c r="D984" s="7"/>
    </row>
    <row r="985" ht="14.25" customHeight="1">
      <c r="A985" s="4"/>
      <c r="B985" s="4"/>
      <c r="C985" s="7"/>
      <c r="D985" s="7"/>
    </row>
    <row r="986" ht="14.25" customHeight="1">
      <c r="A986" s="4"/>
      <c r="B986" s="4"/>
      <c r="C986" s="7"/>
      <c r="D986" s="7"/>
    </row>
    <row r="987" ht="14.25" customHeight="1">
      <c r="A987" s="4"/>
      <c r="B987" s="4"/>
      <c r="C987" s="7"/>
      <c r="D987" s="7"/>
    </row>
    <row r="988" ht="14.25" customHeight="1">
      <c r="A988" s="4"/>
      <c r="B988" s="4"/>
      <c r="C988" s="7"/>
      <c r="D988" s="7"/>
    </row>
    <row r="989" ht="14.25" customHeight="1">
      <c r="A989" s="4"/>
      <c r="B989" s="4"/>
      <c r="C989" s="7"/>
      <c r="D989" s="7"/>
    </row>
    <row r="990" ht="14.25" customHeight="1">
      <c r="A990" s="4"/>
      <c r="B990" s="4"/>
      <c r="C990" s="7"/>
      <c r="D990" s="7"/>
    </row>
    <row r="991" ht="14.25" customHeight="1">
      <c r="A991" s="4"/>
      <c r="B991" s="4"/>
      <c r="C991" s="7"/>
      <c r="D991" s="7"/>
    </row>
    <row r="992" ht="14.25" customHeight="1">
      <c r="A992" s="4"/>
      <c r="B992" s="4"/>
      <c r="C992" s="7"/>
      <c r="D992" s="7"/>
    </row>
    <row r="993" ht="14.25" customHeight="1">
      <c r="A993" s="4"/>
      <c r="B993" s="4"/>
      <c r="C993" s="7"/>
      <c r="D993" s="7"/>
    </row>
    <row r="994" ht="14.25" customHeight="1">
      <c r="A994" s="4"/>
      <c r="B994" s="4"/>
      <c r="C994" s="7"/>
      <c r="D994" s="7"/>
    </row>
    <row r="995" ht="14.25" customHeight="1">
      <c r="A995" s="4"/>
      <c r="B995" s="4"/>
      <c r="C995" s="7"/>
      <c r="D995" s="7"/>
    </row>
    <row r="996" ht="14.25" customHeight="1">
      <c r="A996" s="4"/>
      <c r="B996" s="4"/>
      <c r="C996" s="7"/>
      <c r="D996" s="7"/>
    </row>
    <row r="997" ht="14.25" customHeight="1">
      <c r="A997" s="4"/>
      <c r="B997" s="4"/>
      <c r="C997" s="7"/>
      <c r="D997" s="7"/>
    </row>
    <row r="998" ht="14.25" customHeight="1">
      <c r="A998" s="4"/>
      <c r="B998" s="4"/>
      <c r="C998" s="7"/>
      <c r="D998" s="7"/>
    </row>
    <row r="999" ht="14.25" customHeight="1">
      <c r="A999" s="4"/>
      <c r="B999" s="4"/>
      <c r="C999" s="7"/>
      <c r="D999" s="7"/>
    </row>
    <row r="1000" ht="14.25" customHeight="1">
      <c r="A1000" s="4"/>
      <c r="B1000" s="4"/>
      <c r="C1000" s="7"/>
      <c r="D1000" s="7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6.25"/>
    <col customWidth="1" min="3" max="3" width="24.5"/>
    <col customWidth="1" min="4" max="4" width="24.63"/>
    <col customWidth="1" min="5" max="26" width="8.88"/>
  </cols>
  <sheetData>
    <row r="1" ht="14.25" customHeight="1">
      <c r="A1" s="11" t="s">
        <v>491</v>
      </c>
      <c r="B1" s="12" t="s">
        <v>1</v>
      </c>
      <c r="C1" s="12" t="s">
        <v>487</v>
      </c>
      <c r="D1" s="14" t="s">
        <v>489</v>
      </c>
    </row>
    <row r="2" ht="14.25" customHeight="1">
      <c r="A2" s="19">
        <v>20203.0</v>
      </c>
      <c r="B2" s="20" t="s">
        <v>72</v>
      </c>
      <c r="C2" s="26"/>
      <c r="D2" s="27">
        <v>205302.89666666664</v>
      </c>
    </row>
    <row r="3" ht="14.25" customHeight="1">
      <c r="A3" s="19">
        <v>21902.0</v>
      </c>
      <c r="B3" s="20" t="s">
        <v>166</v>
      </c>
      <c r="C3" s="26"/>
      <c r="D3" s="27">
        <v>433.3333333333333</v>
      </c>
    </row>
    <row r="4" ht="14.25" customHeight="1">
      <c r="A4" s="15">
        <v>31304.0</v>
      </c>
      <c r="B4" s="16" t="s">
        <v>224</v>
      </c>
      <c r="C4" s="26"/>
      <c r="D4" s="27">
        <v>255458.10000000056</v>
      </c>
    </row>
    <row r="5" ht="14.25" customHeight="1">
      <c r="A5" s="19">
        <v>40302.0</v>
      </c>
      <c r="B5" s="20" t="s">
        <v>246</v>
      </c>
      <c r="C5" s="26"/>
      <c r="D5" s="27">
        <v>41900.40333333333</v>
      </c>
    </row>
    <row r="6" ht="14.25" customHeight="1">
      <c r="A6" s="19">
        <v>40502.0</v>
      </c>
      <c r="B6" s="20" t="s">
        <v>252</v>
      </c>
      <c r="C6" s="26"/>
      <c r="D6" s="27">
        <v>2256881.0</v>
      </c>
    </row>
    <row r="7" ht="14.25" customHeight="1">
      <c r="A7" s="19">
        <v>40903.0</v>
      </c>
      <c r="B7" s="20" t="s">
        <v>269</v>
      </c>
      <c r="C7" s="26"/>
      <c r="D7" s="27">
        <v>12919.180000000168</v>
      </c>
    </row>
    <row r="8" ht="14.25" customHeight="1">
      <c r="A8" s="19">
        <v>50405.0</v>
      </c>
      <c r="B8" s="20" t="s">
        <v>307</v>
      </c>
      <c r="C8" s="26"/>
      <c r="D8" s="27">
        <v>73698.86333333333</v>
      </c>
    </row>
    <row r="9" ht="14.25" customHeight="1">
      <c r="A9" s="15">
        <v>51204.0</v>
      </c>
      <c r="B9" s="16" t="s">
        <v>490</v>
      </c>
      <c r="C9" s="26"/>
      <c r="D9" s="27">
        <v>815301.29</v>
      </c>
    </row>
    <row r="10" ht="14.25" customHeight="1">
      <c r="A10" s="15">
        <v>80901.0</v>
      </c>
      <c r="B10" s="16" t="s">
        <v>464</v>
      </c>
      <c r="C10" s="26"/>
      <c r="D10" s="27"/>
    </row>
    <row r="11" ht="14.25" customHeight="1">
      <c r="A11" s="19">
        <v>20604.0</v>
      </c>
      <c r="B11" s="20" t="s">
        <v>99</v>
      </c>
      <c r="C11" s="26">
        <v>6.653333333333333</v>
      </c>
      <c r="D11" s="27">
        <v>14631.269999999999</v>
      </c>
    </row>
    <row r="12" ht="14.25" customHeight="1">
      <c r="A12" s="19">
        <v>20305.0</v>
      </c>
      <c r="B12" s="20" t="s">
        <v>81</v>
      </c>
      <c r="C12" s="26">
        <v>7.646666666666666</v>
      </c>
      <c r="D12" s="27">
        <v>85.66666666666667</v>
      </c>
    </row>
    <row r="13" ht="14.25" customHeight="1">
      <c r="A13" s="19">
        <v>40504.0</v>
      </c>
      <c r="B13" s="20" t="s">
        <v>254</v>
      </c>
      <c r="C13" s="26">
        <v>21.87</v>
      </c>
      <c r="D13" s="27">
        <v>16881.666666666668</v>
      </c>
    </row>
    <row r="14" ht="14.25" customHeight="1">
      <c r="A14" s="19">
        <v>20306.0</v>
      </c>
      <c r="B14" s="20" t="s">
        <v>82</v>
      </c>
      <c r="C14" s="26">
        <v>34.93333333333334</v>
      </c>
      <c r="D14" s="27">
        <v>29743.833333333332</v>
      </c>
    </row>
    <row r="15" ht="14.25" customHeight="1">
      <c r="A15" s="19">
        <v>40503.0</v>
      </c>
      <c r="B15" s="20" t="s">
        <v>253</v>
      </c>
      <c r="C15" s="26">
        <v>433.3333333333333</v>
      </c>
      <c r="D15" s="27">
        <v>995254.7833333333</v>
      </c>
    </row>
    <row r="16" ht="14.25" customHeight="1">
      <c r="A16" s="19">
        <v>21703.0</v>
      </c>
      <c r="B16" s="20" t="s">
        <v>159</v>
      </c>
      <c r="C16" s="26">
        <v>569.5</v>
      </c>
      <c r="D16" s="27">
        <v>20909.433333333334</v>
      </c>
    </row>
    <row r="17" ht="14.25" customHeight="1">
      <c r="A17" s="19">
        <v>90103.0</v>
      </c>
      <c r="B17" s="20" t="s">
        <v>469</v>
      </c>
      <c r="C17" s="26">
        <v>836.0266666666666</v>
      </c>
      <c r="D17" s="27">
        <v>178661.19999999998</v>
      </c>
    </row>
    <row r="18" ht="14.25" customHeight="1">
      <c r="A18" s="19">
        <v>20302.0</v>
      </c>
      <c r="B18" s="20" t="s">
        <v>78</v>
      </c>
      <c r="C18" s="26">
        <v>942.9366666666666</v>
      </c>
      <c r="D18" s="27">
        <v>210741.79333333333</v>
      </c>
    </row>
    <row r="19" ht="14.25" customHeight="1">
      <c r="A19" s="19">
        <v>20403.0</v>
      </c>
      <c r="B19" s="20" t="s">
        <v>88</v>
      </c>
      <c r="C19" s="26">
        <v>1015.9933333333332</v>
      </c>
      <c r="D19" s="27">
        <v>60687.556666666664</v>
      </c>
    </row>
    <row r="20" ht="14.25" customHeight="1">
      <c r="A20" s="19">
        <v>90401.0</v>
      </c>
      <c r="B20" s="20" t="s">
        <v>479</v>
      </c>
      <c r="C20" s="26">
        <v>1842.4666666666665</v>
      </c>
      <c r="D20" s="27">
        <v>39549.07</v>
      </c>
    </row>
    <row r="21" ht="14.25" customHeight="1">
      <c r="A21" s="19">
        <v>21302.0</v>
      </c>
      <c r="B21" s="20" t="s">
        <v>141</v>
      </c>
      <c r="C21" s="26">
        <v>2733.036666666668</v>
      </c>
      <c r="D21" s="27">
        <v>22683.693333333333</v>
      </c>
    </row>
    <row r="22" ht="14.25" customHeight="1">
      <c r="A22" s="19">
        <v>41502.0</v>
      </c>
      <c r="B22" s="20" t="s">
        <v>283</v>
      </c>
      <c r="C22" s="26">
        <v>6204.793333333332</v>
      </c>
      <c r="D22" s="27">
        <v>238999.10666666666</v>
      </c>
    </row>
    <row r="23" ht="14.25" customHeight="1">
      <c r="A23" s="19">
        <v>20303.0</v>
      </c>
      <c r="B23" s="20" t="s">
        <v>79</v>
      </c>
      <c r="C23" s="26">
        <v>7778.256666666667</v>
      </c>
      <c r="D23" s="27">
        <v>201965.08666666667</v>
      </c>
    </row>
    <row r="24" ht="14.25" customHeight="1">
      <c r="A24" s="19">
        <v>90302.0</v>
      </c>
      <c r="B24" s="20" t="s">
        <v>477</v>
      </c>
      <c r="C24" s="26">
        <v>8345.27</v>
      </c>
      <c r="D24" s="27">
        <v>66890.17666666668</v>
      </c>
    </row>
    <row r="25" ht="14.25" customHeight="1">
      <c r="A25" s="19">
        <v>40103.0</v>
      </c>
      <c r="B25" s="20" t="s">
        <v>239</v>
      </c>
      <c r="C25" s="26">
        <v>8676.483333333334</v>
      </c>
      <c r="D25" s="27">
        <v>185431.58333333334</v>
      </c>
    </row>
    <row r="26" ht="14.25" customHeight="1">
      <c r="A26" s="19">
        <v>21702.0</v>
      </c>
      <c r="B26" s="20" t="s">
        <v>158</v>
      </c>
      <c r="C26" s="26">
        <v>11080.32</v>
      </c>
      <c r="D26" s="27">
        <v>119097.39666666667</v>
      </c>
    </row>
    <row r="27" ht="14.25" customHeight="1">
      <c r="A27" s="19">
        <v>20807.0</v>
      </c>
      <c r="B27" s="20" t="s">
        <v>114</v>
      </c>
      <c r="C27" s="26">
        <v>12115.663333333332</v>
      </c>
      <c r="D27" s="27">
        <v>1106234.7166666666</v>
      </c>
    </row>
    <row r="28" ht="14.25" customHeight="1">
      <c r="A28" s="19">
        <v>20401.0</v>
      </c>
      <c r="B28" s="20" t="s">
        <v>85</v>
      </c>
      <c r="C28" s="26">
        <v>12395.730000000001</v>
      </c>
      <c r="D28" s="27">
        <v>66679.46333333333</v>
      </c>
    </row>
    <row r="29" ht="14.25" customHeight="1">
      <c r="A29" s="19">
        <v>90202.0</v>
      </c>
      <c r="B29" s="20" t="s">
        <v>473</v>
      </c>
      <c r="C29" s="26">
        <v>14536.606666666668</v>
      </c>
      <c r="D29" s="27">
        <v>80366.65666666666</v>
      </c>
    </row>
    <row r="30" ht="14.25" customHeight="1">
      <c r="A30" s="19">
        <v>41202.0</v>
      </c>
      <c r="B30" s="20" t="s">
        <v>276</v>
      </c>
      <c r="C30" s="26">
        <v>15045.373333333331</v>
      </c>
      <c r="D30" s="27">
        <v>98532.8</v>
      </c>
    </row>
    <row r="31" ht="14.25" customHeight="1">
      <c r="A31" s="19">
        <v>80703.0</v>
      </c>
      <c r="B31" s="20" t="s">
        <v>458</v>
      </c>
      <c r="C31" s="26">
        <v>17007.84</v>
      </c>
      <c r="D31" s="27">
        <v>53652.23333333334</v>
      </c>
    </row>
    <row r="32" ht="14.25" customHeight="1">
      <c r="A32" s="19">
        <v>40902.0</v>
      </c>
      <c r="B32" s="20" t="s">
        <v>268</v>
      </c>
      <c r="C32" s="26">
        <v>18357.203333333335</v>
      </c>
      <c r="D32" s="27">
        <v>1608400.6133333333</v>
      </c>
    </row>
    <row r="33" ht="14.25" customHeight="1">
      <c r="A33" s="19">
        <v>20205.0</v>
      </c>
      <c r="B33" s="20" t="s">
        <v>74</v>
      </c>
      <c r="C33" s="26">
        <v>21253.253333333334</v>
      </c>
      <c r="D33" s="27">
        <v>865479.8233333332</v>
      </c>
    </row>
    <row r="34" ht="14.25" customHeight="1">
      <c r="A34" s="19">
        <v>41101.0</v>
      </c>
      <c r="B34" s="20" t="s">
        <v>272</v>
      </c>
      <c r="C34" s="26">
        <v>22824.77</v>
      </c>
      <c r="D34" s="27">
        <v>103371.50666666667</v>
      </c>
    </row>
    <row r="35" ht="14.25" customHeight="1">
      <c r="A35" s="19">
        <v>21006.0</v>
      </c>
      <c r="B35" s="20" t="s">
        <v>127</v>
      </c>
      <c r="C35" s="26">
        <v>25084.22</v>
      </c>
      <c r="D35" s="27">
        <v>382072.6366666667</v>
      </c>
    </row>
    <row r="36" ht="14.25" customHeight="1">
      <c r="A36" s="19">
        <v>21204.0</v>
      </c>
      <c r="B36" s="20" t="s">
        <v>138</v>
      </c>
      <c r="C36" s="26">
        <v>28207.88666666667</v>
      </c>
      <c r="D36" s="27">
        <v>23607.110000000004</v>
      </c>
    </row>
    <row r="37" ht="14.25" customHeight="1">
      <c r="A37" s="19">
        <v>20405.0</v>
      </c>
      <c r="B37" s="20" t="s">
        <v>90</v>
      </c>
      <c r="C37" s="26">
        <v>29329.92</v>
      </c>
      <c r="D37" s="27">
        <v>964133.54</v>
      </c>
    </row>
    <row r="38" ht="14.25" customHeight="1">
      <c r="A38" s="19">
        <v>51402.0</v>
      </c>
      <c r="B38" s="20" t="s">
        <v>340</v>
      </c>
      <c r="C38" s="26">
        <v>29985.209999999995</v>
      </c>
      <c r="D38" s="27">
        <v>50180.219999999994</v>
      </c>
    </row>
    <row r="39" ht="14.25" customHeight="1">
      <c r="A39" s="19">
        <v>40501.0</v>
      </c>
      <c r="B39" s="20" t="s">
        <v>250</v>
      </c>
      <c r="C39" s="26">
        <v>31376.486666666668</v>
      </c>
      <c r="D39" s="27">
        <v>337338.38666666666</v>
      </c>
    </row>
    <row r="40" ht="14.25" customHeight="1">
      <c r="A40" s="19">
        <v>90502.0</v>
      </c>
      <c r="B40" s="20" t="s">
        <v>484</v>
      </c>
      <c r="C40" s="26">
        <v>32170.316666666666</v>
      </c>
      <c r="D40" s="27">
        <v>102201.81000000001</v>
      </c>
    </row>
    <row r="41" ht="14.25" customHeight="1">
      <c r="A41" s="19">
        <v>70701.0</v>
      </c>
      <c r="B41" s="20" t="s">
        <v>390</v>
      </c>
      <c r="C41" s="26">
        <v>32965.45</v>
      </c>
      <c r="D41" s="27">
        <v>174303.53333333333</v>
      </c>
    </row>
    <row r="42" ht="14.25" customHeight="1">
      <c r="A42" s="19">
        <v>41601.0</v>
      </c>
      <c r="B42" s="20" t="s">
        <v>285</v>
      </c>
      <c r="C42" s="26">
        <v>34380.86666666667</v>
      </c>
      <c r="D42" s="27">
        <v>182961.25333333333</v>
      </c>
    </row>
    <row r="43" ht="14.25" customHeight="1">
      <c r="A43" s="19">
        <v>21303.0</v>
      </c>
      <c r="B43" s="20" t="s">
        <v>142</v>
      </c>
      <c r="C43" s="26">
        <v>36074.933333333334</v>
      </c>
      <c r="D43" s="27">
        <v>358846.3066666667</v>
      </c>
    </row>
    <row r="44" ht="14.25" customHeight="1">
      <c r="A44" s="19">
        <v>10404.0</v>
      </c>
      <c r="B44" s="20" t="s">
        <v>39</v>
      </c>
      <c r="C44" s="26">
        <v>37534.159999999996</v>
      </c>
      <c r="D44" s="27">
        <v>295329.3466666667</v>
      </c>
    </row>
    <row r="45" ht="14.25" customHeight="1">
      <c r="A45" s="19">
        <v>90501.0</v>
      </c>
      <c r="B45" s="20" t="s">
        <v>482</v>
      </c>
      <c r="C45" s="26">
        <v>37886.956666666665</v>
      </c>
      <c r="D45" s="27">
        <v>67385.5</v>
      </c>
    </row>
    <row r="46" ht="14.25" customHeight="1">
      <c r="A46" s="19">
        <v>90203.0</v>
      </c>
      <c r="B46" s="20" t="s">
        <v>474</v>
      </c>
      <c r="C46" s="26">
        <v>38094.34666666667</v>
      </c>
      <c r="D46" s="27">
        <v>213349.82666666666</v>
      </c>
    </row>
    <row r="47" ht="14.25" customHeight="1">
      <c r="A47" s="19">
        <v>90402.0</v>
      </c>
      <c r="B47" s="20" t="s">
        <v>481</v>
      </c>
      <c r="C47" s="26">
        <v>38478.74333333333</v>
      </c>
      <c r="D47" s="27">
        <v>20.0</v>
      </c>
    </row>
    <row r="48" ht="14.25" customHeight="1">
      <c r="A48" s="19">
        <v>40802.0</v>
      </c>
      <c r="B48" s="20" t="s">
        <v>265</v>
      </c>
      <c r="C48" s="26">
        <v>42157.15</v>
      </c>
      <c r="D48" s="27">
        <v>19999.333333333332</v>
      </c>
    </row>
    <row r="49" ht="14.25" customHeight="1">
      <c r="A49" s="19">
        <v>21901.0</v>
      </c>
      <c r="B49" s="20" t="s">
        <v>164</v>
      </c>
      <c r="C49" s="26">
        <v>44856.25</v>
      </c>
      <c r="D49" s="27">
        <v>75431.84333333334</v>
      </c>
    </row>
    <row r="50" ht="14.25" customHeight="1">
      <c r="A50" s="19">
        <v>90503.0</v>
      </c>
      <c r="B50" s="20" t="s">
        <v>485</v>
      </c>
      <c r="C50" s="26">
        <v>46995.24333333334</v>
      </c>
      <c r="D50" s="27">
        <v>2911.1</v>
      </c>
    </row>
    <row r="51" ht="14.25" customHeight="1">
      <c r="A51" s="19">
        <v>70805.0</v>
      </c>
      <c r="B51" s="20" t="s">
        <v>403</v>
      </c>
      <c r="C51" s="26">
        <v>47861.94666666668</v>
      </c>
      <c r="D51" s="27">
        <v>105817.67</v>
      </c>
    </row>
    <row r="52" ht="14.25" customHeight="1">
      <c r="A52" s="19">
        <v>20307.0</v>
      </c>
      <c r="B52" s="20" t="s">
        <v>83</v>
      </c>
      <c r="C52" s="26">
        <v>51601.91333333333</v>
      </c>
      <c r="D52" s="27">
        <v>152323.67333333334</v>
      </c>
    </row>
    <row r="53" ht="14.25" customHeight="1">
      <c r="A53" s="19">
        <v>90104.0</v>
      </c>
      <c r="B53" s="20" t="s">
        <v>470</v>
      </c>
      <c r="C53" s="26">
        <v>52287.23</v>
      </c>
      <c r="D53" s="27">
        <v>116501.06333333334</v>
      </c>
    </row>
    <row r="54" ht="14.25" customHeight="1">
      <c r="A54" s="19">
        <v>20308.0</v>
      </c>
      <c r="B54" s="20" t="s">
        <v>84</v>
      </c>
      <c r="C54" s="26">
        <v>52770.443333333336</v>
      </c>
      <c r="D54" s="27">
        <v>1069688.57</v>
      </c>
    </row>
    <row r="55" ht="14.25" customHeight="1">
      <c r="A55" s="19">
        <v>60402.0</v>
      </c>
      <c r="B55" s="20" t="s">
        <v>356</v>
      </c>
      <c r="C55" s="26">
        <v>54302.89333333333</v>
      </c>
      <c r="D55" s="27">
        <v>102453.90333333334</v>
      </c>
    </row>
    <row r="56" ht="14.25" customHeight="1">
      <c r="A56" s="19">
        <v>20304.0</v>
      </c>
      <c r="B56" s="20" t="s">
        <v>80</v>
      </c>
      <c r="C56" s="26">
        <v>59422.45999999999</v>
      </c>
      <c r="D56" s="27">
        <v>40835.916666666664</v>
      </c>
    </row>
    <row r="57" ht="14.25" customHeight="1">
      <c r="A57" s="19">
        <v>20901.0</v>
      </c>
      <c r="B57" s="20" t="s">
        <v>115</v>
      </c>
      <c r="C57" s="26">
        <v>61818.746666666666</v>
      </c>
      <c r="D57" s="27">
        <v>292615.46666666673</v>
      </c>
    </row>
    <row r="58" ht="14.25" customHeight="1">
      <c r="A58" s="19">
        <v>20404.0</v>
      </c>
      <c r="B58" s="20" t="s">
        <v>89</v>
      </c>
      <c r="C58" s="26">
        <v>63266.44666666668</v>
      </c>
      <c r="D58" s="27">
        <v>96045.60000000002</v>
      </c>
    </row>
    <row r="59" ht="14.25" customHeight="1">
      <c r="A59" s="19">
        <v>20202.0</v>
      </c>
      <c r="B59" s="20" t="s">
        <v>71</v>
      </c>
      <c r="C59" s="26">
        <v>64500.353333333325</v>
      </c>
      <c r="D59" s="27">
        <v>240808.72999999998</v>
      </c>
    </row>
    <row r="60" ht="14.25" customHeight="1">
      <c r="A60" s="19">
        <v>41201.0</v>
      </c>
      <c r="B60" s="20" t="s">
        <v>274</v>
      </c>
      <c r="C60" s="26">
        <v>66229.59999999999</v>
      </c>
      <c r="D60" s="27">
        <v>478327.2166666666</v>
      </c>
    </row>
    <row r="61" ht="14.25" customHeight="1">
      <c r="A61" s="19">
        <v>21803.0</v>
      </c>
      <c r="B61" s="20" t="s">
        <v>163</v>
      </c>
      <c r="C61" s="26">
        <v>74496.84333333334</v>
      </c>
      <c r="D61" s="27">
        <v>132858.15666666665</v>
      </c>
    </row>
    <row r="62" ht="14.25" customHeight="1">
      <c r="A62" s="19">
        <v>20806.0</v>
      </c>
      <c r="B62" s="20" t="s">
        <v>113</v>
      </c>
      <c r="C62" s="26">
        <v>75125.82666666666</v>
      </c>
      <c r="D62" s="27">
        <v>662143.8933333332</v>
      </c>
    </row>
    <row r="63" ht="14.25" customHeight="1">
      <c r="A63" s="19">
        <v>20903.0</v>
      </c>
      <c r="B63" s="20" t="s">
        <v>118</v>
      </c>
      <c r="C63" s="26">
        <v>78831.32666666666</v>
      </c>
      <c r="D63" s="27">
        <v>341366.8333333333</v>
      </c>
    </row>
    <row r="64" ht="14.25" customHeight="1">
      <c r="A64" s="19">
        <v>50702.0</v>
      </c>
      <c r="B64" s="20" t="s">
        <v>316</v>
      </c>
      <c r="C64" s="26">
        <v>78851.46666666667</v>
      </c>
      <c r="D64" s="27">
        <v>135503.33333333334</v>
      </c>
    </row>
    <row r="65" ht="14.25" customHeight="1">
      <c r="A65" s="19">
        <v>20801.0</v>
      </c>
      <c r="B65" s="20" t="s">
        <v>107</v>
      </c>
      <c r="C65" s="26">
        <v>79808.09</v>
      </c>
      <c r="D65" s="27">
        <v>276601.7766666667</v>
      </c>
    </row>
    <row r="66" ht="14.25" customHeight="1">
      <c r="A66" s="19">
        <v>10405.0</v>
      </c>
      <c r="B66" s="20" t="s">
        <v>40</v>
      </c>
      <c r="C66" s="26">
        <v>81512.19666666667</v>
      </c>
      <c r="D66" s="27">
        <v>425492.0</v>
      </c>
    </row>
    <row r="67" ht="14.25" customHeight="1">
      <c r="A67" s="19">
        <v>10704.0</v>
      </c>
      <c r="B67" s="20" t="s">
        <v>51</v>
      </c>
      <c r="C67" s="26">
        <v>81998.19</v>
      </c>
      <c r="D67" s="27">
        <v>1210028.0166666668</v>
      </c>
    </row>
    <row r="68" ht="14.25" customHeight="1">
      <c r="A68" s="19">
        <v>20804.0</v>
      </c>
      <c r="B68" s="20" t="s">
        <v>111</v>
      </c>
      <c r="C68" s="26">
        <v>83379.96333333333</v>
      </c>
      <c r="D68" s="27">
        <v>883308.4066666666</v>
      </c>
    </row>
    <row r="69" ht="14.25" customHeight="1">
      <c r="A69" s="19">
        <v>31405.0</v>
      </c>
      <c r="B69" s="20" t="s">
        <v>230</v>
      </c>
      <c r="C69" s="26">
        <v>83960.03</v>
      </c>
      <c r="D69" s="27">
        <v>53565.59</v>
      </c>
    </row>
    <row r="70" ht="14.25" customHeight="1">
      <c r="A70" s="19">
        <v>40202.0</v>
      </c>
      <c r="B70" s="20" t="s">
        <v>243</v>
      </c>
      <c r="C70" s="26">
        <v>86782.31</v>
      </c>
      <c r="D70" s="27">
        <v>47373.97333333333</v>
      </c>
    </row>
    <row r="71" ht="14.25" customHeight="1">
      <c r="A71" s="19">
        <v>20501.0</v>
      </c>
      <c r="B71" s="20" t="s">
        <v>91</v>
      </c>
      <c r="C71" s="26">
        <v>92509.46666666667</v>
      </c>
      <c r="D71" s="27">
        <v>119911.60333333333</v>
      </c>
    </row>
    <row r="72" ht="14.25" customHeight="1">
      <c r="A72" s="19">
        <v>90301.0</v>
      </c>
      <c r="B72" s="20" t="s">
        <v>475</v>
      </c>
      <c r="C72" s="26">
        <v>101022.33</v>
      </c>
      <c r="D72" s="27">
        <v>74158.70666666667</v>
      </c>
    </row>
    <row r="73" ht="14.25" customHeight="1">
      <c r="A73" s="19">
        <v>40401.0</v>
      </c>
      <c r="B73" s="20" t="s">
        <v>247</v>
      </c>
      <c r="C73" s="26">
        <v>104384.2</v>
      </c>
      <c r="D73" s="27">
        <v>454746.74000000005</v>
      </c>
    </row>
    <row r="74" ht="14.25" customHeight="1">
      <c r="A74" s="19">
        <v>10402.0</v>
      </c>
      <c r="B74" s="20" t="s">
        <v>37</v>
      </c>
      <c r="C74" s="26">
        <v>105710.88</v>
      </c>
      <c r="D74" s="27">
        <v>464744.02999999997</v>
      </c>
    </row>
    <row r="75" ht="14.25" customHeight="1">
      <c r="A75" s="19">
        <v>31302.0</v>
      </c>
      <c r="B75" s="20" t="s">
        <v>222</v>
      </c>
      <c r="C75" s="26">
        <v>109015.90333333332</v>
      </c>
      <c r="D75" s="27">
        <v>50561.079999999994</v>
      </c>
    </row>
    <row r="76" ht="14.25" customHeight="1">
      <c r="A76" s="19">
        <v>50602.0</v>
      </c>
      <c r="B76" s="20" t="s">
        <v>313</v>
      </c>
      <c r="C76" s="26">
        <v>111075.86999999998</v>
      </c>
      <c r="D76" s="27">
        <v>104007.18</v>
      </c>
    </row>
    <row r="77" ht="14.25" customHeight="1">
      <c r="A77" s="19">
        <v>41501.0</v>
      </c>
      <c r="B77" s="20" t="s">
        <v>281</v>
      </c>
      <c r="C77" s="26">
        <v>113777.7</v>
      </c>
      <c r="D77" s="27">
        <v>1383978.1866666668</v>
      </c>
    </row>
    <row r="78" ht="14.25" customHeight="1">
      <c r="A78" s="19">
        <v>10103.0</v>
      </c>
      <c r="B78" s="20" t="s">
        <v>26</v>
      </c>
      <c r="C78" s="26">
        <v>114746.79333333333</v>
      </c>
      <c r="D78" s="27">
        <v>246903.05666666667</v>
      </c>
    </row>
    <row r="79" ht="14.25" customHeight="1">
      <c r="A79" s="19">
        <v>70804.0</v>
      </c>
      <c r="B79" s="20" t="s">
        <v>402</v>
      </c>
      <c r="C79" s="26">
        <v>115712.75333333334</v>
      </c>
      <c r="D79" s="27">
        <v>46552.89333333333</v>
      </c>
    </row>
    <row r="80" ht="14.25" customHeight="1">
      <c r="A80" s="19">
        <v>40301.0</v>
      </c>
      <c r="B80" s="20" t="s">
        <v>244</v>
      </c>
      <c r="C80" s="26">
        <v>116781.47000000002</v>
      </c>
      <c r="D80" s="27">
        <v>180251.75333333333</v>
      </c>
    </row>
    <row r="81" ht="14.25" customHeight="1">
      <c r="A81" s="19">
        <v>30302.0</v>
      </c>
      <c r="B81" s="20" t="s">
        <v>179</v>
      </c>
      <c r="C81" s="26">
        <v>117982.82</v>
      </c>
      <c r="D81" s="27">
        <v>721735.4033333333</v>
      </c>
    </row>
    <row r="82" ht="14.25" customHeight="1">
      <c r="A82" s="19">
        <v>21203.0</v>
      </c>
      <c r="B82" s="20" t="s">
        <v>137</v>
      </c>
      <c r="C82" s="26">
        <v>122288.25</v>
      </c>
      <c r="D82" s="27">
        <v>663798.0633333334</v>
      </c>
    </row>
    <row r="83" ht="14.25" customHeight="1">
      <c r="A83" s="19">
        <v>40402.0</v>
      </c>
      <c r="B83" s="20" t="s">
        <v>249</v>
      </c>
      <c r="C83" s="26">
        <v>125413.52999999998</v>
      </c>
      <c r="D83" s="27">
        <v>537731.1966666667</v>
      </c>
    </row>
    <row r="84" ht="14.25" customHeight="1">
      <c r="A84" s="19">
        <v>10202.0</v>
      </c>
      <c r="B84" s="20" t="s">
        <v>29</v>
      </c>
      <c r="C84" s="26">
        <v>128379.29</v>
      </c>
      <c r="D84" s="27">
        <v>200032.76333333334</v>
      </c>
    </row>
    <row r="85" ht="14.25" customHeight="1">
      <c r="A85" s="19">
        <v>10304.0</v>
      </c>
      <c r="B85" s="20" t="s">
        <v>34</v>
      </c>
      <c r="C85" s="26">
        <v>131275.80333333334</v>
      </c>
      <c r="D85" s="27">
        <v>160854.92666666667</v>
      </c>
    </row>
    <row r="86" ht="14.25" customHeight="1">
      <c r="A86" s="19">
        <v>41301.0</v>
      </c>
      <c r="B86" s="20" t="s">
        <v>277</v>
      </c>
      <c r="C86" s="26">
        <v>132401.43333333332</v>
      </c>
      <c r="D86" s="27">
        <v>75951.63666666667</v>
      </c>
    </row>
    <row r="87" ht="14.25" customHeight="1">
      <c r="A87" s="19">
        <v>80803.0</v>
      </c>
      <c r="B87" s="20" t="s">
        <v>462</v>
      </c>
      <c r="C87" s="26">
        <v>132781.73333333334</v>
      </c>
      <c r="D87" s="27">
        <v>324453.24333333335</v>
      </c>
    </row>
    <row r="88" ht="14.25" customHeight="1">
      <c r="A88" s="19">
        <v>21307.0</v>
      </c>
      <c r="B88" s="20" t="s">
        <v>146</v>
      </c>
      <c r="C88" s="26">
        <v>133008.2333333333</v>
      </c>
      <c r="D88" s="27">
        <v>404878.6000000001</v>
      </c>
    </row>
    <row r="89" ht="14.25" customHeight="1">
      <c r="A89" s="19">
        <v>50403.0</v>
      </c>
      <c r="B89" s="20" t="s">
        <v>305</v>
      </c>
      <c r="C89" s="26">
        <v>135055.99666666667</v>
      </c>
      <c r="D89" s="27">
        <v>221448.6133333333</v>
      </c>
    </row>
    <row r="90" ht="14.25" customHeight="1">
      <c r="A90" s="19">
        <v>90303.0</v>
      </c>
      <c r="B90" s="20" t="s">
        <v>478</v>
      </c>
      <c r="C90" s="26">
        <v>135989.57666666666</v>
      </c>
      <c r="D90" s="27">
        <v>1009112.9133333332</v>
      </c>
    </row>
    <row r="91" ht="14.25" customHeight="1">
      <c r="A91" s="19">
        <v>30303.0</v>
      </c>
      <c r="B91" s="20" t="s">
        <v>180</v>
      </c>
      <c r="C91" s="26">
        <v>139319.56000000003</v>
      </c>
      <c r="D91" s="27">
        <v>4425371.846666667</v>
      </c>
    </row>
    <row r="92" ht="14.25" customHeight="1">
      <c r="A92" s="19">
        <v>21301.0</v>
      </c>
      <c r="B92" s="20" t="s">
        <v>139</v>
      </c>
      <c r="C92" s="26">
        <v>140178.87333333332</v>
      </c>
      <c r="D92" s="27">
        <v>4208010.316666666</v>
      </c>
    </row>
    <row r="93" ht="14.25" customHeight="1">
      <c r="A93" s="19">
        <v>20902.0</v>
      </c>
      <c r="B93" s="20" t="s">
        <v>117</v>
      </c>
      <c r="C93" s="26">
        <v>144216.87</v>
      </c>
      <c r="D93" s="27">
        <v>367166.2233333333</v>
      </c>
    </row>
    <row r="94" ht="14.25" customHeight="1">
      <c r="A94" s="19">
        <v>21402.0</v>
      </c>
      <c r="B94" s="20" t="s">
        <v>149</v>
      </c>
      <c r="C94" s="26">
        <v>150650.25999999998</v>
      </c>
      <c r="D94" s="27">
        <v>499878.54000000004</v>
      </c>
    </row>
    <row r="95" ht="14.25" customHeight="1">
      <c r="A95" s="19">
        <v>71105.0</v>
      </c>
      <c r="B95" s="20" t="s">
        <v>420</v>
      </c>
      <c r="C95" s="26">
        <v>151331.27333333335</v>
      </c>
      <c r="D95" s="27">
        <v>129240.22666666668</v>
      </c>
    </row>
    <row r="96" ht="14.25" customHeight="1">
      <c r="A96" s="19">
        <v>10602.0</v>
      </c>
      <c r="B96" s="20" t="s">
        <v>46</v>
      </c>
      <c r="C96" s="26">
        <v>151913.37666666668</v>
      </c>
      <c r="D96" s="27">
        <v>484559.5833333333</v>
      </c>
    </row>
    <row r="97" ht="14.25" customHeight="1">
      <c r="A97" s="19">
        <v>20805.0</v>
      </c>
      <c r="B97" s="20" t="s">
        <v>112</v>
      </c>
      <c r="C97" s="26">
        <v>152451.78333333333</v>
      </c>
      <c r="D97" s="27">
        <v>316614.6166666667</v>
      </c>
    </row>
    <row r="98" ht="14.25" customHeight="1">
      <c r="A98" s="19">
        <v>80601.0</v>
      </c>
      <c r="B98" s="20" t="s">
        <v>452</v>
      </c>
      <c r="C98" s="26">
        <v>153169.24</v>
      </c>
      <c r="D98" s="27">
        <v>78949.61</v>
      </c>
    </row>
    <row r="99" ht="14.25" customHeight="1">
      <c r="A99" s="19">
        <v>20301.0</v>
      </c>
      <c r="B99" s="20" t="s">
        <v>76</v>
      </c>
      <c r="C99" s="26">
        <v>153656.42333333334</v>
      </c>
      <c r="D99" s="27">
        <v>407264.29666666663</v>
      </c>
    </row>
    <row r="100" ht="14.25" customHeight="1">
      <c r="A100" s="19">
        <v>30404.0</v>
      </c>
      <c r="B100" s="20" t="s">
        <v>185</v>
      </c>
      <c r="C100" s="26">
        <v>155292.17</v>
      </c>
      <c r="D100" s="27">
        <v>65543.50333333334</v>
      </c>
    </row>
    <row r="101" ht="14.25" customHeight="1">
      <c r="A101" s="19">
        <v>70802.0</v>
      </c>
      <c r="B101" s="20" t="s">
        <v>400</v>
      </c>
      <c r="C101" s="26">
        <v>165765.30000000002</v>
      </c>
      <c r="D101" s="27">
        <v>167239.81999999998</v>
      </c>
    </row>
    <row r="102" ht="14.25" customHeight="1">
      <c r="A102" s="19">
        <v>31501.0</v>
      </c>
      <c r="B102" s="20" t="s">
        <v>231</v>
      </c>
      <c r="C102" s="26">
        <v>170280.70333333334</v>
      </c>
      <c r="D102" s="27">
        <v>278781.18666666665</v>
      </c>
    </row>
    <row r="103" ht="14.25" customHeight="1">
      <c r="A103" s="19">
        <v>31402.0</v>
      </c>
      <c r="B103" s="20" t="s">
        <v>227</v>
      </c>
      <c r="C103" s="26">
        <v>170757.41666666666</v>
      </c>
      <c r="D103" s="27">
        <v>545411.2166666667</v>
      </c>
    </row>
    <row r="104" ht="14.25" customHeight="1">
      <c r="A104" s="19">
        <v>51302.0</v>
      </c>
      <c r="B104" s="20" t="s">
        <v>337</v>
      </c>
      <c r="C104" s="26">
        <v>172127.62333333332</v>
      </c>
      <c r="D104" s="27">
        <v>111431.96333333333</v>
      </c>
    </row>
    <row r="105" ht="14.25" customHeight="1">
      <c r="A105" s="19">
        <v>70705.0</v>
      </c>
      <c r="B105" s="20" t="s">
        <v>395</v>
      </c>
      <c r="C105" s="26">
        <v>177726.36000000002</v>
      </c>
      <c r="D105" s="27">
        <v>105288.24333333354</v>
      </c>
    </row>
    <row r="106" ht="14.25" customHeight="1">
      <c r="A106" s="19">
        <v>50103.0</v>
      </c>
      <c r="B106" s="20" t="s">
        <v>291</v>
      </c>
      <c r="C106" s="26">
        <v>178809.55999999997</v>
      </c>
      <c r="D106" s="27">
        <v>286236.5533333333</v>
      </c>
    </row>
    <row r="107" ht="14.25" customHeight="1">
      <c r="A107" s="19">
        <v>70704.0</v>
      </c>
      <c r="B107" s="20" t="s">
        <v>394</v>
      </c>
      <c r="C107" s="26">
        <v>179174.93333333335</v>
      </c>
      <c r="D107" s="27">
        <v>234642.1066666667</v>
      </c>
    </row>
    <row r="108" ht="14.25" customHeight="1">
      <c r="A108" s="19">
        <v>40702.0</v>
      </c>
      <c r="B108" s="20" t="s">
        <v>262</v>
      </c>
      <c r="C108" s="26">
        <v>180596.1433333333</v>
      </c>
      <c r="D108" s="27">
        <v>395212.37000000005</v>
      </c>
    </row>
    <row r="109" ht="14.25" customHeight="1">
      <c r="A109" s="19">
        <v>10901.0</v>
      </c>
      <c r="B109" s="20" t="s">
        <v>54</v>
      </c>
      <c r="C109" s="26">
        <v>182223.87</v>
      </c>
      <c r="D109" s="27">
        <v>286573.2766666667</v>
      </c>
    </row>
    <row r="110" ht="14.25" customHeight="1">
      <c r="A110" s="19">
        <v>50303.0</v>
      </c>
      <c r="B110" s="20" t="s">
        <v>301</v>
      </c>
      <c r="C110" s="26">
        <v>186034.22</v>
      </c>
      <c r="D110" s="27">
        <v>739303.8433333334</v>
      </c>
    </row>
    <row r="111" ht="14.25" customHeight="1">
      <c r="A111" s="19">
        <v>90201.0</v>
      </c>
      <c r="B111" s="20" t="s">
        <v>471</v>
      </c>
      <c r="C111" s="26">
        <v>187144.31666666665</v>
      </c>
      <c r="D111" s="27">
        <v>380990.60000000003</v>
      </c>
    </row>
    <row r="112" ht="14.25" customHeight="1">
      <c r="A112" s="19">
        <v>21304.0</v>
      </c>
      <c r="B112" s="20" t="s">
        <v>143</v>
      </c>
      <c r="C112" s="26">
        <v>187294.29333333333</v>
      </c>
      <c r="D112" s="27">
        <v>8914637.953333333</v>
      </c>
    </row>
    <row r="113" ht="14.25" customHeight="1">
      <c r="A113" s="19">
        <v>21802.0</v>
      </c>
      <c r="B113" s="20" t="s">
        <v>162</v>
      </c>
      <c r="C113" s="26">
        <v>189225.51333333334</v>
      </c>
      <c r="D113" s="27">
        <v>639851.62</v>
      </c>
    </row>
    <row r="114" ht="14.25" customHeight="1">
      <c r="A114" s="19">
        <v>10903.0</v>
      </c>
      <c r="B114" s="20" t="s">
        <v>57</v>
      </c>
      <c r="C114" s="26">
        <v>193327.76666666663</v>
      </c>
      <c r="D114" s="27">
        <v>343804.2133333333</v>
      </c>
    </row>
    <row r="115" ht="14.25" customHeight="1">
      <c r="A115" s="19">
        <v>41503.0</v>
      </c>
      <c r="B115" s="20" t="s">
        <v>284</v>
      </c>
      <c r="C115" s="26">
        <v>193400.87666666668</v>
      </c>
      <c r="D115" s="27">
        <v>1374258.0966666667</v>
      </c>
    </row>
    <row r="116" ht="14.25" customHeight="1">
      <c r="A116" s="19">
        <v>80402.0</v>
      </c>
      <c r="B116" s="20" t="s">
        <v>449</v>
      </c>
      <c r="C116" s="26">
        <v>193630.33333333334</v>
      </c>
      <c r="D116" s="27">
        <v>767779.3866666667</v>
      </c>
    </row>
    <row r="117" ht="14.25" customHeight="1">
      <c r="A117" s="19">
        <v>30601.0</v>
      </c>
      <c r="B117" s="20" t="s">
        <v>189</v>
      </c>
      <c r="C117" s="26">
        <v>195193.40333333332</v>
      </c>
      <c r="D117" s="27">
        <v>515945.6833333333</v>
      </c>
    </row>
    <row r="118" ht="14.25" customHeight="1">
      <c r="A118" s="19">
        <v>20904.0</v>
      </c>
      <c r="B118" s="20" t="s">
        <v>119</v>
      </c>
      <c r="C118" s="26">
        <v>196071.85</v>
      </c>
      <c r="D118" s="27">
        <v>161285.69666666668</v>
      </c>
    </row>
    <row r="119" ht="14.25" customHeight="1">
      <c r="A119" s="19">
        <v>21306.0</v>
      </c>
      <c r="B119" s="20" t="s">
        <v>145</v>
      </c>
      <c r="C119" s="26">
        <v>199325.43999999997</v>
      </c>
      <c r="D119" s="27">
        <v>387457.23</v>
      </c>
    </row>
    <row r="120" ht="14.25" customHeight="1">
      <c r="A120" s="19">
        <v>30502.0</v>
      </c>
      <c r="B120" s="20" t="s">
        <v>188</v>
      </c>
      <c r="C120" s="26">
        <v>207323.18000000002</v>
      </c>
      <c r="D120" s="27">
        <v>298682.05</v>
      </c>
    </row>
    <row r="121" ht="14.25" customHeight="1">
      <c r="A121" s="19">
        <v>30703.0</v>
      </c>
      <c r="B121" s="20" t="s">
        <v>195</v>
      </c>
      <c r="C121" s="26">
        <v>209884.19666666668</v>
      </c>
      <c r="D121" s="27">
        <v>675612.0133333333</v>
      </c>
    </row>
    <row r="122" ht="14.25" customHeight="1">
      <c r="A122" s="19">
        <v>21602.0</v>
      </c>
      <c r="B122" s="20" t="s">
        <v>155</v>
      </c>
      <c r="C122" s="26">
        <v>212810.83666666667</v>
      </c>
      <c r="D122" s="27">
        <v>788312.1666666666</v>
      </c>
    </row>
    <row r="123" ht="14.25" customHeight="1">
      <c r="A123" s="19">
        <v>21005.0</v>
      </c>
      <c r="B123" s="20" t="s">
        <v>126</v>
      </c>
      <c r="C123" s="26">
        <v>218552.81999999998</v>
      </c>
      <c r="D123" s="27">
        <v>775813.5033333333</v>
      </c>
    </row>
    <row r="124" ht="14.25" customHeight="1">
      <c r="A124" s="19">
        <v>50404.0</v>
      </c>
      <c r="B124" s="20" t="s">
        <v>306</v>
      </c>
      <c r="C124" s="26">
        <v>226187.52333333332</v>
      </c>
      <c r="D124" s="27">
        <v>288605.99</v>
      </c>
    </row>
    <row r="125" ht="14.25" customHeight="1">
      <c r="A125" s="19">
        <v>30602.0</v>
      </c>
      <c r="B125" s="20" t="s">
        <v>191</v>
      </c>
      <c r="C125" s="26">
        <v>227877.65666666665</v>
      </c>
      <c r="D125" s="27">
        <v>390906.2633333334</v>
      </c>
    </row>
    <row r="126" ht="14.25" customHeight="1">
      <c r="A126" s="19">
        <v>80102.0</v>
      </c>
      <c r="B126" s="20" t="s">
        <v>437</v>
      </c>
      <c r="C126" s="26">
        <v>232873.29</v>
      </c>
      <c r="D126" s="27">
        <v>326869.9466666667</v>
      </c>
    </row>
    <row r="127" ht="14.25" customHeight="1">
      <c r="A127" s="19">
        <v>31202.0</v>
      </c>
      <c r="B127" s="20" t="s">
        <v>215</v>
      </c>
      <c r="C127" s="26">
        <v>233220.82333333333</v>
      </c>
      <c r="D127" s="27">
        <v>321758.64333333325</v>
      </c>
    </row>
    <row r="128" ht="14.25" customHeight="1">
      <c r="A128" s="19">
        <v>10301.0</v>
      </c>
      <c r="B128" s="20" t="s">
        <v>30</v>
      </c>
      <c r="C128" s="26">
        <v>237881.5166666667</v>
      </c>
      <c r="D128" s="27">
        <v>1278108.0199999998</v>
      </c>
    </row>
    <row r="129" ht="14.25" customHeight="1">
      <c r="A129" s="19">
        <v>31203.0</v>
      </c>
      <c r="B129" s="20" t="s">
        <v>216</v>
      </c>
      <c r="C129" s="26">
        <v>237935.19333333336</v>
      </c>
      <c r="D129" s="27">
        <v>255017.61000000002</v>
      </c>
    </row>
    <row r="130" ht="14.25" customHeight="1">
      <c r="A130" s="19">
        <v>31404.0</v>
      </c>
      <c r="B130" s="20" t="s">
        <v>229</v>
      </c>
      <c r="C130" s="26">
        <v>240175.58</v>
      </c>
      <c r="D130" s="27">
        <v>18709.95333333333</v>
      </c>
    </row>
    <row r="131" ht="14.25" customHeight="1">
      <c r="A131" s="19">
        <v>21001.0</v>
      </c>
      <c r="B131" s="20" t="s">
        <v>121</v>
      </c>
      <c r="C131" s="26">
        <v>241905.76</v>
      </c>
      <c r="D131" s="27">
        <v>1933853.3466666667</v>
      </c>
    </row>
    <row r="132" ht="14.25" customHeight="1">
      <c r="A132" s="19">
        <v>51301.0</v>
      </c>
      <c r="B132" s="20" t="s">
        <v>335</v>
      </c>
      <c r="C132" s="26">
        <v>242956.56666666668</v>
      </c>
      <c r="D132" s="27">
        <v>79354.01</v>
      </c>
    </row>
    <row r="133" ht="14.25" customHeight="1">
      <c r="A133" s="19">
        <v>40505.0</v>
      </c>
      <c r="B133" s="20" t="s">
        <v>255</v>
      </c>
      <c r="C133" s="26">
        <v>245316.83</v>
      </c>
      <c r="D133" s="27">
        <v>1088863.6666666667</v>
      </c>
    </row>
    <row r="134" ht="14.25" customHeight="1">
      <c r="A134" s="19">
        <v>70707.0</v>
      </c>
      <c r="B134" s="20" t="s">
        <v>397</v>
      </c>
      <c r="C134" s="26">
        <v>245536.7133333333</v>
      </c>
      <c r="D134" s="27">
        <v>411030.85333333333</v>
      </c>
    </row>
    <row r="135" ht="14.25" customHeight="1">
      <c r="A135" s="19">
        <v>10403.0</v>
      </c>
      <c r="B135" s="20" t="s">
        <v>38</v>
      </c>
      <c r="C135" s="26">
        <v>260705.31999999998</v>
      </c>
      <c r="D135" s="27">
        <v>649868.0533333333</v>
      </c>
    </row>
    <row r="136" ht="14.25" customHeight="1">
      <c r="A136" s="19">
        <v>40801.0</v>
      </c>
      <c r="B136" s="20" t="s">
        <v>263</v>
      </c>
      <c r="C136" s="26">
        <v>262430.39333333337</v>
      </c>
      <c r="D136" s="27">
        <v>1059077.9500000011</v>
      </c>
    </row>
    <row r="137" ht="14.25" customHeight="1">
      <c r="A137" s="19">
        <v>10302.0</v>
      </c>
      <c r="B137" s="20" t="s">
        <v>32</v>
      </c>
      <c r="C137" s="26">
        <v>268126.37333333335</v>
      </c>
      <c r="D137" s="27">
        <v>221626.87666666668</v>
      </c>
    </row>
    <row r="138" ht="14.25" customHeight="1">
      <c r="A138" s="19">
        <v>31303.0</v>
      </c>
      <c r="B138" s="20" t="s">
        <v>223</v>
      </c>
      <c r="C138" s="26">
        <v>268894.7266666666</v>
      </c>
      <c r="D138" s="27">
        <v>21614.47333333333</v>
      </c>
    </row>
    <row r="139" ht="14.25" customHeight="1">
      <c r="A139" s="19">
        <v>80702.0</v>
      </c>
      <c r="B139" s="20" t="s">
        <v>457</v>
      </c>
      <c r="C139" s="26">
        <v>277159.52</v>
      </c>
      <c r="D139" s="27">
        <v>626840.0266666667</v>
      </c>
    </row>
    <row r="140" ht="14.25" customHeight="1">
      <c r="A140" s="19">
        <v>20607.0</v>
      </c>
      <c r="B140" s="20" t="s">
        <v>102</v>
      </c>
      <c r="C140" s="26">
        <v>287402.45</v>
      </c>
      <c r="D140" s="27">
        <v>4434826.026666666</v>
      </c>
    </row>
    <row r="141" ht="14.25" customHeight="1">
      <c r="A141" s="19">
        <v>30203.0</v>
      </c>
      <c r="B141" s="20" t="s">
        <v>176</v>
      </c>
      <c r="C141" s="26">
        <v>301734.44</v>
      </c>
      <c r="D141" s="27">
        <v>553277.1</v>
      </c>
    </row>
    <row r="142" ht="14.25" customHeight="1">
      <c r="A142" s="19">
        <v>30402.0</v>
      </c>
      <c r="B142" s="20" t="s">
        <v>183</v>
      </c>
      <c r="C142" s="26">
        <v>309949.54000000004</v>
      </c>
      <c r="D142" s="27">
        <v>228272.03000000003</v>
      </c>
    </row>
    <row r="143" ht="14.25" customHeight="1">
      <c r="A143" s="19">
        <v>80301.0</v>
      </c>
      <c r="B143" s="20" t="s">
        <v>441</v>
      </c>
      <c r="C143" s="26">
        <v>310560.75666666665</v>
      </c>
      <c r="D143" s="27">
        <v>640161.6699999999</v>
      </c>
    </row>
    <row r="144" ht="14.25" customHeight="1">
      <c r="A144" s="19">
        <v>21601.0</v>
      </c>
      <c r="B144" s="20" t="s">
        <v>153</v>
      </c>
      <c r="C144" s="26">
        <v>314161.2</v>
      </c>
      <c r="D144" s="27">
        <v>89634.51666666668</v>
      </c>
    </row>
    <row r="145" ht="14.25" customHeight="1">
      <c r="A145" s="19">
        <v>50701.0</v>
      </c>
      <c r="B145" s="20" t="s">
        <v>314</v>
      </c>
      <c r="C145" s="26">
        <v>340989.43333333335</v>
      </c>
      <c r="D145" s="27">
        <v>180043.51</v>
      </c>
    </row>
    <row r="146" ht="14.25" customHeight="1">
      <c r="A146" s="19">
        <v>30202.0</v>
      </c>
      <c r="B146" s="20" t="s">
        <v>175</v>
      </c>
      <c r="C146" s="26">
        <v>347034.5900000001</v>
      </c>
      <c r="D146" s="27">
        <v>635551.6933333334</v>
      </c>
    </row>
    <row r="147" ht="14.25" customHeight="1">
      <c r="A147" s="19">
        <v>21801.0</v>
      </c>
      <c r="B147" s="20" t="s">
        <v>160</v>
      </c>
      <c r="C147" s="26">
        <v>352685.45999999996</v>
      </c>
      <c r="D147" s="27">
        <v>25459.103333333333</v>
      </c>
    </row>
    <row r="148" ht="14.25" customHeight="1">
      <c r="A148" s="19">
        <v>20608.0</v>
      </c>
      <c r="B148" s="20" t="s">
        <v>103</v>
      </c>
      <c r="C148" s="26">
        <v>359070.9766666666</v>
      </c>
      <c r="D148" s="27">
        <v>1438317.076666667</v>
      </c>
    </row>
    <row r="149" ht="14.25" customHeight="1">
      <c r="A149" s="19">
        <v>90102.0</v>
      </c>
      <c r="B149" s="20" t="s">
        <v>468</v>
      </c>
      <c r="C149" s="26">
        <v>364568.9466666667</v>
      </c>
      <c r="D149" s="27">
        <v>898042.4866666667</v>
      </c>
    </row>
    <row r="150" ht="14.25" customHeight="1">
      <c r="A150" s="19">
        <v>60201.0</v>
      </c>
      <c r="B150" s="20" t="s">
        <v>347</v>
      </c>
      <c r="C150" s="26">
        <v>366828.1433333333</v>
      </c>
      <c r="D150" s="27">
        <v>841293.1366666667</v>
      </c>
    </row>
    <row r="151" ht="14.25" customHeight="1">
      <c r="A151" s="19">
        <v>11003.0</v>
      </c>
      <c r="B151" s="20" t="s">
        <v>61</v>
      </c>
      <c r="C151" s="26">
        <v>388889.64666666667</v>
      </c>
      <c r="D151" s="27">
        <v>764537.1833333332</v>
      </c>
    </row>
    <row r="152" ht="14.25" customHeight="1">
      <c r="A152" s="19">
        <v>21202.0</v>
      </c>
      <c r="B152" s="20" t="s">
        <v>136</v>
      </c>
      <c r="C152" s="26">
        <v>389614.38666666666</v>
      </c>
      <c r="D152" s="27">
        <v>5787484.533333334</v>
      </c>
    </row>
    <row r="153" ht="14.25" customHeight="1">
      <c r="A153" s="19">
        <v>71502.0</v>
      </c>
      <c r="B153" s="20" t="s">
        <v>433</v>
      </c>
      <c r="C153" s="26">
        <v>391718.53</v>
      </c>
      <c r="D153" s="27">
        <v>251153.99333333332</v>
      </c>
    </row>
    <row r="154" ht="14.25" customHeight="1">
      <c r="A154" s="19">
        <v>30501.0</v>
      </c>
      <c r="B154" s="20" t="s">
        <v>186</v>
      </c>
      <c r="C154" s="26">
        <v>392168.76333333337</v>
      </c>
      <c r="D154" s="27">
        <v>1084062.1333333335</v>
      </c>
    </row>
    <row r="155" ht="14.25" customHeight="1">
      <c r="A155" s="19">
        <v>40104.0</v>
      </c>
      <c r="B155" s="20" t="s">
        <v>240</v>
      </c>
      <c r="C155" s="26">
        <v>393324.9733333333</v>
      </c>
      <c r="D155" s="27">
        <v>1988632.1333333335</v>
      </c>
    </row>
    <row r="156" ht="14.25" customHeight="1">
      <c r="A156" s="19">
        <v>41001.0</v>
      </c>
      <c r="B156" s="20" t="s">
        <v>270</v>
      </c>
      <c r="C156" s="26">
        <v>395119.58</v>
      </c>
      <c r="D156" s="27">
        <v>227274.68333333335</v>
      </c>
    </row>
    <row r="157" ht="14.25" customHeight="1">
      <c r="A157" s="19">
        <v>21101.0</v>
      </c>
      <c r="B157" s="20" t="s">
        <v>128</v>
      </c>
      <c r="C157" s="26">
        <v>411505.62000000005</v>
      </c>
      <c r="D157" s="27">
        <v>1015822.2033333335</v>
      </c>
    </row>
    <row r="158" ht="14.25" customHeight="1">
      <c r="A158" s="19">
        <v>80802.0</v>
      </c>
      <c r="B158" s="20" t="s">
        <v>461</v>
      </c>
      <c r="C158" s="26">
        <v>414659.57</v>
      </c>
      <c r="D158" s="27">
        <v>3598781.1199999996</v>
      </c>
    </row>
    <row r="159" ht="14.25" customHeight="1">
      <c r="A159" s="19">
        <v>20206.0</v>
      </c>
      <c r="B159" s="20" t="s">
        <v>75</v>
      </c>
      <c r="C159" s="26">
        <v>425486.0</v>
      </c>
      <c r="D159" s="27">
        <v>851162.0299999999</v>
      </c>
    </row>
    <row r="160" ht="14.25" customHeight="1">
      <c r="A160" s="19">
        <v>50104.0</v>
      </c>
      <c r="B160" s="20" t="s">
        <v>292</v>
      </c>
      <c r="C160" s="26">
        <v>426448.76666666666</v>
      </c>
      <c r="D160" s="27">
        <v>70573.01</v>
      </c>
    </row>
    <row r="161" ht="14.25" customHeight="1">
      <c r="A161" s="19">
        <v>21105.0</v>
      </c>
      <c r="B161" s="20" t="s">
        <v>133</v>
      </c>
      <c r="C161" s="26">
        <v>430423.14666666667</v>
      </c>
      <c r="D161" s="27">
        <v>862757.2200000001</v>
      </c>
    </row>
    <row r="162" ht="14.25" customHeight="1">
      <c r="A162" s="19">
        <v>50502.0</v>
      </c>
      <c r="B162" s="20" t="s">
        <v>310</v>
      </c>
      <c r="C162" s="26">
        <v>433009.43</v>
      </c>
      <c r="D162" s="27">
        <v>621289.1933333334</v>
      </c>
    </row>
    <row r="163" ht="14.25" customHeight="1">
      <c r="A163" s="19">
        <v>70303.0</v>
      </c>
      <c r="B163" s="20" t="s">
        <v>376</v>
      </c>
      <c r="C163" s="26">
        <v>437136.1966666667</v>
      </c>
      <c r="D163" s="27">
        <v>2010781.263333333</v>
      </c>
    </row>
    <row r="164" ht="14.25" customHeight="1">
      <c r="A164" s="19">
        <v>50302.0</v>
      </c>
      <c r="B164" s="20" t="s">
        <v>300</v>
      </c>
      <c r="C164" s="26">
        <v>438796.26333333337</v>
      </c>
      <c r="D164" s="27">
        <v>171935.93666666668</v>
      </c>
    </row>
    <row r="165" ht="14.25" customHeight="1">
      <c r="A165" s="19">
        <v>70401.0</v>
      </c>
      <c r="B165" s="20" t="s">
        <v>377</v>
      </c>
      <c r="C165" s="26">
        <v>445860.05000000005</v>
      </c>
      <c r="D165" s="27">
        <v>2785374.0366666666</v>
      </c>
    </row>
    <row r="166" ht="14.25" customHeight="1">
      <c r="A166" s="19">
        <v>10703.0</v>
      </c>
      <c r="B166" s="20" t="s">
        <v>50</v>
      </c>
      <c r="C166" s="26">
        <v>446082.5433333334</v>
      </c>
      <c r="D166" s="27">
        <v>264435.2866666667</v>
      </c>
    </row>
    <row r="167" ht="14.25" customHeight="1">
      <c r="A167" s="19">
        <v>60401.0</v>
      </c>
      <c r="B167" s="20" t="s">
        <v>354</v>
      </c>
      <c r="C167" s="26">
        <v>455640.17333333334</v>
      </c>
      <c r="D167" s="27">
        <v>2657815.473333333</v>
      </c>
    </row>
    <row r="168" ht="14.25" customHeight="1">
      <c r="A168" s="19">
        <v>20701.0</v>
      </c>
      <c r="B168" s="20" t="s">
        <v>104</v>
      </c>
      <c r="C168" s="26">
        <v>461682.09</v>
      </c>
      <c r="D168" s="27">
        <v>4289743.65</v>
      </c>
    </row>
    <row r="169" ht="14.25" customHeight="1">
      <c r="A169" s="19">
        <v>20502.0</v>
      </c>
      <c r="B169" s="20" t="s">
        <v>93</v>
      </c>
      <c r="C169" s="26">
        <v>480840.44</v>
      </c>
      <c r="D169" s="27">
        <v>454449.60333333333</v>
      </c>
    </row>
    <row r="170" ht="14.25" customHeight="1">
      <c r="A170" s="19">
        <v>20603.0</v>
      </c>
      <c r="B170" s="20" t="s">
        <v>98</v>
      </c>
      <c r="C170" s="26">
        <v>483628.77333333326</v>
      </c>
      <c r="D170" s="27">
        <v>144332.59666666665</v>
      </c>
    </row>
    <row r="171" ht="14.25" customHeight="1">
      <c r="A171" s="19">
        <v>10801.0</v>
      </c>
      <c r="B171" s="20" t="s">
        <v>52</v>
      </c>
      <c r="C171" s="26">
        <v>484569.49666666664</v>
      </c>
      <c r="D171" s="27">
        <v>867244.9133333332</v>
      </c>
    </row>
    <row r="172" ht="14.25" customHeight="1">
      <c r="A172" s="19">
        <v>31101.0</v>
      </c>
      <c r="B172" s="20" t="s">
        <v>211</v>
      </c>
      <c r="C172" s="26">
        <v>485458.8033333333</v>
      </c>
      <c r="D172" s="27">
        <v>942800.7533333333</v>
      </c>
    </row>
    <row r="173" ht="14.25" customHeight="1">
      <c r="A173" s="19">
        <v>50401.0</v>
      </c>
      <c r="B173" s="20" t="s">
        <v>302</v>
      </c>
      <c r="C173" s="26">
        <v>491145.0233333334</v>
      </c>
      <c r="D173" s="27">
        <v>4012439.063333334</v>
      </c>
    </row>
    <row r="174" ht="14.25" customHeight="1">
      <c r="A174" s="19">
        <v>21502.0</v>
      </c>
      <c r="B174" s="20" t="s">
        <v>152</v>
      </c>
      <c r="C174" s="26">
        <v>493720.3133333333</v>
      </c>
      <c r="D174" s="27">
        <v>1148753.5599999998</v>
      </c>
    </row>
    <row r="175" ht="14.25" customHeight="1">
      <c r="A175" s="19">
        <v>30802.0</v>
      </c>
      <c r="B175" s="20" t="s">
        <v>198</v>
      </c>
      <c r="C175" s="26">
        <v>494385.5033333334</v>
      </c>
      <c r="D175" s="27">
        <v>411133.3133333333</v>
      </c>
    </row>
    <row r="176" ht="14.25" customHeight="1">
      <c r="A176" s="19">
        <v>51103.0</v>
      </c>
      <c r="B176" s="20" t="s">
        <v>330</v>
      </c>
      <c r="C176" s="26">
        <v>504186.2</v>
      </c>
      <c r="D176" s="27">
        <v>61279.880000000005</v>
      </c>
    </row>
    <row r="177" ht="14.25" customHeight="1">
      <c r="A177" s="19">
        <v>41401.0</v>
      </c>
      <c r="B177" s="20" t="s">
        <v>279</v>
      </c>
      <c r="C177" s="26">
        <v>513588.77</v>
      </c>
      <c r="D177" s="27">
        <v>1083725.43</v>
      </c>
    </row>
    <row r="178" ht="14.25" customHeight="1">
      <c r="A178" s="19">
        <v>10201.0</v>
      </c>
      <c r="B178" s="20" t="s">
        <v>27</v>
      </c>
      <c r="C178" s="26">
        <v>526457.03</v>
      </c>
      <c r="D178" s="27">
        <v>427173.1766666667</v>
      </c>
    </row>
    <row r="179" ht="14.25" customHeight="1">
      <c r="A179" s="19">
        <v>20905.0</v>
      </c>
      <c r="B179" s="20" t="s">
        <v>120</v>
      </c>
      <c r="C179" s="26">
        <v>533227.9266666666</v>
      </c>
      <c r="D179" s="27">
        <v>1570627.9433333334</v>
      </c>
    </row>
    <row r="180" ht="14.25" customHeight="1">
      <c r="A180" s="19">
        <v>80701.0</v>
      </c>
      <c r="B180" s="20" t="s">
        <v>455</v>
      </c>
      <c r="C180" s="26">
        <v>540315.6333333333</v>
      </c>
      <c r="D180" s="27">
        <v>1142133.72</v>
      </c>
    </row>
    <row r="181" ht="14.25" customHeight="1">
      <c r="A181" s="19">
        <v>20803.0</v>
      </c>
      <c r="B181" s="20" t="s">
        <v>110</v>
      </c>
      <c r="C181" s="26">
        <v>544477.9133333333</v>
      </c>
      <c r="D181" s="27">
        <v>2125084.763333333</v>
      </c>
    </row>
    <row r="182" ht="14.25" customHeight="1">
      <c r="A182" s="19">
        <v>22002.0</v>
      </c>
      <c r="B182" s="20" t="s">
        <v>169</v>
      </c>
      <c r="C182" s="26">
        <v>547053.5333333333</v>
      </c>
      <c r="D182" s="27">
        <v>509800.9266666667</v>
      </c>
    </row>
    <row r="183" ht="14.25" customHeight="1">
      <c r="A183" s="19">
        <v>10102.0</v>
      </c>
      <c r="B183" s="20" t="s">
        <v>25</v>
      </c>
      <c r="C183" s="26">
        <v>549103.7266666667</v>
      </c>
      <c r="D183" s="27">
        <v>1497165.0033333332</v>
      </c>
    </row>
    <row r="184" ht="14.25" customHeight="1">
      <c r="A184" s="19">
        <v>40602.0</v>
      </c>
      <c r="B184" s="20" t="s">
        <v>258</v>
      </c>
      <c r="C184" s="26">
        <v>549755.44</v>
      </c>
      <c r="D184" s="27">
        <v>274861.44</v>
      </c>
    </row>
    <row r="185" ht="14.25" customHeight="1">
      <c r="A185" s="19">
        <v>80801.0</v>
      </c>
      <c r="B185" s="20" t="s">
        <v>459</v>
      </c>
      <c r="C185" s="26">
        <v>567161.79</v>
      </c>
      <c r="D185" s="27">
        <v>1329950.1333333333</v>
      </c>
    </row>
    <row r="186" ht="14.25" customHeight="1">
      <c r="A186" s="19">
        <v>20602.0</v>
      </c>
      <c r="B186" s="20" t="s">
        <v>97</v>
      </c>
      <c r="C186" s="26">
        <v>569267.64</v>
      </c>
      <c r="D186" s="27">
        <v>2515578.8433333337</v>
      </c>
    </row>
    <row r="187" ht="14.25" customHeight="1">
      <c r="A187" s="19">
        <v>31201.0</v>
      </c>
      <c r="B187" s="20" t="s">
        <v>213</v>
      </c>
      <c r="C187" s="26">
        <v>571126.2666666667</v>
      </c>
      <c r="D187" s="27">
        <v>1393127.8066666666</v>
      </c>
    </row>
    <row r="188" ht="14.25" customHeight="1">
      <c r="A188" s="19">
        <v>21003.0</v>
      </c>
      <c r="B188" s="20" t="s">
        <v>124</v>
      </c>
      <c r="C188" s="26">
        <v>571395.4033333333</v>
      </c>
      <c r="D188" s="27">
        <v>1182236.5</v>
      </c>
    </row>
    <row r="189" ht="14.25" customHeight="1">
      <c r="A189" s="19">
        <v>31601.0</v>
      </c>
      <c r="B189" s="20" t="s">
        <v>233</v>
      </c>
      <c r="C189" s="26">
        <v>574879.4500000001</v>
      </c>
      <c r="D189" s="27">
        <v>1867351.423333333</v>
      </c>
    </row>
    <row r="190" ht="14.25" customHeight="1">
      <c r="A190" s="19">
        <v>20402.0</v>
      </c>
      <c r="B190" s="20" t="s">
        <v>87</v>
      </c>
      <c r="C190" s="26">
        <v>593408.89</v>
      </c>
      <c r="D190" s="27">
        <v>1310646.3166666667</v>
      </c>
    </row>
    <row r="191" ht="14.25" customHeight="1">
      <c r="A191" s="19">
        <v>10303.0</v>
      </c>
      <c r="B191" s="20" t="s">
        <v>33</v>
      </c>
      <c r="C191" s="26">
        <v>602595.0433333333</v>
      </c>
      <c r="D191" s="27">
        <v>768021.91</v>
      </c>
    </row>
    <row r="192" ht="14.25" customHeight="1">
      <c r="A192" s="19">
        <v>21201.0</v>
      </c>
      <c r="B192" s="20" t="s">
        <v>134</v>
      </c>
      <c r="C192" s="26">
        <v>614641.88</v>
      </c>
      <c r="D192" s="27">
        <v>2488190.2399999998</v>
      </c>
    </row>
    <row r="193" ht="14.25" customHeight="1">
      <c r="A193" s="19">
        <v>21501.0</v>
      </c>
      <c r="B193" s="20" t="s">
        <v>150</v>
      </c>
      <c r="C193" s="26">
        <v>617325.49</v>
      </c>
      <c r="D193" s="27">
        <v>1211696.3433333333</v>
      </c>
    </row>
    <row r="194" ht="14.25" customHeight="1">
      <c r="A194" s="19">
        <v>80602.0</v>
      </c>
      <c r="B194" s="20" t="s">
        <v>454</v>
      </c>
      <c r="C194" s="26">
        <v>631369.0833333334</v>
      </c>
      <c r="D194" s="27">
        <v>791050.3366666666</v>
      </c>
    </row>
    <row r="195" ht="14.25" customHeight="1">
      <c r="A195" s="19">
        <v>10502.0</v>
      </c>
      <c r="B195" s="20" t="s">
        <v>43</v>
      </c>
      <c r="C195" s="26">
        <v>633016.7733333333</v>
      </c>
      <c r="D195" s="27">
        <v>276113.3433333333</v>
      </c>
    </row>
    <row r="196" ht="14.25" customHeight="1">
      <c r="A196" s="19">
        <v>21305.0</v>
      </c>
      <c r="B196" s="20" t="s">
        <v>144</v>
      </c>
      <c r="C196" s="26">
        <v>650272.43</v>
      </c>
      <c r="D196" s="27">
        <v>3974202.5933333333</v>
      </c>
    </row>
    <row r="197" ht="14.25" customHeight="1">
      <c r="A197" s="19">
        <v>51202.0</v>
      </c>
      <c r="B197" s="20" t="s">
        <v>333</v>
      </c>
      <c r="C197" s="26">
        <v>660452.6666666666</v>
      </c>
      <c r="D197" s="27">
        <v>1141205.4133333333</v>
      </c>
    </row>
    <row r="198" ht="14.25" customHeight="1">
      <c r="A198" s="19">
        <v>60502.0</v>
      </c>
      <c r="B198" s="20" t="s">
        <v>359</v>
      </c>
      <c r="C198" s="26">
        <v>663067.1166666666</v>
      </c>
      <c r="D198" s="27">
        <v>1149453.7966666666</v>
      </c>
    </row>
    <row r="199" ht="14.25" customHeight="1">
      <c r="A199" s="19">
        <v>70902.0</v>
      </c>
      <c r="B199" s="20" t="s">
        <v>406</v>
      </c>
      <c r="C199" s="26">
        <v>681902.6733333333</v>
      </c>
      <c r="D199" s="27">
        <v>1993281.5866666667</v>
      </c>
    </row>
    <row r="200" ht="14.25" customHeight="1">
      <c r="A200" s="19">
        <v>60501.0</v>
      </c>
      <c r="B200" s="20" t="s">
        <v>357</v>
      </c>
      <c r="C200" s="26">
        <v>682953.6766666666</v>
      </c>
      <c r="D200" s="27">
        <v>5671386.140000001</v>
      </c>
    </row>
    <row r="201" ht="14.25" customHeight="1">
      <c r="A201" s="19">
        <v>40901.0</v>
      </c>
      <c r="B201" s="20" t="s">
        <v>266</v>
      </c>
      <c r="C201" s="26">
        <v>703647.7300000001</v>
      </c>
      <c r="D201" s="27">
        <v>1150153.0633333332</v>
      </c>
    </row>
    <row r="202" ht="14.25" customHeight="1">
      <c r="A202" s="19">
        <v>71302.0</v>
      </c>
      <c r="B202" s="20" t="s">
        <v>426</v>
      </c>
      <c r="C202" s="26">
        <v>719085.8799999999</v>
      </c>
      <c r="D202" s="27">
        <v>1661836.5266666666</v>
      </c>
    </row>
    <row r="203" ht="14.25" customHeight="1">
      <c r="A203" s="19">
        <v>20201.0</v>
      </c>
      <c r="B203" s="20" t="s">
        <v>69</v>
      </c>
      <c r="C203" s="26">
        <v>723504.1933333334</v>
      </c>
      <c r="D203" s="27">
        <v>1656086.75</v>
      </c>
    </row>
    <row r="204" ht="14.25" customHeight="1">
      <c r="A204" s="19">
        <v>10902.0</v>
      </c>
      <c r="B204" s="20" t="s">
        <v>56</v>
      </c>
      <c r="C204" s="26">
        <v>730577.0299999999</v>
      </c>
      <c r="D204" s="27">
        <v>1055467.7300000002</v>
      </c>
    </row>
    <row r="205" ht="14.25" customHeight="1">
      <c r="A205" s="19">
        <v>50301.0</v>
      </c>
      <c r="B205" s="20" t="s">
        <v>298</v>
      </c>
      <c r="C205" s="26">
        <v>744673.93</v>
      </c>
      <c r="D205" s="27">
        <v>1615858.9266666665</v>
      </c>
    </row>
    <row r="206" ht="14.25" customHeight="1">
      <c r="A206" s="19">
        <v>21103.0</v>
      </c>
      <c r="B206" s="20" t="s">
        <v>131</v>
      </c>
      <c r="C206" s="26">
        <v>744711.7566666667</v>
      </c>
      <c r="D206" s="27">
        <v>785754.1133333333</v>
      </c>
    </row>
    <row r="207" ht="14.25" customHeight="1">
      <c r="A207" s="19">
        <v>51101.0</v>
      </c>
      <c r="B207" s="20" t="s">
        <v>327</v>
      </c>
      <c r="C207" s="26">
        <v>753398.1866666665</v>
      </c>
      <c r="D207" s="27">
        <v>1333688.9166666667</v>
      </c>
    </row>
    <row r="208" ht="14.25" customHeight="1">
      <c r="A208" s="19">
        <v>71503.0</v>
      </c>
      <c r="B208" s="20" t="s">
        <v>434</v>
      </c>
      <c r="C208" s="26">
        <v>795275.4700000001</v>
      </c>
      <c r="D208" s="27">
        <v>2418953.703333333</v>
      </c>
    </row>
    <row r="209" ht="14.25" customHeight="1">
      <c r="A209" s="19">
        <v>10601.0</v>
      </c>
      <c r="B209" s="20" t="s">
        <v>44</v>
      </c>
      <c r="C209" s="26">
        <v>821301.4233333332</v>
      </c>
      <c r="D209" s="27">
        <v>824955.11</v>
      </c>
    </row>
    <row r="210" ht="14.25" customHeight="1">
      <c r="A210" s="19">
        <v>30401.0</v>
      </c>
      <c r="B210" s="20" t="s">
        <v>181</v>
      </c>
      <c r="C210" s="26">
        <v>831076.4733333335</v>
      </c>
      <c r="D210" s="27">
        <v>1295682.6966666668</v>
      </c>
    </row>
    <row r="211" ht="14.25" customHeight="1">
      <c r="A211" s="19">
        <v>71201.0</v>
      </c>
      <c r="B211" s="20" t="s">
        <v>422</v>
      </c>
      <c r="C211" s="26">
        <v>832525.0433333333</v>
      </c>
      <c r="D211" s="27">
        <v>889341.37</v>
      </c>
    </row>
    <row r="212" ht="14.25" customHeight="1">
      <c r="A212" s="19">
        <v>71002.0</v>
      </c>
      <c r="B212" s="20" t="s">
        <v>411</v>
      </c>
      <c r="C212" s="26">
        <v>846854.6133333333</v>
      </c>
      <c r="D212" s="27">
        <v>3680545.1366666667</v>
      </c>
    </row>
    <row r="213" ht="14.25" customHeight="1">
      <c r="A213" s="19">
        <v>20204.0</v>
      </c>
      <c r="B213" s="20" t="s">
        <v>73</v>
      </c>
      <c r="C213" s="26">
        <v>869930.46</v>
      </c>
      <c r="D213" s="27">
        <v>1579718.1600000001</v>
      </c>
    </row>
    <row r="214" ht="14.25" customHeight="1">
      <c r="A214" s="19">
        <v>71103.0</v>
      </c>
      <c r="B214" s="20" t="s">
        <v>418</v>
      </c>
      <c r="C214" s="26">
        <v>876021.3300000001</v>
      </c>
      <c r="D214" s="27">
        <v>3541786.6799999997</v>
      </c>
    </row>
    <row r="215" ht="14.25" customHeight="1">
      <c r="A215" s="19">
        <v>50902.0</v>
      </c>
      <c r="B215" s="20" t="s">
        <v>322</v>
      </c>
      <c r="C215" s="26">
        <v>896441.4766666667</v>
      </c>
      <c r="D215" s="27">
        <v>82193.38333333333</v>
      </c>
    </row>
    <row r="216" ht="14.25" customHeight="1">
      <c r="A216" s="19">
        <v>51003.0</v>
      </c>
      <c r="B216" s="20" t="s">
        <v>326</v>
      </c>
      <c r="C216" s="26">
        <v>897835.2666666666</v>
      </c>
      <c r="D216" s="27">
        <v>89004.64</v>
      </c>
    </row>
    <row r="217" ht="14.25" customHeight="1">
      <c r="A217" s="19">
        <v>80501.0</v>
      </c>
      <c r="B217" s="20" t="s">
        <v>450</v>
      </c>
      <c r="C217" s="26">
        <v>913588.82</v>
      </c>
      <c r="D217" s="27">
        <v>1169160.7733333334</v>
      </c>
    </row>
    <row r="218" ht="14.25" customHeight="1">
      <c r="A218" s="19">
        <v>70901.0</v>
      </c>
      <c r="B218" s="20" t="s">
        <v>404</v>
      </c>
      <c r="C218" s="26">
        <v>942235.0</v>
      </c>
      <c r="D218" s="27">
        <v>5405605.14</v>
      </c>
    </row>
    <row r="219" ht="14.25" customHeight="1">
      <c r="A219" s="19">
        <v>70903.0</v>
      </c>
      <c r="B219" s="20" t="s">
        <v>407</v>
      </c>
      <c r="C219" s="26">
        <v>944104.9666666667</v>
      </c>
      <c r="D219" s="27">
        <v>2201368.6599999997</v>
      </c>
    </row>
    <row r="220" ht="14.25" customHeight="1">
      <c r="A220" s="19">
        <v>70803.0</v>
      </c>
      <c r="B220" s="20" t="s">
        <v>401</v>
      </c>
      <c r="C220" s="26">
        <v>944518.6566666666</v>
      </c>
      <c r="D220" s="27">
        <v>314605.9166666667</v>
      </c>
    </row>
    <row r="221" ht="14.25" customHeight="1">
      <c r="A221" s="19">
        <v>20606.0</v>
      </c>
      <c r="B221" s="20" t="s">
        <v>101</v>
      </c>
      <c r="C221" s="26">
        <v>947531.7066666667</v>
      </c>
      <c r="D221" s="27">
        <v>5352999.683333333</v>
      </c>
    </row>
    <row r="222" ht="14.25" customHeight="1">
      <c r="A222" s="19">
        <v>20503.0</v>
      </c>
      <c r="B222" s="20" t="s">
        <v>94</v>
      </c>
      <c r="C222" s="26">
        <v>967318.6966666667</v>
      </c>
      <c r="D222" s="27">
        <v>5521494.9366666665</v>
      </c>
    </row>
    <row r="223" ht="14.25" customHeight="1">
      <c r="A223" s="19">
        <v>50501.0</v>
      </c>
      <c r="B223" s="20" t="s">
        <v>308</v>
      </c>
      <c r="C223" s="26">
        <v>971715.6133333337</v>
      </c>
      <c r="D223" s="27">
        <v>770033.6000000001</v>
      </c>
    </row>
    <row r="224" ht="14.25" customHeight="1">
      <c r="A224" s="19">
        <v>31002.0</v>
      </c>
      <c r="B224" s="20" t="s">
        <v>209</v>
      </c>
      <c r="C224" s="26">
        <v>995191.7600000001</v>
      </c>
      <c r="D224" s="27">
        <v>2280440.9133333336</v>
      </c>
    </row>
    <row r="225" ht="14.25" customHeight="1">
      <c r="A225" s="19">
        <v>51002.0</v>
      </c>
      <c r="B225" s="20" t="s">
        <v>325</v>
      </c>
      <c r="C225" s="26">
        <v>1007255.3500000001</v>
      </c>
      <c r="D225" s="27">
        <v>120652.88333333335</v>
      </c>
    </row>
    <row r="226" ht="14.25" customHeight="1">
      <c r="A226" s="19">
        <v>21104.0</v>
      </c>
      <c r="B226" s="20" t="s">
        <v>132</v>
      </c>
      <c r="C226" s="26">
        <v>1032102.6333333334</v>
      </c>
      <c r="D226" s="27">
        <v>1077259.1166666665</v>
      </c>
    </row>
    <row r="227" ht="14.25" customHeight="1">
      <c r="A227" s="19">
        <v>21102.0</v>
      </c>
      <c r="B227" s="20" t="s">
        <v>130</v>
      </c>
      <c r="C227" s="26">
        <v>1038875.4633333334</v>
      </c>
      <c r="D227" s="27">
        <v>4167537.8433333337</v>
      </c>
    </row>
    <row r="228" ht="14.25" customHeight="1">
      <c r="A228" s="19">
        <v>50204.0</v>
      </c>
      <c r="B228" s="20" t="s">
        <v>297</v>
      </c>
      <c r="C228" s="26">
        <v>1045979.5333333333</v>
      </c>
      <c r="D228" s="27">
        <v>175269.67666666667</v>
      </c>
    </row>
    <row r="229" ht="14.25" customHeight="1">
      <c r="A229" s="19">
        <v>50102.0</v>
      </c>
      <c r="B229" s="20" t="s">
        <v>290</v>
      </c>
      <c r="C229" s="26">
        <v>1063907.4966666668</v>
      </c>
      <c r="D229" s="27">
        <v>922707.9433333334</v>
      </c>
    </row>
    <row r="230" ht="14.25" customHeight="1">
      <c r="A230" s="19">
        <v>70302.0</v>
      </c>
      <c r="B230" s="20" t="s">
        <v>375</v>
      </c>
      <c r="C230" s="26">
        <v>1080986.7966666666</v>
      </c>
      <c r="D230" s="27">
        <v>1115258.3766666667</v>
      </c>
    </row>
    <row r="231" ht="14.25" customHeight="1">
      <c r="A231" s="19">
        <v>20103.0</v>
      </c>
      <c r="B231" s="20" t="s">
        <v>66</v>
      </c>
      <c r="C231" s="26">
        <v>1090536.4833333334</v>
      </c>
      <c r="D231" s="27">
        <v>9461389.933333334</v>
      </c>
    </row>
    <row r="232" ht="14.25" customHeight="1">
      <c r="A232" s="19">
        <v>51401.0</v>
      </c>
      <c r="B232" s="20" t="s">
        <v>338</v>
      </c>
      <c r="C232" s="26">
        <v>1091292.7133333334</v>
      </c>
      <c r="D232" s="27">
        <v>217228.80666666667</v>
      </c>
    </row>
    <row r="233" ht="14.25" customHeight="1">
      <c r="A233" s="19">
        <v>30702.0</v>
      </c>
      <c r="B233" s="20" t="s">
        <v>194</v>
      </c>
      <c r="C233" s="26">
        <v>1094746.0766666667</v>
      </c>
      <c r="D233" s="27">
        <v>3809280.01</v>
      </c>
    </row>
    <row r="234" ht="14.25" customHeight="1">
      <c r="A234" s="19">
        <v>30301.0</v>
      </c>
      <c r="B234" s="20" t="s">
        <v>177</v>
      </c>
      <c r="C234" s="26">
        <v>1122367.67</v>
      </c>
      <c r="D234" s="27">
        <v>2446526.123333333</v>
      </c>
    </row>
    <row r="235" ht="14.25" customHeight="1">
      <c r="A235" s="19">
        <v>31403.0</v>
      </c>
      <c r="B235" s="20" t="s">
        <v>228</v>
      </c>
      <c r="C235" s="26">
        <v>1126639.6500000001</v>
      </c>
      <c r="D235" s="27">
        <v>1815067.4733333334</v>
      </c>
    </row>
    <row r="236" ht="14.25" customHeight="1">
      <c r="A236" s="19">
        <v>10401.0</v>
      </c>
      <c r="B236" s="20" t="s">
        <v>35</v>
      </c>
      <c r="C236" s="26">
        <v>1129960.7466666668</v>
      </c>
      <c r="D236" s="27">
        <v>1950717.3133333332</v>
      </c>
    </row>
    <row r="237" ht="14.25" customHeight="1">
      <c r="A237" s="19">
        <v>30803.0</v>
      </c>
      <c r="B237" s="20" t="s">
        <v>200</v>
      </c>
      <c r="C237" s="26">
        <v>1141436.2433333334</v>
      </c>
      <c r="D237" s="27">
        <v>1780634.7433333334</v>
      </c>
    </row>
    <row r="238" ht="14.25" customHeight="1">
      <c r="A238" s="19">
        <v>20601.0</v>
      </c>
      <c r="B238" s="20" t="s">
        <v>95</v>
      </c>
      <c r="C238" s="26">
        <v>1182386.5866666667</v>
      </c>
      <c r="D238" s="27">
        <v>1.043277803E7</v>
      </c>
    </row>
    <row r="239" ht="14.25" customHeight="1">
      <c r="A239" s="19">
        <v>50601.0</v>
      </c>
      <c r="B239" s="20" t="s">
        <v>311</v>
      </c>
      <c r="C239" s="26">
        <v>1185333.8800000001</v>
      </c>
      <c r="D239" s="27">
        <v>2083309.8399999999</v>
      </c>
    </row>
    <row r="240" ht="14.25" customHeight="1">
      <c r="A240" s="19">
        <v>50201.0</v>
      </c>
      <c r="B240" s="20" t="s">
        <v>293</v>
      </c>
      <c r="C240" s="26">
        <v>1206868.6766666668</v>
      </c>
      <c r="D240" s="27">
        <v>1937584.7033333334</v>
      </c>
    </row>
    <row r="241" ht="14.25" customHeight="1">
      <c r="A241" s="19">
        <v>71403.0</v>
      </c>
      <c r="B241" s="20" t="s">
        <v>430</v>
      </c>
      <c r="C241" s="26">
        <v>1219163.8633333333</v>
      </c>
      <c r="D241" s="27">
        <v>2100057.466666667</v>
      </c>
    </row>
    <row r="242" ht="14.25" customHeight="1">
      <c r="A242" s="19">
        <v>20605.0</v>
      </c>
      <c r="B242" s="20" t="s">
        <v>100</v>
      </c>
      <c r="C242" s="26">
        <v>1231613.46</v>
      </c>
      <c r="D242" s="27">
        <v>3014109.5833333335</v>
      </c>
    </row>
    <row r="243" ht="14.25" customHeight="1">
      <c r="A243" s="19">
        <v>70904.0</v>
      </c>
      <c r="B243" s="20" t="s">
        <v>408</v>
      </c>
      <c r="C243" s="26">
        <v>1248527.6266666667</v>
      </c>
      <c r="D243" s="27">
        <v>195359.26333333334</v>
      </c>
    </row>
    <row r="244" ht="14.25" customHeight="1">
      <c r="A244" s="19">
        <v>51102.0</v>
      </c>
      <c r="B244" s="20" t="s">
        <v>329</v>
      </c>
      <c r="C244" s="26">
        <v>1277649.16</v>
      </c>
      <c r="D244" s="27">
        <v>1191974.8633333333</v>
      </c>
    </row>
    <row r="245" ht="14.25" customHeight="1">
      <c r="A245" s="19">
        <v>30403.0</v>
      </c>
      <c r="B245" s="20" t="s">
        <v>184</v>
      </c>
      <c r="C245" s="26">
        <v>1298995.0333333332</v>
      </c>
      <c r="D245" s="27">
        <v>2948872.7066666665</v>
      </c>
    </row>
    <row r="246" ht="14.25" customHeight="1">
      <c r="A246" s="19">
        <v>51601.0</v>
      </c>
      <c r="B246" s="20" t="s">
        <v>343</v>
      </c>
      <c r="C246" s="26">
        <v>1310349.506666667</v>
      </c>
      <c r="D246" s="27">
        <v>134273.79</v>
      </c>
    </row>
    <row r="247" ht="14.25" customHeight="1">
      <c r="A247" s="19">
        <v>80302.0</v>
      </c>
      <c r="B247" s="20" t="s">
        <v>443</v>
      </c>
      <c r="C247" s="26">
        <v>1332005.1866666668</v>
      </c>
      <c r="D247" s="27">
        <v>1907480.3099999998</v>
      </c>
    </row>
    <row r="248" ht="14.25" customHeight="1">
      <c r="A248" s="19">
        <v>70404.0</v>
      </c>
      <c r="B248" s="20" t="s">
        <v>381</v>
      </c>
      <c r="C248" s="26">
        <v>1345308.9366666665</v>
      </c>
      <c r="D248" s="27">
        <v>1768129.63</v>
      </c>
    </row>
    <row r="249" ht="14.25" customHeight="1">
      <c r="A249" s="19">
        <v>21002.0</v>
      </c>
      <c r="B249" s="20" t="s">
        <v>123</v>
      </c>
      <c r="C249" s="26">
        <v>1363823.4733333334</v>
      </c>
      <c r="D249" s="27">
        <v>1788685.8533333333</v>
      </c>
    </row>
    <row r="250" ht="14.25" customHeight="1">
      <c r="A250" s="19">
        <v>21701.0</v>
      </c>
      <c r="B250" s="20" t="s">
        <v>156</v>
      </c>
      <c r="C250" s="26">
        <v>1365491.2933333332</v>
      </c>
      <c r="D250" s="27">
        <v>1570707.8966666667</v>
      </c>
    </row>
    <row r="251" ht="14.25" customHeight="1">
      <c r="A251" s="19">
        <v>50402.0</v>
      </c>
      <c r="B251" s="20" t="s">
        <v>304</v>
      </c>
      <c r="C251" s="26">
        <v>1374387.5199999998</v>
      </c>
      <c r="D251" s="27">
        <v>218086.87666666668</v>
      </c>
    </row>
    <row r="252" ht="14.25" customHeight="1">
      <c r="A252" s="19">
        <v>70503.0</v>
      </c>
      <c r="B252" s="20" t="s">
        <v>385</v>
      </c>
      <c r="C252" s="26">
        <v>1375005.9366666665</v>
      </c>
      <c r="D252" s="27">
        <v>3506569.2566666664</v>
      </c>
    </row>
    <row r="253" ht="14.25" customHeight="1">
      <c r="A253" s="19">
        <v>10701.0</v>
      </c>
      <c r="B253" s="20" t="s">
        <v>47</v>
      </c>
      <c r="C253" s="26">
        <v>1382616.6933333334</v>
      </c>
      <c r="D253" s="27">
        <v>2330263.2333333334</v>
      </c>
    </row>
    <row r="254" ht="14.25" customHeight="1">
      <c r="A254" s="19">
        <v>70603.0</v>
      </c>
      <c r="B254" s="20" t="s">
        <v>389</v>
      </c>
      <c r="C254" s="26">
        <v>1455345.2166666668</v>
      </c>
      <c r="D254" s="27">
        <v>1.4571773853333334E7</v>
      </c>
    </row>
    <row r="255" ht="14.25" customHeight="1">
      <c r="A255" s="19">
        <v>70602.0</v>
      </c>
      <c r="B255" s="20" t="s">
        <v>388</v>
      </c>
      <c r="C255" s="26">
        <v>1478988.5866666667</v>
      </c>
      <c r="D255" s="27">
        <v>2233239.6300000004</v>
      </c>
    </row>
    <row r="256" ht="14.25" customHeight="1">
      <c r="A256" s="19">
        <v>31602.0</v>
      </c>
      <c r="B256" s="20" t="s">
        <v>235</v>
      </c>
      <c r="C256" s="26">
        <v>1502618.9933333334</v>
      </c>
      <c r="D256" s="27">
        <v>4322555.806666667</v>
      </c>
    </row>
    <row r="257" ht="14.25" customHeight="1">
      <c r="A257" s="19">
        <v>71102.0</v>
      </c>
      <c r="B257" s="20" t="s">
        <v>417</v>
      </c>
      <c r="C257" s="26">
        <v>1504798.4733333334</v>
      </c>
      <c r="D257" s="27">
        <v>2373466.2499999995</v>
      </c>
    </row>
    <row r="258" ht="14.25" customHeight="1">
      <c r="A258" s="19">
        <v>60601.0</v>
      </c>
      <c r="B258" s="20" t="s">
        <v>360</v>
      </c>
      <c r="C258" s="26">
        <v>1546804.326666667</v>
      </c>
      <c r="D258" s="27">
        <v>1656368.7066666668</v>
      </c>
    </row>
    <row r="259" ht="14.25" customHeight="1">
      <c r="A259" s="19">
        <v>71301.0</v>
      </c>
      <c r="B259" s="20" t="s">
        <v>424</v>
      </c>
      <c r="C259" s="26">
        <v>1576536.8366666667</v>
      </c>
      <c r="D259" s="27">
        <v>2703888.5700000003</v>
      </c>
    </row>
    <row r="260" ht="14.25" customHeight="1">
      <c r="A260" s="19">
        <v>70202.0</v>
      </c>
      <c r="B260" s="20" t="s">
        <v>372</v>
      </c>
      <c r="C260" s="26">
        <v>1590179.9900000002</v>
      </c>
      <c r="D260" s="27">
        <v>3404280.063333333</v>
      </c>
    </row>
    <row r="261" ht="14.25" customHeight="1">
      <c r="A261" s="19">
        <v>71501.0</v>
      </c>
      <c r="B261" s="20" t="s">
        <v>431</v>
      </c>
      <c r="C261" s="26">
        <v>1592990.4000000001</v>
      </c>
      <c r="D261" s="27">
        <v>3016900.83</v>
      </c>
    </row>
    <row r="262" ht="14.25" customHeight="1">
      <c r="A262" s="19">
        <v>40201.0</v>
      </c>
      <c r="B262" s="20" t="s">
        <v>241</v>
      </c>
      <c r="C262" s="26">
        <v>1649845.1933333334</v>
      </c>
      <c r="D262" s="27">
        <v>4470132.983333333</v>
      </c>
    </row>
    <row r="263" ht="14.25" customHeight="1">
      <c r="A263" s="19">
        <v>70702.0</v>
      </c>
      <c r="B263" s="20" t="s">
        <v>392</v>
      </c>
      <c r="C263" s="26">
        <v>1703066.343333333</v>
      </c>
      <c r="D263" s="27">
        <v>2395126.8099999987</v>
      </c>
    </row>
    <row r="264" ht="14.25" customHeight="1">
      <c r="A264" s="19">
        <v>31204.0</v>
      </c>
      <c r="B264" s="20" t="s">
        <v>217</v>
      </c>
      <c r="C264" s="26">
        <v>1754732.6833333333</v>
      </c>
      <c r="D264" s="27">
        <v>4652565.29</v>
      </c>
    </row>
    <row r="265" ht="14.25" customHeight="1">
      <c r="A265" s="19">
        <v>20102.0</v>
      </c>
      <c r="B265" s="20" t="s">
        <v>65</v>
      </c>
      <c r="C265" s="26">
        <v>1769055.6966666665</v>
      </c>
      <c r="D265" s="27">
        <v>1.4373953663333334E7</v>
      </c>
    </row>
    <row r="266" ht="14.25" customHeight="1">
      <c r="A266" s="19">
        <v>70703.0</v>
      </c>
      <c r="B266" s="20" t="s">
        <v>393</v>
      </c>
      <c r="C266" s="26">
        <v>1786552.21</v>
      </c>
      <c r="D266" s="27">
        <v>6136465.383333334</v>
      </c>
    </row>
    <row r="267" ht="14.25" customHeight="1">
      <c r="A267" s="19">
        <v>21401.0</v>
      </c>
      <c r="B267" s="20" t="s">
        <v>147</v>
      </c>
      <c r="C267" s="26">
        <v>1983484.8166666664</v>
      </c>
      <c r="D267" s="27">
        <v>3087212.0866666664</v>
      </c>
    </row>
    <row r="268" ht="14.25" customHeight="1">
      <c r="A268" s="19">
        <v>11001.0</v>
      </c>
      <c r="B268" s="20" t="s">
        <v>58</v>
      </c>
      <c r="C268" s="26">
        <v>1998356.8466666667</v>
      </c>
      <c r="D268" s="27">
        <v>1172988.4066666665</v>
      </c>
    </row>
    <row r="269" ht="14.25" customHeight="1">
      <c r="A269" s="19">
        <v>50202.0</v>
      </c>
      <c r="B269" s="20" t="s">
        <v>295</v>
      </c>
      <c r="C269" s="26">
        <v>2019494.6533333333</v>
      </c>
      <c r="D269" s="27">
        <v>390818.29000000004</v>
      </c>
    </row>
    <row r="270" ht="14.25" customHeight="1">
      <c r="A270" s="19">
        <v>60302.0</v>
      </c>
      <c r="B270" s="20" t="s">
        <v>352</v>
      </c>
      <c r="C270" s="26">
        <v>2039480.656666667</v>
      </c>
      <c r="D270" s="27">
        <v>3722314.389999999</v>
      </c>
    </row>
    <row r="271" ht="14.25" customHeight="1">
      <c r="A271" s="19">
        <v>51001.0</v>
      </c>
      <c r="B271" s="20" t="s">
        <v>323</v>
      </c>
      <c r="C271" s="26">
        <v>2039820.1933333334</v>
      </c>
      <c r="D271" s="27">
        <v>502408.16333333333</v>
      </c>
    </row>
    <row r="272" ht="14.25" customHeight="1">
      <c r="A272" s="19">
        <v>30201.0</v>
      </c>
      <c r="B272" s="20" t="s">
        <v>173</v>
      </c>
      <c r="C272" s="26">
        <v>2145109.766666667</v>
      </c>
      <c r="D272" s="27">
        <v>6396307.550000001</v>
      </c>
    </row>
    <row r="273" ht="14.25" customHeight="1">
      <c r="A273" s="19">
        <v>30902.0</v>
      </c>
      <c r="B273" s="20" t="s">
        <v>203</v>
      </c>
      <c r="C273" s="26">
        <v>2157206.653333334</v>
      </c>
      <c r="D273" s="27">
        <v>7878554.626666668</v>
      </c>
    </row>
    <row r="274" ht="14.25" customHeight="1">
      <c r="A274" s="19">
        <v>31301.0</v>
      </c>
      <c r="B274" s="20" t="s">
        <v>220</v>
      </c>
      <c r="C274" s="26">
        <v>2298696.4000000004</v>
      </c>
      <c r="D274" s="27">
        <v>3894165.313333334</v>
      </c>
    </row>
    <row r="275" ht="14.25" customHeight="1">
      <c r="A275" s="19">
        <v>80401.0</v>
      </c>
      <c r="B275" s="20" t="s">
        <v>447</v>
      </c>
      <c r="C275" s="26">
        <v>2360890.5366666666</v>
      </c>
      <c r="D275" s="27">
        <v>1.1683179553333333E7</v>
      </c>
    </row>
    <row r="276" ht="14.25" customHeight="1">
      <c r="A276" s="19">
        <v>80304.0</v>
      </c>
      <c r="B276" s="20" t="s">
        <v>446</v>
      </c>
      <c r="C276" s="26">
        <v>2369008.4766666666</v>
      </c>
      <c r="D276" s="27">
        <v>2511058.3499999996</v>
      </c>
    </row>
    <row r="277" ht="14.25" customHeight="1">
      <c r="A277" s="19">
        <v>71005.0</v>
      </c>
      <c r="B277" s="20" t="s">
        <v>414</v>
      </c>
      <c r="C277" s="26">
        <v>2381548.966666667</v>
      </c>
      <c r="D277" s="27">
        <v>5590708.316666666</v>
      </c>
    </row>
    <row r="278" ht="14.25" customHeight="1">
      <c r="A278" s="19">
        <v>71003.0</v>
      </c>
      <c r="B278" s="20" t="s">
        <v>412</v>
      </c>
      <c r="C278" s="26">
        <v>2383139.6</v>
      </c>
      <c r="D278" s="27">
        <v>4550713.069999999</v>
      </c>
    </row>
    <row r="279" ht="14.25" customHeight="1">
      <c r="A279" s="19">
        <v>40102.0</v>
      </c>
      <c r="B279" s="20" t="s">
        <v>238</v>
      </c>
      <c r="C279" s="26">
        <v>2454522.1666666665</v>
      </c>
      <c r="D279" s="27">
        <v>2361484.3233333332</v>
      </c>
    </row>
    <row r="280" ht="14.25" customHeight="1">
      <c r="A280" s="19">
        <v>70402.0</v>
      </c>
      <c r="B280" s="20" t="s">
        <v>379</v>
      </c>
      <c r="C280" s="26">
        <v>2596289.0766666667</v>
      </c>
      <c r="D280" s="27">
        <v>3743612.3433333337</v>
      </c>
    </row>
    <row r="281" ht="14.25" customHeight="1">
      <c r="A281" s="19">
        <v>71004.0</v>
      </c>
      <c r="B281" s="20" t="s">
        <v>413</v>
      </c>
      <c r="C281" s="26">
        <v>2692319.4566666665</v>
      </c>
      <c r="D281" s="27">
        <v>3431532.973333333</v>
      </c>
    </row>
    <row r="282" ht="14.25" customHeight="1">
      <c r="A282" s="19">
        <v>11002.0</v>
      </c>
      <c r="B282" s="20" t="s">
        <v>60</v>
      </c>
      <c r="C282" s="26">
        <v>2713825.7666666666</v>
      </c>
      <c r="D282" s="27">
        <v>74501.06999999999</v>
      </c>
    </row>
    <row r="283" ht="14.25" customHeight="1">
      <c r="A283" s="19">
        <v>10501.0</v>
      </c>
      <c r="B283" s="20" t="s">
        <v>41</v>
      </c>
      <c r="C283" s="26">
        <v>2835694.733333334</v>
      </c>
      <c r="D283" s="27">
        <v>6354867.253333333</v>
      </c>
    </row>
    <row r="284" ht="14.25" customHeight="1">
      <c r="A284" s="19">
        <v>80303.0</v>
      </c>
      <c r="B284" s="20" t="s">
        <v>445</v>
      </c>
      <c r="C284" s="26">
        <v>2840428.796666667</v>
      </c>
      <c r="D284" s="27">
        <v>1093034.8933333333</v>
      </c>
    </row>
    <row r="285" ht="14.25" customHeight="1">
      <c r="A285" s="19">
        <v>71101.0</v>
      </c>
      <c r="B285" s="20" t="s">
        <v>415</v>
      </c>
      <c r="C285" s="26">
        <v>2921336.7966666664</v>
      </c>
      <c r="D285" s="27">
        <v>6065285.613333333</v>
      </c>
    </row>
    <row r="286" ht="14.25" customHeight="1">
      <c r="A286" s="19">
        <v>40601.0</v>
      </c>
      <c r="B286" s="20" t="s">
        <v>256</v>
      </c>
      <c r="C286" s="26">
        <v>3019060.039999999</v>
      </c>
      <c r="D286" s="27">
        <v>4555311.78</v>
      </c>
    </row>
    <row r="287" ht="14.25" customHeight="1">
      <c r="A287" s="19">
        <v>30701.0</v>
      </c>
      <c r="B287" s="20" t="s">
        <v>192</v>
      </c>
      <c r="C287" s="26">
        <v>3102698.8866666667</v>
      </c>
      <c r="D287" s="27">
        <v>3146467.8033333328</v>
      </c>
    </row>
    <row r="288" ht="14.25" customHeight="1">
      <c r="A288" s="19">
        <v>70601.0</v>
      </c>
      <c r="B288" s="20" t="s">
        <v>386</v>
      </c>
      <c r="C288" s="26">
        <v>3360932.31</v>
      </c>
      <c r="D288" s="27">
        <v>7445197.27</v>
      </c>
    </row>
    <row r="289" ht="14.25" customHeight="1">
      <c r="A289" s="19">
        <v>31205.0</v>
      </c>
      <c r="B289" s="20" t="s">
        <v>218</v>
      </c>
      <c r="C289" s="26">
        <v>3384461.94</v>
      </c>
      <c r="D289" s="27">
        <v>1.2268933459999999E7</v>
      </c>
    </row>
    <row r="290" ht="14.25" customHeight="1">
      <c r="A290" s="19">
        <v>70403.0</v>
      </c>
      <c r="B290" s="20" t="s">
        <v>380</v>
      </c>
      <c r="C290" s="26">
        <v>3428989.4433333334</v>
      </c>
      <c r="D290" s="27">
        <v>1.4500516996666668E7</v>
      </c>
    </row>
    <row r="291" ht="14.25" customHeight="1">
      <c r="A291" s="19">
        <v>51201.0</v>
      </c>
      <c r="B291" s="20" t="s">
        <v>331</v>
      </c>
      <c r="C291" s="26">
        <v>3449694.3800000004</v>
      </c>
      <c r="D291" s="27">
        <v>8118666.830000001</v>
      </c>
    </row>
    <row r="292" ht="14.25" customHeight="1">
      <c r="A292" s="19">
        <v>71401.0</v>
      </c>
      <c r="B292" s="20" t="s">
        <v>427</v>
      </c>
      <c r="C292" s="26">
        <v>3478067.856666667</v>
      </c>
      <c r="D292" s="27">
        <v>5247167.366666667</v>
      </c>
    </row>
    <row r="293" ht="14.25" customHeight="1">
      <c r="A293" s="19">
        <v>31206.0</v>
      </c>
      <c r="B293" s="20" t="s">
        <v>219</v>
      </c>
      <c r="C293" s="26">
        <v>3618561.4433333334</v>
      </c>
      <c r="D293" s="27">
        <v>1.5167151556666667E7</v>
      </c>
    </row>
    <row r="294" ht="14.25" customHeight="1">
      <c r="A294" s="19">
        <v>10702.0</v>
      </c>
      <c r="B294" s="20" t="s">
        <v>49</v>
      </c>
      <c r="C294" s="26">
        <v>3703705.2433333336</v>
      </c>
      <c r="D294" s="27">
        <v>3489817.1733333343</v>
      </c>
    </row>
    <row r="295" ht="14.25" customHeight="1">
      <c r="A295" s="19">
        <v>20104.0</v>
      </c>
      <c r="B295" s="20" t="s">
        <v>67</v>
      </c>
      <c r="C295" s="26">
        <v>3864751.766666667</v>
      </c>
      <c r="D295" s="27">
        <v>3.974319179E7</v>
      </c>
    </row>
    <row r="296" ht="14.25" customHeight="1">
      <c r="A296" s="19">
        <v>70801.0</v>
      </c>
      <c r="B296" s="20" t="s">
        <v>398</v>
      </c>
      <c r="C296" s="26">
        <v>4068918.833333332</v>
      </c>
      <c r="D296" s="27">
        <v>5745034.023333333</v>
      </c>
    </row>
    <row r="297" ht="14.25" customHeight="1">
      <c r="A297" s="19">
        <v>70105.0</v>
      </c>
      <c r="B297" s="20" t="s">
        <v>369</v>
      </c>
      <c r="C297" s="26">
        <v>4255729.66</v>
      </c>
      <c r="D297" s="27">
        <v>1.9235181383333337E7</v>
      </c>
    </row>
    <row r="298" ht="14.25" customHeight="1">
      <c r="A298" s="19">
        <v>22001.0</v>
      </c>
      <c r="B298" s="20" t="s">
        <v>167</v>
      </c>
      <c r="C298" s="26">
        <v>4307875.966666667</v>
      </c>
      <c r="D298" s="27">
        <v>8172900.963333334</v>
      </c>
    </row>
    <row r="299" ht="14.25" customHeight="1">
      <c r="A299" s="19">
        <v>21004.0</v>
      </c>
      <c r="B299" s="20" t="s">
        <v>125</v>
      </c>
      <c r="C299" s="26">
        <v>4360715.546666667</v>
      </c>
      <c r="D299" s="27">
        <v>6844272.223333333</v>
      </c>
    </row>
    <row r="300" ht="14.25" customHeight="1">
      <c r="A300" s="19">
        <v>30801.0</v>
      </c>
      <c r="B300" s="20" t="s">
        <v>196</v>
      </c>
      <c r="C300" s="26">
        <v>4431525.8533333335</v>
      </c>
      <c r="D300" s="27">
        <v>6805396.613333333</v>
      </c>
    </row>
    <row r="301" ht="14.25" customHeight="1">
      <c r="A301" s="19">
        <v>20802.0</v>
      </c>
      <c r="B301" s="20" t="s">
        <v>109</v>
      </c>
      <c r="C301" s="26">
        <v>4532791.796666667</v>
      </c>
      <c r="D301" s="27">
        <v>429994.8333333333</v>
      </c>
    </row>
    <row r="302" ht="14.25" customHeight="1">
      <c r="A302" s="19">
        <v>40603.0</v>
      </c>
      <c r="B302" s="20" t="s">
        <v>259</v>
      </c>
      <c r="C302" s="26">
        <v>4616870.42</v>
      </c>
      <c r="D302" s="27">
        <v>5860119.373333332</v>
      </c>
    </row>
    <row r="303" ht="14.25" customHeight="1">
      <c r="A303" s="19">
        <v>30904.0</v>
      </c>
      <c r="B303" s="20" t="s">
        <v>205</v>
      </c>
      <c r="C303" s="26">
        <v>5194326.236666666</v>
      </c>
      <c r="D303" s="27">
        <v>1.7968586673333332E7</v>
      </c>
    </row>
    <row r="304" ht="14.25" customHeight="1">
      <c r="A304" s="19">
        <v>70502.0</v>
      </c>
      <c r="B304" s="20" t="s">
        <v>384</v>
      </c>
      <c r="C304" s="26">
        <v>5384911.676666667</v>
      </c>
      <c r="D304" s="27">
        <v>1.7170718356666666E7</v>
      </c>
    </row>
    <row r="305" ht="14.25" customHeight="1">
      <c r="A305" s="19">
        <v>71104.0</v>
      </c>
      <c r="B305" s="20" t="s">
        <v>419</v>
      </c>
      <c r="C305" s="26">
        <v>5544270.173333333</v>
      </c>
      <c r="D305" s="27">
        <v>1.2827499913333332E7</v>
      </c>
    </row>
    <row r="306" ht="14.25" customHeight="1">
      <c r="A306" s="19">
        <v>71402.0</v>
      </c>
      <c r="B306" s="20" t="s">
        <v>429</v>
      </c>
      <c r="C306" s="26">
        <v>5728758.323333333</v>
      </c>
      <c r="D306" s="27">
        <v>1.0067114409999998E7</v>
      </c>
    </row>
    <row r="307" ht="14.25" customHeight="1">
      <c r="A307" s="19">
        <v>70301.0</v>
      </c>
      <c r="B307" s="20" t="s">
        <v>373</v>
      </c>
      <c r="C307" s="26">
        <v>6552026.153333332</v>
      </c>
      <c r="D307" s="27">
        <v>1.3621143613333335E7</v>
      </c>
    </row>
    <row r="308" ht="14.25" customHeight="1">
      <c r="A308" s="19">
        <v>71106.0</v>
      </c>
      <c r="B308" s="20" t="s">
        <v>421</v>
      </c>
      <c r="C308" s="26">
        <v>6709291.576666667</v>
      </c>
      <c r="D308" s="27">
        <v>1.3653153966666667E7</v>
      </c>
    </row>
    <row r="309" ht="14.25" customHeight="1">
      <c r="A309" s="19">
        <v>70501.0</v>
      </c>
      <c r="B309" s="20" t="s">
        <v>382</v>
      </c>
      <c r="C309" s="26">
        <v>6900349.71</v>
      </c>
      <c r="D309" s="27">
        <v>4137592.573333333</v>
      </c>
    </row>
    <row r="310" ht="14.25" customHeight="1">
      <c r="A310" s="19">
        <v>40701.0</v>
      </c>
      <c r="B310" s="20" t="s">
        <v>260</v>
      </c>
      <c r="C310" s="26">
        <v>6936763.030000001</v>
      </c>
      <c r="D310" s="27">
        <v>9265448.589999998</v>
      </c>
    </row>
    <row r="311" ht="14.25" customHeight="1">
      <c r="A311" s="19">
        <v>50801.0</v>
      </c>
      <c r="B311" s="20" t="s">
        <v>317</v>
      </c>
      <c r="C311" s="26">
        <v>6985219.7299999995</v>
      </c>
      <c r="D311" s="27">
        <v>1.217287438E7</v>
      </c>
    </row>
    <row r="312" ht="14.25" customHeight="1">
      <c r="A312" s="19">
        <v>31003.0</v>
      </c>
      <c r="B312" s="20" t="s">
        <v>210</v>
      </c>
      <c r="C312" s="26">
        <v>7121822.849999999</v>
      </c>
      <c r="D312" s="27">
        <v>2.162041871E7</v>
      </c>
    </row>
    <row r="313" ht="14.25" customHeight="1">
      <c r="A313" s="19">
        <v>80202.0</v>
      </c>
      <c r="B313" s="20" t="s">
        <v>440</v>
      </c>
      <c r="C313" s="26">
        <v>7354210.780000001</v>
      </c>
      <c r="D313" s="27">
        <v>7366729.779999998</v>
      </c>
    </row>
    <row r="314" ht="14.25" customHeight="1">
      <c r="A314" s="19">
        <v>51501.0</v>
      </c>
      <c r="B314" s="20" t="s">
        <v>341</v>
      </c>
      <c r="C314" s="26">
        <v>7424333.16</v>
      </c>
      <c r="D314" s="27">
        <v>1.46851115E7</v>
      </c>
    </row>
    <row r="315" ht="14.25" customHeight="1">
      <c r="A315" s="19">
        <v>51203.0</v>
      </c>
      <c r="B315" s="20" t="s">
        <v>334</v>
      </c>
      <c r="C315" s="26">
        <v>7825023.576666665</v>
      </c>
      <c r="D315" s="27">
        <v>1.4157127033333331E7</v>
      </c>
    </row>
    <row r="316" ht="14.25" customHeight="1">
      <c r="A316" s="19">
        <v>60202.0</v>
      </c>
      <c r="B316" s="20" t="s">
        <v>349</v>
      </c>
      <c r="C316" s="26">
        <v>7994183.4799999995</v>
      </c>
      <c r="D316" s="27">
        <v>1.520481778E7</v>
      </c>
    </row>
    <row r="317" ht="14.25" customHeight="1">
      <c r="A317" s="19">
        <v>60303.0</v>
      </c>
      <c r="B317" s="20" t="s">
        <v>353</v>
      </c>
      <c r="C317" s="26">
        <v>8530793.430000002</v>
      </c>
      <c r="D317" s="27">
        <v>1.8050972503333334E7</v>
      </c>
    </row>
    <row r="318" ht="14.25" customHeight="1">
      <c r="A318" s="19">
        <v>31401.0</v>
      </c>
      <c r="B318" s="20" t="s">
        <v>225</v>
      </c>
      <c r="C318" s="26">
        <v>9466962.39</v>
      </c>
      <c r="D318" s="27">
        <v>1.8908712026666667E7</v>
      </c>
    </row>
    <row r="319" ht="14.25" customHeight="1">
      <c r="A319" s="19">
        <v>80201.0</v>
      </c>
      <c r="B319" s="20" t="s">
        <v>438</v>
      </c>
      <c r="C319" s="26">
        <v>1.061855294E7</v>
      </c>
      <c r="D319" s="27">
        <v>2.8468181866666663E7</v>
      </c>
    </row>
    <row r="320" ht="14.25" customHeight="1">
      <c r="A320" s="19">
        <v>70706.0</v>
      </c>
      <c r="B320" s="20" t="s">
        <v>396</v>
      </c>
      <c r="C320" s="26">
        <v>1.115421554E7</v>
      </c>
      <c r="D320" s="27">
        <v>1.077264694E7</v>
      </c>
    </row>
    <row r="321" ht="14.25" customHeight="1">
      <c r="A321" s="19">
        <v>90101.0</v>
      </c>
      <c r="B321" s="20" t="s">
        <v>465</v>
      </c>
      <c r="C321" s="26">
        <v>1.147186004E7</v>
      </c>
      <c r="D321" s="27">
        <v>3.419812374333333E7</v>
      </c>
    </row>
    <row r="322" ht="14.25" customHeight="1">
      <c r="A322" s="19">
        <v>50802.0</v>
      </c>
      <c r="B322" s="20" t="s">
        <v>319</v>
      </c>
      <c r="C322" s="26">
        <v>1.1868393930000002E7</v>
      </c>
      <c r="D322" s="27">
        <v>8877278.243333332</v>
      </c>
    </row>
    <row r="323" ht="14.25" customHeight="1">
      <c r="A323" s="19">
        <v>50203.0</v>
      </c>
      <c r="B323" s="20" t="s">
        <v>296</v>
      </c>
      <c r="C323" s="26">
        <v>1.2767577403333334E7</v>
      </c>
      <c r="D323" s="27">
        <v>1.0104170523333333E7</v>
      </c>
    </row>
    <row r="324" ht="14.25" customHeight="1">
      <c r="A324" s="19">
        <v>30905.0</v>
      </c>
      <c r="B324" s="20" t="s">
        <v>206</v>
      </c>
      <c r="C324" s="26">
        <v>1.3733020166666666E7</v>
      </c>
      <c r="D324" s="27">
        <v>4.1183317586666666E7</v>
      </c>
    </row>
    <row r="325" ht="14.25" customHeight="1">
      <c r="A325" s="19">
        <v>20702.0</v>
      </c>
      <c r="B325" s="20" t="s">
        <v>106</v>
      </c>
      <c r="C325" s="26">
        <v>1.4242535026666665E7</v>
      </c>
      <c r="D325" s="27">
        <v>4.672008486333334E7</v>
      </c>
    </row>
    <row r="326" ht="14.25" customHeight="1">
      <c r="A326" s="19">
        <v>70103.0</v>
      </c>
      <c r="B326" s="20" t="s">
        <v>367</v>
      </c>
      <c r="C326" s="26">
        <v>1.432461437E7</v>
      </c>
      <c r="D326" s="27">
        <v>6.076463050666666E7</v>
      </c>
    </row>
    <row r="327" ht="14.25" customHeight="1">
      <c r="A327" s="19">
        <v>30903.0</v>
      </c>
      <c r="B327" s="20" t="s">
        <v>204</v>
      </c>
      <c r="C327" s="26">
        <v>1.5193420670000002E7</v>
      </c>
      <c r="D327" s="27">
        <v>3.456497719E7</v>
      </c>
    </row>
    <row r="328" ht="14.25" customHeight="1">
      <c r="A328" s="19">
        <v>70102.0</v>
      </c>
      <c r="B328" s="20" t="s">
        <v>365</v>
      </c>
      <c r="C328" s="26">
        <v>1.681021058E7</v>
      </c>
      <c r="D328" s="27">
        <v>5.4805404596666664E7</v>
      </c>
    </row>
    <row r="329" ht="14.25" customHeight="1">
      <c r="A329" s="19">
        <v>60301.0</v>
      </c>
      <c r="B329" s="20" t="s">
        <v>350</v>
      </c>
      <c r="C329" s="26">
        <v>2.2130989476666667E7</v>
      </c>
      <c r="D329" s="27">
        <v>3.924384577E7</v>
      </c>
    </row>
    <row r="330" ht="14.25" customHeight="1">
      <c r="A330" s="19">
        <v>70104.0</v>
      </c>
      <c r="B330" s="20" t="s">
        <v>368</v>
      </c>
      <c r="C330" s="26">
        <v>3.0987806183333337E7</v>
      </c>
      <c r="D330" s="27">
        <v>6.179508003000001E7</v>
      </c>
    </row>
    <row r="331" ht="14.25" customHeight="1">
      <c r="A331" s="19">
        <v>80101.0</v>
      </c>
      <c r="B331" s="20" t="s">
        <v>435</v>
      </c>
      <c r="C331" s="26">
        <v>3.1120578826666664E7</v>
      </c>
      <c r="D331" s="27">
        <v>5.648936096E7</v>
      </c>
    </row>
    <row r="332" ht="14.25" customHeight="1">
      <c r="A332" s="19">
        <v>31001.0</v>
      </c>
      <c r="B332" s="20" t="s">
        <v>207</v>
      </c>
      <c r="C332" s="26">
        <v>3.935957287333333E7</v>
      </c>
      <c r="D332" s="27">
        <v>8.712842986999999E7</v>
      </c>
    </row>
    <row r="333" ht="14.25" customHeight="1">
      <c r="A333" s="19">
        <v>71001.0</v>
      </c>
      <c r="B333" s="20" t="s">
        <v>409</v>
      </c>
      <c r="C333" s="26">
        <v>4.468249883666667E7</v>
      </c>
      <c r="D333" s="27">
        <v>6.794329166000001E7</v>
      </c>
    </row>
    <row r="334" ht="14.25" customHeight="1">
      <c r="A334" s="19">
        <v>30901.0</v>
      </c>
      <c r="B334" s="20" t="s">
        <v>201</v>
      </c>
      <c r="C334" s="26">
        <v>5.138146940333333E7</v>
      </c>
      <c r="D334" s="27">
        <v>9.782193831E7</v>
      </c>
    </row>
    <row r="335" ht="14.25" customHeight="1">
      <c r="A335" s="19">
        <v>50901.0</v>
      </c>
      <c r="B335" s="20" t="s">
        <v>320</v>
      </c>
      <c r="C335" s="26">
        <v>5.224529313666668E7</v>
      </c>
      <c r="D335" s="27">
        <v>6.083204210999999E7</v>
      </c>
    </row>
    <row r="336" ht="14.25" customHeight="1">
      <c r="A336" s="19">
        <v>70201.0</v>
      </c>
      <c r="B336" s="20" t="s">
        <v>370</v>
      </c>
      <c r="C336" s="26">
        <v>5.835455632666666E7</v>
      </c>
      <c r="D336" s="27">
        <v>1.1472685127999999E8</v>
      </c>
    </row>
    <row r="337" ht="14.25" customHeight="1">
      <c r="A337" s="19">
        <v>50101.0</v>
      </c>
      <c r="B337" s="20" t="s">
        <v>287</v>
      </c>
      <c r="C337" s="26">
        <v>8.601530317E7</v>
      </c>
      <c r="D337" s="27">
        <v>1.3728335817E8</v>
      </c>
    </row>
    <row r="338" ht="14.25" customHeight="1">
      <c r="A338" s="19">
        <v>60101.0</v>
      </c>
      <c r="B338" s="20" t="s">
        <v>345</v>
      </c>
      <c r="C338" s="26">
        <v>9.027192252666666E7</v>
      </c>
      <c r="D338" s="27">
        <v>1.8162578188E8</v>
      </c>
    </row>
    <row r="339" ht="14.25" customHeight="1">
      <c r="A339" s="19">
        <v>40101.0</v>
      </c>
      <c r="B339" s="20" t="s">
        <v>236</v>
      </c>
      <c r="C339" s="26">
        <v>1.0410040970333333E8</v>
      </c>
      <c r="D339" s="27">
        <v>1.9242340036666667E8</v>
      </c>
    </row>
    <row r="340" ht="14.25" customHeight="1">
      <c r="A340" s="19">
        <v>10101.0</v>
      </c>
      <c r="B340" s="20" t="s">
        <v>22</v>
      </c>
      <c r="C340" s="26">
        <v>1.2581932301666667E8</v>
      </c>
      <c r="D340" s="27">
        <v>1.935209806766667E8</v>
      </c>
    </row>
    <row r="341" ht="14.25" customHeight="1">
      <c r="A341" s="19">
        <v>20105.0</v>
      </c>
      <c r="B341" s="20" t="s">
        <v>68</v>
      </c>
      <c r="C341" s="26">
        <v>1.5887274207000005E8</v>
      </c>
      <c r="D341" s="27">
        <v>3.978053258899999E8</v>
      </c>
    </row>
    <row r="342" ht="14.25" customHeight="1">
      <c r="A342" s="19">
        <v>30101.0</v>
      </c>
      <c r="B342" s="20" t="s">
        <v>170</v>
      </c>
      <c r="C342" s="26">
        <v>3.2457170040333325E8</v>
      </c>
      <c r="D342" s="27">
        <v>5.9156445921E8</v>
      </c>
    </row>
    <row r="343" ht="14.25" customHeight="1">
      <c r="A343" s="19">
        <v>20101.0</v>
      </c>
      <c r="B343" s="20" t="s">
        <v>62</v>
      </c>
      <c r="C343" s="26">
        <v>5.602587905766667E8</v>
      </c>
      <c r="D343" s="27">
        <v>7.902704993966665E8</v>
      </c>
    </row>
    <row r="344" ht="14.25" customHeight="1">
      <c r="A344" s="22">
        <v>70101.0</v>
      </c>
      <c r="B344" s="23" t="s">
        <v>362</v>
      </c>
      <c r="C344" s="28">
        <v>7.992039413866667E8</v>
      </c>
      <c r="D344" s="29">
        <v>1.13890768398E9</v>
      </c>
    </row>
    <row r="345" ht="14.25" customHeight="1">
      <c r="A345" s="4"/>
      <c r="B345" s="4"/>
      <c r="C345" s="4"/>
      <c r="D345" s="4"/>
    </row>
    <row r="346" ht="14.25" customHeight="1">
      <c r="A346" s="4"/>
      <c r="B346" s="4"/>
      <c r="C346" s="4"/>
      <c r="D346" s="4"/>
    </row>
    <row r="347" ht="14.25" customHeight="1">
      <c r="A347" s="4"/>
      <c r="B347" s="4"/>
      <c r="C347" s="4"/>
      <c r="D347" s="4"/>
    </row>
    <row r="348" ht="14.25" customHeight="1">
      <c r="A348" s="4"/>
      <c r="B348" s="4"/>
      <c r="C348" s="4"/>
      <c r="D348" s="4"/>
    </row>
    <row r="349" ht="14.25" customHeight="1">
      <c r="A349" s="4"/>
      <c r="B349" s="4"/>
      <c r="C349" s="4"/>
      <c r="D349" s="4"/>
    </row>
    <row r="350" ht="14.25" customHeight="1">
      <c r="A350" s="4"/>
      <c r="B350" s="4"/>
      <c r="C350" s="4"/>
      <c r="D350" s="4"/>
    </row>
    <row r="351" ht="14.25" customHeight="1">
      <c r="A351" s="4"/>
      <c r="B351" s="4"/>
      <c r="C351" s="4"/>
      <c r="D351" s="4"/>
    </row>
    <row r="352" ht="14.25" customHeight="1">
      <c r="A352" s="4"/>
      <c r="B352" s="4"/>
      <c r="C352" s="4"/>
      <c r="D352" s="4"/>
    </row>
    <row r="353" ht="14.25" customHeight="1">
      <c r="A353" s="4"/>
      <c r="B353" s="4"/>
      <c r="C353" s="4"/>
      <c r="D353" s="4"/>
    </row>
    <row r="354" ht="14.25" customHeight="1">
      <c r="A354" s="4"/>
      <c r="B354" s="4"/>
      <c r="C354" s="4"/>
      <c r="D354" s="4"/>
    </row>
    <row r="355" ht="14.25" customHeight="1">
      <c r="A355" s="4"/>
      <c r="B355" s="4"/>
      <c r="C355" s="4"/>
      <c r="D355" s="4"/>
    </row>
    <row r="356" ht="14.25" customHeight="1">
      <c r="A356" s="4"/>
      <c r="B356" s="4"/>
      <c r="C356" s="4"/>
      <c r="D356" s="4"/>
    </row>
    <row r="357" ht="14.25" customHeight="1">
      <c r="A357" s="4"/>
      <c r="B357" s="4"/>
      <c r="C357" s="4"/>
      <c r="D357" s="4"/>
    </row>
    <row r="358" ht="14.25" customHeight="1">
      <c r="A358" s="4"/>
      <c r="B358" s="4"/>
      <c r="C358" s="4"/>
      <c r="D358" s="4"/>
    </row>
    <row r="359" ht="14.25" customHeight="1">
      <c r="A359" s="4"/>
      <c r="B359" s="4"/>
      <c r="C359" s="4"/>
      <c r="D359" s="4"/>
    </row>
    <row r="360" ht="14.25" customHeight="1">
      <c r="A360" s="4"/>
      <c r="B360" s="4"/>
      <c r="C360" s="4"/>
      <c r="D360" s="4"/>
    </row>
    <row r="361" ht="14.25" customHeight="1">
      <c r="A361" s="4"/>
      <c r="B361" s="4"/>
      <c r="C361" s="4"/>
      <c r="D361" s="4"/>
    </row>
    <row r="362" ht="14.25" customHeight="1">
      <c r="A362" s="4"/>
      <c r="B362" s="4"/>
      <c r="C362" s="4"/>
      <c r="D362" s="4"/>
    </row>
    <row r="363" ht="14.25" customHeight="1">
      <c r="A363" s="4"/>
      <c r="B363" s="4"/>
      <c r="C363" s="4"/>
      <c r="D363" s="4"/>
    </row>
    <row r="364" ht="14.25" customHeight="1">
      <c r="A364" s="4"/>
      <c r="B364" s="4"/>
      <c r="C364" s="4"/>
      <c r="D364" s="4"/>
    </row>
    <row r="365" ht="14.25" customHeight="1">
      <c r="A365" s="4"/>
      <c r="B365" s="4"/>
      <c r="C365" s="4"/>
      <c r="D365" s="4"/>
    </row>
    <row r="366" ht="14.25" customHeight="1">
      <c r="A366" s="4"/>
      <c r="B366" s="4"/>
      <c r="C366" s="4"/>
      <c r="D366" s="4"/>
    </row>
    <row r="367" ht="14.25" customHeight="1">
      <c r="A367" s="4"/>
      <c r="B367" s="4"/>
      <c r="C367" s="4"/>
      <c r="D367" s="4"/>
    </row>
    <row r="368" ht="14.25" customHeight="1">
      <c r="A368" s="4"/>
      <c r="B368" s="4"/>
      <c r="C368" s="4"/>
      <c r="D368" s="4"/>
    </row>
    <row r="369" ht="14.25" customHeight="1">
      <c r="A369" s="4"/>
      <c r="B369" s="4"/>
      <c r="C369" s="4"/>
      <c r="D369" s="4"/>
    </row>
    <row r="370" ht="14.25" customHeight="1">
      <c r="A370" s="4"/>
      <c r="B370" s="4"/>
      <c r="C370" s="4"/>
      <c r="D370" s="4"/>
    </row>
    <row r="371" ht="14.25" customHeight="1">
      <c r="A371" s="4"/>
      <c r="B371" s="4"/>
      <c r="C371" s="4"/>
      <c r="D371" s="4"/>
    </row>
    <row r="372" ht="14.25" customHeight="1">
      <c r="A372" s="4"/>
      <c r="B372" s="4"/>
      <c r="C372" s="4"/>
      <c r="D372" s="4"/>
    </row>
    <row r="373" ht="14.25" customHeight="1">
      <c r="A373" s="4"/>
      <c r="B373" s="4"/>
      <c r="C373" s="4"/>
      <c r="D373" s="4"/>
    </row>
    <row r="374" ht="14.25" customHeight="1">
      <c r="A374" s="4"/>
      <c r="B374" s="4"/>
      <c r="C374" s="4"/>
      <c r="D374" s="4"/>
    </row>
    <row r="375" ht="14.25" customHeight="1">
      <c r="A375" s="4"/>
      <c r="B375" s="4"/>
      <c r="C375" s="4"/>
      <c r="D375" s="4"/>
    </row>
    <row r="376" ht="14.25" customHeight="1">
      <c r="A376" s="4"/>
      <c r="B376" s="4"/>
      <c r="C376" s="4"/>
      <c r="D376" s="4"/>
    </row>
    <row r="377" ht="14.25" customHeight="1">
      <c r="A377" s="4"/>
      <c r="B377" s="4"/>
      <c r="C377" s="4"/>
      <c r="D377" s="4"/>
    </row>
    <row r="378" ht="14.25" customHeight="1">
      <c r="A378" s="4"/>
      <c r="B378" s="4"/>
      <c r="C378" s="4"/>
      <c r="D378" s="4"/>
    </row>
    <row r="379" ht="14.25" customHeight="1">
      <c r="A379" s="4"/>
      <c r="B379" s="4"/>
      <c r="C379" s="4"/>
      <c r="D379" s="4"/>
    </row>
    <row r="380" ht="14.25" customHeight="1">
      <c r="A380" s="4"/>
      <c r="B380" s="4"/>
      <c r="C380" s="4"/>
      <c r="D380" s="4"/>
    </row>
    <row r="381" ht="14.25" customHeight="1">
      <c r="A381" s="4"/>
      <c r="B381" s="4"/>
      <c r="C381" s="4"/>
      <c r="D381" s="4"/>
    </row>
    <row r="382" ht="14.25" customHeight="1">
      <c r="A382" s="4"/>
      <c r="B382" s="4"/>
      <c r="C382" s="4"/>
      <c r="D382" s="4"/>
    </row>
    <row r="383" ht="14.25" customHeight="1">
      <c r="A383" s="4"/>
      <c r="B383" s="4"/>
      <c r="C383" s="4"/>
      <c r="D383" s="4"/>
    </row>
    <row r="384" ht="14.25" customHeight="1">
      <c r="A384" s="4"/>
      <c r="B384" s="4"/>
      <c r="C384" s="4"/>
      <c r="D384" s="4"/>
    </row>
    <row r="385" ht="14.25" customHeight="1">
      <c r="A385" s="4"/>
      <c r="B385" s="4"/>
      <c r="C385" s="4"/>
      <c r="D385" s="4"/>
    </row>
    <row r="386" ht="14.25" customHeight="1">
      <c r="A386" s="4"/>
      <c r="B386" s="4"/>
      <c r="C386" s="4"/>
      <c r="D386" s="4"/>
    </row>
    <row r="387" ht="14.25" customHeight="1">
      <c r="A387" s="4"/>
      <c r="B387" s="4"/>
      <c r="C387" s="4"/>
      <c r="D387" s="4"/>
    </row>
    <row r="388" ht="14.25" customHeight="1">
      <c r="A388" s="4"/>
      <c r="B388" s="4"/>
      <c r="C388" s="4"/>
      <c r="D388" s="4"/>
    </row>
    <row r="389" ht="14.25" customHeight="1">
      <c r="A389" s="4"/>
      <c r="B389" s="4"/>
      <c r="C389" s="4"/>
      <c r="D389" s="4"/>
    </row>
    <row r="390" ht="14.25" customHeight="1">
      <c r="A390" s="4"/>
      <c r="B390" s="4"/>
      <c r="C390" s="4"/>
      <c r="D390" s="4"/>
    </row>
    <row r="391" ht="14.25" customHeight="1">
      <c r="A391" s="4"/>
      <c r="B391" s="4"/>
      <c r="C391" s="4"/>
      <c r="D391" s="4"/>
    </row>
    <row r="392" ht="14.25" customHeight="1">
      <c r="A392" s="4"/>
      <c r="B392" s="4"/>
      <c r="C392" s="4"/>
      <c r="D392" s="4"/>
    </row>
    <row r="393" ht="14.25" customHeight="1">
      <c r="A393" s="4"/>
      <c r="B393" s="4"/>
      <c r="C393" s="4"/>
      <c r="D393" s="4"/>
    </row>
    <row r="394" ht="14.25" customHeight="1">
      <c r="A394" s="4"/>
      <c r="B394" s="4"/>
      <c r="C394" s="4"/>
      <c r="D394" s="4"/>
    </row>
    <row r="395" ht="14.25" customHeight="1">
      <c r="A395" s="4"/>
      <c r="B395" s="4"/>
      <c r="C395" s="4"/>
      <c r="D395" s="4"/>
    </row>
    <row r="396" ht="14.25" customHeight="1">
      <c r="A396" s="4"/>
      <c r="B396" s="4"/>
      <c r="C396" s="4"/>
      <c r="D396" s="4"/>
    </row>
    <row r="397" ht="14.25" customHeight="1">
      <c r="A397" s="4"/>
      <c r="B397" s="4"/>
      <c r="C397" s="4"/>
      <c r="D397" s="4"/>
    </row>
    <row r="398" ht="14.25" customHeight="1">
      <c r="A398" s="4"/>
      <c r="B398" s="4"/>
      <c r="C398" s="4"/>
      <c r="D398" s="4"/>
    </row>
    <row r="399" ht="14.25" customHeight="1">
      <c r="A399" s="4"/>
      <c r="B399" s="4"/>
      <c r="C399" s="4"/>
      <c r="D399" s="4"/>
    </row>
    <row r="400" ht="14.25" customHeight="1">
      <c r="A400" s="4"/>
      <c r="B400" s="4"/>
      <c r="C400" s="4"/>
      <c r="D400" s="4"/>
    </row>
    <row r="401" ht="14.25" customHeight="1">
      <c r="A401" s="4"/>
      <c r="B401" s="4"/>
      <c r="C401" s="4"/>
      <c r="D401" s="4"/>
    </row>
    <row r="402" ht="14.25" customHeight="1">
      <c r="A402" s="4"/>
      <c r="B402" s="4"/>
      <c r="C402" s="4"/>
      <c r="D402" s="4"/>
    </row>
    <row r="403" ht="14.25" customHeight="1">
      <c r="A403" s="4"/>
      <c r="B403" s="4"/>
      <c r="C403" s="4"/>
      <c r="D403" s="4"/>
    </row>
    <row r="404" ht="14.25" customHeight="1">
      <c r="A404" s="4"/>
      <c r="B404" s="4"/>
      <c r="C404" s="4"/>
      <c r="D404" s="4"/>
    </row>
    <row r="405" ht="14.25" customHeight="1">
      <c r="A405" s="4"/>
      <c r="B405" s="4"/>
      <c r="C405" s="4"/>
      <c r="D405" s="4"/>
    </row>
    <row r="406" ht="14.25" customHeight="1">
      <c r="A406" s="4"/>
      <c r="B406" s="4"/>
      <c r="C406" s="4"/>
      <c r="D406" s="4"/>
    </row>
    <row r="407" ht="14.25" customHeight="1">
      <c r="A407" s="4"/>
      <c r="B407" s="4"/>
      <c r="C407" s="4"/>
      <c r="D407" s="4"/>
    </row>
    <row r="408" ht="14.25" customHeight="1">
      <c r="A408" s="4"/>
      <c r="B408" s="4"/>
      <c r="C408" s="4"/>
      <c r="D408" s="4"/>
    </row>
    <row r="409" ht="14.25" customHeight="1">
      <c r="A409" s="4"/>
      <c r="B409" s="4"/>
      <c r="C409" s="4"/>
      <c r="D409" s="4"/>
    </row>
    <row r="410" ht="14.25" customHeight="1">
      <c r="A410" s="4"/>
      <c r="B410" s="4"/>
      <c r="C410" s="4"/>
      <c r="D410" s="4"/>
    </row>
    <row r="411" ht="14.25" customHeight="1">
      <c r="A411" s="4"/>
      <c r="B411" s="4"/>
      <c r="C411" s="4"/>
      <c r="D411" s="4"/>
    </row>
    <row r="412" ht="14.25" customHeight="1">
      <c r="A412" s="4"/>
      <c r="B412" s="4"/>
      <c r="C412" s="4"/>
      <c r="D412" s="4"/>
    </row>
    <row r="413" ht="14.25" customHeight="1">
      <c r="A413" s="4"/>
      <c r="B413" s="4"/>
      <c r="C413" s="4"/>
      <c r="D413" s="4"/>
    </row>
    <row r="414" ht="14.25" customHeight="1">
      <c r="A414" s="4"/>
      <c r="B414" s="4"/>
      <c r="C414" s="4"/>
      <c r="D414" s="4"/>
    </row>
    <row r="415" ht="14.25" customHeight="1">
      <c r="A415" s="4"/>
      <c r="B415" s="4"/>
      <c r="C415" s="4"/>
      <c r="D415" s="4"/>
    </row>
    <row r="416" ht="14.25" customHeight="1">
      <c r="A416" s="4"/>
      <c r="B416" s="4"/>
      <c r="C416" s="4"/>
      <c r="D416" s="4"/>
    </row>
    <row r="417" ht="14.25" customHeight="1">
      <c r="A417" s="4"/>
      <c r="B417" s="4"/>
      <c r="C417" s="4"/>
      <c r="D417" s="4"/>
    </row>
    <row r="418" ht="14.25" customHeight="1">
      <c r="A418" s="4"/>
      <c r="B418" s="4"/>
      <c r="C418" s="4"/>
      <c r="D418" s="4"/>
    </row>
    <row r="419" ht="14.25" customHeight="1">
      <c r="A419" s="4"/>
      <c r="B419" s="4"/>
      <c r="C419" s="4"/>
      <c r="D419" s="4"/>
    </row>
    <row r="420" ht="14.25" customHeight="1">
      <c r="A420" s="4"/>
      <c r="B420" s="4"/>
      <c r="C420" s="4"/>
      <c r="D420" s="4"/>
    </row>
    <row r="421" ht="14.25" customHeight="1">
      <c r="A421" s="4"/>
      <c r="B421" s="4"/>
      <c r="C421" s="4"/>
      <c r="D421" s="4"/>
    </row>
    <row r="422" ht="14.25" customHeight="1">
      <c r="A422" s="4"/>
      <c r="B422" s="4"/>
      <c r="C422" s="4"/>
      <c r="D422" s="4"/>
    </row>
    <row r="423" ht="14.25" customHeight="1">
      <c r="A423" s="4"/>
      <c r="B423" s="4"/>
      <c r="C423" s="4"/>
      <c r="D423" s="4"/>
    </row>
    <row r="424" ht="14.25" customHeight="1">
      <c r="A424" s="4"/>
      <c r="B424" s="4"/>
      <c r="C424" s="4"/>
      <c r="D424" s="4"/>
    </row>
    <row r="425" ht="14.25" customHeight="1">
      <c r="A425" s="4"/>
      <c r="B425" s="4"/>
      <c r="C425" s="4"/>
      <c r="D425" s="4"/>
    </row>
    <row r="426" ht="14.25" customHeight="1">
      <c r="A426" s="4"/>
      <c r="B426" s="4"/>
      <c r="C426" s="4"/>
      <c r="D426" s="4"/>
    </row>
    <row r="427" ht="14.25" customHeight="1">
      <c r="A427" s="4"/>
      <c r="B427" s="4"/>
      <c r="C427" s="4"/>
      <c r="D427" s="4"/>
    </row>
    <row r="428" ht="14.25" customHeight="1">
      <c r="A428" s="4"/>
      <c r="B428" s="4"/>
      <c r="C428" s="4"/>
      <c r="D428" s="4"/>
    </row>
    <row r="429" ht="14.25" customHeight="1">
      <c r="A429" s="4"/>
      <c r="B429" s="4"/>
      <c r="C429" s="4"/>
      <c r="D429" s="4"/>
    </row>
    <row r="430" ht="14.25" customHeight="1">
      <c r="A430" s="4"/>
      <c r="B430" s="4"/>
      <c r="C430" s="4"/>
      <c r="D430" s="4"/>
    </row>
    <row r="431" ht="14.25" customHeight="1">
      <c r="A431" s="4"/>
      <c r="B431" s="4"/>
      <c r="C431" s="4"/>
      <c r="D431" s="4"/>
    </row>
    <row r="432" ht="14.25" customHeight="1">
      <c r="A432" s="4"/>
      <c r="B432" s="4"/>
      <c r="C432" s="4"/>
      <c r="D432" s="4"/>
    </row>
    <row r="433" ht="14.25" customHeight="1">
      <c r="A433" s="4"/>
      <c r="B433" s="4"/>
      <c r="C433" s="4"/>
      <c r="D433" s="4"/>
    </row>
    <row r="434" ht="14.25" customHeight="1">
      <c r="A434" s="4"/>
      <c r="B434" s="4"/>
      <c r="C434" s="4"/>
      <c r="D434" s="4"/>
    </row>
    <row r="435" ht="14.25" customHeight="1">
      <c r="A435" s="4"/>
      <c r="B435" s="4"/>
      <c r="C435" s="4"/>
      <c r="D435" s="4"/>
    </row>
    <row r="436" ht="14.25" customHeight="1">
      <c r="A436" s="4"/>
      <c r="B436" s="4"/>
      <c r="C436" s="4"/>
      <c r="D436" s="4"/>
    </row>
    <row r="437" ht="14.25" customHeight="1">
      <c r="A437" s="4"/>
      <c r="B437" s="4"/>
      <c r="C437" s="4"/>
      <c r="D437" s="4"/>
    </row>
    <row r="438" ht="14.25" customHeight="1">
      <c r="A438" s="4"/>
      <c r="B438" s="4"/>
      <c r="C438" s="4"/>
      <c r="D438" s="4"/>
    </row>
    <row r="439" ht="14.25" customHeight="1">
      <c r="A439" s="4"/>
      <c r="B439" s="4"/>
      <c r="C439" s="4"/>
      <c r="D439" s="4"/>
    </row>
    <row r="440" ht="14.25" customHeight="1">
      <c r="A440" s="4"/>
      <c r="B440" s="4"/>
      <c r="C440" s="4"/>
      <c r="D440" s="4"/>
    </row>
    <row r="441" ht="14.25" customHeight="1">
      <c r="A441" s="4"/>
      <c r="B441" s="4"/>
      <c r="C441" s="4"/>
      <c r="D441" s="4"/>
    </row>
    <row r="442" ht="14.25" customHeight="1">
      <c r="A442" s="4"/>
      <c r="B442" s="4"/>
      <c r="C442" s="4"/>
      <c r="D442" s="4"/>
    </row>
    <row r="443" ht="14.25" customHeight="1">
      <c r="A443" s="4"/>
      <c r="B443" s="4"/>
      <c r="C443" s="4"/>
      <c r="D443" s="4"/>
    </row>
    <row r="444" ht="14.25" customHeight="1">
      <c r="A444" s="4"/>
      <c r="B444" s="4"/>
      <c r="C444" s="4"/>
      <c r="D444" s="4"/>
    </row>
    <row r="445" ht="14.25" customHeight="1">
      <c r="A445" s="4"/>
      <c r="B445" s="4"/>
      <c r="C445" s="4"/>
      <c r="D445" s="4"/>
    </row>
    <row r="446" ht="14.25" customHeight="1">
      <c r="A446" s="4"/>
      <c r="B446" s="4"/>
      <c r="C446" s="4"/>
      <c r="D446" s="4"/>
    </row>
    <row r="447" ht="14.25" customHeight="1">
      <c r="A447" s="4"/>
      <c r="B447" s="4"/>
      <c r="C447" s="4"/>
      <c r="D447" s="4"/>
    </row>
    <row r="448" ht="14.25" customHeight="1">
      <c r="A448" s="4"/>
      <c r="B448" s="4"/>
      <c r="C448" s="4"/>
      <c r="D448" s="4"/>
    </row>
    <row r="449" ht="14.25" customHeight="1">
      <c r="A449" s="4"/>
      <c r="B449" s="4"/>
      <c r="C449" s="4"/>
      <c r="D449" s="4"/>
    </row>
    <row r="450" ht="14.25" customHeight="1">
      <c r="A450" s="4"/>
      <c r="B450" s="4"/>
      <c r="C450" s="4"/>
      <c r="D450" s="4"/>
    </row>
    <row r="451" ht="14.25" customHeight="1">
      <c r="A451" s="4"/>
      <c r="B451" s="4"/>
      <c r="C451" s="4"/>
      <c r="D451" s="4"/>
    </row>
    <row r="452" ht="14.25" customHeight="1">
      <c r="A452" s="4"/>
      <c r="B452" s="4"/>
      <c r="C452" s="4"/>
      <c r="D452" s="4"/>
    </row>
    <row r="453" ht="14.25" customHeight="1">
      <c r="A453" s="4"/>
      <c r="B453" s="4"/>
      <c r="C453" s="4"/>
      <c r="D453" s="4"/>
    </row>
    <row r="454" ht="14.25" customHeight="1">
      <c r="A454" s="4"/>
      <c r="B454" s="4"/>
      <c r="C454" s="4"/>
      <c r="D454" s="4"/>
    </row>
    <row r="455" ht="14.25" customHeight="1">
      <c r="A455" s="4"/>
      <c r="B455" s="4"/>
      <c r="C455" s="4"/>
      <c r="D455" s="4"/>
    </row>
    <row r="456" ht="14.25" customHeight="1">
      <c r="A456" s="4"/>
      <c r="B456" s="4"/>
      <c r="C456" s="4"/>
      <c r="D456" s="4"/>
    </row>
    <row r="457" ht="14.25" customHeight="1">
      <c r="A457" s="4"/>
      <c r="B457" s="4"/>
      <c r="C457" s="4"/>
      <c r="D457" s="4"/>
    </row>
    <row r="458" ht="14.25" customHeight="1">
      <c r="A458" s="4"/>
      <c r="B458" s="4"/>
      <c r="C458" s="4"/>
      <c r="D458" s="4"/>
    </row>
    <row r="459" ht="14.25" customHeight="1">
      <c r="A459" s="4"/>
      <c r="B459" s="4"/>
      <c r="C459" s="4"/>
      <c r="D459" s="4"/>
    </row>
    <row r="460" ht="14.25" customHeight="1">
      <c r="A460" s="4"/>
      <c r="B460" s="4"/>
      <c r="C460" s="4"/>
      <c r="D460" s="4"/>
    </row>
    <row r="461" ht="14.25" customHeight="1">
      <c r="A461" s="4"/>
      <c r="B461" s="4"/>
      <c r="C461" s="4"/>
      <c r="D461" s="4"/>
    </row>
    <row r="462" ht="14.25" customHeight="1">
      <c r="A462" s="4"/>
      <c r="B462" s="4"/>
      <c r="C462" s="4"/>
      <c r="D462" s="4"/>
    </row>
    <row r="463" ht="14.25" customHeight="1">
      <c r="A463" s="4"/>
      <c r="B463" s="4"/>
      <c r="C463" s="4"/>
      <c r="D463" s="4"/>
    </row>
    <row r="464" ht="14.25" customHeight="1">
      <c r="A464" s="4"/>
      <c r="B464" s="4"/>
      <c r="C464" s="4"/>
      <c r="D464" s="4"/>
    </row>
    <row r="465" ht="14.25" customHeight="1">
      <c r="A465" s="4"/>
      <c r="B465" s="4"/>
      <c r="C465" s="4"/>
      <c r="D465" s="4"/>
    </row>
    <row r="466" ht="14.25" customHeight="1">
      <c r="A466" s="4"/>
      <c r="B466" s="4"/>
      <c r="C466" s="4"/>
      <c r="D466" s="4"/>
    </row>
    <row r="467" ht="14.25" customHeight="1">
      <c r="A467" s="4"/>
      <c r="B467" s="4"/>
      <c r="C467" s="4"/>
      <c r="D467" s="4"/>
    </row>
    <row r="468" ht="14.25" customHeight="1">
      <c r="A468" s="4"/>
      <c r="B468" s="4"/>
      <c r="C468" s="4"/>
      <c r="D468" s="4"/>
    </row>
    <row r="469" ht="14.25" customHeight="1">
      <c r="A469" s="4"/>
      <c r="B469" s="4"/>
      <c r="C469" s="4"/>
      <c r="D469" s="4"/>
    </row>
    <row r="470" ht="14.25" customHeight="1">
      <c r="A470" s="4"/>
      <c r="B470" s="4"/>
      <c r="C470" s="4"/>
      <c r="D470" s="4"/>
    </row>
    <row r="471" ht="14.25" customHeight="1">
      <c r="A471" s="4"/>
      <c r="B471" s="4"/>
      <c r="C471" s="4"/>
      <c r="D471" s="4"/>
    </row>
    <row r="472" ht="14.25" customHeight="1">
      <c r="A472" s="4"/>
      <c r="B472" s="4"/>
      <c r="C472" s="4"/>
      <c r="D472" s="4"/>
    </row>
    <row r="473" ht="14.25" customHeight="1">
      <c r="A473" s="4"/>
      <c r="B473" s="4"/>
      <c r="C473" s="4"/>
      <c r="D473" s="4"/>
    </row>
    <row r="474" ht="14.25" customHeight="1">
      <c r="A474" s="4"/>
      <c r="B474" s="4"/>
      <c r="C474" s="4"/>
      <c r="D474" s="4"/>
    </row>
    <row r="475" ht="14.25" customHeight="1">
      <c r="A475" s="4"/>
      <c r="B475" s="4"/>
      <c r="C475" s="4"/>
      <c r="D475" s="4"/>
    </row>
    <row r="476" ht="14.25" customHeight="1">
      <c r="A476" s="4"/>
      <c r="B476" s="4"/>
      <c r="C476" s="4"/>
      <c r="D476" s="4"/>
    </row>
    <row r="477" ht="14.25" customHeight="1">
      <c r="A477" s="4"/>
      <c r="B477" s="4"/>
      <c r="C477" s="4"/>
      <c r="D477" s="4"/>
    </row>
    <row r="478" ht="14.25" customHeight="1">
      <c r="A478" s="4"/>
      <c r="B478" s="4"/>
      <c r="C478" s="4"/>
      <c r="D478" s="4"/>
    </row>
    <row r="479" ht="14.25" customHeight="1">
      <c r="A479" s="4"/>
      <c r="B479" s="4"/>
      <c r="C479" s="4"/>
      <c r="D479" s="4"/>
    </row>
    <row r="480" ht="14.25" customHeight="1">
      <c r="A480" s="4"/>
      <c r="B480" s="4"/>
      <c r="C480" s="4"/>
      <c r="D480" s="4"/>
    </row>
    <row r="481" ht="14.25" customHeight="1">
      <c r="A481" s="4"/>
      <c r="B481" s="4"/>
      <c r="C481" s="4"/>
      <c r="D481" s="4"/>
    </row>
    <row r="482" ht="14.25" customHeight="1">
      <c r="A482" s="4"/>
      <c r="B482" s="4"/>
      <c r="C482" s="4"/>
      <c r="D482" s="4"/>
    </row>
    <row r="483" ht="14.25" customHeight="1">
      <c r="A483" s="4"/>
      <c r="B483" s="4"/>
      <c r="C483" s="4"/>
      <c r="D483" s="4"/>
    </row>
    <row r="484" ht="14.25" customHeight="1">
      <c r="A484" s="4"/>
      <c r="B484" s="4"/>
      <c r="C484" s="4"/>
      <c r="D484" s="4"/>
    </row>
    <row r="485" ht="14.25" customHeight="1">
      <c r="A485" s="4"/>
      <c r="B485" s="4"/>
      <c r="C485" s="4"/>
      <c r="D485" s="4"/>
    </row>
    <row r="486" ht="14.25" customHeight="1">
      <c r="A486" s="4"/>
      <c r="B486" s="4"/>
      <c r="C486" s="4"/>
      <c r="D486" s="4"/>
    </row>
    <row r="487" ht="14.25" customHeight="1">
      <c r="A487" s="4"/>
      <c r="B487" s="4"/>
      <c r="C487" s="4"/>
      <c r="D487" s="4"/>
    </row>
    <row r="488" ht="14.25" customHeight="1">
      <c r="A488" s="4"/>
      <c r="B488" s="4"/>
      <c r="C488" s="4"/>
      <c r="D488" s="4"/>
    </row>
    <row r="489" ht="14.25" customHeight="1">
      <c r="A489" s="4"/>
      <c r="B489" s="4"/>
      <c r="C489" s="4"/>
      <c r="D489" s="4"/>
    </row>
    <row r="490" ht="14.25" customHeight="1">
      <c r="A490" s="4"/>
      <c r="B490" s="4"/>
      <c r="C490" s="4"/>
      <c r="D490" s="4"/>
    </row>
    <row r="491" ht="14.25" customHeight="1">
      <c r="A491" s="4"/>
      <c r="B491" s="4"/>
      <c r="C491" s="4"/>
      <c r="D491" s="4"/>
    </row>
    <row r="492" ht="14.25" customHeight="1">
      <c r="A492" s="4"/>
      <c r="B492" s="4"/>
      <c r="C492" s="4"/>
      <c r="D492" s="4"/>
    </row>
    <row r="493" ht="14.25" customHeight="1">
      <c r="A493" s="4"/>
      <c r="B493" s="4"/>
      <c r="C493" s="4"/>
      <c r="D493" s="4"/>
    </row>
    <row r="494" ht="14.25" customHeight="1">
      <c r="A494" s="4"/>
      <c r="B494" s="4"/>
      <c r="C494" s="4"/>
      <c r="D494" s="4"/>
    </row>
    <row r="495" ht="14.25" customHeight="1">
      <c r="A495" s="4"/>
      <c r="B495" s="4"/>
      <c r="C495" s="4"/>
      <c r="D495" s="4"/>
    </row>
    <row r="496" ht="14.25" customHeight="1">
      <c r="A496" s="4"/>
      <c r="B496" s="4"/>
      <c r="C496" s="4"/>
      <c r="D496" s="4"/>
    </row>
    <row r="497" ht="14.25" customHeight="1">
      <c r="A497" s="4"/>
      <c r="B497" s="4"/>
      <c r="C497" s="4"/>
      <c r="D497" s="4"/>
    </row>
    <row r="498" ht="14.25" customHeight="1">
      <c r="A498" s="4"/>
      <c r="B498" s="4"/>
      <c r="C498" s="4"/>
      <c r="D498" s="4"/>
    </row>
    <row r="499" ht="14.25" customHeight="1">
      <c r="A499" s="4"/>
      <c r="B499" s="4"/>
      <c r="C499" s="4"/>
      <c r="D499" s="4"/>
    </row>
    <row r="500" ht="14.25" customHeight="1">
      <c r="A500" s="4"/>
      <c r="B500" s="4"/>
      <c r="C500" s="4"/>
      <c r="D500" s="4"/>
    </row>
    <row r="501" ht="14.25" customHeight="1">
      <c r="A501" s="4"/>
      <c r="B501" s="4"/>
      <c r="C501" s="4"/>
      <c r="D501" s="4"/>
    </row>
    <row r="502" ht="14.25" customHeight="1">
      <c r="A502" s="4"/>
      <c r="B502" s="4"/>
      <c r="C502" s="4"/>
      <c r="D502" s="4"/>
    </row>
    <row r="503" ht="14.25" customHeight="1">
      <c r="A503" s="4"/>
      <c r="B503" s="4"/>
      <c r="C503" s="4"/>
      <c r="D503" s="4"/>
    </row>
    <row r="504" ht="14.25" customHeight="1">
      <c r="A504" s="4"/>
      <c r="B504" s="4"/>
      <c r="C504" s="4"/>
      <c r="D504" s="4"/>
    </row>
    <row r="505" ht="14.25" customHeight="1">
      <c r="A505" s="4"/>
      <c r="B505" s="4"/>
      <c r="C505" s="4"/>
      <c r="D505" s="4"/>
    </row>
    <row r="506" ht="14.25" customHeight="1">
      <c r="A506" s="4"/>
      <c r="B506" s="4"/>
      <c r="C506" s="4"/>
      <c r="D506" s="4"/>
    </row>
    <row r="507" ht="14.25" customHeight="1">
      <c r="A507" s="4"/>
      <c r="B507" s="4"/>
      <c r="C507" s="4"/>
      <c r="D507" s="4"/>
    </row>
    <row r="508" ht="14.25" customHeight="1">
      <c r="A508" s="4"/>
      <c r="B508" s="4"/>
      <c r="C508" s="4"/>
      <c r="D508" s="4"/>
    </row>
    <row r="509" ht="14.25" customHeight="1">
      <c r="A509" s="4"/>
      <c r="B509" s="4"/>
      <c r="C509" s="4"/>
      <c r="D509" s="4"/>
    </row>
    <row r="510" ht="14.25" customHeight="1">
      <c r="A510" s="4"/>
      <c r="B510" s="4"/>
      <c r="C510" s="4"/>
      <c r="D510" s="4"/>
    </row>
    <row r="511" ht="14.25" customHeight="1">
      <c r="A511" s="4"/>
      <c r="B511" s="4"/>
      <c r="C511" s="4"/>
      <c r="D511" s="4"/>
    </row>
    <row r="512" ht="14.25" customHeight="1">
      <c r="A512" s="4"/>
      <c r="B512" s="4"/>
      <c r="C512" s="4"/>
      <c r="D512" s="4"/>
    </row>
    <row r="513" ht="14.25" customHeight="1">
      <c r="A513" s="4"/>
      <c r="B513" s="4"/>
      <c r="C513" s="4"/>
      <c r="D513" s="4"/>
    </row>
    <row r="514" ht="14.25" customHeight="1">
      <c r="A514" s="4"/>
      <c r="B514" s="4"/>
      <c r="C514" s="4"/>
      <c r="D514" s="4"/>
    </row>
    <row r="515" ht="14.25" customHeight="1">
      <c r="A515" s="4"/>
      <c r="B515" s="4"/>
      <c r="C515" s="4"/>
      <c r="D515" s="4"/>
    </row>
    <row r="516" ht="14.25" customHeight="1">
      <c r="A516" s="4"/>
      <c r="B516" s="4"/>
      <c r="C516" s="4"/>
      <c r="D516" s="4"/>
    </row>
    <row r="517" ht="14.25" customHeight="1">
      <c r="A517" s="4"/>
      <c r="B517" s="4"/>
      <c r="C517" s="4"/>
      <c r="D517" s="4"/>
    </row>
    <row r="518" ht="14.25" customHeight="1">
      <c r="A518" s="4"/>
      <c r="B518" s="4"/>
      <c r="C518" s="4"/>
      <c r="D518" s="4"/>
    </row>
    <row r="519" ht="14.25" customHeight="1">
      <c r="A519" s="4"/>
      <c r="B519" s="4"/>
      <c r="C519" s="4"/>
      <c r="D519" s="4"/>
    </row>
    <row r="520" ht="14.25" customHeight="1">
      <c r="A520" s="4"/>
      <c r="B520" s="4"/>
      <c r="C520" s="4"/>
      <c r="D520" s="4"/>
    </row>
    <row r="521" ht="14.25" customHeight="1">
      <c r="A521" s="4"/>
      <c r="B521" s="4"/>
      <c r="C521" s="4"/>
      <c r="D521" s="4"/>
    </row>
    <row r="522" ht="14.25" customHeight="1">
      <c r="A522" s="4"/>
      <c r="B522" s="4"/>
      <c r="C522" s="4"/>
      <c r="D522" s="4"/>
    </row>
    <row r="523" ht="14.25" customHeight="1">
      <c r="A523" s="4"/>
      <c r="B523" s="4"/>
      <c r="C523" s="4"/>
      <c r="D523" s="4"/>
    </row>
    <row r="524" ht="14.25" customHeight="1">
      <c r="A524" s="4"/>
      <c r="B524" s="4"/>
      <c r="C524" s="4"/>
      <c r="D524" s="4"/>
    </row>
    <row r="525" ht="14.25" customHeight="1">
      <c r="A525" s="4"/>
      <c r="B525" s="4"/>
      <c r="C525" s="4"/>
      <c r="D525" s="4"/>
    </row>
    <row r="526" ht="14.25" customHeight="1">
      <c r="A526" s="4"/>
      <c r="B526" s="4"/>
      <c r="C526" s="4"/>
      <c r="D526" s="4"/>
    </row>
    <row r="527" ht="14.25" customHeight="1">
      <c r="A527" s="4"/>
      <c r="B527" s="4"/>
      <c r="C527" s="4"/>
      <c r="D527" s="4"/>
    </row>
    <row r="528" ht="14.25" customHeight="1">
      <c r="A528" s="4"/>
      <c r="B528" s="4"/>
      <c r="C528" s="4"/>
      <c r="D528" s="4"/>
    </row>
    <row r="529" ht="14.25" customHeight="1">
      <c r="A529" s="4"/>
      <c r="B529" s="4"/>
      <c r="C529" s="4"/>
      <c r="D529" s="4"/>
    </row>
    <row r="530" ht="14.25" customHeight="1">
      <c r="A530" s="4"/>
      <c r="B530" s="4"/>
      <c r="C530" s="4"/>
      <c r="D530" s="4"/>
    </row>
    <row r="531" ht="14.25" customHeight="1">
      <c r="A531" s="4"/>
      <c r="B531" s="4"/>
      <c r="C531" s="4"/>
      <c r="D531" s="4"/>
    </row>
    <row r="532" ht="14.25" customHeight="1">
      <c r="A532" s="4"/>
      <c r="B532" s="4"/>
      <c r="C532" s="4"/>
      <c r="D532" s="4"/>
    </row>
    <row r="533" ht="14.25" customHeight="1">
      <c r="A533" s="4"/>
      <c r="B533" s="4"/>
      <c r="C533" s="4"/>
      <c r="D533" s="4"/>
    </row>
    <row r="534" ht="14.25" customHeight="1">
      <c r="A534" s="4"/>
      <c r="B534" s="4"/>
      <c r="C534" s="4"/>
      <c r="D534" s="4"/>
    </row>
    <row r="535" ht="14.25" customHeight="1">
      <c r="A535" s="4"/>
      <c r="B535" s="4"/>
      <c r="C535" s="4"/>
      <c r="D535" s="4"/>
    </row>
    <row r="536" ht="14.25" customHeight="1">
      <c r="A536" s="4"/>
      <c r="B536" s="4"/>
      <c r="C536" s="4"/>
      <c r="D536" s="4"/>
    </row>
    <row r="537" ht="14.25" customHeight="1">
      <c r="A537" s="4"/>
      <c r="B537" s="4"/>
      <c r="C537" s="4"/>
      <c r="D537" s="4"/>
    </row>
    <row r="538" ht="14.25" customHeight="1">
      <c r="A538" s="4"/>
      <c r="B538" s="4"/>
      <c r="C538" s="4"/>
      <c r="D538" s="4"/>
    </row>
    <row r="539" ht="14.25" customHeight="1">
      <c r="A539" s="4"/>
      <c r="B539" s="4"/>
      <c r="C539" s="4"/>
      <c r="D539" s="4"/>
    </row>
    <row r="540" ht="14.25" customHeight="1">
      <c r="A540" s="4"/>
      <c r="B540" s="4"/>
      <c r="C540" s="4"/>
      <c r="D540" s="4"/>
    </row>
    <row r="541" ht="14.25" customHeight="1">
      <c r="A541" s="4"/>
      <c r="B541" s="4"/>
      <c r="C541" s="4"/>
      <c r="D541" s="4"/>
    </row>
    <row r="542" ht="14.25" customHeight="1">
      <c r="A542" s="4"/>
      <c r="B542" s="4"/>
      <c r="C542" s="4"/>
      <c r="D542" s="4"/>
    </row>
    <row r="543" ht="14.25" customHeight="1">
      <c r="A543" s="4"/>
      <c r="B543" s="4"/>
      <c r="C543" s="4"/>
      <c r="D543" s="4"/>
    </row>
    <row r="544" ht="14.25" customHeight="1">
      <c r="A544" s="4"/>
      <c r="B544" s="4"/>
      <c r="C544" s="4"/>
      <c r="D544" s="4"/>
    </row>
    <row r="545" ht="14.25" customHeight="1">
      <c r="A545" s="4"/>
      <c r="B545" s="4"/>
      <c r="C545" s="4"/>
      <c r="D545" s="4"/>
    </row>
    <row r="546" ht="14.25" customHeight="1">
      <c r="A546" s="4"/>
      <c r="B546" s="4"/>
      <c r="C546" s="4"/>
      <c r="D546" s="4"/>
    </row>
    <row r="547" ht="14.25" customHeight="1">
      <c r="A547" s="4"/>
      <c r="B547" s="4"/>
      <c r="C547" s="4"/>
      <c r="D547" s="4"/>
    </row>
    <row r="548" ht="14.25" customHeight="1">
      <c r="A548" s="4"/>
      <c r="B548" s="4"/>
      <c r="C548" s="4"/>
      <c r="D548" s="4"/>
    </row>
    <row r="549" ht="14.25" customHeight="1">
      <c r="A549" s="4"/>
      <c r="B549" s="4"/>
      <c r="C549" s="4"/>
      <c r="D549" s="4"/>
    </row>
    <row r="550" ht="14.25" customHeight="1">
      <c r="A550" s="4"/>
      <c r="B550" s="4"/>
      <c r="C550" s="4"/>
      <c r="D550" s="4"/>
    </row>
    <row r="551" ht="14.25" customHeight="1">
      <c r="A551" s="4"/>
      <c r="B551" s="4"/>
      <c r="C551" s="4"/>
      <c r="D551" s="4"/>
    </row>
    <row r="552" ht="14.25" customHeight="1">
      <c r="A552" s="4"/>
      <c r="B552" s="4"/>
      <c r="C552" s="4"/>
      <c r="D552" s="4"/>
    </row>
    <row r="553" ht="14.25" customHeight="1">
      <c r="A553" s="4"/>
      <c r="B553" s="4"/>
      <c r="C553" s="4"/>
      <c r="D553" s="4"/>
    </row>
    <row r="554" ht="14.25" customHeight="1">
      <c r="A554" s="4"/>
      <c r="B554" s="4"/>
      <c r="C554" s="4"/>
      <c r="D554" s="4"/>
    </row>
    <row r="555" ht="14.25" customHeight="1">
      <c r="A555" s="4"/>
      <c r="B555" s="4"/>
      <c r="C555" s="4"/>
      <c r="D555" s="4"/>
    </row>
    <row r="556" ht="14.25" customHeight="1">
      <c r="A556" s="4"/>
      <c r="B556" s="4"/>
      <c r="C556" s="4"/>
      <c r="D556" s="4"/>
    </row>
    <row r="557" ht="14.25" customHeight="1">
      <c r="A557" s="4"/>
      <c r="B557" s="4"/>
      <c r="C557" s="4"/>
      <c r="D557" s="4"/>
    </row>
    <row r="558" ht="14.25" customHeight="1">
      <c r="A558" s="4"/>
      <c r="B558" s="4"/>
      <c r="C558" s="4"/>
      <c r="D558" s="4"/>
    </row>
    <row r="559" ht="14.25" customHeight="1">
      <c r="A559" s="4"/>
      <c r="B559" s="4"/>
      <c r="C559" s="4"/>
      <c r="D559" s="4"/>
    </row>
    <row r="560" ht="14.25" customHeight="1">
      <c r="A560" s="4"/>
      <c r="B560" s="4"/>
      <c r="C560" s="4"/>
      <c r="D560" s="4"/>
    </row>
    <row r="561" ht="14.25" customHeight="1">
      <c r="A561" s="4"/>
      <c r="B561" s="4"/>
      <c r="C561" s="4"/>
      <c r="D561" s="4"/>
    </row>
    <row r="562" ht="14.25" customHeight="1">
      <c r="A562" s="4"/>
      <c r="B562" s="4"/>
      <c r="C562" s="4"/>
      <c r="D562" s="4"/>
    </row>
    <row r="563" ht="14.25" customHeight="1">
      <c r="A563" s="4"/>
      <c r="B563" s="4"/>
      <c r="C563" s="4"/>
      <c r="D563" s="4"/>
    </row>
    <row r="564" ht="14.25" customHeight="1">
      <c r="A564" s="4"/>
      <c r="B564" s="4"/>
      <c r="C564" s="4"/>
      <c r="D564" s="4"/>
    </row>
    <row r="565" ht="14.25" customHeight="1">
      <c r="A565" s="4"/>
      <c r="B565" s="4"/>
      <c r="C565" s="4"/>
      <c r="D565" s="4"/>
    </row>
    <row r="566" ht="14.25" customHeight="1">
      <c r="A566" s="4"/>
      <c r="B566" s="4"/>
      <c r="C566" s="4"/>
      <c r="D566" s="4"/>
    </row>
    <row r="567" ht="14.25" customHeight="1">
      <c r="A567" s="4"/>
      <c r="B567" s="4"/>
      <c r="C567" s="4"/>
      <c r="D567" s="4"/>
    </row>
    <row r="568" ht="14.25" customHeight="1">
      <c r="A568" s="4"/>
      <c r="B568" s="4"/>
      <c r="C568" s="4"/>
      <c r="D568" s="4"/>
    </row>
    <row r="569" ht="14.25" customHeight="1">
      <c r="A569" s="4"/>
      <c r="B569" s="4"/>
      <c r="C569" s="4"/>
      <c r="D569" s="4"/>
    </row>
    <row r="570" ht="14.25" customHeight="1">
      <c r="A570" s="4"/>
      <c r="B570" s="4"/>
      <c r="C570" s="4"/>
      <c r="D570" s="4"/>
    </row>
    <row r="571" ht="14.25" customHeight="1">
      <c r="A571" s="4"/>
      <c r="B571" s="4"/>
      <c r="C571" s="4"/>
      <c r="D571" s="4"/>
    </row>
    <row r="572" ht="14.25" customHeight="1">
      <c r="A572" s="4"/>
      <c r="B572" s="4"/>
      <c r="C572" s="4"/>
      <c r="D572" s="4"/>
    </row>
    <row r="573" ht="14.25" customHeight="1">
      <c r="A573" s="4"/>
      <c r="B573" s="4"/>
      <c r="C573" s="4"/>
      <c r="D573" s="4"/>
    </row>
    <row r="574" ht="14.25" customHeight="1">
      <c r="A574" s="4"/>
      <c r="B574" s="4"/>
      <c r="C574" s="4"/>
      <c r="D574" s="4"/>
    </row>
    <row r="575" ht="14.25" customHeight="1">
      <c r="A575" s="4"/>
      <c r="B575" s="4"/>
      <c r="C575" s="4"/>
      <c r="D575" s="4"/>
    </row>
    <row r="576" ht="14.25" customHeight="1">
      <c r="A576" s="4"/>
      <c r="B576" s="4"/>
      <c r="C576" s="4"/>
      <c r="D576" s="4"/>
    </row>
    <row r="577" ht="14.25" customHeight="1">
      <c r="A577" s="4"/>
      <c r="B577" s="4"/>
      <c r="C577" s="4"/>
      <c r="D577" s="4"/>
    </row>
    <row r="578" ht="14.25" customHeight="1">
      <c r="A578" s="4"/>
      <c r="B578" s="4"/>
      <c r="C578" s="4"/>
      <c r="D578" s="4"/>
    </row>
    <row r="579" ht="14.25" customHeight="1">
      <c r="A579" s="4"/>
      <c r="B579" s="4"/>
      <c r="C579" s="4"/>
      <c r="D579" s="4"/>
    </row>
    <row r="580" ht="14.25" customHeight="1">
      <c r="A580" s="4"/>
      <c r="B580" s="4"/>
      <c r="C580" s="4"/>
      <c r="D580" s="4"/>
    </row>
    <row r="581" ht="14.25" customHeight="1">
      <c r="A581" s="4"/>
      <c r="B581" s="4"/>
      <c r="C581" s="4"/>
      <c r="D581" s="4"/>
    </row>
    <row r="582" ht="14.25" customHeight="1">
      <c r="A582" s="4"/>
      <c r="B582" s="4"/>
      <c r="C582" s="4"/>
      <c r="D582" s="4"/>
    </row>
    <row r="583" ht="14.25" customHeight="1">
      <c r="A583" s="4"/>
      <c r="B583" s="4"/>
      <c r="C583" s="4"/>
      <c r="D583" s="4"/>
    </row>
    <row r="584" ht="14.25" customHeight="1">
      <c r="A584" s="4"/>
      <c r="B584" s="4"/>
      <c r="C584" s="4"/>
      <c r="D584" s="4"/>
    </row>
    <row r="585" ht="14.25" customHeight="1">
      <c r="A585" s="4"/>
      <c r="B585" s="4"/>
      <c r="C585" s="4"/>
      <c r="D585" s="4"/>
    </row>
    <row r="586" ht="14.25" customHeight="1">
      <c r="A586" s="4"/>
      <c r="B586" s="4"/>
      <c r="C586" s="4"/>
      <c r="D586" s="4"/>
    </row>
    <row r="587" ht="14.25" customHeight="1">
      <c r="A587" s="4"/>
      <c r="B587" s="4"/>
      <c r="C587" s="4"/>
      <c r="D587" s="4"/>
    </row>
    <row r="588" ht="14.25" customHeight="1">
      <c r="A588" s="4"/>
      <c r="B588" s="4"/>
      <c r="C588" s="4"/>
      <c r="D588" s="4"/>
    </row>
    <row r="589" ht="14.25" customHeight="1">
      <c r="A589" s="4"/>
      <c r="B589" s="4"/>
      <c r="C589" s="4"/>
      <c r="D589" s="4"/>
    </row>
    <row r="590" ht="14.25" customHeight="1">
      <c r="A590" s="4"/>
      <c r="B590" s="4"/>
      <c r="C590" s="4"/>
      <c r="D590" s="4"/>
    </row>
    <row r="591" ht="14.25" customHeight="1">
      <c r="A591" s="4"/>
      <c r="B591" s="4"/>
      <c r="C591" s="4"/>
      <c r="D591" s="4"/>
    </row>
    <row r="592" ht="14.25" customHeight="1">
      <c r="A592" s="4"/>
      <c r="B592" s="4"/>
      <c r="C592" s="4"/>
      <c r="D592" s="4"/>
    </row>
    <row r="593" ht="14.25" customHeight="1">
      <c r="A593" s="4"/>
      <c r="B593" s="4"/>
      <c r="C593" s="4"/>
      <c r="D593" s="4"/>
    </row>
    <row r="594" ht="14.25" customHeight="1">
      <c r="A594" s="4"/>
      <c r="B594" s="4"/>
      <c r="C594" s="4"/>
      <c r="D594" s="4"/>
    </row>
    <row r="595" ht="14.25" customHeight="1">
      <c r="A595" s="4"/>
      <c r="B595" s="4"/>
      <c r="C595" s="4"/>
      <c r="D595" s="4"/>
    </row>
    <row r="596" ht="14.25" customHeight="1">
      <c r="A596" s="4"/>
      <c r="B596" s="4"/>
      <c r="C596" s="4"/>
      <c r="D596" s="4"/>
    </row>
    <row r="597" ht="14.25" customHeight="1">
      <c r="A597" s="4"/>
      <c r="B597" s="4"/>
      <c r="C597" s="4"/>
      <c r="D597" s="4"/>
    </row>
    <row r="598" ht="14.25" customHeight="1">
      <c r="A598" s="4"/>
      <c r="B598" s="4"/>
      <c r="C598" s="4"/>
      <c r="D598" s="4"/>
    </row>
    <row r="599" ht="14.25" customHeight="1">
      <c r="A599" s="4"/>
      <c r="B599" s="4"/>
      <c r="C599" s="4"/>
      <c r="D599" s="4"/>
    </row>
    <row r="600" ht="14.25" customHeight="1">
      <c r="A600" s="4"/>
      <c r="B600" s="4"/>
      <c r="C600" s="4"/>
      <c r="D600" s="4"/>
    </row>
    <row r="601" ht="14.25" customHeight="1">
      <c r="A601" s="4"/>
      <c r="B601" s="4"/>
      <c r="C601" s="4"/>
      <c r="D601" s="4"/>
    </row>
    <row r="602" ht="14.25" customHeight="1">
      <c r="A602" s="4"/>
      <c r="B602" s="4"/>
      <c r="C602" s="4"/>
      <c r="D602" s="4"/>
    </row>
    <row r="603" ht="14.25" customHeight="1">
      <c r="A603" s="4"/>
      <c r="B603" s="4"/>
      <c r="C603" s="4"/>
      <c r="D603" s="4"/>
    </row>
    <row r="604" ht="14.25" customHeight="1">
      <c r="A604" s="4"/>
      <c r="B604" s="4"/>
      <c r="C604" s="4"/>
      <c r="D604" s="4"/>
    </row>
    <row r="605" ht="14.25" customHeight="1">
      <c r="A605" s="4"/>
      <c r="B605" s="4"/>
      <c r="C605" s="4"/>
      <c r="D605" s="4"/>
    </row>
    <row r="606" ht="14.25" customHeight="1">
      <c r="A606" s="4"/>
      <c r="B606" s="4"/>
      <c r="C606" s="4"/>
      <c r="D606" s="4"/>
    </row>
    <row r="607" ht="14.25" customHeight="1">
      <c r="A607" s="4"/>
      <c r="B607" s="4"/>
      <c r="C607" s="4"/>
      <c r="D607" s="4"/>
    </row>
    <row r="608" ht="14.25" customHeight="1">
      <c r="A608" s="4"/>
      <c r="B608" s="4"/>
      <c r="C608" s="4"/>
      <c r="D608" s="4"/>
    </row>
    <row r="609" ht="14.25" customHeight="1">
      <c r="A609" s="4"/>
      <c r="B609" s="4"/>
      <c r="C609" s="4"/>
      <c r="D609" s="4"/>
    </row>
    <row r="610" ht="14.25" customHeight="1">
      <c r="A610" s="4"/>
      <c r="B610" s="4"/>
      <c r="C610" s="4"/>
      <c r="D610" s="4"/>
    </row>
    <row r="611" ht="14.25" customHeight="1">
      <c r="A611" s="4"/>
      <c r="B611" s="4"/>
      <c r="C611" s="4"/>
      <c r="D611" s="4"/>
    </row>
    <row r="612" ht="14.25" customHeight="1">
      <c r="A612" s="4"/>
      <c r="B612" s="4"/>
      <c r="C612" s="4"/>
      <c r="D612" s="4"/>
    </row>
    <row r="613" ht="14.25" customHeight="1">
      <c r="A613" s="4"/>
      <c r="B613" s="4"/>
      <c r="C613" s="4"/>
      <c r="D613" s="4"/>
    </row>
    <row r="614" ht="14.25" customHeight="1">
      <c r="A614" s="4"/>
      <c r="B614" s="4"/>
      <c r="C614" s="4"/>
      <c r="D614" s="4"/>
    </row>
    <row r="615" ht="14.25" customHeight="1">
      <c r="A615" s="4"/>
      <c r="B615" s="4"/>
      <c r="C615" s="4"/>
      <c r="D615" s="4"/>
    </row>
    <row r="616" ht="14.25" customHeight="1">
      <c r="A616" s="4"/>
      <c r="B616" s="4"/>
      <c r="C616" s="4"/>
      <c r="D616" s="4"/>
    </row>
    <row r="617" ht="14.25" customHeight="1">
      <c r="A617" s="4"/>
      <c r="B617" s="4"/>
      <c r="C617" s="4"/>
      <c r="D617" s="4"/>
    </row>
    <row r="618" ht="14.25" customHeight="1">
      <c r="A618" s="4"/>
      <c r="B618" s="4"/>
      <c r="C618" s="4"/>
      <c r="D618" s="4"/>
    </row>
    <row r="619" ht="14.25" customHeight="1">
      <c r="A619" s="4"/>
      <c r="B619" s="4"/>
      <c r="C619" s="4"/>
      <c r="D619" s="4"/>
    </row>
    <row r="620" ht="14.25" customHeight="1">
      <c r="A620" s="4"/>
      <c r="B620" s="4"/>
      <c r="C620" s="4"/>
      <c r="D620" s="4"/>
    </row>
    <row r="621" ht="14.25" customHeight="1">
      <c r="A621" s="4"/>
      <c r="B621" s="4"/>
      <c r="C621" s="4"/>
      <c r="D621" s="4"/>
    </row>
    <row r="622" ht="14.25" customHeight="1">
      <c r="A622" s="4"/>
      <c r="B622" s="4"/>
      <c r="C622" s="4"/>
      <c r="D622" s="4"/>
    </row>
    <row r="623" ht="14.25" customHeight="1">
      <c r="A623" s="4"/>
      <c r="B623" s="4"/>
      <c r="C623" s="4"/>
      <c r="D623" s="4"/>
    </row>
    <row r="624" ht="14.25" customHeight="1">
      <c r="A624" s="4"/>
      <c r="B624" s="4"/>
      <c r="C624" s="4"/>
      <c r="D624" s="4"/>
    </row>
    <row r="625" ht="14.25" customHeight="1">
      <c r="A625" s="4"/>
      <c r="B625" s="4"/>
      <c r="C625" s="4"/>
      <c r="D625" s="4"/>
    </row>
    <row r="626" ht="14.25" customHeight="1">
      <c r="A626" s="4"/>
      <c r="B626" s="4"/>
      <c r="C626" s="4"/>
      <c r="D626" s="4"/>
    </row>
    <row r="627" ht="14.25" customHeight="1">
      <c r="A627" s="4"/>
      <c r="B627" s="4"/>
      <c r="C627" s="4"/>
      <c r="D627" s="4"/>
    </row>
    <row r="628" ht="14.25" customHeight="1">
      <c r="A628" s="4"/>
      <c r="B628" s="4"/>
      <c r="C628" s="4"/>
      <c r="D628" s="4"/>
    </row>
    <row r="629" ht="14.25" customHeight="1">
      <c r="A629" s="4"/>
      <c r="B629" s="4"/>
      <c r="C629" s="4"/>
      <c r="D629" s="4"/>
    </row>
    <row r="630" ht="14.25" customHeight="1">
      <c r="A630" s="4"/>
      <c r="B630" s="4"/>
      <c r="C630" s="4"/>
      <c r="D630" s="4"/>
    </row>
    <row r="631" ht="14.25" customHeight="1">
      <c r="A631" s="4"/>
      <c r="B631" s="4"/>
      <c r="C631" s="4"/>
      <c r="D631" s="4"/>
    </row>
    <row r="632" ht="14.25" customHeight="1">
      <c r="A632" s="4"/>
      <c r="B632" s="4"/>
      <c r="C632" s="4"/>
      <c r="D632" s="4"/>
    </row>
    <row r="633" ht="14.25" customHeight="1">
      <c r="A633" s="4"/>
      <c r="B633" s="4"/>
      <c r="C633" s="4"/>
      <c r="D633" s="4"/>
    </row>
    <row r="634" ht="14.25" customHeight="1">
      <c r="A634" s="4"/>
      <c r="B634" s="4"/>
      <c r="C634" s="4"/>
      <c r="D634" s="4"/>
    </row>
    <row r="635" ht="14.25" customHeight="1">
      <c r="A635" s="4"/>
      <c r="B635" s="4"/>
      <c r="C635" s="4"/>
      <c r="D635" s="4"/>
    </row>
    <row r="636" ht="14.25" customHeight="1">
      <c r="A636" s="4"/>
      <c r="B636" s="4"/>
      <c r="C636" s="4"/>
      <c r="D636" s="4"/>
    </row>
    <row r="637" ht="14.25" customHeight="1">
      <c r="A637" s="4"/>
      <c r="B637" s="4"/>
      <c r="C637" s="4"/>
      <c r="D637" s="4"/>
    </row>
    <row r="638" ht="14.25" customHeight="1">
      <c r="A638" s="4"/>
      <c r="B638" s="4"/>
      <c r="C638" s="4"/>
      <c r="D638" s="4"/>
    </row>
    <row r="639" ht="14.25" customHeight="1">
      <c r="A639" s="4"/>
      <c r="B639" s="4"/>
      <c r="C639" s="4"/>
      <c r="D639" s="4"/>
    </row>
    <row r="640" ht="14.25" customHeight="1">
      <c r="A640" s="4"/>
      <c r="B640" s="4"/>
      <c r="C640" s="4"/>
      <c r="D640" s="4"/>
    </row>
    <row r="641" ht="14.25" customHeight="1">
      <c r="A641" s="4"/>
      <c r="B641" s="4"/>
      <c r="C641" s="4"/>
      <c r="D641" s="4"/>
    </row>
    <row r="642" ht="14.25" customHeight="1">
      <c r="A642" s="4"/>
      <c r="B642" s="4"/>
      <c r="C642" s="4"/>
      <c r="D642" s="4"/>
    </row>
    <row r="643" ht="14.25" customHeight="1">
      <c r="A643" s="4"/>
      <c r="B643" s="4"/>
      <c r="C643" s="4"/>
      <c r="D643" s="4"/>
    </row>
    <row r="644" ht="14.25" customHeight="1">
      <c r="A644" s="4"/>
      <c r="B644" s="4"/>
      <c r="C644" s="4"/>
      <c r="D644" s="4"/>
    </row>
    <row r="645" ht="14.25" customHeight="1">
      <c r="A645" s="4"/>
      <c r="B645" s="4"/>
      <c r="C645" s="4"/>
      <c r="D645" s="4"/>
    </row>
    <row r="646" ht="14.25" customHeight="1">
      <c r="A646" s="4"/>
      <c r="B646" s="4"/>
      <c r="C646" s="4"/>
      <c r="D646" s="4"/>
    </row>
    <row r="647" ht="14.25" customHeight="1">
      <c r="A647" s="4"/>
      <c r="B647" s="4"/>
      <c r="C647" s="4"/>
      <c r="D647" s="4"/>
    </row>
    <row r="648" ht="14.25" customHeight="1">
      <c r="A648" s="4"/>
      <c r="B648" s="4"/>
      <c r="C648" s="4"/>
      <c r="D648" s="4"/>
    </row>
    <row r="649" ht="14.25" customHeight="1">
      <c r="A649" s="4"/>
      <c r="B649" s="4"/>
      <c r="C649" s="4"/>
      <c r="D649" s="4"/>
    </row>
    <row r="650" ht="14.25" customHeight="1">
      <c r="A650" s="4"/>
      <c r="B650" s="4"/>
      <c r="C650" s="4"/>
      <c r="D650" s="4"/>
    </row>
    <row r="651" ht="14.25" customHeight="1">
      <c r="A651" s="4"/>
      <c r="B651" s="4"/>
      <c r="C651" s="4"/>
      <c r="D651" s="4"/>
    </row>
    <row r="652" ht="14.25" customHeight="1">
      <c r="A652" s="4"/>
      <c r="B652" s="4"/>
      <c r="C652" s="4"/>
      <c r="D652" s="4"/>
    </row>
    <row r="653" ht="14.25" customHeight="1">
      <c r="A653" s="4"/>
      <c r="B653" s="4"/>
      <c r="C653" s="4"/>
      <c r="D653" s="4"/>
    </row>
    <row r="654" ht="14.25" customHeight="1">
      <c r="A654" s="4"/>
      <c r="B654" s="4"/>
      <c r="C654" s="4"/>
      <c r="D654" s="4"/>
    </row>
    <row r="655" ht="14.25" customHeight="1">
      <c r="A655" s="4"/>
      <c r="B655" s="4"/>
      <c r="C655" s="4"/>
      <c r="D655" s="4"/>
    </row>
    <row r="656" ht="14.25" customHeight="1">
      <c r="A656" s="4"/>
      <c r="B656" s="4"/>
      <c r="C656" s="4"/>
      <c r="D656" s="4"/>
    </row>
    <row r="657" ht="14.25" customHeight="1">
      <c r="A657" s="4"/>
      <c r="B657" s="4"/>
      <c r="C657" s="4"/>
      <c r="D657" s="4"/>
    </row>
    <row r="658" ht="14.25" customHeight="1">
      <c r="A658" s="4"/>
      <c r="B658" s="4"/>
      <c r="C658" s="4"/>
      <c r="D658" s="4"/>
    </row>
    <row r="659" ht="14.25" customHeight="1">
      <c r="A659" s="4"/>
      <c r="B659" s="4"/>
      <c r="C659" s="4"/>
      <c r="D659" s="4"/>
    </row>
    <row r="660" ht="14.25" customHeight="1">
      <c r="A660" s="4"/>
      <c r="B660" s="4"/>
      <c r="C660" s="4"/>
      <c r="D660" s="4"/>
    </row>
    <row r="661" ht="14.25" customHeight="1">
      <c r="A661" s="4"/>
      <c r="B661" s="4"/>
      <c r="C661" s="4"/>
      <c r="D661" s="4"/>
    </row>
    <row r="662" ht="14.25" customHeight="1">
      <c r="A662" s="4"/>
      <c r="B662" s="4"/>
      <c r="C662" s="4"/>
      <c r="D662" s="4"/>
    </row>
    <row r="663" ht="14.25" customHeight="1">
      <c r="A663" s="4"/>
      <c r="B663" s="4"/>
      <c r="C663" s="4"/>
      <c r="D663" s="4"/>
    </row>
    <row r="664" ht="14.25" customHeight="1">
      <c r="A664" s="4"/>
      <c r="B664" s="4"/>
      <c r="C664" s="4"/>
      <c r="D664" s="4"/>
    </row>
    <row r="665" ht="14.25" customHeight="1">
      <c r="A665" s="4"/>
      <c r="B665" s="4"/>
      <c r="C665" s="4"/>
      <c r="D665" s="4"/>
    </row>
    <row r="666" ht="14.25" customHeight="1">
      <c r="A666" s="4"/>
      <c r="B666" s="4"/>
      <c r="C666" s="4"/>
      <c r="D666" s="4"/>
    </row>
    <row r="667" ht="14.25" customHeight="1">
      <c r="A667" s="4"/>
      <c r="B667" s="4"/>
      <c r="C667" s="4"/>
      <c r="D667" s="4"/>
    </row>
    <row r="668" ht="14.25" customHeight="1">
      <c r="A668" s="4"/>
      <c r="B668" s="4"/>
      <c r="C668" s="4"/>
      <c r="D668" s="4"/>
    </row>
    <row r="669" ht="14.25" customHeight="1">
      <c r="A669" s="4"/>
      <c r="B669" s="4"/>
      <c r="C669" s="4"/>
      <c r="D669" s="4"/>
    </row>
    <row r="670" ht="14.25" customHeight="1">
      <c r="A670" s="4"/>
      <c r="B670" s="4"/>
      <c r="C670" s="4"/>
      <c r="D670" s="4"/>
    </row>
    <row r="671" ht="14.25" customHeight="1">
      <c r="A671" s="4"/>
      <c r="B671" s="4"/>
      <c r="C671" s="4"/>
      <c r="D671" s="4"/>
    </row>
    <row r="672" ht="14.25" customHeight="1">
      <c r="A672" s="4"/>
      <c r="B672" s="4"/>
      <c r="C672" s="4"/>
      <c r="D672" s="4"/>
    </row>
    <row r="673" ht="14.25" customHeight="1">
      <c r="A673" s="4"/>
      <c r="B673" s="4"/>
      <c r="C673" s="4"/>
      <c r="D673" s="4"/>
    </row>
    <row r="674" ht="14.25" customHeight="1">
      <c r="A674" s="4"/>
      <c r="B674" s="4"/>
      <c r="C674" s="4"/>
      <c r="D674" s="4"/>
    </row>
    <row r="675" ht="14.25" customHeight="1">
      <c r="A675" s="4"/>
      <c r="B675" s="4"/>
      <c r="C675" s="4"/>
      <c r="D675" s="4"/>
    </row>
    <row r="676" ht="14.25" customHeight="1">
      <c r="A676" s="4"/>
      <c r="B676" s="4"/>
      <c r="C676" s="4"/>
      <c r="D676" s="4"/>
    </row>
    <row r="677" ht="14.25" customHeight="1">
      <c r="A677" s="4"/>
      <c r="B677" s="4"/>
      <c r="C677" s="4"/>
      <c r="D677" s="4"/>
    </row>
    <row r="678" ht="14.25" customHeight="1">
      <c r="A678" s="4"/>
      <c r="B678" s="4"/>
      <c r="C678" s="4"/>
      <c r="D678" s="4"/>
    </row>
    <row r="679" ht="14.25" customHeight="1">
      <c r="A679" s="4"/>
      <c r="B679" s="4"/>
      <c r="C679" s="4"/>
      <c r="D679" s="4"/>
    </row>
    <row r="680" ht="14.25" customHeight="1">
      <c r="A680" s="4"/>
      <c r="B680" s="4"/>
      <c r="C680" s="4"/>
      <c r="D680" s="4"/>
    </row>
    <row r="681" ht="14.25" customHeight="1">
      <c r="A681" s="4"/>
      <c r="B681" s="4"/>
      <c r="C681" s="4"/>
      <c r="D681" s="4"/>
    </row>
    <row r="682" ht="14.25" customHeight="1">
      <c r="A682" s="4"/>
      <c r="B682" s="4"/>
      <c r="C682" s="4"/>
      <c r="D682" s="4"/>
    </row>
    <row r="683" ht="14.25" customHeight="1">
      <c r="A683" s="4"/>
      <c r="B683" s="4"/>
      <c r="C683" s="4"/>
      <c r="D683" s="4"/>
    </row>
    <row r="684" ht="14.25" customHeight="1">
      <c r="A684" s="4"/>
      <c r="B684" s="4"/>
      <c r="C684" s="4"/>
      <c r="D684" s="4"/>
    </row>
    <row r="685" ht="14.25" customHeight="1">
      <c r="A685" s="4"/>
      <c r="B685" s="4"/>
      <c r="C685" s="4"/>
      <c r="D685" s="4"/>
    </row>
    <row r="686" ht="14.25" customHeight="1">
      <c r="A686" s="4"/>
      <c r="B686" s="4"/>
      <c r="C686" s="4"/>
      <c r="D686" s="4"/>
    </row>
    <row r="687" ht="14.25" customHeight="1">
      <c r="A687" s="4"/>
      <c r="B687" s="4"/>
      <c r="C687" s="4"/>
      <c r="D687" s="4"/>
    </row>
    <row r="688" ht="14.25" customHeight="1">
      <c r="A688" s="4"/>
      <c r="B688" s="4"/>
      <c r="C688" s="4"/>
      <c r="D688" s="4"/>
    </row>
    <row r="689" ht="14.25" customHeight="1">
      <c r="A689" s="4"/>
      <c r="B689" s="4"/>
      <c r="C689" s="4"/>
      <c r="D689" s="4"/>
    </row>
    <row r="690" ht="14.25" customHeight="1">
      <c r="A690" s="4"/>
      <c r="B690" s="4"/>
      <c r="C690" s="4"/>
      <c r="D690" s="4"/>
    </row>
    <row r="691" ht="14.25" customHeight="1">
      <c r="A691" s="4"/>
      <c r="B691" s="4"/>
      <c r="C691" s="4"/>
      <c r="D691" s="4"/>
    </row>
    <row r="692" ht="14.25" customHeight="1">
      <c r="A692" s="4"/>
      <c r="B692" s="4"/>
      <c r="C692" s="4"/>
      <c r="D692" s="4"/>
    </row>
    <row r="693" ht="14.25" customHeight="1">
      <c r="A693" s="4"/>
      <c r="B693" s="4"/>
      <c r="C693" s="4"/>
      <c r="D693" s="4"/>
    </row>
    <row r="694" ht="14.25" customHeight="1">
      <c r="A694" s="4"/>
      <c r="B694" s="4"/>
      <c r="C694" s="4"/>
      <c r="D694" s="4"/>
    </row>
    <row r="695" ht="14.25" customHeight="1">
      <c r="A695" s="4"/>
      <c r="B695" s="4"/>
      <c r="C695" s="4"/>
      <c r="D695" s="4"/>
    </row>
    <row r="696" ht="14.25" customHeight="1">
      <c r="A696" s="4"/>
      <c r="B696" s="4"/>
      <c r="C696" s="4"/>
      <c r="D696" s="4"/>
    </row>
    <row r="697" ht="14.25" customHeight="1">
      <c r="A697" s="4"/>
      <c r="B697" s="4"/>
      <c r="C697" s="4"/>
      <c r="D697" s="4"/>
    </row>
    <row r="698" ht="14.25" customHeight="1">
      <c r="A698" s="4"/>
      <c r="B698" s="4"/>
      <c r="C698" s="4"/>
      <c r="D698" s="4"/>
    </row>
    <row r="699" ht="14.25" customHeight="1">
      <c r="A699" s="4"/>
      <c r="B699" s="4"/>
      <c r="C699" s="4"/>
      <c r="D699" s="4"/>
    </row>
    <row r="700" ht="14.25" customHeight="1">
      <c r="A700" s="4"/>
      <c r="B700" s="4"/>
      <c r="C700" s="4"/>
      <c r="D700" s="4"/>
    </row>
    <row r="701" ht="14.25" customHeight="1">
      <c r="A701" s="4"/>
      <c r="B701" s="4"/>
      <c r="C701" s="4"/>
      <c r="D701" s="4"/>
    </row>
    <row r="702" ht="14.25" customHeight="1">
      <c r="A702" s="4"/>
      <c r="B702" s="4"/>
      <c r="C702" s="4"/>
      <c r="D702" s="4"/>
    </row>
    <row r="703" ht="14.25" customHeight="1">
      <c r="A703" s="4"/>
      <c r="B703" s="4"/>
      <c r="C703" s="4"/>
      <c r="D703" s="4"/>
    </row>
    <row r="704" ht="14.25" customHeight="1">
      <c r="A704" s="4"/>
      <c r="B704" s="4"/>
      <c r="C704" s="4"/>
      <c r="D704" s="4"/>
    </row>
    <row r="705" ht="14.25" customHeight="1">
      <c r="A705" s="4"/>
      <c r="B705" s="4"/>
      <c r="C705" s="4"/>
      <c r="D705" s="4"/>
    </row>
    <row r="706" ht="14.25" customHeight="1">
      <c r="A706" s="4"/>
      <c r="B706" s="4"/>
      <c r="C706" s="4"/>
      <c r="D706" s="4"/>
    </row>
    <row r="707" ht="14.25" customHeight="1">
      <c r="A707" s="4"/>
      <c r="B707" s="4"/>
      <c r="C707" s="4"/>
      <c r="D707" s="4"/>
    </row>
    <row r="708" ht="14.25" customHeight="1">
      <c r="A708" s="4"/>
      <c r="B708" s="4"/>
      <c r="C708" s="4"/>
      <c r="D708" s="4"/>
    </row>
    <row r="709" ht="14.25" customHeight="1">
      <c r="A709" s="4"/>
      <c r="B709" s="4"/>
      <c r="C709" s="4"/>
      <c r="D709" s="4"/>
    </row>
    <row r="710" ht="14.25" customHeight="1">
      <c r="A710" s="4"/>
      <c r="B710" s="4"/>
      <c r="C710" s="4"/>
      <c r="D710" s="4"/>
    </row>
    <row r="711" ht="14.25" customHeight="1">
      <c r="A711" s="4"/>
      <c r="B711" s="4"/>
      <c r="C711" s="4"/>
      <c r="D711" s="4"/>
    </row>
    <row r="712" ht="14.25" customHeight="1">
      <c r="A712" s="4"/>
      <c r="B712" s="4"/>
      <c r="C712" s="4"/>
      <c r="D712" s="4"/>
    </row>
    <row r="713" ht="14.25" customHeight="1">
      <c r="A713" s="4"/>
      <c r="B713" s="4"/>
      <c r="C713" s="4"/>
      <c r="D713" s="4"/>
    </row>
    <row r="714" ht="14.25" customHeight="1">
      <c r="A714" s="4"/>
      <c r="B714" s="4"/>
      <c r="C714" s="4"/>
      <c r="D714" s="4"/>
    </row>
    <row r="715" ht="14.25" customHeight="1">
      <c r="A715" s="4"/>
      <c r="B715" s="4"/>
      <c r="C715" s="4"/>
      <c r="D715" s="4"/>
    </row>
    <row r="716" ht="14.25" customHeight="1">
      <c r="A716" s="4"/>
      <c r="B716" s="4"/>
      <c r="C716" s="4"/>
      <c r="D716" s="4"/>
    </row>
    <row r="717" ht="14.25" customHeight="1">
      <c r="A717" s="4"/>
      <c r="B717" s="4"/>
      <c r="C717" s="4"/>
      <c r="D717" s="4"/>
    </row>
    <row r="718" ht="14.25" customHeight="1">
      <c r="A718" s="4"/>
      <c r="B718" s="4"/>
      <c r="C718" s="4"/>
      <c r="D718" s="4"/>
    </row>
    <row r="719" ht="14.25" customHeight="1">
      <c r="A719" s="4"/>
      <c r="B719" s="4"/>
      <c r="C719" s="4"/>
      <c r="D719" s="4"/>
    </row>
    <row r="720" ht="14.25" customHeight="1">
      <c r="A720" s="4"/>
      <c r="B720" s="4"/>
      <c r="C720" s="4"/>
      <c r="D720" s="4"/>
    </row>
    <row r="721" ht="14.25" customHeight="1">
      <c r="A721" s="4"/>
      <c r="B721" s="4"/>
      <c r="C721" s="4"/>
      <c r="D721" s="4"/>
    </row>
    <row r="722" ht="14.25" customHeight="1">
      <c r="A722" s="4"/>
      <c r="B722" s="4"/>
      <c r="C722" s="4"/>
      <c r="D722" s="4"/>
    </row>
    <row r="723" ht="14.25" customHeight="1">
      <c r="A723" s="4"/>
      <c r="B723" s="4"/>
      <c r="C723" s="4"/>
      <c r="D723" s="4"/>
    </row>
    <row r="724" ht="14.25" customHeight="1">
      <c r="A724" s="4"/>
      <c r="B724" s="4"/>
      <c r="C724" s="4"/>
      <c r="D724" s="4"/>
    </row>
    <row r="725" ht="14.25" customHeight="1">
      <c r="A725" s="4"/>
      <c r="B725" s="4"/>
      <c r="C725" s="4"/>
      <c r="D725" s="4"/>
    </row>
    <row r="726" ht="14.25" customHeight="1">
      <c r="A726" s="4"/>
      <c r="B726" s="4"/>
      <c r="C726" s="4"/>
      <c r="D726" s="4"/>
    </row>
    <row r="727" ht="14.25" customHeight="1">
      <c r="A727" s="4"/>
      <c r="B727" s="4"/>
      <c r="C727" s="4"/>
      <c r="D727" s="4"/>
    </row>
    <row r="728" ht="14.25" customHeight="1">
      <c r="A728" s="4"/>
      <c r="B728" s="4"/>
      <c r="C728" s="4"/>
      <c r="D728" s="4"/>
    </row>
    <row r="729" ht="14.25" customHeight="1">
      <c r="A729" s="4"/>
      <c r="B729" s="4"/>
      <c r="C729" s="4"/>
      <c r="D729" s="4"/>
    </row>
    <row r="730" ht="14.25" customHeight="1">
      <c r="A730" s="4"/>
      <c r="B730" s="4"/>
      <c r="C730" s="4"/>
      <c r="D730" s="4"/>
    </row>
    <row r="731" ht="14.25" customHeight="1">
      <c r="A731" s="4"/>
      <c r="B731" s="4"/>
      <c r="C731" s="4"/>
      <c r="D731" s="4"/>
    </row>
    <row r="732" ht="14.25" customHeight="1">
      <c r="A732" s="4"/>
      <c r="B732" s="4"/>
      <c r="C732" s="4"/>
      <c r="D732" s="4"/>
    </row>
    <row r="733" ht="14.25" customHeight="1">
      <c r="A733" s="4"/>
      <c r="B733" s="4"/>
      <c r="C733" s="4"/>
      <c r="D733" s="4"/>
    </row>
    <row r="734" ht="14.25" customHeight="1">
      <c r="A734" s="4"/>
      <c r="B734" s="4"/>
      <c r="C734" s="4"/>
      <c r="D734" s="4"/>
    </row>
    <row r="735" ht="14.25" customHeight="1">
      <c r="A735" s="4"/>
      <c r="B735" s="4"/>
      <c r="C735" s="4"/>
      <c r="D735" s="4"/>
    </row>
    <row r="736" ht="14.25" customHeight="1">
      <c r="A736" s="4"/>
      <c r="B736" s="4"/>
      <c r="C736" s="4"/>
      <c r="D736" s="4"/>
    </row>
    <row r="737" ht="14.25" customHeight="1">
      <c r="A737" s="4"/>
      <c r="B737" s="4"/>
      <c r="C737" s="4"/>
      <c r="D737" s="4"/>
    </row>
    <row r="738" ht="14.25" customHeight="1">
      <c r="A738" s="4"/>
      <c r="B738" s="4"/>
      <c r="C738" s="4"/>
      <c r="D738" s="4"/>
    </row>
    <row r="739" ht="14.25" customHeight="1">
      <c r="A739" s="4"/>
      <c r="B739" s="4"/>
      <c r="C739" s="4"/>
      <c r="D739" s="4"/>
    </row>
    <row r="740" ht="14.25" customHeight="1">
      <c r="A740" s="4"/>
      <c r="B740" s="4"/>
      <c r="C740" s="4"/>
      <c r="D740" s="4"/>
    </row>
    <row r="741" ht="14.25" customHeight="1">
      <c r="A741" s="4"/>
      <c r="B741" s="4"/>
      <c r="C741" s="4"/>
      <c r="D741" s="4"/>
    </row>
    <row r="742" ht="14.25" customHeight="1">
      <c r="A742" s="4"/>
      <c r="B742" s="4"/>
      <c r="C742" s="4"/>
      <c r="D742" s="4"/>
    </row>
    <row r="743" ht="14.25" customHeight="1">
      <c r="A743" s="4"/>
      <c r="B743" s="4"/>
      <c r="C743" s="4"/>
      <c r="D743" s="4"/>
    </row>
    <row r="744" ht="14.25" customHeight="1">
      <c r="A744" s="4"/>
      <c r="B744" s="4"/>
      <c r="C744" s="4"/>
      <c r="D744" s="4"/>
    </row>
    <row r="745" ht="14.25" customHeight="1">
      <c r="A745" s="4"/>
      <c r="B745" s="4"/>
      <c r="C745" s="4"/>
      <c r="D745" s="4"/>
    </row>
    <row r="746" ht="14.25" customHeight="1">
      <c r="A746" s="4"/>
      <c r="B746" s="4"/>
      <c r="C746" s="4"/>
      <c r="D746" s="4"/>
    </row>
    <row r="747" ht="14.25" customHeight="1">
      <c r="A747" s="4"/>
      <c r="B747" s="4"/>
      <c r="C747" s="4"/>
      <c r="D747" s="4"/>
    </row>
    <row r="748" ht="14.25" customHeight="1">
      <c r="A748" s="4"/>
      <c r="B748" s="4"/>
      <c r="C748" s="4"/>
      <c r="D748" s="4"/>
    </row>
    <row r="749" ht="14.25" customHeight="1">
      <c r="A749" s="4"/>
      <c r="B749" s="4"/>
      <c r="C749" s="4"/>
      <c r="D749" s="4"/>
    </row>
    <row r="750" ht="14.25" customHeight="1">
      <c r="A750" s="4"/>
      <c r="B750" s="4"/>
      <c r="C750" s="4"/>
      <c r="D750" s="4"/>
    </row>
    <row r="751" ht="14.25" customHeight="1">
      <c r="A751" s="4"/>
      <c r="B751" s="4"/>
      <c r="C751" s="4"/>
      <c r="D751" s="4"/>
    </row>
    <row r="752" ht="14.25" customHeight="1">
      <c r="A752" s="4"/>
      <c r="B752" s="4"/>
      <c r="C752" s="4"/>
      <c r="D752" s="4"/>
    </row>
    <row r="753" ht="14.25" customHeight="1">
      <c r="A753" s="4"/>
      <c r="B753" s="4"/>
      <c r="C753" s="4"/>
      <c r="D753" s="4"/>
    </row>
    <row r="754" ht="14.25" customHeight="1">
      <c r="A754" s="4"/>
      <c r="B754" s="4"/>
      <c r="C754" s="4"/>
      <c r="D754" s="4"/>
    </row>
    <row r="755" ht="14.25" customHeight="1">
      <c r="A755" s="4"/>
      <c r="B755" s="4"/>
      <c r="C755" s="4"/>
      <c r="D755" s="4"/>
    </row>
    <row r="756" ht="14.25" customHeight="1">
      <c r="A756" s="4"/>
      <c r="B756" s="4"/>
      <c r="C756" s="4"/>
      <c r="D756" s="4"/>
    </row>
    <row r="757" ht="14.25" customHeight="1">
      <c r="A757" s="4"/>
      <c r="B757" s="4"/>
      <c r="C757" s="4"/>
      <c r="D757" s="4"/>
    </row>
    <row r="758" ht="14.25" customHeight="1">
      <c r="A758" s="4"/>
      <c r="B758" s="4"/>
      <c r="C758" s="4"/>
      <c r="D758" s="4"/>
    </row>
    <row r="759" ht="14.25" customHeight="1">
      <c r="A759" s="4"/>
      <c r="B759" s="4"/>
      <c r="C759" s="4"/>
      <c r="D759" s="4"/>
    </row>
    <row r="760" ht="14.25" customHeight="1">
      <c r="A760" s="4"/>
      <c r="B760" s="4"/>
      <c r="C760" s="4"/>
      <c r="D760" s="4"/>
    </row>
    <row r="761" ht="14.25" customHeight="1">
      <c r="A761" s="4"/>
      <c r="B761" s="4"/>
      <c r="C761" s="4"/>
      <c r="D761" s="4"/>
    </row>
    <row r="762" ht="14.25" customHeight="1">
      <c r="A762" s="4"/>
      <c r="B762" s="4"/>
      <c r="C762" s="4"/>
      <c r="D762" s="4"/>
    </row>
    <row r="763" ht="14.25" customHeight="1">
      <c r="A763" s="4"/>
      <c r="B763" s="4"/>
      <c r="C763" s="4"/>
      <c r="D763" s="4"/>
    </row>
    <row r="764" ht="14.25" customHeight="1">
      <c r="A764" s="4"/>
      <c r="B764" s="4"/>
      <c r="C764" s="4"/>
      <c r="D764" s="4"/>
    </row>
    <row r="765" ht="14.25" customHeight="1">
      <c r="A765" s="4"/>
      <c r="B765" s="4"/>
      <c r="C765" s="4"/>
      <c r="D765" s="4"/>
    </row>
    <row r="766" ht="14.25" customHeight="1">
      <c r="A766" s="4"/>
      <c r="B766" s="4"/>
      <c r="C766" s="4"/>
      <c r="D766" s="4"/>
    </row>
    <row r="767" ht="14.25" customHeight="1">
      <c r="A767" s="4"/>
      <c r="B767" s="4"/>
      <c r="C767" s="4"/>
      <c r="D767" s="4"/>
    </row>
    <row r="768" ht="14.25" customHeight="1">
      <c r="A768" s="4"/>
      <c r="B768" s="4"/>
      <c r="C768" s="4"/>
      <c r="D768" s="4"/>
    </row>
    <row r="769" ht="14.25" customHeight="1">
      <c r="A769" s="4"/>
      <c r="B769" s="4"/>
      <c r="C769" s="4"/>
      <c r="D769" s="4"/>
    </row>
    <row r="770" ht="14.25" customHeight="1">
      <c r="A770" s="4"/>
      <c r="B770" s="4"/>
      <c r="C770" s="4"/>
      <c r="D770" s="4"/>
    </row>
    <row r="771" ht="14.25" customHeight="1">
      <c r="A771" s="4"/>
      <c r="B771" s="4"/>
      <c r="C771" s="4"/>
      <c r="D771" s="4"/>
    </row>
    <row r="772" ht="14.25" customHeight="1">
      <c r="A772" s="4"/>
      <c r="B772" s="4"/>
      <c r="C772" s="4"/>
      <c r="D772" s="4"/>
    </row>
    <row r="773" ht="14.25" customHeight="1">
      <c r="A773" s="4"/>
      <c r="B773" s="4"/>
      <c r="C773" s="4"/>
      <c r="D773" s="4"/>
    </row>
    <row r="774" ht="14.25" customHeight="1">
      <c r="A774" s="4"/>
      <c r="B774" s="4"/>
      <c r="C774" s="4"/>
      <c r="D774" s="4"/>
    </row>
    <row r="775" ht="14.25" customHeight="1">
      <c r="A775" s="4"/>
      <c r="B775" s="4"/>
      <c r="C775" s="4"/>
      <c r="D775" s="4"/>
    </row>
    <row r="776" ht="14.25" customHeight="1">
      <c r="A776" s="4"/>
      <c r="B776" s="4"/>
      <c r="C776" s="4"/>
      <c r="D776" s="4"/>
    </row>
    <row r="777" ht="14.25" customHeight="1">
      <c r="A777" s="4"/>
      <c r="B777" s="4"/>
      <c r="C777" s="4"/>
      <c r="D777" s="4"/>
    </row>
    <row r="778" ht="14.25" customHeight="1">
      <c r="A778" s="4"/>
      <c r="B778" s="4"/>
      <c r="C778" s="4"/>
      <c r="D778" s="4"/>
    </row>
    <row r="779" ht="14.25" customHeight="1">
      <c r="A779" s="4"/>
      <c r="B779" s="4"/>
      <c r="C779" s="4"/>
      <c r="D779" s="4"/>
    </row>
    <row r="780" ht="14.25" customHeight="1">
      <c r="A780" s="4"/>
      <c r="B780" s="4"/>
      <c r="C780" s="4"/>
      <c r="D780" s="4"/>
    </row>
    <row r="781" ht="14.25" customHeight="1">
      <c r="A781" s="4"/>
      <c r="B781" s="4"/>
      <c r="C781" s="4"/>
      <c r="D781" s="4"/>
    </row>
    <row r="782" ht="14.25" customHeight="1">
      <c r="A782" s="4"/>
      <c r="B782" s="4"/>
      <c r="C782" s="4"/>
      <c r="D782" s="4"/>
    </row>
    <row r="783" ht="14.25" customHeight="1">
      <c r="A783" s="4"/>
      <c r="B783" s="4"/>
      <c r="C783" s="4"/>
      <c r="D783" s="4"/>
    </row>
    <row r="784" ht="14.25" customHeight="1">
      <c r="A784" s="4"/>
      <c r="B784" s="4"/>
      <c r="C784" s="4"/>
      <c r="D784" s="4"/>
    </row>
    <row r="785" ht="14.25" customHeight="1">
      <c r="A785" s="4"/>
      <c r="B785" s="4"/>
      <c r="C785" s="4"/>
      <c r="D785" s="4"/>
    </row>
    <row r="786" ht="14.25" customHeight="1">
      <c r="A786" s="4"/>
      <c r="B786" s="4"/>
      <c r="C786" s="4"/>
      <c r="D786" s="4"/>
    </row>
    <row r="787" ht="14.25" customHeight="1">
      <c r="A787" s="4"/>
      <c r="B787" s="4"/>
      <c r="C787" s="4"/>
      <c r="D787" s="4"/>
    </row>
    <row r="788" ht="14.25" customHeight="1">
      <c r="A788" s="4"/>
      <c r="B788" s="4"/>
      <c r="C788" s="4"/>
      <c r="D788" s="4"/>
    </row>
    <row r="789" ht="14.25" customHeight="1">
      <c r="A789" s="4"/>
      <c r="B789" s="4"/>
      <c r="C789" s="4"/>
      <c r="D789" s="4"/>
    </row>
    <row r="790" ht="14.25" customHeight="1">
      <c r="A790" s="4"/>
      <c r="B790" s="4"/>
      <c r="C790" s="4"/>
      <c r="D790" s="4"/>
    </row>
    <row r="791" ht="14.25" customHeight="1">
      <c r="A791" s="4"/>
      <c r="B791" s="4"/>
      <c r="C791" s="4"/>
      <c r="D791" s="4"/>
    </row>
    <row r="792" ht="14.25" customHeight="1">
      <c r="A792" s="4"/>
      <c r="B792" s="4"/>
      <c r="C792" s="4"/>
      <c r="D792" s="4"/>
    </row>
    <row r="793" ht="14.25" customHeight="1">
      <c r="A793" s="4"/>
      <c r="B793" s="4"/>
      <c r="C793" s="4"/>
      <c r="D793" s="4"/>
    </row>
    <row r="794" ht="14.25" customHeight="1">
      <c r="A794" s="4"/>
      <c r="B794" s="4"/>
      <c r="C794" s="4"/>
      <c r="D794" s="4"/>
    </row>
    <row r="795" ht="14.25" customHeight="1">
      <c r="A795" s="4"/>
      <c r="B795" s="4"/>
      <c r="C795" s="4"/>
      <c r="D795" s="4"/>
    </row>
    <row r="796" ht="14.25" customHeight="1">
      <c r="A796" s="4"/>
      <c r="B796" s="4"/>
      <c r="C796" s="4"/>
      <c r="D796" s="4"/>
    </row>
    <row r="797" ht="14.25" customHeight="1">
      <c r="A797" s="4"/>
      <c r="B797" s="4"/>
      <c r="C797" s="4"/>
      <c r="D797" s="4"/>
    </row>
    <row r="798" ht="14.25" customHeight="1">
      <c r="A798" s="4"/>
      <c r="B798" s="4"/>
      <c r="C798" s="4"/>
      <c r="D798" s="4"/>
    </row>
    <row r="799" ht="14.25" customHeight="1">
      <c r="A799" s="4"/>
      <c r="B799" s="4"/>
      <c r="C799" s="4"/>
      <c r="D799" s="4"/>
    </row>
    <row r="800" ht="14.25" customHeight="1">
      <c r="A800" s="4"/>
      <c r="B800" s="4"/>
      <c r="C800" s="4"/>
      <c r="D800" s="4"/>
    </row>
    <row r="801" ht="14.25" customHeight="1">
      <c r="A801" s="4"/>
      <c r="B801" s="4"/>
      <c r="C801" s="4"/>
      <c r="D801" s="4"/>
    </row>
    <row r="802" ht="14.25" customHeight="1">
      <c r="A802" s="4"/>
      <c r="B802" s="4"/>
      <c r="C802" s="4"/>
      <c r="D802" s="4"/>
    </row>
    <row r="803" ht="14.25" customHeight="1">
      <c r="A803" s="4"/>
      <c r="B803" s="4"/>
      <c r="C803" s="4"/>
      <c r="D803" s="4"/>
    </row>
    <row r="804" ht="14.25" customHeight="1">
      <c r="A804" s="4"/>
      <c r="B804" s="4"/>
      <c r="C804" s="4"/>
      <c r="D804" s="4"/>
    </row>
    <row r="805" ht="14.25" customHeight="1">
      <c r="A805" s="4"/>
      <c r="B805" s="4"/>
      <c r="C805" s="4"/>
      <c r="D805" s="4"/>
    </row>
    <row r="806" ht="14.25" customHeight="1">
      <c r="A806" s="4"/>
      <c r="B806" s="4"/>
      <c r="C806" s="4"/>
      <c r="D806" s="4"/>
    </row>
    <row r="807" ht="14.25" customHeight="1">
      <c r="A807" s="4"/>
      <c r="B807" s="4"/>
      <c r="C807" s="4"/>
      <c r="D807" s="4"/>
    </row>
    <row r="808" ht="14.25" customHeight="1">
      <c r="A808" s="4"/>
      <c r="B808" s="4"/>
      <c r="C808" s="4"/>
      <c r="D808" s="4"/>
    </row>
    <row r="809" ht="14.25" customHeight="1">
      <c r="A809" s="4"/>
      <c r="B809" s="4"/>
      <c r="C809" s="4"/>
      <c r="D809" s="4"/>
    </row>
    <row r="810" ht="14.25" customHeight="1">
      <c r="A810" s="4"/>
      <c r="B810" s="4"/>
      <c r="C810" s="4"/>
      <c r="D810" s="4"/>
    </row>
    <row r="811" ht="14.25" customHeight="1">
      <c r="A811" s="4"/>
      <c r="B811" s="4"/>
      <c r="C811" s="4"/>
      <c r="D811" s="4"/>
    </row>
    <row r="812" ht="14.25" customHeight="1">
      <c r="A812" s="4"/>
      <c r="B812" s="4"/>
      <c r="C812" s="4"/>
      <c r="D812" s="4"/>
    </row>
    <row r="813" ht="14.25" customHeight="1">
      <c r="A813" s="4"/>
      <c r="B813" s="4"/>
      <c r="C813" s="4"/>
      <c r="D813" s="4"/>
    </row>
    <row r="814" ht="14.25" customHeight="1">
      <c r="A814" s="4"/>
      <c r="B814" s="4"/>
      <c r="C814" s="4"/>
      <c r="D814" s="4"/>
    </row>
    <row r="815" ht="14.25" customHeight="1">
      <c r="A815" s="4"/>
      <c r="B815" s="4"/>
      <c r="C815" s="4"/>
      <c r="D815" s="4"/>
    </row>
    <row r="816" ht="14.25" customHeight="1">
      <c r="A816" s="4"/>
      <c r="B816" s="4"/>
      <c r="C816" s="4"/>
      <c r="D816" s="4"/>
    </row>
    <row r="817" ht="14.25" customHeight="1">
      <c r="A817" s="4"/>
      <c r="B817" s="4"/>
      <c r="C817" s="4"/>
      <c r="D817" s="4"/>
    </row>
    <row r="818" ht="14.25" customHeight="1">
      <c r="A818" s="4"/>
      <c r="B818" s="4"/>
      <c r="C818" s="4"/>
      <c r="D818" s="4"/>
    </row>
    <row r="819" ht="14.25" customHeight="1">
      <c r="A819" s="4"/>
      <c r="B819" s="4"/>
      <c r="C819" s="4"/>
      <c r="D819" s="4"/>
    </row>
    <row r="820" ht="14.25" customHeight="1">
      <c r="A820" s="4"/>
      <c r="B820" s="4"/>
      <c r="C820" s="4"/>
      <c r="D820" s="4"/>
    </row>
    <row r="821" ht="14.25" customHeight="1">
      <c r="A821" s="4"/>
      <c r="B821" s="4"/>
      <c r="C821" s="4"/>
      <c r="D821" s="4"/>
    </row>
    <row r="822" ht="14.25" customHeight="1">
      <c r="A822" s="4"/>
      <c r="B822" s="4"/>
      <c r="C822" s="4"/>
      <c r="D822" s="4"/>
    </row>
    <row r="823" ht="14.25" customHeight="1">
      <c r="A823" s="4"/>
      <c r="B823" s="4"/>
      <c r="C823" s="4"/>
      <c r="D823" s="4"/>
    </row>
    <row r="824" ht="14.25" customHeight="1">
      <c r="A824" s="4"/>
      <c r="B824" s="4"/>
      <c r="C824" s="4"/>
      <c r="D824" s="4"/>
    </row>
    <row r="825" ht="14.25" customHeight="1">
      <c r="A825" s="4"/>
      <c r="B825" s="4"/>
      <c r="C825" s="4"/>
      <c r="D825" s="4"/>
    </row>
    <row r="826" ht="14.25" customHeight="1">
      <c r="A826" s="4"/>
      <c r="B826" s="4"/>
      <c r="C826" s="4"/>
      <c r="D826" s="4"/>
    </row>
    <row r="827" ht="14.25" customHeight="1">
      <c r="A827" s="4"/>
      <c r="B827" s="4"/>
      <c r="C827" s="4"/>
      <c r="D827" s="4"/>
    </row>
    <row r="828" ht="14.25" customHeight="1">
      <c r="A828" s="4"/>
      <c r="B828" s="4"/>
      <c r="C828" s="4"/>
      <c r="D828" s="4"/>
    </row>
    <row r="829" ht="14.25" customHeight="1">
      <c r="A829" s="4"/>
      <c r="B829" s="4"/>
      <c r="C829" s="4"/>
      <c r="D829" s="4"/>
    </row>
    <row r="830" ht="14.25" customHeight="1">
      <c r="A830" s="4"/>
      <c r="B830" s="4"/>
      <c r="C830" s="4"/>
      <c r="D830" s="4"/>
    </row>
    <row r="831" ht="14.25" customHeight="1">
      <c r="A831" s="4"/>
      <c r="B831" s="4"/>
      <c r="C831" s="4"/>
      <c r="D831" s="4"/>
    </row>
    <row r="832" ht="14.25" customHeight="1">
      <c r="A832" s="4"/>
      <c r="B832" s="4"/>
      <c r="C832" s="4"/>
      <c r="D832" s="4"/>
    </row>
    <row r="833" ht="14.25" customHeight="1">
      <c r="A833" s="4"/>
      <c r="B833" s="4"/>
      <c r="C833" s="4"/>
      <c r="D833" s="4"/>
    </row>
    <row r="834" ht="14.25" customHeight="1">
      <c r="A834" s="4"/>
      <c r="B834" s="4"/>
      <c r="C834" s="4"/>
      <c r="D834" s="4"/>
    </row>
    <row r="835" ht="14.25" customHeight="1">
      <c r="A835" s="4"/>
      <c r="B835" s="4"/>
      <c r="C835" s="4"/>
      <c r="D835" s="4"/>
    </row>
    <row r="836" ht="14.25" customHeight="1">
      <c r="A836" s="4"/>
      <c r="B836" s="4"/>
      <c r="C836" s="4"/>
      <c r="D836" s="4"/>
    </row>
    <row r="837" ht="14.25" customHeight="1">
      <c r="A837" s="4"/>
      <c r="B837" s="4"/>
      <c r="C837" s="4"/>
      <c r="D837" s="4"/>
    </row>
    <row r="838" ht="14.25" customHeight="1">
      <c r="A838" s="4"/>
      <c r="B838" s="4"/>
      <c r="C838" s="4"/>
      <c r="D838" s="4"/>
    </row>
    <row r="839" ht="14.25" customHeight="1">
      <c r="A839" s="4"/>
      <c r="B839" s="4"/>
      <c r="C839" s="4"/>
      <c r="D839" s="4"/>
    </row>
    <row r="840" ht="14.25" customHeight="1">
      <c r="A840" s="4"/>
      <c r="B840" s="4"/>
      <c r="C840" s="4"/>
      <c r="D840" s="4"/>
    </row>
    <row r="841" ht="14.25" customHeight="1">
      <c r="A841" s="4"/>
      <c r="B841" s="4"/>
      <c r="C841" s="4"/>
      <c r="D841" s="4"/>
    </row>
    <row r="842" ht="14.25" customHeight="1">
      <c r="A842" s="4"/>
      <c r="B842" s="4"/>
      <c r="C842" s="4"/>
      <c r="D842" s="4"/>
    </row>
    <row r="843" ht="14.25" customHeight="1">
      <c r="A843" s="4"/>
      <c r="B843" s="4"/>
      <c r="C843" s="4"/>
      <c r="D843" s="4"/>
    </row>
    <row r="844" ht="14.25" customHeight="1">
      <c r="A844" s="4"/>
      <c r="B844" s="4"/>
      <c r="C844" s="4"/>
      <c r="D844" s="4"/>
    </row>
    <row r="845" ht="14.25" customHeight="1">
      <c r="A845" s="4"/>
      <c r="B845" s="4"/>
      <c r="C845" s="4"/>
      <c r="D845" s="4"/>
    </row>
    <row r="846" ht="14.25" customHeight="1">
      <c r="A846" s="4"/>
      <c r="B846" s="4"/>
      <c r="C846" s="4"/>
      <c r="D846" s="4"/>
    </row>
    <row r="847" ht="14.25" customHeight="1">
      <c r="A847" s="4"/>
      <c r="B847" s="4"/>
      <c r="C847" s="4"/>
      <c r="D847" s="4"/>
    </row>
    <row r="848" ht="14.25" customHeight="1">
      <c r="A848" s="4"/>
      <c r="B848" s="4"/>
      <c r="C848" s="4"/>
      <c r="D848" s="4"/>
    </row>
    <row r="849" ht="14.25" customHeight="1">
      <c r="A849" s="4"/>
      <c r="B849" s="4"/>
      <c r="C849" s="4"/>
      <c r="D849" s="4"/>
    </row>
    <row r="850" ht="14.25" customHeight="1">
      <c r="A850" s="4"/>
      <c r="B850" s="4"/>
      <c r="C850" s="4"/>
      <c r="D850" s="4"/>
    </row>
    <row r="851" ht="14.25" customHeight="1">
      <c r="A851" s="4"/>
      <c r="B851" s="4"/>
      <c r="C851" s="4"/>
      <c r="D851" s="4"/>
    </row>
    <row r="852" ht="14.25" customHeight="1">
      <c r="A852" s="4"/>
      <c r="B852" s="4"/>
      <c r="C852" s="4"/>
      <c r="D852" s="4"/>
    </row>
    <row r="853" ht="14.25" customHeight="1">
      <c r="A853" s="4"/>
      <c r="B853" s="4"/>
      <c r="C853" s="4"/>
      <c r="D853" s="4"/>
    </row>
    <row r="854" ht="14.25" customHeight="1">
      <c r="A854" s="4"/>
      <c r="B854" s="4"/>
      <c r="C854" s="4"/>
      <c r="D854" s="4"/>
    </row>
    <row r="855" ht="14.25" customHeight="1">
      <c r="A855" s="4"/>
      <c r="B855" s="4"/>
      <c r="C855" s="4"/>
      <c r="D855" s="4"/>
    </row>
    <row r="856" ht="14.25" customHeight="1">
      <c r="A856" s="4"/>
      <c r="B856" s="4"/>
      <c r="C856" s="4"/>
      <c r="D856" s="4"/>
    </row>
    <row r="857" ht="14.25" customHeight="1">
      <c r="A857" s="4"/>
      <c r="B857" s="4"/>
      <c r="C857" s="4"/>
      <c r="D857" s="4"/>
    </row>
    <row r="858" ht="14.25" customHeight="1">
      <c r="A858" s="4"/>
      <c r="B858" s="4"/>
      <c r="C858" s="4"/>
      <c r="D858" s="4"/>
    </row>
    <row r="859" ht="14.25" customHeight="1">
      <c r="A859" s="4"/>
      <c r="B859" s="4"/>
      <c r="C859" s="4"/>
      <c r="D859" s="4"/>
    </row>
    <row r="860" ht="14.25" customHeight="1">
      <c r="A860" s="4"/>
      <c r="B860" s="4"/>
      <c r="C860" s="4"/>
      <c r="D860" s="4"/>
    </row>
    <row r="861" ht="14.25" customHeight="1">
      <c r="A861" s="4"/>
      <c r="B861" s="4"/>
      <c r="C861" s="4"/>
      <c r="D861" s="4"/>
    </row>
    <row r="862" ht="14.25" customHeight="1">
      <c r="A862" s="4"/>
      <c r="B862" s="4"/>
      <c r="C862" s="4"/>
      <c r="D862" s="4"/>
    </row>
    <row r="863" ht="14.25" customHeight="1">
      <c r="A863" s="4"/>
      <c r="B863" s="4"/>
      <c r="C863" s="4"/>
      <c r="D863" s="4"/>
    </row>
    <row r="864" ht="14.25" customHeight="1">
      <c r="A864" s="4"/>
      <c r="B864" s="4"/>
      <c r="C864" s="4"/>
      <c r="D864" s="4"/>
    </row>
    <row r="865" ht="14.25" customHeight="1">
      <c r="A865" s="4"/>
      <c r="B865" s="4"/>
      <c r="C865" s="4"/>
      <c r="D865" s="4"/>
    </row>
    <row r="866" ht="14.25" customHeight="1">
      <c r="A866" s="4"/>
      <c r="B866" s="4"/>
      <c r="C866" s="4"/>
      <c r="D866" s="4"/>
    </row>
    <row r="867" ht="14.25" customHeight="1">
      <c r="A867" s="4"/>
      <c r="B867" s="4"/>
      <c r="C867" s="4"/>
      <c r="D867" s="4"/>
    </row>
    <row r="868" ht="14.25" customHeight="1">
      <c r="A868" s="4"/>
      <c r="B868" s="4"/>
      <c r="C868" s="4"/>
      <c r="D868" s="4"/>
    </row>
    <row r="869" ht="14.25" customHeight="1">
      <c r="A869" s="4"/>
      <c r="B869" s="4"/>
      <c r="C869" s="4"/>
      <c r="D869" s="4"/>
    </row>
    <row r="870" ht="14.25" customHeight="1">
      <c r="A870" s="4"/>
      <c r="B870" s="4"/>
      <c r="C870" s="4"/>
      <c r="D870" s="4"/>
    </row>
    <row r="871" ht="14.25" customHeight="1">
      <c r="A871" s="4"/>
      <c r="B871" s="4"/>
      <c r="C871" s="4"/>
      <c r="D871" s="4"/>
    </row>
    <row r="872" ht="14.25" customHeight="1">
      <c r="A872" s="4"/>
      <c r="B872" s="4"/>
      <c r="C872" s="4"/>
      <c r="D872" s="4"/>
    </row>
    <row r="873" ht="14.25" customHeight="1">
      <c r="A873" s="4"/>
      <c r="B873" s="4"/>
      <c r="C873" s="4"/>
      <c r="D873" s="4"/>
    </row>
    <row r="874" ht="14.25" customHeight="1">
      <c r="A874" s="4"/>
      <c r="B874" s="4"/>
      <c r="C874" s="4"/>
      <c r="D874" s="4"/>
    </row>
    <row r="875" ht="14.25" customHeight="1">
      <c r="A875" s="4"/>
      <c r="B875" s="4"/>
      <c r="C875" s="4"/>
      <c r="D875" s="4"/>
    </row>
    <row r="876" ht="14.25" customHeight="1">
      <c r="A876" s="4"/>
      <c r="B876" s="4"/>
      <c r="C876" s="4"/>
      <c r="D876" s="4"/>
    </row>
    <row r="877" ht="14.25" customHeight="1">
      <c r="A877" s="4"/>
      <c r="B877" s="4"/>
      <c r="C877" s="4"/>
      <c r="D877" s="4"/>
    </row>
    <row r="878" ht="14.25" customHeight="1">
      <c r="A878" s="4"/>
      <c r="B878" s="4"/>
      <c r="C878" s="4"/>
      <c r="D878" s="4"/>
    </row>
    <row r="879" ht="14.25" customHeight="1">
      <c r="A879" s="4"/>
      <c r="B879" s="4"/>
      <c r="C879" s="4"/>
      <c r="D879" s="4"/>
    </row>
    <row r="880" ht="14.25" customHeight="1">
      <c r="A880" s="4"/>
      <c r="B880" s="4"/>
      <c r="C880" s="4"/>
      <c r="D880" s="4"/>
    </row>
    <row r="881" ht="14.25" customHeight="1">
      <c r="A881" s="4"/>
      <c r="B881" s="4"/>
      <c r="C881" s="4"/>
      <c r="D881" s="4"/>
    </row>
    <row r="882" ht="14.25" customHeight="1">
      <c r="A882" s="4"/>
      <c r="B882" s="4"/>
      <c r="C882" s="4"/>
      <c r="D882" s="4"/>
    </row>
    <row r="883" ht="14.25" customHeight="1">
      <c r="A883" s="4"/>
      <c r="B883" s="4"/>
      <c r="C883" s="4"/>
      <c r="D883" s="4"/>
    </row>
    <row r="884" ht="14.25" customHeight="1">
      <c r="A884" s="4"/>
      <c r="B884" s="4"/>
      <c r="C884" s="4"/>
      <c r="D884" s="4"/>
    </row>
    <row r="885" ht="14.25" customHeight="1">
      <c r="A885" s="4"/>
      <c r="B885" s="4"/>
      <c r="C885" s="4"/>
      <c r="D885" s="4"/>
    </row>
    <row r="886" ht="14.25" customHeight="1">
      <c r="A886" s="4"/>
      <c r="B886" s="4"/>
      <c r="C886" s="4"/>
      <c r="D886" s="4"/>
    </row>
    <row r="887" ht="14.25" customHeight="1">
      <c r="A887" s="4"/>
      <c r="B887" s="4"/>
      <c r="C887" s="4"/>
      <c r="D887" s="4"/>
    </row>
    <row r="888" ht="14.25" customHeight="1">
      <c r="A888" s="4"/>
      <c r="B888" s="4"/>
      <c r="C888" s="4"/>
      <c r="D888" s="4"/>
    </row>
    <row r="889" ht="14.25" customHeight="1">
      <c r="A889" s="4"/>
      <c r="B889" s="4"/>
      <c r="C889" s="4"/>
      <c r="D889" s="4"/>
    </row>
    <row r="890" ht="14.25" customHeight="1">
      <c r="A890" s="4"/>
      <c r="B890" s="4"/>
      <c r="C890" s="4"/>
      <c r="D890" s="4"/>
    </row>
    <row r="891" ht="14.25" customHeight="1">
      <c r="A891" s="4"/>
      <c r="B891" s="4"/>
      <c r="C891" s="4"/>
      <c r="D891" s="4"/>
    </row>
    <row r="892" ht="14.25" customHeight="1">
      <c r="A892" s="4"/>
      <c r="B892" s="4"/>
      <c r="C892" s="4"/>
      <c r="D892" s="4"/>
    </row>
    <row r="893" ht="14.25" customHeight="1">
      <c r="A893" s="4"/>
      <c r="B893" s="4"/>
      <c r="C893" s="4"/>
      <c r="D893" s="4"/>
    </row>
    <row r="894" ht="14.25" customHeight="1">
      <c r="A894" s="4"/>
      <c r="B894" s="4"/>
      <c r="C894" s="4"/>
      <c r="D894" s="4"/>
    </row>
    <row r="895" ht="14.25" customHeight="1">
      <c r="A895" s="4"/>
      <c r="B895" s="4"/>
      <c r="C895" s="4"/>
      <c r="D895" s="4"/>
    </row>
    <row r="896" ht="14.25" customHeight="1">
      <c r="A896" s="4"/>
      <c r="B896" s="4"/>
      <c r="C896" s="4"/>
      <c r="D896" s="4"/>
    </row>
    <row r="897" ht="14.25" customHeight="1">
      <c r="A897" s="4"/>
      <c r="B897" s="4"/>
      <c r="C897" s="4"/>
      <c r="D897" s="4"/>
    </row>
    <row r="898" ht="14.25" customHeight="1">
      <c r="A898" s="4"/>
      <c r="B898" s="4"/>
      <c r="C898" s="4"/>
      <c r="D898" s="4"/>
    </row>
    <row r="899" ht="14.25" customHeight="1">
      <c r="A899" s="4"/>
      <c r="B899" s="4"/>
      <c r="C899" s="4"/>
      <c r="D899" s="4"/>
    </row>
    <row r="900" ht="14.25" customHeight="1">
      <c r="A900" s="4"/>
      <c r="B900" s="4"/>
      <c r="C900" s="4"/>
      <c r="D900" s="4"/>
    </row>
    <row r="901" ht="14.25" customHeight="1">
      <c r="A901" s="4"/>
      <c r="B901" s="4"/>
      <c r="C901" s="4"/>
      <c r="D901" s="4"/>
    </row>
    <row r="902" ht="14.25" customHeight="1">
      <c r="A902" s="4"/>
      <c r="B902" s="4"/>
      <c r="C902" s="4"/>
      <c r="D902" s="4"/>
    </row>
    <row r="903" ht="14.25" customHeight="1">
      <c r="A903" s="4"/>
      <c r="B903" s="4"/>
      <c r="C903" s="4"/>
      <c r="D903" s="4"/>
    </row>
    <row r="904" ht="14.25" customHeight="1">
      <c r="A904" s="4"/>
      <c r="B904" s="4"/>
      <c r="C904" s="4"/>
      <c r="D904" s="4"/>
    </row>
    <row r="905" ht="14.25" customHeight="1">
      <c r="A905" s="4"/>
      <c r="B905" s="4"/>
      <c r="C905" s="4"/>
      <c r="D905" s="4"/>
    </row>
    <row r="906" ht="14.25" customHeight="1">
      <c r="A906" s="4"/>
      <c r="B906" s="4"/>
      <c r="C906" s="4"/>
      <c r="D906" s="4"/>
    </row>
    <row r="907" ht="14.25" customHeight="1">
      <c r="A907" s="4"/>
      <c r="B907" s="4"/>
      <c r="C907" s="4"/>
      <c r="D907" s="4"/>
    </row>
    <row r="908" ht="14.25" customHeight="1">
      <c r="A908" s="4"/>
      <c r="B908" s="4"/>
      <c r="C908" s="4"/>
      <c r="D908" s="4"/>
    </row>
    <row r="909" ht="14.25" customHeight="1">
      <c r="A909" s="4"/>
      <c r="B909" s="4"/>
      <c r="C909" s="4"/>
      <c r="D909" s="4"/>
    </row>
    <row r="910" ht="14.25" customHeight="1">
      <c r="A910" s="4"/>
      <c r="B910" s="4"/>
      <c r="C910" s="4"/>
      <c r="D910" s="4"/>
    </row>
    <row r="911" ht="14.25" customHeight="1">
      <c r="A911" s="4"/>
      <c r="B911" s="4"/>
      <c r="C911" s="4"/>
      <c r="D911" s="4"/>
    </row>
    <row r="912" ht="14.25" customHeight="1">
      <c r="A912" s="4"/>
      <c r="B912" s="4"/>
      <c r="C912" s="4"/>
      <c r="D912" s="4"/>
    </row>
    <row r="913" ht="14.25" customHeight="1">
      <c r="A913" s="4"/>
      <c r="B913" s="4"/>
      <c r="C913" s="4"/>
      <c r="D913" s="4"/>
    </row>
    <row r="914" ht="14.25" customHeight="1">
      <c r="A914" s="4"/>
      <c r="B914" s="4"/>
      <c r="C914" s="4"/>
      <c r="D914" s="4"/>
    </row>
    <row r="915" ht="14.25" customHeight="1">
      <c r="A915" s="4"/>
      <c r="B915" s="4"/>
      <c r="C915" s="4"/>
      <c r="D915" s="4"/>
    </row>
    <row r="916" ht="14.25" customHeight="1">
      <c r="A916" s="4"/>
      <c r="B916" s="4"/>
      <c r="C916" s="4"/>
      <c r="D916" s="4"/>
    </row>
    <row r="917" ht="14.25" customHeight="1">
      <c r="A917" s="4"/>
      <c r="B917" s="4"/>
      <c r="C917" s="4"/>
      <c r="D917" s="4"/>
    </row>
    <row r="918" ht="14.25" customHeight="1">
      <c r="A918" s="4"/>
      <c r="B918" s="4"/>
      <c r="C918" s="4"/>
      <c r="D918" s="4"/>
    </row>
    <row r="919" ht="14.25" customHeight="1">
      <c r="A919" s="4"/>
      <c r="B919" s="4"/>
      <c r="C919" s="4"/>
      <c r="D919" s="4"/>
    </row>
    <row r="920" ht="14.25" customHeight="1">
      <c r="A920" s="4"/>
      <c r="B920" s="4"/>
      <c r="C920" s="4"/>
      <c r="D920" s="4"/>
    </row>
    <row r="921" ht="14.25" customHeight="1">
      <c r="A921" s="4"/>
      <c r="B921" s="4"/>
      <c r="C921" s="4"/>
      <c r="D921" s="4"/>
    </row>
    <row r="922" ht="14.25" customHeight="1">
      <c r="A922" s="4"/>
      <c r="B922" s="4"/>
      <c r="C922" s="4"/>
      <c r="D922" s="4"/>
    </row>
    <row r="923" ht="14.25" customHeight="1">
      <c r="A923" s="4"/>
      <c r="B923" s="4"/>
      <c r="C923" s="4"/>
      <c r="D923" s="4"/>
    </row>
    <row r="924" ht="14.25" customHeight="1">
      <c r="A924" s="4"/>
      <c r="B924" s="4"/>
      <c r="C924" s="4"/>
      <c r="D924" s="4"/>
    </row>
    <row r="925" ht="14.25" customHeight="1">
      <c r="A925" s="4"/>
      <c r="B925" s="4"/>
      <c r="C925" s="4"/>
      <c r="D925" s="4"/>
    </row>
    <row r="926" ht="14.25" customHeight="1">
      <c r="A926" s="4"/>
      <c r="B926" s="4"/>
      <c r="C926" s="4"/>
      <c r="D926" s="4"/>
    </row>
    <row r="927" ht="14.25" customHeight="1">
      <c r="A927" s="4"/>
      <c r="B927" s="4"/>
      <c r="C927" s="4"/>
      <c r="D927" s="4"/>
    </row>
    <row r="928" ht="14.25" customHeight="1">
      <c r="A928" s="4"/>
      <c r="B928" s="4"/>
      <c r="C928" s="4"/>
      <c r="D928" s="4"/>
    </row>
    <row r="929" ht="14.25" customHeight="1">
      <c r="A929" s="4"/>
      <c r="B929" s="4"/>
      <c r="C929" s="4"/>
      <c r="D929" s="4"/>
    </row>
    <row r="930" ht="14.25" customHeight="1">
      <c r="A930" s="4"/>
      <c r="B930" s="4"/>
      <c r="C930" s="4"/>
      <c r="D930" s="4"/>
    </row>
    <row r="931" ht="14.25" customHeight="1">
      <c r="A931" s="4"/>
      <c r="B931" s="4"/>
      <c r="C931" s="4"/>
      <c r="D931" s="4"/>
    </row>
    <row r="932" ht="14.25" customHeight="1">
      <c r="A932" s="4"/>
      <c r="B932" s="4"/>
      <c r="C932" s="4"/>
      <c r="D932" s="4"/>
    </row>
    <row r="933" ht="14.25" customHeight="1">
      <c r="A933" s="4"/>
      <c r="B933" s="4"/>
      <c r="C933" s="4"/>
      <c r="D933" s="4"/>
    </row>
    <row r="934" ht="14.25" customHeight="1">
      <c r="A934" s="4"/>
      <c r="B934" s="4"/>
      <c r="C934" s="4"/>
      <c r="D934" s="4"/>
    </row>
    <row r="935" ht="14.25" customHeight="1">
      <c r="A935" s="4"/>
      <c r="B935" s="4"/>
      <c r="C935" s="4"/>
      <c r="D935" s="4"/>
    </row>
    <row r="936" ht="14.25" customHeight="1">
      <c r="A936" s="4"/>
      <c r="B936" s="4"/>
      <c r="C936" s="4"/>
      <c r="D936" s="4"/>
    </row>
    <row r="937" ht="14.25" customHeight="1">
      <c r="A937" s="4"/>
      <c r="B937" s="4"/>
      <c r="C937" s="4"/>
      <c r="D937" s="4"/>
    </row>
    <row r="938" ht="14.25" customHeight="1">
      <c r="A938" s="4"/>
      <c r="B938" s="4"/>
      <c r="C938" s="4"/>
      <c r="D938" s="4"/>
    </row>
    <row r="939" ht="14.25" customHeight="1">
      <c r="A939" s="4"/>
      <c r="B939" s="4"/>
      <c r="C939" s="4"/>
      <c r="D939" s="4"/>
    </row>
    <row r="940" ht="14.25" customHeight="1">
      <c r="A940" s="4"/>
      <c r="B940" s="4"/>
      <c r="C940" s="4"/>
      <c r="D940" s="4"/>
    </row>
    <row r="941" ht="14.25" customHeight="1">
      <c r="A941" s="4"/>
      <c r="B941" s="4"/>
      <c r="C941" s="4"/>
      <c r="D941" s="4"/>
    </row>
    <row r="942" ht="14.25" customHeight="1">
      <c r="A942" s="4"/>
      <c r="B942" s="4"/>
      <c r="C942" s="4"/>
      <c r="D942" s="4"/>
    </row>
    <row r="943" ht="14.25" customHeight="1">
      <c r="A943" s="4"/>
      <c r="B943" s="4"/>
      <c r="C943" s="4"/>
      <c r="D943" s="4"/>
    </row>
    <row r="944" ht="14.25" customHeight="1">
      <c r="A944" s="4"/>
      <c r="B944" s="4"/>
      <c r="C944" s="4"/>
      <c r="D944" s="4"/>
    </row>
    <row r="945" ht="14.25" customHeight="1">
      <c r="A945" s="4"/>
      <c r="B945" s="4"/>
      <c r="C945" s="4"/>
      <c r="D945" s="4"/>
    </row>
    <row r="946" ht="14.25" customHeight="1">
      <c r="A946" s="4"/>
      <c r="B946" s="4"/>
      <c r="C946" s="4"/>
      <c r="D946" s="4"/>
    </row>
    <row r="947" ht="14.25" customHeight="1">
      <c r="A947" s="4"/>
      <c r="B947" s="4"/>
      <c r="C947" s="4"/>
      <c r="D947" s="4"/>
    </row>
    <row r="948" ht="14.25" customHeight="1">
      <c r="A948" s="4"/>
      <c r="B948" s="4"/>
      <c r="C948" s="4"/>
      <c r="D948" s="4"/>
    </row>
    <row r="949" ht="14.25" customHeight="1">
      <c r="A949" s="4"/>
      <c r="B949" s="4"/>
      <c r="C949" s="4"/>
      <c r="D949" s="4"/>
    </row>
    <row r="950" ht="14.25" customHeight="1">
      <c r="A950" s="4"/>
      <c r="B950" s="4"/>
      <c r="C950" s="4"/>
      <c r="D950" s="4"/>
    </row>
    <row r="951" ht="14.25" customHeight="1">
      <c r="A951" s="4"/>
      <c r="B951" s="4"/>
      <c r="C951" s="4"/>
      <c r="D951" s="4"/>
    </row>
    <row r="952" ht="14.25" customHeight="1">
      <c r="A952" s="4"/>
      <c r="B952" s="4"/>
      <c r="C952" s="4"/>
      <c r="D952" s="4"/>
    </row>
    <row r="953" ht="14.25" customHeight="1">
      <c r="A953" s="4"/>
      <c r="B953" s="4"/>
      <c r="C953" s="4"/>
      <c r="D953" s="4"/>
    </row>
    <row r="954" ht="14.25" customHeight="1">
      <c r="A954" s="4"/>
      <c r="B954" s="4"/>
      <c r="C954" s="4"/>
      <c r="D954" s="4"/>
    </row>
    <row r="955" ht="14.25" customHeight="1">
      <c r="A955" s="4"/>
      <c r="B955" s="4"/>
      <c r="C955" s="4"/>
      <c r="D955" s="4"/>
    </row>
    <row r="956" ht="14.25" customHeight="1">
      <c r="A956" s="4"/>
      <c r="B956" s="4"/>
      <c r="C956" s="4"/>
      <c r="D956" s="4"/>
    </row>
    <row r="957" ht="14.25" customHeight="1">
      <c r="A957" s="4"/>
      <c r="B957" s="4"/>
      <c r="C957" s="4"/>
      <c r="D957" s="4"/>
    </row>
    <row r="958" ht="14.25" customHeight="1">
      <c r="A958" s="4"/>
      <c r="B958" s="4"/>
      <c r="C958" s="4"/>
      <c r="D958" s="4"/>
    </row>
    <row r="959" ht="14.25" customHeight="1">
      <c r="A959" s="4"/>
      <c r="B959" s="4"/>
      <c r="C959" s="4"/>
      <c r="D959" s="4"/>
    </row>
    <row r="960" ht="14.25" customHeight="1">
      <c r="A960" s="4"/>
      <c r="B960" s="4"/>
      <c r="C960" s="4"/>
      <c r="D960" s="4"/>
    </row>
    <row r="961" ht="14.25" customHeight="1">
      <c r="A961" s="4"/>
      <c r="B961" s="4"/>
      <c r="C961" s="4"/>
      <c r="D961" s="4"/>
    </row>
    <row r="962" ht="14.25" customHeight="1">
      <c r="A962" s="4"/>
      <c r="B962" s="4"/>
      <c r="C962" s="4"/>
      <c r="D962" s="4"/>
    </row>
    <row r="963" ht="14.25" customHeight="1">
      <c r="A963" s="4"/>
      <c r="B963" s="4"/>
      <c r="C963" s="4"/>
      <c r="D963" s="4"/>
    </row>
    <row r="964" ht="14.25" customHeight="1">
      <c r="A964" s="4"/>
      <c r="B964" s="4"/>
      <c r="C964" s="4"/>
      <c r="D964" s="4"/>
    </row>
    <row r="965" ht="14.25" customHeight="1">
      <c r="A965" s="4"/>
      <c r="B965" s="4"/>
      <c r="C965" s="4"/>
      <c r="D965" s="4"/>
    </row>
    <row r="966" ht="14.25" customHeight="1">
      <c r="A966" s="4"/>
      <c r="B966" s="4"/>
      <c r="C966" s="4"/>
      <c r="D966" s="4"/>
    </row>
    <row r="967" ht="14.25" customHeight="1">
      <c r="A967" s="4"/>
      <c r="B967" s="4"/>
      <c r="C967" s="4"/>
      <c r="D967" s="4"/>
    </row>
    <row r="968" ht="14.25" customHeight="1">
      <c r="A968" s="4"/>
      <c r="B968" s="4"/>
      <c r="C968" s="4"/>
      <c r="D968" s="4"/>
    </row>
    <row r="969" ht="14.25" customHeight="1">
      <c r="A969" s="4"/>
      <c r="B969" s="4"/>
      <c r="C969" s="4"/>
      <c r="D969" s="4"/>
    </row>
    <row r="970" ht="14.25" customHeight="1">
      <c r="A970" s="4"/>
      <c r="B970" s="4"/>
      <c r="C970" s="4"/>
      <c r="D970" s="4"/>
    </row>
    <row r="971" ht="14.25" customHeight="1">
      <c r="A971" s="4"/>
      <c r="B971" s="4"/>
      <c r="C971" s="4"/>
      <c r="D971" s="4"/>
    </row>
    <row r="972" ht="14.25" customHeight="1">
      <c r="A972" s="4"/>
      <c r="B972" s="4"/>
      <c r="C972" s="4"/>
      <c r="D972" s="4"/>
    </row>
    <row r="973" ht="14.25" customHeight="1">
      <c r="A973" s="4"/>
      <c r="B973" s="4"/>
      <c r="C973" s="4"/>
      <c r="D973" s="4"/>
    </row>
    <row r="974" ht="14.25" customHeight="1">
      <c r="A974" s="4"/>
      <c r="B974" s="4"/>
      <c r="C974" s="4"/>
      <c r="D974" s="4"/>
    </row>
    <row r="975" ht="14.25" customHeight="1">
      <c r="A975" s="4"/>
      <c r="B975" s="4"/>
      <c r="C975" s="4"/>
      <c r="D975" s="4"/>
    </row>
    <row r="976" ht="14.25" customHeight="1">
      <c r="A976" s="4"/>
      <c r="B976" s="4"/>
      <c r="C976" s="4"/>
      <c r="D976" s="4"/>
    </row>
    <row r="977" ht="14.25" customHeight="1">
      <c r="A977" s="4"/>
      <c r="B977" s="4"/>
      <c r="C977" s="4"/>
      <c r="D977" s="4"/>
    </row>
    <row r="978" ht="14.25" customHeight="1">
      <c r="A978" s="4"/>
      <c r="B978" s="4"/>
      <c r="C978" s="4"/>
      <c r="D978" s="4"/>
    </row>
    <row r="979" ht="14.25" customHeight="1">
      <c r="A979" s="4"/>
      <c r="B979" s="4"/>
      <c r="C979" s="4"/>
      <c r="D979" s="4"/>
    </row>
    <row r="980" ht="14.25" customHeight="1">
      <c r="A980" s="4"/>
      <c r="B980" s="4"/>
      <c r="C980" s="4"/>
      <c r="D980" s="4"/>
    </row>
    <row r="981" ht="14.25" customHeight="1">
      <c r="A981" s="4"/>
      <c r="B981" s="4"/>
      <c r="C981" s="4"/>
      <c r="D981" s="4"/>
    </row>
    <row r="982" ht="14.25" customHeight="1">
      <c r="A982" s="4"/>
      <c r="B982" s="4"/>
      <c r="C982" s="4"/>
      <c r="D982" s="4"/>
    </row>
    <row r="983" ht="14.25" customHeight="1">
      <c r="A983" s="4"/>
      <c r="B983" s="4"/>
      <c r="C983" s="4"/>
      <c r="D983" s="4"/>
    </row>
    <row r="984" ht="14.25" customHeight="1">
      <c r="A984" s="4"/>
      <c r="B984" s="4"/>
      <c r="C984" s="4"/>
      <c r="D984" s="4"/>
    </row>
    <row r="985" ht="14.25" customHeight="1">
      <c r="A985" s="4"/>
      <c r="B985" s="4"/>
      <c r="C985" s="4"/>
      <c r="D985" s="4"/>
    </row>
    <row r="986" ht="14.25" customHeight="1">
      <c r="A986" s="4"/>
      <c r="B986" s="4"/>
      <c r="C986" s="4"/>
      <c r="D986" s="4"/>
    </row>
    <row r="987" ht="14.25" customHeight="1">
      <c r="A987" s="4"/>
      <c r="B987" s="4"/>
      <c r="C987" s="4"/>
      <c r="D987" s="4"/>
    </row>
    <row r="988" ht="14.25" customHeight="1">
      <c r="A988" s="4"/>
      <c r="B988" s="4"/>
      <c r="C988" s="4"/>
      <c r="D988" s="4"/>
    </row>
    <row r="989" ht="14.25" customHeight="1">
      <c r="A989" s="4"/>
      <c r="B989" s="4"/>
      <c r="C989" s="4"/>
      <c r="D989" s="4"/>
    </row>
    <row r="990" ht="14.25" customHeight="1">
      <c r="A990" s="4"/>
      <c r="B990" s="4"/>
      <c r="C990" s="4"/>
      <c r="D990" s="4"/>
    </row>
    <row r="991" ht="14.25" customHeight="1">
      <c r="A991" s="4"/>
      <c r="B991" s="4"/>
      <c r="C991" s="4"/>
      <c r="D991" s="4"/>
    </row>
    <row r="992" ht="14.25" customHeight="1">
      <c r="A992" s="4"/>
      <c r="B992" s="4"/>
      <c r="C992" s="4"/>
      <c r="D992" s="4"/>
    </row>
    <row r="993" ht="14.25" customHeight="1">
      <c r="A993" s="4"/>
      <c r="B993" s="4"/>
      <c r="C993" s="4"/>
      <c r="D993" s="4"/>
    </row>
    <row r="994" ht="14.25" customHeight="1">
      <c r="A994" s="4"/>
      <c r="B994" s="4"/>
      <c r="C994" s="4"/>
      <c r="D994" s="4"/>
    </row>
    <row r="995" ht="14.25" customHeight="1">
      <c r="A995" s="4"/>
      <c r="B995" s="4"/>
      <c r="C995" s="4"/>
      <c r="D995" s="4"/>
    </row>
    <row r="996" ht="14.25" customHeight="1">
      <c r="A996" s="4"/>
      <c r="B996" s="4"/>
      <c r="C996" s="4"/>
      <c r="D996" s="4"/>
    </row>
    <row r="997" ht="14.25" customHeight="1">
      <c r="A997" s="4"/>
      <c r="B997" s="4"/>
      <c r="C997" s="4"/>
      <c r="D997" s="4"/>
    </row>
    <row r="998" ht="14.25" customHeight="1">
      <c r="A998" s="4"/>
      <c r="B998" s="4"/>
      <c r="C998" s="4"/>
      <c r="D998" s="4"/>
    </row>
    <row r="999" ht="14.25" customHeight="1">
      <c r="A999" s="4"/>
      <c r="B999" s="4"/>
      <c r="C999" s="4"/>
      <c r="D999" s="4"/>
    </row>
    <row r="1000" ht="14.25" customHeight="1">
      <c r="A1000" s="4"/>
      <c r="B1000" s="4"/>
      <c r="C1000" s="4"/>
      <c r="D1000" s="4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88"/>
  </cols>
  <sheetData>
    <row r="1" ht="14.25" customHeight="1">
      <c r="A1" s="3" t="s">
        <v>492</v>
      </c>
      <c r="B1" s="3" t="s">
        <v>2</v>
      </c>
      <c r="C1" s="3" t="s">
        <v>20</v>
      </c>
      <c r="D1" s="3" t="s">
        <v>21</v>
      </c>
    </row>
    <row r="2" ht="14.25" customHeight="1">
      <c r="A2" s="10">
        <v>1.0</v>
      </c>
      <c r="B2" s="10" t="s">
        <v>23</v>
      </c>
      <c r="C2" s="30">
        <v>13.594527695959197</v>
      </c>
      <c r="D2" s="30">
        <v>24.606286461455678</v>
      </c>
    </row>
    <row r="3" ht="14.25" customHeight="1">
      <c r="A3" s="10">
        <v>2.0</v>
      </c>
      <c r="B3" s="10" t="s">
        <v>63</v>
      </c>
      <c r="C3" s="30">
        <v>22.112692401703924</v>
      </c>
      <c r="D3" s="30">
        <v>35.82189156994052</v>
      </c>
    </row>
    <row r="4" ht="14.25" customHeight="1">
      <c r="A4" s="10">
        <v>3.0</v>
      </c>
      <c r="B4" s="10" t="s">
        <v>171</v>
      </c>
      <c r="C4" s="30">
        <v>21.9894264614955</v>
      </c>
      <c r="D4" s="30">
        <v>37.533824524374204</v>
      </c>
    </row>
    <row r="5" ht="14.25" customHeight="1">
      <c r="A5" s="10">
        <v>4.0</v>
      </c>
      <c r="B5" s="10" t="s">
        <v>237</v>
      </c>
      <c r="C5" s="30">
        <v>13.385696011987823</v>
      </c>
      <c r="D5" s="30">
        <v>27.845759190170764</v>
      </c>
    </row>
    <row r="6" ht="14.25" customHeight="1">
      <c r="A6" s="10">
        <v>5.0</v>
      </c>
      <c r="B6" s="10" t="s">
        <v>288</v>
      </c>
      <c r="C6" s="30">
        <v>16.429889137644256</v>
      </c>
      <c r="D6" s="30">
        <v>24.661591810896564</v>
      </c>
    </row>
    <row r="7" ht="14.25" customHeight="1">
      <c r="A7" s="10">
        <v>6.0</v>
      </c>
      <c r="B7" s="10" t="s">
        <v>346</v>
      </c>
      <c r="C7" s="30">
        <v>12.032074874876143</v>
      </c>
      <c r="D7" s="30">
        <v>30.50014220520616</v>
      </c>
    </row>
    <row r="8" ht="14.25" customHeight="1">
      <c r="A8" s="10">
        <v>7.0</v>
      </c>
      <c r="B8" s="10" t="s">
        <v>363</v>
      </c>
      <c r="C8" s="30">
        <v>31.17822322271477</v>
      </c>
      <c r="D8" s="30">
        <v>41.32883814152278</v>
      </c>
    </row>
    <row r="9" ht="14.25" customHeight="1">
      <c r="A9" s="10">
        <v>8.0</v>
      </c>
      <c r="B9" s="10" t="s">
        <v>436</v>
      </c>
      <c r="C9" s="30">
        <v>7.2153258671188505</v>
      </c>
      <c r="D9" s="30">
        <v>17.70393074170134</v>
      </c>
    </row>
    <row r="10" ht="14.25" customHeight="1">
      <c r="A10" s="10">
        <v>9.0</v>
      </c>
      <c r="B10" s="10" t="s">
        <v>466</v>
      </c>
      <c r="C10" s="30">
        <v>2.179439762248647</v>
      </c>
      <c r="D10" s="30">
        <v>10.74729361975258</v>
      </c>
    </row>
    <row r="11" ht="14.25" customHeight="1">
      <c r="A11" s="10">
        <v>10.0</v>
      </c>
      <c r="B11" s="10" t="s">
        <v>351</v>
      </c>
      <c r="C11" s="30">
        <v>10.029994766348443</v>
      </c>
      <c r="D11" s="30">
        <v>24.542191247623542</v>
      </c>
    </row>
    <row r="12" ht="14.25" customHeight="1">
      <c r="A12" s="10">
        <v>11.0</v>
      </c>
      <c r="B12" s="10" t="s">
        <v>493</v>
      </c>
      <c r="C12" s="30">
        <v>20.162042885132713</v>
      </c>
      <c r="D12" s="30">
        <v>34.035126746058424</v>
      </c>
    </row>
    <row r="13" ht="14.25" customHeight="1">
      <c r="A13" s="7"/>
      <c r="B13" s="7"/>
      <c r="C13" s="7"/>
      <c r="D13" s="7"/>
    </row>
    <row r="14" ht="14.25" customHeight="1">
      <c r="A14" s="7"/>
      <c r="B14" s="7"/>
      <c r="C14" s="7"/>
      <c r="D14" s="7"/>
    </row>
    <row r="15" ht="14.25" customHeight="1">
      <c r="A15" s="7"/>
      <c r="B15" s="7"/>
      <c r="C15" s="7"/>
      <c r="D15" s="7"/>
    </row>
    <row r="16" ht="14.25" customHeight="1">
      <c r="A16" s="7"/>
      <c r="B16" s="7"/>
      <c r="C16" s="7"/>
      <c r="D16" s="7"/>
    </row>
    <row r="17" ht="14.25" customHeight="1">
      <c r="A17" s="7"/>
      <c r="B17" s="7"/>
      <c r="C17" s="7"/>
      <c r="D17" s="7"/>
    </row>
    <row r="18" ht="14.25" customHeight="1">
      <c r="A18" s="7"/>
      <c r="B18" s="7"/>
      <c r="C18" s="7"/>
      <c r="D18" s="7"/>
    </row>
    <row r="19" ht="14.25" customHeight="1">
      <c r="A19" s="7"/>
      <c r="B19" s="7"/>
      <c r="C19" s="7"/>
      <c r="D19" s="7"/>
    </row>
    <row r="20" ht="14.25" customHeight="1">
      <c r="A20" s="7"/>
      <c r="B20" s="7"/>
      <c r="C20" s="7"/>
      <c r="D20" s="7"/>
    </row>
    <row r="21" ht="14.25" customHeight="1">
      <c r="A21" s="7"/>
      <c r="B21" s="7"/>
      <c r="C21" s="7"/>
      <c r="D21" s="7"/>
    </row>
    <row r="22" ht="14.25" customHeight="1">
      <c r="A22" s="7"/>
      <c r="B22" s="7"/>
      <c r="C22" s="7"/>
      <c r="D22" s="7"/>
    </row>
    <row r="23" ht="14.25" customHeight="1">
      <c r="A23" s="7"/>
      <c r="B23" s="7"/>
      <c r="C23" s="7"/>
      <c r="D23" s="7"/>
    </row>
    <row r="24" ht="14.25" customHeight="1">
      <c r="A24" s="7"/>
      <c r="B24" s="7"/>
      <c r="C24" s="7"/>
      <c r="D24" s="7"/>
    </row>
    <row r="25" ht="14.25" customHeight="1">
      <c r="A25" s="7"/>
      <c r="B25" s="7"/>
      <c r="C25" s="7"/>
      <c r="D25" s="7"/>
    </row>
    <row r="26" ht="14.25" customHeight="1">
      <c r="A26" s="7"/>
      <c r="B26" s="7"/>
      <c r="C26" s="7"/>
      <c r="D26" s="7"/>
    </row>
    <row r="27" ht="14.25" customHeight="1">
      <c r="A27" s="7"/>
      <c r="B27" s="7"/>
      <c r="C27" s="7"/>
      <c r="D27" s="7"/>
    </row>
    <row r="28" ht="14.25" customHeight="1">
      <c r="A28" s="7"/>
      <c r="B28" s="7"/>
      <c r="C28" s="7"/>
      <c r="D28" s="7"/>
    </row>
    <row r="29" ht="14.25" customHeight="1">
      <c r="A29" s="7"/>
      <c r="B29" s="7"/>
      <c r="C29" s="7"/>
      <c r="D29" s="7"/>
    </row>
    <row r="30" ht="14.25" customHeight="1">
      <c r="A30" s="7"/>
      <c r="B30" s="7"/>
      <c r="C30" s="7"/>
      <c r="D30" s="7"/>
    </row>
    <row r="31" ht="14.25" customHeight="1">
      <c r="A31" s="7"/>
      <c r="B31" s="7"/>
      <c r="C31" s="7"/>
      <c r="D31" s="7"/>
    </row>
    <row r="32" ht="14.25" customHeight="1">
      <c r="A32" s="7"/>
      <c r="B32" s="7"/>
      <c r="C32" s="7"/>
      <c r="D32" s="7"/>
    </row>
    <row r="33" ht="14.25" customHeight="1">
      <c r="A33" s="7"/>
      <c r="B33" s="7"/>
      <c r="C33" s="7"/>
      <c r="D33" s="7"/>
    </row>
    <row r="34" ht="14.25" customHeight="1">
      <c r="A34" s="7"/>
      <c r="B34" s="7"/>
      <c r="C34" s="7"/>
      <c r="D34" s="7"/>
    </row>
    <row r="35" ht="14.25" customHeight="1">
      <c r="A35" s="7"/>
      <c r="B35" s="7"/>
      <c r="C35" s="7"/>
      <c r="D35" s="7"/>
    </row>
    <row r="36" ht="14.25" customHeight="1">
      <c r="A36" s="7"/>
      <c r="B36" s="7"/>
      <c r="C36" s="7"/>
      <c r="D36" s="7"/>
    </row>
    <row r="37" ht="14.25" customHeight="1">
      <c r="A37" s="7"/>
      <c r="B37" s="7"/>
      <c r="C37" s="7"/>
      <c r="D37" s="7"/>
    </row>
    <row r="38" ht="14.25" customHeight="1">
      <c r="A38" s="7"/>
      <c r="B38" s="7"/>
      <c r="C38" s="7"/>
      <c r="D38" s="7"/>
    </row>
    <row r="39" ht="14.25" customHeight="1">
      <c r="A39" s="7"/>
      <c r="B39" s="7"/>
      <c r="C39" s="7"/>
      <c r="D39" s="7"/>
    </row>
    <row r="40" ht="14.25" customHeight="1">
      <c r="A40" s="7"/>
      <c r="B40" s="7"/>
      <c r="C40" s="7"/>
      <c r="D40" s="7"/>
    </row>
    <row r="41" ht="14.25" customHeight="1">
      <c r="A41" s="7"/>
      <c r="B41" s="7"/>
      <c r="C41" s="7"/>
      <c r="D41" s="7"/>
    </row>
    <row r="42" ht="14.25" customHeight="1">
      <c r="A42" s="7"/>
      <c r="B42" s="7"/>
      <c r="C42" s="7"/>
      <c r="D42" s="7"/>
    </row>
    <row r="43" ht="14.25" customHeight="1">
      <c r="A43" s="7"/>
      <c r="B43" s="7"/>
      <c r="C43" s="7"/>
      <c r="D43" s="7"/>
    </row>
    <row r="44" ht="14.25" customHeight="1">
      <c r="A44" s="7"/>
      <c r="B44" s="7"/>
      <c r="C44" s="7"/>
      <c r="D44" s="7"/>
    </row>
    <row r="45" ht="14.25" customHeight="1">
      <c r="A45" s="7"/>
      <c r="B45" s="7"/>
      <c r="C45" s="7"/>
      <c r="D45" s="7"/>
    </row>
    <row r="46" ht="14.25" customHeight="1">
      <c r="A46" s="7"/>
      <c r="B46" s="7"/>
      <c r="C46" s="7"/>
      <c r="D46" s="7"/>
    </row>
    <row r="47" ht="14.25" customHeight="1">
      <c r="A47" s="7"/>
      <c r="B47" s="7"/>
      <c r="C47" s="7"/>
      <c r="D47" s="7"/>
    </row>
    <row r="48" ht="14.25" customHeight="1">
      <c r="A48" s="7"/>
      <c r="B48" s="7"/>
      <c r="C48" s="7"/>
      <c r="D48" s="7"/>
    </row>
    <row r="49" ht="14.25" customHeight="1">
      <c r="A49" s="7"/>
      <c r="B49" s="7"/>
      <c r="C49" s="7"/>
      <c r="D49" s="7"/>
    </row>
    <row r="50" ht="14.25" customHeight="1">
      <c r="A50" s="7"/>
      <c r="B50" s="7"/>
      <c r="C50" s="7"/>
      <c r="D50" s="7"/>
    </row>
    <row r="51" ht="14.25" customHeight="1">
      <c r="A51" s="7"/>
      <c r="B51" s="7"/>
      <c r="C51" s="7"/>
      <c r="D51" s="7"/>
    </row>
    <row r="52" ht="14.25" customHeight="1">
      <c r="A52" s="7"/>
      <c r="B52" s="7"/>
      <c r="C52" s="7"/>
      <c r="D52" s="7"/>
    </row>
    <row r="53" ht="14.25" customHeight="1">
      <c r="A53" s="7"/>
      <c r="B53" s="7"/>
      <c r="C53" s="7"/>
      <c r="D53" s="7"/>
    </row>
    <row r="54" ht="14.25" customHeight="1">
      <c r="A54" s="7"/>
      <c r="B54" s="7"/>
      <c r="C54" s="7"/>
      <c r="D54" s="7"/>
    </row>
    <row r="55" ht="14.25" customHeight="1">
      <c r="A55" s="7"/>
      <c r="B55" s="7"/>
      <c r="C55" s="7"/>
      <c r="D55" s="7"/>
    </row>
    <row r="56" ht="14.25" customHeight="1">
      <c r="A56" s="7"/>
      <c r="B56" s="7"/>
      <c r="C56" s="7"/>
      <c r="D56" s="7"/>
    </row>
    <row r="57" ht="14.25" customHeight="1">
      <c r="A57" s="7"/>
      <c r="B57" s="7"/>
      <c r="C57" s="7"/>
      <c r="D57" s="7"/>
    </row>
    <row r="58" ht="14.25" customHeight="1">
      <c r="A58" s="7"/>
      <c r="B58" s="7"/>
      <c r="C58" s="7"/>
      <c r="D58" s="7"/>
    </row>
    <row r="59" ht="14.25" customHeight="1">
      <c r="A59" s="7"/>
      <c r="B59" s="7"/>
      <c r="C59" s="7"/>
      <c r="D59" s="7"/>
    </row>
    <row r="60" ht="14.25" customHeight="1">
      <c r="A60" s="7"/>
      <c r="B60" s="7"/>
      <c r="C60" s="7"/>
      <c r="D60" s="7"/>
    </row>
    <row r="61" ht="14.25" customHeight="1">
      <c r="A61" s="7"/>
      <c r="B61" s="7"/>
      <c r="C61" s="7"/>
      <c r="D61" s="7"/>
    </row>
    <row r="62" ht="14.25" customHeight="1">
      <c r="A62" s="7"/>
      <c r="B62" s="7"/>
      <c r="C62" s="7"/>
      <c r="D62" s="7"/>
    </row>
    <row r="63" ht="14.25" customHeight="1">
      <c r="A63" s="7"/>
      <c r="B63" s="7"/>
      <c r="C63" s="7"/>
      <c r="D63" s="7"/>
    </row>
    <row r="64" ht="14.25" customHeight="1">
      <c r="A64" s="7"/>
      <c r="B64" s="7"/>
      <c r="C64" s="7"/>
      <c r="D64" s="7"/>
    </row>
    <row r="65" ht="14.25" customHeight="1">
      <c r="A65" s="7"/>
      <c r="B65" s="7"/>
      <c r="C65" s="7"/>
      <c r="D65" s="7"/>
    </row>
    <row r="66" ht="14.25" customHeight="1">
      <c r="A66" s="7"/>
      <c r="B66" s="7"/>
      <c r="C66" s="7"/>
      <c r="D66" s="7"/>
    </row>
    <row r="67" ht="14.25" customHeight="1">
      <c r="A67" s="7"/>
      <c r="B67" s="7"/>
      <c r="C67" s="7"/>
      <c r="D67" s="7"/>
    </row>
    <row r="68" ht="14.25" customHeight="1">
      <c r="A68" s="7"/>
      <c r="B68" s="7"/>
      <c r="C68" s="7"/>
      <c r="D68" s="7"/>
    </row>
    <row r="69" ht="14.25" customHeight="1">
      <c r="A69" s="7"/>
      <c r="B69" s="7"/>
      <c r="C69" s="7"/>
      <c r="D69" s="7"/>
    </row>
    <row r="70" ht="14.25" customHeight="1">
      <c r="A70" s="7"/>
      <c r="B70" s="7"/>
      <c r="C70" s="7"/>
      <c r="D70" s="7"/>
    </row>
    <row r="71" ht="14.25" customHeight="1">
      <c r="A71" s="7"/>
      <c r="B71" s="7"/>
      <c r="C71" s="7"/>
      <c r="D71" s="7"/>
    </row>
    <row r="72" ht="14.25" customHeight="1">
      <c r="A72" s="7"/>
      <c r="B72" s="7"/>
      <c r="C72" s="7"/>
      <c r="D72" s="7"/>
    </row>
    <row r="73" ht="14.25" customHeight="1">
      <c r="A73" s="7"/>
      <c r="B73" s="7"/>
      <c r="C73" s="7"/>
      <c r="D73" s="7"/>
    </row>
    <row r="74" ht="14.25" customHeight="1">
      <c r="A74" s="7"/>
      <c r="B74" s="7"/>
      <c r="C74" s="7"/>
      <c r="D74" s="7"/>
    </row>
    <row r="75" ht="14.25" customHeight="1">
      <c r="A75" s="7"/>
      <c r="B75" s="7"/>
      <c r="C75" s="7"/>
      <c r="D75" s="7"/>
    </row>
    <row r="76" ht="14.25" customHeight="1">
      <c r="A76" s="7"/>
      <c r="B76" s="7"/>
      <c r="C76" s="7"/>
      <c r="D76" s="7"/>
    </row>
    <row r="77" ht="14.25" customHeight="1">
      <c r="A77" s="7"/>
      <c r="B77" s="7"/>
      <c r="C77" s="7"/>
      <c r="D77" s="7"/>
    </row>
    <row r="78" ht="14.25" customHeight="1">
      <c r="A78" s="7"/>
      <c r="B78" s="7"/>
      <c r="C78" s="7"/>
      <c r="D78" s="7"/>
    </row>
    <row r="79" ht="14.25" customHeight="1">
      <c r="A79" s="7"/>
      <c r="B79" s="7"/>
      <c r="C79" s="7"/>
      <c r="D79" s="7"/>
    </row>
    <row r="80" ht="14.25" customHeight="1">
      <c r="A80" s="7"/>
      <c r="B80" s="7"/>
      <c r="C80" s="7"/>
      <c r="D80" s="7"/>
    </row>
    <row r="81" ht="14.25" customHeight="1">
      <c r="A81" s="7"/>
      <c r="B81" s="7"/>
      <c r="C81" s="7"/>
      <c r="D81" s="7"/>
    </row>
    <row r="82" ht="14.25" customHeight="1">
      <c r="A82" s="7"/>
      <c r="B82" s="7"/>
      <c r="C82" s="7"/>
      <c r="D82" s="7"/>
    </row>
    <row r="83" ht="14.25" customHeight="1">
      <c r="A83" s="7"/>
      <c r="B83" s="7"/>
      <c r="C83" s="7"/>
      <c r="D83" s="7"/>
    </row>
    <row r="84" ht="14.25" customHeight="1">
      <c r="A84" s="7"/>
      <c r="B84" s="7"/>
      <c r="C84" s="7"/>
      <c r="D84" s="7"/>
    </row>
    <row r="85" ht="14.25" customHeight="1">
      <c r="A85" s="7"/>
      <c r="B85" s="7"/>
      <c r="C85" s="7"/>
      <c r="D85" s="7"/>
    </row>
    <row r="86" ht="14.25" customHeight="1">
      <c r="A86" s="7"/>
      <c r="B86" s="7"/>
      <c r="C86" s="7"/>
      <c r="D86" s="7"/>
    </row>
    <row r="87" ht="14.25" customHeight="1">
      <c r="A87" s="7"/>
      <c r="B87" s="7"/>
      <c r="C87" s="7"/>
      <c r="D87" s="7"/>
    </row>
    <row r="88" ht="14.25" customHeight="1">
      <c r="A88" s="7"/>
      <c r="B88" s="7"/>
      <c r="C88" s="7"/>
      <c r="D88" s="7"/>
    </row>
    <row r="89" ht="14.25" customHeight="1">
      <c r="A89" s="7"/>
      <c r="B89" s="7"/>
      <c r="C89" s="7"/>
      <c r="D89" s="7"/>
    </row>
    <row r="90" ht="14.25" customHeight="1">
      <c r="A90" s="7"/>
      <c r="B90" s="7"/>
      <c r="C90" s="7"/>
      <c r="D90" s="7"/>
    </row>
    <row r="91" ht="14.25" customHeight="1">
      <c r="A91" s="7"/>
      <c r="B91" s="7"/>
      <c r="C91" s="7"/>
      <c r="D91" s="7"/>
    </row>
    <row r="92" ht="14.25" customHeight="1">
      <c r="A92" s="7"/>
      <c r="B92" s="7"/>
      <c r="C92" s="7"/>
      <c r="D92" s="7"/>
    </row>
    <row r="93" ht="14.25" customHeight="1">
      <c r="A93" s="7"/>
      <c r="B93" s="7"/>
      <c r="C93" s="7"/>
      <c r="D93" s="7"/>
    </row>
    <row r="94" ht="14.25" customHeight="1">
      <c r="A94" s="7"/>
      <c r="B94" s="7"/>
      <c r="C94" s="7"/>
      <c r="D94" s="7"/>
    </row>
    <row r="95" ht="14.25" customHeight="1">
      <c r="A95" s="7"/>
      <c r="B95" s="7"/>
      <c r="C95" s="7"/>
      <c r="D95" s="7"/>
    </row>
    <row r="96" ht="14.25" customHeight="1">
      <c r="A96" s="7"/>
      <c r="B96" s="7"/>
      <c r="C96" s="7"/>
      <c r="D96" s="7"/>
    </row>
    <row r="97" ht="14.25" customHeight="1">
      <c r="A97" s="7"/>
      <c r="B97" s="7"/>
      <c r="C97" s="7"/>
      <c r="D97" s="7"/>
    </row>
    <row r="98" ht="14.25" customHeight="1">
      <c r="A98" s="7"/>
      <c r="B98" s="7"/>
      <c r="C98" s="7"/>
      <c r="D98" s="7"/>
    </row>
    <row r="99" ht="14.25" customHeight="1">
      <c r="A99" s="7"/>
      <c r="B99" s="7"/>
      <c r="C99" s="7"/>
      <c r="D99" s="7"/>
    </row>
    <row r="100" ht="14.25" customHeight="1">
      <c r="A100" s="7"/>
      <c r="B100" s="7"/>
      <c r="C100" s="7"/>
      <c r="D100" s="7"/>
    </row>
    <row r="101" ht="14.25" customHeight="1">
      <c r="A101" s="7"/>
      <c r="B101" s="7"/>
      <c r="C101" s="7"/>
      <c r="D101" s="7"/>
    </row>
    <row r="102" ht="14.25" customHeight="1">
      <c r="A102" s="7"/>
      <c r="B102" s="7"/>
      <c r="C102" s="7"/>
      <c r="D102" s="7"/>
    </row>
    <row r="103" ht="14.25" customHeight="1">
      <c r="A103" s="7"/>
      <c r="B103" s="7"/>
      <c r="C103" s="7"/>
      <c r="D103" s="7"/>
    </row>
    <row r="104" ht="14.25" customHeight="1">
      <c r="A104" s="7"/>
      <c r="B104" s="7"/>
      <c r="C104" s="7"/>
      <c r="D104" s="7"/>
    </row>
    <row r="105" ht="14.25" customHeight="1">
      <c r="A105" s="7"/>
      <c r="B105" s="7"/>
      <c r="C105" s="7"/>
      <c r="D105" s="7"/>
    </row>
    <row r="106" ht="14.25" customHeight="1">
      <c r="A106" s="7"/>
      <c r="B106" s="7"/>
      <c r="C106" s="7"/>
      <c r="D106" s="7"/>
    </row>
    <row r="107" ht="14.25" customHeight="1">
      <c r="A107" s="7"/>
      <c r="B107" s="7"/>
      <c r="C107" s="7"/>
      <c r="D107" s="7"/>
    </row>
    <row r="108" ht="14.25" customHeight="1">
      <c r="A108" s="7"/>
      <c r="B108" s="7"/>
      <c r="C108" s="7"/>
      <c r="D108" s="7"/>
    </row>
    <row r="109" ht="14.25" customHeight="1">
      <c r="A109" s="7"/>
      <c r="B109" s="7"/>
      <c r="C109" s="7"/>
      <c r="D109" s="7"/>
    </row>
    <row r="110" ht="14.25" customHeight="1">
      <c r="A110" s="7"/>
      <c r="B110" s="7"/>
      <c r="C110" s="7"/>
      <c r="D110" s="7"/>
    </row>
    <row r="111" ht="14.25" customHeight="1">
      <c r="A111" s="7"/>
      <c r="B111" s="7"/>
      <c r="C111" s="7"/>
      <c r="D111" s="7"/>
    </row>
    <row r="112" ht="14.25" customHeight="1">
      <c r="A112" s="7"/>
      <c r="B112" s="7"/>
      <c r="C112" s="7"/>
      <c r="D112" s="7"/>
    </row>
    <row r="113" ht="14.25" customHeight="1">
      <c r="A113" s="7"/>
      <c r="B113" s="7"/>
      <c r="C113" s="7"/>
      <c r="D113" s="7"/>
    </row>
    <row r="114" ht="14.25" customHeight="1">
      <c r="A114" s="7"/>
      <c r="B114" s="7"/>
      <c r="C114" s="7"/>
      <c r="D114" s="7"/>
    </row>
    <row r="115" ht="14.25" customHeight="1">
      <c r="A115" s="7"/>
      <c r="B115" s="7"/>
      <c r="C115" s="7"/>
      <c r="D115" s="7"/>
    </row>
    <row r="116" ht="14.25" customHeight="1">
      <c r="A116" s="7"/>
      <c r="B116" s="7"/>
      <c r="C116" s="7"/>
      <c r="D116" s="7"/>
    </row>
    <row r="117" ht="14.25" customHeight="1">
      <c r="A117" s="7"/>
      <c r="B117" s="7"/>
      <c r="C117" s="7"/>
      <c r="D117" s="7"/>
    </row>
    <row r="118" ht="14.25" customHeight="1">
      <c r="A118" s="7"/>
      <c r="B118" s="7"/>
      <c r="C118" s="7"/>
      <c r="D118" s="7"/>
    </row>
    <row r="119" ht="14.25" customHeight="1">
      <c r="A119" s="7"/>
      <c r="B119" s="7"/>
      <c r="C119" s="7"/>
      <c r="D119" s="7"/>
    </row>
    <row r="120" ht="14.25" customHeight="1">
      <c r="A120" s="7"/>
      <c r="B120" s="7"/>
      <c r="C120" s="7"/>
      <c r="D120" s="7"/>
    </row>
    <row r="121" ht="14.25" customHeight="1">
      <c r="A121" s="7"/>
      <c r="B121" s="7"/>
      <c r="C121" s="7"/>
      <c r="D121" s="7"/>
    </row>
    <row r="122" ht="14.25" customHeight="1">
      <c r="A122" s="7"/>
      <c r="B122" s="7"/>
      <c r="C122" s="7"/>
      <c r="D122" s="7"/>
    </row>
    <row r="123" ht="14.25" customHeight="1">
      <c r="A123" s="7"/>
      <c r="B123" s="7"/>
      <c r="C123" s="7"/>
      <c r="D123" s="7"/>
    </row>
    <row r="124" ht="14.25" customHeight="1">
      <c r="A124" s="7"/>
      <c r="B124" s="7"/>
      <c r="C124" s="7"/>
      <c r="D124" s="7"/>
    </row>
    <row r="125" ht="14.25" customHeight="1">
      <c r="A125" s="7"/>
      <c r="B125" s="7"/>
      <c r="C125" s="7"/>
      <c r="D125" s="7"/>
    </row>
    <row r="126" ht="14.25" customHeight="1">
      <c r="A126" s="7"/>
      <c r="B126" s="7"/>
      <c r="C126" s="7"/>
      <c r="D126" s="7"/>
    </row>
    <row r="127" ht="14.25" customHeight="1">
      <c r="A127" s="7"/>
      <c r="B127" s="7"/>
      <c r="C127" s="7"/>
      <c r="D127" s="7"/>
    </row>
    <row r="128" ht="14.25" customHeight="1">
      <c r="A128" s="7"/>
      <c r="B128" s="7"/>
      <c r="C128" s="7"/>
      <c r="D128" s="7"/>
    </row>
    <row r="129" ht="14.25" customHeight="1">
      <c r="A129" s="7"/>
      <c r="B129" s="7"/>
      <c r="C129" s="7"/>
      <c r="D129" s="7"/>
    </row>
    <row r="130" ht="14.25" customHeight="1">
      <c r="A130" s="7"/>
      <c r="B130" s="7"/>
      <c r="C130" s="7"/>
      <c r="D130" s="7"/>
    </row>
    <row r="131" ht="14.25" customHeight="1">
      <c r="A131" s="7"/>
      <c r="B131" s="7"/>
      <c r="C131" s="7"/>
      <c r="D131" s="7"/>
    </row>
    <row r="132" ht="14.25" customHeight="1">
      <c r="A132" s="7"/>
      <c r="B132" s="7"/>
      <c r="C132" s="7"/>
      <c r="D132" s="7"/>
    </row>
    <row r="133" ht="14.25" customHeight="1">
      <c r="A133" s="7"/>
      <c r="B133" s="7"/>
      <c r="C133" s="7"/>
      <c r="D133" s="7"/>
    </row>
    <row r="134" ht="14.25" customHeight="1">
      <c r="A134" s="7"/>
      <c r="B134" s="7"/>
      <c r="C134" s="7"/>
      <c r="D134" s="7"/>
    </row>
    <row r="135" ht="14.25" customHeight="1">
      <c r="A135" s="7"/>
      <c r="B135" s="7"/>
      <c r="C135" s="7"/>
      <c r="D135" s="7"/>
    </row>
    <row r="136" ht="14.25" customHeight="1">
      <c r="A136" s="7"/>
      <c r="B136" s="7"/>
      <c r="C136" s="7"/>
      <c r="D136" s="7"/>
    </row>
    <row r="137" ht="14.25" customHeight="1">
      <c r="A137" s="7"/>
      <c r="B137" s="7"/>
      <c r="C137" s="7"/>
      <c r="D137" s="7"/>
    </row>
    <row r="138" ht="14.25" customHeight="1">
      <c r="A138" s="7"/>
      <c r="B138" s="7"/>
      <c r="C138" s="7"/>
      <c r="D138" s="7"/>
    </row>
    <row r="139" ht="14.25" customHeight="1">
      <c r="A139" s="7"/>
      <c r="B139" s="7"/>
      <c r="C139" s="7"/>
      <c r="D139" s="7"/>
    </row>
    <row r="140" ht="14.25" customHeight="1">
      <c r="A140" s="7"/>
      <c r="B140" s="7"/>
      <c r="C140" s="7"/>
      <c r="D140" s="7"/>
    </row>
    <row r="141" ht="14.25" customHeight="1">
      <c r="A141" s="7"/>
      <c r="B141" s="7"/>
      <c r="C141" s="7"/>
      <c r="D141" s="7"/>
    </row>
    <row r="142" ht="14.25" customHeight="1">
      <c r="A142" s="7"/>
      <c r="B142" s="7"/>
      <c r="C142" s="7"/>
      <c r="D142" s="7"/>
    </row>
    <row r="143" ht="14.25" customHeight="1">
      <c r="A143" s="7"/>
      <c r="B143" s="7"/>
      <c r="C143" s="7"/>
      <c r="D143" s="7"/>
    </row>
    <row r="144" ht="14.25" customHeight="1">
      <c r="A144" s="7"/>
      <c r="B144" s="7"/>
      <c r="C144" s="7"/>
      <c r="D144" s="7"/>
    </row>
    <row r="145" ht="14.25" customHeight="1">
      <c r="A145" s="7"/>
      <c r="B145" s="7"/>
      <c r="C145" s="7"/>
      <c r="D145" s="7"/>
    </row>
    <row r="146" ht="14.25" customHeight="1">
      <c r="A146" s="7"/>
      <c r="B146" s="7"/>
      <c r="C146" s="7"/>
      <c r="D146" s="7"/>
    </row>
    <row r="147" ht="14.25" customHeight="1">
      <c r="A147" s="7"/>
      <c r="B147" s="7"/>
      <c r="C147" s="7"/>
      <c r="D147" s="7"/>
    </row>
    <row r="148" ht="14.25" customHeight="1">
      <c r="A148" s="7"/>
      <c r="B148" s="7"/>
      <c r="C148" s="7"/>
      <c r="D148" s="7"/>
    </row>
    <row r="149" ht="14.25" customHeight="1">
      <c r="A149" s="7"/>
      <c r="B149" s="7"/>
      <c r="C149" s="7"/>
      <c r="D149" s="7"/>
    </row>
    <row r="150" ht="14.25" customHeight="1">
      <c r="A150" s="7"/>
      <c r="B150" s="7"/>
      <c r="C150" s="7"/>
      <c r="D150" s="7"/>
    </row>
    <row r="151" ht="14.25" customHeight="1">
      <c r="A151" s="7"/>
      <c r="B151" s="7"/>
      <c r="C151" s="7"/>
      <c r="D151" s="7"/>
    </row>
    <row r="152" ht="14.25" customHeight="1">
      <c r="A152" s="7"/>
      <c r="B152" s="7"/>
      <c r="C152" s="7"/>
      <c r="D152" s="7"/>
    </row>
    <row r="153" ht="14.25" customHeight="1">
      <c r="A153" s="7"/>
      <c r="B153" s="7"/>
      <c r="C153" s="7"/>
      <c r="D153" s="7"/>
    </row>
    <row r="154" ht="14.25" customHeight="1">
      <c r="A154" s="7"/>
      <c r="B154" s="7"/>
      <c r="C154" s="7"/>
      <c r="D154" s="7"/>
    </row>
    <row r="155" ht="14.25" customHeight="1">
      <c r="A155" s="7"/>
      <c r="B155" s="7"/>
      <c r="C155" s="7"/>
      <c r="D155" s="7"/>
    </row>
    <row r="156" ht="14.25" customHeight="1">
      <c r="A156" s="7"/>
      <c r="B156" s="7"/>
      <c r="C156" s="7"/>
      <c r="D156" s="7"/>
    </row>
    <row r="157" ht="14.25" customHeight="1">
      <c r="A157" s="7"/>
      <c r="B157" s="7"/>
      <c r="C157" s="7"/>
      <c r="D157" s="7"/>
    </row>
    <row r="158" ht="14.25" customHeight="1">
      <c r="A158" s="7"/>
      <c r="B158" s="7"/>
      <c r="C158" s="7"/>
      <c r="D158" s="7"/>
    </row>
    <row r="159" ht="14.25" customHeight="1">
      <c r="A159" s="7"/>
      <c r="B159" s="7"/>
      <c r="C159" s="7"/>
      <c r="D159" s="7"/>
    </row>
    <row r="160" ht="14.25" customHeight="1">
      <c r="A160" s="7"/>
      <c r="B160" s="7"/>
      <c r="C160" s="7"/>
      <c r="D160" s="7"/>
    </row>
    <row r="161" ht="14.25" customHeight="1">
      <c r="A161" s="7"/>
      <c r="B161" s="7"/>
      <c r="C161" s="7"/>
      <c r="D161" s="7"/>
    </row>
    <row r="162" ht="14.25" customHeight="1">
      <c r="A162" s="7"/>
      <c r="B162" s="7"/>
      <c r="C162" s="7"/>
      <c r="D162" s="7"/>
    </row>
    <row r="163" ht="14.25" customHeight="1">
      <c r="A163" s="7"/>
      <c r="B163" s="7"/>
      <c r="C163" s="7"/>
      <c r="D163" s="7"/>
    </row>
    <row r="164" ht="14.25" customHeight="1">
      <c r="A164" s="7"/>
      <c r="B164" s="7"/>
      <c r="C164" s="7"/>
      <c r="D164" s="7"/>
    </row>
    <row r="165" ht="14.25" customHeight="1">
      <c r="A165" s="7"/>
      <c r="B165" s="7"/>
      <c r="C165" s="7"/>
      <c r="D165" s="7"/>
    </row>
    <row r="166" ht="14.25" customHeight="1">
      <c r="A166" s="7"/>
      <c r="B166" s="7"/>
      <c r="C166" s="7"/>
      <c r="D166" s="7"/>
    </row>
    <row r="167" ht="14.25" customHeight="1">
      <c r="A167" s="7"/>
      <c r="B167" s="7"/>
      <c r="C167" s="7"/>
      <c r="D167" s="7"/>
    </row>
    <row r="168" ht="14.25" customHeight="1">
      <c r="A168" s="7"/>
      <c r="B168" s="7"/>
      <c r="C168" s="7"/>
      <c r="D168" s="7"/>
    </row>
    <row r="169" ht="14.25" customHeight="1">
      <c r="A169" s="7"/>
      <c r="B169" s="7"/>
      <c r="C169" s="7"/>
      <c r="D169" s="7"/>
    </row>
    <row r="170" ht="14.25" customHeight="1">
      <c r="A170" s="7"/>
      <c r="B170" s="7"/>
      <c r="C170" s="7"/>
      <c r="D170" s="7"/>
    </row>
    <row r="171" ht="14.25" customHeight="1">
      <c r="A171" s="7"/>
      <c r="B171" s="7"/>
      <c r="C171" s="7"/>
      <c r="D171" s="7"/>
    </row>
    <row r="172" ht="14.25" customHeight="1">
      <c r="A172" s="7"/>
      <c r="B172" s="7"/>
      <c r="C172" s="7"/>
      <c r="D172" s="7"/>
    </row>
    <row r="173" ht="14.25" customHeight="1">
      <c r="A173" s="7"/>
      <c r="B173" s="7"/>
      <c r="C173" s="7"/>
      <c r="D173" s="7"/>
    </row>
    <row r="174" ht="14.25" customHeight="1">
      <c r="A174" s="7"/>
      <c r="B174" s="7"/>
      <c r="C174" s="7"/>
      <c r="D174" s="7"/>
    </row>
    <row r="175" ht="14.25" customHeight="1">
      <c r="A175" s="7"/>
      <c r="B175" s="7"/>
      <c r="C175" s="7"/>
      <c r="D175" s="7"/>
    </row>
    <row r="176" ht="14.25" customHeight="1">
      <c r="A176" s="7"/>
      <c r="B176" s="7"/>
      <c r="C176" s="7"/>
      <c r="D176" s="7"/>
    </row>
    <row r="177" ht="14.25" customHeight="1">
      <c r="A177" s="7"/>
      <c r="B177" s="7"/>
      <c r="C177" s="7"/>
      <c r="D177" s="7"/>
    </row>
    <row r="178" ht="14.25" customHeight="1">
      <c r="A178" s="7"/>
      <c r="B178" s="7"/>
      <c r="C178" s="7"/>
      <c r="D178" s="7"/>
    </row>
    <row r="179" ht="14.25" customHeight="1">
      <c r="A179" s="7"/>
      <c r="B179" s="7"/>
      <c r="C179" s="7"/>
      <c r="D179" s="7"/>
    </row>
    <row r="180" ht="14.25" customHeight="1">
      <c r="A180" s="7"/>
      <c r="B180" s="7"/>
      <c r="C180" s="7"/>
      <c r="D180" s="7"/>
    </row>
    <row r="181" ht="14.25" customHeight="1">
      <c r="A181" s="7"/>
      <c r="B181" s="7"/>
      <c r="C181" s="7"/>
      <c r="D181" s="7"/>
    </row>
    <row r="182" ht="14.25" customHeight="1">
      <c r="A182" s="7"/>
      <c r="B182" s="7"/>
      <c r="C182" s="7"/>
      <c r="D182" s="7"/>
    </row>
    <row r="183" ht="14.25" customHeight="1">
      <c r="A183" s="7"/>
      <c r="B183" s="7"/>
      <c r="C183" s="7"/>
      <c r="D183" s="7"/>
    </row>
    <row r="184" ht="14.25" customHeight="1">
      <c r="A184" s="7"/>
      <c r="B184" s="7"/>
      <c r="C184" s="7"/>
      <c r="D184" s="7"/>
    </row>
    <row r="185" ht="14.25" customHeight="1">
      <c r="A185" s="7"/>
      <c r="B185" s="7"/>
      <c r="C185" s="7"/>
      <c r="D185" s="7"/>
    </row>
    <row r="186" ht="14.25" customHeight="1">
      <c r="A186" s="7"/>
      <c r="B186" s="7"/>
      <c r="C186" s="7"/>
      <c r="D186" s="7"/>
    </row>
    <row r="187" ht="14.25" customHeight="1">
      <c r="A187" s="7"/>
      <c r="B187" s="7"/>
      <c r="C187" s="7"/>
      <c r="D187" s="7"/>
    </row>
    <row r="188" ht="14.25" customHeight="1">
      <c r="A188" s="7"/>
      <c r="B188" s="7"/>
      <c r="C188" s="7"/>
      <c r="D188" s="7"/>
    </row>
    <row r="189" ht="14.25" customHeight="1">
      <c r="A189" s="7"/>
      <c r="B189" s="7"/>
      <c r="C189" s="7"/>
      <c r="D189" s="7"/>
    </row>
    <row r="190" ht="14.25" customHeight="1">
      <c r="A190" s="7"/>
      <c r="B190" s="7"/>
      <c r="C190" s="7"/>
      <c r="D190" s="7"/>
    </row>
    <row r="191" ht="14.25" customHeight="1">
      <c r="A191" s="7"/>
      <c r="B191" s="7"/>
      <c r="C191" s="7"/>
      <c r="D191" s="7"/>
    </row>
    <row r="192" ht="14.25" customHeight="1">
      <c r="A192" s="7"/>
      <c r="B192" s="7"/>
      <c r="C192" s="7"/>
      <c r="D192" s="7"/>
    </row>
    <row r="193" ht="14.25" customHeight="1">
      <c r="A193" s="7"/>
      <c r="B193" s="7"/>
      <c r="C193" s="7"/>
      <c r="D193" s="7"/>
    </row>
    <row r="194" ht="14.25" customHeight="1">
      <c r="A194" s="7"/>
      <c r="B194" s="7"/>
      <c r="C194" s="7"/>
      <c r="D194" s="7"/>
    </row>
    <row r="195" ht="14.25" customHeight="1">
      <c r="A195" s="7"/>
      <c r="B195" s="7"/>
      <c r="C195" s="7"/>
      <c r="D195" s="7"/>
    </row>
    <row r="196" ht="14.25" customHeight="1">
      <c r="A196" s="7"/>
      <c r="B196" s="7"/>
      <c r="C196" s="7"/>
      <c r="D196" s="7"/>
    </row>
    <row r="197" ht="14.25" customHeight="1">
      <c r="A197" s="7"/>
      <c r="B197" s="7"/>
      <c r="C197" s="7"/>
      <c r="D197" s="7"/>
    </row>
    <row r="198" ht="14.25" customHeight="1">
      <c r="A198" s="7"/>
      <c r="B198" s="7"/>
      <c r="C198" s="7"/>
      <c r="D198" s="7"/>
    </row>
    <row r="199" ht="14.25" customHeight="1">
      <c r="A199" s="7"/>
      <c r="B199" s="7"/>
      <c r="C199" s="7"/>
      <c r="D199" s="7"/>
    </row>
    <row r="200" ht="14.25" customHeight="1">
      <c r="A200" s="7"/>
      <c r="B200" s="7"/>
      <c r="C200" s="7"/>
      <c r="D200" s="7"/>
    </row>
    <row r="201" ht="14.25" customHeight="1">
      <c r="A201" s="7"/>
      <c r="B201" s="7"/>
      <c r="C201" s="7"/>
      <c r="D201" s="7"/>
    </row>
    <row r="202" ht="14.25" customHeight="1">
      <c r="A202" s="7"/>
      <c r="B202" s="7"/>
      <c r="C202" s="7"/>
      <c r="D202" s="7"/>
    </row>
    <row r="203" ht="14.25" customHeight="1">
      <c r="A203" s="7"/>
      <c r="B203" s="7"/>
      <c r="C203" s="7"/>
      <c r="D203" s="7"/>
    </row>
    <row r="204" ht="14.25" customHeight="1">
      <c r="A204" s="7"/>
      <c r="B204" s="7"/>
      <c r="C204" s="7"/>
      <c r="D204" s="7"/>
    </row>
    <row r="205" ht="14.25" customHeight="1">
      <c r="A205" s="7"/>
      <c r="B205" s="7"/>
      <c r="C205" s="7"/>
      <c r="D205" s="7"/>
    </row>
    <row r="206" ht="14.25" customHeight="1">
      <c r="A206" s="7"/>
      <c r="B206" s="7"/>
      <c r="C206" s="7"/>
      <c r="D206" s="7"/>
    </row>
    <row r="207" ht="14.25" customHeight="1">
      <c r="A207" s="7"/>
      <c r="B207" s="7"/>
      <c r="C207" s="7"/>
      <c r="D207" s="7"/>
    </row>
    <row r="208" ht="14.25" customHeight="1">
      <c r="A208" s="7"/>
      <c r="B208" s="7"/>
      <c r="C208" s="7"/>
      <c r="D208" s="7"/>
    </row>
    <row r="209" ht="14.25" customHeight="1">
      <c r="A209" s="7"/>
      <c r="B209" s="7"/>
      <c r="C209" s="7"/>
      <c r="D209" s="7"/>
    </row>
    <row r="210" ht="14.25" customHeight="1">
      <c r="A210" s="7"/>
      <c r="B210" s="7"/>
      <c r="C210" s="7"/>
      <c r="D210" s="7"/>
    </row>
    <row r="211" ht="14.25" customHeight="1">
      <c r="A211" s="7"/>
      <c r="B211" s="7"/>
      <c r="C211" s="7"/>
      <c r="D211" s="7"/>
    </row>
    <row r="212" ht="14.25" customHeight="1">
      <c r="A212" s="7"/>
      <c r="B212" s="7"/>
      <c r="C212" s="7"/>
      <c r="D212" s="7"/>
    </row>
    <row r="213" ht="14.25" customHeight="1">
      <c r="A213" s="7"/>
      <c r="B213" s="7"/>
      <c r="C213" s="7"/>
      <c r="D213" s="7"/>
    </row>
    <row r="214" ht="14.25" customHeight="1">
      <c r="A214" s="7"/>
      <c r="B214" s="7"/>
      <c r="C214" s="7"/>
      <c r="D214" s="7"/>
    </row>
    <row r="215" ht="14.25" customHeight="1">
      <c r="A215" s="7"/>
      <c r="B215" s="7"/>
      <c r="C215" s="7"/>
      <c r="D215" s="7"/>
    </row>
    <row r="216" ht="14.25" customHeight="1">
      <c r="A216" s="7"/>
      <c r="B216" s="7"/>
      <c r="C216" s="7"/>
      <c r="D216" s="7"/>
    </row>
    <row r="217" ht="14.25" customHeight="1">
      <c r="A217" s="7"/>
      <c r="B217" s="7"/>
      <c r="C217" s="7"/>
      <c r="D217" s="7"/>
    </row>
    <row r="218" ht="14.25" customHeight="1">
      <c r="A218" s="7"/>
      <c r="B218" s="7"/>
      <c r="C218" s="7"/>
      <c r="D218" s="7"/>
    </row>
    <row r="219" ht="14.25" customHeight="1">
      <c r="A219" s="7"/>
      <c r="B219" s="7"/>
      <c r="C219" s="7"/>
      <c r="D219" s="7"/>
    </row>
    <row r="220" ht="14.25" customHeight="1">
      <c r="A220" s="7"/>
      <c r="B220" s="7"/>
      <c r="C220" s="7"/>
      <c r="D220" s="7"/>
    </row>
    <row r="221" ht="14.25" customHeight="1">
      <c r="A221" s="7"/>
      <c r="B221" s="7"/>
      <c r="C221" s="7"/>
      <c r="D221" s="7"/>
    </row>
    <row r="222" ht="14.25" customHeight="1">
      <c r="A222" s="7"/>
      <c r="B222" s="7"/>
      <c r="C222" s="7"/>
      <c r="D222" s="7"/>
    </row>
    <row r="223" ht="14.25" customHeight="1">
      <c r="A223" s="7"/>
      <c r="B223" s="7"/>
      <c r="C223" s="7"/>
      <c r="D223" s="7"/>
    </row>
    <row r="224" ht="14.25" customHeight="1">
      <c r="A224" s="7"/>
      <c r="B224" s="7"/>
      <c r="C224" s="7"/>
      <c r="D224" s="7"/>
    </row>
    <row r="225" ht="14.25" customHeight="1">
      <c r="A225" s="7"/>
      <c r="B225" s="7"/>
      <c r="C225" s="7"/>
      <c r="D225" s="7"/>
    </row>
    <row r="226" ht="14.25" customHeight="1">
      <c r="A226" s="7"/>
      <c r="B226" s="7"/>
      <c r="C226" s="7"/>
      <c r="D226" s="7"/>
    </row>
    <row r="227" ht="14.25" customHeight="1">
      <c r="A227" s="7"/>
      <c r="B227" s="7"/>
      <c r="C227" s="7"/>
      <c r="D227" s="7"/>
    </row>
    <row r="228" ht="14.25" customHeight="1">
      <c r="A228" s="7"/>
      <c r="B228" s="7"/>
      <c r="C228" s="7"/>
      <c r="D228" s="7"/>
    </row>
    <row r="229" ht="14.25" customHeight="1">
      <c r="A229" s="7"/>
      <c r="B229" s="7"/>
      <c r="C229" s="7"/>
      <c r="D229" s="7"/>
    </row>
    <row r="230" ht="14.25" customHeight="1">
      <c r="A230" s="7"/>
      <c r="B230" s="7"/>
      <c r="C230" s="7"/>
      <c r="D230" s="7"/>
    </row>
    <row r="231" ht="14.25" customHeight="1">
      <c r="A231" s="7"/>
      <c r="B231" s="7"/>
      <c r="C231" s="7"/>
      <c r="D231" s="7"/>
    </row>
    <row r="232" ht="14.25" customHeight="1">
      <c r="A232" s="7"/>
      <c r="B232" s="7"/>
      <c r="C232" s="7"/>
      <c r="D232" s="7"/>
    </row>
    <row r="233" ht="14.25" customHeight="1">
      <c r="A233" s="7"/>
      <c r="B233" s="7"/>
      <c r="C233" s="7"/>
      <c r="D233" s="7"/>
    </row>
    <row r="234" ht="14.25" customHeight="1">
      <c r="A234" s="7"/>
      <c r="B234" s="7"/>
      <c r="C234" s="7"/>
      <c r="D234" s="7"/>
    </row>
    <row r="235" ht="14.25" customHeight="1">
      <c r="A235" s="7"/>
      <c r="B235" s="7"/>
      <c r="C235" s="7"/>
      <c r="D235" s="7"/>
    </row>
    <row r="236" ht="14.25" customHeight="1">
      <c r="A236" s="7"/>
      <c r="B236" s="7"/>
      <c r="C236" s="7"/>
      <c r="D236" s="7"/>
    </row>
    <row r="237" ht="14.25" customHeight="1">
      <c r="A237" s="7"/>
      <c r="B237" s="7"/>
      <c r="C237" s="7"/>
      <c r="D237" s="7"/>
    </row>
    <row r="238" ht="14.25" customHeight="1">
      <c r="A238" s="7"/>
      <c r="B238" s="7"/>
      <c r="C238" s="7"/>
      <c r="D238" s="7"/>
    </row>
    <row r="239" ht="14.25" customHeight="1">
      <c r="A239" s="7"/>
      <c r="B239" s="7"/>
      <c r="C239" s="7"/>
      <c r="D239" s="7"/>
    </row>
    <row r="240" ht="14.25" customHeight="1">
      <c r="A240" s="7"/>
      <c r="B240" s="7"/>
      <c r="C240" s="7"/>
      <c r="D240" s="7"/>
    </row>
    <row r="241" ht="14.25" customHeight="1">
      <c r="A241" s="7"/>
      <c r="B241" s="7"/>
      <c r="C241" s="7"/>
      <c r="D241" s="7"/>
    </row>
    <row r="242" ht="14.25" customHeight="1">
      <c r="A242" s="7"/>
      <c r="B242" s="7"/>
      <c r="C242" s="7"/>
      <c r="D242" s="7"/>
    </row>
    <row r="243" ht="14.25" customHeight="1">
      <c r="A243" s="7"/>
      <c r="B243" s="7"/>
      <c r="C243" s="7"/>
      <c r="D243" s="7"/>
    </row>
    <row r="244" ht="14.25" customHeight="1">
      <c r="A244" s="7"/>
      <c r="B244" s="7"/>
      <c r="C244" s="7"/>
      <c r="D244" s="7"/>
    </row>
    <row r="245" ht="14.25" customHeight="1">
      <c r="A245" s="7"/>
      <c r="B245" s="7"/>
      <c r="C245" s="7"/>
      <c r="D245" s="7"/>
    </row>
    <row r="246" ht="14.25" customHeight="1">
      <c r="A246" s="7"/>
      <c r="B246" s="7"/>
      <c r="C246" s="7"/>
      <c r="D246" s="7"/>
    </row>
    <row r="247" ht="14.25" customHeight="1">
      <c r="A247" s="7"/>
      <c r="B247" s="7"/>
      <c r="C247" s="7"/>
      <c r="D247" s="7"/>
    </row>
    <row r="248" ht="14.25" customHeight="1">
      <c r="A248" s="7"/>
      <c r="B248" s="7"/>
      <c r="C248" s="7"/>
      <c r="D248" s="7"/>
    </row>
    <row r="249" ht="14.25" customHeight="1">
      <c r="A249" s="7"/>
      <c r="B249" s="7"/>
      <c r="C249" s="7"/>
      <c r="D249" s="7"/>
    </row>
    <row r="250" ht="14.25" customHeight="1">
      <c r="A250" s="7"/>
      <c r="B250" s="7"/>
      <c r="C250" s="7"/>
      <c r="D250" s="7"/>
    </row>
    <row r="251" ht="14.25" customHeight="1">
      <c r="A251" s="7"/>
      <c r="B251" s="7"/>
      <c r="C251" s="7"/>
      <c r="D251" s="7"/>
    </row>
    <row r="252" ht="14.25" customHeight="1">
      <c r="A252" s="7"/>
      <c r="B252" s="7"/>
      <c r="C252" s="7"/>
      <c r="D252" s="7"/>
    </row>
    <row r="253" ht="14.25" customHeight="1">
      <c r="A253" s="7"/>
      <c r="B253" s="7"/>
      <c r="C253" s="7"/>
      <c r="D253" s="7"/>
    </row>
    <row r="254" ht="14.25" customHeight="1">
      <c r="A254" s="7"/>
      <c r="B254" s="7"/>
      <c r="C254" s="7"/>
      <c r="D254" s="7"/>
    </row>
    <row r="255" ht="14.25" customHeight="1">
      <c r="A255" s="7"/>
      <c r="B255" s="7"/>
      <c r="C255" s="7"/>
      <c r="D255" s="7"/>
    </row>
    <row r="256" ht="14.25" customHeight="1">
      <c r="A256" s="7"/>
      <c r="B256" s="7"/>
      <c r="C256" s="7"/>
      <c r="D256" s="7"/>
    </row>
    <row r="257" ht="14.25" customHeight="1">
      <c r="A257" s="7"/>
      <c r="B257" s="7"/>
      <c r="C257" s="7"/>
      <c r="D257" s="7"/>
    </row>
    <row r="258" ht="14.25" customHeight="1">
      <c r="A258" s="7"/>
      <c r="B258" s="7"/>
      <c r="C258" s="7"/>
      <c r="D258" s="7"/>
    </row>
    <row r="259" ht="14.25" customHeight="1">
      <c r="A259" s="7"/>
      <c r="B259" s="7"/>
      <c r="C259" s="7"/>
      <c r="D259" s="7"/>
    </row>
    <row r="260" ht="14.25" customHeight="1">
      <c r="A260" s="7"/>
      <c r="B260" s="7"/>
      <c r="C260" s="7"/>
      <c r="D260" s="7"/>
    </row>
    <row r="261" ht="14.25" customHeight="1">
      <c r="A261" s="7"/>
      <c r="B261" s="7"/>
      <c r="C261" s="7"/>
      <c r="D261" s="7"/>
    </row>
    <row r="262" ht="14.25" customHeight="1">
      <c r="A262" s="7"/>
      <c r="B262" s="7"/>
      <c r="C262" s="7"/>
      <c r="D262" s="7"/>
    </row>
    <row r="263" ht="14.25" customHeight="1">
      <c r="A263" s="7"/>
      <c r="B263" s="7"/>
      <c r="C263" s="7"/>
      <c r="D263" s="7"/>
    </row>
    <row r="264" ht="14.25" customHeight="1">
      <c r="A264" s="7"/>
      <c r="B264" s="7"/>
      <c r="C264" s="7"/>
      <c r="D264" s="7"/>
    </row>
    <row r="265" ht="14.25" customHeight="1">
      <c r="A265" s="7"/>
      <c r="B265" s="7"/>
      <c r="C265" s="7"/>
      <c r="D265" s="7"/>
    </row>
    <row r="266" ht="14.25" customHeight="1">
      <c r="A266" s="7"/>
      <c r="B266" s="7"/>
      <c r="C266" s="7"/>
      <c r="D266" s="7"/>
    </row>
    <row r="267" ht="14.25" customHeight="1">
      <c r="A267" s="7"/>
      <c r="B267" s="7"/>
      <c r="C267" s="7"/>
      <c r="D267" s="7"/>
    </row>
    <row r="268" ht="14.25" customHeight="1">
      <c r="A268" s="7"/>
      <c r="B268" s="7"/>
      <c r="C268" s="7"/>
      <c r="D268" s="7"/>
    </row>
    <row r="269" ht="14.25" customHeight="1">
      <c r="A269" s="7"/>
      <c r="B269" s="7"/>
      <c r="C269" s="7"/>
      <c r="D269" s="7"/>
    </row>
    <row r="270" ht="14.25" customHeight="1">
      <c r="A270" s="7"/>
      <c r="B270" s="7"/>
      <c r="C270" s="7"/>
      <c r="D270" s="7"/>
    </row>
    <row r="271" ht="14.25" customHeight="1">
      <c r="A271" s="7"/>
      <c r="B271" s="7"/>
      <c r="C271" s="7"/>
      <c r="D271" s="7"/>
    </row>
    <row r="272" ht="14.25" customHeight="1">
      <c r="A272" s="7"/>
      <c r="B272" s="7"/>
      <c r="C272" s="7"/>
      <c r="D272" s="7"/>
    </row>
    <row r="273" ht="14.25" customHeight="1">
      <c r="A273" s="7"/>
      <c r="B273" s="7"/>
      <c r="C273" s="7"/>
      <c r="D273" s="7"/>
    </row>
    <row r="274" ht="14.25" customHeight="1">
      <c r="A274" s="7"/>
      <c r="B274" s="7"/>
      <c r="C274" s="7"/>
      <c r="D274" s="7"/>
    </row>
    <row r="275" ht="14.25" customHeight="1">
      <c r="A275" s="7"/>
      <c r="B275" s="7"/>
      <c r="C275" s="7"/>
      <c r="D275" s="7"/>
    </row>
    <row r="276" ht="14.25" customHeight="1">
      <c r="A276" s="7"/>
      <c r="B276" s="7"/>
      <c r="C276" s="7"/>
      <c r="D276" s="7"/>
    </row>
    <row r="277" ht="14.25" customHeight="1">
      <c r="A277" s="7"/>
      <c r="B277" s="7"/>
      <c r="C277" s="7"/>
      <c r="D277" s="7"/>
    </row>
    <row r="278" ht="14.25" customHeight="1">
      <c r="A278" s="7"/>
      <c r="B278" s="7"/>
      <c r="C278" s="7"/>
      <c r="D278" s="7"/>
    </row>
    <row r="279" ht="14.25" customHeight="1">
      <c r="A279" s="7"/>
      <c r="B279" s="7"/>
      <c r="C279" s="7"/>
      <c r="D279" s="7"/>
    </row>
    <row r="280" ht="14.25" customHeight="1">
      <c r="A280" s="7"/>
      <c r="B280" s="7"/>
      <c r="C280" s="7"/>
      <c r="D280" s="7"/>
    </row>
    <row r="281" ht="14.25" customHeight="1">
      <c r="A281" s="7"/>
      <c r="B281" s="7"/>
      <c r="C281" s="7"/>
      <c r="D281" s="7"/>
    </row>
    <row r="282" ht="14.25" customHeight="1">
      <c r="A282" s="7"/>
      <c r="B282" s="7"/>
      <c r="C282" s="7"/>
      <c r="D282" s="7"/>
    </row>
    <row r="283" ht="14.25" customHeight="1">
      <c r="A283" s="7"/>
      <c r="B283" s="7"/>
      <c r="C283" s="7"/>
      <c r="D283" s="7"/>
    </row>
    <row r="284" ht="14.25" customHeight="1">
      <c r="A284" s="7"/>
      <c r="B284" s="7"/>
      <c r="C284" s="7"/>
      <c r="D284" s="7"/>
    </row>
    <row r="285" ht="14.25" customHeight="1">
      <c r="A285" s="7"/>
      <c r="B285" s="7"/>
      <c r="C285" s="7"/>
      <c r="D285" s="7"/>
    </row>
    <row r="286" ht="14.25" customHeight="1">
      <c r="A286" s="7"/>
      <c r="B286" s="7"/>
      <c r="C286" s="7"/>
      <c r="D286" s="7"/>
    </row>
    <row r="287" ht="14.25" customHeight="1">
      <c r="A287" s="7"/>
      <c r="B287" s="7"/>
      <c r="C287" s="7"/>
      <c r="D287" s="7"/>
    </row>
    <row r="288" ht="14.25" customHeight="1">
      <c r="A288" s="7"/>
      <c r="B288" s="7"/>
      <c r="C288" s="7"/>
      <c r="D288" s="7"/>
    </row>
    <row r="289" ht="14.25" customHeight="1">
      <c r="A289" s="7"/>
      <c r="B289" s="7"/>
      <c r="C289" s="7"/>
      <c r="D289" s="7"/>
    </row>
    <row r="290" ht="14.25" customHeight="1">
      <c r="A290" s="7"/>
      <c r="B290" s="7"/>
      <c r="C290" s="7"/>
      <c r="D290" s="7"/>
    </row>
    <row r="291" ht="14.25" customHeight="1">
      <c r="A291" s="7"/>
      <c r="B291" s="7"/>
      <c r="C291" s="7"/>
      <c r="D291" s="7"/>
    </row>
    <row r="292" ht="14.25" customHeight="1">
      <c r="A292" s="7"/>
      <c r="B292" s="7"/>
      <c r="C292" s="7"/>
      <c r="D292" s="7"/>
    </row>
    <row r="293" ht="14.25" customHeight="1">
      <c r="A293" s="7"/>
      <c r="B293" s="7"/>
      <c r="C293" s="7"/>
      <c r="D293" s="7"/>
    </row>
    <row r="294" ht="14.25" customHeight="1">
      <c r="A294" s="7"/>
      <c r="B294" s="7"/>
      <c r="C294" s="7"/>
      <c r="D294" s="7"/>
    </row>
    <row r="295" ht="14.25" customHeight="1">
      <c r="A295" s="7"/>
      <c r="B295" s="7"/>
      <c r="C295" s="7"/>
      <c r="D295" s="7"/>
    </row>
    <row r="296" ht="14.25" customHeight="1">
      <c r="A296" s="7"/>
      <c r="B296" s="7"/>
      <c r="C296" s="7"/>
      <c r="D296" s="7"/>
    </row>
    <row r="297" ht="14.25" customHeight="1">
      <c r="A297" s="7"/>
      <c r="B297" s="7"/>
      <c r="C297" s="7"/>
      <c r="D297" s="7"/>
    </row>
    <row r="298" ht="14.25" customHeight="1">
      <c r="A298" s="7"/>
      <c r="B298" s="7"/>
      <c r="C298" s="7"/>
      <c r="D298" s="7"/>
    </row>
    <row r="299" ht="14.25" customHeight="1">
      <c r="A299" s="7"/>
      <c r="B299" s="7"/>
      <c r="C299" s="7"/>
      <c r="D299" s="7"/>
    </row>
    <row r="300" ht="14.25" customHeight="1">
      <c r="A300" s="7"/>
      <c r="B300" s="7"/>
      <c r="C300" s="7"/>
      <c r="D300" s="7"/>
    </row>
    <row r="301" ht="14.25" customHeight="1">
      <c r="A301" s="7"/>
      <c r="B301" s="7"/>
      <c r="C301" s="7"/>
      <c r="D301" s="7"/>
    </row>
    <row r="302" ht="14.25" customHeight="1">
      <c r="A302" s="7"/>
      <c r="B302" s="7"/>
      <c r="C302" s="7"/>
      <c r="D302" s="7"/>
    </row>
    <row r="303" ht="14.25" customHeight="1">
      <c r="A303" s="7"/>
      <c r="B303" s="7"/>
      <c r="C303" s="7"/>
      <c r="D303" s="7"/>
    </row>
    <row r="304" ht="14.25" customHeight="1">
      <c r="A304" s="7"/>
      <c r="B304" s="7"/>
      <c r="C304" s="7"/>
      <c r="D304" s="7"/>
    </row>
    <row r="305" ht="14.25" customHeight="1">
      <c r="A305" s="7"/>
      <c r="B305" s="7"/>
      <c r="C305" s="7"/>
      <c r="D305" s="7"/>
    </row>
    <row r="306" ht="14.25" customHeight="1">
      <c r="A306" s="7"/>
      <c r="B306" s="7"/>
      <c r="C306" s="7"/>
      <c r="D306" s="7"/>
    </row>
    <row r="307" ht="14.25" customHeight="1">
      <c r="A307" s="7"/>
      <c r="B307" s="7"/>
      <c r="C307" s="7"/>
      <c r="D307" s="7"/>
    </row>
    <row r="308" ht="14.25" customHeight="1">
      <c r="A308" s="7"/>
      <c r="B308" s="7"/>
      <c r="C308" s="7"/>
      <c r="D308" s="7"/>
    </row>
    <row r="309" ht="14.25" customHeight="1">
      <c r="A309" s="7"/>
      <c r="B309" s="7"/>
      <c r="C309" s="7"/>
      <c r="D309" s="7"/>
    </row>
    <row r="310" ht="14.25" customHeight="1">
      <c r="A310" s="7"/>
      <c r="B310" s="7"/>
      <c r="C310" s="7"/>
      <c r="D310" s="7"/>
    </row>
    <row r="311" ht="14.25" customHeight="1">
      <c r="A311" s="7"/>
      <c r="B311" s="7"/>
      <c r="C311" s="7"/>
      <c r="D311" s="7"/>
    </row>
    <row r="312" ht="14.25" customHeight="1">
      <c r="A312" s="7"/>
      <c r="B312" s="7"/>
      <c r="C312" s="7"/>
      <c r="D312" s="7"/>
    </row>
    <row r="313" ht="14.25" customHeight="1">
      <c r="A313" s="7"/>
      <c r="B313" s="7"/>
      <c r="C313" s="7"/>
      <c r="D313" s="7"/>
    </row>
    <row r="314" ht="14.25" customHeight="1">
      <c r="A314" s="7"/>
      <c r="B314" s="7"/>
      <c r="C314" s="7"/>
      <c r="D314" s="7"/>
    </row>
    <row r="315" ht="14.25" customHeight="1">
      <c r="A315" s="7"/>
      <c r="B315" s="7"/>
      <c r="C315" s="7"/>
      <c r="D315" s="7"/>
    </row>
    <row r="316" ht="14.25" customHeight="1">
      <c r="A316" s="7"/>
      <c r="B316" s="7"/>
      <c r="C316" s="7"/>
      <c r="D316" s="7"/>
    </row>
    <row r="317" ht="14.25" customHeight="1">
      <c r="A317" s="7"/>
      <c r="B317" s="7"/>
      <c r="C317" s="7"/>
      <c r="D317" s="7"/>
    </row>
    <row r="318" ht="14.25" customHeight="1">
      <c r="A318" s="7"/>
      <c r="B318" s="7"/>
      <c r="C318" s="7"/>
      <c r="D318" s="7"/>
    </row>
    <row r="319" ht="14.25" customHeight="1">
      <c r="A319" s="7"/>
      <c r="B319" s="7"/>
      <c r="C319" s="7"/>
      <c r="D319" s="7"/>
    </row>
    <row r="320" ht="14.25" customHeight="1">
      <c r="A320" s="7"/>
      <c r="B320" s="7"/>
      <c r="C320" s="7"/>
      <c r="D320" s="7"/>
    </row>
    <row r="321" ht="14.25" customHeight="1">
      <c r="A321" s="7"/>
      <c r="B321" s="7"/>
      <c r="C321" s="7"/>
      <c r="D321" s="7"/>
    </row>
    <row r="322" ht="14.25" customHeight="1">
      <c r="A322" s="7"/>
      <c r="B322" s="7"/>
      <c r="C322" s="7"/>
      <c r="D322" s="7"/>
    </row>
    <row r="323" ht="14.25" customHeight="1">
      <c r="A323" s="7"/>
      <c r="B323" s="7"/>
      <c r="C323" s="7"/>
      <c r="D323" s="7"/>
    </row>
    <row r="324" ht="14.25" customHeight="1">
      <c r="A324" s="7"/>
      <c r="B324" s="7"/>
      <c r="C324" s="7"/>
      <c r="D324" s="7"/>
    </row>
    <row r="325" ht="14.25" customHeight="1">
      <c r="A325" s="7"/>
      <c r="B325" s="7"/>
      <c r="C325" s="7"/>
      <c r="D325" s="7"/>
    </row>
    <row r="326" ht="14.25" customHeight="1">
      <c r="A326" s="7"/>
      <c r="B326" s="7"/>
      <c r="C326" s="7"/>
      <c r="D326" s="7"/>
    </row>
    <row r="327" ht="14.25" customHeight="1">
      <c r="A327" s="7"/>
      <c r="B327" s="7"/>
      <c r="C327" s="7"/>
      <c r="D327" s="7"/>
    </row>
    <row r="328" ht="14.25" customHeight="1">
      <c r="A328" s="7"/>
      <c r="B328" s="7"/>
      <c r="C328" s="7"/>
      <c r="D328" s="7"/>
    </row>
    <row r="329" ht="14.25" customHeight="1">
      <c r="A329" s="7"/>
      <c r="B329" s="7"/>
      <c r="C329" s="7"/>
      <c r="D329" s="7"/>
    </row>
    <row r="330" ht="14.25" customHeight="1">
      <c r="A330" s="7"/>
      <c r="B330" s="7"/>
      <c r="C330" s="7"/>
      <c r="D330" s="7"/>
    </row>
    <row r="331" ht="14.25" customHeight="1">
      <c r="A331" s="7"/>
      <c r="B331" s="7"/>
      <c r="C331" s="7"/>
      <c r="D331" s="7"/>
    </row>
    <row r="332" ht="14.25" customHeight="1">
      <c r="A332" s="7"/>
      <c r="B332" s="7"/>
      <c r="C332" s="7"/>
      <c r="D332" s="7"/>
    </row>
    <row r="333" ht="14.25" customHeight="1">
      <c r="A333" s="7"/>
      <c r="B333" s="7"/>
      <c r="C333" s="7"/>
      <c r="D333" s="7"/>
    </row>
    <row r="334" ht="14.25" customHeight="1">
      <c r="A334" s="7"/>
      <c r="B334" s="7"/>
      <c r="C334" s="7"/>
      <c r="D334" s="7"/>
    </row>
    <row r="335" ht="14.25" customHeight="1">
      <c r="A335" s="7"/>
      <c r="B335" s="7"/>
      <c r="C335" s="7"/>
      <c r="D335" s="7"/>
    </row>
    <row r="336" ht="14.25" customHeight="1">
      <c r="A336" s="7"/>
      <c r="B336" s="7"/>
      <c r="C336" s="7"/>
      <c r="D336" s="7"/>
    </row>
    <row r="337" ht="14.25" customHeight="1">
      <c r="A337" s="7"/>
      <c r="B337" s="7"/>
      <c r="C337" s="7"/>
      <c r="D337" s="7"/>
    </row>
    <row r="338" ht="14.25" customHeight="1">
      <c r="A338" s="7"/>
      <c r="B338" s="7"/>
      <c r="C338" s="7"/>
      <c r="D338" s="7"/>
    </row>
    <row r="339" ht="14.25" customHeight="1">
      <c r="A339" s="7"/>
      <c r="B339" s="7"/>
      <c r="C339" s="7"/>
      <c r="D339" s="7"/>
    </row>
    <row r="340" ht="14.25" customHeight="1">
      <c r="A340" s="7"/>
      <c r="B340" s="7"/>
      <c r="C340" s="7"/>
      <c r="D340" s="7"/>
    </row>
    <row r="341" ht="14.25" customHeight="1">
      <c r="A341" s="7"/>
      <c r="B341" s="7"/>
      <c r="C341" s="7"/>
      <c r="D341" s="7"/>
    </row>
    <row r="342" ht="14.25" customHeight="1">
      <c r="A342" s="7"/>
      <c r="B342" s="7"/>
      <c r="C342" s="7"/>
      <c r="D342" s="7"/>
    </row>
    <row r="343" ht="14.25" customHeight="1">
      <c r="A343" s="7"/>
      <c r="B343" s="7"/>
      <c r="C343" s="7"/>
      <c r="D343" s="7"/>
    </row>
    <row r="344" ht="14.25" customHeight="1">
      <c r="A344" s="7"/>
      <c r="B344" s="7"/>
      <c r="C344" s="7"/>
      <c r="D344" s="7"/>
    </row>
    <row r="345" ht="14.25" customHeight="1">
      <c r="A345" s="7"/>
      <c r="B345" s="7"/>
      <c r="C345" s="7"/>
      <c r="D345" s="7"/>
    </row>
    <row r="346" ht="14.25" customHeight="1">
      <c r="A346" s="7"/>
      <c r="B346" s="7"/>
      <c r="C346" s="7"/>
      <c r="D346" s="7"/>
    </row>
    <row r="347" ht="14.25" customHeight="1">
      <c r="A347" s="7"/>
      <c r="B347" s="7"/>
      <c r="C347" s="7"/>
      <c r="D347" s="7"/>
    </row>
    <row r="348" ht="14.25" customHeight="1">
      <c r="A348" s="7"/>
      <c r="B348" s="7"/>
      <c r="C348" s="7"/>
      <c r="D348" s="7"/>
    </row>
    <row r="349" ht="14.25" customHeight="1">
      <c r="A349" s="7"/>
      <c r="B349" s="7"/>
      <c r="C349" s="7"/>
      <c r="D349" s="7"/>
    </row>
    <row r="350" ht="14.25" customHeight="1">
      <c r="A350" s="7"/>
      <c r="B350" s="7"/>
      <c r="C350" s="7"/>
      <c r="D350" s="7"/>
    </row>
    <row r="351" ht="14.25" customHeight="1">
      <c r="A351" s="7"/>
      <c r="B351" s="7"/>
      <c r="C351" s="7"/>
      <c r="D351" s="7"/>
    </row>
    <row r="352" ht="14.25" customHeight="1">
      <c r="A352" s="7"/>
      <c r="B352" s="7"/>
      <c r="C352" s="7"/>
      <c r="D352" s="7"/>
    </row>
    <row r="353" ht="14.25" customHeight="1">
      <c r="A353" s="7"/>
      <c r="B353" s="7"/>
      <c r="C353" s="7"/>
      <c r="D353" s="7"/>
    </row>
    <row r="354" ht="14.25" customHeight="1">
      <c r="A354" s="7"/>
      <c r="B354" s="7"/>
      <c r="C354" s="7"/>
      <c r="D354" s="7"/>
    </row>
    <row r="355" ht="14.25" customHeight="1">
      <c r="A355" s="7"/>
      <c r="B355" s="7"/>
      <c r="C355" s="7"/>
      <c r="D355" s="7"/>
    </row>
    <row r="356" ht="14.25" customHeight="1">
      <c r="A356" s="7"/>
      <c r="B356" s="7"/>
      <c r="C356" s="7"/>
      <c r="D356" s="7"/>
    </row>
    <row r="357" ht="14.25" customHeight="1">
      <c r="A357" s="7"/>
      <c r="B357" s="7"/>
      <c r="C357" s="7"/>
      <c r="D357" s="7"/>
    </row>
    <row r="358" ht="14.25" customHeight="1">
      <c r="A358" s="7"/>
      <c r="B358" s="7"/>
      <c r="C358" s="7"/>
      <c r="D358" s="7"/>
    </row>
    <row r="359" ht="14.25" customHeight="1">
      <c r="A359" s="7"/>
      <c r="B359" s="7"/>
      <c r="C359" s="7"/>
      <c r="D359" s="7"/>
    </row>
    <row r="360" ht="14.25" customHeight="1">
      <c r="A360" s="7"/>
      <c r="B360" s="7"/>
      <c r="C360" s="7"/>
      <c r="D360" s="7"/>
    </row>
    <row r="361" ht="14.25" customHeight="1">
      <c r="A361" s="7"/>
      <c r="B361" s="7"/>
      <c r="C361" s="7"/>
      <c r="D361" s="7"/>
    </row>
    <row r="362" ht="14.25" customHeight="1">
      <c r="A362" s="7"/>
      <c r="B362" s="7"/>
      <c r="C362" s="7"/>
      <c r="D362" s="7"/>
    </row>
    <row r="363" ht="14.25" customHeight="1">
      <c r="A363" s="7"/>
      <c r="B363" s="7"/>
      <c r="C363" s="7"/>
      <c r="D363" s="7"/>
    </row>
    <row r="364" ht="14.25" customHeight="1">
      <c r="A364" s="7"/>
      <c r="B364" s="7"/>
      <c r="C364" s="7"/>
      <c r="D364" s="7"/>
    </row>
    <row r="365" ht="14.25" customHeight="1">
      <c r="A365" s="7"/>
      <c r="B365" s="7"/>
      <c r="C365" s="7"/>
      <c r="D365" s="7"/>
    </row>
    <row r="366" ht="14.25" customHeight="1">
      <c r="A366" s="7"/>
      <c r="B366" s="7"/>
      <c r="C366" s="7"/>
      <c r="D366" s="7"/>
    </row>
    <row r="367" ht="14.25" customHeight="1">
      <c r="A367" s="7"/>
      <c r="B367" s="7"/>
      <c r="C367" s="7"/>
      <c r="D367" s="7"/>
    </row>
    <row r="368" ht="14.25" customHeight="1">
      <c r="A368" s="7"/>
      <c r="B368" s="7"/>
      <c r="C368" s="7"/>
      <c r="D368" s="7"/>
    </row>
    <row r="369" ht="14.25" customHeight="1">
      <c r="A369" s="7"/>
      <c r="B369" s="7"/>
      <c r="C369" s="7"/>
      <c r="D369" s="7"/>
    </row>
    <row r="370" ht="14.25" customHeight="1">
      <c r="A370" s="7"/>
      <c r="B370" s="7"/>
      <c r="C370" s="7"/>
      <c r="D370" s="7"/>
    </row>
    <row r="371" ht="14.25" customHeight="1">
      <c r="A371" s="7"/>
      <c r="B371" s="7"/>
      <c r="C371" s="7"/>
      <c r="D371" s="7"/>
    </row>
    <row r="372" ht="14.25" customHeight="1">
      <c r="A372" s="7"/>
      <c r="B372" s="7"/>
      <c r="C372" s="7"/>
      <c r="D372" s="7"/>
    </row>
    <row r="373" ht="14.25" customHeight="1">
      <c r="A373" s="7"/>
      <c r="B373" s="7"/>
      <c r="C373" s="7"/>
      <c r="D373" s="7"/>
    </row>
    <row r="374" ht="14.25" customHeight="1">
      <c r="A374" s="7"/>
      <c r="B374" s="7"/>
      <c r="C374" s="7"/>
      <c r="D374" s="7"/>
    </row>
    <row r="375" ht="14.25" customHeight="1">
      <c r="A375" s="7"/>
      <c r="B375" s="7"/>
      <c r="C375" s="7"/>
      <c r="D375" s="7"/>
    </row>
    <row r="376" ht="14.25" customHeight="1">
      <c r="A376" s="7"/>
      <c r="B376" s="7"/>
      <c r="C376" s="7"/>
      <c r="D376" s="7"/>
    </row>
    <row r="377" ht="14.25" customHeight="1">
      <c r="A377" s="7"/>
      <c r="B377" s="7"/>
      <c r="C377" s="7"/>
      <c r="D377" s="7"/>
    </row>
    <row r="378" ht="14.25" customHeight="1">
      <c r="A378" s="7"/>
      <c r="B378" s="7"/>
      <c r="C378" s="7"/>
      <c r="D378" s="7"/>
    </row>
    <row r="379" ht="14.25" customHeight="1">
      <c r="A379" s="7"/>
      <c r="B379" s="7"/>
      <c r="C379" s="7"/>
      <c r="D379" s="7"/>
    </row>
    <row r="380" ht="14.25" customHeight="1">
      <c r="A380" s="7"/>
      <c r="B380" s="7"/>
      <c r="C380" s="7"/>
      <c r="D380" s="7"/>
    </row>
    <row r="381" ht="14.25" customHeight="1">
      <c r="A381" s="7"/>
      <c r="B381" s="7"/>
      <c r="C381" s="7"/>
      <c r="D381" s="7"/>
    </row>
    <row r="382" ht="14.25" customHeight="1">
      <c r="A382" s="7"/>
      <c r="B382" s="7"/>
      <c r="C382" s="7"/>
      <c r="D382" s="7"/>
    </row>
    <row r="383" ht="14.25" customHeight="1">
      <c r="A383" s="7"/>
      <c r="B383" s="7"/>
      <c r="C383" s="7"/>
      <c r="D383" s="7"/>
    </row>
    <row r="384" ht="14.25" customHeight="1">
      <c r="A384" s="7"/>
      <c r="B384" s="7"/>
      <c r="C384" s="7"/>
      <c r="D384" s="7"/>
    </row>
    <row r="385" ht="14.25" customHeight="1">
      <c r="A385" s="7"/>
      <c r="B385" s="7"/>
      <c r="C385" s="7"/>
      <c r="D385" s="7"/>
    </row>
    <row r="386" ht="14.25" customHeight="1">
      <c r="A386" s="7"/>
      <c r="B386" s="7"/>
      <c r="C386" s="7"/>
      <c r="D386" s="7"/>
    </row>
    <row r="387" ht="14.25" customHeight="1">
      <c r="A387" s="7"/>
      <c r="B387" s="7"/>
      <c r="C387" s="7"/>
      <c r="D387" s="7"/>
    </row>
    <row r="388" ht="14.25" customHeight="1">
      <c r="A388" s="7"/>
      <c r="B388" s="7"/>
      <c r="C388" s="7"/>
      <c r="D388" s="7"/>
    </row>
    <row r="389" ht="14.25" customHeight="1">
      <c r="A389" s="7"/>
      <c r="B389" s="7"/>
      <c r="C389" s="7"/>
      <c r="D389" s="7"/>
    </row>
    <row r="390" ht="14.25" customHeight="1">
      <c r="A390" s="7"/>
      <c r="B390" s="7"/>
      <c r="C390" s="7"/>
      <c r="D390" s="7"/>
    </row>
    <row r="391" ht="14.25" customHeight="1">
      <c r="A391" s="7"/>
      <c r="B391" s="7"/>
      <c r="C391" s="7"/>
      <c r="D391" s="7"/>
    </row>
    <row r="392" ht="14.25" customHeight="1">
      <c r="A392" s="7"/>
      <c r="B392" s="7"/>
      <c r="C392" s="7"/>
      <c r="D392" s="7"/>
    </row>
    <row r="393" ht="14.25" customHeight="1">
      <c r="A393" s="7"/>
      <c r="B393" s="7"/>
      <c r="C393" s="7"/>
      <c r="D393" s="7"/>
    </row>
    <row r="394" ht="14.25" customHeight="1">
      <c r="A394" s="7"/>
      <c r="B394" s="7"/>
      <c r="C394" s="7"/>
      <c r="D394" s="7"/>
    </row>
    <row r="395" ht="14.25" customHeight="1">
      <c r="A395" s="7"/>
      <c r="B395" s="7"/>
      <c r="C395" s="7"/>
      <c r="D395" s="7"/>
    </row>
    <row r="396" ht="14.25" customHeight="1">
      <c r="A396" s="7"/>
      <c r="B396" s="7"/>
      <c r="C396" s="7"/>
      <c r="D396" s="7"/>
    </row>
    <row r="397" ht="14.25" customHeight="1">
      <c r="A397" s="7"/>
      <c r="B397" s="7"/>
      <c r="C397" s="7"/>
      <c r="D397" s="7"/>
    </row>
    <row r="398" ht="14.25" customHeight="1">
      <c r="A398" s="7"/>
      <c r="B398" s="7"/>
      <c r="C398" s="7"/>
      <c r="D398" s="7"/>
    </row>
    <row r="399" ht="14.25" customHeight="1">
      <c r="A399" s="7"/>
      <c r="B399" s="7"/>
      <c r="C399" s="7"/>
      <c r="D399" s="7"/>
    </row>
    <row r="400" ht="14.25" customHeight="1">
      <c r="A400" s="7"/>
      <c r="B400" s="7"/>
      <c r="C400" s="7"/>
      <c r="D400" s="7"/>
    </row>
    <row r="401" ht="14.25" customHeight="1">
      <c r="A401" s="7"/>
      <c r="B401" s="7"/>
      <c r="C401" s="7"/>
      <c r="D401" s="7"/>
    </row>
    <row r="402" ht="14.25" customHeight="1">
      <c r="A402" s="7"/>
      <c r="B402" s="7"/>
      <c r="C402" s="7"/>
      <c r="D402" s="7"/>
    </row>
    <row r="403" ht="14.25" customHeight="1">
      <c r="A403" s="7"/>
      <c r="B403" s="7"/>
      <c r="C403" s="7"/>
      <c r="D403" s="7"/>
    </row>
    <row r="404" ht="14.25" customHeight="1">
      <c r="A404" s="7"/>
      <c r="B404" s="7"/>
      <c r="C404" s="7"/>
      <c r="D404" s="7"/>
    </row>
    <row r="405" ht="14.25" customHeight="1">
      <c r="A405" s="7"/>
      <c r="B405" s="7"/>
      <c r="C405" s="7"/>
      <c r="D405" s="7"/>
    </row>
    <row r="406" ht="14.25" customHeight="1">
      <c r="A406" s="7"/>
      <c r="B406" s="7"/>
      <c r="C406" s="7"/>
      <c r="D406" s="7"/>
    </row>
    <row r="407" ht="14.25" customHeight="1">
      <c r="A407" s="7"/>
      <c r="B407" s="7"/>
      <c r="C407" s="7"/>
      <c r="D407" s="7"/>
    </row>
    <row r="408" ht="14.25" customHeight="1">
      <c r="A408" s="7"/>
      <c r="B408" s="7"/>
      <c r="C408" s="7"/>
      <c r="D408" s="7"/>
    </row>
    <row r="409" ht="14.25" customHeight="1">
      <c r="A409" s="7"/>
      <c r="B409" s="7"/>
      <c r="C409" s="7"/>
      <c r="D409" s="7"/>
    </row>
    <row r="410" ht="14.25" customHeight="1">
      <c r="A410" s="7"/>
      <c r="B410" s="7"/>
      <c r="C410" s="7"/>
      <c r="D410" s="7"/>
    </row>
    <row r="411" ht="14.25" customHeight="1">
      <c r="A411" s="7"/>
      <c r="B411" s="7"/>
      <c r="C411" s="7"/>
      <c r="D411" s="7"/>
    </row>
    <row r="412" ht="14.25" customHeight="1">
      <c r="A412" s="7"/>
      <c r="B412" s="7"/>
      <c r="C412" s="7"/>
      <c r="D412" s="7"/>
    </row>
    <row r="413" ht="14.25" customHeight="1">
      <c r="A413" s="7"/>
      <c r="B413" s="7"/>
      <c r="C413" s="7"/>
      <c r="D413" s="7"/>
    </row>
    <row r="414" ht="14.25" customHeight="1">
      <c r="A414" s="7"/>
      <c r="B414" s="7"/>
      <c r="C414" s="7"/>
      <c r="D414" s="7"/>
    </row>
    <row r="415" ht="14.25" customHeight="1">
      <c r="A415" s="7"/>
      <c r="B415" s="7"/>
      <c r="C415" s="7"/>
      <c r="D415" s="7"/>
    </row>
    <row r="416" ht="14.25" customHeight="1">
      <c r="A416" s="7"/>
      <c r="B416" s="7"/>
      <c r="C416" s="7"/>
      <c r="D416" s="7"/>
    </row>
    <row r="417" ht="14.25" customHeight="1">
      <c r="A417" s="7"/>
      <c r="B417" s="7"/>
      <c r="C417" s="7"/>
      <c r="D417" s="7"/>
    </row>
    <row r="418" ht="14.25" customHeight="1">
      <c r="A418" s="7"/>
      <c r="B418" s="7"/>
      <c r="C418" s="7"/>
      <c r="D418" s="7"/>
    </row>
    <row r="419" ht="14.25" customHeight="1">
      <c r="A419" s="7"/>
      <c r="B419" s="7"/>
      <c r="C419" s="7"/>
      <c r="D419" s="7"/>
    </row>
    <row r="420" ht="14.25" customHeight="1">
      <c r="A420" s="7"/>
      <c r="B420" s="7"/>
      <c r="C420" s="7"/>
      <c r="D420" s="7"/>
    </row>
    <row r="421" ht="14.25" customHeight="1">
      <c r="A421" s="7"/>
      <c r="B421" s="7"/>
      <c r="C421" s="7"/>
      <c r="D421" s="7"/>
    </row>
    <row r="422" ht="14.25" customHeight="1">
      <c r="A422" s="7"/>
      <c r="B422" s="7"/>
      <c r="C422" s="7"/>
      <c r="D422" s="7"/>
    </row>
    <row r="423" ht="14.25" customHeight="1">
      <c r="A423" s="7"/>
      <c r="B423" s="7"/>
      <c r="C423" s="7"/>
      <c r="D423" s="7"/>
    </row>
    <row r="424" ht="14.25" customHeight="1">
      <c r="A424" s="7"/>
      <c r="B424" s="7"/>
      <c r="C424" s="7"/>
      <c r="D424" s="7"/>
    </row>
    <row r="425" ht="14.25" customHeight="1">
      <c r="A425" s="7"/>
      <c r="B425" s="7"/>
      <c r="C425" s="7"/>
      <c r="D425" s="7"/>
    </row>
    <row r="426" ht="14.25" customHeight="1">
      <c r="A426" s="7"/>
      <c r="B426" s="7"/>
      <c r="C426" s="7"/>
      <c r="D426" s="7"/>
    </row>
    <row r="427" ht="14.25" customHeight="1">
      <c r="A427" s="7"/>
      <c r="B427" s="7"/>
      <c r="C427" s="7"/>
      <c r="D427" s="7"/>
    </row>
    <row r="428" ht="14.25" customHeight="1">
      <c r="A428" s="7"/>
      <c r="B428" s="7"/>
      <c r="C428" s="7"/>
      <c r="D428" s="7"/>
    </row>
    <row r="429" ht="14.25" customHeight="1">
      <c r="A429" s="7"/>
      <c r="B429" s="7"/>
      <c r="C429" s="7"/>
      <c r="D429" s="7"/>
    </row>
    <row r="430" ht="14.25" customHeight="1">
      <c r="A430" s="7"/>
      <c r="B430" s="7"/>
      <c r="C430" s="7"/>
      <c r="D430" s="7"/>
    </row>
    <row r="431" ht="14.25" customHeight="1">
      <c r="A431" s="7"/>
      <c r="B431" s="7"/>
      <c r="C431" s="7"/>
      <c r="D431" s="7"/>
    </row>
    <row r="432" ht="14.25" customHeight="1">
      <c r="A432" s="7"/>
      <c r="B432" s="7"/>
      <c r="C432" s="7"/>
      <c r="D432" s="7"/>
    </row>
    <row r="433" ht="14.25" customHeight="1">
      <c r="A433" s="7"/>
      <c r="B433" s="7"/>
      <c r="C433" s="7"/>
      <c r="D433" s="7"/>
    </row>
    <row r="434" ht="14.25" customHeight="1">
      <c r="A434" s="7"/>
      <c r="B434" s="7"/>
      <c r="C434" s="7"/>
      <c r="D434" s="7"/>
    </row>
    <row r="435" ht="14.25" customHeight="1">
      <c r="A435" s="7"/>
      <c r="B435" s="7"/>
      <c r="C435" s="7"/>
      <c r="D435" s="7"/>
    </row>
    <row r="436" ht="14.25" customHeight="1">
      <c r="A436" s="7"/>
      <c r="B436" s="7"/>
      <c r="C436" s="7"/>
      <c r="D436" s="7"/>
    </row>
    <row r="437" ht="14.25" customHeight="1">
      <c r="A437" s="7"/>
      <c r="B437" s="7"/>
      <c r="C437" s="7"/>
      <c r="D437" s="7"/>
    </row>
    <row r="438" ht="14.25" customHeight="1">
      <c r="A438" s="7"/>
      <c r="B438" s="7"/>
      <c r="C438" s="7"/>
      <c r="D438" s="7"/>
    </row>
    <row r="439" ht="14.25" customHeight="1">
      <c r="A439" s="7"/>
      <c r="B439" s="7"/>
      <c r="C439" s="7"/>
      <c r="D439" s="7"/>
    </row>
    <row r="440" ht="14.25" customHeight="1">
      <c r="A440" s="7"/>
      <c r="B440" s="7"/>
      <c r="C440" s="7"/>
      <c r="D440" s="7"/>
    </row>
    <row r="441" ht="14.25" customHeight="1">
      <c r="A441" s="7"/>
      <c r="B441" s="7"/>
      <c r="C441" s="7"/>
      <c r="D441" s="7"/>
    </row>
    <row r="442" ht="14.25" customHeight="1">
      <c r="A442" s="7"/>
      <c r="B442" s="7"/>
      <c r="C442" s="7"/>
      <c r="D442" s="7"/>
    </row>
    <row r="443" ht="14.25" customHeight="1">
      <c r="A443" s="7"/>
      <c r="B443" s="7"/>
      <c r="C443" s="7"/>
      <c r="D443" s="7"/>
    </row>
    <row r="444" ht="14.25" customHeight="1">
      <c r="A444" s="7"/>
      <c r="B444" s="7"/>
      <c r="C444" s="7"/>
      <c r="D444" s="7"/>
    </row>
    <row r="445" ht="14.25" customHeight="1">
      <c r="A445" s="7"/>
      <c r="B445" s="7"/>
      <c r="C445" s="7"/>
      <c r="D445" s="7"/>
    </row>
    <row r="446" ht="14.25" customHeight="1">
      <c r="A446" s="7"/>
      <c r="B446" s="7"/>
      <c r="C446" s="7"/>
      <c r="D446" s="7"/>
    </row>
    <row r="447" ht="14.25" customHeight="1">
      <c r="A447" s="7"/>
      <c r="B447" s="7"/>
      <c r="C447" s="7"/>
      <c r="D447" s="7"/>
    </row>
    <row r="448" ht="14.25" customHeight="1">
      <c r="A448" s="7"/>
      <c r="B448" s="7"/>
      <c r="C448" s="7"/>
      <c r="D448" s="7"/>
    </row>
    <row r="449" ht="14.25" customHeight="1">
      <c r="A449" s="7"/>
      <c r="B449" s="7"/>
      <c r="C449" s="7"/>
      <c r="D449" s="7"/>
    </row>
    <row r="450" ht="14.25" customHeight="1">
      <c r="A450" s="7"/>
      <c r="B450" s="7"/>
      <c r="C450" s="7"/>
      <c r="D450" s="7"/>
    </row>
    <row r="451" ht="14.25" customHeight="1">
      <c r="A451" s="7"/>
      <c r="B451" s="7"/>
      <c r="C451" s="7"/>
      <c r="D451" s="7"/>
    </row>
    <row r="452" ht="14.25" customHeight="1">
      <c r="A452" s="7"/>
      <c r="B452" s="7"/>
      <c r="C452" s="7"/>
      <c r="D452" s="7"/>
    </row>
    <row r="453" ht="14.25" customHeight="1">
      <c r="A453" s="7"/>
      <c r="B453" s="7"/>
      <c r="C453" s="7"/>
      <c r="D453" s="7"/>
    </row>
    <row r="454" ht="14.25" customHeight="1">
      <c r="A454" s="7"/>
      <c r="B454" s="7"/>
      <c r="C454" s="7"/>
      <c r="D454" s="7"/>
    </row>
    <row r="455" ht="14.25" customHeight="1">
      <c r="A455" s="7"/>
      <c r="B455" s="7"/>
      <c r="C455" s="7"/>
      <c r="D455" s="7"/>
    </row>
    <row r="456" ht="14.25" customHeight="1">
      <c r="A456" s="7"/>
      <c r="B456" s="7"/>
      <c r="C456" s="7"/>
      <c r="D456" s="7"/>
    </row>
    <row r="457" ht="14.25" customHeight="1">
      <c r="A457" s="7"/>
      <c r="B457" s="7"/>
      <c r="C457" s="7"/>
      <c r="D457" s="7"/>
    </row>
    <row r="458" ht="14.25" customHeight="1">
      <c r="A458" s="7"/>
      <c r="B458" s="7"/>
      <c r="C458" s="7"/>
      <c r="D458" s="7"/>
    </row>
    <row r="459" ht="14.25" customHeight="1">
      <c r="A459" s="7"/>
      <c r="B459" s="7"/>
      <c r="C459" s="7"/>
      <c r="D459" s="7"/>
    </row>
    <row r="460" ht="14.25" customHeight="1">
      <c r="A460" s="7"/>
      <c r="B460" s="7"/>
      <c r="C460" s="7"/>
      <c r="D460" s="7"/>
    </row>
    <row r="461" ht="14.25" customHeight="1">
      <c r="A461" s="7"/>
      <c r="B461" s="7"/>
      <c r="C461" s="7"/>
      <c r="D461" s="7"/>
    </row>
    <row r="462" ht="14.25" customHeight="1">
      <c r="A462" s="7"/>
      <c r="B462" s="7"/>
      <c r="C462" s="7"/>
      <c r="D462" s="7"/>
    </row>
    <row r="463" ht="14.25" customHeight="1">
      <c r="A463" s="7"/>
      <c r="B463" s="7"/>
      <c r="C463" s="7"/>
      <c r="D463" s="7"/>
    </row>
    <row r="464" ht="14.25" customHeight="1">
      <c r="A464" s="7"/>
      <c r="B464" s="7"/>
      <c r="C464" s="7"/>
      <c r="D464" s="7"/>
    </row>
    <row r="465" ht="14.25" customHeight="1">
      <c r="A465" s="7"/>
      <c r="B465" s="7"/>
      <c r="C465" s="7"/>
      <c r="D465" s="7"/>
    </row>
    <row r="466" ht="14.25" customHeight="1">
      <c r="A466" s="7"/>
      <c r="B466" s="7"/>
      <c r="C466" s="7"/>
      <c r="D466" s="7"/>
    </row>
    <row r="467" ht="14.25" customHeight="1">
      <c r="A467" s="7"/>
      <c r="B467" s="7"/>
      <c r="C467" s="7"/>
      <c r="D467" s="7"/>
    </row>
    <row r="468" ht="14.25" customHeight="1">
      <c r="A468" s="7"/>
      <c r="B468" s="7"/>
      <c r="C468" s="7"/>
      <c r="D468" s="7"/>
    </row>
    <row r="469" ht="14.25" customHeight="1">
      <c r="A469" s="7"/>
      <c r="B469" s="7"/>
      <c r="C469" s="7"/>
      <c r="D469" s="7"/>
    </row>
    <row r="470" ht="14.25" customHeight="1">
      <c r="A470" s="7"/>
      <c r="B470" s="7"/>
      <c r="C470" s="7"/>
      <c r="D470" s="7"/>
    </row>
    <row r="471" ht="14.25" customHeight="1">
      <c r="A471" s="7"/>
      <c r="B471" s="7"/>
      <c r="C471" s="7"/>
      <c r="D471" s="7"/>
    </row>
    <row r="472" ht="14.25" customHeight="1">
      <c r="A472" s="7"/>
      <c r="B472" s="7"/>
      <c r="C472" s="7"/>
      <c r="D472" s="7"/>
    </row>
    <row r="473" ht="14.25" customHeight="1">
      <c r="A473" s="7"/>
      <c r="B473" s="7"/>
      <c r="C473" s="7"/>
      <c r="D473" s="7"/>
    </row>
    <row r="474" ht="14.25" customHeight="1">
      <c r="A474" s="7"/>
      <c r="B474" s="7"/>
      <c r="C474" s="7"/>
      <c r="D474" s="7"/>
    </row>
    <row r="475" ht="14.25" customHeight="1">
      <c r="A475" s="7"/>
      <c r="B475" s="7"/>
      <c r="C475" s="7"/>
      <c r="D475" s="7"/>
    </row>
    <row r="476" ht="14.25" customHeight="1">
      <c r="A476" s="7"/>
      <c r="B476" s="7"/>
      <c r="C476" s="7"/>
      <c r="D476" s="7"/>
    </row>
    <row r="477" ht="14.25" customHeight="1">
      <c r="A477" s="7"/>
      <c r="B477" s="7"/>
      <c r="C477" s="7"/>
      <c r="D477" s="7"/>
    </row>
    <row r="478" ht="14.25" customHeight="1">
      <c r="A478" s="7"/>
      <c r="B478" s="7"/>
      <c r="C478" s="7"/>
      <c r="D478" s="7"/>
    </row>
    <row r="479" ht="14.25" customHeight="1">
      <c r="A479" s="7"/>
      <c r="B479" s="7"/>
      <c r="C479" s="7"/>
      <c r="D479" s="7"/>
    </row>
    <row r="480" ht="14.25" customHeight="1">
      <c r="A480" s="7"/>
      <c r="B480" s="7"/>
      <c r="C480" s="7"/>
      <c r="D480" s="7"/>
    </row>
    <row r="481" ht="14.25" customHeight="1">
      <c r="A481" s="7"/>
      <c r="B481" s="7"/>
      <c r="C481" s="7"/>
      <c r="D481" s="7"/>
    </row>
    <row r="482" ht="14.25" customHeight="1">
      <c r="A482" s="7"/>
      <c r="B482" s="7"/>
      <c r="C482" s="7"/>
      <c r="D482" s="7"/>
    </row>
    <row r="483" ht="14.25" customHeight="1">
      <c r="A483" s="7"/>
      <c r="B483" s="7"/>
      <c r="C483" s="7"/>
      <c r="D483" s="7"/>
    </row>
    <row r="484" ht="14.25" customHeight="1">
      <c r="A484" s="7"/>
      <c r="B484" s="7"/>
      <c r="C484" s="7"/>
      <c r="D484" s="7"/>
    </row>
    <row r="485" ht="14.25" customHeight="1">
      <c r="A485" s="7"/>
      <c r="B485" s="7"/>
      <c r="C485" s="7"/>
      <c r="D485" s="7"/>
    </row>
    <row r="486" ht="14.25" customHeight="1">
      <c r="A486" s="7"/>
      <c r="B486" s="7"/>
      <c r="C486" s="7"/>
      <c r="D486" s="7"/>
    </row>
    <row r="487" ht="14.25" customHeight="1">
      <c r="A487" s="7"/>
      <c r="B487" s="7"/>
      <c r="C487" s="7"/>
      <c r="D487" s="7"/>
    </row>
    <row r="488" ht="14.25" customHeight="1">
      <c r="A488" s="7"/>
      <c r="B488" s="7"/>
      <c r="C488" s="7"/>
      <c r="D488" s="7"/>
    </row>
    <row r="489" ht="14.25" customHeight="1">
      <c r="A489" s="7"/>
      <c r="B489" s="7"/>
      <c r="C489" s="7"/>
      <c r="D489" s="7"/>
    </row>
    <row r="490" ht="14.25" customHeight="1">
      <c r="A490" s="7"/>
      <c r="B490" s="7"/>
      <c r="C490" s="7"/>
      <c r="D490" s="7"/>
    </row>
    <row r="491" ht="14.25" customHeight="1">
      <c r="A491" s="7"/>
      <c r="B491" s="7"/>
      <c r="C491" s="7"/>
      <c r="D491" s="7"/>
    </row>
    <row r="492" ht="14.25" customHeight="1">
      <c r="A492" s="7"/>
      <c r="B492" s="7"/>
      <c r="C492" s="7"/>
      <c r="D492" s="7"/>
    </row>
    <row r="493" ht="14.25" customHeight="1">
      <c r="A493" s="7"/>
      <c r="B493" s="7"/>
      <c r="C493" s="7"/>
      <c r="D493" s="7"/>
    </row>
    <row r="494" ht="14.25" customHeight="1">
      <c r="A494" s="7"/>
      <c r="B494" s="7"/>
      <c r="C494" s="7"/>
      <c r="D494" s="7"/>
    </row>
    <row r="495" ht="14.25" customHeight="1">
      <c r="A495" s="7"/>
      <c r="B495" s="7"/>
      <c r="C495" s="7"/>
      <c r="D495" s="7"/>
    </row>
    <row r="496" ht="14.25" customHeight="1">
      <c r="A496" s="7"/>
      <c r="B496" s="7"/>
      <c r="C496" s="7"/>
      <c r="D496" s="7"/>
    </row>
    <row r="497" ht="14.25" customHeight="1">
      <c r="A497" s="7"/>
      <c r="B497" s="7"/>
      <c r="C497" s="7"/>
      <c r="D497" s="7"/>
    </row>
    <row r="498" ht="14.25" customHeight="1">
      <c r="A498" s="7"/>
      <c r="B498" s="7"/>
      <c r="C498" s="7"/>
      <c r="D498" s="7"/>
    </row>
    <row r="499" ht="14.25" customHeight="1">
      <c r="A499" s="7"/>
      <c r="B499" s="7"/>
      <c r="C499" s="7"/>
      <c r="D499" s="7"/>
    </row>
    <row r="500" ht="14.25" customHeight="1">
      <c r="A500" s="7"/>
      <c r="B500" s="7"/>
      <c r="C500" s="7"/>
      <c r="D500" s="7"/>
    </row>
    <row r="501" ht="14.25" customHeight="1">
      <c r="A501" s="7"/>
      <c r="B501" s="7"/>
      <c r="C501" s="7"/>
      <c r="D501" s="7"/>
    </row>
    <row r="502" ht="14.25" customHeight="1">
      <c r="A502" s="7"/>
      <c r="B502" s="7"/>
      <c r="C502" s="7"/>
      <c r="D502" s="7"/>
    </row>
    <row r="503" ht="14.25" customHeight="1">
      <c r="A503" s="7"/>
      <c r="B503" s="7"/>
      <c r="C503" s="7"/>
      <c r="D503" s="7"/>
    </row>
    <row r="504" ht="14.25" customHeight="1">
      <c r="A504" s="7"/>
      <c r="B504" s="7"/>
      <c r="C504" s="7"/>
      <c r="D504" s="7"/>
    </row>
    <row r="505" ht="14.25" customHeight="1">
      <c r="A505" s="7"/>
      <c r="B505" s="7"/>
      <c r="C505" s="7"/>
      <c r="D505" s="7"/>
    </row>
    <row r="506" ht="14.25" customHeight="1">
      <c r="A506" s="7"/>
      <c r="B506" s="7"/>
      <c r="C506" s="7"/>
      <c r="D506" s="7"/>
    </row>
    <row r="507" ht="14.25" customHeight="1">
      <c r="A507" s="7"/>
      <c r="B507" s="7"/>
      <c r="C507" s="7"/>
      <c r="D507" s="7"/>
    </row>
    <row r="508" ht="14.25" customHeight="1">
      <c r="A508" s="7"/>
      <c r="B508" s="7"/>
      <c r="C508" s="7"/>
      <c r="D508" s="7"/>
    </row>
    <row r="509" ht="14.25" customHeight="1">
      <c r="A509" s="7"/>
      <c r="B509" s="7"/>
      <c r="C509" s="7"/>
      <c r="D509" s="7"/>
    </row>
    <row r="510" ht="14.25" customHeight="1">
      <c r="A510" s="7"/>
      <c r="B510" s="7"/>
      <c r="C510" s="7"/>
      <c r="D510" s="7"/>
    </row>
    <row r="511" ht="14.25" customHeight="1">
      <c r="A511" s="7"/>
      <c r="B511" s="7"/>
      <c r="C511" s="7"/>
      <c r="D511" s="7"/>
    </row>
    <row r="512" ht="14.25" customHeight="1">
      <c r="A512" s="7"/>
      <c r="B512" s="7"/>
      <c r="C512" s="7"/>
      <c r="D512" s="7"/>
    </row>
    <row r="513" ht="14.25" customHeight="1">
      <c r="A513" s="7"/>
      <c r="B513" s="7"/>
      <c r="C513" s="7"/>
      <c r="D513" s="7"/>
    </row>
    <row r="514" ht="14.25" customHeight="1">
      <c r="A514" s="7"/>
      <c r="B514" s="7"/>
      <c r="C514" s="7"/>
      <c r="D514" s="7"/>
    </row>
    <row r="515" ht="14.25" customHeight="1">
      <c r="A515" s="7"/>
      <c r="B515" s="7"/>
      <c r="C515" s="7"/>
      <c r="D515" s="7"/>
    </row>
    <row r="516" ht="14.25" customHeight="1">
      <c r="A516" s="7"/>
      <c r="B516" s="7"/>
      <c r="C516" s="7"/>
      <c r="D516" s="7"/>
    </row>
    <row r="517" ht="14.25" customHeight="1">
      <c r="A517" s="7"/>
      <c r="B517" s="7"/>
      <c r="C517" s="7"/>
      <c r="D517" s="7"/>
    </row>
    <row r="518" ht="14.25" customHeight="1">
      <c r="A518" s="7"/>
      <c r="B518" s="7"/>
      <c r="C518" s="7"/>
      <c r="D518" s="7"/>
    </row>
    <row r="519" ht="14.25" customHeight="1">
      <c r="A519" s="7"/>
      <c r="B519" s="7"/>
      <c r="C519" s="7"/>
      <c r="D519" s="7"/>
    </row>
    <row r="520" ht="14.25" customHeight="1">
      <c r="A520" s="7"/>
      <c r="B520" s="7"/>
      <c r="C520" s="7"/>
      <c r="D520" s="7"/>
    </row>
    <row r="521" ht="14.25" customHeight="1">
      <c r="A521" s="7"/>
      <c r="B521" s="7"/>
      <c r="C521" s="7"/>
      <c r="D521" s="7"/>
    </row>
    <row r="522" ht="14.25" customHeight="1">
      <c r="A522" s="7"/>
      <c r="B522" s="7"/>
      <c r="C522" s="7"/>
      <c r="D522" s="7"/>
    </row>
    <row r="523" ht="14.25" customHeight="1">
      <c r="A523" s="7"/>
      <c r="B523" s="7"/>
      <c r="C523" s="7"/>
      <c r="D523" s="7"/>
    </row>
    <row r="524" ht="14.25" customHeight="1">
      <c r="A524" s="7"/>
      <c r="B524" s="7"/>
      <c r="C524" s="7"/>
      <c r="D524" s="7"/>
    </row>
    <row r="525" ht="14.25" customHeight="1">
      <c r="A525" s="7"/>
      <c r="B525" s="7"/>
      <c r="C525" s="7"/>
      <c r="D525" s="7"/>
    </row>
    <row r="526" ht="14.25" customHeight="1">
      <c r="A526" s="7"/>
      <c r="B526" s="7"/>
      <c r="C526" s="7"/>
      <c r="D526" s="7"/>
    </row>
    <row r="527" ht="14.25" customHeight="1">
      <c r="A527" s="7"/>
      <c r="B527" s="7"/>
      <c r="C527" s="7"/>
      <c r="D527" s="7"/>
    </row>
    <row r="528" ht="14.25" customHeight="1">
      <c r="A528" s="7"/>
      <c r="B528" s="7"/>
      <c r="C528" s="7"/>
      <c r="D528" s="7"/>
    </row>
    <row r="529" ht="14.25" customHeight="1">
      <c r="A529" s="7"/>
      <c r="B529" s="7"/>
      <c r="C529" s="7"/>
      <c r="D529" s="7"/>
    </row>
    <row r="530" ht="14.25" customHeight="1">
      <c r="A530" s="7"/>
      <c r="B530" s="7"/>
      <c r="C530" s="7"/>
      <c r="D530" s="7"/>
    </row>
    <row r="531" ht="14.25" customHeight="1">
      <c r="A531" s="7"/>
      <c r="B531" s="7"/>
      <c r="C531" s="7"/>
      <c r="D531" s="7"/>
    </row>
    <row r="532" ht="14.25" customHeight="1">
      <c r="A532" s="7"/>
      <c r="B532" s="7"/>
      <c r="C532" s="7"/>
      <c r="D532" s="7"/>
    </row>
    <row r="533" ht="14.25" customHeight="1">
      <c r="A533" s="7"/>
      <c r="B533" s="7"/>
      <c r="C533" s="7"/>
      <c r="D533" s="7"/>
    </row>
    <row r="534" ht="14.25" customHeight="1">
      <c r="A534" s="7"/>
      <c r="B534" s="7"/>
      <c r="C534" s="7"/>
      <c r="D534" s="7"/>
    </row>
    <row r="535" ht="14.25" customHeight="1">
      <c r="A535" s="7"/>
      <c r="B535" s="7"/>
      <c r="C535" s="7"/>
      <c r="D535" s="7"/>
    </row>
    <row r="536" ht="14.25" customHeight="1">
      <c r="A536" s="7"/>
      <c r="B536" s="7"/>
      <c r="C536" s="7"/>
      <c r="D536" s="7"/>
    </row>
    <row r="537" ht="14.25" customHeight="1">
      <c r="A537" s="7"/>
      <c r="B537" s="7"/>
      <c r="C537" s="7"/>
      <c r="D537" s="7"/>
    </row>
    <row r="538" ht="14.25" customHeight="1">
      <c r="A538" s="7"/>
      <c r="B538" s="7"/>
      <c r="C538" s="7"/>
      <c r="D538" s="7"/>
    </row>
    <row r="539" ht="14.25" customHeight="1">
      <c r="A539" s="7"/>
      <c r="B539" s="7"/>
      <c r="C539" s="7"/>
      <c r="D539" s="7"/>
    </row>
    <row r="540" ht="14.25" customHeight="1">
      <c r="A540" s="7"/>
      <c r="B540" s="7"/>
      <c r="C540" s="7"/>
      <c r="D540" s="7"/>
    </row>
    <row r="541" ht="14.25" customHeight="1">
      <c r="A541" s="7"/>
      <c r="B541" s="7"/>
      <c r="C541" s="7"/>
      <c r="D541" s="7"/>
    </row>
    <row r="542" ht="14.25" customHeight="1">
      <c r="A542" s="7"/>
      <c r="B542" s="7"/>
      <c r="C542" s="7"/>
      <c r="D542" s="7"/>
    </row>
    <row r="543" ht="14.25" customHeight="1">
      <c r="A543" s="7"/>
      <c r="B543" s="7"/>
      <c r="C543" s="7"/>
      <c r="D543" s="7"/>
    </row>
    <row r="544" ht="14.25" customHeight="1">
      <c r="A544" s="7"/>
      <c r="B544" s="7"/>
      <c r="C544" s="7"/>
      <c r="D544" s="7"/>
    </row>
    <row r="545" ht="14.25" customHeight="1">
      <c r="A545" s="7"/>
      <c r="B545" s="7"/>
      <c r="C545" s="7"/>
      <c r="D545" s="7"/>
    </row>
    <row r="546" ht="14.25" customHeight="1">
      <c r="A546" s="7"/>
      <c r="B546" s="7"/>
      <c r="C546" s="7"/>
      <c r="D546" s="7"/>
    </row>
    <row r="547" ht="14.25" customHeight="1">
      <c r="A547" s="7"/>
      <c r="B547" s="7"/>
      <c r="C547" s="7"/>
      <c r="D547" s="7"/>
    </row>
    <row r="548" ht="14.25" customHeight="1">
      <c r="A548" s="7"/>
      <c r="B548" s="7"/>
      <c r="C548" s="7"/>
      <c r="D548" s="7"/>
    </row>
    <row r="549" ht="14.25" customHeight="1">
      <c r="A549" s="7"/>
      <c r="B549" s="7"/>
      <c r="C549" s="7"/>
      <c r="D549" s="7"/>
    </row>
    <row r="550" ht="14.25" customHeight="1">
      <c r="A550" s="7"/>
      <c r="B550" s="7"/>
      <c r="C550" s="7"/>
      <c r="D550" s="7"/>
    </row>
    <row r="551" ht="14.25" customHeight="1">
      <c r="A551" s="7"/>
      <c r="B551" s="7"/>
      <c r="C551" s="7"/>
      <c r="D551" s="7"/>
    </row>
    <row r="552" ht="14.25" customHeight="1">
      <c r="A552" s="7"/>
      <c r="B552" s="7"/>
      <c r="C552" s="7"/>
      <c r="D552" s="7"/>
    </row>
    <row r="553" ht="14.25" customHeight="1">
      <c r="A553" s="7"/>
      <c r="B553" s="7"/>
      <c r="C553" s="7"/>
      <c r="D553" s="7"/>
    </row>
    <row r="554" ht="14.25" customHeight="1">
      <c r="A554" s="7"/>
      <c r="B554" s="7"/>
      <c r="C554" s="7"/>
      <c r="D554" s="7"/>
    </row>
    <row r="555" ht="14.25" customHeight="1">
      <c r="A555" s="7"/>
      <c r="B555" s="7"/>
      <c r="C555" s="7"/>
      <c r="D555" s="7"/>
    </row>
    <row r="556" ht="14.25" customHeight="1">
      <c r="A556" s="7"/>
      <c r="B556" s="7"/>
      <c r="C556" s="7"/>
      <c r="D556" s="7"/>
    </row>
    <row r="557" ht="14.25" customHeight="1">
      <c r="A557" s="7"/>
      <c r="B557" s="7"/>
      <c r="C557" s="7"/>
      <c r="D557" s="7"/>
    </row>
    <row r="558" ht="14.25" customHeight="1">
      <c r="A558" s="7"/>
      <c r="B558" s="7"/>
      <c r="C558" s="7"/>
      <c r="D558" s="7"/>
    </row>
    <row r="559" ht="14.25" customHeight="1">
      <c r="A559" s="7"/>
      <c r="B559" s="7"/>
      <c r="C559" s="7"/>
      <c r="D559" s="7"/>
    </row>
    <row r="560" ht="14.25" customHeight="1">
      <c r="A560" s="7"/>
      <c r="B560" s="7"/>
      <c r="C560" s="7"/>
      <c r="D560" s="7"/>
    </row>
    <row r="561" ht="14.25" customHeight="1">
      <c r="A561" s="7"/>
      <c r="B561" s="7"/>
      <c r="C561" s="7"/>
      <c r="D561" s="7"/>
    </row>
    <row r="562" ht="14.25" customHeight="1">
      <c r="A562" s="7"/>
      <c r="B562" s="7"/>
      <c r="C562" s="7"/>
      <c r="D562" s="7"/>
    </row>
    <row r="563" ht="14.25" customHeight="1">
      <c r="A563" s="7"/>
      <c r="B563" s="7"/>
      <c r="C563" s="7"/>
      <c r="D563" s="7"/>
    </row>
    <row r="564" ht="14.25" customHeight="1">
      <c r="A564" s="7"/>
      <c r="B564" s="7"/>
      <c r="C564" s="7"/>
      <c r="D564" s="7"/>
    </row>
    <row r="565" ht="14.25" customHeight="1">
      <c r="A565" s="7"/>
      <c r="B565" s="7"/>
      <c r="C565" s="7"/>
      <c r="D565" s="7"/>
    </row>
    <row r="566" ht="14.25" customHeight="1">
      <c r="A566" s="7"/>
      <c r="B566" s="7"/>
      <c r="C566" s="7"/>
      <c r="D566" s="7"/>
    </row>
    <row r="567" ht="14.25" customHeight="1">
      <c r="A567" s="7"/>
      <c r="B567" s="7"/>
      <c r="C567" s="7"/>
      <c r="D567" s="7"/>
    </row>
    <row r="568" ht="14.25" customHeight="1">
      <c r="A568" s="7"/>
      <c r="B568" s="7"/>
      <c r="C568" s="7"/>
      <c r="D568" s="7"/>
    </row>
    <row r="569" ht="14.25" customHeight="1">
      <c r="A569" s="7"/>
      <c r="B569" s="7"/>
      <c r="C569" s="7"/>
      <c r="D569" s="7"/>
    </row>
    <row r="570" ht="14.25" customHeight="1">
      <c r="A570" s="7"/>
      <c r="B570" s="7"/>
      <c r="C570" s="7"/>
      <c r="D570" s="7"/>
    </row>
    <row r="571" ht="14.25" customHeight="1">
      <c r="A571" s="7"/>
      <c r="B571" s="7"/>
      <c r="C571" s="7"/>
      <c r="D571" s="7"/>
    </row>
    <row r="572" ht="14.25" customHeight="1">
      <c r="A572" s="7"/>
      <c r="B572" s="7"/>
      <c r="C572" s="7"/>
      <c r="D572" s="7"/>
    </row>
    <row r="573" ht="14.25" customHeight="1">
      <c r="A573" s="7"/>
      <c r="B573" s="7"/>
      <c r="C573" s="7"/>
      <c r="D573" s="7"/>
    </row>
    <row r="574" ht="14.25" customHeight="1">
      <c r="A574" s="7"/>
      <c r="B574" s="7"/>
      <c r="C574" s="7"/>
      <c r="D574" s="7"/>
    </row>
    <row r="575" ht="14.25" customHeight="1">
      <c r="A575" s="7"/>
      <c r="B575" s="7"/>
      <c r="C575" s="7"/>
      <c r="D575" s="7"/>
    </row>
    <row r="576" ht="14.25" customHeight="1">
      <c r="A576" s="7"/>
      <c r="B576" s="7"/>
      <c r="C576" s="7"/>
      <c r="D576" s="7"/>
    </row>
    <row r="577" ht="14.25" customHeight="1">
      <c r="A577" s="7"/>
      <c r="B577" s="7"/>
      <c r="C577" s="7"/>
      <c r="D577" s="7"/>
    </row>
    <row r="578" ht="14.25" customHeight="1">
      <c r="A578" s="7"/>
      <c r="B578" s="7"/>
      <c r="C578" s="7"/>
      <c r="D578" s="7"/>
    </row>
    <row r="579" ht="14.25" customHeight="1">
      <c r="A579" s="7"/>
      <c r="B579" s="7"/>
      <c r="C579" s="7"/>
      <c r="D579" s="7"/>
    </row>
    <row r="580" ht="14.25" customHeight="1">
      <c r="A580" s="7"/>
      <c r="B580" s="7"/>
      <c r="C580" s="7"/>
      <c r="D580" s="7"/>
    </row>
    <row r="581" ht="14.25" customHeight="1">
      <c r="A581" s="7"/>
      <c r="B581" s="7"/>
      <c r="C581" s="7"/>
      <c r="D581" s="7"/>
    </row>
    <row r="582" ht="14.25" customHeight="1">
      <c r="A582" s="7"/>
      <c r="B582" s="7"/>
      <c r="C582" s="7"/>
      <c r="D582" s="7"/>
    </row>
    <row r="583" ht="14.25" customHeight="1">
      <c r="A583" s="7"/>
      <c r="B583" s="7"/>
      <c r="C583" s="7"/>
      <c r="D583" s="7"/>
    </row>
    <row r="584" ht="14.25" customHeight="1">
      <c r="A584" s="7"/>
      <c r="B584" s="7"/>
      <c r="C584" s="7"/>
      <c r="D584" s="7"/>
    </row>
    <row r="585" ht="14.25" customHeight="1">
      <c r="A585" s="7"/>
      <c r="B585" s="7"/>
      <c r="C585" s="7"/>
      <c r="D585" s="7"/>
    </row>
    <row r="586" ht="14.25" customHeight="1">
      <c r="A586" s="7"/>
      <c r="B586" s="7"/>
      <c r="C586" s="7"/>
      <c r="D586" s="7"/>
    </row>
    <row r="587" ht="14.25" customHeight="1">
      <c r="A587" s="7"/>
      <c r="B587" s="7"/>
      <c r="C587" s="7"/>
      <c r="D587" s="7"/>
    </row>
    <row r="588" ht="14.25" customHeight="1">
      <c r="A588" s="7"/>
      <c r="B588" s="7"/>
      <c r="C588" s="7"/>
      <c r="D588" s="7"/>
    </row>
    <row r="589" ht="14.25" customHeight="1">
      <c r="A589" s="7"/>
      <c r="B589" s="7"/>
      <c r="C589" s="7"/>
      <c r="D589" s="7"/>
    </row>
    <row r="590" ht="14.25" customHeight="1">
      <c r="A590" s="7"/>
      <c r="B590" s="7"/>
      <c r="C590" s="7"/>
      <c r="D590" s="7"/>
    </row>
    <row r="591" ht="14.25" customHeight="1">
      <c r="A591" s="7"/>
      <c r="B591" s="7"/>
      <c r="C591" s="7"/>
      <c r="D591" s="7"/>
    </row>
    <row r="592" ht="14.25" customHeight="1">
      <c r="A592" s="7"/>
      <c r="B592" s="7"/>
      <c r="C592" s="7"/>
      <c r="D592" s="7"/>
    </row>
    <row r="593" ht="14.25" customHeight="1">
      <c r="A593" s="7"/>
      <c r="B593" s="7"/>
      <c r="C593" s="7"/>
      <c r="D593" s="7"/>
    </row>
    <row r="594" ht="14.25" customHeight="1">
      <c r="A594" s="7"/>
      <c r="B594" s="7"/>
      <c r="C594" s="7"/>
      <c r="D594" s="7"/>
    </row>
    <row r="595" ht="14.25" customHeight="1">
      <c r="A595" s="7"/>
      <c r="B595" s="7"/>
      <c r="C595" s="7"/>
      <c r="D595" s="7"/>
    </row>
    <row r="596" ht="14.25" customHeight="1">
      <c r="A596" s="7"/>
      <c r="B596" s="7"/>
      <c r="C596" s="7"/>
      <c r="D596" s="7"/>
    </row>
    <row r="597" ht="14.25" customHeight="1">
      <c r="A597" s="7"/>
      <c r="B597" s="7"/>
      <c r="C597" s="7"/>
      <c r="D597" s="7"/>
    </row>
    <row r="598" ht="14.25" customHeight="1">
      <c r="A598" s="7"/>
      <c r="B598" s="7"/>
      <c r="C598" s="7"/>
      <c r="D598" s="7"/>
    </row>
    <row r="599" ht="14.25" customHeight="1">
      <c r="A599" s="7"/>
      <c r="B599" s="7"/>
      <c r="C599" s="7"/>
      <c r="D599" s="7"/>
    </row>
    <row r="600" ht="14.25" customHeight="1">
      <c r="A600" s="7"/>
      <c r="B600" s="7"/>
      <c r="C600" s="7"/>
      <c r="D600" s="7"/>
    </row>
    <row r="601" ht="14.25" customHeight="1">
      <c r="A601" s="7"/>
      <c r="B601" s="7"/>
      <c r="C601" s="7"/>
      <c r="D601" s="7"/>
    </row>
    <row r="602" ht="14.25" customHeight="1">
      <c r="A602" s="7"/>
      <c r="B602" s="7"/>
      <c r="C602" s="7"/>
      <c r="D602" s="7"/>
    </row>
    <row r="603" ht="14.25" customHeight="1">
      <c r="A603" s="7"/>
      <c r="B603" s="7"/>
      <c r="C603" s="7"/>
      <c r="D603" s="7"/>
    </row>
    <row r="604" ht="14.25" customHeight="1">
      <c r="A604" s="7"/>
      <c r="B604" s="7"/>
      <c r="C604" s="7"/>
      <c r="D604" s="7"/>
    </row>
    <row r="605" ht="14.25" customHeight="1">
      <c r="A605" s="7"/>
      <c r="B605" s="7"/>
      <c r="C605" s="7"/>
      <c r="D605" s="7"/>
    </row>
    <row r="606" ht="14.25" customHeight="1">
      <c r="A606" s="7"/>
      <c r="B606" s="7"/>
      <c r="C606" s="7"/>
      <c r="D606" s="7"/>
    </row>
    <row r="607" ht="14.25" customHeight="1">
      <c r="A607" s="7"/>
      <c r="B607" s="7"/>
      <c r="C607" s="7"/>
      <c r="D607" s="7"/>
    </row>
    <row r="608" ht="14.25" customHeight="1">
      <c r="A608" s="7"/>
      <c r="B608" s="7"/>
      <c r="C608" s="7"/>
      <c r="D608" s="7"/>
    </row>
    <row r="609" ht="14.25" customHeight="1">
      <c r="A609" s="7"/>
      <c r="B609" s="7"/>
      <c r="C609" s="7"/>
      <c r="D609" s="7"/>
    </row>
    <row r="610" ht="14.25" customHeight="1">
      <c r="A610" s="7"/>
      <c r="B610" s="7"/>
      <c r="C610" s="7"/>
      <c r="D610" s="7"/>
    </row>
    <row r="611" ht="14.25" customHeight="1">
      <c r="A611" s="7"/>
      <c r="B611" s="7"/>
      <c r="C611" s="7"/>
      <c r="D611" s="7"/>
    </row>
    <row r="612" ht="14.25" customHeight="1">
      <c r="A612" s="7"/>
      <c r="B612" s="7"/>
      <c r="C612" s="7"/>
      <c r="D612" s="7"/>
    </row>
    <row r="613" ht="14.25" customHeight="1">
      <c r="A613" s="7"/>
      <c r="B613" s="7"/>
      <c r="C613" s="7"/>
      <c r="D613" s="7"/>
    </row>
    <row r="614" ht="14.25" customHeight="1">
      <c r="A614" s="7"/>
      <c r="B614" s="7"/>
      <c r="C614" s="7"/>
      <c r="D614" s="7"/>
    </row>
    <row r="615" ht="14.25" customHeight="1">
      <c r="A615" s="7"/>
      <c r="B615" s="7"/>
      <c r="C615" s="7"/>
      <c r="D615" s="7"/>
    </row>
    <row r="616" ht="14.25" customHeight="1">
      <c r="A616" s="7"/>
      <c r="B616" s="7"/>
      <c r="C616" s="7"/>
      <c r="D616" s="7"/>
    </row>
    <row r="617" ht="14.25" customHeight="1">
      <c r="A617" s="7"/>
      <c r="B617" s="7"/>
      <c r="C617" s="7"/>
      <c r="D617" s="7"/>
    </row>
    <row r="618" ht="14.25" customHeight="1">
      <c r="A618" s="7"/>
      <c r="B618" s="7"/>
      <c r="C618" s="7"/>
      <c r="D618" s="7"/>
    </row>
    <row r="619" ht="14.25" customHeight="1">
      <c r="A619" s="7"/>
      <c r="B619" s="7"/>
      <c r="C619" s="7"/>
      <c r="D619" s="7"/>
    </row>
    <row r="620" ht="14.25" customHeight="1">
      <c r="A620" s="7"/>
      <c r="B620" s="7"/>
      <c r="C620" s="7"/>
      <c r="D620" s="7"/>
    </row>
    <row r="621" ht="14.25" customHeight="1">
      <c r="A621" s="7"/>
      <c r="B621" s="7"/>
      <c r="C621" s="7"/>
      <c r="D621" s="7"/>
    </row>
    <row r="622" ht="14.25" customHeight="1">
      <c r="A622" s="7"/>
      <c r="B622" s="7"/>
      <c r="C622" s="7"/>
      <c r="D622" s="7"/>
    </row>
    <row r="623" ht="14.25" customHeight="1">
      <c r="A623" s="7"/>
      <c r="B623" s="7"/>
      <c r="C623" s="7"/>
      <c r="D623" s="7"/>
    </row>
    <row r="624" ht="14.25" customHeight="1">
      <c r="A624" s="7"/>
      <c r="B624" s="7"/>
      <c r="C624" s="7"/>
      <c r="D624" s="7"/>
    </row>
    <row r="625" ht="14.25" customHeight="1">
      <c r="A625" s="7"/>
      <c r="B625" s="7"/>
      <c r="C625" s="7"/>
      <c r="D625" s="7"/>
    </row>
    <row r="626" ht="14.25" customHeight="1">
      <c r="A626" s="7"/>
      <c r="B626" s="7"/>
      <c r="C626" s="7"/>
      <c r="D626" s="7"/>
    </row>
    <row r="627" ht="14.25" customHeight="1">
      <c r="A627" s="7"/>
      <c r="B627" s="7"/>
      <c r="C627" s="7"/>
      <c r="D627" s="7"/>
    </row>
    <row r="628" ht="14.25" customHeight="1">
      <c r="A628" s="7"/>
      <c r="B628" s="7"/>
      <c r="C628" s="7"/>
      <c r="D628" s="7"/>
    </row>
    <row r="629" ht="14.25" customHeight="1">
      <c r="A629" s="7"/>
      <c r="B629" s="7"/>
      <c r="C629" s="7"/>
      <c r="D629" s="7"/>
    </row>
    <row r="630" ht="14.25" customHeight="1">
      <c r="A630" s="7"/>
      <c r="B630" s="7"/>
      <c r="C630" s="7"/>
      <c r="D630" s="7"/>
    </row>
    <row r="631" ht="14.25" customHeight="1">
      <c r="A631" s="7"/>
      <c r="B631" s="7"/>
      <c r="C631" s="7"/>
      <c r="D631" s="7"/>
    </row>
    <row r="632" ht="14.25" customHeight="1">
      <c r="A632" s="7"/>
      <c r="B632" s="7"/>
      <c r="C632" s="7"/>
      <c r="D632" s="7"/>
    </row>
    <row r="633" ht="14.25" customHeight="1">
      <c r="A633" s="7"/>
      <c r="B633" s="7"/>
      <c r="C633" s="7"/>
      <c r="D633" s="7"/>
    </row>
    <row r="634" ht="14.25" customHeight="1">
      <c r="A634" s="7"/>
      <c r="B634" s="7"/>
      <c r="C634" s="7"/>
      <c r="D634" s="7"/>
    </row>
    <row r="635" ht="14.25" customHeight="1">
      <c r="A635" s="7"/>
      <c r="B635" s="7"/>
      <c r="C635" s="7"/>
      <c r="D635" s="7"/>
    </row>
    <row r="636" ht="14.25" customHeight="1">
      <c r="A636" s="7"/>
      <c r="B636" s="7"/>
      <c r="C636" s="7"/>
      <c r="D636" s="7"/>
    </row>
    <row r="637" ht="14.25" customHeight="1">
      <c r="A637" s="7"/>
      <c r="B637" s="7"/>
      <c r="C637" s="7"/>
      <c r="D637" s="7"/>
    </row>
    <row r="638" ht="14.25" customHeight="1">
      <c r="A638" s="7"/>
      <c r="B638" s="7"/>
      <c r="C638" s="7"/>
      <c r="D638" s="7"/>
    </row>
    <row r="639" ht="14.25" customHeight="1">
      <c r="A639" s="7"/>
      <c r="B639" s="7"/>
      <c r="C639" s="7"/>
      <c r="D639" s="7"/>
    </row>
    <row r="640" ht="14.25" customHeight="1">
      <c r="A640" s="7"/>
      <c r="B640" s="7"/>
      <c r="C640" s="7"/>
      <c r="D640" s="7"/>
    </row>
    <row r="641" ht="14.25" customHeight="1">
      <c r="A641" s="7"/>
      <c r="B641" s="7"/>
      <c r="C641" s="7"/>
      <c r="D641" s="7"/>
    </row>
    <row r="642" ht="14.25" customHeight="1">
      <c r="A642" s="7"/>
      <c r="B642" s="7"/>
      <c r="C642" s="7"/>
      <c r="D642" s="7"/>
    </row>
    <row r="643" ht="14.25" customHeight="1">
      <c r="A643" s="7"/>
      <c r="B643" s="7"/>
      <c r="C643" s="7"/>
      <c r="D643" s="7"/>
    </row>
    <row r="644" ht="14.25" customHeight="1">
      <c r="A644" s="7"/>
      <c r="B644" s="7"/>
      <c r="C644" s="7"/>
      <c r="D644" s="7"/>
    </row>
    <row r="645" ht="14.25" customHeight="1">
      <c r="A645" s="7"/>
      <c r="B645" s="7"/>
      <c r="C645" s="7"/>
      <c r="D645" s="7"/>
    </row>
    <row r="646" ht="14.25" customHeight="1">
      <c r="A646" s="7"/>
      <c r="B646" s="7"/>
      <c r="C646" s="7"/>
      <c r="D646" s="7"/>
    </row>
    <row r="647" ht="14.25" customHeight="1">
      <c r="A647" s="7"/>
      <c r="B647" s="7"/>
      <c r="C647" s="7"/>
      <c r="D647" s="7"/>
    </row>
    <row r="648" ht="14.25" customHeight="1">
      <c r="A648" s="7"/>
      <c r="B648" s="7"/>
      <c r="C648" s="7"/>
      <c r="D648" s="7"/>
    </row>
    <row r="649" ht="14.25" customHeight="1">
      <c r="A649" s="7"/>
      <c r="B649" s="7"/>
      <c r="C649" s="7"/>
      <c r="D649" s="7"/>
    </row>
    <row r="650" ht="14.25" customHeight="1">
      <c r="A650" s="7"/>
      <c r="B650" s="7"/>
      <c r="C650" s="7"/>
      <c r="D650" s="7"/>
    </row>
    <row r="651" ht="14.25" customHeight="1">
      <c r="A651" s="7"/>
      <c r="B651" s="7"/>
      <c r="C651" s="7"/>
      <c r="D651" s="7"/>
    </row>
    <row r="652" ht="14.25" customHeight="1">
      <c r="A652" s="7"/>
      <c r="B652" s="7"/>
      <c r="C652" s="7"/>
      <c r="D652" s="7"/>
    </row>
    <row r="653" ht="14.25" customHeight="1">
      <c r="A653" s="7"/>
      <c r="B653" s="7"/>
      <c r="C653" s="7"/>
      <c r="D653" s="7"/>
    </row>
    <row r="654" ht="14.25" customHeight="1">
      <c r="A654" s="7"/>
      <c r="B654" s="7"/>
      <c r="C654" s="7"/>
      <c r="D654" s="7"/>
    </row>
    <row r="655" ht="14.25" customHeight="1">
      <c r="A655" s="7"/>
      <c r="B655" s="7"/>
      <c r="C655" s="7"/>
      <c r="D655" s="7"/>
    </row>
    <row r="656" ht="14.25" customHeight="1">
      <c r="A656" s="7"/>
      <c r="B656" s="7"/>
      <c r="C656" s="7"/>
      <c r="D656" s="7"/>
    </row>
    <row r="657" ht="14.25" customHeight="1">
      <c r="A657" s="7"/>
      <c r="B657" s="7"/>
      <c r="C657" s="7"/>
      <c r="D657" s="7"/>
    </row>
    <row r="658" ht="14.25" customHeight="1">
      <c r="A658" s="7"/>
      <c r="B658" s="7"/>
      <c r="C658" s="7"/>
      <c r="D658" s="7"/>
    </row>
    <row r="659" ht="14.25" customHeight="1">
      <c r="A659" s="7"/>
      <c r="B659" s="7"/>
      <c r="C659" s="7"/>
      <c r="D659" s="7"/>
    </row>
    <row r="660" ht="14.25" customHeight="1">
      <c r="A660" s="7"/>
      <c r="B660" s="7"/>
      <c r="C660" s="7"/>
      <c r="D660" s="7"/>
    </row>
    <row r="661" ht="14.25" customHeight="1">
      <c r="A661" s="7"/>
      <c r="B661" s="7"/>
      <c r="C661" s="7"/>
      <c r="D661" s="7"/>
    </row>
    <row r="662" ht="14.25" customHeight="1">
      <c r="A662" s="7"/>
      <c r="B662" s="7"/>
      <c r="C662" s="7"/>
      <c r="D662" s="7"/>
    </row>
    <row r="663" ht="14.25" customHeight="1">
      <c r="A663" s="7"/>
      <c r="B663" s="7"/>
      <c r="C663" s="7"/>
      <c r="D663" s="7"/>
    </row>
    <row r="664" ht="14.25" customHeight="1">
      <c r="A664" s="7"/>
      <c r="B664" s="7"/>
      <c r="C664" s="7"/>
      <c r="D664" s="7"/>
    </row>
    <row r="665" ht="14.25" customHeight="1">
      <c r="A665" s="7"/>
      <c r="B665" s="7"/>
      <c r="C665" s="7"/>
      <c r="D665" s="7"/>
    </row>
    <row r="666" ht="14.25" customHeight="1">
      <c r="A666" s="7"/>
      <c r="B666" s="7"/>
      <c r="C666" s="7"/>
      <c r="D666" s="7"/>
    </row>
    <row r="667" ht="14.25" customHeight="1">
      <c r="A667" s="7"/>
      <c r="B667" s="7"/>
      <c r="C667" s="7"/>
      <c r="D667" s="7"/>
    </row>
    <row r="668" ht="14.25" customHeight="1">
      <c r="A668" s="7"/>
      <c r="B668" s="7"/>
      <c r="C668" s="7"/>
      <c r="D668" s="7"/>
    </row>
    <row r="669" ht="14.25" customHeight="1">
      <c r="A669" s="7"/>
      <c r="B669" s="7"/>
      <c r="C669" s="7"/>
      <c r="D669" s="7"/>
    </row>
    <row r="670" ht="14.25" customHeight="1">
      <c r="A670" s="7"/>
      <c r="B670" s="7"/>
      <c r="C670" s="7"/>
      <c r="D670" s="7"/>
    </row>
    <row r="671" ht="14.25" customHeight="1">
      <c r="A671" s="7"/>
      <c r="B671" s="7"/>
      <c r="C671" s="7"/>
      <c r="D671" s="7"/>
    </row>
    <row r="672" ht="14.25" customHeight="1">
      <c r="A672" s="7"/>
      <c r="B672" s="7"/>
      <c r="C672" s="7"/>
      <c r="D672" s="7"/>
    </row>
    <row r="673" ht="14.25" customHeight="1">
      <c r="A673" s="7"/>
      <c r="B673" s="7"/>
      <c r="C673" s="7"/>
      <c r="D673" s="7"/>
    </row>
    <row r="674" ht="14.25" customHeight="1">
      <c r="A674" s="7"/>
      <c r="B674" s="7"/>
      <c r="C674" s="7"/>
      <c r="D674" s="7"/>
    </row>
    <row r="675" ht="14.25" customHeight="1">
      <c r="A675" s="7"/>
      <c r="B675" s="7"/>
      <c r="C675" s="7"/>
      <c r="D675" s="7"/>
    </row>
    <row r="676" ht="14.25" customHeight="1">
      <c r="A676" s="7"/>
      <c r="B676" s="7"/>
      <c r="C676" s="7"/>
      <c r="D676" s="7"/>
    </row>
    <row r="677" ht="14.25" customHeight="1">
      <c r="A677" s="7"/>
      <c r="B677" s="7"/>
      <c r="C677" s="7"/>
      <c r="D677" s="7"/>
    </row>
    <row r="678" ht="14.25" customHeight="1">
      <c r="A678" s="7"/>
      <c r="B678" s="7"/>
      <c r="C678" s="7"/>
      <c r="D678" s="7"/>
    </row>
    <row r="679" ht="14.25" customHeight="1">
      <c r="A679" s="7"/>
      <c r="B679" s="7"/>
      <c r="C679" s="7"/>
      <c r="D679" s="7"/>
    </row>
    <row r="680" ht="14.25" customHeight="1">
      <c r="A680" s="7"/>
      <c r="B680" s="7"/>
      <c r="C680" s="7"/>
      <c r="D680" s="7"/>
    </row>
    <row r="681" ht="14.25" customHeight="1">
      <c r="A681" s="7"/>
      <c r="B681" s="7"/>
      <c r="C681" s="7"/>
      <c r="D681" s="7"/>
    </row>
    <row r="682" ht="14.25" customHeight="1">
      <c r="A682" s="7"/>
      <c r="B682" s="7"/>
      <c r="C682" s="7"/>
      <c r="D682" s="7"/>
    </row>
    <row r="683" ht="14.25" customHeight="1">
      <c r="A683" s="7"/>
      <c r="B683" s="7"/>
      <c r="C683" s="7"/>
      <c r="D683" s="7"/>
    </row>
    <row r="684" ht="14.25" customHeight="1">
      <c r="A684" s="7"/>
      <c r="B684" s="7"/>
      <c r="C684" s="7"/>
      <c r="D684" s="7"/>
    </row>
    <row r="685" ht="14.25" customHeight="1">
      <c r="A685" s="7"/>
      <c r="B685" s="7"/>
      <c r="C685" s="7"/>
      <c r="D685" s="7"/>
    </row>
    <row r="686" ht="14.25" customHeight="1">
      <c r="A686" s="7"/>
      <c r="B686" s="7"/>
      <c r="C686" s="7"/>
      <c r="D686" s="7"/>
    </row>
    <row r="687" ht="14.25" customHeight="1">
      <c r="A687" s="7"/>
      <c r="B687" s="7"/>
      <c r="C687" s="7"/>
      <c r="D687" s="7"/>
    </row>
    <row r="688" ht="14.25" customHeight="1">
      <c r="A688" s="7"/>
      <c r="B688" s="7"/>
      <c r="C688" s="7"/>
      <c r="D688" s="7"/>
    </row>
    <row r="689" ht="14.25" customHeight="1">
      <c r="A689" s="7"/>
      <c r="B689" s="7"/>
      <c r="C689" s="7"/>
      <c r="D689" s="7"/>
    </row>
    <row r="690" ht="14.25" customHeight="1">
      <c r="A690" s="7"/>
      <c r="B690" s="7"/>
      <c r="C690" s="7"/>
      <c r="D690" s="7"/>
    </row>
    <row r="691" ht="14.25" customHeight="1">
      <c r="A691" s="7"/>
      <c r="B691" s="7"/>
      <c r="C691" s="7"/>
      <c r="D691" s="7"/>
    </row>
    <row r="692" ht="14.25" customHeight="1">
      <c r="A692" s="7"/>
      <c r="B692" s="7"/>
      <c r="C692" s="7"/>
      <c r="D692" s="7"/>
    </row>
    <row r="693" ht="14.25" customHeight="1">
      <c r="A693" s="7"/>
      <c r="B693" s="7"/>
      <c r="C693" s="7"/>
      <c r="D693" s="7"/>
    </row>
    <row r="694" ht="14.25" customHeight="1">
      <c r="A694" s="7"/>
      <c r="B694" s="7"/>
      <c r="C694" s="7"/>
      <c r="D694" s="7"/>
    </row>
    <row r="695" ht="14.25" customHeight="1">
      <c r="A695" s="7"/>
      <c r="B695" s="7"/>
      <c r="C695" s="7"/>
      <c r="D695" s="7"/>
    </row>
    <row r="696" ht="14.25" customHeight="1">
      <c r="A696" s="7"/>
      <c r="B696" s="7"/>
      <c r="C696" s="7"/>
      <c r="D696" s="7"/>
    </row>
    <row r="697" ht="14.25" customHeight="1">
      <c r="A697" s="7"/>
      <c r="B697" s="7"/>
      <c r="C697" s="7"/>
      <c r="D697" s="7"/>
    </row>
    <row r="698" ht="14.25" customHeight="1">
      <c r="A698" s="7"/>
      <c r="B698" s="7"/>
      <c r="C698" s="7"/>
      <c r="D698" s="7"/>
    </row>
    <row r="699" ht="14.25" customHeight="1">
      <c r="A699" s="7"/>
      <c r="B699" s="7"/>
      <c r="C699" s="7"/>
      <c r="D699" s="7"/>
    </row>
    <row r="700" ht="14.25" customHeight="1">
      <c r="A700" s="7"/>
      <c r="B700" s="7"/>
      <c r="C700" s="7"/>
      <c r="D700" s="7"/>
    </row>
    <row r="701" ht="14.25" customHeight="1">
      <c r="A701" s="7"/>
      <c r="B701" s="7"/>
      <c r="C701" s="7"/>
      <c r="D701" s="7"/>
    </row>
    <row r="702" ht="14.25" customHeight="1">
      <c r="A702" s="7"/>
      <c r="B702" s="7"/>
      <c r="C702" s="7"/>
      <c r="D702" s="7"/>
    </row>
    <row r="703" ht="14.25" customHeight="1">
      <c r="A703" s="7"/>
      <c r="B703" s="7"/>
      <c r="C703" s="7"/>
      <c r="D703" s="7"/>
    </row>
    <row r="704" ht="14.25" customHeight="1">
      <c r="A704" s="7"/>
      <c r="B704" s="7"/>
      <c r="C704" s="7"/>
      <c r="D704" s="7"/>
    </row>
    <row r="705" ht="14.25" customHeight="1">
      <c r="A705" s="7"/>
      <c r="B705" s="7"/>
      <c r="C705" s="7"/>
      <c r="D705" s="7"/>
    </row>
    <row r="706" ht="14.25" customHeight="1">
      <c r="A706" s="7"/>
      <c r="B706" s="7"/>
      <c r="C706" s="7"/>
      <c r="D706" s="7"/>
    </row>
    <row r="707" ht="14.25" customHeight="1">
      <c r="A707" s="7"/>
      <c r="B707" s="7"/>
      <c r="C707" s="7"/>
      <c r="D707" s="7"/>
    </row>
    <row r="708" ht="14.25" customHeight="1">
      <c r="A708" s="7"/>
      <c r="B708" s="7"/>
      <c r="C708" s="7"/>
      <c r="D708" s="7"/>
    </row>
    <row r="709" ht="14.25" customHeight="1">
      <c r="A709" s="7"/>
      <c r="B709" s="7"/>
      <c r="C709" s="7"/>
      <c r="D709" s="7"/>
    </row>
    <row r="710" ht="14.25" customHeight="1">
      <c r="A710" s="7"/>
      <c r="B710" s="7"/>
      <c r="C710" s="7"/>
      <c r="D710" s="7"/>
    </row>
    <row r="711" ht="14.25" customHeight="1">
      <c r="A711" s="7"/>
      <c r="B711" s="7"/>
      <c r="C711" s="7"/>
      <c r="D711" s="7"/>
    </row>
    <row r="712" ht="14.25" customHeight="1">
      <c r="A712" s="7"/>
      <c r="B712" s="7"/>
      <c r="C712" s="7"/>
      <c r="D712" s="7"/>
    </row>
    <row r="713" ht="14.25" customHeight="1">
      <c r="A713" s="7"/>
      <c r="B713" s="7"/>
      <c r="C713" s="7"/>
      <c r="D713" s="7"/>
    </row>
    <row r="714" ht="14.25" customHeight="1">
      <c r="A714" s="7"/>
      <c r="B714" s="7"/>
      <c r="C714" s="7"/>
      <c r="D714" s="7"/>
    </row>
    <row r="715" ht="14.25" customHeight="1">
      <c r="A715" s="7"/>
      <c r="B715" s="7"/>
      <c r="C715" s="7"/>
      <c r="D715" s="7"/>
    </row>
    <row r="716" ht="14.25" customHeight="1">
      <c r="A716" s="7"/>
      <c r="B716" s="7"/>
      <c r="C716" s="7"/>
      <c r="D716" s="7"/>
    </row>
    <row r="717" ht="14.25" customHeight="1">
      <c r="A717" s="7"/>
      <c r="B717" s="7"/>
      <c r="C717" s="7"/>
      <c r="D717" s="7"/>
    </row>
    <row r="718" ht="14.25" customHeight="1">
      <c r="A718" s="7"/>
      <c r="B718" s="7"/>
      <c r="C718" s="7"/>
      <c r="D718" s="7"/>
    </row>
    <row r="719" ht="14.25" customHeight="1">
      <c r="A719" s="7"/>
      <c r="B719" s="7"/>
      <c r="C719" s="7"/>
      <c r="D719" s="7"/>
    </row>
    <row r="720" ht="14.25" customHeight="1">
      <c r="A720" s="7"/>
      <c r="B720" s="7"/>
      <c r="C720" s="7"/>
      <c r="D720" s="7"/>
    </row>
    <row r="721" ht="14.25" customHeight="1">
      <c r="A721" s="7"/>
      <c r="B721" s="7"/>
      <c r="C721" s="7"/>
      <c r="D721" s="7"/>
    </row>
    <row r="722" ht="14.25" customHeight="1">
      <c r="A722" s="7"/>
      <c r="B722" s="7"/>
      <c r="C722" s="7"/>
      <c r="D722" s="7"/>
    </row>
    <row r="723" ht="14.25" customHeight="1">
      <c r="A723" s="7"/>
      <c r="B723" s="7"/>
      <c r="C723" s="7"/>
      <c r="D723" s="7"/>
    </row>
    <row r="724" ht="14.25" customHeight="1">
      <c r="A724" s="7"/>
      <c r="B724" s="7"/>
      <c r="C724" s="7"/>
      <c r="D724" s="7"/>
    </row>
    <row r="725" ht="14.25" customHeight="1">
      <c r="A725" s="7"/>
      <c r="B725" s="7"/>
      <c r="C725" s="7"/>
      <c r="D725" s="7"/>
    </row>
    <row r="726" ht="14.25" customHeight="1">
      <c r="A726" s="7"/>
      <c r="B726" s="7"/>
      <c r="C726" s="7"/>
      <c r="D726" s="7"/>
    </row>
    <row r="727" ht="14.25" customHeight="1">
      <c r="A727" s="7"/>
      <c r="B727" s="7"/>
      <c r="C727" s="7"/>
      <c r="D727" s="7"/>
    </row>
    <row r="728" ht="14.25" customHeight="1">
      <c r="A728" s="7"/>
      <c r="B728" s="7"/>
      <c r="C728" s="7"/>
      <c r="D728" s="7"/>
    </row>
    <row r="729" ht="14.25" customHeight="1">
      <c r="A729" s="7"/>
      <c r="B729" s="7"/>
      <c r="C729" s="7"/>
      <c r="D729" s="7"/>
    </row>
    <row r="730" ht="14.25" customHeight="1">
      <c r="A730" s="7"/>
      <c r="B730" s="7"/>
      <c r="C730" s="7"/>
      <c r="D730" s="7"/>
    </row>
    <row r="731" ht="14.25" customHeight="1">
      <c r="A731" s="7"/>
      <c r="B731" s="7"/>
      <c r="C731" s="7"/>
      <c r="D731" s="7"/>
    </row>
    <row r="732" ht="14.25" customHeight="1">
      <c r="A732" s="7"/>
      <c r="B732" s="7"/>
      <c r="C732" s="7"/>
      <c r="D732" s="7"/>
    </row>
    <row r="733" ht="14.25" customHeight="1">
      <c r="A733" s="7"/>
      <c r="B733" s="7"/>
      <c r="C733" s="7"/>
      <c r="D733" s="7"/>
    </row>
    <row r="734" ht="14.25" customHeight="1">
      <c r="A734" s="7"/>
      <c r="B734" s="7"/>
      <c r="C734" s="7"/>
      <c r="D734" s="7"/>
    </row>
    <row r="735" ht="14.25" customHeight="1">
      <c r="A735" s="7"/>
      <c r="B735" s="7"/>
      <c r="C735" s="7"/>
      <c r="D735" s="7"/>
    </row>
    <row r="736" ht="14.25" customHeight="1">
      <c r="A736" s="7"/>
      <c r="B736" s="7"/>
      <c r="C736" s="7"/>
      <c r="D736" s="7"/>
    </row>
    <row r="737" ht="14.25" customHeight="1">
      <c r="A737" s="7"/>
      <c r="B737" s="7"/>
      <c r="C737" s="7"/>
      <c r="D737" s="7"/>
    </row>
    <row r="738" ht="14.25" customHeight="1">
      <c r="A738" s="7"/>
      <c r="B738" s="7"/>
      <c r="C738" s="7"/>
      <c r="D738" s="7"/>
    </row>
    <row r="739" ht="14.25" customHeight="1">
      <c r="A739" s="7"/>
      <c r="B739" s="7"/>
      <c r="C739" s="7"/>
      <c r="D739" s="7"/>
    </row>
    <row r="740" ht="14.25" customHeight="1">
      <c r="A740" s="7"/>
      <c r="B740" s="7"/>
      <c r="C740" s="7"/>
      <c r="D740" s="7"/>
    </row>
    <row r="741" ht="14.25" customHeight="1">
      <c r="A741" s="7"/>
      <c r="B741" s="7"/>
      <c r="C741" s="7"/>
      <c r="D741" s="7"/>
    </row>
    <row r="742" ht="14.25" customHeight="1">
      <c r="A742" s="7"/>
      <c r="B742" s="7"/>
      <c r="C742" s="7"/>
      <c r="D742" s="7"/>
    </row>
    <row r="743" ht="14.25" customHeight="1">
      <c r="A743" s="7"/>
      <c r="B743" s="7"/>
      <c r="C743" s="7"/>
      <c r="D743" s="7"/>
    </row>
    <row r="744" ht="14.25" customHeight="1">
      <c r="A744" s="7"/>
      <c r="B744" s="7"/>
      <c r="C744" s="7"/>
      <c r="D744" s="7"/>
    </row>
    <row r="745" ht="14.25" customHeight="1">
      <c r="A745" s="7"/>
      <c r="B745" s="7"/>
      <c r="C745" s="7"/>
      <c r="D745" s="7"/>
    </row>
    <row r="746" ht="14.25" customHeight="1">
      <c r="A746" s="7"/>
      <c r="B746" s="7"/>
      <c r="C746" s="7"/>
      <c r="D746" s="7"/>
    </row>
    <row r="747" ht="14.25" customHeight="1">
      <c r="A747" s="7"/>
      <c r="B747" s="7"/>
      <c r="C747" s="7"/>
      <c r="D747" s="7"/>
    </row>
    <row r="748" ht="14.25" customHeight="1">
      <c r="A748" s="7"/>
      <c r="B748" s="7"/>
      <c r="C748" s="7"/>
      <c r="D748" s="7"/>
    </row>
    <row r="749" ht="14.25" customHeight="1">
      <c r="A749" s="7"/>
      <c r="B749" s="7"/>
      <c r="C749" s="7"/>
      <c r="D749" s="7"/>
    </row>
    <row r="750" ht="14.25" customHeight="1">
      <c r="A750" s="7"/>
      <c r="B750" s="7"/>
      <c r="C750" s="7"/>
      <c r="D750" s="7"/>
    </row>
    <row r="751" ht="14.25" customHeight="1">
      <c r="A751" s="7"/>
      <c r="B751" s="7"/>
      <c r="C751" s="7"/>
      <c r="D751" s="7"/>
    </row>
    <row r="752" ht="14.25" customHeight="1">
      <c r="A752" s="7"/>
      <c r="B752" s="7"/>
      <c r="C752" s="7"/>
      <c r="D752" s="7"/>
    </row>
    <row r="753" ht="14.25" customHeight="1">
      <c r="A753" s="7"/>
      <c r="B753" s="7"/>
      <c r="C753" s="7"/>
      <c r="D753" s="7"/>
    </row>
    <row r="754" ht="14.25" customHeight="1">
      <c r="A754" s="7"/>
      <c r="B754" s="7"/>
      <c r="C754" s="7"/>
      <c r="D754" s="7"/>
    </row>
    <row r="755" ht="14.25" customHeight="1">
      <c r="A755" s="7"/>
      <c r="B755" s="7"/>
      <c r="C755" s="7"/>
      <c r="D755" s="7"/>
    </row>
    <row r="756" ht="14.25" customHeight="1">
      <c r="A756" s="7"/>
      <c r="B756" s="7"/>
      <c r="C756" s="7"/>
      <c r="D756" s="7"/>
    </row>
    <row r="757" ht="14.25" customHeight="1">
      <c r="A757" s="7"/>
      <c r="B757" s="7"/>
      <c r="C757" s="7"/>
      <c r="D757" s="7"/>
    </row>
    <row r="758" ht="14.25" customHeight="1">
      <c r="A758" s="7"/>
      <c r="B758" s="7"/>
      <c r="C758" s="7"/>
      <c r="D758" s="7"/>
    </row>
    <row r="759" ht="14.25" customHeight="1">
      <c r="A759" s="7"/>
      <c r="B759" s="7"/>
      <c r="C759" s="7"/>
      <c r="D759" s="7"/>
    </row>
    <row r="760" ht="14.25" customHeight="1">
      <c r="A760" s="7"/>
      <c r="B760" s="7"/>
      <c r="C760" s="7"/>
      <c r="D760" s="7"/>
    </row>
    <row r="761" ht="14.25" customHeight="1">
      <c r="A761" s="7"/>
      <c r="B761" s="7"/>
      <c r="C761" s="7"/>
      <c r="D761" s="7"/>
    </row>
    <row r="762" ht="14.25" customHeight="1">
      <c r="A762" s="7"/>
      <c r="B762" s="7"/>
      <c r="C762" s="7"/>
      <c r="D762" s="7"/>
    </row>
    <row r="763" ht="14.25" customHeight="1">
      <c r="A763" s="7"/>
      <c r="B763" s="7"/>
      <c r="C763" s="7"/>
      <c r="D763" s="7"/>
    </row>
    <row r="764" ht="14.25" customHeight="1">
      <c r="A764" s="7"/>
      <c r="B764" s="7"/>
      <c r="C764" s="7"/>
      <c r="D764" s="7"/>
    </row>
    <row r="765" ht="14.25" customHeight="1">
      <c r="A765" s="7"/>
      <c r="B765" s="7"/>
      <c r="C765" s="7"/>
      <c r="D765" s="7"/>
    </row>
    <row r="766" ht="14.25" customHeight="1">
      <c r="A766" s="7"/>
      <c r="B766" s="7"/>
      <c r="C766" s="7"/>
      <c r="D766" s="7"/>
    </row>
    <row r="767" ht="14.25" customHeight="1">
      <c r="A767" s="7"/>
      <c r="B767" s="7"/>
      <c r="C767" s="7"/>
      <c r="D767" s="7"/>
    </row>
    <row r="768" ht="14.25" customHeight="1">
      <c r="A768" s="7"/>
      <c r="B768" s="7"/>
      <c r="C768" s="7"/>
      <c r="D768" s="7"/>
    </row>
    <row r="769" ht="14.25" customHeight="1">
      <c r="A769" s="7"/>
      <c r="B769" s="7"/>
      <c r="C769" s="7"/>
      <c r="D769" s="7"/>
    </row>
    <row r="770" ht="14.25" customHeight="1">
      <c r="A770" s="7"/>
      <c r="B770" s="7"/>
      <c r="C770" s="7"/>
      <c r="D770" s="7"/>
    </row>
    <row r="771" ht="14.25" customHeight="1">
      <c r="A771" s="7"/>
      <c r="B771" s="7"/>
      <c r="C771" s="7"/>
      <c r="D771" s="7"/>
    </row>
    <row r="772" ht="14.25" customHeight="1">
      <c r="A772" s="7"/>
      <c r="B772" s="7"/>
      <c r="C772" s="7"/>
      <c r="D772" s="7"/>
    </row>
    <row r="773" ht="14.25" customHeight="1">
      <c r="A773" s="7"/>
      <c r="B773" s="7"/>
      <c r="C773" s="7"/>
      <c r="D773" s="7"/>
    </row>
    <row r="774" ht="14.25" customHeight="1">
      <c r="A774" s="7"/>
      <c r="B774" s="7"/>
      <c r="C774" s="7"/>
      <c r="D774" s="7"/>
    </row>
    <row r="775" ht="14.25" customHeight="1">
      <c r="A775" s="7"/>
      <c r="B775" s="7"/>
      <c r="C775" s="7"/>
      <c r="D775" s="7"/>
    </row>
    <row r="776" ht="14.25" customHeight="1">
      <c r="A776" s="7"/>
      <c r="B776" s="7"/>
      <c r="C776" s="7"/>
      <c r="D776" s="7"/>
    </row>
    <row r="777" ht="14.25" customHeight="1">
      <c r="A777" s="7"/>
      <c r="B777" s="7"/>
      <c r="C777" s="7"/>
      <c r="D777" s="7"/>
    </row>
    <row r="778" ht="14.25" customHeight="1">
      <c r="A778" s="7"/>
      <c r="B778" s="7"/>
      <c r="C778" s="7"/>
      <c r="D778" s="7"/>
    </row>
    <row r="779" ht="14.25" customHeight="1">
      <c r="A779" s="7"/>
      <c r="B779" s="7"/>
      <c r="C779" s="7"/>
      <c r="D779" s="7"/>
    </row>
    <row r="780" ht="14.25" customHeight="1">
      <c r="A780" s="7"/>
      <c r="B780" s="7"/>
      <c r="C780" s="7"/>
      <c r="D780" s="7"/>
    </row>
    <row r="781" ht="14.25" customHeight="1">
      <c r="A781" s="7"/>
      <c r="B781" s="7"/>
      <c r="C781" s="7"/>
      <c r="D781" s="7"/>
    </row>
    <row r="782" ht="14.25" customHeight="1">
      <c r="A782" s="7"/>
      <c r="B782" s="7"/>
      <c r="C782" s="7"/>
      <c r="D782" s="7"/>
    </row>
    <row r="783" ht="14.25" customHeight="1">
      <c r="A783" s="7"/>
      <c r="B783" s="7"/>
      <c r="C783" s="7"/>
      <c r="D783" s="7"/>
    </row>
    <row r="784" ht="14.25" customHeight="1">
      <c r="A784" s="7"/>
      <c r="B784" s="7"/>
      <c r="C784" s="7"/>
      <c r="D784" s="7"/>
    </row>
    <row r="785" ht="14.25" customHeight="1">
      <c r="A785" s="7"/>
      <c r="B785" s="7"/>
      <c r="C785" s="7"/>
      <c r="D785" s="7"/>
    </row>
    <row r="786" ht="14.25" customHeight="1">
      <c r="A786" s="7"/>
      <c r="B786" s="7"/>
      <c r="C786" s="7"/>
      <c r="D786" s="7"/>
    </row>
    <row r="787" ht="14.25" customHeight="1">
      <c r="A787" s="7"/>
      <c r="B787" s="7"/>
      <c r="C787" s="7"/>
      <c r="D787" s="7"/>
    </row>
    <row r="788" ht="14.25" customHeight="1">
      <c r="A788" s="7"/>
      <c r="B788" s="7"/>
      <c r="C788" s="7"/>
      <c r="D788" s="7"/>
    </row>
    <row r="789" ht="14.25" customHeight="1">
      <c r="A789" s="7"/>
      <c r="B789" s="7"/>
      <c r="C789" s="7"/>
      <c r="D789" s="7"/>
    </row>
    <row r="790" ht="14.25" customHeight="1">
      <c r="A790" s="7"/>
      <c r="B790" s="7"/>
      <c r="C790" s="7"/>
      <c r="D790" s="7"/>
    </row>
    <row r="791" ht="14.25" customHeight="1">
      <c r="A791" s="7"/>
      <c r="B791" s="7"/>
      <c r="C791" s="7"/>
      <c r="D791" s="7"/>
    </row>
    <row r="792" ht="14.25" customHeight="1">
      <c r="A792" s="7"/>
      <c r="B792" s="7"/>
      <c r="C792" s="7"/>
      <c r="D792" s="7"/>
    </row>
    <row r="793" ht="14.25" customHeight="1">
      <c r="A793" s="7"/>
      <c r="B793" s="7"/>
      <c r="C793" s="7"/>
      <c r="D793" s="7"/>
    </row>
    <row r="794" ht="14.25" customHeight="1">
      <c r="A794" s="7"/>
      <c r="B794" s="7"/>
      <c r="C794" s="7"/>
      <c r="D794" s="7"/>
    </row>
    <row r="795" ht="14.25" customHeight="1">
      <c r="A795" s="7"/>
      <c r="B795" s="7"/>
      <c r="C795" s="7"/>
      <c r="D795" s="7"/>
    </row>
    <row r="796" ht="14.25" customHeight="1">
      <c r="A796" s="7"/>
      <c r="B796" s="7"/>
      <c r="C796" s="7"/>
      <c r="D796" s="7"/>
    </row>
    <row r="797" ht="14.25" customHeight="1">
      <c r="A797" s="7"/>
      <c r="B797" s="7"/>
      <c r="C797" s="7"/>
      <c r="D797" s="7"/>
    </row>
    <row r="798" ht="14.25" customHeight="1">
      <c r="A798" s="7"/>
      <c r="B798" s="7"/>
      <c r="C798" s="7"/>
      <c r="D798" s="7"/>
    </row>
    <row r="799" ht="14.25" customHeight="1">
      <c r="A799" s="7"/>
      <c r="B799" s="7"/>
      <c r="C799" s="7"/>
      <c r="D799" s="7"/>
    </row>
    <row r="800" ht="14.25" customHeight="1">
      <c r="A800" s="7"/>
      <c r="B800" s="7"/>
      <c r="C800" s="7"/>
      <c r="D800" s="7"/>
    </row>
    <row r="801" ht="14.25" customHeight="1">
      <c r="A801" s="7"/>
      <c r="B801" s="7"/>
      <c r="C801" s="7"/>
      <c r="D801" s="7"/>
    </row>
    <row r="802" ht="14.25" customHeight="1">
      <c r="A802" s="7"/>
      <c r="B802" s="7"/>
      <c r="C802" s="7"/>
      <c r="D802" s="7"/>
    </row>
    <row r="803" ht="14.25" customHeight="1">
      <c r="A803" s="7"/>
      <c r="B803" s="7"/>
      <c r="C803" s="7"/>
      <c r="D803" s="7"/>
    </row>
    <row r="804" ht="14.25" customHeight="1">
      <c r="A804" s="7"/>
      <c r="B804" s="7"/>
      <c r="C804" s="7"/>
      <c r="D804" s="7"/>
    </row>
    <row r="805" ht="14.25" customHeight="1">
      <c r="A805" s="7"/>
      <c r="B805" s="7"/>
      <c r="C805" s="7"/>
      <c r="D805" s="7"/>
    </row>
    <row r="806" ht="14.25" customHeight="1">
      <c r="A806" s="7"/>
      <c r="B806" s="7"/>
      <c r="C806" s="7"/>
      <c r="D806" s="7"/>
    </row>
    <row r="807" ht="14.25" customHeight="1">
      <c r="A807" s="7"/>
      <c r="B807" s="7"/>
      <c r="C807" s="7"/>
      <c r="D807" s="7"/>
    </row>
    <row r="808" ht="14.25" customHeight="1">
      <c r="A808" s="7"/>
      <c r="B808" s="7"/>
      <c r="C808" s="7"/>
      <c r="D808" s="7"/>
    </row>
    <row r="809" ht="14.25" customHeight="1">
      <c r="A809" s="7"/>
      <c r="B809" s="7"/>
      <c r="C809" s="7"/>
      <c r="D809" s="7"/>
    </row>
    <row r="810" ht="14.25" customHeight="1">
      <c r="A810" s="7"/>
      <c r="B810" s="7"/>
      <c r="C810" s="7"/>
      <c r="D810" s="7"/>
    </row>
    <row r="811" ht="14.25" customHeight="1">
      <c r="A811" s="7"/>
      <c r="B811" s="7"/>
      <c r="C811" s="7"/>
      <c r="D811" s="7"/>
    </row>
    <row r="812" ht="14.25" customHeight="1">
      <c r="A812" s="7"/>
      <c r="B812" s="7"/>
      <c r="C812" s="7"/>
      <c r="D812" s="7"/>
    </row>
    <row r="813" ht="14.25" customHeight="1">
      <c r="A813" s="7"/>
      <c r="B813" s="7"/>
      <c r="C813" s="7"/>
      <c r="D813" s="7"/>
    </row>
    <row r="814" ht="14.25" customHeight="1">
      <c r="A814" s="7"/>
      <c r="B814" s="7"/>
      <c r="C814" s="7"/>
      <c r="D814" s="7"/>
    </row>
    <row r="815" ht="14.25" customHeight="1">
      <c r="A815" s="7"/>
      <c r="B815" s="7"/>
      <c r="C815" s="7"/>
      <c r="D815" s="7"/>
    </row>
    <row r="816" ht="14.25" customHeight="1">
      <c r="A816" s="7"/>
      <c r="B816" s="7"/>
      <c r="C816" s="7"/>
      <c r="D816" s="7"/>
    </row>
    <row r="817" ht="14.25" customHeight="1">
      <c r="A817" s="7"/>
      <c r="B817" s="7"/>
      <c r="C817" s="7"/>
      <c r="D817" s="7"/>
    </row>
    <row r="818" ht="14.25" customHeight="1">
      <c r="A818" s="7"/>
      <c r="B818" s="7"/>
      <c r="C818" s="7"/>
      <c r="D818" s="7"/>
    </row>
    <row r="819" ht="14.25" customHeight="1">
      <c r="A819" s="7"/>
      <c r="B819" s="7"/>
      <c r="C819" s="7"/>
      <c r="D819" s="7"/>
    </row>
    <row r="820" ht="14.25" customHeight="1">
      <c r="A820" s="7"/>
      <c r="B820" s="7"/>
      <c r="C820" s="7"/>
      <c r="D820" s="7"/>
    </row>
    <row r="821" ht="14.25" customHeight="1">
      <c r="A821" s="7"/>
      <c r="B821" s="7"/>
      <c r="C821" s="7"/>
      <c r="D821" s="7"/>
    </row>
    <row r="822" ht="14.25" customHeight="1">
      <c r="A822" s="7"/>
      <c r="B822" s="7"/>
      <c r="C822" s="7"/>
      <c r="D822" s="7"/>
    </row>
    <row r="823" ht="14.25" customHeight="1">
      <c r="A823" s="7"/>
      <c r="B823" s="7"/>
      <c r="C823" s="7"/>
      <c r="D823" s="7"/>
    </row>
    <row r="824" ht="14.25" customHeight="1">
      <c r="A824" s="7"/>
      <c r="B824" s="7"/>
      <c r="C824" s="7"/>
      <c r="D824" s="7"/>
    </row>
    <row r="825" ht="14.25" customHeight="1">
      <c r="A825" s="7"/>
      <c r="B825" s="7"/>
      <c r="C825" s="7"/>
      <c r="D825" s="7"/>
    </row>
    <row r="826" ht="14.25" customHeight="1">
      <c r="A826" s="7"/>
      <c r="B826" s="7"/>
      <c r="C826" s="7"/>
      <c r="D826" s="7"/>
    </row>
    <row r="827" ht="14.25" customHeight="1">
      <c r="A827" s="7"/>
      <c r="B827" s="7"/>
      <c r="C827" s="7"/>
      <c r="D827" s="7"/>
    </row>
    <row r="828" ht="14.25" customHeight="1">
      <c r="A828" s="7"/>
      <c r="B828" s="7"/>
      <c r="C828" s="7"/>
      <c r="D828" s="7"/>
    </row>
    <row r="829" ht="14.25" customHeight="1">
      <c r="A829" s="7"/>
      <c r="B829" s="7"/>
      <c r="C829" s="7"/>
      <c r="D829" s="7"/>
    </row>
    <row r="830" ht="14.25" customHeight="1">
      <c r="A830" s="7"/>
      <c r="B830" s="7"/>
      <c r="C830" s="7"/>
      <c r="D830" s="7"/>
    </row>
    <row r="831" ht="14.25" customHeight="1">
      <c r="A831" s="7"/>
      <c r="B831" s="7"/>
      <c r="C831" s="7"/>
      <c r="D831" s="7"/>
    </row>
    <row r="832" ht="14.25" customHeight="1">
      <c r="A832" s="7"/>
      <c r="B832" s="7"/>
      <c r="C832" s="7"/>
      <c r="D832" s="7"/>
    </row>
    <row r="833" ht="14.25" customHeight="1">
      <c r="A833" s="7"/>
      <c r="B833" s="7"/>
      <c r="C833" s="7"/>
      <c r="D833" s="7"/>
    </row>
    <row r="834" ht="14.25" customHeight="1">
      <c r="A834" s="7"/>
      <c r="B834" s="7"/>
      <c r="C834" s="7"/>
      <c r="D834" s="7"/>
    </row>
    <row r="835" ht="14.25" customHeight="1">
      <c r="A835" s="7"/>
      <c r="B835" s="7"/>
      <c r="C835" s="7"/>
      <c r="D835" s="7"/>
    </row>
    <row r="836" ht="14.25" customHeight="1">
      <c r="A836" s="7"/>
      <c r="B836" s="7"/>
      <c r="C836" s="7"/>
      <c r="D836" s="7"/>
    </row>
    <row r="837" ht="14.25" customHeight="1">
      <c r="A837" s="7"/>
      <c r="B837" s="7"/>
      <c r="C837" s="7"/>
      <c r="D837" s="7"/>
    </row>
    <row r="838" ht="14.25" customHeight="1">
      <c r="A838" s="7"/>
      <c r="B838" s="7"/>
      <c r="C838" s="7"/>
      <c r="D838" s="7"/>
    </row>
    <row r="839" ht="14.25" customHeight="1">
      <c r="A839" s="7"/>
      <c r="B839" s="7"/>
      <c r="C839" s="7"/>
      <c r="D839" s="7"/>
    </row>
    <row r="840" ht="14.25" customHeight="1">
      <c r="A840" s="7"/>
      <c r="B840" s="7"/>
      <c r="C840" s="7"/>
      <c r="D840" s="7"/>
    </row>
    <row r="841" ht="14.25" customHeight="1">
      <c r="A841" s="7"/>
      <c r="B841" s="7"/>
      <c r="C841" s="7"/>
      <c r="D841" s="7"/>
    </row>
    <row r="842" ht="14.25" customHeight="1">
      <c r="A842" s="7"/>
      <c r="B842" s="7"/>
      <c r="C842" s="7"/>
      <c r="D842" s="7"/>
    </row>
    <row r="843" ht="14.25" customHeight="1">
      <c r="A843" s="7"/>
      <c r="B843" s="7"/>
      <c r="C843" s="7"/>
      <c r="D843" s="7"/>
    </row>
    <row r="844" ht="14.25" customHeight="1">
      <c r="A844" s="7"/>
      <c r="B844" s="7"/>
      <c r="C844" s="7"/>
      <c r="D844" s="7"/>
    </row>
    <row r="845" ht="14.25" customHeight="1">
      <c r="A845" s="7"/>
      <c r="B845" s="7"/>
      <c r="C845" s="7"/>
      <c r="D845" s="7"/>
    </row>
    <row r="846" ht="14.25" customHeight="1">
      <c r="A846" s="7"/>
      <c r="B846" s="7"/>
      <c r="C846" s="7"/>
      <c r="D846" s="7"/>
    </row>
    <row r="847" ht="14.25" customHeight="1">
      <c r="A847" s="7"/>
      <c r="B847" s="7"/>
      <c r="C847" s="7"/>
      <c r="D847" s="7"/>
    </row>
    <row r="848" ht="14.25" customHeight="1">
      <c r="A848" s="7"/>
      <c r="B848" s="7"/>
      <c r="C848" s="7"/>
      <c r="D848" s="7"/>
    </row>
    <row r="849" ht="14.25" customHeight="1">
      <c r="A849" s="7"/>
      <c r="B849" s="7"/>
      <c r="C849" s="7"/>
      <c r="D849" s="7"/>
    </row>
    <row r="850" ht="14.25" customHeight="1">
      <c r="A850" s="7"/>
      <c r="B850" s="7"/>
      <c r="C850" s="7"/>
      <c r="D850" s="7"/>
    </row>
    <row r="851" ht="14.25" customHeight="1">
      <c r="A851" s="7"/>
      <c r="B851" s="7"/>
      <c r="C851" s="7"/>
      <c r="D851" s="7"/>
    </row>
    <row r="852" ht="14.25" customHeight="1">
      <c r="A852" s="7"/>
      <c r="B852" s="7"/>
      <c r="C852" s="7"/>
      <c r="D852" s="7"/>
    </row>
    <row r="853" ht="14.25" customHeight="1">
      <c r="A853" s="7"/>
      <c r="B853" s="7"/>
      <c r="C853" s="7"/>
      <c r="D853" s="7"/>
    </row>
    <row r="854" ht="14.25" customHeight="1">
      <c r="A854" s="7"/>
      <c r="B854" s="7"/>
      <c r="C854" s="7"/>
      <c r="D854" s="7"/>
    </row>
    <row r="855" ht="14.25" customHeight="1">
      <c r="A855" s="7"/>
      <c r="B855" s="7"/>
      <c r="C855" s="7"/>
      <c r="D855" s="7"/>
    </row>
    <row r="856" ht="14.25" customHeight="1">
      <c r="A856" s="7"/>
      <c r="B856" s="7"/>
      <c r="C856" s="7"/>
      <c r="D856" s="7"/>
    </row>
    <row r="857" ht="14.25" customHeight="1">
      <c r="A857" s="7"/>
      <c r="B857" s="7"/>
      <c r="C857" s="7"/>
      <c r="D857" s="7"/>
    </row>
    <row r="858" ht="14.25" customHeight="1">
      <c r="A858" s="7"/>
      <c r="B858" s="7"/>
      <c r="C858" s="7"/>
      <c r="D858" s="7"/>
    </row>
    <row r="859" ht="14.25" customHeight="1">
      <c r="A859" s="7"/>
      <c r="B859" s="7"/>
      <c r="C859" s="7"/>
      <c r="D859" s="7"/>
    </row>
    <row r="860" ht="14.25" customHeight="1">
      <c r="A860" s="7"/>
      <c r="B860" s="7"/>
      <c r="C860" s="7"/>
      <c r="D860" s="7"/>
    </row>
    <row r="861" ht="14.25" customHeight="1">
      <c r="A861" s="7"/>
      <c r="B861" s="7"/>
      <c r="C861" s="7"/>
      <c r="D861" s="7"/>
    </row>
    <row r="862" ht="14.25" customHeight="1">
      <c r="A862" s="7"/>
      <c r="B862" s="7"/>
      <c r="C862" s="7"/>
      <c r="D862" s="7"/>
    </row>
    <row r="863" ht="14.25" customHeight="1">
      <c r="A863" s="7"/>
      <c r="B863" s="7"/>
      <c r="C863" s="7"/>
      <c r="D863" s="7"/>
    </row>
    <row r="864" ht="14.25" customHeight="1">
      <c r="A864" s="7"/>
      <c r="B864" s="7"/>
      <c r="C864" s="7"/>
      <c r="D864" s="7"/>
    </row>
    <row r="865" ht="14.25" customHeight="1">
      <c r="A865" s="7"/>
      <c r="B865" s="7"/>
      <c r="C865" s="7"/>
      <c r="D865" s="7"/>
    </row>
    <row r="866" ht="14.25" customHeight="1">
      <c r="A866" s="7"/>
      <c r="B866" s="7"/>
      <c r="C866" s="7"/>
      <c r="D866" s="7"/>
    </row>
    <row r="867" ht="14.25" customHeight="1">
      <c r="A867" s="7"/>
      <c r="B867" s="7"/>
      <c r="C867" s="7"/>
      <c r="D867" s="7"/>
    </row>
    <row r="868" ht="14.25" customHeight="1">
      <c r="A868" s="7"/>
      <c r="B868" s="7"/>
      <c r="C868" s="7"/>
      <c r="D868" s="7"/>
    </row>
    <row r="869" ht="14.25" customHeight="1">
      <c r="A869" s="7"/>
      <c r="B869" s="7"/>
      <c r="C869" s="7"/>
      <c r="D869" s="7"/>
    </row>
    <row r="870" ht="14.25" customHeight="1">
      <c r="A870" s="7"/>
      <c r="B870" s="7"/>
      <c r="C870" s="7"/>
      <c r="D870" s="7"/>
    </row>
    <row r="871" ht="14.25" customHeight="1">
      <c r="A871" s="7"/>
      <c r="B871" s="7"/>
      <c r="C871" s="7"/>
      <c r="D871" s="7"/>
    </row>
    <row r="872" ht="14.25" customHeight="1">
      <c r="A872" s="7"/>
      <c r="B872" s="7"/>
      <c r="C872" s="7"/>
      <c r="D872" s="7"/>
    </row>
    <row r="873" ht="14.25" customHeight="1">
      <c r="A873" s="7"/>
      <c r="B873" s="7"/>
      <c r="C873" s="7"/>
      <c r="D873" s="7"/>
    </row>
    <row r="874" ht="14.25" customHeight="1">
      <c r="A874" s="7"/>
      <c r="B874" s="7"/>
      <c r="C874" s="7"/>
      <c r="D874" s="7"/>
    </row>
    <row r="875" ht="14.25" customHeight="1">
      <c r="A875" s="7"/>
      <c r="B875" s="7"/>
      <c r="C875" s="7"/>
      <c r="D875" s="7"/>
    </row>
    <row r="876" ht="14.25" customHeight="1">
      <c r="A876" s="7"/>
      <c r="B876" s="7"/>
      <c r="C876" s="7"/>
      <c r="D876" s="7"/>
    </row>
    <row r="877" ht="14.25" customHeight="1">
      <c r="A877" s="7"/>
      <c r="B877" s="7"/>
      <c r="C877" s="7"/>
      <c r="D877" s="7"/>
    </row>
    <row r="878" ht="14.25" customHeight="1">
      <c r="A878" s="7"/>
      <c r="B878" s="7"/>
      <c r="C878" s="7"/>
      <c r="D878" s="7"/>
    </row>
    <row r="879" ht="14.25" customHeight="1">
      <c r="A879" s="7"/>
      <c r="B879" s="7"/>
      <c r="C879" s="7"/>
      <c r="D879" s="7"/>
    </row>
    <row r="880" ht="14.25" customHeight="1">
      <c r="A880" s="7"/>
      <c r="B880" s="7"/>
      <c r="C880" s="7"/>
      <c r="D880" s="7"/>
    </row>
    <row r="881" ht="14.25" customHeight="1">
      <c r="A881" s="7"/>
      <c r="B881" s="7"/>
      <c r="C881" s="7"/>
      <c r="D881" s="7"/>
    </row>
    <row r="882" ht="14.25" customHeight="1">
      <c r="A882" s="7"/>
      <c r="B882" s="7"/>
      <c r="C882" s="7"/>
      <c r="D882" s="7"/>
    </row>
    <row r="883" ht="14.25" customHeight="1">
      <c r="A883" s="7"/>
      <c r="B883" s="7"/>
      <c r="C883" s="7"/>
      <c r="D883" s="7"/>
    </row>
    <row r="884" ht="14.25" customHeight="1">
      <c r="A884" s="7"/>
      <c r="B884" s="7"/>
      <c r="C884" s="7"/>
      <c r="D884" s="7"/>
    </row>
    <row r="885" ht="14.25" customHeight="1">
      <c r="A885" s="7"/>
      <c r="B885" s="7"/>
      <c r="C885" s="7"/>
      <c r="D885" s="7"/>
    </row>
    <row r="886" ht="14.25" customHeight="1">
      <c r="A886" s="7"/>
      <c r="B886" s="7"/>
      <c r="C886" s="7"/>
      <c r="D886" s="7"/>
    </row>
    <row r="887" ht="14.25" customHeight="1">
      <c r="A887" s="7"/>
      <c r="B887" s="7"/>
      <c r="C887" s="7"/>
      <c r="D887" s="7"/>
    </row>
    <row r="888" ht="14.25" customHeight="1">
      <c r="A888" s="7"/>
      <c r="B888" s="7"/>
      <c r="C888" s="7"/>
      <c r="D888" s="7"/>
    </row>
    <row r="889" ht="14.25" customHeight="1">
      <c r="A889" s="7"/>
      <c r="B889" s="7"/>
      <c r="C889" s="7"/>
      <c r="D889" s="7"/>
    </row>
    <row r="890" ht="14.25" customHeight="1">
      <c r="A890" s="7"/>
      <c r="B890" s="7"/>
      <c r="C890" s="7"/>
      <c r="D890" s="7"/>
    </row>
    <row r="891" ht="14.25" customHeight="1">
      <c r="A891" s="7"/>
      <c r="B891" s="7"/>
      <c r="C891" s="7"/>
      <c r="D891" s="7"/>
    </row>
    <row r="892" ht="14.25" customHeight="1">
      <c r="A892" s="7"/>
      <c r="B892" s="7"/>
      <c r="C892" s="7"/>
      <c r="D892" s="7"/>
    </row>
    <row r="893" ht="14.25" customHeight="1">
      <c r="A893" s="7"/>
      <c r="B893" s="7"/>
      <c r="C893" s="7"/>
      <c r="D893" s="7"/>
    </row>
    <row r="894" ht="14.25" customHeight="1">
      <c r="A894" s="7"/>
      <c r="B894" s="7"/>
      <c r="C894" s="7"/>
      <c r="D894" s="7"/>
    </row>
    <row r="895" ht="14.25" customHeight="1">
      <c r="A895" s="7"/>
      <c r="B895" s="7"/>
      <c r="C895" s="7"/>
      <c r="D895" s="7"/>
    </row>
    <row r="896" ht="14.25" customHeight="1">
      <c r="A896" s="7"/>
      <c r="B896" s="7"/>
      <c r="C896" s="7"/>
      <c r="D896" s="7"/>
    </row>
    <row r="897" ht="14.25" customHeight="1">
      <c r="A897" s="7"/>
      <c r="B897" s="7"/>
      <c r="C897" s="7"/>
      <c r="D897" s="7"/>
    </row>
    <row r="898" ht="14.25" customHeight="1">
      <c r="A898" s="7"/>
      <c r="B898" s="7"/>
      <c r="C898" s="7"/>
      <c r="D898" s="7"/>
    </row>
    <row r="899" ht="14.25" customHeight="1">
      <c r="A899" s="7"/>
      <c r="B899" s="7"/>
      <c r="C899" s="7"/>
      <c r="D899" s="7"/>
    </row>
    <row r="900" ht="14.25" customHeight="1">
      <c r="A900" s="7"/>
      <c r="B900" s="7"/>
      <c r="C900" s="7"/>
      <c r="D900" s="7"/>
    </row>
    <row r="901" ht="14.25" customHeight="1">
      <c r="A901" s="7"/>
      <c r="B901" s="7"/>
      <c r="C901" s="7"/>
      <c r="D901" s="7"/>
    </row>
    <row r="902" ht="14.25" customHeight="1">
      <c r="A902" s="7"/>
      <c r="B902" s="7"/>
      <c r="C902" s="7"/>
      <c r="D902" s="7"/>
    </row>
    <row r="903" ht="14.25" customHeight="1">
      <c r="A903" s="7"/>
      <c r="B903" s="7"/>
      <c r="C903" s="7"/>
      <c r="D903" s="7"/>
    </row>
    <row r="904" ht="14.25" customHeight="1">
      <c r="A904" s="7"/>
      <c r="B904" s="7"/>
      <c r="C904" s="7"/>
      <c r="D904" s="7"/>
    </row>
    <row r="905" ht="14.25" customHeight="1">
      <c r="A905" s="7"/>
      <c r="B905" s="7"/>
      <c r="C905" s="7"/>
      <c r="D905" s="7"/>
    </row>
    <row r="906" ht="14.25" customHeight="1">
      <c r="A906" s="7"/>
      <c r="B906" s="7"/>
      <c r="C906" s="7"/>
      <c r="D906" s="7"/>
    </row>
    <row r="907" ht="14.25" customHeight="1">
      <c r="A907" s="7"/>
      <c r="B907" s="7"/>
      <c r="C907" s="7"/>
      <c r="D907" s="7"/>
    </row>
    <row r="908" ht="14.25" customHeight="1">
      <c r="A908" s="7"/>
      <c r="B908" s="7"/>
      <c r="C908" s="7"/>
      <c r="D908" s="7"/>
    </row>
    <row r="909" ht="14.25" customHeight="1">
      <c r="A909" s="7"/>
      <c r="B909" s="7"/>
      <c r="C909" s="7"/>
      <c r="D909" s="7"/>
    </row>
    <row r="910" ht="14.25" customHeight="1">
      <c r="A910" s="7"/>
      <c r="B910" s="7"/>
      <c r="C910" s="7"/>
      <c r="D910" s="7"/>
    </row>
    <row r="911" ht="14.25" customHeight="1">
      <c r="A911" s="7"/>
      <c r="B911" s="7"/>
      <c r="C911" s="7"/>
      <c r="D911" s="7"/>
    </row>
    <row r="912" ht="14.25" customHeight="1">
      <c r="A912" s="7"/>
      <c r="B912" s="7"/>
      <c r="C912" s="7"/>
      <c r="D912" s="7"/>
    </row>
    <row r="913" ht="14.25" customHeight="1">
      <c r="A913" s="7"/>
      <c r="B913" s="7"/>
      <c r="C913" s="7"/>
      <c r="D913" s="7"/>
    </row>
    <row r="914" ht="14.25" customHeight="1">
      <c r="A914" s="7"/>
      <c r="B914" s="7"/>
      <c r="C914" s="7"/>
      <c r="D914" s="7"/>
    </row>
    <row r="915" ht="14.25" customHeight="1">
      <c r="A915" s="7"/>
      <c r="B915" s="7"/>
      <c r="C915" s="7"/>
      <c r="D915" s="7"/>
    </row>
    <row r="916" ht="14.25" customHeight="1">
      <c r="A916" s="7"/>
      <c r="B916" s="7"/>
      <c r="C916" s="7"/>
      <c r="D916" s="7"/>
    </row>
    <row r="917" ht="14.25" customHeight="1">
      <c r="A917" s="7"/>
      <c r="B917" s="7"/>
      <c r="C917" s="7"/>
      <c r="D917" s="7"/>
    </row>
    <row r="918" ht="14.25" customHeight="1">
      <c r="A918" s="7"/>
      <c r="B918" s="7"/>
      <c r="C918" s="7"/>
      <c r="D918" s="7"/>
    </row>
    <row r="919" ht="14.25" customHeight="1">
      <c r="A919" s="7"/>
      <c r="B919" s="7"/>
      <c r="C919" s="7"/>
      <c r="D919" s="7"/>
    </row>
    <row r="920" ht="14.25" customHeight="1">
      <c r="A920" s="7"/>
      <c r="B920" s="7"/>
      <c r="C920" s="7"/>
      <c r="D920" s="7"/>
    </row>
    <row r="921" ht="14.25" customHeight="1">
      <c r="A921" s="7"/>
      <c r="B921" s="7"/>
      <c r="C921" s="7"/>
      <c r="D921" s="7"/>
    </row>
    <row r="922" ht="14.25" customHeight="1">
      <c r="A922" s="7"/>
      <c r="B922" s="7"/>
      <c r="C922" s="7"/>
      <c r="D922" s="7"/>
    </row>
    <row r="923" ht="14.25" customHeight="1">
      <c r="A923" s="7"/>
      <c r="B923" s="7"/>
      <c r="C923" s="7"/>
      <c r="D923" s="7"/>
    </row>
    <row r="924" ht="14.25" customHeight="1">
      <c r="A924" s="7"/>
      <c r="B924" s="7"/>
      <c r="C924" s="7"/>
      <c r="D924" s="7"/>
    </row>
    <row r="925" ht="14.25" customHeight="1">
      <c r="A925" s="7"/>
      <c r="B925" s="7"/>
      <c r="C925" s="7"/>
      <c r="D925" s="7"/>
    </row>
    <row r="926" ht="14.25" customHeight="1">
      <c r="A926" s="7"/>
      <c r="B926" s="7"/>
      <c r="C926" s="7"/>
      <c r="D926" s="7"/>
    </row>
    <row r="927" ht="14.25" customHeight="1">
      <c r="A927" s="7"/>
      <c r="B927" s="7"/>
      <c r="C927" s="7"/>
      <c r="D927" s="7"/>
    </row>
    <row r="928" ht="14.25" customHeight="1">
      <c r="A928" s="7"/>
      <c r="B928" s="7"/>
      <c r="C928" s="7"/>
      <c r="D928" s="7"/>
    </row>
    <row r="929" ht="14.25" customHeight="1">
      <c r="A929" s="7"/>
      <c r="B929" s="7"/>
      <c r="C929" s="7"/>
      <c r="D929" s="7"/>
    </row>
    <row r="930" ht="14.25" customHeight="1">
      <c r="A930" s="7"/>
      <c r="B930" s="7"/>
      <c r="C930" s="7"/>
      <c r="D930" s="7"/>
    </row>
    <row r="931" ht="14.25" customHeight="1">
      <c r="A931" s="7"/>
      <c r="B931" s="7"/>
      <c r="C931" s="7"/>
      <c r="D931" s="7"/>
    </row>
    <row r="932" ht="14.25" customHeight="1">
      <c r="A932" s="7"/>
      <c r="B932" s="7"/>
      <c r="C932" s="7"/>
      <c r="D932" s="7"/>
    </row>
    <row r="933" ht="14.25" customHeight="1">
      <c r="A933" s="7"/>
      <c r="B933" s="7"/>
      <c r="C933" s="7"/>
      <c r="D933" s="7"/>
    </row>
    <row r="934" ht="14.25" customHeight="1">
      <c r="A934" s="7"/>
      <c r="B934" s="7"/>
      <c r="C934" s="7"/>
      <c r="D934" s="7"/>
    </row>
    <row r="935" ht="14.25" customHeight="1">
      <c r="A935" s="7"/>
      <c r="B935" s="7"/>
      <c r="C935" s="7"/>
      <c r="D935" s="7"/>
    </row>
    <row r="936" ht="14.25" customHeight="1">
      <c r="A936" s="7"/>
      <c r="B936" s="7"/>
      <c r="C936" s="7"/>
      <c r="D936" s="7"/>
    </row>
    <row r="937" ht="14.25" customHeight="1">
      <c r="A937" s="7"/>
      <c r="B937" s="7"/>
      <c r="C937" s="7"/>
      <c r="D937" s="7"/>
    </row>
    <row r="938" ht="14.25" customHeight="1">
      <c r="A938" s="7"/>
      <c r="B938" s="7"/>
      <c r="C938" s="7"/>
      <c r="D938" s="7"/>
    </row>
    <row r="939" ht="14.25" customHeight="1">
      <c r="A939" s="7"/>
      <c r="B939" s="7"/>
      <c r="C939" s="7"/>
      <c r="D939" s="7"/>
    </row>
    <row r="940" ht="14.25" customHeight="1">
      <c r="A940" s="7"/>
      <c r="B940" s="7"/>
      <c r="C940" s="7"/>
      <c r="D940" s="7"/>
    </row>
    <row r="941" ht="14.25" customHeight="1">
      <c r="A941" s="7"/>
      <c r="B941" s="7"/>
      <c r="C941" s="7"/>
      <c r="D941" s="7"/>
    </row>
    <row r="942" ht="14.25" customHeight="1">
      <c r="A942" s="7"/>
      <c r="B942" s="7"/>
      <c r="C942" s="7"/>
      <c r="D942" s="7"/>
    </row>
    <row r="943" ht="14.25" customHeight="1">
      <c r="A943" s="7"/>
      <c r="B943" s="7"/>
      <c r="C943" s="7"/>
      <c r="D943" s="7"/>
    </row>
    <row r="944" ht="14.25" customHeight="1">
      <c r="A944" s="7"/>
      <c r="B944" s="7"/>
      <c r="C944" s="7"/>
      <c r="D944" s="7"/>
    </row>
    <row r="945" ht="14.25" customHeight="1">
      <c r="A945" s="7"/>
      <c r="B945" s="7"/>
      <c r="C945" s="7"/>
      <c r="D945" s="7"/>
    </row>
    <row r="946" ht="14.25" customHeight="1">
      <c r="A946" s="7"/>
      <c r="B946" s="7"/>
      <c r="C946" s="7"/>
      <c r="D946" s="7"/>
    </row>
    <row r="947" ht="14.25" customHeight="1">
      <c r="A947" s="7"/>
      <c r="B947" s="7"/>
      <c r="C947" s="7"/>
      <c r="D947" s="7"/>
    </row>
    <row r="948" ht="14.25" customHeight="1">
      <c r="A948" s="7"/>
      <c r="B948" s="7"/>
      <c r="C948" s="7"/>
      <c r="D948" s="7"/>
    </row>
    <row r="949" ht="14.25" customHeight="1">
      <c r="A949" s="7"/>
      <c r="B949" s="7"/>
      <c r="C949" s="7"/>
      <c r="D949" s="7"/>
    </row>
    <row r="950" ht="14.25" customHeight="1">
      <c r="A950" s="7"/>
      <c r="B950" s="7"/>
      <c r="C950" s="7"/>
      <c r="D950" s="7"/>
    </row>
    <row r="951" ht="14.25" customHeight="1">
      <c r="A951" s="7"/>
      <c r="B951" s="7"/>
      <c r="C951" s="7"/>
      <c r="D951" s="7"/>
    </row>
    <row r="952" ht="14.25" customHeight="1">
      <c r="A952" s="7"/>
      <c r="B952" s="7"/>
      <c r="C952" s="7"/>
      <c r="D952" s="7"/>
    </row>
    <row r="953" ht="14.25" customHeight="1">
      <c r="A953" s="7"/>
      <c r="B953" s="7"/>
      <c r="C953" s="7"/>
      <c r="D953" s="7"/>
    </row>
    <row r="954" ht="14.25" customHeight="1">
      <c r="A954" s="7"/>
      <c r="B954" s="7"/>
      <c r="C954" s="7"/>
      <c r="D954" s="7"/>
    </row>
    <row r="955" ht="14.25" customHeight="1">
      <c r="A955" s="7"/>
      <c r="B955" s="7"/>
      <c r="C955" s="7"/>
      <c r="D955" s="7"/>
    </row>
    <row r="956" ht="14.25" customHeight="1">
      <c r="A956" s="7"/>
      <c r="B956" s="7"/>
      <c r="C956" s="7"/>
      <c r="D956" s="7"/>
    </row>
    <row r="957" ht="14.25" customHeight="1">
      <c r="A957" s="7"/>
      <c r="B957" s="7"/>
      <c r="C957" s="7"/>
      <c r="D957" s="7"/>
    </row>
    <row r="958" ht="14.25" customHeight="1">
      <c r="A958" s="7"/>
      <c r="B958" s="7"/>
      <c r="C958" s="7"/>
      <c r="D958" s="7"/>
    </row>
    <row r="959" ht="14.25" customHeight="1">
      <c r="A959" s="7"/>
      <c r="B959" s="7"/>
      <c r="C959" s="7"/>
      <c r="D959" s="7"/>
    </row>
    <row r="960" ht="14.25" customHeight="1">
      <c r="A960" s="7"/>
      <c r="B960" s="7"/>
      <c r="C960" s="7"/>
      <c r="D960" s="7"/>
    </row>
    <row r="961" ht="14.25" customHeight="1">
      <c r="A961" s="7"/>
      <c r="B961" s="7"/>
      <c r="C961" s="7"/>
      <c r="D961" s="7"/>
    </row>
    <row r="962" ht="14.25" customHeight="1">
      <c r="A962" s="7"/>
      <c r="B962" s="7"/>
      <c r="C962" s="7"/>
      <c r="D962" s="7"/>
    </row>
    <row r="963" ht="14.25" customHeight="1">
      <c r="A963" s="7"/>
      <c r="B963" s="7"/>
      <c r="C963" s="7"/>
      <c r="D963" s="7"/>
    </row>
    <row r="964" ht="14.25" customHeight="1">
      <c r="A964" s="7"/>
      <c r="B964" s="7"/>
      <c r="C964" s="7"/>
      <c r="D964" s="7"/>
    </row>
    <row r="965" ht="14.25" customHeight="1">
      <c r="A965" s="7"/>
      <c r="B965" s="7"/>
      <c r="C965" s="7"/>
      <c r="D965" s="7"/>
    </row>
    <row r="966" ht="14.25" customHeight="1">
      <c r="A966" s="7"/>
      <c r="B966" s="7"/>
      <c r="C966" s="7"/>
      <c r="D966" s="7"/>
    </row>
    <row r="967" ht="14.25" customHeight="1">
      <c r="A967" s="7"/>
      <c r="B967" s="7"/>
      <c r="C967" s="7"/>
      <c r="D967" s="7"/>
    </row>
    <row r="968" ht="14.25" customHeight="1">
      <c r="A968" s="7"/>
      <c r="B968" s="7"/>
      <c r="C968" s="7"/>
      <c r="D968" s="7"/>
    </row>
    <row r="969" ht="14.25" customHeight="1">
      <c r="A969" s="7"/>
      <c r="B969" s="7"/>
      <c r="C969" s="7"/>
      <c r="D969" s="7"/>
    </row>
    <row r="970" ht="14.25" customHeight="1">
      <c r="A970" s="7"/>
      <c r="B970" s="7"/>
      <c r="C970" s="7"/>
      <c r="D970" s="7"/>
    </row>
    <row r="971" ht="14.25" customHeight="1">
      <c r="A971" s="7"/>
      <c r="B971" s="7"/>
      <c r="C971" s="7"/>
      <c r="D971" s="7"/>
    </row>
    <row r="972" ht="14.25" customHeight="1">
      <c r="A972" s="7"/>
      <c r="B972" s="7"/>
      <c r="C972" s="7"/>
      <c r="D972" s="7"/>
    </row>
    <row r="973" ht="14.25" customHeight="1">
      <c r="A973" s="7"/>
      <c r="B973" s="7"/>
      <c r="C973" s="7"/>
      <c r="D973" s="7"/>
    </row>
    <row r="974" ht="14.25" customHeight="1">
      <c r="A974" s="7"/>
      <c r="B974" s="7"/>
      <c r="C974" s="7"/>
      <c r="D974" s="7"/>
    </row>
    <row r="975" ht="14.25" customHeight="1">
      <c r="A975" s="7"/>
      <c r="B975" s="7"/>
      <c r="C975" s="7"/>
      <c r="D975" s="7"/>
    </row>
    <row r="976" ht="14.25" customHeight="1">
      <c r="A976" s="7"/>
      <c r="B976" s="7"/>
      <c r="C976" s="7"/>
      <c r="D976" s="7"/>
    </row>
    <row r="977" ht="14.25" customHeight="1">
      <c r="A977" s="7"/>
      <c r="B977" s="7"/>
      <c r="C977" s="7"/>
      <c r="D977" s="7"/>
    </row>
    <row r="978" ht="14.25" customHeight="1">
      <c r="A978" s="7"/>
      <c r="B978" s="7"/>
      <c r="C978" s="7"/>
      <c r="D978" s="7"/>
    </row>
    <row r="979" ht="14.25" customHeight="1">
      <c r="A979" s="7"/>
      <c r="B979" s="7"/>
      <c r="C979" s="7"/>
      <c r="D979" s="7"/>
    </row>
    <row r="980" ht="14.25" customHeight="1">
      <c r="A980" s="7"/>
      <c r="B980" s="7"/>
      <c r="C980" s="7"/>
      <c r="D980" s="7"/>
    </row>
    <row r="981" ht="14.25" customHeight="1">
      <c r="A981" s="7"/>
      <c r="B981" s="7"/>
      <c r="C981" s="7"/>
      <c r="D981" s="7"/>
    </row>
    <row r="982" ht="14.25" customHeight="1">
      <c r="A982" s="7"/>
      <c r="B982" s="7"/>
      <c r="C982" s="7"/>
      <c r="D982" s="7"/>
    </row>
    <row r="983" ht="14.25" customHeight="1">
      <c r="A983" s="7"/>
      <c r="B983" s="7"/>
      <c r="C983" s="7"/>
      <c r="D983" s="7"/>
    </row>
    <row r="984" ht="14.25" customHeight="1">
      <c r="A984" s="7"/>
      <c r="B984" s="7"/>
      <c r="C984" s="7"/>
      <c r="D984" s="7"/>
    </row>
    <row r="985" ht="14.25" customHeight="1">
      <c r="A985" s="7"/>
      <c r="B985" s="7"/>
      <c r="C985" s="7"/>
      <c r="D985" s="7"/>
    </row>
    <row r="986" ht="14.25" customHeight="1">
      <c r="A986" s="7"/>
      <c r="B986" s="7"/>
      <c r="C986" s="7"/>
      <c r="D986" s="7"/>
    </row>
    <row r="987" ht="14.25" customHeight="1">
      <c r="A987" s="7"/>
      <c r="B987" s="7"/>
      <c r="C987" s="7"/>
      <c r="D987" s="7"/>
    </row>
    <row r="988" ht="14.25" customHeight="1">
      <c r="A988" s="7"/>
      <c r="B988" s="7"/>
      <c r="C988" s="7"/>
      <c r="D988" s="7"/>
    </row>
    <row r="989" ht="14.25" customHeight="1">
      <c r="A989" s="7"/>
      <c r="B989" s="7"/>
      <c r="C989" s="7"/>
      <c r="D989" s="7"/>
    </row>
    <row r="990" ht="14.25" customHeight="1">
      <c r="A990" s="7"/>
      <c r="B990" s="7"/>
      <c r="C990" s="7"/>
      <c r="D990" s="7"/>
    </row>
    <row r="991" ht="14.25" customHeight="1">
      <c r="A991" s="7"/>
      <c r="B991" s="7"/>
      <c r="C991" s="7"/>
      <c r="D991" s="7"/>
    </row>
    <row r="992" ht="14.25" customHeight="1">
      <c r="A992" s="7"/>
      <c r="B992" s="7"/>
      <c r="C992" s="7"/>
      <c r="D992" s="7"/>
    </row>
    <row r="993" ht="14.25" customHeight="1">
      <c r="A993" s="7"/>
      <c r="B993" s="7"/>
      <c r="C993" s="7"/>
      <c r="D993" s="7"/>
    </row>
    <row r="994" ht="14.25" customHeight="1">
      <c r="A994" s="7"/>
      <c r="B994" s="7"/>
      <c r="C994" s="7"/>
      <c r="D994" s="7"/>
    </row>
    <row r="995" ht="14.25" customHeight="1">
      <c r="A995" s="7"/>
      <c r="B995" s="7"/>
      <c r="C995" s="7"/>
      <c r="D995" s="7"/>
    </row>
    <row r="996" ht="14.25" customHeight="1">
      <c r="A996" s="7"/>
      <c r="B996" s="7"/>
      <c r="C996" s="7"/>
      <c r="D996" s="7"/>
    </row>
    <row r="997" ht="14.25" customHeight="1">
      <c r="A997" s="7"/>
      <c r="B997" s="7"/>
      <c r="C997" s="7"/>
      <c r="D997" s="7"/>
    </row>
    <row r="998" ht="14.25" customHeight="1">
      <c r="A998" s="7"/>
      <c r="B998" s="7"/>
      <c r="C998" s="7"/>
      <c r="D998" s="7"/>
    </row>
    <row r="999" ht="14.25" customHeight="1">
      <c r="A999" s="7"/>
      <c r="B999" s="7"/>
      <c r="C999" s="7"/>
      <c r="D999" s="7"/>
    </row>
    <row r="1000" ht="14.25" customHeight="1">
      <c r="A1000" s="7"/>
      <c r="B1000" s="7"/>
      <c r="C1000" s="7"/>
      <c r="D1000" s="7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88"/>
    <col customWidth="1" min="3" max="4" width="23.0"/>
    <col customWidth="1" min="5" max="26" width="8.88"/>
  </cols>
  <sheetData>
    <row r="1" ht="14.25" customHeight="1">
      <c r="A1" s="3" t="s">
        <v>492</v>
      </c>
      <c r="B1" s="3" t="s">
        <v>2</v>
      </c>
      <c r="C1" s="1" t="s">
        <v>487</v>
      </c>
      <c r="D1" s="3" t="s">
        <v>489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4.25" customHeight="1">
      <c r="A2" s="10">
        <v>1.0</v>
      </c>
      <c r="B2" s="10" t="s">
        <v>23</v>
      </c>
      <c r="C2" s="31">
        <v>1.467414112966667E8</v>
      </c>
      <c r="D2" s="31">
        <v>2.2190717294666672E8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4.25" customHeight="1">
      <c r="A3" s="10">
        <v>2.0</v>
      </c>
      <c r="B3" s="10" t="s">
        <v>63</v>
      </c>
      <c r="C3" s="31">
        <v>7.803945176533335E8</v>
      </c>
      <c r="D3" s="31">
        <v>1.4207928624000003E9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4.25" customHeight="1">
      <c r="A4" s="10">
        <v>3.0</v>
      </c>
      <c r="B4" s="10" t="s">
        <v>171</v>
      </c>
      <c r="C4" s="31">
        <v>5.0427221123999995E8</v>
      </c>
      <c r="D4" s="31">
        <v>1.0076796931333336E9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10">
        <v>4.0</v>
      </c>
      <c r="B5" s="10" t="s">
        <v>237</v>
      </c>
      <c r="C5" s="31">
        <v>1.2713989986333333E8</v>
      </c>
      <c r="D5" s="31">
        <v>2.3683518856999996E8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10">
        <v>5.0</v>
      </c>
      <c r="B6" s="10" t="s">
        <v>288</v>
      </c>
      <c r="C6" s="31">
        <v>2.1212335346333334E8</v>
      </c>
      <c r="D6" s="31">
        <v>2.8717956196E8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10">
        <v>6.0</v>
      </c>
      <c r="B7" s="10" t="s">
        <v>346</v>
      </c>
      <c r="C7" s="31">
        <v>1.347369659E8</v>
      </c>
      <c r="D7" s="31">
        <v>2.6992650347999996E8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10">
        <v>7.0</v>
      </c>
      <c r="B8" s="10" t="s">
        <v>363</v>
      </c>
      <c r="C8" s="31">
        <v>1.0728354871933333E9</v>
      </c>
      <c r="D8" s="31">
        <v>1.730797025926668E9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10">
        <v>8.0</v>
      </c>
      <c r="B9" s="10" t="s">
        <v>436</v>
      </c>
      <c r="C9" s="31">
        <v>6.2379953153333336E7</v>
      </c>
      <c r="D9" s="31">
        <v>1.2036880791333334E8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10">
        <v>9.0</v>
      </c>
      <c r="B10" s="10" t="s">
        <v>466</v>
      </c>
      <c r="C10" s="31">
        <v>1.2532058416666666E7</v>
      </c>
      <c r="D10" s="31">
        <v>3.742826485333333E7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10">
        <v>10.0</v>
      </c>
      <c r="B11" s="10" t="s">
        <v>351</v>
      </c>
      <c r="C11" s="31">
        <v>3.2701263563333333E7</v>
      </c>
      <c r="D11" s="31">
        <v>6.1017132663333334E7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10">
        <v>11.0</v>
      </c>
      <c r="B12" s="10" t="s">
        <v>493</v>
      </c>
      <c r="C12" s="31">
        <v>3.0531558581800003E9</v>
      </c>
      <c r="D12" s="31">
        <v>5.332915081183332E9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0" width="8.88"/>
    <col customWidth="1" min="11" max="11" width="19.25"/>
    <col customWidth="1" min="12" max="26" width="8.88"/>
  </cols>
  <sheetData>
    <row r="1" ht="14.25" customHeight="1">
      <c r="A1" s="32" t="s">
        <v>494</v>
      </c>
      <c r="B1" s="32" t="s">
        <v>495</v>
      </c>
      <c r="C1" s="33" t="s">
        <v>496</v>
      </c>
      <c r="D1" s="33" t="s">
        <v>497</v>
      </c>
      <c r="E1" s="34" t="s">
        <v>498</v>
      </c>
      <c r="F1" s="34" t="s">
        <v>499</v>
      </c>
      <c r="G1" s="35" t="s">
        <v>500</v>
      </c>
      <c r="H1" s="35" t="s">
        <v>501</v>
      </c>
      <c r="I1" s="36" t="s">
        <v>502</v>
      </c>
      <c r="J1" s="36" t="s">
        <v>503</v>
      </c>
      <c r="K1" s="37" t="s">
        <v>504</v>
      </c>
    </row>
    <row r="2" ht="14.25" customHeight="1">
      <c r="A2" s="10">
        <v>17.0</v>
      </c>
      <c r="B2" s="10" t="s">
        <v>505</v>
      </c>
      <c r="C2" s="10">
        <v>100.0</v>
      </c>
      <c r="D2" s="10">
        <v>15.0</v>
      </c>
      <c r="E2" s="10">
        <v>15.0</v>
      </c>
      <c r="F2" s="10">
        <v>10.0</v>
      </c>
      <c r="G2" s="10">
        <v>10.0</v>
      </c>
      <c r="H2" s="10">
        <v>5.0</v>
      </c>
      <c r="I2" s="10">
        <v>5.0</v>
      </c>
      <c r="J2" s="10">
        <v>0.0</v>
      </c>
      <c r="K2" s="38" t="s">
        <v>506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13"/>
    <col customWidth="1" min="2" max="26" width="8.88"/>
  </cols>
  <sheetData>
    <row r="1" ht="16.5" customHeight="1">
      <c r="A1" s="39" t="s">
        <v>507</v>
      </c>
      <c r="B1" s="40">
        <v>2012.0</v>
      </c>
      <c r="C1" s="40">
        <v>2024.0</v>
      </c>
    </row>
    <row r="2" ht="16.5" customHeight="1">
      <c r="A2" s="41" t="s">
        <v>508</v>
      </c>
      <c r="B2" s="42">
        <v>49.0</v>
      </c>
      <c r="C2" s="42">
        <v>118.0</v>
      </c>
    </row>
    <row r="3" ht="16.5" customHeight="1">
      <c r="A3" s="41" t="s">
        <v>509</v>
      </c>
      <c r="B3" s="42">
        <v>31.0</v>
      </c>
      <c r="C3" s="42">
        <v>31.0</v>
      </c>
    </row>
    <row r="4" ht="16.5" customHeight="1">
      <c r="A4" s="41" t="s">
        <v>510</v>
      </c>
      <c r="B4" s="42">
        <v>63.0</v>
      </c>
      <c r="C4" s="42">
        <v>67.0</v>
      </c>
    </row>
    <row r="5" ht="16.5" customHeight="1">
      <c r="A5" s="41" t="s">
        <v>511</v>
      </c>
      <c r="B5" s="42">
        <v>200.0</v>
      </c>
      <c r="C5" s="42">
        <v>127.0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9" width="8.88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2026-01-28T15:58:14Z</dcterms:created>
  <dc:creator>Diego Calderón Acebey</dc:creator>
</cp:coreProperties>
</file>