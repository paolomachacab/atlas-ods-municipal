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DEE395F5-467D-4029-9176-FE5B655D1EA3}" xr6:coauthVersionLast="47" xr6:coauthVersionMax="47" xr10:uidLastSave="{00000000-0000-0000-0000-000000000000}"/>
  <bookViews>
    <workbookView xWindow="-108" yWindow="-108" windowWidth="23256" windowHeight="12456" firstSheet="2" activeTab="6" xr2:uid="{FC11B69A-1FA8-4969-B6EA-C5AB11010947}"/>
  </bookViews>
  <sheets>
    <sheet name="Datos originales-procesados" sheetId="1" r:id="rId1"/>
    <sheet name="Datos ordenados" sheetId="2" r:id="rId2"/>
    <sheet name="Indicador_MUN" sheetId="4" r:id="rId3"/>
    <sheet name="Absoluto_MUN" sheetId="5" r:id="rId4"/>
    <sheet name="Indicador_DEP" sheetId="9" r:id="rId5"/>
    <sheet name="Absoluto_DEP" sheetId="3" r:id="rId6"/>
    <sheet name="Umbral" sheetId="6" r:id="rId7"/>
    <sheet name="Gráficos" sheetId="7" r:id="rId8"/>
    <sheet name="Mapa" sheetId="8" r:id="rId9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6" i="1" l="1"/>
  <c r="R236" i="1"/>
  <c r="S236" i="1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23" i="2"/>
  <c r="H23" i="2"/>
  <c r="G31" i="2"/>
  <c r="H31" i="2"/>
  <c r="G32" i="2"/>
  <c r="H32" i="2"/>
  <c r="G33" i="2"/>
  <c r="H33" i="2"/>
  <c r="G34" i="2"/>
  <c r="H34" i="2"/>
  <c r="G35" i="2"/>
  <c r="H35" i="2"/>
  <c r="G68" i="2"/>
  <c r="H68" i="2"/>
  <c r="G69" i="2"/>
  <c r="H69" i="2"/>
  <c r="G70" i="2"/>
  <c r="H70" i="2"/>
  <c r="G71" i="2"/>
  <c r="H71" i="2"/>
  <c r="G116" i="2"/>
  <c r="H116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80" i="2"/>
  <c r="H80" i="2"/>
  <c r="G81" i="2"/>
  <c r="H81" i="2"/>
  <c r="G82" i="2"/>
  <c r="H82" i="2"/>
  <c r="G83" i="2"/>
  <c r="H83" i="2"/>
  <c r="G84" i="2"/>
  <c r="H84" i="2"/>
  <c r="G85" i="2"/>
  <c r="H85" i="2"/>
  <c r="G36" i="2"/>
  <c r="H36" i="2"/>
  <c r="G37" i="2"/>
  <c r="H37" i="2"/>
  <c r="G58" i="2"/>
  <c r="H58" i="2"/>
  <c r="G59" i="2"/>
  <c r="H59" i="2"/>
  <c r="G60" i="2"/>
  <c r="H60" i="2"/>
  <c r="G63" i="2"/>
  <c r="H63" i="2"/>
  <c r="G61" i="2"/>
  <c r="H61" i="2"/>
  <c r="G62" i="2"/>
  <c r="H62" i="2"/>
  <c r="G108" i="2"/>
  <c r="H108" i="2"/>
  <c r="G109" i="2"/>
  <c r="H109" i="2"/>
  <c r="G110" i="2"/>
  <c r="H110" i="2"/>
  <c r="G55" i="2"/>
  <c r="H55" i="2"/>
  <c r="G56" i="2"/>
  <c r="H56" i="2"/>
  <c r="G57" i="2"/>
  <c r="H57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66" i="2"/>
  <c r="H66" i="2"/>
  <c r="G67" i="2"/>
  <c r="H67" i="2"/>
  <c r="G75" i="2"/>
  <c r="H75" i="2"/>
  <c r="G76" i="2"/>
  <c r="H76" i="2"/>
  <c r="G77" i="2"/>
  <c r="H77" i="2"/>
  <c r="G78" i="2"/>
  <c r="H78" i="2"/>
  <c r="G79" i="2"/>
  <c r="H79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11" i="2"/>
  <c r="H111" i="2"/>
  <c r="G112" i="2"/>
  <c r="H112" i="2"/>
  <c r="G113" i="2"/>
  <c r="H113" i="2"/>
  <c r="G114" i="2"/>
  <c r="H114" i="2"/>
  <c r="G115" i="2"/>
  <c r="H115" i="2"/>
  <c r="G64" i="2"/>
  <c r="H64" i="2"/>
  <c r="G65" i="2"/>
  <c r="H65" i="2"/>
  <c r="G72" i="2"/>
  <c r="H72" i="2"/>
  <c r="G73" i="2"/>
  <c r="H73" i="2"/>
  <c r="G74" i="2"/>
  <c r="H74" i="2"/>
  <c r="G39" i="2"/>
  <c r="H39" i="2"/>
  <c r="G40" i="2"/>
  <c r="H40" i="2"/>
  <c r="G54" i="2"/>
  <c r="H54" i="2"/>
  <c r="G53" i="2"/>
  <c r="H53" i="2"/>
  <c r="G117" i="2"/>
  <c r="H117" i="2"/>
  <c r="G41" i="2"/>
  <c r="H41" i="2"/>
  <c r="G38" i="2"/>
  <c r="H38" i="2"/>
  <c r="G118" i="2"/>
  <c r="H118" i="2"/>
  <c r="G139" i="2"/>
  <c r="H139" i="2"/>
  <c r="G140" i="2"/>
  <c r="H140" i="2"/>
  <c r="G141" i="2"/>
  <c r="H141" i="2"/>
  <c r="G142" i="2"/>
  <c r="H142" i="2"/>
  <c r="G143" i="2"/>
  <c r="H143" i="2"/>
  <c r="G119" i="2"/>
  <c r="H119" i="2"/>
  <c r="G120" i="2"/>
  <c r="H120" i="2"/>
  <c r="G121" i="2"/>
  <c r="H121" i="2"/>
  <c r="G122" i="2"/>
  <c r="H122" i="2"/>
  <c r="G123" i="2"/>
  <c r="H123" i="2"/>
  <c r="G144" i="2"/>
  <c r="H144" i="2"/>
  <c r="G145" i="2"/>
  <c r="H145" i="2"/>
  <c r="G146" i="2"/>
  <c r="H146" i="2"/>
  <c r="G158" i="2"/>
  <c r="H158" i="2"/>
  <c r="G159" i="2"/>
  <c r="H159" i="2"/>
  <c r="G160" i="2"/>
  <c r="H160" i="2"/>
  <c r="G161" i="2"/>
  <c r="H161" i="2"/>
  <c r="G162" i="2"/>
  <c r="H162" i="2"/>
  <c r="G125" i="2"/>
  <c r="H125" i="2"/>
  <c r="G126" i="2"/>
  <c r="H126" i="2"/>
  <c r="G127" i="2"/>
  <c r="H127" i="2"/>
  <c r="G128" i="2"/>
  <c r="H128" i="2"/>
  <c r="G136" i="2"/>
  <c r="H136" i="2"/>
  <c r="G137" i="2"/>
  <c r="H137" i="2"/>
  <c r="G138" i="2"/>
  <c r="H138" i="2"/>
  <c r="G133" i="2"/>
  <c r="H133" i="2"/>
  <c r="G134" i="2"/>
  <c r="H134" i="2"/>
  <c r="G135" i="2"/>
  <c r="H135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29" i="2"/>
  <c r="H129" i="2"/>
  <c r="G130" i="2"/>
  <c r="H130" i="2"/>
  <c r="G131" i="2"/>
  <c r="H131" i="2"/>
  <c r="G132" i="2"/>
  <c r="H132" i="2"/>
  <c r="G163" i="2"/>
  <c r="H163" i="2"/>
  <c r="G164" i="2"/>
  <c r="H164" i="2"/>
  <c r="G154" i="2"/>
  <c r="H154" i="2"/>
  <c r="G155" i="2"/>
  <c r="H155" i="2"/>
  <c r="G156" i="2"/>
  <c r="H156" i="2"/>
  <c r="H157" i="2"/>
  <c r="G153" i="2"/>
  <c r="H153" i="2"/>
  <c r="G124" i="2"/>
  <c r="H124" i="2"/>
  <c r="G165" i="2"/>
  <c r="H165" i="2"/>
  <c r="G166" i="2"/>
  <c r="H166" i="2"/>
  <c r="G167" i="2"/>
  <c r="H167" i="2"/>
  <c r="G168" i="2"/>
  <c r="H168" i="2"/>
  <c r="G170" i="2"/>
  <c r="H170" i="2"/>
  <c r="G171" i="2"/>
  <c r="H171" i="2"/>
  <c r="G184" i="2"/>
  <c r="H184" i="2"/>
  <c r="G185" i="2"/>
  <c r="H185" i="2"/>
  <c r="G181" i="2"/>
  <c r="H181" i="2"/>
  <c r="G182" i="2"/>
  <c r="H182" i="2"/>
  <c r="G183" i="2"/>
  <c r="H183" i="2"/>
  <c r="G192" i="2"/>
  <c r="H192" i="2"/>
  <c r="G196" i="2"/>
  <c r="H196" i="2"/>
  <c r="G195" i="2"/>
  <c r="H195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91" i="2"/>
  <c r="H191" i="2"/>
  <c r="G193" i="2"/>
  <c r="H193" i="2"/>
  <c r="G194" i="2"/>
  <c r="H194" i="2"/>
  <c r="G186" i="2"/>
  <c r="H186" i="2"/>
  <c r="G187" i="2"/>
  <c r="H187" i="2"/>
  <c r="G197" i="2"/>
  <c r="H197" i="2"/>
  <c r="G198" i="2"/>
  <c r="H198" i="2"/>
  <c r="G199" i="2"/>
  <c r="H199" i="2"/>
  <c r="G188" i="2"/>
  <c r="H188" i="2"/>
  <c r="G189" i="2"/>
  <c r="H189" i="2"/>
  <c r="G190" i="2"/>
  <c r="H190" i="2"/>
  <c r="G200" i="2"/>
  <c r="H200" i="2"/>
  <c r="G169" i="2"/>
  <c r="H169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7" i="2"/>
  <c r="H217" i="2"/>
  <c r="G218" i="2"/>
  <c r="H218" i="2"/>
  <c r="G219" i="2"/>
  <c r="H219" i="2"/>
  <c r="G220" i="2"/>
  <c r="H220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21" i="2"/>
  <c r="H221" i="2"/>
  <c r="G222" i="2"/>
  <c r="H222" i="2"/>
  <c r="G230" i="2"/>
  <c r="H230" i="2"/>
  <c r="G231" i="2"/>
  <c r="H231" i="2"/>
  <c r="G233" i="2"/>
  <c r="H233" i="2"/>
  <c r="G234" i="2"/>
  <c r="H234" i="2"/>
  <c r="G235" i="2"/>
  <c r="H235" i="2"/>
  <c r="H236" i="2"/>
  <c r="G237" i="2"/>
  <c r="H237" i="2"/>
  <c r="G238" i="2"/>
  <c r="H238" i="2"/>
  <c r="H239" i="2"/>
  <c r="G240" i="2"/>
  <c r="H240" i="2"/>
  <c r="G241" i="2"/>
  <c r="H241" i="2"/>
  <c r="G242" i="2"/>
  <c r="H242" i="2"/>
  <c r="G232" i="2"/>
  <c r="H232" i="2"/>
  <c r="G208" i="2"/>
  <c r="H208" i="2"/>
  <c r="H216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8" i="2"/>
  <c r="H268" i="2"/>
  <c r="G269" i="2"/>
  <c r="H269" i="2"/>
  <c r="G270" i="2"/>
  <c r="H270" i="2"/>
  <c r="G271" i="2"/>
  <c r="H271" i="2"/>
  <c r="G272" i="2"/>
  <c r="H272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5" i="2"/>
  <c r="H295" i="2"/>
  <c r="G296" i="2"/>
  <c r="H296" i="2"/>
  <c r="G298" i="2"/>
  <c r="H298" i="2"/>
  <c r="G301" i="2"/>
  <c r="H301" i="2"/>
  <c r="G302" i="2"/>
  <c r="H302" i="2"/>
  <c r="G303" i="2"/>
  <c r="H303" i="2"/>
  <c r="G304" i="2"/>
  <c r="H304" i="2"/>
  <c r="G305" i="2"/>
  <c r="H305" i="2"/>
  <c r="G307" i="2"/>
  <c r="H307" i="2"/>
  <c r="G308" i="2"/>
  <c r="H308" i="2"/>
  <c r="G309" i="2"/>
  <c r="H309" i="2"/>
  <c r="G260" i="2"/>
  <c r="H260" i="2"/>
  <c r="G299" i="2"/>
  <c r="H299" i="2"/>
  <c r="G297" i="2"/>
  <c r="H297" i="2"/>
  <c r="G306" i="2"/>
  <c r="H306" i="2"/>
  <c r="G267" i="2"/>
  <c r="H267" i="2"/>
  <c r="G293" i="2"/>
  <c r="H293" i="2"/>
  <c r="G294" i="2"/>
  <c r="H294" i="2"/>
  <c r="G300" i="2"/>
  <c r="H300" i="2"/>
  <c r="G273" i="2"/>
  <c r="H273" i="2"/>
  <c r="G310" i="2"/>
  <c r="H310" i="2"/>
  <c r="G311" i="2"/>
  <c r="H311" i="2"/>
  <c r="G312" i="2"/>
  <c r="H312" i="2"/>
  <c r="G313" i="2"/>
  <c r="H313" i="2"/>
  <c r="G314" i="2"/>
  <c r="H314" i="2"/>
  <c r="G317" i="2"/>
  <c r="H317" i="2"/>
  <c r="G315" i="2"/>
  <c r="H315" i="2"/>
  <c r="G316" i="2"/>
  <c r="H316" i="2"/>
  <c r="G318" i="2"/>
  <c r="H318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19" i="2"/>
  <c r="H31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H2" i="2"/>
  <c r="G2" i="2"/>
  <c r="R278" i="1"/>
  <c r="S278" i="1"/>
  <c r="Q278" i="1"/>
  <c r="M278" i="1"/>
  <c r="T275" i="1"/>
  <c r="T236" i="1"/>
  <c r="T186" i="1"/>
  <c r="T190" i="1"/>
  <c r="T179" i="1"/>
  <c r="T15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80" i="1"/>
  <c r="T181" i="1"/>
  <c r="T182" i="1"/>
  <c r="T183" i="1"/>
  <c r="T184" i="1"/>
  <c r="T185" i="1"/>
  <c r="T187" i="1"/>
  <c r="T188" i="1"/>
  <c r="T189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7" i="1"/>
  <c r="P188" i="1"/>
  <c r="P189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2" i="1"/>
</calcChain>
</file>

<file path=xl/sharedStrings.xml><?xml version="1.0" encoding="utf-8"?>
<sst xmlns="http://schemas.openxmlformats.org/spreadsheetml/2006/main" count="2142" uniqueCount="510">
  <si>
    <t>COD_INE</t>
  </si>
  <si>
    <t>Municipio</t>
  </si>
  <si>
    <t>Departamento</t>
  </si>
  <si>
    <t>Provincia</t>
  </si>
  <si>
    <t>SUCRE</t>
  </si>
  <si>
    <t>Chuquisaca</t>
  </si>
  <si>
    <t>Oropeza</t>
  </si>
  <si>
    <t>YOTALA</t>
  </si>
  <si>
    <t>POROMA</t>
  </si>
  <si>
    <t>AZURDUY</t>
  </si>
  <si>
    <t>Azurduy</t>
  </si>
  <si>
    <t>TARVITA</t>
  </si>
  <si>
    <t>ZUDAÑEZ</t>
  </si>
  <si>
    <t>Zudañez</t>
  </si>
  <si>
    <t>PRESTO</t>
  </si>
  <si>
    <t>MOJOCOYA</t>
  </si>
  <si>
    <t>ICLA</t>
  </si>
  <si>
    <t>PADILLA</t>
  </si>
  <si>
    <t>Tomina</t>
  </si>
  <si>
    <t>TOMINA</t>
  </si>
  <si>
    <t>SOPACHUY</t>
  </si>
  <si>
    <t>VILLA ALCALA</t>
  </si>
  <si>
    <t>EL VILLAR</t>
  </si>
  <si>
    <t>MONTEAGUDO</t>
  </si>
  <si>
    <t>Hernando Siles</t>
  </si>
  <si>
    <t>HUACARETA</t>
  </si>
  <si>
    <t>TARABUCO</t>
  </si>
  <si>
    <t>Yamparaez</t>
  </si>
  <si>
    <t>YAMPARAEZ</t>
  </si>
  <si>
    <t>CAMARGO</t>
  </si>
  <si>
    <t>Nor Cinti</t>
  </si>
  <si>
    <t>SAN LUCAS</t>
  </si>
  <si>
    <t>INCAHUASI</t>
  </si>
  <si>
    <t>VILLA SERRANO</t>
  </si>
  <si>
    <t>Belisario Boeto</t>
  </si>
  <si>
    <t>CAMATAQUI</t>
  </si>
  <si>
    <t>Sud Cinti</t>
  </si>
  <si>
    <t>CULPINA</t>
  </si>
  <si>
    <t>LAS CARRERAS</t>
  </si>
  <si>
    <t>VILLA VACA GUZMÁN</t>
  </si>
  <si>
    <t>Luis Calvo</t>
  </si>
  <si>
    <t>HUACAYA</t>
  </si>
  <si>
    <t>MACHARETI</t>
  </si>
  <si>
    <t>VILLA CHARCAS</t>
  </si>
  <si>
    <t>LA PAZ</t>
  </si>
  <si>
    <t>La Paz</t>
  </si>
  <si>
    <t>Murillo</t>
  </si>
  <si>
    <t>PALCA</t>
  </si>
  <si>
    <t>MECAPACA</t>
  </si>
  <si>
    <t>ACHOCALLA</t>
  </si>
  <si>
    <t>EL ALTO</t>
  </si>
  <si>
    <t>VIACHA</t>
  </si>
  <si>
    <t>Ingavi</t>
  </si>
  <si>
    <t>GUAQUI</t>
  </si>
  <si>
    <t>TIAHUANACU</t>
  </si>
  <si>
    <t>DESAGUADERO</t>
  </si>
  <si>
    <t>CARANAVI</t>
  </si>
  <si>
    <t>Caranavi</t>
  </si>
  <si>
    <t>SICA SICA</t>
  </si>
  <si>
    <t>Aroma</t>
  </si>
  <si>
    <t>UMALA</t>
  </si>
  <si>
    <t>AYO AYO</t>
  </si>
  <si>
    <t>CALAMARCA</t>
  </si>
  <si>
    <t>PATACAMAYA</t>
  </si>
  <si>
    <t>COLQUENCHA</t>
  </si>
  <si>
    <t>COLLANA</t>
  </si>
  <si>
    <t>INQUISIVI</t>
  </si>
  <si>
    <t>Inquisivi</t>
  </si>
  <si>
    <t>QUIME</t>
  </si>
  <si>
    <t>CAJUATA</t>
  </si>
  <si>
    <t>COLQUIRI</t>
  </si>
  <si>
    <t>ICHOCA</t>
  </si>
  <si>
    <t>LICOMA PAMPA</t>
  </si>
  <si>
    <t>ACHACACHI</t>
  </si>
  <si>
    <t>Omasuyos</t>
  </si>
  <si>
    <t>ANCORAIMES</t>
  </si>
  <si>
    <t>SORATA</t>
  </si>
  <si>
    <t>Larecajas</t>
  </si>
  <si>
    <t>GUANAY</t>
  </si>
  <si>
    <t>TACACOMA</t>
  </si>
  <si>
    <t>TIPUANI</t>
  </si>
  <si>
    <t>QUIABAYA</t>
  </si>
  <si>
    <t>COMBAYA</t>
  </si>
  <si>
    <t>COPACABANA</t>
  </si>
  <si>
    <t>Manco Kapac</t>
  </si>
  <si>
    <t>TIQUINA</t>
  </si>
  <si>
    <t>TITO YUPANQUI</t>
  </si>
  <si>
    <t>CHUMA</t>
  </si>
  <si>
    <t>Muñecas</t>
  </si>
  <si>
    <t>AYATA</t>
  </si>
  <si>
    <t>AUCAPATA</t>
  </si>
  <si>
    <t>COROCORO</t>
  </si>
  <si>
    <t>Pacajes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</si>
  <si>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</si>
  <si>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</si>
  <si>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</si>
  <si>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</si>
  <si>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</si>
  <si>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</si>
  <si>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</si>
  <si>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</si>
  <si>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Camacho</t>
  </si>
  <si>
    <t>MOCOMOCO</t>
  </si>
  <si>
    <t>CARABUCO</t>
  </si>
  <si>
    <t>APOLO</t>
  </si>
  <si>
    <t>Franz Tamayo</t>
  </si>
  <si>
    <t>PELECHUCO</t>
  </si>
  <si>
    <t>LURIBAY</t>
  </si>
  <si>
    <t>Loayza</t>
  </si>
  <si>
    <t>SAPAHAQUI</t>
  </si>
  <si>
    <t>YACO</t>
  </si>
  <si>
    <t>MALLA</t>
  </si>
  <si>
    <t>CAIROMA</t>
  </si>
  <si>
    <t>CHULUMANI</t>
  </si>
  <si>
    <t>Sur Yungas</t>
  </si>
  <si>
    <t>IRUPANA</t>
  </si>
  <si>
    <t>YANACACHI</t>
  </si>
  <si>
    <t>PALOS BLANCOS</t>
  </si>
  <si>
    <t>LA ASUNTA</t>
  </si>
  <si>
    <t>PUCARANI</t>
  </si>
  <si>
    <t>Los Andes</t>
  </si>
  <si>
    <t>LAJA</t>
  </si>
  <si>
    <t>BATALLAS</t>
  </si>
  <si>
    <t>PUERTO PEREZ</t>
  </si>
  <si>
    <t>COROICO</t>
  </si>
  <si>
    <t>Nor Yungas</t>
  </si>
  <si>
    <t>CORIPATA</t>
  </si>
  <si>
    <t>IXIAMAS</t>
  </si>
  <si>
    <t>Abel Iturralde</t>
  </si>
  <si>
    <t>SAN BUENAVENTURA</t>
  </si>
  <si>
    <t>CHARAZANI</t>
  </si>
  <si>
    <t>Bautista Saavedra</t>
  </si>
  <si>
    <t>CURVA</t>
  </si>
  <si>
    <t>SAN PEDRO DE CURAHUARA</t>
  </si>
  <si>
    <t>Gualberto Villaroel</t>
  </si>
  <si>
    <t>PAPEL PAMPA</t>
  </si>
  <si>
    <t>CHACARILLA</t>
  </si>
  <si>
    <t>SANTIAGO DE MACHACA</t>
  </si>
  <si>
    <t>Gral. J. Manuel Pando</t>
  </si>
  <si>
    <t>CATACORA</t>
  </si>
  <si>
    <t>MAPIRI</t>
  </si>
  <si>
    <t>TEOPONTE</t>
  </si>
  <si>
    <t>SAN ANDRÉS DE MACHACA</t>
  </si>
  <si>
    <t>JESÚS DE MACHACA</t>
  </si>
  <si>
    <t>TARACO</t>
  </si>
  <si>
    <t>HUARINA</t>
  </si>
  <si>
    <t>SANTIAGO DE HUATA</t>
  </si>
  <si>
    <t>ESCOMA</t>
  </si>
  <si>
    <t>HUMANATA</t>
  </si>
  <si>
    <t>ALTO BENI</t>
  </si>
  <si>
    <t>HUATAJATA</t>
  </si>
  <si>
    <t>CHUA COCANI</t>
  </si>
  <si>
    <t>COCHABAMBA</t>
  </si>
  <si>
    <t>Cochabamba</t>
  </si>
  <si>
    <t>Cercado</t>
  </si>
  <si>
    <t>QUILLACOLLO</t>
  </si>
  <si>
    <t>Quillacollo</t>
  </si>
  <si>
    <t>SIPE SIPE</t>
  </si>
  <si>
    <t>TIQUIPAYA</t>
  </si>
  <si>
    <t>VINTO</t>
  </si>
  <si>
    <t>COLCAPIRHUA</t>
  </si>
  <si>
    <t>AIQUILE</t>
  </si>
  <si>
    <t>Campero</t>
  </si>
  <si>
    <t>PASORAPA</t>
  </si>
  <si>
    <t>OMEREQUE</t>
  </si>
  <si>
    <t>AYOPAYA (VILLA DE INDEPENDENCIA)</t>
  </si>
  <si>
    <t>Ayopaya</t>
  </si>
  <si>
    <t>MOROCHATA</t>
  </si>
  <si>
    <t>SACABA</t>
  </si>
  <si>
    <t>Chapare</t>
  </si>
  <si>
    <t>COLOMI</t>
  </si>
  <si>
    <t>VILLA TUNARI</t>
  </si>
  <si>
    <t>PUNATA</t>
  </si>
  <si>
    <t>Punata</t>
  </si>
  <si>
    <t>VILLA RIVERO</t>
  </si>
  <si>
    <t>SAN BENITO</t>
  </si>
  <si>
    <t>TACACHI</t>
  </si>
  <si>
    <t>CUCHUMUELA</t>
  </si>
  <si>
    <t>TARATA</t>
  </si>
  <si>
    <t>Esteban Arce</t>
  </si>
  <si>
    <t>ANZALDO</t>
  </si>
  <si>
    <t>ARBIETO</t>
  </si>
  <si>
    <t>SACABAMBA</t>
  </si>
  <si>
    <t>CLIZA</t>
  </si>
  <si>
    <t>Germán Jordán</t>
  </si>
  <si>
    <t>TOCO</t>
  </si>
  <si>
    <t>German Jordan</t>
  </si>
  <si>
    <t>TOLATA</t>
  </si>
  <si>
    <t>CAPINOTA</t>
  </si>
  <si>
    <t>Capinota</t>
  </si>
  <si>
    <t>SANTIVAÑEZ</t>
  </si>
  <si>
    <t>SICAYA</t>
  </si>
  <si>
    <t>TAPACARI</t>
  </si>
  <si>
    <t>Tapacari</t>
  </si>
  <si>
    <t>TOTORA - CBBA</t>
  </si>
  <si>
    <t>Carrasco</t>
  </si>
  <si>
    <t>POJO</t>
  </si>
  <si>
    <t>POCONA</t>
  </si>
  <si>
    <t>CHIMORÉ</t>
  </si>
  <si>
    <t>PUERTO VILLARROEL</t>
  </si>
  <si>
    <t>ARANI</t>
  </si>
  <si>
    <t>Arani</t>
  </si>
  <si>
    <t>VACAS</t>
  </si>
  <si>
    <t>ARQUE</t>
  </si>
  <si>
    <t>Arque</t>
  </si>
  <si>
    <t>TACOPAYA</t>
  </si>
  <si>
    <t>BOLIVAR</t>
  </si>
  <si>
    <t>Bolivar</t>
  </si>
  <si>
    <t>TIRAQUE</t>
  </si>
  <si>
    <t>Tiraque</t>
  </si>
  <si>
    <t>MIZQUE</t>
  </si>
  <si>
    <t>Mizque</t>
  </si>
  <si>
    <t>VILA VILA</t>
  </si>
  <si>
    <t>ALALAY</t>
  </si>
  <si>
    <t>ENTRE RIOS</t>
  </si>
  <si>
    <t>COCAPATA</t>
  </si>
  <si>
    <t>SHINAHOTA</t>
  </si>
  <si>
    <t>ORURO</t>
  </si>
  <si>
    <t>Oruro</t>
  </si>
  <si>
    <t>CARACOLLO</t>
  </si>
  <si>
    <t>EL CHORO</t>
  </si>
  <si>
    <t>CHALLAPATA</t>
  </si>
  <si>
    <t>Avaroa</t>
  </si>
  <si>
    <t>SANTUARIO DE QUILLACAS</t>
  </si>
  <si>
    <t>HUANUNI</t>
  </si>
  <si>
    <t>Pantaleon Dalence</t>
  </si>
  <si>
    <t>MACHACAMARCA</t>
  </si>
  <si>
    <t>POOPÓ</t>
  </si>
  <si>
    <t>Poopo</t>
  </si>
  <si>
    <t>PAZÑA</t>
  </si>
  <si>
    <t>ANTEQUERA</t>
  </si>
  <si>
    <t>EUCALIPTUS</t>
  </si>
  <si>
    <t>Tomas Barron</t>
  </si>
  <si>
    <t>SANTIAGO DE HUARI</t>
  </si>
  <si>
    <t>Sebastian Pagador</t>
  </si>
  <si>
    <t>TOTORA - OR</t>
  </si>
  <si>
    <t>San Pedro De Totora</t>
  </si>
  <si>
    <t>CORQUE</t>
  </si>
  <si>
    <t>Carangas</t>
  </si>
  <si>
    <t>CHOQUECOTA</t>
  </si>
  <si>
    <t>CURAHUARA DE CARANGAS</t>
  </si>
  <si>
    <t>Sajama</t>
  </si>
  <si>
    <t>TURCO</t>
  </si>
  <si>
    <t>HUACHACALLA</t>
  </si>
  <si>
    <t>Litoral</t>
  </si>
  <si>
    <t>ESCARA</t>
  </si>
  <si>
    <t>CRUZ DE MACHACAMARCA</t>
  </si>
  <si>
    <t>YUNGUYO DE LITORAL</t>
  </si>
  <si>
    <t>ESMERALDA</t>
  </si>
  <si>
    <t>TOLEDO</t>
  </si>
  <si>
    <t>Saucari</t>
  </si>
  <si>
    <t>ANDAMARCA</t>
  </si>
  <si>
    <t>Sud Carangas</t>
  </si>
  <si>
    <t>BELÉN DE ANDAMARCA</t>
  </si>
  <si>
    <t>SALINAS DE G. MENDOZA</t>
  </si>
  <si>
    <t>Ladislao Cabrera</t>
  </si>
  <si>
    <t>PAMPA AULLAGAS</t>
  </si>
  <si>
    <t>LA RIVERA</t>
  </si>
  <si>
    <t>Mejillones</t>
  </si>
  <si>
    <t>TODOS SANTOS</t>
  </si>
  <si>
    <t>CARANGAS</t>
  </si>
  <si>
    <t>SABAYA</t>
  </si>
  <si>
    <t>Sabaya</t>
  </si>
  <si>
    <t>COIPASA</t>
  </si>
  <si>
    <t>CHIPAYA</t>
  </si>
  <si>
    <t>HUAYLLAMARCA</t>
  </si>
  <si>
    <t>Nor Carangas</t>
  </si>
  <si>
    <t>SORACACHI</t>
  </si>
  <si>
    <t>POTOSÍ</t>
  </si>
  <si>
    <t>Potosí</t>
  </si>
  <si>
    <t>Tomás Frías</t>
  </si>
  <si>
    <t>TINGUIPAYA</t>
  </si>
  <si>
    <t>YOCALLA</t>
  </si>
  <si>
    <t>URMIRI</t>
  </si>
  <si>
    <t>UNCÍA</t>
  </si>
  <si>
    <t>Rafael Bustillo</t>
  </si>
  <si>
    <t>CHAYANTA</t>
  </si>
  <si>
    <t>LLALLAGUA</t>
  </si>
  <si>
    <t>BETANZOS</t>
  </si>
  <si>
    <t>Cornelio Saavedra</t>
  </si>
  <si>
    <t>CHAQUI</t>
  </si>
  <si>
    <t>TACOBAMBA</t>
  </si>
  <si>
    <t>COLQUECHACA</t>
  </si>
  <si>
    <t>Chayanta</t>
  </si>
  <si>
    <t>RAVELO</t>
  </si>
  <si>
    <t>POCOATA</t>
  </si>
  <si>
    <t>OCURÍ</t>
  </si>
  <si>
    <t>SAN PEDRO DE BUENA VISTA</t>
  </si>
  <si>
    <t>Charcas</t>
  </si>
  <si>
    <t>TORO TORO</t>
  </si>
  <si>
    <t>COTAGAITA</t>
  </si>
  <si>
    <t>Nor Chichas</t>
  </si>
  <si>
    <t>VITICHI</t>
  </si>
  <si>
    <t>TUPIZA</t>
  </si>
  <si>
    <t>Sur Chichas</t>
  </si>
  <si>
    <t>ATOCHA</t>
  </si>
  <si>
    <t>COLCHA"K"</t>
  </si>
  <si>
    <t>Nor Lipez</t>
  </si>
  <si>
    <t>SAN PEDRO DE QUEMES</t>
  </si>
  <si>
    <t>SAN PABLO DE LÍPEZ</t>
  </si>
  <si>
    <t>Sur Lipez</t>
  </si>
  <si>
    <t>MOJINETE</t>
  </si>
  <si>
    <t>SAN ANTONIO DE ESMORUCO</t>
  </si>
  <si>
    <t>SACACA</t>
  </si>
  <si>
    <t>Alonzo de Ibañez</t>
  </si>
  <si>
    <t>CARIPUYO</t>
  </si>
  <si>
    <t>PUNA</t>
  </si>
  <si>
    <t>Jose María Linares</t>
  </si>
  <si>
    <t>CAIZA "D"</t>
  </si>
  <si>
    <t>UYUNI</t>
  </si>
  <si>
    <t>Antonio Quijarro</t>
  </si>
  <si>
    <t>TOMAVE</t>
  </si>
  <si>
    <t>PORCO</t>
  </si>
  <si>
    <t>ARAMPAMPA</t>
  </si>
  <si>
    <t>Gral. B. Bilbao</t>
  </si>
  <si>
    <t>ACASIO</t>
  </si>
  <si>
    <t>LLICA</t>
  </si>
  <si>
    <t>Daniel Campos</t>
  </si>
  <si>
    <t>TAHUA</t>
  </si>
  <si>
    <t>VILLAZÓN</t>
  </si>
  <si>
    <t>Modesto Omiste</t>
  </si>
  <si>
    <t>SAN AGUSTÍN</t>
  </si>
  <si>
    <t>Enrique Baldiviezo</t>
  </si>
  <si>
    <t>CKOCHAS</t>
  </si>
  <si>
    <t>CHUQUIUTA "AYLLU JUCUMANI"</t>
  </si>
  <si>
    <t>SAN PEDRO DE MACHA</t>
  </si>
  <si>
    <t>TARIJA</t>
  </si>
  <si>
    <t>Tarija</t>
  </si>
  <si>
    <t>PADCAYA</t>
  </si>
  <si>
    <t>Arce</t>
  </si>
  <si>
    <t>BERMEJO</t>
  </si>
  <si>
    <t>YACUIBA</t>
  </si>
  <si>
    <t>Gran Chaco</t>
  </si>
  <si>
    <t>CARAPARÍ</t>
  </si>
  <si>
    <t>VILLAMONTES</t>
  </si>
  <si>
    <t>URIONDO</t>
  </si>
  <si>
    <t>Avílez</t>
  </si>
  <si>
    <t>YUNCHARA</t>
  </si>
  <si>
    <t>SAN LORENZO - TAR</t>
  </si>
  <si>
    <t>Mendez</t>
  </si>
  <si>
    <t>EL PUENTE - TAR</t>
  </si>
  <si>
    <t>ENTRE RÍOS</t>
  </si>
  <si>
    <t>Burnet O´Connor</t>
  </si>
  <si>
    <t>SANTA CRUZ DE LA SIERRA</t>
  </si>
  <si>
    <t>Santa Cruz</t>
  </si>
  <si>
    <t>Andres Ibañez</t>
  </si>
  <si>
    <t>COTOCA</t>
  </si>
  <si>
    <t>Andrés Ibañez</t>
  </si>
  <si>
    <t>PORONGO</t>
  </si>
  <si>
    <t>LA GUARDIA</t>
  </si>
  <si>
    <t>EL TORNO</t>
  </si>
  <si>
    <t>WARNES</t>
  </si>
  <si>
    <t>Warnes</t>
  </si>
  <si>
    <t>SAN IGNACIO - SC</t>
  </si>
  <si>
    <t>Velasco</t>
  </si>
  <si>
    <t>SAN MIGUEL</t>
  </si>
  <si>
    <t>SAN RAFAEL</t>
  </si>
  <si>
    <t>BUENA VISTA</t>
  </si>
  <si>
    <t>Ichilo</t>
  </si>
  <si>
    <t>SAN CARLOS</t>
  </si>
  <si>
    <t>YAPACANÍ</t>
  </si>
  <si>
    <t>SAN JOSÉ</t>
  </si>
  <si>
    <t>Chiquitos</t>
  </si>
  <si>
    <t>PAILÓN</t>
  </si>
  <si>
    <t>ROBORÉ</t>
  </si>
  <si>
    <t>PORTACHUELO</t>
  </si>
  <si>
    <t>Sara</t>
  </si>
  <si>
    <t>SANTA ROSA DEL SARA</t>
  </si>
  <si>
    <t>LAGUNILLAS</t>
  </si>
  <si>
    <t>Cordillera</t>
  </si>
  <si>
    <t>CHARAGUA</t>
  </si>
  <si>
    <t>CABEZAS</t>
  </si>
  <si>
    <t>CUEVO</t>
  </si>
  <si>
    <t>GUTIÉRREZ</t>
  </si>
  <si>
    <t>CAMIRI</t>
  </si>
  <si>
    <t>BOYUIBE</t>
  </si>
  <si>
    <t>VALLEGRANDE</t>
  </si>
  <si>
    <t>Vallegrande</t>
  </si>
  <si>
    <t>TRIGAL</t>
  </si>
  <si>
    <t>MORO MORO</t>
  </si>
  <si>
    <t>POSTRER VALLE</t>
  </si>
  <si>
    <t>PUCARA</t>
  </si>
  <si>
    <t>SAMAIPATA</t>
  </si>
  <si>
    <t>Florida</t>
  </si>
  <si>
    <t>PAMPA GRANDE</t>
  </si>
  <si>
    <t>MAIRANA</t>
  </si>
  <si>
    <t>QUIRUSILLAS</t>
  </si>
  <si>
    <t>MONTERO</t>
  </si>
  <si>
    <t>Obispo Santistevan</t>
  </si>
  <si>
    <t>GENERAL AGUSTÍN SAAVEDRA</t>
  </si>
  <si>
    <t>MINEROS</t>
  </si>
  <si>
    <t>CONCEPCIÓN</t>
  </si>
  <si>
    <t>Ñuflo de Chavez</t>
  </si>
  <si>
    <t>SAN JAVIER - SC</t>
  </si>
  <si>
    <t>SAN JULIÁN</t>
  </si>
  <si>
    <t>SAN MATÍAS</t>
  </si>
  <si>
    <t>Angel Sandoval</t>
  </si>
  <si>
    <t>COMARAPA</t>
  </si>
  <si>
    <t>Manuel Maria Caballero</t>
  </si>
  <si>
    <t>SAIPINA</t>
  </si>
  <si>
    <t>PUERTO SUÁREZ</t>
  </si>
  <si>
    <t>Germán Busch</t>
  </si>
  <si>
    <t>PUERTO QUIJARRO</t>
  </si>
  <si>
    <t>ASCENCIÓN DE GUARAYOS</t>
  </si>
  <si>
    <t>Guarayos</t>
  </si>
  <si>
    <t>URUBICHA</t>
  </si>
  <si>
    <t>EL PUENTE - SC</t>
  </si>
  <si>
    <t>OKINAWA UNO</t>
  </si>
  <si>
    <t>SAN ANTONIO DE LOMERÍO</t>
  </si>
  <si>
    <t>SAN RAMÓN - SC</t>
  </si>
  <si>
    <t>EL CARMEN RIVERO TÓRREZ</t>
  </si>
  <si>
    <t>SAN JUAN</t>
  </si>
  <si>
    <t>FERNÁNDEZ ALONSO</t>
  </si>
  <si>
    <t>SAN PEDRO - SC</t>
  </si>
  <si>
    <t>CUATRO CAÑADAS</t>
  </si>
  <si>
    <t>COLPA BÉLGICA</t>
  </si>
  <si>
    <t>TRINIDAD</t>
  </si>
  <si>
    <t>Beni</t>
  </si>
  <si>
    <t>SAN JAVIER - BEN</t>
  </si>
  <si>
    <t>RIBERALTA</t>
  </si>
  <si>
    <t>Vaca Diez</t>
  </si>
  <si>
    <t>GUAYARAMERIN</t>
  </si>
  <si>
    <t>REYES</t>
  </si>
  <si>
    <t>Gral. Ballivián</t>
  </si>
  <si>
    <t>RURRENABAQUE</t>
  </si>
  <si>
    <t>Gral. Ballivian</t>
  </si>
  <si>
    <t>SAN BORJA</t>
  </si>
  <si>
    <t>SANTA ROSA</t>
  </si>
  <si>
    <t>SANTA ANA</t>
  </si>
  <si>
    <t>Yacuma</t>
  </si>
  <si>
    <t>SAN IGNACIO - BEN</t>
  </si>
  <si>
    <t>Moxos</t>
  </si>
  <si>
    <t>LORETO</t>
  </si>
  <si>
    <t>Marban</t>
  </si>
  <si>
    <t>SAN ANDRÉS</t>
  </si>
  <si>
    <t>SAN JOAQUÍN</t>
  </si>
  <si>
    <t>Mamoré</t>
  </si>
  <si>
    <t>SAN RAMÓN - BEN</t>
  </si>
  <si>
    <t>PUERTO SILES</t>
  </si>
  <si>
    <t>MAGDALENA</t>
  </si>
  <si>
    <t>Itenez</t>
  </si>
  <si>
    <t>BAURES</t>
  </si>
  <si>
    <t>HUACARAJE</t>
  </si>
  <si>
    <t>EXALTACIÓN</t>
  </si>
  <si>
    <t>COBIJA</t>
  </si>
  <si>
    <t>Pando</t>
  </si>
  <si>
    <t>Nicolas Suarez</t>
  </si>
  <si>
    <t>PORVENIR</t>
  </si>
  <si>
    <t>BOLPEBRA</t>
  </si>
  <si>
    <t>BELLA FLOR</t>
  </si>
  <si>
    <t>PUERTO RICO</t>
  </si>
  <si>
    <t>Manuripi</t>
  </si>
  <si>
    <t>SAN PEDRO - PAN</t>
  </si>
  <si>
    <t>FILADELFIA</t>
  </si>
  <si>
    <t>PUERTO GONZALO MORENO</t>
  </si>
  <si>
    <t>Madre de Dios</t>
  </si>
  <si>
    <t>SAN LORENZO  - PAN</t>
  </si>
  <si>
    <t>SENA</t>
  </si>
  <si>
    <t>SANTA ROSA DEL ABUNA</t>
  </si>
  <si>
    <t>Abuná</t>
  </si>
  <si>
    <t>INGAVI</t>
  </si>
  <si>
    <t>NUEVA ESPERANZA</t>
  </si>
  <si>
    <t>Gral. Federico Roman</t>
  </si>
  <si>
    <t>VILLA NUEVA</t>
  </si>
  <si>
    <t>SANTOS MERCADO</t>
  </si>
  <si>
    <t>income_tot_2011</t>
  </si>
  <si>
    <t>income_tot_2012</t>
  </si>
  <si>
    <t>income_tot_2013</t>
  </si>
  <si>
    <t>income_tot_2021</t>
  </si>
  <si>
    <t>income_tot_2022</t>
  </si>
  <si>
    <t>income_tot_2023</t>
  </si>
  <si>
    <t>Indicador 2012</t>
  </si>
  <si>
    <t>Indicador 2024</t>
  </si>
  <si>
    <t>TIOC RAQAYPAMPA</t>
  </si>
  <si>
    <t>TIOC MULTIÉTNICO</t>
  </si>
  <si>
    <t>TIOC Multiétnico</t>
  </si>
  <si>
    <t>id_departamento</t>
  </si>
  <si>
    <t>Bolivia</t>
  </si>
  <si>
    <t>income_own_2011</t>
  </si>
  <si>
    <t>income_own_2012</t>
  </si>
  <si>
    <t>income_own_2013</t>
  </si>
  <si>
    <t>avg_inc_tot_11-13</t>
  </si>
  <si>
    <t>avg_inc_own_11-13</t>
  </si>
  <si>
    <t>avg_inc_tot_21-23</t>
  </si>
  <si>
    <t>avg_inc_own_21-23</t>
  </si>
  <si>
    <t>income_own_2021</t>
  </si>
  <si>
    <t>income_own_2022</t>
  </si>
  <si>
    <t>income_own_2023</t>
  </si>
  <si>
    <t>TIOC JATUN AYLLU YURA</t>
  </si>
  <si>
    <t>Ingresos totales (11-13)</t>
  </si>
  <si>
    <t>Ingresos propios (11-13)</t>
  </si>
  <si>
    <t>Ingresos totales (21-23)</t>
  </si>
  <si>
    <t>Ingresos propios (21-23)</t>
  </si>
  <si>
    <t>id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</si>
  <si>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</si>
  <si>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</si>
  <si>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</si>
  <si>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</si>
  <si>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</si>
  <si>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</si>
  <si>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</si>
  <si>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</si>
  <si>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</si>
  <si>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</si>
  <si>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ingresos que proviene de fuentes locales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</si>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</sst>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sz val="11"/>
      <name val="Calibri Light"/>
      <family val="2"/>
    </font>
    <font>
      <b/>
      <sz val="9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6" fillId="0" borderId="0" xfId="0" applyFont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164" fontId="6" fillId="0" borderId="1" xfId="1" applyNumberFormat="1" applyFont="1" applyBorder="1"/>
    <xf numFmtId="43" fontId="1" fillId="0" borderId="1" xfId="1" applyFont="1" applyBorder="1"/>
    <xf numFmtId="43" fontId="6" fillId="0" borderId="1" xfId="1" applyFont="1" applyBorder="1"/>
    <xf numFmtId="0" fontId="8" fillId="0" borderId="1" xfId="0" applyFont="1" applyBorder="1"/>
    <xf numFmtId="2" fontId="6" fillId="0" borderId="1" xfId="0" applyNumberFormat="1" applyFont="1" applyBorder="1"/>
    <xf numFmtId="0" fontId="4" fillId="2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29B158"/>
      <color rgb="FFEECA3B"/>
      <color rgb="FFE98139"/>
      <color rgb="FFDC36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29B158"/>
            </a:solidFill>
            <a:ln>
              <a:noFill/>
            </a:ln>
            <a:effectLst/>
          </c:spPr>
          <c:invertIfNegative val="0"/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49</c:v>
                </c:pt>
                <c:pt idx="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2-477D-8353-3C888931DE45}"/>
            </c:ext>
          </c:extLst>
        </c:ser>
        <c:ser>
          <c:idx val="1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EECA3B"/>
            </a:solidFill>
            <a:ln>
              <a:noFill/>
            </a:ln>
            <a:effectLst/>
          </c:spPr>
          <c:invertIfNegative val="0"/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2-477D-8353-3C888931DE45}"/>
            </c:ext>
          </c:extLst>
        </c:ser>
        <c:ser>
          <c:idx val="2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E98139"/>
            </a:solidFill>
            <a:ln>
              <a:noFill/>
            </a:ln>
            <a:effectLst/>
          </c:spPr>
          <c:invertIfNegative val="0"/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63</c:v>
                </c:pt>
                <c:pt idx="1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12-477D-8353-3C888931DE45}"/>
            </c:ext>
          </c:extLst>
        </c:ser>
        <c:ser>
          <c:idx val="3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DC3645"/>
            </a:solidFill>
            <a:ln>
              <a:noFill/>
            </a:ln>
            <a:effectLst/>
          </c:spPr>
          <c:invertIfNegative val="0"/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200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12-477D-8353-3C888931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38944"/>
        <c:axId val="208044704"/>
      </c:barChart>
      <c:catAx>
        <c:axId val="20803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n-US"/>
          </a:p>
        </c:txPr>
        <c:crossAx val="208044704"/>
        <c:crosses val="autoZero"/>
        <c:auto val="1"/>
        <c:lblAlgn val="ctr"/>
        <c:lblOffset val="100"/>
        <c:noMultiLvlLbl val="0"/>
      </c:catAx>
      <c:valAx>
        <c:axId val="2080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n-US"/>
          </a:p>
        </c:txPr>
        <c:crossAx val="20803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1</xdr:row>
      <xdr:rowOff>148590</xdr:rowOff>
    </xdr:from>
    <xdr:to>
      <xdr:col>14</xdr:col>
      <xdr:colOff>7620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EC3BE-64A0-2F22-7106-10D0585C9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33</xdr:colOff>
      <xdr:row>61</xdr:row>
      <xdr:rowOff>142897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C68B5D-07BC-7B2F-E1A1-2FC0E66B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2A33-6EAF-4761-9EFE-F8E40B992F8A}">
  <dimension ref="A1:V344"/>
  <sheetViews>
    <sheetView topLeftCell="I1" workbookViewId="0">
      <pane ySplit="1" topLeftCell="A232" activePane="bottomLeft" state="frozen"/>
      <selection pane="bottomLeft" activeCell="B246" sqref="B246:B248"/>
    </sheetView>
  </sheetViews>
  <sheetFormatPr baseColWidth="10" defaultColWidth="8.88671875" defaultRowHeight="14.4" x14ac:dyDescent="0.3"/>
  <cols>
    <col min="1" max="1" width="11" style="1" bestFit="1" customWidth="1"/>
    <col min="2" max="2" width="24" style="1" customWidth="1"/>
    <col min="3" max="3" width="8.88671875" style="1"/>
    <col min="4" max="4" width="13.88671875" style="1" customWidth="1"/>
    <col min="5" max="7" width="15.88671875" style="1" customWidth="1"/>
    <col min="8" max="8" width="17.21875" style="1" customWidth="1"/>
    <col min="9" max="11" width="16.88671875" style="1" customWidth="1"/>
    <col min="12" max="12" width="18.5546875" style="1" customWidth="1"/>
    <col min="13" max="15" width="16" style="1" customWidth="1"/>
    <col min="16" max="16" width="18" style="1" customWidth="1"/>
    <col min="17" max="19" width="17.44140625" style="1" customWidth="1"/>
    <col min="20" max="20" width="18.88671875" style="1" customWidth="1"/>
    <col min="21" max="22" width="8.88671875" style="6"/>
    <col min="23" max="16384" width="8.88671875" style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465</v>
      </c>
      <c r="F1" s="2" t="s">
        <v>466</v>
      </c>
      <c r="G1" s="2" t="s">
        <v>467</v>
      </c>
      <c r="H1" s="2" t="s">
        <v>481</v>
      </c>
      <c r="I1" s="2" t="s">
        <v>478</v>
      </c>
      <c r="J1" s="2" t="s">
        <v>479</v>
      </c>
      <c r="K1" s="2" t="s">
        <v>480</v>
      </c>
      <c r="L1" s="2" t="s">
        <v>482</v>
      </c>
      <c r="M1" s="2" t="s">
        <v>468</v>
      </c>
      <c r="N1" s="2" t="s">
        <v>469</v>
      </c>
      <c r="O1" s="2" t="s">
        <v>470</v>
      </c>
      <c r="P1" s="2" t="s">
        <v>483</v>
      </c>
      <c r="Q1" s="2" t="s">
        <v>485</v>
      </c>
      <c r="R1" s="2" t="s">
        <v>486</v>
      </c>
      <c r="S1" s="7" t="s">
        <v>487</v>
      </c>
      <c r="T1" s="2" t="s">
        <v>484</v>
      </c>
      <c r="U1" s="9" t="s">
        <v>471</v>
      </c>
      <c r="V1" s="9" t="s">
        <v>472</v>
      </c>
    </row>
    <row r="2" spans="1:22" x14ac:dyDescent="0.3">
      <c r="A2" s="3">
        <v>10101</v>
      </c>
      <c r="B2" s="3" t="s">
        <v>4</v>
      </c>
      <c r="C2" s="3" t="s">
        <v>5</v>
      </c>
      <c r="D2" s="3" t="s">
        <v>6</v>
      </c>
      <c r="E2" s="3">
        <v>398625140.23000002</v>
      </c>
      <c r="F2" s="3">
        <v>488623977.6770227</v>
      </c>
      <c r="G2" s="3">
        <v>597266692.16000009</v>
      </c>
      <c r="H2" s="3">
        <f t="shared" ref="H2:H33" si="0">AVERAGE(E2:G2)</f>
        <v>494838603.35567427</v>
      </c>
      <c r="I2" s="3">
        <v>104977353.13</v>
      </c>
      <c r="J2" s="3">
        <v>122950664.87</v>
      </c>
      <c r="K2" s="3">
        <v>149529951.05000001</v>
      </c>
      <c r="L2" s="3">
        <f t="shared" ref="L2:L33" si="1">AVERAGE(I2:K2)</f>
        <v>125819323.01666667</v>
      </c>
      <c r="M2" s="3">
        <v>464553846.25999981</v>
      </c>
      <c r="N2" s="3">
        <v>503971127.82999998</v>
      </c>
      <c r="O2" s="3">
        <v>529441274.68000013</v>
      </c>
      <c r="P2" s="3">
        <f t="shared" ref="P2:P33" si="2">AVERAGE(M2:O2)</f>
        <v>499322082.92333335</v>
      </c>
      <c r="Q2" s="3">
        <v>187318271.88999999</v>
      </c>
      <c r="R2" s="3">
        <v>172595484.43000001</v>
      </c>
      <c r="S2" s="3">
        <v>220649185.7100001</v>
      </c>
      <c r="T2" s="3">
        <f t="shared" ref="T2:T33" si="3">AVERAGE(Q2:S2)</f>
        <v>193520980.67666671</v>
      </c>
      <c r="U2" s="12">
        <v>25.426335407836348</v>
      </c>
      <c r="V2" s="12">
        <v>38.756743852320312</v>
      </c>
    </row>
    <row r="3" spans="1:22" x14ac:dyDescent="0.3">
      <c r="A3" s="3">
        <v>10102</v>
      </c>
      <c r="B3" s="3" t="s">
        <v>7</v>
      </c>
      <c r="C3" s="3" t="s">
        <v>5</v>
      </c>
      <c r="D3" s="3" t="s">
        <v>6</v>
      </c>
      <c r="E3" s="3">
        <v>13947025.98</v>
      </c>
      <c r="F3" s="3">
        <v>17003583.68011887</v>
      </c>
      <c r="G3" s="3">
        <v>20483324.010000002</v>
      </c>
      <c r="H3" s="3">
        <f t="shared" si="0"/>
        <v>17144644.556706291</v>
      </c>
      <c r="I3" s="3">
        <v>591338.55999999994</v>
      </c>
      <c r="J3" s="3">
        <v>598332.25</v>
      </c>
      <c r="K3" s="3">
        <v>457640.37</v>
      </c>
      <c r="L3" s="3">
        <f t="shared" si="1"/>
        <v>549103.72666666668</v>
      </c>
      <c r="M3" s="3">
        <v>11555184.50999999</v>
      </c>
      <c r="N3" s="3">
        <v>13503501.75</v>
      </c>
      <c r="O3" s="3">
        <v>12651879.640000001</v>
      </c>
      <c r="P3" s="3">
        <f t="shared" si="2"/>
        <v>12570188.633333331</v>
      </c>
      <c r="Q3" s="3">
        <v>1513949.31</v>
      </c>
      <c r="R3" s="3">
        <v>1501251.01</v>
      </c>
      <c r="S3" s="3">
        <v>1476294.69</v>
      </c>
      <c r="T3" s="3">
        <f t="shared" si="3"/>
        <v>1497165.0033333332</v>
      </c>
      <c r="U3" s="12">
        <v>3.2027711327026585</v>
      </c>
      <c r="V3" s="12">
        <v>11.910441815989827</v>
      </c>
    </row>
    <row r="4" spans="1:22" x14ac:dyDescent="0.3">
      <c r="A4" s="3">
        <v>10103</v>
      </c>
      <c r="B4" s="3" t="s">
        <v>8</v>
      </c>
      <c r="C4" s="3" t="s">
        <v>5</v>
      </c>
      <c r="D4" s="3" t="s">
        <v>6</v>
      </c>
      <c r="E4" s="3">
        <v>24152511.940000001</v>
      </c>
      <c r="F4" s="3">
        <v>28927162.99454207</v>
      </c>
      <c r="G4" s="3">
        <v>35228581.57</v>
      </c>
      <c r="H4" s="3">
        <f t="shared" si="0"/>
        <v>29436085.501514029</v>
      </c>
      <c r="I4" s="3">
        <v>65216.649999999987</v>
      </c>
      <c r="J4" s="3">
        <v>72124.58</v>
      </c>
      <c r="K4" s="3">
        <v>206899.15</v>
      </c>
      <c r="L4" s="3">
        <f t="shared" si="1"/>
        <v>114746.79333333333</v>
      </c>
      <c r="M4" s="3">
        <v>18320242.499999989</v>
      </c>
      <c r="N4" s="3">
        <v>21715386.300000001</v>
      </c>
      <c r="O4" s="3">
        <v>19995238.969999999</v>
      </c>
      <c r="P4" s="3">
        <f t="shared" si="2"/>
        <v>20010289.256666664</v>
      </c>
      <c r="Q4" s="3">
        <v>323811.77</v>
      </c>
      <c r="R4" s="3">
        <v>208307.38</v>
      </c>
      <c r="S4" s="3">
        <v>208590.02</v>
      </c>
      <c r="T4" s="3">
        <f t="shared" si="3"/>
        <v>246903.05666666667</v>
      </c>
      <c r="U4" s="12">
        <v>0.38981675510974922</v>
      </c>
      <c r="V4" s="12">
        <v>1.2338804976765041</v>
      </c>
    </row>
    <row r="5" spans="1:22" x14ac:dyDescent="0.3">
      <c r="A5" s="3">
        <v>10201</v>
      </c>
      <c r="B5" s="3" t="s">
        <v>9</v>
      </c>
      <c r="C5" s="3" t="s">
        <v>5</v>
      </c>
      <c r="D5" s="3" t="s">
        <v>10</v>
      </c>
      <c r="E5" s="3">
        <v>17632302.260000002</v>
      </c>
      <c r="F5" s="3">
        <v>20794379.55539744</v>
      </c>
      <c r="G5" s="3">
        <v>24616628.899999999</v>
      </c>
      <c r="H5" s="3">
        <f t="shared" si="0"/>
        <v>21014436.90513248</v>
      </c>
      <c r="I5" s="3">
        <v>872753.55999999994</v>
      </c>
      <c r="J5" s="3">
        <v>613339.85000000009</v>
      </c>
      <c r="K5" s="3">
        <v>93277.68</v>
      </c>
      <c r="L5" s="3">
        <f t="shared" si="1"/>
        <v>526457.03</v>
      </c>
      <c r="M5" s="3">
        <v>11719022.45999999</v>
      </c>
      <c r="N5" s="3">
        <v>13911288.199999999</v>
      </c>
      <c r="O5" s="3">
        <v>13052288.359999999</v>
      </c>
      <c r="P5" s="3">
        <f t="shared" si="2"/>
        <v>12894199.67333333</v>
      </c>
      <c r="Q5" s="3">
        <v>413671.51</v>
      </c>
      <c r="R5" s="3">
        <v>398058.72</v>
      </c>
      <c r="S5" s="3">
        <v>469789.3</v>
      </c>
      <c r="T5" s="3">
        <f t="shared" si="3"/>
        <v>427173.1766666667</v>
      </c>
      <c r="U5" s="12">
        <v>2.5052159730790611</v>
      </c>
      <c r="V5" s="12">
        <v>3.3129095832920084</v>
      </c>
    </row>
    <row r="6" spans="1:22" x14ac:dyDescent="0.3">
      <c r="A6" s="3">
        <v>10202</v>
      </c>
      <c r="B6" s="3" t="s">
        <v>11</v>
      </c>
      <c r="C6" s="3" t="s">
        <v>5</v>
      </c>
      <c r="D6" s="3" t="s">
        <v>10</v>
      </c>
      <c r="E6" s="3">
        <v>24199712.09</v>
      </c>
      <c r="F6" s="3">
        <v>29022380.749742251</v>
      </c>
      <c r="G6" s="3">
        <v>35253370.310000002</v>
      </c>
      <c r="H6" s="3">
        <f t="shared" si="0"/>
        <v>29491821.049914081</v>
      </c>
      <c r="I6" s="3">
        <v>233531.51999999999</v>
      </c>
      <c r="J6" s="3">
        <v>90597.35</v>
      </c>
      <c r="K6" s="3">
        <v>61009</v>
      </c>
      <c r="L6" s="3">
        <f t="shared" si="1"/>
        <v>128379.29</v>
      </c>
      <c r="M6" s="3">
        <v>15037123.13999998</v>
      </c>
      <c r="N6" s="3">
        <v>18016433.309999999</v>
      </c>
      <c r="O6" s="3">
        <v>16738705.93</v>
      </c>
      <c r="P6" s="3">
        <f t="shared" si="2"/>
        <v>16597420.793333327</v>
      </c>
      <c r="Q6" s="3">
        <v>167624.19</v>
      </c>
      <c r="R6" s="3">
        <v>243031.25</v>
      </c>
      <c r="S6" s="3">
        <v>189442.85</v>
      </c>
      <c r="T6" s="3">
        <f t="shared" si="3"/>
        <v>200032.76333333334</v>
      </c>
      <c r="U6" s="12">
        <v>0.43530472324079833</v>
      </c>
      <c r="V6" s="12">
        <v>1.2052039038118521</v>
      </c>
    </row>
    <row r="7" spans="1:22" x14ac:dyDescent="0.3">
      <c r="A7" s="3">
        <v>10301</v>
      </c>
      <c r="B7" s="3" t="s">
        <v>12</v>
      </c>
      <c r="C7" s="3" t="s">
        <v>5</v>
      </c>
      <c r="D7" s="3" t="s">
        <v>13</v>
      </c>
      <c r="E7" s="3">
        <v>10844475.32</v>
      </c>
      <c r="F7" s="3">
        <v>13282764.641852399</v>
      </c>
      <c r="G7" s="3">
        <v>15944568.359999999</v>
      </c>
      <c r="H7" s="3">
        <f t="shared" si="0"/>
        <v>13357269.440617466</v>
      </c>
      <c r="I7" s="3">
        <v>225045.97</v>
      </c>
      <c r="J7" s="3">
        <v>330091.13</v>
      </c>
      <c r="K7" s="3">
        <v>158507.45000000001</v>
      </c>
      <c r="L7" s="3">
        <f t="shared" si="1"/>
        <v>237881.51666666669</v>
      </c>
      <c r="M7" s="3">
        <v>12492916.19999999</v>
      </c>
      <c r="N7" s="3">
        <v>15724520.77</v>
      </c>
      <c r="O7" s="3">
        <v>15511017.550000001</v>
      </c>
      <c r="P7" s="3">
        <f t="shared" si="2"/>
        <v>14576151.506666666</v>
      </c>
      <c r="Q7" s="3">
        <v>433978.55999999988</v>
      </c>
      <c r="R7" s="3">
        <v>1310540.6299999999</v>
      </c>
      <c r="S7" s="3">
        <v>2089804.87</v>
      </c>
      <c r="T7" s="3">
        <f t="shared" si="3"/>
        <v>1278108.0199999998</v>
      </c>
      <c r="U7" s="12">
        <v>1.7809142633845838</v>
      </c>
      <c r="V7" s="12">
        <v>8.768487480494656</v>
      </c>
    </row>
    <row r="8" spans="1:22" x14ac:dyDescent="0.3">
      <c r="A8" s="3">
        <v>10302</v>
      </c>
      <c r="B8" s="3" t="s">
        <v>14</v>
      </c>
      <c r="C8" s="3" t="s">
        <v>5</v>
      </c>
      <c r="D8" s="3" t="s">
        <v>13</v>
      </c>
      <c r="E8" s="3">
        <v>13742553.92</v>
      </c>
      <c r="F8" s="3">
        <v>16025649.55811747</v>
      </c>
      <c r="G8" s="3">
        <v>19499644.98</v>
      </c>
      <c r="H8" s="3">
        <f t="shared" si="0"/>
        <v>16422616.152705824</v>
      </c>
      <c r="I8" s="3">
        <v>486991.11</v>
      </c>
      <c r="J8" s="3">
        <v>124049.01</v>
      </c>
      <c r="K8" s="3">
        <v>193339</v>
      </c>
      <c r="L8" s="3">
        <f t="shared" si="1"/>
        <v>268126.37333333335</v>
      </c>
      <c r="M8" s="3">
        <v>13360834.35999999</v>
      </c>
      <c r="N8" s="3">
        <v>15900391</v>
      </c>
      <c r="O8" s="3">
        <v>14889887.49</v>
      </c>
      <c r="P8" s="3">
        <f t="shared" si="2"/>
        <v>14717037.616666665</v>
      </c>
      <c r="Q8" s="3">
        <v>216094.95</v>
      </c>
      <c r="R8" s="3">
        <v>188568.02</v>
      </c>
      <c r="S8" s="3">
        <v>260217.66</v>
      </c>
      <c r="T8" s="3">
        <f t="shared" si="3"/>
        <v>221626.87666666668</v>
      </c>
      <c r="U8" s="12">
        <v>1.6326654099453959</v>
      </c>
      <c r="V8" s="12">
        <v>1.5059204334415777</v>
      </c>
    </row>
    <row r="9" spans="1:22" x14ac:dyDescent="0.3">
      <c r="A9" s="3">
        <v>10303</v>
      </c>
      <c r="B9" s="3" t="s">
        <v>15</v>
      </c>
      <c r="C9" s="3" t="s">
        <v>5</v>
      </c>
      <c r="D9" s="3" t="s">
        <v>13</v>
      </c>
      <c r="E9" s="3">
        <v>12080262.529999999</v>
      </c>
      <c r="F9" s="3">
        <v>15155017.91039912</v>
      </c>
      <c r="G9" s="3">
        <v>17045819.73</v>
      </c>
      <c r="H9" s="3">
        <f t="shared" si="0"/>
        <v>14760366.723466372</v>
      </c>
      <c r="I9" s="3">
        <v>559249.73</v>
      </c>
      <c r="J9" s="3">
        <v>1193364.04</v>
      </c>
      <c r="K9" s="3">
        <v>55171.360000000001</v>
      </c>
      <c r="L9" s="3">
        <f t="shared" si="1"/>
        <v>602595.04333333333</v>
      </c>
      <c r="M9" s="3">
        <v>9503966.6299999971</v>
      </c>
      <c r="N9" s="3">
        <v>10885678.27</v>
      </c>
      <c r="O9" s="3">
        <v>10242194.449999999</v>
      </c>
      <c r="P9" s="3">
        <f t="shared" si="2"/>
        <v>10210613.116666665</v>
      </c>
      <c r="Q9" s="3">
        <v>941247.33</v>
      </c>
      <c r="R9" s="3">
        <v>650675.6</v>
      </c>
      <c r="S9" s="3">
        <v>712142.79999999993</v>
      </c>
      <c r="T9" s="3">
        <f t="shared" si="3"/>
        <v>768021.91</v>
      </c>
      <c r="U9" s="12">
        <v>4.0825208114600153</v>
      </c>
      <c r="V9" s="12">
        <v>7.5218001233086262</v>
      </c>
    </row>
    <row r="10" spans="1:22" x14ac:dyDescent="0.3">
      <c r="A10" s="3">
        <v>10304</v>
      </c>
      <c r="B10" s="3" t="s">
        <v>16</v>
      </c>
      <c r="C10" s="3" t="s">
        <v>5</v>
      </c>
      <c r="D10" s="3" t="s">
        <v>13</v>
      </c>
      <c r="E10" s="3">
        <v>12434597.890000001</v>
      </c>
      <c r="F10" s="3">
        <v>14558391.76066942</v>
      </c>
      <c r="G10" s="3">
        <v>17656858.18</v>
      </c>
      <c r="H10" s="3">
        <f t="shared" si="0"/>
        <v>14883282.610223139</v>
      </c>
      <c r="I10" s="3">
        <v>317710.95</v>
      </c>
      <c r="J10" s="3">
        <v>36492.949999999997</v>
      </c>
      <c r="K10" s="3">
        <v>39623.509999999987</v>
      </c>
      <c r="L10" s="3">
        <f t="shared" si="1"/>
        <v>131275.80333333334</v>
      </c>
      <c r="M10" s="3">
        <v>8733673.6899999939</v>
      </c>
      <c r="N10" s="3">
        <v>10252478.35</v>
      </c>
      <c r="O10" s="3">
        <v>9673196.6799999997</v>
      </c>
      <c r="P10" s="3">
        <f t="shared" si="2"/>
        <v>9553116.2399999965</v>
      </c>
      <c r="Q10" s="3">
        <v>216594.98</v>
      </c>
      <c r="R10" s="3">
        <v>72028.800000000003</v>
      </c>
      <c r="S10" s="3">
        <v>193941</v>
      </c>
      <c r="T10" s="3">
        <f t="shared" si="3"/>
        <v>160854.92666666667</v>
      </c>
      <c r="U10" s="12">
        <v>0.88203527925460246</v>
      </c>
      <c r="V10" s="12">
        <v>1.6837953462049229</v>
      </c>
    </row>
    <row r="11" spans="1:22" x14ac:dyDescent="0.3">
      <c r="A11" s="3">
        <v>10401</v>
      </c>
      <c r="B11" s="3" t="s">
        <v>17</v>
      </c>
      <c r="C11" s="3" t="s">
        <v>5</v>
      </c>
      <c r="D11" s="3" t="s">
        <v>18</v>
      </c>
      <c r="E11" s="3">
        <v>18706759.719999999</v>
      </c>
      <c r="F11" s="3">
        <v>22823554.080813691</v>
      </c>
      <c r="G11" s="3">
        <v>27953240.199999999</v>
      </c>
      <c r="H11" s="3">
        <f t="shared" si="0"/>
        <v>23161184.666937899</v>
      </c>
      <c r="I11" s="3">
        <v>859500.25</v>
      </c>
      <c r="J11" s="3">
        <v>1075595.28</v>
      </c>
      <c r="K11" s="3">
        <v>1454786.71</v>
      </c>
      <c r="L11" s="3">
        <f t="shared" si="1"/>
        <v>1129960.7466666668</v>
      </c>
      <c r="M11" s="3">
        <v>12973285.29999999</v>
      </c>
      <c r="N11" s="3">
        <v>15666400.42</v>
      </c>
      <c r="O11" s="3">
        <v>13668993.369999999</v>
      </c>
      <c r="P11" s="3">
        <f t="shared" si="2"/>
        <v>14102893.029999996</v>
      </c>
      <c r="Q11" s="3">
        <v>1953448.6</v>
      </c>
      <c r="R11" s="3">
        <v>2494442</v>
      </c>
      <c r="S11" s="3">
        <v>1404261.34</v>
      </c>
      <c r="T11" s="3">
        <f t="shared" si="3"/>
        <v>1950717.3133333332</v>
      </c>
      <c r="U11" s="12">
        <v>4.8786828606382207</v>
      </c>
      <c r="V11" s="12">
        <v>13.832036513243933</v>
      </c>
    </row>
    <row r="12" spans="1:22" x14ac:dyDescent="0.3">
      <c r="A12" s="3">
        <v>10402</v>
      </c>
      <c r="B12" s="3" t="s">
        <v>19</v>
      </c>
      <c r="C12" s="3" t="s">
        <v>5</v>
      </c>
      <c r="D12" s="3" t="s">
        <v>18</v>
      </c>
      <c r="E12" s="3">
        <v>13183633.77</v>
      </c>
      <c r="F12" s="3">
        <v>15993828.564026291</v>
      </c>
      <c r="G12" s="3">
        <v>19496176.57</v>
      </c>
      <c r="H12" s="3">
        <f t="shared" si="0"/>
        <v>16224546.301342098</v>
      </c>
      <c r="I12" s="3">
        <v>92917.75</v>
      </c>
      <c r="J12" s="3">
        <v>91323.459999999992</v>
      </c>
      <c r="K12" s="3">
        <v>132891.43</v>
      </c>
      <c r="L12" s="3">
        <f t="shared" si="1"/>
        <v>105710.88</v>
      </c>
      <c r="M12" s="3">
        <v>9487943.4999999963</v>
      </c>
      <c r="N12" s="3">
        <v>11311766.66</v>
      </c>
      <c r="O12" s="3">
        <v>10418126.42</v>
      </c>
      <c r="P12" s="3">
        <f t="shared" si="2"/>
        <v>10405945.526666665</v>
      </c>
      <c r="Q12" s="3">
        <v>473072.05</v>
      </c>
      <c r="R12" s="3">
        <v>536313.66</v>
      </c>
      <c r="S12" s="3">
        <v>384846.38</v>
      </c>
      <c r="T12" s="3">
        <f t="shared" si="3"/>
        <v>464744.02999999997</v>
      </c>
      <c r="U12" s="12">
        <v>0.65154906668333512</v>
      </c>
      <c r="V12" s="12">
        <v>4.4661393701228738</v>
      </c>
    </row>
    <row r="13" spans="1:22" x14ac:dyDescent="0.3">
      <c r="A13" s="3">
        <v>10403</v>
      </c>
      <c r="B13" s="3" t="s">
        <v>20</v>
      </c>
      <c r="C13" s="3" t="s">
        <v>5</v>
      </c>
      <c r="D13" s="3" t="s">
        <v>18</v>
      </c>
      <c r="E13" s="3">
        <v>10768725.550000001</v>
      </c>
      <c r="F13" s="3">
        <v>12944351.896203831</v>
      </c>
      <c r="G13" s="3">
        <v>15979128.84</v>
      </c>
      <c r="H13" s="3">
        <f t="shared" si="0"/>
        <v>13230735.42873461</v>
      </c>
      <c r="I13" s="3">
        <v>199734.39</v>
      </c>
      <c r="J13" s="3">
        <v>157845.15</v>
      </c>
      <c r="K13" s="3">
        <v>424536.42</v>
      </c>
      <c r="L13" s="3">
        <f t="shared" si="1"/>
        <v>260705.31999999998</v>
      </c>
      <c r="M13" s="3">
        <v>8379598.0199999968</v>
      </c>
      <c r="N13" s="3">
        <v>9949101.8899999987</v>
      </c>
      <c r="O13" s="3">
        <v>9294103.3399999999</v>
      </c>
      <c r="P13" s="3">
        <f t="shared" si="2"/>
        <v>9207601.0833333321</v>
      </c>
      <c r="Q13" s="3">
        <v>619289.77</v>
      </c>
      <c r="R13" s="3">
        <v>673209.05999999994</v>
      </c>
      <c r="S13" s="3">
        <v>657105.32999999996</v>
      </c>
      <c r="T13" s="3">
        <f t="shared" si="3"/>
        <v>649868.05333333334</v>
      </c>
      <c r="U13" s="12">
        <v>1.970452220167582</v>
      </c>
      <c r="V13" s="12">
        <v>7.0579518753224306</v>
      </c>
    </row>
    <row r="14" spans="1:22" x14ac:dyDescent="0.3">
      <c r="A14" s="3">
        <v>10404</v>
      </c>
      <c r="B14" s="3" t="s">
        <v>21</v>
      </c>
      <c r="C14" s="3" t="s">
        <v>5</v>
      </c>
      <c r="D14" s="3" t="s">
        <v>18</v>
      </c>
      <c r="E14" s="3">
        <v>5783369.9299999997</v>
      </c>
      <c r="F14" s="3">
        <v>7026772.8994150078</v>
      </c>
      <c r="G14" s="3">
        <v>8645234.3699999992</v>
      </c>
      <c r="H14" s="3">
        <f t="shared" si="0"/>
        <v>7151792.3998050019</v>
      </c>
      <c r="I14" s="3">
        <v>30988.39</v>
      </c>
      <c r="J14" s="3">
        <v>1296.54</v>
      </c>
      <c r="K14" s="3">
        <v>80317.549999999988</v>
      </c>
      <c r="L14" s="3">
        <f t="shared" si="1"/>
        <v>37534.159999999996</v>
      </c>
      <c r="M14" s="3">
        <v>5480100.8899999969</v>
      </c>
      <c r="N14" s="3">
        <v>6502319.4500000011</v>
      </c>
      <c r="O14" s="3">
        <v>6114432.9199999999</v>
      </c>
      <c r="P14" s="3">
        <f t="shared" si="2"/>
        <v>6032284.419999999</v>
      </c>
      <c r="Q14" s="3">
        <v>277743</v>
      </c>
      <c r="R14" s="3">
        <v>283906.5</v>
      </c>
      <c r="S14" s="3">
        <v>324338.53999999998</v>
      </c>
      <c r="T14" s="3">
        <f t="shared" si="3"/>
        <v>295329.34666666668</v>
      </c>
      <c r="U14" s="12">
        <v>0.52482172162915952</v>
      </c>
      <c r="V14" s="12">
        <v>4.8958126988758055</v>
      </c>
    </row>
    <row r="15" spans="1:22" x14ac:dyDescent="0.3">
      <c r="A15" s="3">
        <v>10405</v>
      </c>
      <c r="B15" s="3" t="s">
        <v>22</v>
      </c>
      <c r="C15" s="3" t="s">
        <v>5</v>
      </c>
      <c r="D15" s="3" t="s">
        <v>18</v>
      </c>
      <c r="E15" s="3">
        <v>6690735.7600000007</v>
      </c>
      <c r="F15" s="3">
        <v>8119715.6707470044</v>
      </c>
      <c r="G15" s="3">
        <v>9978823.6799999978</v>
      </c>
      <c r="H15" s="3">
        <f t="shared" si="0"/>
        <v>8263091.7035823343</v>
      </c>
      <c r="I15" s="3">
        <v>36204.620000000003</v>
      </c>
      <c r="J15" s="3">
        <v>50620.5</v>
      </c>
      <c r="K15" s="3">
        <v>157711.47</v>
      </c>
      <c r="L15" s="3">
        <f t="shared" si="1"/>
        <v>81512.19666666667</v>
      </c>
      <c r="M15" s="3">
        <v>5032523.1899999967</v>
      </c>
      <c r="N15" s="3">
        <v>6186367.9400000004</v>
      </c>
      <c r="O15" s="3">
        <v>5733993.2400000002</v>
      </c>
      <c r="P15" s="3">
        <f t="shared" si="2"/>
        <v>5650961.4566666661</v>
      </c>
      <c r="Q15" s="3">
        <v>293993.09999999998</v>
      </c>
      <c r="R15" s="3">
        <v>522361.2</v>
      </c>
      <c r="S15" s="3">
        <v>460121.7</v>
      </c>
      <c r="T15" s="3">
        <f t="shared" si="3"/>
        <v>425492</v>
      </c>
      <c r="U15" s="12">
        <v>0.9864612374001408</v>
      </c>
      <c r="V15" s="12">
        <v>7.5295505598968475</v>
      </c>
    </row>
    <row r="16" spans="1:22" x14ac:dyDescent="0.3">
      <c r="A16" s="3">
        <v>10501</v>
      </c>
      <c r="B16" s="3" t="s">
        <v>23</v>
      </c>
      <c r="C16" s="3" t="s">
        <v>5</v>
      </c>
      <c r="D16" s="3" t="s">
        <v>24</v>
      </c>
      <c r="E16" s="3">
        <v>40471896.450000003</v>
      </c>
      <c r="F16" s="3">
        <v>48595033.905241251</v>
      </c>
      <c r="G16" s="3">
        <v>59246942.960000001</v>
      </c>
      <c r="H16" s="3">
        <f t="shared" si="0"/>
        <v>49437957.771747082</v>
      </c>
      <c r="I16" s="3">
        <v>2848761.59</v>
      </c>
      <c r="J16" s="3">
        <v>2558564.14</v>
      </c>
      <c r="K16" s="3">
        <v>3099758.47</v>
      </c>
      <c r="L16" s="3">
        <f t="shared" si="1"/>
        <v>2835694.7333333339</v>
      </c>
      <c r="M16" s="3">
        <v>32542041.889999989</v>
      </c>
      <c r="N16" s="3">
        <v>37210814.939999998</v>
      </c>
      <c r="O16" s="3">
        <v>34646144.420000002</v>
      </c>
      <c r="P16" s="3">
        <f t="shared" si="2"/>
        <v>34799667.083333328</v>
      </c>
      <c r="Q16" s="3">
        <v>6747655.3300000001</v>
      </c>
      <c r="R16" s="3">
        <v>6379058.2800000003</v>
      </c>
      <c r="S16" s="3">
        <v>5937888.1499999994</v>
      </c>
      <c r="T16" s="3">
        <f t="shared" si="3"/>
        <v>6354867.2533333329</v>
      </c>
      <c r="U16" s="12">
        <v>5.7358654385070151</v>
      </c>
      <c r="V16" s="12">
        <v>18.261287494836068</v>
      </c>
    </row>
    <row r="17" spans="1:22" x14ac:dyDescent="0.3">
      <c r="A17" s="3">
        <v>10502</v>
      </c>
      <c r="B17" s="3" t="s">
        <v>25</v>
      </c>
      <c r="C17" s="3" t="s">
        <v>5</v>
      </c>
      <c r="D17" s="3" t="s">
        <v>24</v>
      </c>
      <c r="E17" s="3">
        <v>14718081.16</v>
      </c>
      <c r="F17" s="3">
        <v>18751667.732636701</v>
      </c>
      <c r="G17" s="3">
        <v>21848371.120000001</v>
      </c>
      <c r="H17" s="3">
        <f t="shared" si="0"/>
        <v>18439373.33754557</v>
      </c>
      <c r="I17" s="3">
        <v>255716.37</v>
      </c>
      <c r="J17" s="3">
        <v>1184605.4099999999</v>
      </c>
      <c r="K17" s="3">
        <v>458728.54</v>
      </c>
      <c r="L17" s="3">
        <f t="shared" si="1"/>
        <v>633016.77333333332</v>
      </c>
      <c r="M17" s="3">
        <v>9140338.679999996</v>
      </c>
      <c r="N17" s="3">
        <v>10694720.859999999</v>
      </c>
      <c r="O17" s="3">
        <v>10307740.939999999</v>
      </c>
      <c r="P17" s="3">
        <f t="shared" si="2"/>
        <v>10047600.159999998</v>
      </c>
      <c r="Q17" s="3">
        <v>279368.83</v>
      </c>
      <c r="R17" s="3">
        <v>103223.84</v>
      </c>
      <c r="S17" s="3">
        <v>445747.36</v>
      </c>
      <c r="T17" s="3">
        <f t="shared" si="3"/>
        <v>276113.34333333332</v>
      </c>
      <c r="U17" s="12">
        <v>3.4329625077030572</v>
      </c>
      <c r="V17" s="12">
        <v>2.7480526587090361</v>
      </c>
    </row>
    <row r="18" spans="1:22" x14ac:dyDescent="0.3">
      <c r="A18" s="3">
        <v>10601</v>
      </c>
      <c r="B18" s="3" t="s">
        <v>26</v>
      </c>
      <c r="C18" s="3" t="s">
        <v>5</v>
      </c>
      <c r="D18" s="3" t="s">
        <v>27</v>
      </c>
      <c r="E18" s="3">
        <v>28681747.620000001</v>
      </c>
      <c r="F18" s="3">
        <v>35135294.095312148</v>
      </c>
      <c r="G18" s="3">
        <v>43320272.630000003</v>
      </c>
      <c r="H18" s="3">
        <f t="shared" si="0"/>
        <v>35712438.115104049</v>
      </c>
      <c r="I18" s="3">
        <v>304033.71999999997</v>
      </c>
      <c r="J18" s="3">
        <v>723324.11999999988</v>
      </c>
      <c r="K18" s="3">
        <v>1436546.43</v>
      </c>
      <c r="L18" s="3">
        <f t="shared" si="1"/>
        <v>821301.42333333322</v>
      </c>
      <c r="M18" s="3">
        <v>18838119.629999992</v>
      </c>
      <c r="N18" s="3">
        <v>22495120.870000001</v>
      </c>
      <c r="O18" s="3">
        <v>20636062.699999999</v>
      </c>
      <c r="P18" s="3">
        <f t="shared" si="2"/>
        <v>20656434.399999995</v>
      </c>
      <c r="Q18" s="3">
        <v>854502.75</v>
      </c>
      <c r="R18" s="3">
        <v>999460.21000000008</v>
      </c>
      <c r="S18" s="3">
        <v>620902.36999999988</v>
      </c>
      <c r="T18" s="3">
        <f t="shared" si="3"/>
        <v>824955.11</v>
      </c>
      <c r="U18" s="12">
        <v>2.2997629584578152</v>
      </c>
      <c r="V18" s="12">
        <v>3.9936955915295829</v>
      </c>
    </row>
    <row r="19" spans="1:22" x14ac:dyDescent="0.3">
      <c r="A19" s="3">
        <v>10602</v>
      </c>
      <c r="B19" s="3" t="s">
        <v>28</v>
      </c>
      <c r="C19" s="3" t="s">
        <v>5</v>
      </c>
      <c r="D19" s="3" t="s">
        <v>27</v>
      </c>
      <c r="E19" s="3">
        <v>14595868.810000001</v>
      </c>
      <c r="F19" s="3">
        <v>17528270.504376478</v>
      </c>
      <c r="G19" s="3">
        <v>21347022.18</v>
      </c>
      <c r="H19" s="3">
        <f t="shared" si="0"/>
        <v>17823720.498125494</v>
      </c>
      <c r="I19" s="3">
        <v>301839.64</v>
      </c>
      <c r="J19" s="3">
        <v>78255</v>
      </c>
      <c r="K19" s="3">
        <v>75645.490000000005</v>
      </c>
      <c r="L19" s="3">
        <f t="shared" si="1"/>
        <v>151913.37666666668</v>
      </c>
      <c r="M19" s="3">
        <v>11109300.62999999</v>
      </c>
      <c r="N19" s="3">
        <v>13262228.710000001</v>
      </c>
      <c r="O19" s="3">
        <v>12583593.529999999</v>
      </c>
      <c r="P19" s="3">
        <f t="shared" si="2"/>
        <v>12318374.289999997</v>
      </c>
      <c r="Q19" s="3">
        <v>378161.42</v>
      </c>
      <c r="R19" s="3">
        <v>435346.15</v>
      </c>
      <c r="S19" s="3">
        <v>640171.18000000005</v>
      </c>
      <c r="T19" s="3">
        <f t="shared" si="3"/>
        <v>484559.58333333331</v>
      </c>
      <c r="U19" s="12">
        <v>0.85231013739608008</v>
      </c>
      <c r="V19" s="12">
        <v>3.9336325713588414</v>
      </c>
    </row>
    <row r="20" spans="1:22" x14ac:dyDescent="0.3">
      <c r="A20" s="3">
        <v>10701</v>
      </c>
      <c r="B20" s="3" t="s">
        <v>29</v>
      </c>
      <c r="C20" s="3" t="s">
        <v>5</v>
      </c>
      <c r="D20" s="3" t="s">
        <v>30</v>
      </c>
      <c r="E20" s="3">
        <v>21063606.420000002</v>
      </c>
      <c r="F20" s="3">
        <v>26439954.609560959</v>
      </c>
      <c r="G20" s="3">
        <v>31885956.539999999</v>
      </c>
      <c r="H20" s="3">
        <f t="shared" si="0"/>
        <v>26463172.523186985</v>
      </c>
      <c r="I20" s="3">
        <v>1171576.92</v>
      </c>
      <c r="J20" s="3">
        <v>1509336.63</v>
      </c>
      <c r="K20" s="3">
        <v>1466936.53</v>
      </c>
      <c r="L20" s="3">
        <f t="shared" si="1"/>
        <v>1382616.6933333334</v>
      </c>
      <c r="M20" s="3">
        <v>18478820.889999989</v>
      </c>
      <c r="N20" s="3">
        <v>22328021.760000002</v>
      </c>
      <c r="O20" s="3">
        <v>21113641.190000001</v>
      </c>
      <c r="P20" s="3">
        <f t="shared" si="2"/>
        <v>20640161.279999997</v>
      </c>
      <c r="Q20" s="3">
        <v>1875011.25</v>
      </c>
      <c r="R20" s="3">
        <v>2481623.7400000002</v>
      </c>
      <c r="S20" s="3">
        <v>2634154.71</v>
      </c>
      <c r="T20" s="3">
        <f t="shared" si="3"/>
        <v>2330263.2333333334</v>
      </c>
      <c r="U20" s="12">
        <v>5.2246823094316719</v>
      </c>
      <c r="V20" s="12">
        <v>11.289946826100255</v>
      </c>
    </row>
    <row r="21" spans="1:22" x14ac:dyDescent="0.3">
      <c r="A21" s="3">
        <v>10702</v>
      </c>
      <c r="B21" s="3" t="s">
        <v>31</v>
      </c>
      <c r="C21" s="3" t="s">
        <v>5</v>
      </c>
      <c r="D21" s="3" t="s">
        <v>30</v>
      </c>
      <c r="E21" s="3">
        <v>50459510.299999997</v>
      </c>
      <c r="F21" s="3">
        <v>60750442.192649148</v>
      </c>
      <c r="G21" s="3">
        <v>73747577.779999986</v>
      </c>
      <c r="H21" s="3">
        <f t="shared" si="0"/>
        <v>61652510.090883039</v>
      </c>
      <c r="I21" s="3">
        <v>3063196.56</v>
      </c>
      <c r="J21" s="3">
        <v>3667873.12</v>
      </c>
      <c r="K21" s="3">
        <v>4380046.05</v>
      </c>
      <c r="L21" s="3">
        <f t="shared" si="1"/>
        <v>3703705.2433333336</v>
      </c>
      <c r="M21" s="3">
        <v>37207388.219999976</v>
      </c>
      <c r="N21" s="3">
        <v>44834426.599999987</v>
      </c>
      <c r="O21" s="3">
        <v>42614728.390000001</v>
      </c>
      <c r="P21" s="3">
        <f t="shared" si="2"/>
        <v>41552181.069999985</v>
      </c>
      <c r="Q21" s="3">
        <v>2691559.560000001</v>
      </c>
      <c r="R21" s="3">
        <v>3578060.65</v>
      </c>
      <c r="S21" s="3">
        <v>4199831.3100000015</v>
      </c>
      <c r="T21" s="3">
        <f t="shared" si="3"/>
        <v>3489817.1733333343</v>
      </c>
      <c r="U21" s="12">
        <v>6.0073875952068088</v>
      </c>
      <c r="V21" s="12">
        <v>8.3986377693490724</v>
      </c>
    </row>
    <row r="22" spans="1:22" x14ac:dyDescent="0.3">
      <c r="A22" s="3">
        <v>10703</v>
      </c>
      <c r="B22" s="3" t="s">
        <v>32</v>
      </c>
      <c r="C22" s="3" t="s">
        <v>5</v>
      </c>
      <c r="D22" s="3" t="s">
        <v>30</v>
      </c>
      <c r="E22" s="3">
        <v>16329434.539999999</v>
      </c>
      <c r="F22" s="3">
        <v>20233302.35447374</v>
      </c>
      <c r="G22" s="3">
        <v>23265557.940000001</v>
      </c>
      <c r="H22" s="3">
        <f t="shared" si="0"/>
        <v>19942764.94482458</v>
      </c>
      <c r="I22" s="3">
        <v>51266.61</v>
      </c>
      <c r="J22" s="3">
        <v>1176249.76</v>
      </c>
      <c r="K22" s="3">
        <v>110731.26</v>
      </c>
      <c r="L22" s="3">
        <f t="shared" si="1"/>
        <v>446082.54333333339</v>
      </c>
      <c r="M22" s="3">
        <v>14121518.62999999</v>
      </c>
      <c r="N22" s="3">
        <v>16885335.829999998</v>
      </c>
      <c r="O22" s="3">
        <v>15628794.789999999</v>
      </c>
      <c r="P22" s="3">
        <f t="shared" si="2"/>
        <v>15545216.416666662</v>
      </c>
      <c r="Q22" s="3">
        <v>264586.32</v>
      </c>
      <c r="R22" s="3">
        <v>322239.24</v>
      </c>
      <c r="S22" s="3">
        <v>206480.3</v>
      </c>
      <c r="T22" s="3">
        <f t="shared" si="3"/>
        <v>264435.28666666668</v>
      </c>
      <c r="U22" s="12">
        <v>2.2368139250876435</v>
      </c>
      <c r="V22" s="12">
        <v>1.7010717611055888</v>
      </c>
    </row>
    <row r="23" spans="1:22" x14ac:dyDescent="0.3">
      <c r="A23" s="3">
        <v>10704</v>
      </c>
      <c r="B23" s="3" t="s">
        <v>43</v>
      </c>
      <c r="C23" s="3" t="s">
        <v>5</v>
      </c>
      <c r="D23" s="3" t="s">
        <v>30</v>
      </c>
      <c r="E23" s="3">
        <v>18276811.829999998</v>
      </c>
      <c r="F23" s="3">
        <v>21998026.670471199</v>
      </c>
      <c r="G23" s="3">
        <v>26644397.710000001</v>
      </c>
      <c r="H23" s="3">
        <f t="shared" si="0"/>
        <v>22306412.070157066</v>
      </c>
      <c r="I23" s="3">
        <v>90339.34</v>
      </c>
      <c r="J23" s="3">
        <v>108283</v>
      </c>
      <c r="K23" s="3">
        <v>47372.23</v>
      </c>
      <c r="L23" s="3">
        <f t="shared" si="1"/>
        <v>81998.19</v>
      </c>
      <c r="M23" s="3">
        <v>18415890.679999989</v>
      </c>
      <c r="N23" s="3">
        <v>21623142.91</v>
      </c>
      <c r="O23" s="3">
        <v>20297485.100000001</v>
      </c>
      <c r="P23" s="3">
        <f t="shared" si="2"/>
        <v>20112172.896666665</v>
      </c>
      <c r="Q23" s="3">
        <v>1275017.04</v>
      </c>
      <c r="R23" s="3">
        <v>1134800.6599999999</v>
      </c>
      <c r="S23" s="3">
        <v>1220266.3500000001</v>
      </c>
      <c r="T23" s="3">
        <f t="shared" si="3"/>
        <v>1210028.0166666668</v>
      </c>
      <c r="U23" s="12">
        <v>0.36759918960567567</v>
      </c>
      <c r="V23" s="12">
        <v>6.0163962535704609</v>
      </c>
    </row>
    <row r="24" spans="1:22" x14ac:dyDescent="0.3">
      <c r="A24" s="3">
        <v>10801</v>
      </c>
      <c r="B24" s="3" t="s">
        <v>33</v>
      </c>
      <c r="C24" s="3" t="s">
        <v>5</v>
      </c>
      <c r="D24" s="3" t="s">
        <v>34</v>
      </c>
      <c r="E24" s="3">
        <v>18118104.670000002</v>
      </c>
      <c r="F24" s="3">
        <v>22083309.423805241</v>
      </c>
      <c r="G24" s="3">
        <v>27068225.129999999</v>
      </c>
      <c r="H24" s="3">
        <f t="shared" si="0"/>
        <v>22423213.074601743</v>
      </c>
      <c r="I24" s="3">
        <v>345946.64</v>
      </c>
      <c r="J24" s="3">
        <v>427513.37</v>
      </c>
      <c r="K24" s="3">
        <v>680248.48</v>
      </c>
      <c r="L24" s="3">
        <f t="shared" si="1"/>
        <v>484569.49666666664</v>
      </c>
      <c r="M24" s="3">
        <v>12663675.130000001</v>
      </c>
      <c r="N24" s="3">
        <v>15045332.130000001</v>
      </c>
      <c r="O24" s="3">
        <v>14081078.779999999</v>
      </c>
      <c r="P24" s="3">
        <f t="shared" si="2"/>
        <v>13930028.68</v>
      </c>
      <c r="Q24" s="3">
        <v>818076.89999999991</v>
      </c>
      <c r="R24" s="3">
        <v>886353.14999999991</v>
      </c>
      <c r="S24" s="3">
        <v>897304.69000000006</v>
      </c>
      <c r="T24" s="3">
        <f t="shared" si="3"/>
        <v>867244.91333333321</v>
      </c>
      <c r="U24" s="12">
        <v>2.161017223778368</v>
      </c>
      <c r="V24" s="12">
        <v>6.2257223818819396</v>
      </c>
    </row>
    <row r="25" spans="1:22" x14ac:dyDescent="0.3">
      <c r="A25" s="3">
        <v>10901</v>
      </c>
      <c r="B25" s="3" t="s">
        <v>35</v>
      </c>
      <c r="C25" s="3" t="s">
        <v>5</v>
      </c>
      <c r="D25" s="3" t="s">
        <v>36</v>
      </c>
      <c r="E25" s="3">
        <v>4800565.4100000011</v>
      </c>
      <c r="F25" s="3">
        <v>5725920.7933816742</v>
      </c>
      <c r="G25" s="3">
        <v>6979537.919999999</v>
      </c>
      <c r="H25" s="3">
        <f t="shared" si="0"/>
        <v>5835341.3744605584</v>
      </c>
      <c r="I25" s="3">
        <v>221915.34</v>
      </c>
      <c r="J25" s="3">
        <v>145413.72</v>
      </c>
      <c r="K25" s="3">
        <v>179342.55</v>
      </c>
      <c r="L25" s="3">
        <f t="shared" si="1"/>
        <v>182223.87</v>
      </c>
      <c r="M25" s="3">
        <v>3939237.9099999969</v>
      </c>
      <c r="N25" s="3">
        <v>4866905.08</v>
      </c>
      <c r="O25" s="3">
        <v>4390701.2300000004</v>
      </c>
      <c r="P25" s="3">
        <f t="shared" si="2"/>
        <v>4398948.0733333323</v>
      </c>
      <c r="Q25" s="3">
        <v>210089.19</v>
      </c>
      <c r="R25" s="3">
        <v>409396.92</v>
      </c>
      <c r="S25" s="3">
        <v>240233.72</v>
      </c>
      <c r="T25" s="3">
        <f t="shared" si="3"/>
        <v>286573.27666666667</v>
      </c>
      <c r="U25" s="12">
        <v>3.1227628052325471</v>
      </c>
      <c r="V25" s="12">
        <v>6.5145864849801205</v>
      </c>
    </row>
    <row r="26" spans="1:22" x14ac:dyDescent="0.3">
      <c r="A26" s="3">
        <v>10902</v>
      </c>
      <c r="B26" s="3" t="s">
        <v>37</v>
      </c>
      <c r="C26" s="3" t="s">
        <v>5</v>
      </c>
      <c r="D26" s="3" t="s">
        <v>36</v>
      </c>
      <c r="E26" s="3">
        <v>26290686.449999999</v>
      </c>
      <c r="F26" s="3">
        <v>31908004.980008911</v>
      </c>
      <c r="G26" s="3">
        <v>38469147.409999996</v>
      </c>
      <c r="H26" s="3">
        <f t="shared" si="0"/>
        <v>32222612.946669638</v>
      </c>
      <c r="I26" s="3">
        <v>620300.23</v>
      </c>
      <c r="J26" s="3">
        <v>863656.59</v>
      </c>
      <c r="K26" s="3">
        <v>707774.27</v>
      </c>
      <c r="L26" s="3">
        <f t="shared" si="1"/>
        <v>730577.02999999991</v>
      </c>
      <c r="M26" s="3">
        <v>19707300.71999998</v>
      </c>
      <c r="N26" s="3">
        <v>23841490.73</v>
      </c>
      <c r="O26" s="3">
        <v>21875476.879999999</v>
      </c>
      <c r="P26" s="3">
        <f t="shared" si="2"/>
        <v>21808089.443333328</v>
      </c>
      <c r="Q26" s="3">
        <v>888369.33000000007</v>
      </c>
      <c r="R26" s="3">
        <v>1347391.16</v>
      </c>
      <c r="S26" s="3">
        <v>930642.7</v>
      </c>
      <c r="T26" s="3">
        <f t="shared" si="3"/>
        <v>1055467.7300000002</v>
      </c>
      <c r="U26" s="12">
        <v>2.2672805312503637</v>
      </c>
      <c r="V26" s="12">
        <v>4.8397991614192213</v>
      </c>
    </row>
    <row r="27" spans="1:22" x14ac:dyDescent="0.3">
      <c r="A27" s="3">
        <v>10903</v>
      </c>
      <c r="B27" s="3" t="s">
        <v>38</v>
      </c>
      <c r="C27" s="3" t="s">
        <v>5</v>
      </c>
      <c r="D27" s="3" t="s">
        <v>36</v>
      </c>
      <c r="E27" s="3">
        <v>5103553.4800000004</v>
      </c>
      <c r="F27" s="3">
        <v>6276902.3686258458</v>
      </c>
      <c r="G27" s="3">
        <v>7980218.1500000004</v>
      </c>
      <c r="H27" s="3">
        <f t="shared" si="0"/>
        <v>6453557.9995419485</v>
      </c>
      <c r="I27" s="3">
        <v>46125.93</v>
      </c>
      <c r="J27" s="3">
        <v>93633.65</v>
      </c>
      <c r="K27" s="3">
        <v>440223.72</v>
      </c>
      <c r="L27" s="3">
        <f t="shared" si="1"/>
        <v>193327.76666666663</v>
      </c>
      <c r="M27" s="3">
        <v>4718093.5499999961</v>
      </c>
      <c r="N27" s="3">
        <v>5464239.290000001</v>
      </c>
      <c r="O27" s="3">
        <v>5201712.26</v>
      </c>
      <c r="P27" s="3">
        <f t="shared" si="2"/>
        <v>5128015.0333333323</v>
      </c>
      <c r="Q27" s="3">
        <v>379707.63</v>
      </c>
      <c r="R27" s="3">
        <v>278518.75</v>
      </c>
      <c r="S27" s="3">
        <v>373186.26</v>
      </c>
      <c r="T27" s="3">
        <f t="shared" si="3"/>
        <v>343804.21333333332</v>
      </c>
      <c r="U27" s="12">
        <v>2.9956772168219201</v>
      </c>
      <c r="V27" s="12">
        <v>6.7044306831887805</v>
      </c>
    </row>
    <row r="28" spans="1:22" x14ac:dyDescent="0.3">
      <c r="A28" s="3">
        <v>11001</v>
      </c>
      <c r="B28" s="3" t="s">
        <v>39</v>
      </c>
      <c r="C28" s="3" t="s">
        <v>5</v>
      </c>
      <c r="D28" s="3" t="s">
        <v>40</v>
      </c>
      <c r="E28" s="3">
        <v>16168036.99</v>
      </c>
      <c r="F28" s="3">
        <v>23018966.767648101</v>
      </c>
      <c r="G28" s="3">
        <v>23884879.670000002</v>
      </c>
      <c r="H28" s="3">
        <f t="shared" si="0"/>
        <v>21023961.142549369</v>
      </c>
      <c r="I28" s="3">
        <v>755719.50999999989</v>
      </c>
      <c r="J28" s="3">
        <v>4238315.38</v>
      </c>
      <c r="K28" s="3">
        <v>1001035.65</v>
      </c>
      <c r="L28" s="3">
        <f t="shared" si="1"/>
        <v>1998356.8466666667</v>
      </c>
      <c r="M28" s="3">
        <v>11432891.249999991</v>
      </c>
      <c r="N28" s="3">
        <v>13511150.49</v>
      </c>
      <c r="O28" s="3">
        <v>12703431.470000001</v>
      </c>
      <c r="P28" s="3">
        <f t="shared" si="2"/>
        <v>12549157.736666664</v>
      </c>
      <c r="Q28" s="3">
        <v>1116756.06</v>
      </c>
      <c r="R28" s="3">
        <v>1180315.92</v>
      </c>
      <c r="S28" s="3">
        <v>1221893.24</v>
      </c>
      <c r="T28" s="3">
        <f t="shared" si="3"/>
        <v>1172988.4066666665</v>
      </c>
      <c r="U28" s="12">
        <v>9.5051395553727964</v>
      </c>
      <c r="V28" s="12">
        <v>9.3471484802472364</v>
      </c>
    </row>
    <row r="29" spans="1:22" x14ac:dyDescent="0.3">
      <c r="A29" s="3">
        <v>11002</v>
      </c>
      <c r="B29" s="3" t="s">
        <v>41</v>
      </c>
      <c r="C29" s="3" t="s">
        <v>5</v>
      </c>
      <c r="D29" s="3" t="s">
        <v>40</v>
      </c>
      <c r="E29" s="3">
        <v>3999590.49</v>
      </c>
      <c r="F29" s="3">
        <v>5385225.8472041246</v>
      </c>
      <c r="G29" s="3">
        <v>11350509.109999999</v>
      </c>
      <c r="H29" s="3">
        <f t="shared" si="0"/>
        <v>6911775.1490680417</v>
      </c>
      <c r="I29" s="3">
        <v>579603.89</v>
      </c>
      <c r="J29" s="3">
        <v>1246488.49</v>
      </c>
      <c r="K29" s="3">
        <v>6315384.9199999999</v>
      </c>
      <c r="L29" s="3">
        <f t="shared" si="1"/>
        <v>2713825.7666666666</v>
      </c>
      <c r="M29" s="3">
        <v>2698541.799999997</v>
      </c>
      <c r="N29" s="3">
        <v>3229570.54</v>
      </c>
      <c r="O29" s="3">
        <v>3216034.9300000011</v>
      </c>
      <c r="P29" s="3">
        <f t="shared" si="2"/>
        <v>3048049.0899999994</v>
      </c>
      <c r="Q29" s="3">
        <v>2126.12</v>
      </c>
      <c r="R29" s="3">
        <v>6472.51</v>
      </c>
      <c r="S29" s="3">
        <v>214904.58</v>
      </c>
      <c r="T29" s="3">
        <f t="shared" si="3"/>
        <v>74501.069999999992</v>
      </c>
      <c r="U29" s="12">
        <v>39.263802831210285</v>
      </c>
      <c r="V29" s="12">
        <v>2.4442214610132806</v>
      </c>
    </row>
    <row r="30" spans="1:22" x14ac:dyDescent="0.3">
      <c r="A30" s="3">
        <v>11003</v>
      </c>
      <c r="B30" s="3" t="s">
        <v>42</v>
      </c>
      <c r="C30" s="3" t="s">
        <v>5</v>
      </c>
      <c r="D30" s="3" t="s">
        <v>40</v>
      </c>
      <c r="E30" s="3">
        <v>10721568.630000001</v>
      </c>
      <c r="F30" s="3">
        <v>13375761.73621887</v>
      </c>
      <c r="G30" s="3">
        <v>16060692.529999999</v>
      </c>
      <c r="H30" s="3">
        <f t="shared" si="0"/>
        <v>13386007.632072957</v>
      </c>
      <c r="I30" s="3">
        <v>224348.96</v>
      </c>
      <c r="J30" s="3">
        <v>537619.66999999993</v>
      </c>
      <c r="K30" s="3">
        <v>404700.31000000011</v>
      </c>
      <c r="L30" s="3">
        <f t="shared" si="1"/>
        <v>388889.64666666667</v>
      </c>
      <c r="M30" s="3">
        <v>9312907.2499999925</v>
      </c>
      <c r="N30" s="3">
        <v>9756089.7800000012</v>
      </c>
      <c r="O30" s="3">
        <v>9270014.75</v>
      </c>
      <c r="P30" s="3">
        <f t="shared" si="2"/>
        <v>9446337.2599999979</v>
      </c>
      <c r="Q30" s="3">
        <v>1440091.98</v>
      </c>
      <c r="R30" s="3">
        <v>345718.95</v>
      </c>
      <c r="S30" s="3">
        <v>507800.62000000011</v>
      </c>
      <c r="T30" s="3">
        <f t="shared" si="3"/>
        <v>764537.18333333323</v>
      </c>
      <c r="U30" s="12">
        <v>2.9051951661441207</v>
      </c>
      <c r="V30" s="12">
        <v>8.0934775277474422</v>
      </c>
    </row>
    <row r="31" spans="1:22" x14ac:dyDescent="0.3">
      <c r="A31" s="3">
        <v>20101</v>
      </c>
      <c r="B31" s="3" t="s">
        <v>44</v>
      </c>
      <c r="C31" s="3" t="s">
        <v>45</v>
      </c>
      <c r="D31" s="3" t="s">
        <v>46</v>
      </c>
      <c r="E31" s="3">
        <v>1240502531.29</v>
      </c>
      <c r="F31" s="3">
        <v>1471856756.0372851</v>
      </c>
      <c r="G31" s="3">
        <v>1664568465.1300001</v>
      </c>
      <c r="H31" s="3">
        <f t="shared" si="0"/>
        <v>1458975917.4857616</v>
      </c>
      <c r="I31" s="3">
        <v>503981901.80999988</v>
      </c>
      <c r="J31" s="3">
        <v>580247438.25999999</v>
      </c>
      <c r="K31" s="3">
        <v>596547031.66000009</v>
      </c>
      <c r="L31" s="3">
        <f t="shared" si="1"/>
        <v>560258790.57666671</v>
      </c>
      <c r="M31" s="3">
        <v>1302971838.3499999</v>
      </c>
      <c r="N31" s="3">
        <v>1611817755.0999999</v>
      </c>
      <c r="O31" s="3">
        <v>1608490548.3</v>
      </c>
      <c r="P31" s="3">
        <f t="shared" si="2"/>
        <v>1507760047.25</v>
      </c>
      <c r="Q31" s="3">
        <v>650149957.58000004</v>
      </c>
      <c r="R31" s="3">
        <v>851139400.29999983</v>
      </c>
      <c r="S31" s="3">
        <v>869522140.30999994</v>
      </c>
      <c r="T31" s="3">
        <f t="shared" si="3"/>
        <v>790270499.39666653</v>
      </c>
      <c r="U31" s="12">
        <v>38.400825117261363</v>
      </c>
      <c r="V31" s="12">
        <v>52.413545566354479</v>
      </c>
    </row>
    <row r="32" spans="1:22" x14ac:dyDescent="0.3">
      <c r="A32" s="3">
        <v>20102</v>
      </c>
      <c r="B32" s="3" t="s">
        <v>47</v>
      </c>
      <c r="C32" s="3" t="s">
        <v>45</v>
      </c>
      <c r="D32" s="3" t="s">
        <v>46</v>
      </c>
      <c r="E32" s="3">
        <v>16078136.68</v>
      </c>
      <c r="F32" s="3">
        <v>18571233.179666661</v>
      </c>
      <c r="G32" s="3">
        <v>22444100.82</v>
      </c>
      <c r="H32" s="3">
        <f t="shared" si="0"/>
        <v>19031156.89322222</v>
      </c>
      <c r="I32" s="3">
        <v>1455804.75</v>
      </c>
      <c r="J32" s="3">
        <v>1580864.16</v>
      </c>
      <c r="K32" s="3">
        <v>2270498.1800000002</v>
      </c>
      <c r="L32" s="3">
        <f t="shared" si="1"/>
        <v>1769055.6966666665</v>
      </c>
      <c r="M32" s="3">
        <v>26061443.949999992</v>
      </c>
      <c r="N32" s="3">
        <v>31091732.82</v>
      </c>
      <c r="O32" s="3">
        <v>32646964.489999998</v>
      </c>
      <c r="P32" s="3">
        <f t="shared" si="2"/>
        <v>29933380.419999998</v>
      </c>
      <c r="Q32" s="3">
        <v>11903921.130000001</v>
      </c>
      <c r="R32" s="3">
        <v>14595947.76</v>
      </c>
      <c r="S32" s="3">
        <v>16621992.1</v>
      </c>
      <c r="T32" s="3">
        <f t="shared" si="3"/>
        <v>14373953.663333334</v>
      </c>
      <c r="U32" s="12">
        <v>9.295576231083988</v>
      </c>
      <c r="V32" s="12">
        <v>48.01981420624773</v>
      </c>
    </row>
    <row r="33" spans="1:22" x14ac:dyDescent="0.3">
      <c r="A33" s="3">
        <v>20103</v>
      </c>
      <c r="B33" s="3" t="s">
        <v>48</v>
      </c>
      <c r="C33" s="3" t="s">
        <v>45</v>
      </c>
      <c r="D33" s="3" t="s">
        <v>46</v>
      </c>
      <c r="E33" s="3">
        <v>12052433.26</v>
      </c>
      <c r="F33" s="3">
        <v>14675807.042294521</v>
      </c>
      <c r="G33" s="3">
        <v>18666190.23</v>
      </c>
      <c r="H33" s="3">
        <f t="shared" si="0"/>
        <v>15131476.844098175</v>
      </c>
      <c r="I33" s="3">
        <v>268855.09000000003</v>
      </c>
      <c r="J33" s="3">
        <v>824585.67999999993</v>
      </c>
      <c r="K33" s="3">
        <v>2178168.6800000002</v>
      </c>
      <c r="L33" s="3">
        <f t="shared" si="1"/>
        <v>1090536.4833333334</v>
      </c>
      <c r="M33" s="3">
        <v>23860077.84999999</v>
      </c>
      <c r="N33" s="3">
        <v>24667036.170000002</v>
      </c>
      <c r="O33" s="3">
        <v>24321258.93</v>
      </c>
      <c r="P33" s="3">
        <f t="shared" si="2"/>
        <v>24282790.983333331</v>
      </c>
      <c r="Q33" s="3">
        <v>10374856</v>
      </c>
      <c r="R33" s="3">
        <v>8953299</v>
      </c>
      <c r="S33" s="3">
        <v>9056014.8000000007</v>
      </c>
      <c r="T33" s="3">
        <f t="shared" si="3"/>
        <v>9461389.9333333336</v>
      </c>
      <c r="U33" s="12">
        <v>7.2070723470636127</v>
      </c>
      <c r="V33" s="12">
        <v>38.963354500012898</v>
      </c>
    </row>
    <row r="34" spans="1:22" x14ac:dyDescent="0.3">
      <c r="A34" s="3">
        <v>20104</v>
      </c>
      <c r="B34" s="3" t="s">
        <v>49</v>
      </c>
      <c r="C34" s="3" t="s">
        <v>45</v>
      </c>
      <c r="D34" s="3" t="s">
        <v>46</v>
      </c>
      <c r="E34" s="3">
        <v>18580926.030000001</v>
      </c>
      <c r="F34" s="3">
        <v>21854472.689766739</v>
      </c>
      <c r="G34" s="3">
        <v>25833829.68</v>
      </c>
      <c r="H34" s="3">
        <f t="shared" ref="H34:H65" si="4">AVERAGE(E34:G34)</f>
        <v>22089742.799922246</v>
      </c>
      <c r="I34" s="3">
        <v>3203395.439999999</v>
      </c>
      <c r="J34" s="3">
        <v>3899190.39</v>
      </c>
      <c r="K34" s="3">
        <v>4491669.4700000007</v>
      </c>
      <c r="L34" s="3">
        <f t="shared" ref="L34:L65" si="5">AVERAGE(I34:K34)</f>
        <v>3864751.7666666671</v>
      </c>
      <c r="M34" s="3">
        <v>54171690.289999977</v>
      </c>
      <c r="N34" s="3">
        <v>59730478.819999993</v>
      </c>
      <c r="O34" s="3">
        <v>68220364.829999998</v>
      </c>
      <c r="P34" s="3">
        <f t="shared" ref="P34:P65" si="6">AVERAGE(M34:O34)</f>
        <v>60707511.313333325</v>
      </c>
      <c r="Q34" s="3">
        <v>35165203.920000002</v>
      </c>
      <c r="R34" s="3">
        <v>37469567.409999996</v>
      </c>
      <c r="S34" s="3">
        <v>46594804.039999999</v>
      </c>
      <c r="T34" s="3">
        <f t="shared" ref="T34:T65" si="7">AVERAGE(Q34:S34)</f>
        <v>39743191.789999999</v>
      </c>
      <c r="U34" s="12">
        <v>17.495684769495234</v>
      </c>
      <c r="V34" s="12">
        <v>65.466679378225663</v>
      </c>
    </row>
    <row r="35" spans="1:22" x14ac:dyDescent="0.3">
      <c r="A35" s="3">
        <v>20105</v>
      </c>
      <c r="B35" s="3" t="s">
        <v>50</v>
      </c>
      <c r="C35" s="3" t="s">
        <v>45</v>
      </c>
      <c r="D35" s="3" t="s">
        <v>46</v>
      </c>
      <c r="E35" s="3">
        <v>774846366.42999983</v>
      </c>
      <c r="F35" s="3">
        <v>917155250.68976927</v>
      </c>
      <c r="G35" s="3">
        <v>1062372133.16</v>
      </c>
      <c r="H35" s="3">
        <f t="shared" si="4"/>
        <v>918124583.42658961</v>
      </c>
      <c r="I35" s="3">
        <v>143522839.22</v>
      </c>
      <c r="J35" s="3">
        <v>166497942.24000001</v>
      </c>
      <c r="K35" s="3">
        <v>166597444.75000009</v>
      </c>
      <c r="L35" s="3">
        <f t="shared" si="5"/>
        <v>158872742.07000005</v>
      </c>
      <c r="M35" s="3">
        <v>1118144923.8099999</v>
      </c>
      <c r="N35" s="3">
        <v>1273129199.73</v>
      </c>
      <c r="O35" s="3">
        <v>1184892520.98</v>
      </c>
      <c r="P35" s="3">
        <f t="shared" si="6"/>
        <v>1192055548.1733334</v>
      </c>
      <c r="Q35" s="3">
        <v>395448434.52999997</v>
      </c>
      <c r="R35" s="3">
        <v>431086052.95999998</v>
      </c>
      <c r="S35" s="3">
        <v>366881490.17999989</v>
      </c>
      <c r="T35" s="3">
        <f t="shared" si="7"/>
        <v>397805325.88999993</v>
      </c>
      <c r="U35" s="12">
        <v>17.304050554562135</v>
      </c>
      <c r="V35" s="12">
        <v>33.371374891009374</v>
      </c>
    </row>
    <row r="36" spans="1:22" x14ac:dyDescent="0.3">
      <c r="A36" s="3">
        <v>20201</v>
      </c>
      <c r="B36" s="3" t="s">
        <v>73</v>
      </c>
      <c r="C36" s="3" t="s">
        <v>45</v>
      </c>
      <c r="D36" s="3" t="s">
        <v>74</v>
      </c>
      <c r="E36" s="3">
        <v>55053296.029999986</v>
      </c>
      <c r="F36" s="3">
        <v>64294735.575128511</v>
      </c>
      <c r="G36" s="3">
        <v>68000427.670000002</v>
      </c>
      <c r="H36" s="3">
        <f t="shared" si="4"/>
        <v>62449486.42504283</v>
      </c>
      <c r="I36" s="3">
        <v>830501.98</v>
      </c>
      <c r="J36" s="3">
        <v>799413.12000000011</v>
      </c>
      <c r="K36" s="3">
        <v>540597.48</v>
      </c>
      <c r="L36" s="3">
        <f t="shared" si="5"/>
        <v>723504.19333333336</v>
      </c>
      <c r="M36" s="3">
        <v>40610091.419999957</v>
      </c>
      <c r="N36" s="3">
        <v>47480360.890000001</v>
      </c>
      <c r="O36" s="3">
        <v>46222510.659999996</v>
      </c>
      <c r="P36" s="3">
        <f t="shared" si="6"/>
        <v>44770987.656666659</v>
      </c>
      <c r="Q36" s="3">
        <v>1379734.6</v>
      </c>
      <c r="R36" s="3">
        <v>1770899.23</v>
      </c>
      <c r="S36" s="3">
        <v>1817626.42</v>
      </c>
      <c r="T36" s="3">
        <f t="shared" si="7"/>
        <v>1656086.75</v>
      </c>
      <c r="U36" s="12">
        <v>1.158543063763614</v>
      </c>
      <c r="V36" s="12">
        <v>3.6990176823883383</v>
      </c>
    </row>
    <row r="37" spans="1:22" x14ac:dyDescent="0.3">
      <c r="A37" s="3">
        <v>20202</v>
      </c>
      <c r="B37" s="3" t="s">
        <v>75</v>
      </c>
      <c r="C37" s="3" t="s">
        <v>45</v>
      </c>
      <c r="D37" s="3" t="s">
        <v>74</v>
      </c>
      <c r="E37" s="3">
        <v>15593747.01</v>
      </c>
      <c r="F37" s="3">
        <v>18262423.356546111</v>
      </c>
      <c r="G37" s="3">
        <v>21593325.539999999</v>
      </c>
      <c r="H37" s="3">
        <f t="shared" si="4"/>
        <v>18483165.302182037</v>
      </c>
      <c r="I37" s="3">
        <v>20468.3</v>
      </c>
      <c r="J37" s="3">
        <v>125522.75</v>
      </c>
      <c r="K37" s="3">
        <v>47510.009999999987</v>
      </c>
      <c r="L37" s="3">
        <f t="shared" si="5"/>
        <v>64500.353333333325</v>
      </c>
      <c r="M37" s="3">
        <v>11215336.78999999</v>
      </c>
      <c r="N37" s="3">
        <v>13202660.83</v>
      </c>
      <c r="O37" s="3">
        <v>13192821.82</v>
      </c>
      <c r="P37" s="3">
        <f t="shared" si="6"/>
        <v>12536939.813333331</v>
      </c>
      <c r="Q37" s="3">
        <v>27099.4</v>
      </c>
      <c r="R37" s="3">
        <v>166546.51999999999</v>
      </c>
      <c r="S37" s="3">
        <v>528780.2699999999</v>
      </c>
      <c r="T37" s="3">
        <f t="shared" si="7"/>
        <v>240808.72999999998</v>
      </c>
      <c r="U37" s="12">
        <v>0.34896811384205229</v>
      </c>
      <c r="V37" s="12">
        <v>1.9207935396155786</v>
      </c>
    </row>
    <row r="38" spans="1:22" x14ac:dyDescent="0.3">
      <c r="A38" s="3">
        <v>20203</v>
      </c>
      <c r="B38" s="3" t="s">
        <v>151</v>
      </c>
      <c r="C38" s="3" t="s">
        <v>45</v>
      </c>
      <c r="D38" s="3" t="s">
        <v>74</v>
      </c>
      <c r="E38" s="3">
        <v>0</v>
      </c>
      <c r="F38" s="3">
        <v>0</v>
      </c>
      <c r="G38" s="3">
        <v>5922039.7800000003</v>
      </c>
      <c r="H38" s="3">
        <f t="shared" si="4"/>
        <v>1974013.26</v>
      </c>
      <c r="I38" s="3">
        <v>0</v>
      </c>
      <c r="J38" s="3">
        <v>0</v>
      </c>
      <c r="K38" s="3">
        <v>0</v>
      </c>
      <c r="L38" s="3">
        <f t="shared" si="5"/>
        <v>0</v>
      </c>
      <c r="M38" s="3">
        <v>4338456.9499999965</v>
      </c>
      <c r="N38" s="3">
        <v>5113532.29</v>
      </c>
      <c r="O38" s="3">
        <v>5212048.4099999992</v>
      </c>
      <c r="P38" s="3">
        <f t="shared" si="6"/>
        <v>4888012.549999998</v>
      </c>
      <c r="Q38" s="3">
        <v>77701.58</v>
      </c>
      <c r="R38" s="3">
        <v>148991.32999999999</v>
      </c>
      <c r="S38" s="3">
        <v>389215.78</v>
      </c>
      <c r="T38" s="3">
        <f t="shared" si="7"/>
        <v>205302.89666666664</v>
      </c>
      <c r="U38" s="12">
        <v>0</v>
      </c>
      <c r="V38" s="12">
        <v>4.2001303099491167</v>
      </c>
    </row>
    <row r="39" spans="1:22" x14ac:dyDescent="0.3">
      <c r="A39" s="3">
        <v>20204</v>
      </c>
      <c r="B39" s="3" t="s">
        <v>145</v>
      </c>
      <c r="C39" s="3" t="s">
        <v>45</v>
      </c>
      <c r="D39" s="3" t="s">
        <v>74</v>
      </c>
      <c r="E39" s="3">
        <v>8562274.8399999999</v>
      </c>
      <c r="F39" s="3">
        <v>10016015.123159179</v>
      </c>
      <c r="G39" s="3">
        <v>13654827.470000001</v>
      </c>
      <c r="H39" s="3">
        <f t="shared" si="4"/>
        <v>10744372.477719726</v>
      </c>
      <c r="I39" s="3">
        <v>73490.8</v>
      </c>
      <c r="J39" s="3">
        <v>77611.759999999995</v>
      </c>
      <c r="K39" s="3">
        <v>2458688.8199999998</v>
      </c>
      <c r="L39" s="3">
        <f t="shared" si="5"/>
        <v>869930.46</v>
      </c>
      <c r="M39" s="3">
        <v>8316033.599999994</v>
      </c>
      <c r="N39" s="3">
        <v>10138409.390000001</v>
      </c>
      <c r="O39" s="3">
        <v>10316726.16</v>
      </c>
      <c r="P39" s="3">
        <f t="shared" si="6"/>
        <v>9590389.7166666649</v>
      </c>
      <c r="Q39" s="3">
        <v>1034824.59</v>
      </c>
      <c r="R39" s="3">
        <v>1641748.6</v>
      </c>
      <c r="S39" s="3">
        <v>2062581.29</v>
      </c>
      <c r="T39" s="3">
        <f t="shared" si="7"/>
        <v>1579718.1600000001</v>
      </c>
      <c r="U39" s="12">
        <v>8.0966148726130633</v>
      </c>
      <c r="V39" s="12">
        <v>16.471887031396502</v>
      </c>
    </row>
    <row r="40" spans="1:22" x14ac:dyDescent="0.3">
      <c r="A40" s="3">
        <v>20205</v>
      </c>
      <c r="B40" s="3" t="s">
        <v>146</v>
      </c>
      <c r="C40" s="3" t="s">
        <v>45</v>
      </c>
      <c r="D40" s="3" t="s">
        <v>74</v>
      </c>
      <c r="E40" s="3">
        <v>0</v>
      </c>
      <c r="F40" s="3">
        <v>0</v>
      </c>
      <c r="G40" s="3">
        <v>3109191.23</v>
      </c>
      <c r="H40" s="3">
        <f t="shared" si="4"/>
        <v>1036397.0766666667</v>
      </c>
      <c r="I40" s="3">
        <v>0</v>
      </c>
      <c r="J40" s="3">
        <v>0</v>
      </c>
      <c r="K40" s="3">
        <v>63759.76</v>
      </c>
      <c r="L40" s="3">
        <f t="shared" si="5"/>
        <v>21253.253333333334</v>
      </c>
      <c r="M40" s="3">
        <v>3911293.819999998</v>
      </c>
      <c r="N40" s="3">
        <v>4717892.99</v>
      </c>
      <c r="O40" s="3">
        <v>4993602.99</v>
      </c>
      <c r="P40" s="3">
        <f t="shared" si="6"/>
        <v>4540929.9333333327</v>
      </c>
      <c r="Q40" s="3">
        <v>567048.00999999989</v>
      </c>
      <c r="R40" s="3">
        <v>821225.12</v>
      </c>
      <c r="S40" s="3">
        <v>1208166.3400000001</v>
      </c>
      <c r="T40" s="3">
        <f t="shared" si="7"/>
        <v>865479.82333333325</v>
      </c>
      <c r="U40" s="12">
        <v>2.0506863452075286</v>
      </c>
      <c r="V40" s="12">
        <v>19.059528247290437</v>
      </c>
    </row>
    <row r="41" spans="1:22" x14ac:dyDescent="0.3">
      <c r="A41" s="3">
        <v>20206</v>
      </c>
      <c r="B41" s="3" t="s">
        <v>150</v>
      </c>
      <c r="C41" s="3" t="s">
        <v>45</v>
      </c>
      <c r="D41" s="3" t="s">
        <v>74</v>
      </c>
      <c r="E41" s="3">
        <v>12175122.640000001</v>
      </c>
      <c r="F41" s="3">
        <v>14506852.76216487</v>
      </c>
      <c r="G41" s="3">
        <v>16938193.739999998</v>
      </c>
      <c r="H41" s="3">
        <f t="shared" si="4"/>
        <v>14540056.380721623</v>
      </c>
      <c r="I41" s="3">
        <v>315844.87</v>
      </c>
      <c r="J41" s="3">
        <v>586948.19999999995</v>
      </c>
      <c r="K41" s="3">
        <v>373664.93</v>
      </c>
      <c r="L41" s="3">
        <f t="shared" si="5"/>
        <v>425486</v>
      </c>
      <c r="M41" s="3">
        <v>10055562.25999999</v>
      </c>
      <c r="N41" s="3">
        <v>11100982.699999999</v>
      </c>
      <c r="O41" s="3">
        <v>11295004.49</v>
      </c>
      <c r="P41" s="3">
        <f t="shared" si="6"/>
        <v>10817183.149999997</v>
      </c>
      <c r="Q41" s="3">
        <v>987753.92999999993</v>
      </c>
      <c r="R41" s="3">
        <v>535068.82999999996</v>
      </c>
      <c r="S41" s="3">
        <v>1030663.33</v>
      </c>
      <c r="T41" s="3">
        <f t="shared" si="7"/>
        <v>851162.02999999991</v>
      </c>
      <c r="U41" s="12">
        <v>2.9263022704928683</v>
      </c>
      <c r="V41" s="12">
        <v>7.8686106927939008</v>
      </c>
    </row>
    <row r="42" spans="1:22" x14ac:dyDescent="0.3">
      <c r="A42" s="3">
        <v>20301</v>
      </c>
      <c r="B42" s="3" t="s">
        <v>91</v>
      </c>
      <c r="C42" s="3" t="s">
        <v>45</v>
      </c>
      <c r="D42" s="3" t="s">
        <v>92</v>
      </c>
      <c r="E42" s="3">
        <v>12054712.210000001</v>
      </c>
      <c r="F42" s="3">
        <v>14320157.79813944</v>
      </c>
      <c r="G42" s="3">
        <v>17008946.760000002</v>
      </c>
      <c r="H42" s="3">
        <f t="shared" si="4"/>
        <v>14461272.25604648</v>
      </c>
      <c r="I42" s="3">
        <v>0</v>
      </c>
      <c r="J42" s="3">
        <v>219316.3</v>
      </c>
      <c r="K42" s="3">
        <v>241652.97</v>
      </c>
      <c r="L42" s="3">
        <f t="shared" si="5"/>
        <v>153656.42333333334</v>
      </c>
      <c r="M42" s="3">
        <v>12552713.609999999</v>
      </c>
      <c r="N42" s="3">
        <v>15741979.119999999</v>
      </c>
      <c r="O42" s="3">
        <v>14169003.33</v>
      </c>
      <c r="P42" s="3">
        <f t="shared" si="6"/>
        <v>14154565.353333332</v>
      </c>
      <c r="Q42" s="3">
        <v>45606.74</v>
      </c>
      <c r="R42" s="3">
        <v>1166578.74</v>
      </c>
      <c r="S42" s="3">
        <v>9607.41</v>
      </c>
      <c r="T42" s="3">
        <f t="shared" si="7"/>
        <v>407264.29666666663</v>
      </c>
      <c r="U42" s="12">
        <v>1.0625373799258031</v>
      </c>
      <c r="V42" s="12">
        <v>2.8772645892002462</v>
      </c>
    </row>
    <row r="43" spans="1:22" x14ac:dyDescent="0.3">
      <c r="A43" s="3">
        <v>20302</v>
      </c>
      <c r="B43" s="3" t="s">
        <v>93</v>
      </c>
      <c r="C43" s="3" t="s">
        <v>45</v>
      </c>
      <c r="D43" s="3" t="s">
        <v>92</v>
      </c>
      <c r="E43" s="3">
        <v>8984386.9900000002</v>
      </c>
      <c r="F43" s="3">
        <v>10485008.39289739</v>
      </c>
      <c r="G43" s="3">
        <v>12460986.289999999</v>
      </c>
      <c r="H43" s="3">
        <f t="shared" si="4"/>
        <v>10643460.557632463</v>
      </c>
      <c r="I43" s="3">
        <v>2064.38</v>
      </c>
      <c r="J43" s="3">
        <v>740.71</v>
      </c>
      <c r="K43" s="3">
        <v>23.72</v>
      </c>
      <c r="L43" s="3">
        <f t="shared" si="5"/>
        <v>942.93666666666661</v>
      </c>
      <c r="M43" s="3">
        <v>8743361.4099999964</v>
      </c>
      <c r="N43" s="3">
        <v>10000743.23</v>
      </c>
      <c r="O43" s="3">
        <v>9629736.7100000009</v>
      </c>
      <c r="P43" s="3">
        <f t="shared" si="6"/>
        <v>9457947.1166666653</v>
      </c>
      <c r="Q43" s="3">
        <v>329353.51</v>
      </c>
      <c r="R43" s="3">
        <v>197029.47</v>
      </c>
      <c r="S43" s="3">
        <v>105842.4</v>
      </c>
      <c r="T43" s="3">
        <f t="shared" si="7"/>
        <v>210741.79333333333</v>
      </c>
      <c r="U43" s="12">
        <v>8.8593053129743908E-3</v>
      </c>
      <c r="V43" s="12">
        <v>2.2281980511602462</v>
      </c>
    </row>
    <row r="44" spans="1:22" x14ac:dyDescent="0.3">
      <c r="A44" s="3">
        <v>20303</v>
      </c>
      <c r="B44" s="3" t="s">
        <v>94</v>
      </c>
      <c r="C44" s="3" t="s">
        <v>45</v>
      </c>
      <c r="D44" s="3" t="s">
        <v>92</v>
      </c>
      <c r="E44" s="3">
        <v>3968837.89</v>
      </c>
      <c r="F44" s="3">
        <v>4604719.1786715332</v>
      </c>
      <c r="G44" s="3">
        <v>5476656.0300000003</v>
      </c>
      <c r="H44" s="3">
        <f t="shared" si="4"/>
        <v>4683404.3662238447</v>
      </c>
      <c r="I44" s="3">
        <v>17027.810000000001</v>
      </c>
      <c r="J44" s="3">
        <v>231.94</v>
      </c>
      <c r="K44" s="3">
        <v>6075.02</v>
      </c>
      <c r="L44" s="3">
        <f t="shared" si="5"/>
        <v>7778.2566666666671</v>
      </c>
      <c r="M44" s="3">
        <v>3403084.9699999969</v>
      </c>
      <c r="N44" s="3">
        <v>4187702.85</v>
      </c>
      <c r="O44" s="3">
        <v>3909466.23</v>
      </c>
      <c r="P44" s="3">
        <f t="shared" si="6"/>
        <v>3833418.0166666657</v>
      </c>
      <c r="Q44" s="3">
        <v>98872.36</v>
      </c>
      <c r="R44" s="3">
        <v>337679.91</v>
      </c>
      <c r="S44" s="3">
        <v>169342.99</v>
      </c>
      <c r="T44" s="3">
        <f t="shared" si="7"/>
        <v>201965.08666666667</v>
      </c>
      <c r="U44" s="12">
        <v>0.16608125326018247</v>
      </c>
      <c r="V44" s="12">
        <v>5.2685380459051698</v>
      </c>
    </row>
    <row r="45" spans="1:22" x14ac:dyDescent="0.3">
      <c r="A45" s="3">
        <v>20304</v>
      </c>
      <c r="B45" s="3" t="s">
        <v>95</v>
      </c>
      <c r="C45" s="3" t="s">
        <v>45</v>
      </c>
      <c r="D45" s="3" t="s">
        <v>92</v>
      </c>
      <c r="E45" s="3">
        <v>2861187.8599999989</v>
      </c>
      <c r="F45" s="3">
        <v>3341856.8589611752</v>
      </c>
      <c r="G45" s="3">
        <v>3952681.810000001</v>
      </c>
      <c r="H45" s="3">
        <f t="shared" si="4"/>
        <v>3385242.1763203912</v>
      </c>
      <c r="I45" s="3">
        <v>58716.509999999987</v>
      </c>
      <c r="J45" s="3">
        <v>64245.99</v>
      </c>
      <c r="K45" s="3">
        <v>55304.88</v>
      </c>
      <c r="L45" s="3">
        <f t="shared" si="5"/>
        <v>59422.459999999992</v>
      </c>
      <c r="M45" s="3">
        <v>2764187.5799999968</v>
      </c>
      <c r="N45" s="3">
        <v>3302860.88</v>
      </c>
      <c r="O45" s="3">
        <v>3169327.33</v>
      </c>
      <c r="P45" s="3">
        <f t="shared" si="6"/>
        <v>3078791.9299999992</v>
      </c>
      <c r="Q45" s="3">
        <v>0</v>
      </c>
      <c r="R45" s="3">
        <v>82049.75</v>
      </c>
      <c r="S45" s="3">
        <v>40458</v>
      </c>
      <c r="T45" s="3">
        <f t="shared" si="7"/>
        <v>40835.916666666664</v>
      </c>
      <c r="U45" s="12">
        <v>1.7553385224743236</v>
      </c>
      <c r="V45" s="12">
        <v>1.3263616897510406</v>
      </c>
    </row>
    <row r="46" spans="1:22" x14ac:dyDescent="0.3">
      <c r="A46" s="3">
        <v>20305</v>
      </c>
      <c r="B46" s="3" t="s">
        <v>96</v>
      </c>
      <c r="C46" s="3" t="s">
        <v>45</v>
      </c>
      <c r="D46" s="3" t="s">
        <v>92</v>
      </c>
      <c r="E46" s="3">
        <v>1717884.46</v>
      </c>
      <c r="F46" s="3">
        <v>1991530.852530627</v>
      </c>
      <c r="G46" s="3">
        <v>2363577.8199999998</v>
      </c>
      <c r="H46" s="3">
        <f t="shared" si="4"/>
        <v>2024331.0441768756</v>
      </c>
      <c r="I46" s="3">
        <v>13.95</v>
      </c>
      <c r="J46" s="3">
        <v>8.99</v>
      </c>
      <c r="K46" s="3">
        <v>0</v>
      </c>
      <c r="L46" s="3">
        <f t="shared" si="5"/>
        <v>7.6466666666666656</v>
      </c>
      <c r="M46" s="3">
        <v>4317141.8599999975</v>
      </c>
      <c r="N46" s="3">
        <v>5030088.2199999988</v>
      </c>
      <c r="O46" s="3">
        <v>4886508.46</v>
      </c>
      <c r="P46" s="3">
        <f t="shared" si="6"/>
        <v>4744579.5133333318</v>
      </c>
      <c r="Q46" s="3">
        <v>169</v>
      </c>
      <c r="R46" s="3">
        <v>45</v>
      </c>
      <c r="S46" s="3">
        <v>43</v>
      </c>
      <c r="T46" s="3">
        <f t="shared" si="7"/>
        <v>85.666666666666671</v>
      </c>
      <c r="U46" s="12">
        <v>3.7773795391138305E-4</v>
      </c>
      <c r="V46" s="12">
        <v>1.8055692064159563E-3</v>
      </c>
    </row>
    <row r="47" spans="1:22" x14ac:dyDescent="0.3">
      <c r="A47" s="3">
        <v>20306</v>
      </c>
      <c r="B47" s="3" t="s">
        <v>97</v>
      </c>
      <c r="C47" s="3" t="s">
        <v>45</v>
      </c>
      <c r="D47" s="3" t="s">
        <v>92</v>
      </c>
      <c r="E47" s="3">
        <v>268742.12</v>
      </c>
      <c r="F47" s="3">
        <v>314854.99587818602</v>
      </c>
      <c r="G47" s="3">
        <v>374674.52</v>
      </c>
      <c r="H47" s="3">
        <f t="shared" si="4"/>
        <v>319423.87862606201</v>
      </c>
      <c r="I47" s="3">
        <v>34.82</v>
      </c>
      <c r="J47" s="3">
        <v>24.94</v>
      </c>
      <c r="K47" s="3">
        <v>45.04</v>
      </c>
      <c r="L47" s="3">
        <f t="shared" si="5"/>
        <v>34.933333333333337</v>
      </c>
      <c r="M47" s="3">
        <v>533732.79999999946</v>
      </c>
      <c r="N47" s="3">
        <v>654793.73</v>
      </c>
      <c r="O47" s="3">
        <v>637053.75</v>
      </c>
      <c r="P47" s="3">
        <f t="shared" si="6"/>
        <v>608526.75999999978</v>
      </c>
      <c r="Q47" s="3">
        <v>7156.5</v>
      </c>
      <c r="R47" s="3">
        <v>41141</v>
      </c>
      <c r="S47" s="3">
        <v>40934</v>
      </c>
      <c r="T47" s="3">
        <f t="shared" si="7"/>
        <v>29743.833333333332</v>
      </c>
      <c r="U47" s="12">
        <v>1.0936356256016955E-2</v>
      </c>
      <c r="V47" s="12">
        <v>4.8878431136427496</v>
      </c>
    </row>
    <row r="48" spans="1:22" x14ac:dyDescent="0.3">
      <c r="A48" s="3">
        <v>20307</v>
      </c>
      <c r="B48" s="3" t="s">
        <v>98</v>
      </c>
      <c r="C48" s="3" t="s">
        <v>45</v>
      </c>
      <c r="D48" s="3" t="s">
        <v>92</v>
      </c>
      <c r="E48" s="3">
        <v>8411389.3800000008</v>
      </c>
      <c r="F48" s="3">
        <v>9751910.1396110803</v>
      </c>
      <c r="G48" s="3">
        <v>11649801.140000001</v>
      </c>
      <c r="H48" s="3">
        <f t="shared" si="4"/>
        <v>9937700.2198703606</v>
      </c>
      <c r="I48" s="3">
        <v>25787.42</v>
      </c>
      <c r="J48" s="3">
        <v>24668.46</v>
      </c>
      <c r="K48" s="3">
        <v>104349.86</v>
      </c>
      <c r="L48" s="3">
        <f t="shared" si="5"/>
        <v>51601.91333333333</v>
      </c>
      <c r="M48" s="3">
        <v>6339235.4899999974</v>
      </c>
      <c r="N48" s="3">
        <v>7449098.9600000009</v>
      </c>
      <c r="O48" s="3">
        <v>7136642.3200000003</v>
      </c>
      <c r="P48" s="3">
        <f t="shared" si="6"/>
        <v>6974992.2566666668</v>
      </c>
      <c r="Q48" s="3">
        <v>131323.20000000001</v>
      </c>
      <c r="R48" s="3">
        <v>215823</v>
      </c>
      <c r="S48" s="3">
        <v>109824.82</v>
      </c>
      <c r="T48" s="3">
        <f t="shared" si="7"/>
        <v>152323.67333333334</v>
      </c>
      <c r="U48" s="12">
        <v>0.51925407480249475</v>
      </c>
      <c r="V48" s="12">
        <v>2.1838543718488439</v>
      </c>
    </row>
    <row r="49" spans="1:22" x14ac:dyDescent="0.3">
      <c r="A49" s="3">
        <v>20308</v>
      </c>
      <c r="B49" s="3" t="s">
        <v>99</v>
      </c>
      <c r="C49" s="3" t="s">
        <v>45</v>
      </c>
      <c r="D49" s="3" t="s">
        <v>92</v>
      </c>
      <c r="E49" s="3">
        <v>13831479.300000001</v>
      </c>
      <c r="F49" s="3">
        <v>15761120.76872973</v>
      </c>
      <c r="G49" s="3">
        <v>18729366.210000001</v>
      </c>
      <c r="H49" s="3">
        <f t="shared" si="4"/>
        <v>16107322.09290991</v>
      </c>
      <c r="I49" s="3">
        <v>56742.600000000013</v>
      </c>
      <c r="J49" s="3">
        <v>42100.92</v>
      </c>
      <c r="K49" s="3">
        <v>59467.81</v>
      </c>
      <c r="L49" s="3">
        <f t="shared" si="5"/>
        <v>52770.443333333336</v>
      </c>
      <c r="M49" s="3">
        <v>10310721.669999991</v>
      </c>
      <c r="N49" s="3">
        <v>12443457.67</v>
      </c>
      <c r="O49" s="3">
        <v>12174707.18</v>
      </c>
      <c r="P49" s="3">
        <f t="shared" si="6"/>
        <v>11642962.17333333</v>
      </c>
      <c r="Q49" s="3">
        <v>679229.5</v>
      </c>
      <c r="R49" s="3">
        <v>1239400.54</v>
      </c>
      <c r="S49" s="3">
        <v>1290435.67</v>
      </c>
      <c r="T49" s="3">
        <f t="shared" si="7"/>
        <v>1069688.57</v>
      </c>
      <c r="U49" s="12">
        <v>0.32761773204101835</v>
      </c>
      <c r="V49" s="12">
        <v>9.1874263102046374</v>
      </c>
    </row>
    <row r="50" spans="1:22" x14ac:dyDescent="0.3">
      <c r="A50" s="3">
        <v>20401</v>
      </c>
      <c r="B50" s="3" t="s">
        <v>100</v>
      </c>
      <c r="C50" s="3" t="s">
        <v>45</v>
      </c>
      <c r="D50" s="3" t="s">
        <v>101</v>
      </c>
      <c r="E50" s="3">
        <v>17855972.629999999</v>
      </c>
      <c r="F50" s="3">
        <v>20712571.184464689</v>
      </c>
      <c r="G50" s="3">
        <v>24601971.460000001</v>
      </c>
      <c r="H50" s="3">
        <f t="shared" si="4"/>
        <v>21056838.424821563</v>
      </c>
      <c r="I50" s="3">
        <v>2600.64</v>
      </c>
      <c r="J50" s="3">
        <v>7097.94</v>
      </c>
      <c r="K50" s="3">
        <v>27488.61</v>
      </c>
      <c r="L50" s="3">
        <f t="shared" si="5"/>
        <v>12395.730000000001</v>
      </c>
      <c r="M50" s="3">
        <v>13349059.75999999</v>
      </c>
      <c r="N50" s="3">
        <v>15622567.84</v>
      </c>
      <c r="O50" s="3">
        <v>15201604.810000001</v>
      </c>
      <c r="P50" s="3">
        <f t="shared" si="6"/>
        <v>14724410.803333329</v>
      </c>
      <c r="Q50" s="3">
        <v>24185.5</v>
      </c>
      <c r="R50" s="3">
        <v>76555</v>
      </c>
      <c r="S50" s="3">
        <v>99297.89</v>
      </c>
      <c r="T50" s="3">
        <f t="shared" si="7"/>
        <v>66679.463333333333</v>
      </c>
      <c r="U50" s="12">
        <v>5.8867954200513099E-2</v>
      </c>
      <c r="V50" s="12">
        <v>0.45284978953615146</v>
      </c>
    </row>
    <row r="51" spans="1:22" x14ac:dyDescent="0.3">
      <c r="A51" s="3">
        <v>20402</v>
      </c>
      <c r="B51" s="3" t="s">
        <v>102</v>
      </c>
      <c r="C51" s="3" t="s">
        <v>45</v>
      </c>
      <c r="D51" s="3" t="s">
        <v>101</v>
      </c>
      <c r="E51" s="3">
        <v>15394665.83</v>
      </c>
      <c r="F51" s="3">
        <v>17868551.384663109</v>
      </c>
      <c r="G51" s="3">
        <v>21817516.600000001</v>
      </c>
      <c r="H51" s="3">
        <f t="shared" si="4"/>
        <v>18360244.604887705</v>
      </c>
      <c r="I51" s="3">
        <v>392112.5</v>
      </c>
      <c r="J51" s="3">
        <v>367233.96</v>
      </c>
      <c r="K51" s="3">
        <v>1020880.21</v>
      </c>
      <c r="L51" s="3">
        <f t="shared" si="5"/>
        <v>593408.89</v>
      </c>
      <c r="M51" s="3">
        <v>13833803.159999991</v>
      </c>
      <c r="N51" s="3">
        <v>15628354.4</v>
      </c>
      <c r="O51" s="3">
        <v>15437382.939999999</v>
      </c>
      <c r="P51" s="3">
        <f t="shared" si="6"/>
        <v>14966513.499999998</v>
      </c>
      <c r="Q51" s="3">
        <v>1409254.24</v>
      </c>
      <c r="R51" s="3">
        <v>1150213.8400000001</v>
      </c>
      <c r="S51" s="3">
        <v>1372470.87</v>
      </c>
      <c r="T51" s="3">
        <f t="shared" si="7"/>
        <v>1310646.3166666667</v>
      </c>
      <c r="U51" s="12">
        <v>3.2320315048636541</v>
      </c>
      <c r="V51" s="12">
        <v>8.7571919583453219</v>
      </c>
    </row>
    <row r="52" spans="1:22" x14ac:dyDescent="0.3">
      <c r="A52" s="3">
        <v>20403</v>
      </c>
      <c r="B52" s="3" t="s">
        <v>103</v>
      </c>
      <c r="C52" s="3" t="s">
        <v>45</v>
      </c>
      <c r="D52" s="3" t="s">
        <v>101</v>
      </c>
      <c r="E52" s="3">
        <v>5527428.209999999</v>
      </c>
      <c r="F52" s="3">
        <v>6654434.3501468822</v>
      </c>
      <c r="G52" s="3">
        <v>7896398.1800000006</v>
      </c>
      <c r="H52" s="3">
        <f t="shared" si="4"/>
        <v>6692753.5800489606</v>
      </c>
      <c r="I52" s="3">
        <v>2360</v>
      </c>
      <c r="J52" s="3">
        <v>83.99</v>
      </c>
      <c r="K52" s="3">
        <v>603.99</v>
      </c>
      <c r="L52" s="3">
        <f t="shared" si="5"/>
        <v>1015.9933333333332</v>
      </c>
      <c r="M52" s="3">
        <v>4590774.7399999956</v>
      </c>
      <c r="N52" s="3">
        <v>5356758.1900000004</v>
      </c>
      <c r="O52" s="3">
        <v>5231672.1499999994</v>
      </c>
      <c r="P52" s="3">
        <f t="shared" si="6"/>
        <v>5059735.0266666645</v>
      </c>
      <c r="Q52" s="3">
        <v>44283.360000000001</v>
      </c>
      <c r="R52" s="3">
        <v>55777.440000000002</v>
      </c>
      <c r="S52" s="3">
        <v>82001.87</v>
      </c>
      <c r="T52" s="3">
        <f t="shared" si="7"/>
        <v>60687.556666666664</v>
      </c>
      <c r="U52" s="12">
        <v>1.5180498148953227E-2</v>
      </c>
      <c r="V52" s="12">
        <v>1.1994216366434391</v>
      </c>
    </row>
    <row r="53" spans="1:22" x14ac:dyDescent="0.3">
      <c r="A53" s="3">
        <v>20404</v>
      </c>
      <c r="B53" s="3" t="s">
        <v>148</v>
      </c>
      <c r="C53" s="3" t="s">
        <v>45</v>
      </c>
      <c r="D53" s="3" t="s">
        <v>101</v>
      </c>
      <c r="E53" s="3">
        <v>7439434.290000001</v>
      </c>
      <c r="F53" s="3">
        <v>8750702.5196263194</v>
      </c>
      <c r="G53" s="3">
        <v>10405308.9</v>
      </c>
      <c r="H53" s="3">
        <f t="shared" si="4"/>
        <v>8865148.5698754396</v>
      </c>
      <c r="I53" s="3">
        <v>14583.94</v>
      </c>
      <c r="J53" s="3">
        <v>72842.400000000009</v>
      </c>
      <c r="K53" s="3">
        <v>102373</v>
      </c>
      <c r="L53" s="3">
        <f t="shared" si="5"/>
        <v>63266.446666666678</v>
      </c>
      <c r="M53" s="3">
        <v>6220985.5799999963</v>
      </c>
      <c r="N53" s="3">
        <v>7193503.5999999996</v>
      </c>
      <c r="O53" s="3">
        <v>7052391.7300000004</v>
      </c>
      <c r="P53" s="3">
        <f t="shared" si="6"/>
        <v>6822293.6366666658</v>
      </c>
      <c r="Q53" s="3">
        <v>100806.7</v>
      </c>
      <c r="R53" s="3">
        <v>62450.5</v>
      </c>
      <c r="S53" s="3">
        <v>124879.6</v>
      </c>
      <c r="T53" s="3">
        <f t="shared" si="7"/>
        <v>96045.60000000002</v>
      </c>
      <c r="U53" s="12">
        <v>0.71365354080643018</v>
      </c>
      <c r="V53" s="12">
        <v>1.4078197907489562</v>
      </c>
    </row>
    <row r="54" spans="1:22" x14ac:dyDescent="0.3">
      <c r="A54" s="3">
        <v>20405</v>
      </c>
      <c r="B54" s="3" t="s">
        <v>147</v>
      </c>
      <c r="C54" s="3" t="s">
        <v>45</v>
      </c>
      <c r="D54" s="3" t="s">
        <v>101</v>
      </c>
      <c r="E54" s="3">
        <v>13253970.1</v>
      </c>
      <c r="F54" s="3">
        <v>15427757.5671033</v>
      </c>
      <c r="G54" s="3">
        <v>18329082.280000001</v>
      </c>
      <c r="H54" s="3">
        <f t="shared" si="4"/>
        <v>15670269.982367767</v>
      </c>
      <c r="I54" s="3">
        <v>425.77</v>
      </c>
      <c r="J54" s="3">
        <v>34300.61</v>
      </c>
      <c r="K54" s="3">
        <v>53263.38</v>
      </c>
      <c r="L54" s="3">
        <f t="shared" si="5"/>
        <v>29329.919999999998</v>
      </c>
      <c r="M54" s="3">
        <v>11709858.220000001</v>
      </c>
      <c r="N54" s="3">
        <v>12220557.699999999</v>
      </c>
      <c r="O54" s="3">
        <v>11179872.57</v>
      </c>
      <c r="P54" s="3">
        <f t="shared" si="6"/>
        <v>11703429.496666668</v>
      </c>
      <c r="Q54" s="3">
        <v>1938351.05</v>
      </c>
      <c r="R54" s="3">
        <v>834882.93</v>
      </c>
      <c r="S54" s="3">
        <v>119166.64</v>
      </c>
      <c r="T54" s="3">
        <f t="shared" si="7"/>
        <v>964133.54</v>
      </c>
      <c r="U54" s="12">
        <v>0.18716920661227987</v>
      </c>
      <c r="V54" s="12">
        <v>8.2380428768729832</v>
      </c>
    </row>
    <row r="55" spans="1:22" x14ac:dyDescent="0.3">
      <c r="A55" s="3">
        <v>20501</v>
      </c>
      <c r="B55" s="3" t="s">
        <v>87</v>
      </c>
      <c r="C55" s="3" t="s">
        <v>45</v>
      </c>
      <c r="D55" s="3" t="s">
        <v>88</v>
      </c>
      <c r="E55" s="3">
        <v>8329143.2199999997</v>
      </c>
      <c r="F55" s="3">
        <v>9562104.9486220814</v>
      </c>
      <c r="G55" s="3">
        <v>11578652.949999999</v>
      </c>
      <c r="H55" s="3">
        <f t="shared" si="4"/>
        <v>9823300.3728740271</v>
      </c>
      <c r="I55" s="3">
        <v>6735.2499999999991</v>
      </c>
      <c r="J55" s="3">
        <v>5574.09</v>
      </c>
      <c r="K55" s="3">
        <v>265219.06</v>
      </c>
      <c r="L55" s="3">
        <f t="shared" si="5"/>
        <v>92509.466666666674</v>
      </c>
      <c r="M55" s="3">
        <v>7235190.0199999968</v>
      </c>
      <c r="N55" s="3">
        <v>8448358.0700000003</v>
      </c>
      <c r="O55" s="3">
        <v>8291239.3300000001</v>
      </c>
      <c r="P55" s="3">
        <f t="shared" si="6"/>
        <v>7991595.8066666648</v>
      </c>
      <c r="Q55" s="3">
        <v>73545.59</v>
      </c>
      <c r="R55" s="3">
        <v>102548.71</v>
      </c>
      <c r="S55" s="3">
        <v>183640.51</v>
      </c>
      <c r="T55" s="3">
        <f t="shared" si="7"/>
        <v>119911.60333333333</v>
      </c>
      <c r="U55" s="12">
        <v>0.94173509060276206</v>
      </c>
      <c r="V55" s="12">
        <v>1.5004713230529245</v>
      </c>
    </row>
    <row r="56" spans="1:22" x14ac:dyDescent="0.3">
      <c r="A56" s="3">
        <v>20502</v>
      </c>
      <c r="B56" s="3" t="s">
        <v>89</v>
      </c>
      <c r="C56" s="3" t="s">
        <v>45</v>
      </c>
      <c r="D56" s="3" t="s">
        <v>88</v>
      </c>
      <c r="E56" s="3">
        <v>4372063.96</v>
      </c>
      <c r="F56" s="3">
        <v>5037988.0291094407</v>
      </c>
      <c r="G56" s="3">
        <v>7410131.3200000003</v>
      </c>
      <c r="H56" s="3">
        <f t="shared" si="4"/>
        <v>5606727.769703147</v>
      </c>
      <c r="I56" s="3">
        <v>0</v>
      </c>
      <c r="J56" s="3">
        <v>1368.04</v>
      </c>
      <c r="K56" s="3">
        <v>1441153.28</v>
      </c>
      <c r="L56" s="3">
        <f t="shared" si="5"/>
        <v>480840.44</v>
      </c>
      <c r="M56" s="3">
        <v>5012788.8699999955</v>
      </c>
      <c r="N56" s="3">
        <v>6167111.040000001</v>
      </c>
      <c r="O56" s="3">
        <v>5611089.3200000003</v>
      </c>
      <c r="P56" s="3">
        <f t="shared" si="6"/>
        <v>5596996.4099999992</v>
      </c>
      <c r="Q56" s="3">
        <v>335155.03999999998</v>
      </c>
      <c r="R56" s="3">
        <v>714285.71</v>
      </c>
      <c r="S56" s="3">
        <v>313908.06</v>
      </c>
      <c r="T56" s="3">
        <f t="shared" si="7"/>
        <v>454449.60333333333</v>
      </c>
      <c r="U56" s="12">
        <v>8.5761331698374672</v>
      </c>
      <c r="V56" s="12">
        <v>8.119526439598582</v>
      </c>
    </row>
    <row r="57" spans="1:22" x14ac:dyDescent="0.3">
      <c r="A57" s="3">
        <v>20503</v>
      </c>
      <c r="B57" s="3" t="s">
        <v>90</v>
      </c>
      <c r="C57" s="3" t="s">
        <v>45</v>
      </c>
      <c r="D57" s="3" t="s">
        <v>88</v>
      </c>
      <c r="E57" s="3">
        <v>19739330.68</v>
      </c>
      <c r="F57" s="3">
        <v>23146516.77522704</v>
      </c>
      <c r="G57" s="3">
        <v>28358166.129999999</v>
      </c>
      <c r="H57" s="3">
        <f t="shared" si="4"/>
        <v>23748004.528409015</v>
      </c>
      <c r="I57" s="3">
        <v>482790.3</v>
      </c>
      <c r="J57" s="3">
        <v>658510.73</v>
      </c>
      <c r="K57" s="3">
        <v>1760655.06</v>
      </c>
      <c r="L57" s="3">
        <f t="shared" si="5"/>
        <v>967318.69666666666</v>
      </c>
      <c r="M57" s="3">
        <v>26605562.199999981</v>
      </c>
      <c r="N57" s="3">
        <v>28905202.780000001</v>
      </c>
      <c r="O57" s="3">
        <v>27072027.050000001</v>
      </c>
      <c r="P57" s="3">
        <f t="shared" si="6"/>
        <v>27527597.34333333</v>
      </c>
      <c r="Q57" s="3">
        <v>6588778.8599999975</v>
      </c>
      <c r="R57" s="3">
        <v>5571456.0100000007</v>
      </c>
      <c r="S57" s="3">
        <v>4404249.9400000004</v>
      </c>
      <c r="T57" s="3">
        <f t="shared" si="7"/>
        <v>5521494.9366666665</v>
      </c>
      <c r="U57" s="12">
        <v>4.0732630630480671</v>
      </c>
      <c r="V57" s="12">
        <v>20.058034371110377</v>
      </c>
    </row>
    <row r="58" spans="1:22" x14ac:dyDescent="0.3">
      <c r="A58" s="3">
        <v>20601</v>
      </c>
      <c r="B58" s="3" t="s">
        <v>76</v>
      </c>
      <c r="C58" s="3" t="s">
        <v>45</v>
      </c>
      <c r="D58" s="3" t="s">
        <v>77</v>
      </c>
      <c r="E58" s="3">
        <v>11645484.9</v>
      </c>
      <c r="F58" s="3">
        <v>13938520.552171949</v>
      </c>
      <c r="G58" s="3">
        <v>18912561.890000001</v>
      </c>
      <c r="H58" s="3">
        <f t="shared" si="4"/>
        <v>14832189.114057317</v>
      </c>
      <c r="I58" s="3">
        <v>223683.25</v>
      </c>
      <c r="J58" s="3">
        <v>463625.14</v>
      </c>
      <c r="K58" s="3">
        <v>2859851.37</v>
      </c>
      <c r="L58" s="3">
        <f t="shared" si="5"/>
        <v>1182386.5866666667</v>
      </c>
      <c r="M58" s="3">
        <v>29082358.219999991</v>
      </c>
      <c r="N58" s="3">
        <v>23094450.940000001</v>
      </c>
      <c r="O58" s="3">
        <v>20649303.91</v>
      </c>
      <c r="P58" s="3">
        <f t="shared" si="6"/>
        <v>24275371.02333333</v>
      </c>
      <c r="Q58" s="3">
        <v>16486989.109999999</v>
      </c>
      <c r="R58" s="3">
        <v>8418813.4000000004</v>
      </c>
      <c r="S58" s="3">
        <v>6392531.5799999991</v>
      </c>
      <c r="T58" s="3">
        <f t="shared" si="7"/>
        <v>10432778.029999999</v>
      </c>
      <c r="U58" s="12">
        <v>7.9717604567625902</v>
      </c>
      <c r="V58" s="12">
        <v>42.976801549076555</v>
      </c>
    </row>
    <row r="59" spans="1:22" x14ac:dyDescent="0.3">
      <c r="A59" s="3">
        <v>20602</v>
      </c>
      <c r="B59" s="3" t="s">
        <v>78</v>
      </c>
      <c r="C59" s="3" t="s">
        <v>45</v>
      </c>
      <c r="D59" s="3" t="s">
        <v>77</v>
      </c>
      <c r="E59" s="3">
        <v>6732754.79</v>
      </c>
      <c r="F59" s="3">
        <v>7684030.8854486421</v>
      </c>
      <c r="G59" s="3">
        <v>9905337.6400000006</v>
      </c>
      <c r="H59" s="3">
        <f t="shared" si="4"/>
        <v>8107374.4384828806</v>
      </c>
      <c r="I59" s="3">
        <v>380986.01</v>
      </c>
      <c r="J59" s="3">
        <v>255067.71</v>
      </c>
      <c r="K59" s="3">
        <v>1071749.2</v>
      </c>
      <c r="L59" s="3">
        <f t="shared" si="5"/>
        <v>569267.64</v>
      </c>
      <c r="M59" s="3">
        <v>9613902.2299999967</v>
      </c>
      <c r="N59" s="3">
        <v>11437668.359999999</v>
      </c>
      <c r="O59" s="3">
        <v>9467796.0199999996</v>
      </c>
      <c r="P59" s="3">
        <f t="shared" si="6"/>
        <v>10173122.203333331</v>
      </c>
      <c r="Q59" s="3">
        <v>2648581.1400000011</v>
      </c>
      <c r="R59" s="3">
        <v>3318137.55</v>
      </c>
      <c r="S59" s="3">
        <v>1580017.84</v>
      </c>
      <c r="T59" s="3">
        <f t="shared" si="7"/>
        <v>2515578.8433333337</v>
      </c>
      <c r="U59" s="12">
        <v>7.0216029162028697</v>
      </c>
      <c r="V59" s="12">
        <v>24.727697092924704</v>
      </c>
    </row>
    <row r="60" spans="1:22" x14ac:dyDescent="0.3">
      <c r="A60" s="3">
        <v>20603</v>
      </c>
      <c r="B60" s="3" t="s">
        <v>79</v>
      </c>
      <c r="C60" s="3" t="s">
        <v>45</v>
      </c>
      <c r="D60" s="3" t="s">
        <v>77</v>
      </c>
      <c r="E60" s="3">
        <v>3170091.15</v>
      </c>
      <c r="F60" s="3">
        <v>3679812.2384246239</v>
      </c>
      <c r="G60" s="3">
        <v>4213250.8099999996</v>
      </c>
      <c r="H60" s="3">
        <f t="shared" si="4"/>
        <v>3687718.0661415407</v>
      </c>
      <c r="I60" s="3">
        <v>487358.81999999989</v>
      </c>
      <c r="J60" s="3">
        <v>571705.89</v>
      </c>
      <c r="K60" s="3">
        <v>391821.61</v>
      </c>
      <c r="L60" s="3">
        <f t="shared" si="5"/>
        <v>483628.77333333326</v>
      </c>
      <c r="M60" s="3">
        <v>2297680.6399999992</v>
      </c>
      <c r="N60" s="3">
        <v>2848013.85</v>
      </c>
      <c r="O60" s="3">
        <v>2822882.01</v>
      </c>
      <c r="P60" s="3">
        <f t="shared" si="6"/>
        <v>2656192.1666666665</v>
      </c>
      <c r="Q60" s="3">
        <v>12190.39</v>
      </c>
      <c r="R60" s="3">
        <v>184957.91</v>
      </c>
      <c r="S60" s="3">
        <v>235849.49</v>
      </c>
      <c r="T60" s="3">
        <f t="shared" si="7"/>
        <v>144332.59666666665</v>
      </c>
      <c r="U60" s="12">
        <v>13.114581013492554</v>
      </c>
      <c r="V60" s="12">
        <v>5.4338160648893812</v>
      </c>
    </row>
    <row r="61" spans="1:22" x14ac:dyDescent="0.3">
      <c r="A61" s="3">
        <v>20604</v>
      </c>
      <c r="B61" s="3" t="s">
        <v>81</v>
      </c>
      <c r="C61" s="3" t="s">
        <v>45</v>
      </c>
      <c r="D61" s="3" t="s">
        <v>77</v>
      </c>
      <c r="E61" s="3">
        <v>2782812.85</v>
      </c>
      <c r="F61" s="3">
        <v>3229345.9049593601</v>
      </c>
      <c r="G61" s="3">
        <v>3833425.33</v>
      </c>
      <c r="H61" s="3">
        <f t="shared" si="4"/>
        <v>3281861.3616531198</v>
      </c>
      <c r="I61" s="3">
        <v>19.96</v>
      </c>
      <c r="J61" s="3">
        <v>0</v>
      </c>
      <c r="K61" s="3">
        <v>0</v>
      </c>
      <c r="L61" s="3">
        <f t="shared" si="5"/>
        <v>6.6533333333333333</v>
      </c>
      <c r="M61" s="3">
        <v>3179268.6599999969</v>
      </c>
      <c r="N61" s="3">
        <v>3726148.85</v>
      </c>
      <c r="O61" s="3">
        <v>3614393.13</v>
      </c>
      <c r="P61" s="3">
        <f t="shared" si="6"/>
        <v>3506603.5466666655</v>
      </c>
      <c r="Q61" s="3">
        <v>1970</v>
      </c>
      <c r="R61" s="3">
        <v>24000.02</v>
      </c>
      <c r="S61" s="3">
        <v>17923.79</v>
      </c>
      <c r="T61" s="3">
        <f t="shared" si="7"/>
        <v>14631.269999999999</v>
      </c>
      <c r="U61" s="12">
        <v>2.0273048127730648E-4</v>
      </c>
      <c r="V61" s="12">
        <v>0.41724905040686178</v>
      </c>
    </row>
    <row r="62" spans="1:22" x14ac:dyDescent="0.3">
      <c r="A62" s="3">
        <v>20605</v>
      </c>
      <c r="B62" s="3" t="s">
        <v>82</v>
      </c>
      <c r="C62" s="3" t="s">
        <v>45</v>
      </c>
      <c r="D62" s="3" t="s">
        <v>77</v>
      </c>
      <c r="E62" s="3">
        <v>9389989.3900000006</v>
      </c>
      <c r="F62" s="3">
        <v>10961250.02488357</v>
      </c>
      <c r="G62" s="3">
        <v>16025803.960000001</v>
      </c>
      <c r="H62" s="3">
        <f t="shared" si="4"/>
        <v>12125681.12496119</v>
      </c>
      <c r="I62" s="3">
        <v>329036.15000000002</v>
      </c>
      <c r="J62" s="3">
        <v>191055.95</v>
      </c>
      <c r="K62" s="3">
        <v>3174748.28</v>
      </c>
      <c r="L62" s="3">
        <f t="shared" si="5"/>
        <v>1231613.46</v>
      </c>
      <c r="M62" s="3">
        <v>9386878.1899999939</v>
      </c>
      <c r="N62" s="3">
        <v>12103132.210000001</v>
      </c>
      <c r="O62" s="3">
        <v>15591617.57</v>
      </c>
      <c r="P62" s="3">
        <f t="shared" si="6"/>
        <v>12360542.656666666</v>
      </c>
      <c r="Q62" s="3">
        <v>882582.65000000014</v>
      </c>
      <c r="R62" s="3">
        <v>2194219.439999999</v>
      </c>
      <c r="S62" s="3">
        <v>5965526.6600000001</v>
      </c>
      <c r="T62" s="3">
        <f t="shared" si="7"/>
        <v>3014109.5833333335</v>
      </c>
      <c r="U62" s="12">
        <v>10.157066207725647</v>
      </c>
      <c r="V62" s="12">
        <v>24.384929262856204</v>
      </c>
    </row>
    <row r="63" spans="1:22" x14ac:dyDescent="0.3">
      <c r="A63" s="3">
        <v>20606</v>
      </c>
      <c r="B63" s="3" t="s">
        <v>80</v>
      </c>
      <c r="C63" s="3" t="s">
        <v>45</v>
      </c>
      <c r="D63" s="3" t="s">
        <v>77</v>
      </c>
      <c r="E63" s="3">
        <v>9925202.5800000001</v>
      </c>
      <c r="F63" s="3">
        <v>11813521.327350089</v>
      </c>
      <c r="G63" s="3">
        <v>15603213.43</v>
      </c>
      <c r="H63" s="3">
        <f t="shared" si="4"/>
        <v>12447312.445783362</v>
      </c>
      <c r="I63" s="3">
        <v>267254.12999999989</v>
      </c>
      <c r="J63" s="3">
        <v>470996.84</v>
      </c>
      <c r="K63" s="3">
        <v>2104344.15</v>
      </c>
      <c r="L63" s="3">
        <f t="shared" si="5"/>
        <v>947531.70666666667</v>
      </c>
      <c r="M63" s="3">
        <v>16747655.050000001</v>
      </c>
      <c r="N63" s="3">
        <v>19926093.420000002</v>
      </c>
      <c r="O63" s="3">
        <v>18392532.059999999</v>
      </c>
      <c r="P63" s="3">
        <f t="shared" si="6"/>
        <v>18355426.843333334</v>
      </c>
      <c r="Q63" s="3">
        <v>4917740.16</v>
      </c>
      <c r="R63" s="3">
        <v>6140681.1899999985</v>
      </c>
      <c r="S63" s="3">
        <v>5000577.7</v>
      </c>
      <c r="T63" s="3">
        <f t="shared" si="7"/>
        <v>5352999.6833333327</v>
      </c>
      <c r="U63" s="12">
        <v>7.6123396981783928</v>
      </c>
      <c r="V63" s="12">
        <v>29.163035700679089</v>
      </c>
    </row>
    <row r="64" spans="1:22" x14ac:dyDescent="0.3">
      <c r="A64" s="3">
        <v>20607</v>
      </c>
      <c r="B64" s="3" t="s">
        <v>140</v>
      </c>
      <c r="C64" s="3" t="s">
        <v>45</v>
      </c>
      <c r="D64" s="3" t="s">
        <v>77</v>
      </c>
      <c r="E64" s="3">
        <v>7369201.6200000001</v>
      </c>
      <c r="F64" s="3">
        <v>8523886.2852816321</v>
      </c>
      <c r="G64" s="3">
        <v>10472624.25</v>
      </c>
      <c r="H64" s="3">
        <f t="shared" si="4"/>
        <v>8788570.718427211</v>
      </c>
      <c r="I64" s="3">
        <v>223618.07</v>
      </c>
      <c r="J64" s="3">
        <v>140771.9</v>
      </c>
      <c r="K64" s="3">
        <v>497817.38</v>
      </c>
      <c r="L64" s="3">
        <f t="shared" si="5"/>
        <v>287402.45</v>
      </c>
      <c r="M64" s="3">
        <v>8794888.929999996</v>
      </c>
      <c r="N64" s="3">
        <v>12664301.689999999</v>
      </c>
      <c r="O64" s="3">
        <v>18119436.48</v>
      </c>
      <c r="P64" s="3">
        <f t="shared" si="6"/>
        <v>13192875.699999997</v>
      </c>
      <c r="Q64" s="3">
        <v>811366.7300000001</v>
      </c>
      <c r="R64" s="3">
        <v>3386584.65</v>
      </c>
      <c r="S64" s="3">
        <v>9106526.6999999993</v>
      </c>
      <c r="T64" s="3">
        <f t="shared" si="7"/>
        <v>4434826.0266666664</v>
      </c>
      <c r="U64" s="12">
        <v>3.2701841881683475</v>
      </c>
      <c r="V64" s="12">
        <v>33.615309713458963</v>
      </c>
    </row>
    <row r="65" spans="1:22" x14ac:dyDescent="0.3">
      <c r="A65" s="3">
        <v>20608</v>
      </c>
      <c r="B65" s="3" t="s">
        <v>141</v>
      </c>
      <c r="C65" s="3" t="s">
        <v>45</v>
      </c>
      <c r="D65" s="3" t="s">
        <v>77</v>
      </c>
      <c r="E65" s="3">
        <v>14215930.98</v>
      </c>
      <c r="F65" s="3">
        <v>16285773.070150159</v>
      </c>
      <c r="G65" s="3">
        <v>19432335.670000002</v>
      </c>
      <c r="H65" s="3">
        <f t="shared" si="4"/>
        <v>16644679.906716719</v>
      </c>
      <c r="I65" s="3">
        <v>370339.67</v>
      </c>
      <c r="J65" s="3">
        <v>270857.69</v>
      </c>
      <c r="K65" s="3">
        <v>436015.57</v>
      </c>
      <c r="L65" s="3">
        <f t="shared" si="5"/>
        <v>359070.97666666663</v>
      </c>
      <c r="M65" s="3">
        <v>18694662.70999999</v>
      </c>
      <c r="N65" s="3">
        <v>21686950.07</v>
      </c>
      <c r="O65" s="3">
        <v>20961440.539999999</v>
      </c>
      <c r="P65" s="3">
        <f t="shared" si="6"/>
        <v>20447684.439999994</v>
      </c>
      <c r="Q65" s="3">
        <v>1399235.37</v>
      </c>
      <c r="R65" s="3">
        <v>1533004</v>
      </c>
      <c r="S65" s="3">
        <v>1382711.86</v>
      </c>
      <c r="T65" s="3">
        <f t="shared" si="7"/>
        <v>1438317.0766666669</v>
      </c>
      <c r="U65" s="12">
        <v>2.1572717449601946</v>
      </c>
      <c r="V65" s="12">
        <v>7.0341318152045353</v>
      </c>
    </row>
    <row r="66" spans="1:22" x14ac:dyDescent="0.3">
      <c r="A66" s="3">
        <v>20701</v>
      </c>
      <c r="B66" s="3" t="s">
        <v>104</v>
      </c>
      <c r="C66" s="3" t="s">
        <v>45</v>
      </c>
      <c r="D66" s="3" t="s">
        <v>105</v>
      </c>
      <c r="E66" s="3">
        <v>5278780.2699999996</v>
      </c>
      <c r="F66" s="3">
        <v>6212646.0881878166</v>
      </c>
      <c r="G66" s="3">
        <v>8470527.4600000009</v>
      </c>
      <c r="H66" s="3">
        <f t="shared" ref="H66:H97" si="8">AVERAGE(E66:G66)</f>
        <v>6653984.606062606</v>
      </c>
      <c r="I66" s="3">
        <v>45269</v>
      </c>
      <c r="J66" s="3">
        <v>114490.85</v>
      </c>
      <c r="K66" s="3">
        <v>1225286.42</v>
      </c>
      <c r="L66" s="3">
        <f t="shared" ref="L66:L97" si="9">AVERAGE(I66:K66)</f>
        <v>461682.09</v>
      </c>
      <c r="M66" s="3">
        <v>10195077.75</v>
      </c>
      <c r="N66" s="3">
        <v>12631751.960000001</v>
      </c>
      <c r="O66" s="3">
        <v>9080957.9499999993</v>
      </c>
      <c r="P66" s="3">
        <f t="shared" ref="P66:P97" si="10">AVERAGE(M66:O66)</f>
        <v>10635929.220000001</v>
      </c>
      <c r="Q66" s="3">
        <v>4420719.2100000009</v>
      </c>
      <c r="R66" s="3">
        <v>5903632.2400000002</v>
      </c>
      <c r="S66" s="3">
        <v>2544879.5</v>
      </c>
      <c r="T66" s="3">
        <f t="shared" ref="T66:T97" si="11">AVERAGE(Q66:S66)</f>
        <v>4289743.6500000004</v>
      </c>
      <c r="U66" s="12">
        <v>6.9384303892039414</v>
      </c>
      <c r="V66" s="12">
        <v>40.332570490723896</v>
      </c>
    </row>
    <row r="67" spans="1:22" x14ac:dyDescent="0.3">
      <c r="A67" s="3">
        <v>20702</v>
      </c>
      <c r="B67" s="3" t="s">
        <v>106</v>
      </c>
      <c r="C67" s="3" t="s">
        <v>45</v>
      </c>
      <c r="D67" s="3" t="s">
        <v>105</v>
      </c>
      <c r="E67" s="3">
        <v>57598413.230999999</v>
      </c>
      <c r="F67" s="3">
        <v>69083076.595484674</v>
      </c>
      <c r="G67" s="3">
        <v>81876893.470000014</v>
      </c>
      <c r="H67" s="3">
        <f t="shared" si="8"/>
        <v>69519461.098828241</v>
      </c>
      <c r="I67" s="3">
        <v>11305496.75</v>
      </c>
      <c r="J67" s="3">
        <v>14525216.890000001</v>
      </c>
      <c r="K67" s="3">
        <v>16896891.440000001</v>
      </c>
      <c r="L67" s="3">
        <f t="shared" si="9"/>
        <v>14242535.026666665</v>
      </c>
      <c r="M67" s="3">
        <v>112942860.4499999</v>
      </c>
      <c r="N67" s="3">
        <v>128494364.56</v>
      </c>
      <c r="O67" s="3">
        <v>125415379.23</v>
      </c>
      <c r="P67" s="3">
        <f t="shared" si="10"/>
        <v>122284201.4133333</v>
      </c>
      <c r="Q67" s="3">
        <v>44191302.560000002</v>
      </c>
      <c r="R67" s="3">
        <v>48380728.719999999</v>
      </c>
      <c r="S67" s="3">
        <v>47588223.310000002</v>
      </c>
      <c r="T67" s="3">
        <f t="shared" si="11"/>
        <v>46720084.863333337</v>
      </c>
      <c r="U67" s="12">
        <v>20.487119436123944</v>
      </c>
      <c r="V67" s="12">
        <v>38.206149546182665</v>
      </c>
    </row>
    <row r="68" spans="1:22" x14ac:dyDescent="0.3">
      <c r="A68" s="3">
        <v>20801</v>
      </c>
      <c r="B68" s="3" t="s">
        <v>51</v>
      </c>
      <c r="C68" s="3" t="s">
        <v>45</v>
      </c>
      <c r="D68" s="3" t="s">
        <v>52</v>
      </c>
      <c r="E68" s="3">
        <v>7611903.7000000002</v>
      </c>
      <c r="F68" s="3">
        <v>9001160.0419289768</v>
      </c>
      <c r="G68" s="3">
        <v>10713102.560000001</v>
      </c>
      <c r="H68" s="3">
        <f t="shared" si="8"/>
        <v>9108722.1006429922</v>
      </c>
      <c r="I68" s="3">
        <v>23498.05</v>
      </c>
      <c r="J68" s="3">
        <v>97404.069999999992</v>
      </c>
      <c r="K68" s="3">
        <v>118522.15</v>
      </c>
      <c r="L68" s="3">
        <f t="shared" si="9"/>
        <v>79808.09</v>
      </c>
      <c r="M68" s="3">
        <v>6578809.6699999953</v>
      </c>
      <c r="N68" s="3">
        <v>7374327.6199999982</v>
      </c>
      <c r="O68" s="3">
        <v>7313780.5599999996</v>
      </c>
      <c r="P68" s="3">
        <f t="shared" si="10"/>
        <v>7088972.6166666644</v>
      </c>
      <c r="Q68" s="3">
        <v>380267.28</v>
      </c>
      <c r="R68" s="3">
        <v>151969.04999999999</v>
      </c>
      <c r="S68" s="3">
        <v>297569</v>
      </c>
      <c r="T68" s="3">
        <f t="shared" si="11"/>
        <v>276601.77666666667</v>
      </c>
      <c r="U68" s="12">
        <v>0.87617219098567389</v>
      </c>
      <c r="V68" s="12">
        <v>3.9018598550706316</v>
      </c>
    </row>
    <row r="69" spans="1:22" x14ac:dyDescent="0.3">
      <c r="A69" s="3">
        <v>20802</v>
      </c>
      <c r="B69" s="3" t="s">
        <v>53</v>
      </c>
      <c r="C69" s="3" t="s">
        <v>45</v>
      </c>
      <c r="D69" s="3" t="s">
        <v>52</v>
      </c>
      <c r="E69" s="3">
        <v>15992323.109999999</v>
      </c>
      <c r="F69" s="3">
        <v>18184317.629193991</v>
      </c>
      <c r="G69" s="3">
        <v>20553771.289999999</v>
      </c>
      <c r="H69" s="3">
        <f t="shared" si="8"/>
        <v>18243470.676397998</v>
      </c>
      <c r="I69" s="3">
        <v>4397409.01</v>
      </c>
      <c r="J69" s="3">
        <v>4684049.59</v>
      </c>
      <c r="K69" s="3">
        <v>4516916.79</v>
      </c>
      <c r="L69" s="3">
        <f t="shared" si="9"/>
        <v>4532791.7966666669</v>
      </c>
      <c r="M69" s="3">
        <v>10746806.939999981</v>
      </c>
      <c r="N69" s="3">
        <v>12505785.949999999</v>
      </c>
      <c r="O69" s="3">
        <v>12266283.9</v>
      </c>
      <c r="P69" s="3">
        <f t="shared" si="10"/>
        <v>11839625.596666658</v>
      </c>
      <c r="Q69" s="3">
        <v>365199.72</v>
      </c>
      <c r="R69" s="3">
        <v>409518.72</v>
      </c>
      <c r="S69" s="3">
        <v>515266.06</v>
      </c>
      <c r="T69" s="3">
        <f t="shared" si="11"/>
        <v>429994.83333333331</v>
      </c>
      <c r="U69" s="12">
        <v>24.846104543752439</v>
      </c>
      <c r="V69" s="12">
        <v>3.6318279646815395</v>
      </c>
    </row>
    <row r="70" spans="1:22" x14ac:dyDescent="0.3">
      <c r="A70" s="3">
        <v>20803</v>
      </c>
      <c r="B70" s="3" t="s">
        <v>54</v>
      </c>
      <c r="C70" s="3" t="s">
        <v>45</v>
      </c>
      <c r="D70" s="3" t="s">
        <v>52</v>
      </c>
      <c r="E70" s="3">
        <v>5521770.0599999996</v>
      </c>
      <c r="F70" s="3">
        <v>6339381.9010346932</v>
      </c>
      <c r="G70" s="3">
        <v>7338383.7500000009</v>
      </c>
      <c r="H70" s="3">
        <f t="shared" si="8"/>
        <v>6399845.237011564</v>
      </c>
      <c r="I70" s="3">
        <v>638215.04</v>
      </c>
      <c r="J70" s="3">
        <v>554513</v>
      </c>
      <c r="K70" s="3">
        <v>440705.7</v>
      </c>
      <c r="L70" s="3">
        <f t="shared" si="9"/>
        <v>544477.91333333333</v>
      </c>
      <c r="M70" s="3">
        <v>7553170.0099999961</v>
      </c>
      <c r="N70" s="3">
        <v>9258502.7700000014</v>
      </c>
      <c r="O70" s="3">
        <v>9183465.379999999</v>
      </c>
      <c r="P70" s="3">
        <f t="shared" si="10"/>
        <v>8665046.0533333328</v>
      </c>
      <c r="Q70" s="3">
        <v>1602494.16</v>
      </c>
      <c r="R70" s="3">
        <v>2324946.48</v>
      </c>
      <c r="S70" s="3">
        <v>2447813.65</v>
      </c>
      <c r="T70" s="3">
        <f t="shared" si="11"/>
        <v>2125084.7633333332</v>
      </c>
      <c r="U70" s="12">
        <v>8.5076731259767104</v>
      </c>
      <c r="V70" s="12">
        <v>24.524794793396858</v>
      </c>
    </row>
    <row r="71" spans="1:22" x14ac:dyDescent="0.3">
      <c r="A71" s="3">
        <v>20804</v>
      </c>
      <c r="B71" s="3" t="s">
        <v>55</v>
      </c>
      <c r="C71" s="3" t="s">
        <v>45</v>
      </c>
      <c r="D71" s="3" t="s">
        <v>52</v>
      </c>
      <c r="E71" s="3">
        <v>8465062.7300000004</v>
      </c>
      <c r="F71" s="3">
        <v>9892359.1563155577</v>
      </c>
      <c r="G71" s="3">
        <v>11743972.109999999</v>
      </c>
      <c r="H71" s="3">
        <f t="shared" si="8"/>
        <v>10033797.998771852</v>
      </c>
      <c r="I71" s="3">
        <v>87392.89</v>
      </c>
      <c r="J71" s="3">
        <v>84070.55</v>
      </c>
      <c r="K71" s="3">
        <v>78676.45</v>
      </c>
      <c r="L71" s="3">
        <f t="shared" si="9"/>
        <v>83379.963333333333</v>
      </c>
      <c r="M71" s="3">
        <v>7353052.7099999962</v>
      </c>
      <c r="N71" s="3">
        <v>8775748.5300000012</v>
      </c>
      <c r="O71" s="3">
        <v>8847977.3399999999</v>
      </c>
      <c r="P71" s="3">
        <f t="shared" si="10"/>
        <v>8325592.8599999994</v>
      </c>
      <c r="Q71" s="3">
        <v>575671.96000000008</v>
      </c>
      <c r="R71" s="3">
        <v>888450.05999999994</v>
      </c>
      <c r="S71" s="3">
        <v>1185803.2</v>
      </c>
      <c r="T71" s="3">
        <f t="shared" si="11"/>
        <v>883308.40666666662</v>
      </c>
      <c r="U71" s="12">
        <v>0.83099104988499006</v>
      </c>
      <c r="V71" s="12">
        <v>10.609555637899241</v>
      </c>
    </row>
    <row r="72" spans="1:22" x14ac:dyDescent="0.3">
      <c r="A72" s="3">
        <v>20805</v>
      </c>
      <c r="B72" s="3" t="s">
        <v>142</v>
      </c>
      <c r="C72" s="3" t="s">
        <v>45</v>
      </c>
      <c r="D72" s="3" t="s">
        <v>52</v>
      </c>
      <c r="E72" s="3">
        <v>6531670.2199999997</v>
      </c>
      <c r="F72" s="3">
        <v>7684917.6835441208</v>
      </c>
      <c r="G72" s="3">
        <v>9136557.9800000004</v>
      </c>
      <c r="H72" s="3">
        <f t="shared" si="8"/>
        <v>7784381.9611813733</v>
      </c>
      <c r="I72" s="3">
        <v>79147.61</v>
      </c>
      <c r="J72" s="3">
        <v>169655.56</v>
      </c>
      <c r="K72" s="3">
        <v>208552.18</v>
      </c>
      <c r="L72" s="3">
        <f t="shared" si="9"/>
        <v>152451.78333333333</v>
      </c>
      <c r="M72" s="3">
        <v>5548444.9099999946</v>
      </c>
      <c r="N72" s="3">
        <v>6363404.3299999982</v>
      </c>
      <c r="O72" s="3">
        <v>6293252.2599999998</v>
      </c>
      <c r="P72" s="3">
        <f t="shared" si="10"/>
        <v>6068367.1666666642</v>
      </c>
      <c r="Q72" s="3">
        <v>314963.40000000002</v>
      </c>
      <c r="R72" s="3">
        <v>265488.68</v>
      </c>
      <c r="S72" s="3">
        <v>369391.77</v>
      </c>
      <c r="T72" s="3">
        <f t="shared" si="11"/>
        <v>316614.6166666667</v>
      </c>
      <c r="U72" s="12">
        <v>1.9584314348084344</v>
      </c>
      <c r="V72" s="12">
        <v>5.2174597873019302</v>
      </c>
    </row>
    <row r="73" spans="1:22" x14ac:dyDescent="0.3">
      <c r="A73" s="3">
        <v>20806</v>
      </c>
      <c r="B73" s="3" t="s">
        <v>143</v>
      </c>
      <c r="C73" s="3" t="s">
        <v>45</v>
      </c>
      <c r="D73" s="3" t="s">
        <v>52</v>
      </c>
      <c r="E73" s="3">
        <v>13497595.57</v>
      </c>
      <c r="F73" s="3">
        <v>15904958.45039897</v>
      </c>
      <c r="G73" s="3">
        <v>18757720.309999999</v>
      </c>
      <c r="H73" s="3">
        <f t="shared" si="8"/>
        <v>16053424.776799656</v>
      </c>
      <c r="I73" s="3">
        <v>15565.92</v>
      </c>
      <c r="J73" s="3">
        <v>163171.59</v>
      </c>
      <c r="K73" s="3">
        <v>46639.969999999987</v>
      </c>
      <c r="L73" s="3">
        <f t="shared" si="9"/>
        <v>75125.82666666666</v>
      </c>
      <c r="M73" s="3">
        <v>13309657.369999981</v>
      </c>
      <c r="N73" s="3">
        <v>16126753.199999999</v>
      </c>
      <c r="O73" s="3">
        <v>14780994.779999999</v>
      </c>
      <c r="P73" s="3">
        <f t="shared" si="10"/>
        <v>14739135.11666666</v>
      </c>
      <c r="Q73" s="3">
        <v>502191.63</v>
      </c>
      <c r="R73" s="3">
        <v>1202011.8999999999</v>
      </c>
      <c r="S73" s="3">
        <v>282228.15000000002</v>
      </c>
      <c r="T73" s="3">
        <f t="shared" si="11"/>
        <v>662143.8933333332</v>
      </c>
      <c r="U73" s="12">
        <v>0.46797382933041304</v>
      </c>
      <c r="V73" s="12">
        <v>4.4924202681648318</v>
      </c>
    </row>
    <row r="74" spans="1:22" x14ac:dyDescent="0.3">
      <c r="A74" s="3">
        <v>20807</v>
      </c>
      <c r="B74" s="3" t="s">
        <v>144</v>
      </c>
      <c r="C74" s="3" t="s">
        <v>45</v>
      </c>
      <c r="D74" s="3" t="s">
        <v>52</v>
      </c>
      <c r="E74" s="3">
        <v>6053881.0399999991</v>
      </c>
      <c r="F74" s="3">
        <v>7063129.5357234646</v>
      </c>
      <c r="G74" s="3">
        <v>8383756.0899999989</v>
      </c>
      <c r="H74" s="3">
        <f t="shared" si="8"/>
        <v>7166922.2219078206</v>
      </c>
      <c r="I74" s="3">
        <v>12325</v>
      </c>
      <c r="J74" s="3">
        <v>15550</v>
      </c>
      <c r="K74" s="3">
        <v>8471.99</v>
      </c>
      <c r="L74" s="3">
        <f t="shared" si="9"/>
        <v>12115.663333333332</v>
      </c>
      <c r="M74" s="3">
        <v>6588738.4099999974</v>
      </c>
      <c r="N74" s="3">
        <v>7716056.5</v>
      </c>
      <c r="O74" s="3">
        <v>7555293.6200000001</v>
      </c>
      <c r="P74" s="3">
        <f t="shared" si="10"/>
        <v>7286696.1766666658</v>
      </c>
      <c r="Q74" s="3">
        <v>965239.2</v>
      </c>
      <c r="R74" s="3">
        <v>1163599.95</v>
      </c>
      <c r="S74" s="3">
        <v>1189865</v>
      </c>
      <c r="T74" s="3">
        <f t="shared" si="11"/>
        <v>1106234.7166666666</v>
      </c>
      <c r="U74" s="12">
        <v>0.16904973931903738</v>
      </c>
      <c r="V74" s="12">
        <v>15.181567748207103</v>
      </c>
    </row>
    <row r="75" spans="1:22" x14ac:dyDescent="0.3">
      <c r="A75" s="3">
        <v>20901</v>
      </c>
      <c r="B75" s="3" t="s">
        <v>107</v>
      </c>
      <c r="C75" s="3" t="s">
        <v>45</v>
      </c>
      <c r="D75" s="3" t="s">
        <v>108</v>
      </c>
      <c r="E75" s="3">
        <v>10579013.48</v>
      </c>
      <c r="F75" s="3">
        <v>12351936.166417951</v>
      </c>
      <c r="G75" s="3">
        <v>14685356.91</v>
      </c>
      <c r="H75" s="3">
        <f t="shared" si="8"/>
        <v>12538768.852139318</v>
      </c>
      <c r="I75" s="3">
        <v>73787.25</v>
      </c>
      <c r="J75" s="3">
        <v>53295.199999999997</v>
      </c>
      <c r="K75" s="3">
        <v>58373.79</v>
      </c>
      <c r="L75" s="3">
        <f t="shared" si="9"/>
        <v>61818.746666666666</v>
      </c>
      <c r="M75" s="3">
        <v>9552854.9499999955</v>
      </c>
      <c r="N75" s="3">
        <v>11626651.18</v>
      </c>
      <c r="O75" s="3">
        <v>10978470</v>
      </c>
      <c r="P75" s="3">
        <f t="shared" si="10"/>
        <v>10719325.376666665</v>
      </c>
      <c r="Q75" s="3">
        <v>65611.37</v>
      </c>
      <c r="R75" s="3">
        <v>572453.87000000011</v>
      </c>
      <c r="S75" s="3">
        <v>239781.16</v>
      </c>
      <c r="T75" s="3">
        <f t="shared" si="11"/>
        <v>292615.46666666673</v>
      </c>
      <c r="U75" s="12">
        <v>0.49302086509170623</v>
      </c>
      <c r="V75" s="12">
        <v>2.7297936799606681</v>
      </c>
    </row>
    <row r="76" spans="1:22" x14ac:dyDescent="0.3">
      <c r="A76" s="3">
        <v>20902</v>
      </c>
      <c r="B76" s="3" t="s">
        <v>109</v>
      </c>
      <c r="C76" s="3" t="s">
        <v>45</v>
      </c>
      <c r="D76" s="3" t="s">
        <v>108</v>
      </c>
      <c r="E76" s="3">
        <v>11763896</v>
      </c>
      <c r="F76" s="3">
        <v>13851327.44507914</v>
      </c>
      <c r="G76" s="3">
        <v>16411982.970000001</v>
      </c>
      <c r="H76" s="3">
        <f t="shared" si="8"/>
        <v>14009068.80502638</v>
      </c>
      <c r="I76" s="3">
        <v>62473.04</v>
      </c>
      <c r="J76" s="3">
        <v>192466.84</v>
      </c>
      <c r="K76" s="3">
        <v>177710.73</v>
      </c>
      <c r="L76" s="3">
        <f t="shared" si="9"/>
        <v>144216.87</v>
      </c>
      <c r="M76" s="3">
        <v>10959307.829999991</v>
      </c>
      <c r="N76" s="3">
        <v>12677592.220000001</v>
      </c>
      <c r="O76" s="3">
        <v>12519679.300000001</v>
      </c>
      <c r="P76" s="3">
        <f t="shared" si="10"/>
        <v>12052193.116666665</v>
      </c>
      <c r="Q76" s="3">
        <v>328698.92</v>
      </c>
      <c r="R76" s="3">
        <v>288553.88</v>
      </c>
      <c r="S76" s="3">
        <v>484245.87</v>
      </c>
      <c r="T76" s="3">
        <f t="shared" si="11"/>
        <v>367166.22333333333</v>
      </c>
      <c r="U76" s="12">
        <v>1.0294536489695572</v>
      </c>
      <c r="V76" s="12">
        <v>3.0464681388617039</v>
      </c>
    </row>
    <row r="77" spans="1:22" x14ac:dyDescent="0.3">
      <c r="A77" s="3">
        <v>20903</v>
      </c>
      <c r="B77" s="3" t="s">
        <v>110</v>
      </c>
      <c r="C77" s="3" t="s">
        <v>45</v>
      </c>
      <c r="D77" s="3" t="s">
        <v>108</v>
      </c>
      <c r="E77" s="3">
        <v>8212771.6699999999</v>
      </c>
      <c r="F77" s="3">
        <v>9542979.0295781121</v>
      </c>
      <c r="G77" s="3">
        <v>11319744.35</v>
      </c>
      <c r="H77" s="3">
        <f t="shared" si="8"/>
        <v>9691831.6831927057</v>
      </c>
      <c r="I77" s="3">
        <v>54622.849999999991</v>
      </c>
      <c r="J77" s="3">
        <v>85640.26</v>
      </c>
      <c r="K77" s="3">
        <v>96230.87000000001</v>
      </c>
      <c r="L77" s="3">
        <f t="shared" si="9"/>
        <v>78831.32666666666</v>
      </c>
      <c r="M77" s="3">
        <v>6613653.099999994</v>
      </c>
      <c r="N77" s="3">
        <v>7599357.29</v>
      </c>
      <c r="O77" s="3">
        <v>7352111.5600000015</v>
      </c>
      <c r="P77" s="3">
        <f t="shared" si="10"/>
        <v>7188373.9833333315</v>
      </c>
      <c r="Q77" s="3">
        <v>383594.97</v>
      </c>
      <c r="R77" s="3">
        <v>340278.15</v>
      </c>
      <c r="S77" s="3">
        <v>300227.38</v>
      </c>
      <c r="T77" s="3">
        <f t="shared" si="11"/>
        <v>341366.83333333331</v>
      </c>
      <c r="U77" s="12">
        <v>0.81337903136899981</v>
      </c>
      <c r="V77" s="12">
        <v>4.7488741421190994</v>
      </c>
    </row>
    <row r="78" spans="1:22" x14ac:dyDescent="0.3">
      <c r="A78" s="3">
        <v>20904</v>
      </c>
      <c r="B78" s="3" t="s">
        <v>111</v>
      </c>
      <c r="C78" s="3" t="s">
        <v>45</v>
      </c>
      <c r="D78" s="3" t="s">
        <v>108</v>
      </c>
      <c r="E78" s="3">
        <v>3875616.27</v>
      </c>
      <c r="F78" s="3">
        <v>4641423.0204790672</v>
      </c>
      <c r="G78" s="3">
        <v>5657275.0100000007</v>
      </c>
      <c r="H78" s="3">
        <f t="shared" si="8"/>
        <v>4724771.4334930228</v>
      </c>
      <c r="I78" s="3">
        <v>44528.81</v>
      </c>
      <c r="J78" s="3">
        <v>182611.32</v>
      </c>
      <c r="K78" s="3">
        <v>361075.42</v>
      </c>
      <c r="L78" s="3">
        <f t="shared" si="9"/>
        <v>196071.85</v>
      </c>
      <c r="M78" s="3">
        <v>4464545.9599999981</v>
      </c>
      <c r="N78" s="3">
        <v>5305221.4399999985</v>
      </c>
      <c r="O78" s="3">
        <v>5258169.959999999</v>
      </c>
      <c r="P78" s="3">
        <f t="shared" si="10"/>
        <v>5009312.4533333322</v>
      </c>
      <c r="Q78" s="3">
        <v>54152.54</v>
      </c>
      <c r="R78" s="3">
        <v>165017.16</v>
      </c>
      <c r="S78" s="3">
        <v>264687.39</v>
      </c>
      <c r="T78" s="3">
        <f t="shared" si="11"/>
        <v>161285.69666666668</v>
      </c>
      <c r="U78" s="12">
        <v>4.1498695282925908</v>
      </c>
      <c r="V78" s="12">
        <v>3.2197172400244831</v>
      </c>
    </row>
    <row r="79" spans="1:22" x14ac:dyDescent="0.3">
      <c r="A79" s="3">
        <v>20905</v>
      </c>
      <c r="B79" s="3" t="s">
        <v>112</v>
      </c>
      <c r="C79" s="3" t="s">
        <v>45</v>
      </c>
      <c r="D79" s="3" t="s">
        <v>108</v>
      </c>
      <c r="E79" s="3">
        <v>10925073.26</v>
      </c>
      <c r="F79" s="3">
        <v>12586494.443781691</v>
      </c>
      <c r="G79" s="3">
        <v>15021938.289999999</v>
      </c>
      <c r="H79" s="3">
        <f t="shared" si="8"/>
        <v>12844501.997927228</v>
      </c>
      <c r="I79" s="3">
        <v>556183.37</v>
      </c>
      <c r="J79" s="3">
        <v>452059.63</v>
      </c>
      <c r="K79" s="3">
        <v>591440.78</v>
      </c>
      <c r="L79" s="3">
        <f t="shared" si="9"/>
        <v>533227.92666666664</v>
      </c>
      <c r="M79" s="3">
        <v>11916107.339999991</v>
      </c>
      <c r="N79" s="3">
        <v>12811953.630000001</v>
      </c>
      <c r="O79" s="3">
        <v>11870555.029999999</v>
      </c>
      <c r="P79" s="3">
        <f t="shared" si="10"/>
        <v>12199538.666666664</v>
      </c>
      <c r="Q79" s="3">
        <v>2244880.34</v>
      </c>
      <c r="R79" s="3">
        <v>1543387.75</v>
      </c>
      <c r="S79" s="3">
        <v>923615.73999999987</v>
      </c>
      <c r="T79" s="3">
        <f t="shared" si="11"/>
        <v>1570627.9433333334</v>
      </c>
      <c r="U79" s="12">
        <v>4.1514098931411736</v>
      </c>
      <c r="V79" s="12">
        <v>12.874486374020266</v>
      </c>
    </row>
    <row r="80" spans="1:22" x14ac:dyDescent="0.3">
      <c r="A80" s="3">
        <v>21001</v>
      </c>
      <c r="B80" s="3" t="s">
        <v>66</v>
      </c>
      <c r="C80" s="3" t="s">
        <v>45</v>
      </c>
      <c r="D80" s="3" t="s">
        <v>67</v>
      </c>
      <c r="E80" s="3">
        <v>17038240.289999999</v>
      </c>
      <c r="F80" s="3">
        <v>19439968.577067722</v>
      </c>
      <c r="G80" s="3">
        <v>23311879.61999999</v>
      </c>
      <c r="H80" s="3">
        <f t="shared" si="8"/>
        <v>19930029.495689239</v>
      </c>
      <c r="I80" s="3">
        <v>344845.7</v>
      </c>
      <c r="J80" s="3">
        <v>66319.399999999994</v>
      </c>
      <c r="K80" s="3">
        <v>314552.18</v>
      </c>
      <c r="L80" s="3">
        <f t="shared" si="9"/>
        <v>241905.76</v>
      </c>
      <c r="M80" s="3">
        <v>13682589.73999998</v>
      </c>
      <c r="N80" s="3">
        <v>17389126.920000002</v>
      </c>
      <c r="O80" s="3">
        <v>16055346.93</v>
      </c>
      <c r="P80" s="3">
        <f t="shared" si="10"/>
        <v>15709021.19666666</v>
      </c>
      <c r="Q80" s="3">
        <v>1150578.8</v>
      </c>
      <c r="R80" s="3">
        <v>2783953.63</v>
      </c>
      <c r="S80" s="3">
        <v>1867027.61</v>
      </c>
      <c r="T80" s="3">
        <f t="shared" si="11"/>
        <v>1933853.3466666667</v>
      </c>
      <c r="U80" s="12">
        <v>1.2137752232244461</v>
      </c>
      <c r="V80" s="12">
        <v>12.310463665788523</v>
      </c>
    </row>
    <row r="81" spans="1:22" x14ac:dyDescent="0.3">
      <c r="A81" s="3">
        <v>21002</v>
      </c>
      <c r="B81" s="3" t="s">
        <v>68</v>
      </c>
      <c r="C81" s="3" t="s">
        <v>45</v>
      </c>
      <c r="D81" s="3" t="s">
        <v>67</v>
      </c>
      <c r="E81" s="3">
        <v>8420329.8400000017</v>
      </c>
      <c r="F81" s="3">
        <v>9771867.5072873216</v>
      </c>
      <c r="G81" s="3">
        <v>12030620.130000001</v>
      </c>
      <c r="H81" s="3">
        <f t="shared" si="8"/>
        <v>10074272.492429107</v>
      </c>
      <c r="I81" s="3">
        <v>1123233.27</v>
      </c>
      <c r="J81" s="3">
        <v>1175440.72</v>
      </c>
      <c r="K81" s="3">
        <v>1792796.43</v>
      </c>
      <c r="L81" s="3">
        <f t="shared" si="9"/>
        <v>1363823.4733333334</v>
      </c>
      <c r="M81" s="3">
        <v>8479987.9899999965</v>
      </c>
      <c r="N81" s="3">
        <v>10393041.550000001</v>
      </c>
      <c r="O81" s="3">
        <v>9708027.9399999995</v>
      </c>
      <c r="P81" s="3">
        <f t="shared" si="10"/>
        <v>9527019.1599999983</v>
      </c>
      <c r="Q81" s="3">
        <v>1436648.47</v>
      </c>
      <c r="R81" s="3">
        <v>2190145.42</v>
      </c>
      <c r="S81" s="3">
        <v>1739263.67</v>
      </c>
      <c r="T81" s="3">
        <f t="shared" si="11"/>
        <v>1788685.8533333333</v>
      </c>
      <c r="U81" s="12">
        <v>13.537686958122853</v>
      </c>
      <c r="V81" s="12">
        <v>18.774874105882805</v>
      </c>
    </row>
    <row r="82" spans="1:22" x14ac:dyDescent="0.3">
      <c r="A82" s="3">
        <v>21003</v>
      </c>
      <c r="B82" s="3" t="s">
        <v>69</v>
      </c>
      <c r="C82" s="3" t="s">
        <v>45</v>
      </c>
      <c r="D82" s="3" t="s">
        <v>67</v>
      </c>
      <c r="E82" s="3">
        <v>8302592.9199999999</v>
      </c>
      <c r="F82" s="3">
        <v>9712568.3371573146</v>
      </c>
      <c r="G82" s="3">
        <v>11507062.369999999</v>
      </c>
      <c r="H82" s="3">
        <f t="shared" si="8"/>
        <v>9840741.2090524379</v>
      </c>
      <c r="I82" s="3">
        <v>513881.83000000007</v>
      </c>
      <c r="J82" s="3">
        <v>571210.27999999991</v>
      </c>
      <c r="K82" s="3">
        <v>629094.1</v>
      </c>
      <c r="L82" s="3">
        <f t="shared" si="9"/>
        <v>571395.40333333332</v>
      </c>
      <c r="M82" s="3">
        <v>10653630.09</v>
      </c>
      <c r="N82" s="3">
        <v>11585077.1</v>
      </c>
      <c r="O82" s="3">
        <v>10672405.189999999</v>
      </c>
      <c r="P82" s="3">
        <f t="shared" si="10"/>
        <v>10970370.793333331</v>
      </c>
      <c r="Q82" s="3">
        <v>1749689.31</v>
      </c>
      <c r="R82" s="3">
        <v>1206736.29</v>
      </c>
      <c r="S82" s="3">
        <v>590283.9</v>
      </c>
      <c r="T82" s="3">
        <f t="shared" si="11"/>
        <v>1182236.5</v>
      </c>
      <c r="U82" s="12">
        <v>5.8064264794171212</v>
      </c>
      <c r="V82" s="12">
        <v>10.776632096322965</v>
      </c>
    </row>
    <row r="83" spans="1:22" x14ac:dyDescent="0.3">
      <c r="A83" s="3">
        <v>21004</v>
      </c>
      <c r="B83" s="3" t="s">
        <v>70</v>
      </c>
      <c r="C83" s="3" t="s">
        <v>45</v>
      </c>
      <c r="D83" s="3" t="s">
        <v>67</v>
      </c>
      <c r="E83" s="3">
        <v>24483078.629999999</v>
      </c>
      <c r="F83" s="3">
        <v>26261473.479582548</v>
      </c>
      <c r="G83" s="3">
        <v>30330228.77</v>
      </c>
      <c r="H83" s="3">
        <f t="shared" si="8"/>
        <v>27024926.959860846</v>
      </c>
      <c r="I83" s="3">
        <v>5309603.0299999993</v>
      </c>
      <c r="J83" s="3">
        <v>3946957.040000001</v>
      </c>
      <c r="K83" s="3">
        <v>3825586.57</v>
      </c>
      <c r="L83" s="3">
        <f t="shared" si="9"/>
        <v>4360715.5466666669</v>
      </c>
      <c r="M83" s="3">
        <v>23179885.95999999</v>
      </c>
      <c r="N83" s="3">
        <v>26483285.629999999</v>
      </c>
      <c r="O83" s="3">
        <v>25969784.34</v>
      </c>
      <c r="P83" s="3">
        <f t="shared" si="10"/>
        <v>25210985.309999999</v>
      </c>
      <c r="Q83" s="3">
        <v>6466300.3899999997</v>
      </c>
      <c r="R83" s="3">
        <v>7012143.8499999996</v>
      </c>
      <c r="S83" s="3">
        <v>7054372.4299999997</v>
      </c>
      <c r="T83" s="3">
        <f t="shared" si="11"/>
        <v>6844272.2233333327</v>
      </c>
      <c r="U83" s="12">
        <v>16.135901322299524</v>
      </c>
      <c r="V83" s="12">
        <v>27.147975928646215</v>
      </c>
    </row>
    <row r="84" spans="1:22" x14ac:dyDescent="0.3">
      <c r="A84" s="3">
        <v>21005</v>
      </c>
      <c r="B84" s="3" t="s">
        <v>71</v>
      </c>
      <c r="C84" s="3" t="s">
        <v>45</v>
      </c>
      <c r="D84" s="3" t="s">
        <v>67</v>
      </c>
      <c r="E84" s="3">
        <v>7166074.71</v>
      </c>
      <c r="F84" s="3">
        <v>8310444.2091097953</v>
      </c>
      <c r="G84" s="3">
        <v>10151239.800000001</v>
      </c>
      <c r="H84" s="3">
        <f t="shared" si="8"/>
        <v>8542586.239703266</v>
      </c>
      <c r="I84" s="3">
        <v>114313.3</v>
      </c>
      <c r="J84" s="3">
        <v>117656.52</v>
      </c>
      <c r="K84" s="3">
        <v>423688.64</v>
      </c>
      <c r="L84" s="3">
        <f t="shared" si="9"/>
        <v>218552.81999999998</v>
      </c>
      <c r="M84" s="3">
        <v>7546844.9499999937</v>
      </c>
      <c r="N84" s="3">
        <v>8656661.2800000012</v>
      </c>
      <c r="O84" s="3">
        <v>8342571.3399999999</v>
      </c>
      <c r="P84" s="3">
        <f t="shared" si="10"/>
        <v>8182025.8566666646</v>
      </c>
      <c r="Q84" s="3">
        <v>809200.42</v>
      </c>
      <c r="R84" s="3">
        <v>804098.36</v>
      </c>
      <c r="S84" s="3">
        <v>714141.73</v>
      </c>
      <c r="T84" s="3">
        <f t="shared" si="11"/>
        <v>775813.5033333333</v>
      </c>
      <c r="U84" s="12">
        <v>2.5583917313498681</v>
      </c>
      <c r="V84" s="12">
        <v>9.4819243659711141</v>
      </c>
    </row>
    <row r="85" spans="1:22" x14ac:dyDescent="0.3">
      <c r="A85" s="3">
        <v>21006</v>
      </c>
      <c r="B85" s="3" t="s">
        <v>72</v>
      </c>
      <c r="C85" s="3" t="s">
        <v>45</v>
      </c>
      <c r="D85" s="3" t="s">
        <v>67</v>
      </c>
      <c r="E85" s="3">
        <v>2744878.92</v>
      </c>
      <c r="F85" s="3">
        <v>3230409.5644591972</v>
      </c>
      <c r="G85" s="3">
        <v>3853395.6</v>
      </c>
      <c r="H85" s="3">
        <f t="shared" si="8"/>
        <v>3276228.0281530656</v>
      </c>
      <c r="I85" s="3">
        <v>21188.5</v>
      </c>
      <c r="J85" s="3">
        <v>21886.97</v>
      </c>
      <c r="K85" s="3">
        <v>32177.19</v>
      </c>
      <c r="L85" s="3">
        <f t="shared" si="9"/>
        <v>25084.22</v>
      </c>
      <c r="M85" s="3">
        <v>4831715.4199999971</v>
      </c>
      <c r="N85" s="3">
        <v>6198922.9499999993</v>
      </c>
      <c r="O85" s="3">
        <v>5525754.8000000007</v>
      </c>
      <c r="P85" s="3">
        <f t="shared" si="10"/>
        <v>5518797.7233333327</v>
      </c>
      <c r="Q85" s="3">
        <v>157849.72</v>
      </c>
      <c r="R85" s="3">
        <v>753045.33000000007</v>
      </c>
      <c r="S85" s="3">
        <v>235322.86</v>
      </c>
      <c r="T85" s="3">
        <f t="shared" si="11"/>
        <v>382072.63666666672</v>
      </c>
      <c r="U85" s="12">
        <v>0.76564328808764048</v>
      </c>
      <c r="V85" s="12">
        <v>6.923113616780582</v>
      </c>
    </row>
    <row r="86" spans="1:22" x14ac:dyDescent="0.3">
      <c r="A86" s="3">
        <v>21101</v>
      </c>
      <c r="B86" s="3" t="s">
        <v>113</v>
      </c>
      <c r="C86" s="3" t="s">
        <v>45</v>
      </c>
      <c r="D86" s="3" t="s">
        <v>114</v>
      </c>
      <c r="E86" s="3">
        <v>13442785.130000001</v>
      </c>
      <c r="F86" s="3">
        <v>15582920.525008461</v>
      </c>
      <c r="G86" s="3">
        <v>18479976.030000001</v>
      </c>
      <c r="H86" s="3">
        <f t="shared" si="8"/>
        <v>15835227.228336155</v>
      </c>
      <c r="I86" s="3">
        <v>617568.93000000017</v>
      </c>
      <c r="J86" s="3">
        <v>333698.59999999998</v>
      </c>
      <c r="K86" s="3">
        <v>283249.33</v>
      </c>
      <c r="L86" s="3">
        <f t="shared" si="9"/>
        <v>411505.62000000005</v>
      </c>
      <c r="M86" s="3">
        <v>16431359.32999998</v>
      </c>
      <c r="N86" s="3">
        <v>18762259.140000001</v>
      </c>
      <c r="O86" s="3">
        <v>17902487.600000001</v>
      </c>
      <c r="P86" s="3">
        <f t="shared" si="10"/>
        <v>17698702.02333333</v>
      </c>
      <c r="Q86" s="3">
        <v>1253317.3500000001</v>
      </c>
      <c r="R86" s="3">
        <v>1074545.06</v>
      </c>
      <c r="S86" s="3">
        <v>719604.2</v>
      </c>
      <c r="T86" s="3">
        <f t="shared" si="11"/>
        <v>1015822.2033333335</v>
      </c>
      <c r="U86" s="12">
        <v>2.5986720245077151</v>
      </c>
      <c r="V86" s="12">
        <v>5.7395293846639719</v>
      </c>
    </row>
    <row r="87" spans="1:22" x14ac:dyDescent="0.3">
      <c r="A87" s="3">
        <v>21102</v>
      </c>
      <c r="B87" s="3" t="s">
        <v>115</v>
      </c>
      <c r="C87" s="3" t="s">
        <v>45</v>
      </c>
      <c r="D87" s="3" t="s">
        <v>114</v>
      </c>
      <c r="E87" s="3">
        <v>12403308.210000001</v>
      </c>
      <c r="F87" s="3">
        <v>14245069.63177578</v>
      </c>
      <c r="G87" s="3">
        <v>16956416.809999999</v>
      </c>
      <c r="H87" s="3">
        <f t="shared" si="8"/>
        <v>14534931.550591925</v>
      </c>
      <c r="I87" s="3">
        <v>1103308.77</v>
      </c>
      <c r="J87" s="3">
        <v>923897.32000000007</v>
      </c>
      <c r="K87" s="3">
        <v>1089420.3</v>
      </c>
      <c r="L87" s="3">
        <f t="shared" si="9"/>
        <v>1038875.4633333334</v>
      </c>
      <c r="M87" s="3">
        <v>19825938.099999979</v>
      </c>
      <c r="N87" s="3">
        <v>22057512.960000001</v>
      </c>
      <c r="O87" s="3">
        <v>19134100.329999998</v>
      </c>
      <c r="P87" s="3">
        <f t="shared" si="10"/>
        <v>20339183.796666659</v>
      </c>
      <c r="Q87" s="3">
        <v>5111354.7300000004</v>
      </c>
      <c r="R87" s="3">
        <v>4912667.33</v>
      </c>
      <c r="S87" s="3">
        <v>2478591.4700000002</v>
      </c>
      <c r="T87" s="3">
        <f t="shared" si="11"/>
        <v>4167537.8433333337</v>
      </c>
      <c r="U87" s="12">
        <v>7.1474396677913896</v>
      </c>
      <c r="V87" s="12">
        <v>20.490192158135379</v>
      </c>
    </row>
    <row r="88" spans="1:22" x14ac:dyDescent="0.3">
      <c r="A88" s="3">
        <v>21103</v>
      </c>
      <c r="B88" s="3" t="s">
        <v>116</v>
      </c>
      <c r="C88" s="3" t="s">
        <v>45</v>
      </c>
      <c r="D88" s="3" t="s">
        <v>114</v>
      </c>
      <c r="E88" s="3">
        <v>4602209.3599999994</v>
      </c>
      <c r="F88" s="3">
        <v>5701796.0838189032</v>
      </c>
      <c r="G88" s="3">
        <v>6766198.2300000004</v>
      </c>
      <c r="H88" s="3">
        <f t="shared" si="8"/>
        <v>5690067.8912729667</v>
      </c>
      <c r="I88" s="3">
        <v>497079.61</v>
      </c>
      <c r="J88" s="3">
        <v>810461.67999999993</v>
      </c>
      <c r="K88" s="3">
        <v>926593.98</v>
      </c>
      <c r="L88" s="3">
        <f t="shared" si="9"/>
        <v>744711.75666666671</v>
      </c>
      <c r="M88" s="3">
        <v>6051984.5299999956</v>
      </c>
      <c r="N88" s="3">
        <v>7303106.8699999992</v>
      </c>
      <c r="O88" s="3">
        <v>7027471.9500000002</v>
      </c>
      <c r="P88" s="3">
        <f t="shared" si="10"/>
        <v>6794187.7833333313</v>
      </c>
      <c r="Q88" s="3">
        <v>586516.72</v>
      </c>
      <c r="R88" s="3">
        <v>932267.99000000011</v>
      </c>
      <c r="S88" s="3">
        <v>838477.63000000012</v>
      </c>
      <c r="T88" s="3">
        <f t="shared" si="11"/>
        <v>785754.11333333328</v>
      </c>
      <c r="U88" s="12">
        <v>13.087923921063476</v>
      </c>
      <c r="V88" s="12">
        <v>11.565092670250431</v>
      </c>
    </row>
    <row r="89" spans="1:22" x14ac:dyDescent="0.3">
      <c r="A89" s="3">
        <v>21104</v>
      </c>
      <c r="B89" s="3" t="s">
        <v>117</v>
      </c>
      <c r="C89" s="3" t="s">
        <v>45</v>
      </c>
      <c r="D89" s="3" t="s">
        <v>114</v>
      </c>
      <c r="E89" s="3">
        <v>17747902.559999999</v>
      </c>
      <c r="F89" s="3">
        <v>20680829.777999919</v>
      </c>
      <c r="G89" s="3">
        <v>24518179.949999999</v>
      </c>
      <c r="H89" s="3">
        <f t="shared" si="8"/>
        <v>20982304.095999971</v>
      </c>
      <c r="I89" s="3">
        <v>1025720.46</v>
      </c>
      <c r="J89" s="3">
        <v>994313.37000000011</v>
      </c>
      <c r="K89" s="3">
        <v>1076274.07</v>
      </c>
      <c r="L89" s="3">
        <f t="shared" si="9"/>
        <v>1032102.6333333334</v>
      </c>
      <c r="M89" s="3">
        <v>22224140.059999991</v>
      </c>
      <c r="N89" s="3">
        <v>25461181.960000001</v>
      </c>
      <c r="O89" s="3">
        <v>24995787.23</v>
      </c>
      <c r="P89" s="3">
        <f t="shared" si="10"/>
        <v>24227036.416666668</v>
      </c>
      <c r="Q89" s="3">
        <v>1161390.6299999999</v>
      </c>
      <c r="R89" s="3">
        <v>917642.06999999983</v>
      </c>
      <c r="S89" s="3">
        <v>1152744.6499999999</v>
      </c>
      <c r="T89" s="3">
        <f t="shared" si="11"/>
        <v>1077259.1166666665</v>
      </c>
      <c r="U89" s="12">
        <v>4.9189194313988214</v>
      </c>
      <c r="V89" s="12">
        <v>4.4465162727273579</v>
      </c>
    </row>
    <row r="90" spans="1:22" x14ac:dyDescent="0.3">
      <c r="A90" s="3">
        <v>21105</v>
      </c>
      <c r="B90" s="3" t="s">
        <v>118</v>
      </c>
      <c r="C90" s="3" t="s">
        <v>45</v>
      </c>
      <c r="D90" s="3" t="s">
        <v>114</v>
      </c>
      <c r="E90" s="3">
        <v>18408371.559999999</v>
      </c>
      <c r="F90" s="3">
        <v>21590789.631431188</v>
      </c>
      <c r="G90" s="3">
        <v>25903440.030000001</v>
      </c>
      <c r="H90" s="3">
        <f t="shared" si="8"/>
        <v>21967533.740477063</v>
      </c>
      <c r="I90" s="3">
        <v>308530.24</v>
      </c>
      <c r="J90" s="3">
        <v>351841.7</v>
      </c>
      <c r="K90" s="3">
        <v>630897.5</v>
      </c>
      <c r="L90" s="3">
        <f t="shared" si="9"/>
        <v>430423.14666666667</v>
      </c>
      <c r="M90" s="3">
        <v>34859139.859999977</v>
      </c>
      <c r="N90" s="3">
        <v>40456359.979999997</v>
      </c>
      <c r="O90" s="3">
        <v>40083930.700000003</v>
      </c>
      <c r="P90" s="3">
        <f t="shared" si="10"/>
        <v>38466476.846666656</v>
      </c>
      <c r="Q90" s="3">
        <v>657695.2300000001</v>
      </c>
      <c r="R90" s="3">
        <v>582488.76</v>
      </c>
      <c r="S90" s="3">
        <v>1348087.67</v>
      </c>
      <c r="T90" s="3">
        <f t="shared" si="11"/>
        <v>862757.22000000009</v>
      </c>
      <c r="U90" s="12">
        <v>1.9593603531086201</v>
      </c>
      <c r="V90" s="12">
        <v>2.2428807905623493</v>
      </c>
    </row>
    <row r="91" spans="1:22" x14ac:dyDescent="0.3">
      <c r="A91" s="3">
        <v>21201</v>
      </c>
      <c r="B91" s="3" t="s">
        <v>119</v>
      </c>
      <c r="C91" s="3" t="s">
        <v>45</v>
      </c>
      <c r="D91" s="3" t="s">
        <v>120</v>
      </c>
      <c r="E91" s="3">
        <v>25444755.129999999</v>
      </c>
      <c r="F91" s="3">
        <v>29531237.142170791</v>
      </c>
      <c r="G91" s="3">
        <v>35732024.289999999</v>
      </c>
      <c r="H91" s="3">
        <f t="shared" si="8"/>
        <v>30236005.520723596</v>
      </c>
      <c r="I91" s="3">
        <v>369102.31</v>
      </c>
      <c r="J91" s="3">
        <v>371612.06999999989</v>
      </c>
      <c r="K91" s="3">
        <v>1103211.26</v>
      </c>
      <c r="L91" s="3">
        <f t="shared" si="9"/>
        <v>614641.88</v>
      </c>
      <c r="M91" s="3">
        <v>28508801.889999948</v>
      </c>
      <c r="N91" s="3">
        <v>31858740.710000001</v>
      </c>
      <c r="O91" s="3">
        <v>31710866.09</v>
      </c>
      <c r="P91" s="3">
        <f t="shared" si="10"/>
        <v>30692802.89666665</v>
      </c>
      <c r="Q91" s="3">
        <v>2833327.51</v>
      </c>
      <c r="R91" s="3">
        <v>1962932.8</v>
      </c>
      <c r="S91" s="3">
        <v>2668310.41</v>
      </c>
      <c r="T91" s="3">
        <f t="shared" si="11"/>
        <v>2488190.2399999998</v>
      </c>
      <c r="U91" s="12">
        <v>2.0328144191491422</v>
      </c>
      <c r="V91" s="12">
        <v>8.1067546954801788</v>
      </c>
    </row>
    <row r="92" spans="1:22" x14ac:dyDescent="0.3">
      <c r="A92" s="3">
        <v>21202</v>
      </c>
      <c r="B92" s="3" t="s">
        <v>121</v>
      </c>
      <c r="C92" s="3" t="s">
        <v>45</v>
      </c>
      <c r="D92" s="3" t="s">
        <v>120</v>
      </c>
      <c r="E92" s="3">
        <v>17205817.48</v>
      </c>
      <c r="F92" s="3">
        <v>19788562.69879324</v>
      </c>
      <c r="G92" s="3">
        <v>23636211.030000001</v>
      </c>
      <c r="H92" s="3">
        <f t="shared" si="8"/>
        <v>20210197.069597747</v>
      </c>
      <c r="I92" s="3">
        <v>426946.97</v>
      </c>
      <c r="J92" s="3">
        <v>276943.12</v>
      </c>
      <c r="K92" s="3">
        <v>464953.07</v>
      </c>
      <c r="L92" s="3">
        <f t="shared" si="9"/>
        <v>389614.38666666666</v>
      </c>
      <c r="M92" s="3">
        <v>25226420.549999971</v>
      </c>
      <c r="N92" s="3">
        <v>29994911.760000002</v>
      </c>
      <c r="O92" s="3">
        <v>31014223.289999999</v>
      </c>
      <c r="P92" s="3">
        <f t="shared" si="10"/>
        <v>28745185.199999988</v>
      </c>
      <c r="Q92" s="3">
        <v>4348587.2</v>
      </c>
      <c r="R92" s="3">
        <v>5649861.21</v>
      </c>
      <c r="S92" s="3">
        <v>7364005.1900000004</v>
      </c>
      <c r="T92" s="3">
        <f t="shared" si="11"/>
        <v>5787484.5333333341</v>
      </c>
      <c r="U92" s="12">
        <v>1.9278109229957217</v>
      </c>
      <c r="V92" s="12">
        <v>20.133752811351989</v>
      </c>
    </row>
    <row r="93" spans="1:22" x14ac:dyDescent="0.3">
      <c r="A93" s="3">
        <v>21203</v>
      </c>
      <c r="B93" s="3" t="s">
        <v>122</v>
      </c>
      <c r="C93" s="3" t="s">
        <v>45</v>
      </c>
      <c r="D93" s="3" t="s">
        <v>120</v>
      </c>
      <c r="E93" s="3">
        <v>20769175.280000001</v>
      </c>
      <c r="F93" s="3">
        <v>24371141.932216421</v>
      </c>
      <c r="G93" s="3">
        <v>28935477.02</v>
      </c>
      <c r="H93" s="3">
        <f t="shared" si="8"/>
        <v>24691931.410738807</v>
      </c>
      <c r="I93" s="3">
        <v>66267.88</v>
      </c>
      <c r="J93" s="3">
        <v>157135.67000000001</v>
      </c>
      <c r="K93" s="3">
        <v>143461.20000000001</v>
      </c>
      <c r="L93" s="3">
        <f t="shared" si="9"/>
        <v>122288.25</v>
      </c>
      <c r="M93" s="3">
        <v>15376128.19999999</v>
      </c>
      <c r="N93" s="3">
        <v>17987271.949999999</v>
      </c>
      <c r="O93" s="3">
        <v>17565578.140000001</v>
      </c>
      <c r="P93" s="3">
        <f t="shared" si="10"/>
        <v>16976326.096666664</v>
      </c>
      <c r="Q93" s="3">
        <v>532385</v>
      </c>
      <c r="R93" s="3">
        <v>693558.70000000007</v>
      </c>
      <c r="S93" s="3">
        <v>765450.49</v>
      </c>
      <c r="T93" s="3">
        <f t="shared" si="11"/>
        <v>663798.06333333335</v>
      </c>
      <c r="U93" s="12">
        <v>0.49525591160040006</v>
      </c>
      <c r="V93" s="12">
        <v>3.9101396824821331</v>
      </c>
    </row>
    <row r="94" spans="1:22" x14ac:dyDescent="0.3">
      <c r="A94" s="3">
        <v>21204</v>
      </c>
      <c r="B94" s="3" t="s">
        <v>123</v>
      </c>
      <c r="C94" s="3" t="s">
        <v>45</v>
      </c>
      <c r="D94" s="3" t="s">
        <v>120</v>
      </c>
      <c r="E94" s="3">
        <v>8769280.7299999986</v>
      </c>
      <c r="F94" s="3">
        <v>10214002.583084861</v>
      </c>
      <c r="G94" s="3">
        <v>12110937.48</v>
      </c>
      <c r="H94" s="3">
        <f t="shared" si="8"/>
        <v>10364740.26436162</v>
      </c>
      <c r="I94" s="3">
        <v>23755.96</v>
      </c>
      <c r="J94" s="3">
        <v>37268.94</v>
      </c>
      <c r="K94" s="3">
        <v>23598.76</v>
      </c>
      <c r="L94" s="3">
        <f t="shared" si="9"/>
        <v>28207.886666666669</v>
      </c>
      <c r="M94" s="3">
        <v>5522039.2699999958</v>
      </c>
      <c r="N94" s="3">
        <v>6461468.6799999997</v>
      </c>
      <c r="O94" s="3">
        <v>6312522.3100000015</v>
      </c>
      <c r="P94" s="3">
        <f t="shared" si="10"/>
        <v>6098676.7533333329</v>
      </c>
      <c r="Q94" s="3">
        <v>9276.2000000000007</v>
      </c>
      <c r="R94" s="3">
        <v>13218.85</v>
      </c>
      <c r="S94" s="3">
        <v>48326.280000000013</v>
      </c>
      <c r="T94" s="3">
        <f t="shared" si="11"/>
        <v>23607.110000000004</v>
      </c>
      <c r="U94" s="12">
        <v>0.27215237379037244</v>
      </c>
      <c r="V94" s="12">
        <v>0.38708577212420953</v>
      </c>
    </row>
    <row r="95" spans="1:22" x14ac:dyDescent="0.3">
      <c r="A95" s="3">
        <v>21301</v>
      </c>
      <c r="B95" s="3" t="s">
        <v>58</v>
      </c>
      <c r="C95" s="3" t="s">
        <v>45</v>
      </c>
      <c r="D95" s="3" t="s">
        <v>59</v>
      </c>
      <c r="E95" s="3">
        <v>27399758.559999999</v>
      </c>
      <c r="F95" s="3">
        <v>32001255.256604809</v>
      </c>
      <c r="G95" s="3">
        <v>38185869.319999993</v>
      </c>
      <c r="H95" s="3">
        <f t="shared" si="8"/>
        <v>32528961.045534935</v>
      </c>
      <c r="I95" s="3">
        <v>55783.02</v>
      </c>
      <c r="J95" s="3">
        <v>96199.989999999991</v>
      </c>
      <c r="K95" s="3">
        <v>268553.61</v>
      </c>
      <c r="L95" s="3">
        <f t="shared" si="9"/>
        <v>140178.87333333332</v>
      </c>
      <c r="M95" s="3">
        <v>26749592.929999981</v>
      </c>
      <c r="N95" s="3">
        <v>41840047.950000003</v>
      </c>
      <c r="O95" s="3">
        <v>31962324.07</v>
      </c>
      <c r="P95" s="3">
        <f t="shared" si="10"/>
        <v>33517321.649999995</v>
      </c>
      <c r="Q95" s="3">
        <v>84426.64</v>
      </c>
      <c r="R95" s="3">
        <v>10765213.029999999</v>
      </c>
      <c r="S95" s="3">
        <v>1774391.28</v>
      </c>
      <c r="T95" s="3">
        <f t="shared" si="11"/>
        <v>4208010.3166666664</v>
      </c>
      <c r="U95" s="12">
        <v>0.43093559962492217</v>
      </c>
      <c r="V95" s="12">
        <v>12.554733223042799</v>
      </c>
    </row>
    <row r="96" spans="1:22" x14ac:dyDescent="0.3">
      <c r="A96" s="3">
        <v>21302</v>
      </c>
      <c r="B96" s="3" t="s">
        <v>60</v>
      </c>
      <c r="C96" s="3" t="s">
        <v>45</v>
      </c>
      <c r="D96" s="3" t="s">
        <v>59</v>
      </c>
      <c r="E96" s="3">
        <v>9723340.9100000001</v>
      </c>
      <c r="F96" s="3">
        <v>11370692.61530441</v>
      </c>
      <c r="G96" s="3">
        <v>13515368.17</v>
      </c>
      <c r="H96" s="3">
        <f t="shared" si="8"/>
        <v>11536467.231768137</v>
      </c>
      <c r="I96" s="3">
        <v>852.61000000000433</v>
      </c>
      <c r="J96" s="3">
        <v>5039.79</v>
      </c>
      <c r="K96" s="3">
        <v>2306.71</v>
      </c>
      <c r="L96" s="3">
        <f t="shared" si="9"/>
        <v>2733.0366666666682</v>
      </c>
      <c r="M96" s="3">
        <v>7584801.9699999969</v>
      </c>
      <c r="N96" s="3">
        <v>8857102.2200000007</v>
      </c>
      <c r="O96" s="3">
        <v>8624375.6099999994</v>
      </c>
      <c r="P96" s="3">
        <f t="shared" si="10"/>
        <v>8355426.5999999987</v>
      </c>
      <c r="Q96" s="3">
        <v>4569.18</v>
      </c>
      <c r="R96" s="3">
        <v>22016.9</v>
      </c>
      <c r="S96" s="3">
        <v>41465</v>
      </c>
      <c r="T96" s="3">
        <f t="shared" si="11"/>
        <v>22683.693333333333</v>
      </c>
      <c r="U96" s="12">
        <v>2.3690412426610682E-2</v>
      </c>
      <c r="V96" s="12">
        <v>0.27148456230030599</v>
      </c>
    </row>
    <row r="97" spans="1:22" x14ac:dyDescent="0.3">
      <c r="A97" s="3">
        <v>21303</v>
      </c>
      <c r="B97" s="3" t="s">
        <v>61</v>
      </c>
      <c r="C97" s="3" t="s">
        <v>45</v>
      </c>
      <c r="D97" s="3" t="s">
        <v>59</v>
      </c>
      <c r="E97" s="3">
        <v>7438946.8399999999</v>
      </c>
      <c r="F97" s="3">
        <v>8586025.3579216674</v>
      </c>
      <c r="G97" s="3">
        <v>10218655.460000001</v>
      </c>
      <c r="H97" s="3">
        <f t="shared" si="8"/>
        <v>8747875.8859738894</v>
      </c>
      <c r="I97" s="3">
        <v>63583.93</v>
      </c>
      <c r="J97" s="3">
        <v>10721.95</v>
      </c>
      <c r="K97" s="3">
        <v>33918.92</v>
      </c>
      <c r="L97" s="3">
        <f t="shared" si="9"/>
        <v>36074.933333333334</v>
      </c>
      <c r="M97" s="3">
        <v>6676394.5499999933</v>
      </c>
      <c r="N97" s="3">
        <v>8085820.2500000009</v>
      </c>
      <c r="O97" s="3">
        <v>8211775.8800000018</v>
      </c>
      <c r="P97" s="3">
        <f t="shared" si="10"/>
        <v>7657996.8933333317</v>
      </c>
      <c r="Q97" s="3">
        <v>34929.449999999997</v>
      </c>
      <c r="R97" s="3">
        <v>347388.97</v>
      </c>
      <c r="S97" s="3">
        <v>694220.50000000012</v>
      </c>
      <c r="T97" s="3">
        <f t="shared" si="11"/>
        <v>358846.3066666667</v>
      </c>
      <c r="U97" s="12">
        <v>0.41238506128299007</v>
      </c>
      <c r="V97" s="12">
        <v>4.6859030065559351</v>
      </c>
    </row>
    <row r="98" spans="1:22" x14ac:dyDescent="0.3">
      <c r="A98" s="3">
        <v>21304</v>
      </c>
      <c r="B98" s="3" t="s">
        <v>62</v>
      </c>
      <c r="C98" s="3" t="s">
        <v>45</v>
      </c>
      <c r="D98" s="3" t="s">
        <v>59</v>
      </c>
      <c r="E98" s="3">
        <v>12514800.550000001</v>
      </c>
      <c r="F98" s="3">
        <v>14237163.60457916</v>
      </c>
      <c r="G98" s="3">
        <v>17168240.960000001</v>
      </c>
      <c r="H98" s="3">
        <f t="shared" ref="H98:H129" si="12">AVERAGE(E98:G98)</f>
        <v>14640068.371526388</v>
      </c>
      <c r="I98" s="3">
        <v>293897.37</v>
      </c>
      <c r="J98" s="3">
        <v>5203.88</v>
      </c>
      <c r="K98" s="3">
        <v>262781.63</v>
      </c>
      <c r="L98" s="3">
        <f t="shared" ref="L98:L129" si="13">AVERAGE(I98:K98)</f>
        <v>187294.29333333333</v>
      </c>
      <c r="M98" s="3">
        <v>18474504.479999989</v>
      </c>
      <c r="N98" s="3">
        <v>20936566.390000001</v>
      </c>
      <c r="O98" s="3">
        <v>22184906.88000001</v>
      </c>
      <c r="P98" s="3">
        <f t="shared" ref="P98:P129" si="14">AVERAGE(M98:O98)</f>
        <v>20531992.583333332</v>
      </c>
      <c r="Q98" s="3">
        <v>7907997</v>
      </c>
      <c r="R98" s="3">
        <v>8617991.1400000006</v>
      </c>
      <c r="S98" s="3">
        <v>10217925.720000001</v>
      </c>
      <c r="T98" s="3">
        <f t="shared" ref="T98:T129" si="15">AVERAGE(Q98:S98)</f>
        <v>8914637.9533333331</v>
      </c>
      <c r="U98" s="12">
        <v>1.2793266300422736</v>
      </c>
      <c r="V98" s="12">
        <v>43.418279629468174</v>
      </c>
    </row>
    <row r="99" spans="1:22" x14ac:dyDescent="0.3">
      <c r="A99" s="3">
        <v>21305</v>
      </c>
      <c r="B99" s="3" t="s">
        <v>63</v>
      </c>
      <c r="C99" s="3" t="s">
        <v>45</v>
      </c>
      <c r="D99" s="3" t="s">
        <v>59</v>
      </c>
      <c r="E99" s="3">
        <v>20721836.91</v>
      </c>
      <c r="F99" s="3">
        <v>24393706.362110879</v>
      </c>
      <c r="G99" s="3">
        <v>29079638.16</v>
      </c>
      <c r="H99" s="3">
        <f t="shared" si="12"/>
        <v>24731727.14403696</v>
      </c>
      <c r="I99" s="3">
        <v>436728.29</v>
      </c>
      <c r="J99" s="3">
        <v>658870.09000000008</v>
      </c>
      <c r="K99" s="3">
        <v>855218.91000000015</v>
      </c>
      <c r="L99" s="3">
        <f t="shared" si="13"/>
        <v>650272.43000000005</v>
      </c>
      <c r="M99" s="3">
        <v>24899884.669999979</v>
      </c>
      <c r="N99" s="3">
        <v>25876702.16</v>
      </c>
      <c r="O99" s="3">
        <v>25336143.989999998</v>
      </c>
      <c r="P99" s="3">
        <f t="shared" si="14"/>
        <v>25370910.273333326</v>
      </c>
      <c r="Q99" s="3">
        <v>5431688.29</v>
      </c>
      <c r="R99" s="3">
        <v>3192016.25</v>
      </c>
      <c r="S99" s="3">
        <v>3298903.24</v>
      </c>
      <c r="T99" s="3">
        <f t="shared" si="15"/>
        <v>3974202.5933333333</v>
      </c>
      <c r="U99" s="12">
        <v>2.6293045617591919</v>
      </c>
      <c r="V99" s="12">
        <v>15.664406797065178</v>
      </c>
    </row>
    <row r="100" spans="1:22" x14ac:dyDescent="0.3">
      <c r="A100" s="3">
        <v>21306</v>
      </c>
      <c r="B100" s="3" t="s">
        <v>64</v>
      </c>
      <c r="C100" s="3" t="s">
        <v>45</v>
      </c>
      <c r="D100" s="3" t="s">
        <v>59</v>
      </c>
      <c r="E100" s="3">
        <v>8378466.2199999997</v>
      </c>
      <c r="F100" s="3">
        <v>9742414.4769223835</v>
      </c>
      <c r="G100" s="3">
        <v>11629201.25</v>
      </c>
      <c r="H100" s="3">
        <f t="shared" si="12"/>
        <v>9916693.982307462</v>
      </c>
      <c r="I100" s="3">
        <v>162740.42000000001</v>
      </c>
      <c r="J100" s="3">
        <v>173587.24</v>
      </c>
      <c r="K100" s="3">
        <v>261648.65999999989</v>
      </c>
      <c r="L100" s="3">
        <f t="shared" si="13"/>
        <v>199325.43999999997</v>
      </c>
      <c r="M100" s="3">
        <v>8749801.1299999952</v>
      </c>
      <c r="N100" s="3">
        <v>10227113.720000001</v>
      </c>
      <c r="O100" s="3">
        <v>9925278.9100000001</v>
      </c>
      <c r="P100" s="3">
        <f t="shared" si="14"/>
        <v>9634064.5866666641</v>
      </c>
      <c r="Q100" s="3">
        <v>337587.13</v>
      </c>
      <c r="R100" s="3">
        <v>423399.96</v>
      </c>
      <c r="S100" s="3">
        <v>401384.6</v>
      </c>
      <c r="T100" s="3">
        <f t="shared" si="15"/>
        <v>387457.23</v>
      </c>
      <c r="U100" s="12">
        <v>2.0099989003958352</v>
      </c>
      <c r="V100" s="12">
        <v>4.0217420852277908</v>
      </c>
    </row>
    <row r="101" spans="1:22" x14ac:dyDescent="0.3">
      <c r="A101" s="3">
        <v>21307</v>
      </c>
      <c r="B101" s="3" t="s">
        <v>65</v>
      </c>
      <c r="C101" s="3" t="s">
        <v>45</v>
      </c>
      <c r="D101" s="3" t="s">
        <v>59</v>
      </c>
      <c r="E101" s="3">
        <v>3084118.47</v>
      </c>
      <c r="F101" s="3">
        <v>3488351.4739019638</v>
      </c>
      <c r="G101" s="3">
        <v>4261407.88</v>
      </c>
      <c r="H101" s="3">
        <f t="shared" si="12"/>
        <v>3611292.6079673208</v>
      </c>
      <c r="I101" s="3">
        <v>168635.49</v>
      </c>
      <c r="J101" s="3">
        <v>56089.03</v>
      </c>
      <c r="K101" s="3">
        <v>174300.18</v>
      </c>
      <c r="L101" s="3">
        <f t="shared" si="13"/>
        <v>133008.23333333331</v>
      </c>
      <c r="M101" s="3">
        <v>4642190.9499999983</v>
      </c>
      <c r="N101" s="3">
        <v>5353797.4800000004</v>
      </c>
      <c r="O101" s="3">
        <v>5376301.9899999993</v>
      </c>
      <c r="P101" s="3">
        <f t="shared" si="14"/>
        <v>5124096.8066666657</v>
      </c>
      <c r="Q101" s="3">
        <v>348216.48</v>
      </c>
      <c r="R101" s="3">
        <v>350550.94000000012</v>
      </c>
      <c r="S101" s="3">
        <v>515868.38</v>
      </c>
      <c r="T101" s="3">
        <f t="shared" si="15"/>
        <v>404878.60000000009</v>
      </c>
      <c r="U101" s="12">
        <v>3.6831198070155637</v>
      </c>
      <c r="V101" s="12">
        <v>7.9014627411651546</v>
      </c>
    </row>
    <row r="102" spans="1:22" x14ac:dyDescent="0.3">
      <c r="A102" s="3">
        <v>21401</v>
      </c>
      <c r="B102" s="3" t="s">
        <v>124</v>
      </c>
      <c r="C102" s="3" t="s">
        <v>45</v>
      </c>
      <c r="D102" s="3" t="s">
        <v>125</v>
      </c>
      <c r="E102" s="3">
        <v>13838795.41</v>
      </c>
      <c r="F102" s="3">
        <v>15795690.734560041</v>
      </c>
      <c r="G102" s="3">
        <v>19406151.629999999</v>
      </c>
      <c r="H102" s="3">
        <f t="shared" si="12"/>
        <v>16346879.258186677</v>
      </c>
      <c r="I102" s="3">
        <v>1868515.93</v>
      </c>
      <c r="J102" s="3">
        <v>1602400.08</v>
      </c>
      <c r="K102" s="3">
        <v>2479538.44</v>
      </c>
      <c r="L102" s="3">
        <f t="shared" si="13"/>
        <v>1983484.8166666664</v>
      </c>
      <c r="M102" s="3">
        <v>19205056.159999989</v>
      </c>
      <c r="N102" s="3">
        <v>23361839.760000002</v>
      </c>
      <c r="O102" s="3">
        <v>21166176.559999999</v>
      </c>
      <c r="P102" s="3">
        <f t="shared" si="14"/>
        <v>21244357.493333329</v>
      </c>
      <c r="Q102" s="3">
        <v>2683858.91</v>
      </c>
      <c r="R102" s="3">
        <v>4112013.51</v>
      </c>
      <c r="S102" s="3">
        <v>2465763.84</v>
      </c>
      <c r="T102" s="3">
        <f t="shared" si="15"/>
        <v>3087212.0866666664</v>
      </c>
      <c r="U102" s="12">
        <v>12.13372158281109</v>
      </c>
      <c r="V102" s="12">
        <v>14.531915533973956</v>
      </c>
    </row>
    <row r="103" spans="1:22" x14ac:dyDescent="0.3">
      <c r="A103" s="3">
        <v>21402</v>
      </c>
      <c r="B103" s="3" t="s">
        <v>126</v>
      </c>
      <c r="C103" s="3" t="s">
        <v>45</v>
      </c>
      <c r="D103" s="3" t="s">
        <v>125</v>
      </c>
      <c r="E103" s="3">
        <v>11462270.310000001</v>
      </c>
      <c r="F103" s="3">
        <v>13564454.478230899</v>
      </c>
      <c r="G103" s="3">
        <v>15943937.539999999</v>
      </c>
      <c r="H103" s="3">
        <f t="shared" si="12"/>
        <v>13656887.442743635</v>
      </c>
      <c r="I103" s="3">
        <v>177427.07</v>
      </c>
      <c r="J103" s="3">
        <v>226502.66</v>
      </c>
      <c r="K103" s="3">
        <v>48021.05</v>
      </c>
      <c r="L103" s="3">
        <f t="shared" si="13"/>
        <v>150650.25999999998</v>
      </c>
      <c r="M103" s="3">
        <v>14758928.399999989</v>
      </c>
      <c r="N103" s="3">
        <v>17292358.16</v>
      </c>
      <c r="O103" s="3">
        <v>17004119.989999998</v>
      </c>
      <c r="P103" s="3">
        <f t="shared" si="14"/>
        <v>16351802.183333328</v>
      </c>
      <c r="Q103" s="3">
        <v>326539.32</v>
      </c>
      <c r="R103" s="3">
        <v>490898.95</v>
      </c>
      <c r="S103" s="3">
        <v>682197.35000000009</v>
      </c>
      <c r="T103" s="3">
        <f t="shared" si="15"/>
        <v>499878.54000000004</v>
      </c>
      <c r="U103" s="12">
        <v>1.1031083080357782</v>
      </c>
      <c r="V103" s="12">
        <v>3.0570241395746836</v>
      </c>
    </row>
    <row r="104" spans="1:22" x14ac:dyDescent="0.3">
      <c r="A104" s="3">
        <v>21501</v>
      </c>
      <c r="B104" s="3" t="s">
        <v>127</v>
      </c>
      <c r="C104" s="3" t="s">
        <v>45</v>
      </c>
      <c r="D104" s="3" t="s">
        <v>128</v>
      </c>
      <c r="E104" s="3">
        <v>6990157.3799999999</v>
      </c>
      <c r="F104" s="3">
        <v>6853049.8103478216</v>
      </c>
      <c r="G104" s="3">
        <v>7795008.8000000007</v>
      </c>
      <c r="H104" s="3">
        <f t="shared" si="12"/>
        <v>7212738.6634492734</v>
      </c>
      <c r="I104" s="3">
        <v>1377112.35</v>
      </c>
      <c r="J104" s="3">
        <v>252597.66</v>
      </c>
      <c r="K104" s="3">
        <v>222266.46</v>
      </c>
      <c r="L104" s="3">
        <f t="shared" si="13"/>
        <v>617325.49</v>
      </c>
      <c r="M104" s="3">
        <v>9177173.7899999935</v>
      </c>
      <c r="N104" s="3">
        <v>10169985.550000001</v>
      </c>
      <c r="O104" s="3">
        <v>10578375.050000001</v>
      </c>
      <c r="P104" s="3">
        <f t="shared" si="14"/>
        <v>9975178.129999999</v>
      </c>
      <c r="Q104" s="3">
        <v>1202789.43</v>
      </c>
      <c r="R104" s="3">
        <v>879367.41</v>
      </c>
      <c r="S104" s="3">
        <v>1552932.19</v>
      </c>
      <c r="T104" s="3">
        <f t="shared" si="15"/>
        <v>1211696.3433333333</v>
      </c>
      <c r="U104" s="12">
        <v>8.5588223669923291</v>
      </c>
      <c r="V104" s="12">
        <v>12.147114843886335</v>
      </c>
    </row>
    <row r="105" spans="1:22" x14ac:dyDescent="0.3">
      <c r="A105" s="3">
        <v>21502</v>
      </c>
      <c r="B105" s="3" t="s">
        <v>129</v>
      </c>
      <c r="C105" s="3" t="s">
        <v>45</v>
      </c>
      <c r="D105" s="3" t="s">
        <v>128</v>
      </c>
      <c r="E105" s="3">
        <v>6521804.1000000006</v>
      </c>
      <c r="F105" s="3">
        <v>7498080.5221916661</v>
      </c>
      <c r="G105" s="3">
        <v>9724314.8200000003</v>
      </c>
      <c r="H105" s="3">
        <f t="shared" si="12"/>
        <v>7914733.1473972229</v>
      </c>
      <c r="I105" s="3">
        <v>402066.5</v>
      </c>
      <c r="J105" s="3">
        <v>262879</v>
      </c>
      <c r="K105" s="3">
        <v>816215.44</v>
      </c>
      <c r="L105" s="3">
        <f t="shared" si="13"/>
        <v>493720.3133333333</v>
      </c>
      <c r="M105" s="3">
        <v>8618450.5299999937</v>
      </c>
      <c r="N105" s="3">
        <v>10109622.99</v>
      </c>
      <c r="O105" s="3">
        <v>9178913.5199999996</v>
      </c>
      <c r="P105" s="3">
        <f t="shared" si="14"/>
        <v>9302329.0133333318</v>
      </c>
      <c r="Q105" s="3">
        <v>1200059.3999999999</v>
      </c>
      <c r="R105" s="3">
        <v>1465087.36</v>
      </c>
      <c r="S105" s="3">
        <v>781113.91999999993</v>
      </c>
      <c r="T105" s="3">
        <f t="shared" si="15"/>
        <v>1148753.5599999998</v>
      </c>
      <c r="U105" s="12">
        <v>6.2379906452777156</v>
      </c>
      <c r="V105" s="12">
        <v>12.349096214006771</v>
      </c>
    </row>
    <row r="106" spans="1:22" x14ac:dyDescent="0.3">
      <c r="A106" s="3">
        <v>21601</v>
      </c>
      <c r="B106" s="3" t="s">
        <v>130</v>
      </c>
      <c r="C106" s="3" t="s">
        <v>45</v>
      </c>
      <c r="D106" s="3" t="s">
        <v>131</v>
      </c>
      <c r="E106" s="3">
        <v>9778273.2900000028</v>
      </c>
      <c r="F106" s="3">
        <v>11640588.815548699</v>
      </c>
      <c r="G106" s="3">
        <v>14098940.01</v>
      </c>
      <c r="H106" s="3">
        <f t="shared" si="12"/>
        <v>11839267.371849567</v>
      </c>
      <c r="I106" s="3">
        <v>21536.65</v>
      </c>
      <c r="J106" s="3">
        <v>296821.46999999997</v>
      </c>
      <c r="K106" s="3">
        <v>624125.48</v>
      </c>
      <c r="L106" s="3">
        <f t="shared" si="13"/>
        <v>314161.2</v>
      </c>
      <c r="M106" s="3">
        <v>11157690.42999999</v>
      </c>
      <c r="N106" s="3">
        <v>12994088.6</v>
      </c>
      <c r="O106" s="3">
        <v>12688174.300000001</v>
      </c>
      <c r="P106" s="3">
        <f t="shared" si="14"/>
        <v>12279984.44333333</v>
      </c>
      <c r="Q106" s="3">
        <v>65703.950000000012</v>
      </c>
      <c r="R106" s="3">
        <v>70120.98000000001</v>
      </c>
      <c r="S106" s="3">
        <v>133078.62</v>
      </c>
      <c r="T106" s="3">
        <f t="shared" si="15"/>
        <v>89634.516666666677</v>
      </c>
      <c r="U106" s="12">
        <v>2.6535527083963539</v>
      </c>
      <c r="V106" s="12">
        <v>0.72992369884742225</v>
      </c>
    </row>
    <row r="107" spans="1:22" x14ac:dyDescent="0.3">
      <c r="A107" s="3">
        <v>21602</v>
      </c>
      <c r="B107" s="3" t="s">
        <v>132</v>
      </c>
      <c r="C107" s="3" t="s">
        <v>45</v>
      </c>
      <c r="D107" s="3" t="s">
        <v>77</v>
      </c>
      <c r="E107" s="3">
        <v>2565477.2799999998</v>
      </c>
      <c r="F107" s="3">
        <v>2662495.3489663498</v>
      </c>
      <c r="G107" s="3">
        <v>3488934.1600000011</v>
      </c>
      <c r="H107" s="3">
        <f t="shared" si="12"/>
        <v>2905635.5963221169</v>
      </c>
      <c r="I107" s="3">
        <v>284354.93</v>
      </c>
      <c r="J107" s="3">
        <v>12135.81</v>
      </c>
      <c r="K107" s="3">
        <v>341941.77</v>
      </c>
      <c r="L107" s="3">
        <f t="shared" si="13"/>
        <v>212810.83666666667</v>
      </c>
      <c r="M107" s="3">
        <v>3618736.4999999972</v>
      </c>
      <c r="N107" s="3">
        <v>3780974.86</v>
      </c>
      <c r="O107" s="3">
        <v>4188618.45</v>
      </c>
      <c r="P107" s="3">
        <f t="shared" si="14"/>
        <v>3862776.603333333</v>
      </c>
      <c r="Q107" s="3">
        <v>821329.81</v>
      </c>
      <c r="R107" s="3">
        <v>521458.26</v>
      </c>
      <c r="S107" s="3">
        <v>1022148.43</v>
      </c>
      <c r="T107" s="3">
        <f t="shared" si="15"/>
        <v>788312.16666666663</v>
      </c>
      <c r="U107" s="12">
        <v>7.3240717774808886</v>
      </c>
      <c r="V107" s="12">
        <v>20.407915021189751</v>
      </c>
    </row>
    <row r="108" spans="1:22" x14ac:dyDescent="0.3">
      <c r="A108" s="3">
        <v>21701</v>
      </c>
      <c r="B108" s="3" t="s">
        <v>83</v>
      </c>
      <c r="C108" s="3" t="s">
        <v>45</v>
      </c>
      <c r="D108" s="3" t="s">
        <v>84</v>
      </c>
      <c r="E108" s="3">
        <v>15898149.359999999</v>
      </c>
      <c r="F108" s="3">
        <v>18448848.691399869</v>
      </c>
      <c r="G108" s="3">
        <v>21647111.440000001</v>
      </c>
      <c r="H108" s="3">
        <f t="shared" si="12"/>
        <v>18664703.163799956</v>
      </c>
      <c r="I108" s="3">
        <v>1412360.83</v>
      </c>
      <c r="J108" s="3">
        <v>1374088.25</v>
      </c>
      <c r="K108" s="3">
        <v>1310024.8</v>
      </c>
      <c r="L108" s="3">
        <f t="shared" si="13"/>
        <v>1365491.2933333332</v>
      </c>
      <c r="M108" s="3">
        <v>14051025.739999991</v>
      </c>
      <c r="N108" s="3">
        <v>16410532.310000001</v>
      </c>
      <c r="O108" s="3">
        <v>16179937.24</v>
      </c>
      <c r="P108" s="3">
        <f t="shared" si="14"/>
        <v>15547165.096666664</v>
      </c>
      <c r="Q108" s="3">
        <v>1333853.27</v>
      </c>
      <c r="R108" s="3">
        <v>1592975.09</v>
      </c>
      <c r="S108" s="3">
        <v>1785295.33</v>
      </c>
      <c r="T108" s="3">
        <f t="shared" si="15"/>
        <v>1570707.8966666667</v>
      </c>
      <c r="U108" s="12">
        <v>7.3159014710809469</v>
      </c>
      <c r="V108" s="12">
        <v>10.102857253400037</v>
      </c>
    </row>
    <row r="109" spans="1:22" x14ac:dyDescent="0.3">
      <c r="A109" s="3">
        <v>21702</v>
      </c>
      <c r="B109" s="3" t="s">
        <v>85</v>
      </c>
      <c r="C109" s="3" t="s">
        <v>45</v>
      </c>
      <c r="D109" s="3" t="s">
        <v>84</v>
      </c>
      <c r="E109" s="3">
        <v>6073146.2400000002</v>
      </c>
      <c r="F109" s="3">
        <v>7142409.5375786554</v>
      </c>
      <c r="G109" s="3">
        <v>8530355.2799999993</v>
      </c>
      <c r="H109" s="3">
        <f t="shared" si="12"/>
        <v>7248637.0191928847</v>
      </c>
      <c r="I109" s="3">
        <v>8029</v>
      </c>
      <c r="J109" s="3">
        <v>152.96</v>
      </c>
      <c r="K109" s="3">
        <v>25059</v>
      </c>
      <c r="L109" s="3">
        <f t="shared" si="13"/>
        <v>11080.32</v>
      </c>
      <c r="M109" s="3">
        <v>5269631.1899999985</v>
      </c>
      <c r="N109" s="3">
        <v>6071876.3299999991</v>
      </c>
      <c r="O109" s="3">
        <v>6008150.71</v>
      </c>
      <c r="P109" s="3">
        <f t="shared" si="14"/>
        <v>5783219.4099999992</v>
      </c>
      <c r="Q109" s="3">
        <v>117081.69</v>
      </c>
      <c r="R109" s="3">
        <v>66257.5</v>
      </c>
      <c r="S109" s="3">
        <v>173953</v>
      </c>
      <c r="T109" s="3">
        <f t="shared" si="15"/>
        <v>119097.39666666667</v>
      </c>
      <c r="U109" s="12">
        <v>0.15286073741396644</v>
      </c>
      <c r="V109" s="12">
        <v>2.0593615462821715</v>
      </c>
    </row>
    <row r="110" spans="1:22" x14ac:dyDescent="0.3">
      <c r="A110" s="3">
        <v>21703</v>
      </c>
      <c r="B110" s="3" t="s">
        <v>86</v>
      </c>
      <c r="C110" s="3" t="s">
        <v>45</v>
      </c>
      <c r="D110" s="3" t="s">
        <v>84</v>
      </c>
      <c r="E110" s="3">
        <v>2238095.11</v>
      </c>
      <c r="F110" s="3">
        <v>2619361.3654874638</v>
      </c>
      <c r="G110" s="3">
        <v>3116776.580000001</v>
      </c>
      <c r="H110" s="3">
        <f t="shared" si="12"/>
        <v>2658077.6851624879</v>
      </c>
      <c r="I110" s="3">
        <v>0</v>
      </c>
      <c r="J110" s="3">
        <v>35.99</v>
      </c>
      <c r="K110" s="3">
        <v>1672.51</v>
      </c>
      <c r="L110" s="3">
        <f t="shared" si="13"/>
        <v>569.5</v>
      </c>
      <c r="M110" s="3">
        <v>5335305.179999995</v>
      </c>
      <c r="N110" s="3">
        <v>6232996.5399999991</v>
      </c>
      <c r="O110" s="3">
        <v>6075452.6499999994</v>
      </c>
      <c r="P110" s="3">
        <f t="shared" si="14"/>
        <v>5881251.4566666642</v>
      </c>
      <c r="Q110" s="3">
        <v>3017.5</v>
      </c>
      <c r="R110" s="3">
        <v>19957</v>
      </c>
      <c r="S110" s="3">
        <v>39753.800000000003</v>
      </c>
      <c r="T110" s="3">
        <f t="shared" si="15"/>
        <v>20909.433333333334</v>
      </c>
      <c r="U110" s="12">
        <v>2.1425257929028007E-2</v>
      </c>
      <c r="V110" s="12">
        <v>0.35552693992758205</v>
      </c>
    </row>
    <row r="111" spans="1:22" x14ac:dyDescent="0.3">
      <c r="A111" s="3">
        <v>21801</v>
      </c>
      <c r="B111" s="3" t="s">
        <v>133</v>
      </c>
      <c r="C111" s="3" t="s">
        <v>45</v>
      </c>
      <c r="D111" s="3" t="s">
        <v>134</v>
      </c>
      <c r="E111" s="3">
        <v>9019680.7399999984</v>
      </c>
      <c r="F111" s="3">
        <v>9218779.3037620727</v>
      </c>
      <c r="G111" s="3">
        <v>10936945.52</v>
      </c>
      <c r="H111" s="3">
        <f t="shared" si="12"/>
        <v>9725135.1879206914</v>
      </c>
      <c r="I111" s="3">
        <v>1051531.69</v>
      </c>
      <c r="J111" s="3">
        <v>11.97999999998137</v>
      </c>
      <c r="K111" s="3">
        <v>6512.71</v>
      </c>
      <c r="L111" s="3">
        <f t="shared" si="13"/>
        <v>352685.45999999996</v>
      </c>
      <c r="M111" s="3">
        <v>7583746.339999998</v>
      </c>
      <c r="N111" s="3">
        <v>8823040.25</v>
      </c>
      <c r="O111" s="3">
        <v>8542322.3900000006</v>
      </c>
      <c r="P111" s="3">
        <f t="shared" si="14"/>
        <v>8316369.6599999992</v>
      </c>
      <c r="Q111" s="3">
        <v>40965.279999999999</v>
      </c>
      <c r="R111" s="3">
        <v>32615.03</v>
      </c>
      <c r="S111" s="3">
        <v>2797</v>
      </c>
      <c r="T111" s="3">
        <f t="shared" si="15"/>
        <v>25459.103333333333</v>
      </c>
      <c r="U111" s="12">
        <v>3.6265352942143201</v>
      </c>
      <c r="V111" s="12">
        <v>0.30613241563547011</v>
      </c>
    </row>
    <row r="112" spans="1:22" x14ac:dyDescent="0.3">
      <c r="A112" s="3">
        <v>21802</v>
      </c>
      <c r="B112" s="3" t="s">
        <v>135</v>
      </c>
      <c r="C112" s="3" t="s">
        <v>45</v>
      </c>
      <c r="D112" s="3" t="s">
        <v>134</v>
      </c>
      <c r="E112" s="3">
        <v>6835920.9500000002</v>
      </c>
      <c r="F112" s="3">
        <v>7998781.7277116161</v>
      </c>
      <c r="G112" s="3">
        <v>10016375.52</v>
      </c>
      <c r="H112" s="3">
        <f t="shared" si="12"/>
        <v>8283692.7325705392</v>
      </c>
      <c r="I112" s="3">
        <v>33182.730000000003</v>
      </c>
      <c r="J112" s="3">
        <v>18543.990000000002</v>
      </c>
      <c r="K112" s="3">
        <v>515949.82</v>
      </c>
      <c r="L112" s="3">
        <f t="shared" si="13"/>
        <v>189225.51333333334</v>
      </c>
      <c r="M112" s="3">
        <v>6201716.6599999946</v>
      </c>
      <c r="N112" s="3">
        <v>7707354.6699999981</v>
      </c>
      <c r="O112" s="3">
        <v>7675281.8499999987</v>
      </c>
      <c r="P112" s="3">
        <f t="shared" si="14"/>
        <v>7194784.3933333308</v>
      </c>
      <c r="Q112" s="3">
        <v>237431.55</v>
      </c>
      <c r="R112" s="3">
        <v>757919.31</v>
      </c>
      <c r="S112" s="3">
        <v>924204</v>
      </c>
      <c r="T112" s="3">
        <f t="shared" si="15"/>
        <v>639851.62</v>
      </c>
      <c r="U112" s="12">
        <v>2.2843135234763126</v>
      </c>
      <c r="V112" s="12">
        <v>8.8932702499450151</v>
      </c>
    </row>
    <row r="113" spans="1:22" x14ac:dyDescent="0.3">
      <c r="A113" s="3">
        <v>21803</v>
      </c>
      <c r="B113" s="3" t="s">
        <v>136</v>
      </c>
      <c r="C113" s="3" t="s">
        <v>45</v>
      </c>
      <c r="D113" s="3" t="s">
        <v>134</v>
      </c>
      <c r="E113" s="3">
        <v>1659524.27</v>
      </c>
      <c r="F113" s="3">
        <v>1965702.1681357259</v>
      </c>
      <c r="G113" s="3">
        <v>2308325.87</v>
      </c>
      <c r="H113" s="3">
        <f t="shared" si="12"/>
        <v>1977850.7693785753</v>
      </c>
      <c r="I113" s="3">
        <v>47919.11</v>
      </c>
      <c r="J113" s="3">
        <v>92167.420000000013</v>
      </c>
      <c r="K113" s="3">
        <v>83404</v>
      </c>
      <c r="L113" s="3">
        <f t="shared" si="13"/>
        <v>74496.843333333338</v>
      </c>
      <c r="M113" s="3">
        <v>1710304.279999997</v>
      </c>
      <c r="N113" s="3">
        <v>2162734.6</v>
      </c>
      <c r="O113" s="3">
        <v>2151440.39</v>
      </c>
      <c r="P113" s="3">
        <f t="shared" si="14"/>
        <v>2008159.7566666659</v>
      </c>
      <c r="Q113" s="3">
        <v>4020.5</v>
      </c>
      <c r="R113" s="3">
        <v>174542.68</v>
      </c>
      <c r="S113" s="3">
        <v>220011.29</v>
      </c>
      <c r="T113" s="3">
        <f t="shared" si="15"/>
        <v>132858.15666666665</v>
      </c>
      <c r="U113" s="12">
        <v>3.7665553178584674</v>
      </c>
      <c r="V113" s="12">
        <v>6.6159157022047497</v>
      </c>
    </row>
    <row r="114" spans="1:22" x14ac:dyDescent="0.3">
      <c r="A114" s="3">
        <v>21901</v>
      </c>
      <c r="B114" s="3" t="s">
        <v>137</v>
      </c>
      <c r="C114" s="3" t="s">
        <v>45</v>
      </c>
      <c r="D114" s="3" t="s">
        <v>138</v>
      </c>
      <c r="E114" s="3">
        <v>4444719.459999999</v>
      </c>
      <c r="F114" s="3">
        <v>5196749.4300094489</v>
      </c>
      <c r="G114" s="3">
        <v>6299492.0500000007</v>
      </c>
      <c r="H114" s="3">
        <f t="shared" si="12"/>
        <v>5313653.6466698162</v>
      </c>
      <c r="I114" s="3">
        <v>14205.5</v>
      </c>
      <c r="J114" s="3">
        <v>1674.78</v>
      </c>
      <c r="K114" s="3">
        <v>118688.47</v>
      </c>
      <c r="L114" s="3">
        <f t="shared" si="13"/>
        <v>44856.25</v>
      </c>
      <c r="M114" s="3">
        <v>3955469.2499999972</v>
      </c>
      <c r="N114" s="3">
        <v>4626516.5599999996</v>
      </c>
      <c r="O114" s="3">
        <v>4539243.74</v>
      </c>
      <c r="P114" s="3">
        <f t="shared" si="14"/>
        <v>4373743.1833333327</v>
      </c>
      <c r="Q114" s="3">
        <v>45715.98</v>
      </c>
      <c r="R114" s="3">
        <v>68878.570000000007</v>
      </c>
      <c r="S114" s="3">
        <v>111700.98</v>
      </c>
      <c r="T114" s="3">
        <f t="shared" si="15"/>
        <v>75431.843333333338</v>
      </c>
      <c r="U114" s="12">
        <v>0.84416962381641869</v>
      </c>
      <c r="V114" s="12">
        <v>1.7246518638948745</v>
      </c>
    </row>
    <row r="115" spans="1:22" x14ac:dyDescent="0.3">
      <c r="A115" s="3">
        <v>21902</v>
      </c>
      <c r="B115" s="3" t="s">
        <v>139</v>
      </c>
      <c r="C115" s="3" t="s">
        <v>45</v>
      </c>
      <c r="D115" s="3" t="s">
        <v>138</v>
      </c>
      <c r="E115" s="3">
        <v>1742550.26</v>
      </c>
      <c r="F115" s="3">
        <v>2044756.9053908549</v>
      </c>
      <c r="G115" s="3">
        <v>2433210.71</v>
      </c>
      <c r="H115" s="3">
        <f t="shared" si="12"/>
        <v>2073505.9584636183</v>
      </c>
      <c r="I115" s="3">
        <v>0</v>
      </c>
      <c r="J115" s="3">
        <v>0</v>
      </c>
      <c r="K115" s="3">
        <v>0</v>
      </c>
      <c r="L115" s="3">
        <f t="shared" si="13"/>
        <v>0</v>
      </c>
      <c r="M115" s="3">
        <v>2454589.9300000002</v>
      </c>
      <c r="N115" s="3">
        <v>2858568.45</v>
      </c>
      <c r="O115" s="3">
        <v>2776964.75</v>
      </c>
      <c r="P115" s="3">
        <f t="shared" si="14"/>
        <v>2696707.7100000004</v>
      </c>
      <c r="Q115" s="3">
        <v>1300</v>
      </c>
      <c r="R115" s="3">
        <v>0</v>
      </c>
      <c r="S115" s="3">
        <v>0</v>
      </c>
      <c r="T115" s="3">
        <f t="shared" si="15"/>
        <v>433.33333333333331</v>
      </c>
      <c r="U115" s="12">
        <v>0</v>
      </c>
      <c r="V115" s="12">
        <v>1.6068976690593331E-2</v>
      </c>
    </row>
    <row r="116" spans="1:22" x14ac:dyDescent="0.3">
      <c r="A116" s="3">
        <v>22001</v>
      </c>
      <c r="B116" s="3" t="s">
        <v>56</v>
      </c>
      <c r="C116" s="3" t="s">
        <v>45</v>
      </c>
      <c r="D116" s="3" t="s">
        <v>57</v>
      </c>
      <c r="E116" s="3">
        <v>45312528.759999998</v>
      </c>
      <c r="F116" s="3">
        <v>57496093.648044609</v>
      </c>
      <c r="G116" s="3">
        <v>63967950.54999999</v>
      </c>
      <c r="H116" s="3">
        <f t="shared" si="12"/>
        <v>55592190.986014865</v>
      </c>
      <c r="I116" s="3">
        <v>2286349.4700000002</v>
      </c>
      <c r="J116" s="3">
        <v>6900775.5700000003</v>
      </c>
      <c r="K116" s="3">
        <v>3736502.86</v>
      </c>
      <c r="L116" s="3">
        <f t="shared" si="13"/>
        <v>4307875.9666666668</v>
      </c>
      <c r="M116" s="3">
        <v>50259505.78999994</v>
      </c>
      <c r="N116" s="3">
        <v>57230945.520000003</v>
      </c>
      <c r="O116" s="3">
        <v>58335523.04999999</v>
      </c>
      <c r="P116" s="3">
        <f t="shared" si="14"/>
        <v>55275324.786666639</v>
      </c>
      <c r="Q116" s="3">
        <v>7425045.2999999998</v>
      </c>
      <c r="R116" s="3">
        <v>7281749.8799999999</v>
      </c>
      <c r="S116" s="3">
        <v>9811907.709999999</v>
      </c>
      <c r="T116" s="3">
        <f t="shared" si="15"/>
        <v>8172900.9633333338</v>
      </c>
      <c r="U116" s="12">
        <v>7.7490667128956732</v>
      </c>
      <c r="V116" s="12">
        <v>14.785803602016607</v>
      </c>
    </row>
    <row r="117" spans="1:22" x14ac:dyDescent="0.3">
      <c r="A117" s="3">
        <v>22002</v>
      </c>
      <c r="B117" s="3" t="s">
        <v>149</v>
      </c>
      <c r="C117" s="3" t="s">
        <v>45</v>
      </c>
      <c r="D117" s="3" t="s">
        <v>57</v>
      </c>
      <c r="E117" s="3">
        <v>8616144.2200000007</v>
      </c>
      <c r="F117" s="3">
        <v>10153165.649226289</v>
      </c>
      <c r="G117" s="3">
        <v>11793187.800000001</v>
      </c>
      <c r="H117" s="3">
        <f t="shared" si="12"/>
        <v>10187499.223075431</v>
      </c>
      <c r="I117" s="3">
        <v>527702.57000000007</v>
      </c>
      <c r="J117" s="3">
        <v>642273.13</v>
      </c>
      <c r="K117" s="3">
        <v>471184.9</v>
      </c>
      <c r="L117" s="3">
        <f t="shared" si="13"/>
        <v>547053.53333333333</v>
      </c>
      <c r="M117" s="3">
        <v>10196385.50999999</v>
      </c>
      <c r="N117" s="3">
        <v>11586825.24</v>
      </c>
      <c r="O117" s="3">
        <v>11174254.460000001</v>
      </c>
      <c r="P117" s="3">
        <f t="shared" si="14"/>
        <v>10985821.736666664</v>
      </c>
      <c r="Q117" s="3">
        <v>668820.9</v>
      </c>
      <c r="R117" s="3">
        <v>478043.16</v>
      </c>
      <c r="S117" s="3">
        <v>382538.72</v>
      </c>
      <c r="T117" s="3">
        <f t="shared" si="15"/>
        <v>509800.9266666667</v>
      </c>
      <c r="U117" s="12">
        <v>5.36985104346528</v>
      </c>
      <c r="V117" s="12">
        <v>4.6405352179085266</v>
      </c>
    </row>
    <row r="118" spans="1:22" x14ac:dyDescent="0.3">
      <c r="A118" s="3">
        <v>30101</v>
      </c>
      <c r="B118" s="3" t="s">
        <v>152</v>
      </c>
      <c r="C118" s="3" t="s">
        <v>153</v>
      </c>
      <c r="D118" s="3" t="s">
        <v>154</v>
      </c>
      <c r="E118" s="3">
        <v>788016598.38000011</v>
      </c>
      <c r="F118" s="3">
        <v>928035851.69927788</v>
      </c>
      <c r="G118" s="3">
        <v>1120938571.1800001</v>
      </c>
      <c r="H118" s="3">
        <f t="shared" si="12"/>
        <v>945663673.75309277</v>
      </c>
      <c r="I118" s="3">
        <v>281048219.88999999</v>
      </c>
      <c r="J118" s="3">
        <v>312084389.23999989</v>
      </c>
      <c r="K118" s="3">
        <v>380582492.07999998</v>
      </c>
      <c r="L118" s="3">
        <f t="shared" si="13"/>
        <v>324571700.40333325</v>
      </c>
      <c r="M118" s="3">
        <v>1106836321.559999</v>
      </c>
      <c r="N118" s="3">
        <v>1225966208.74</v>
      </c>
      <c r="O118" s="3">
        <v>1248371883.6900001</v>
      </c>
      <c r="P118" s="3">
        <f t="shared" si="14"/>
        <v>1193724804.6633332</v>
      </c>
      <c r="Q118" s="3">
        <v>559126078.04000008</v>
      </c>
      <c r="R118" s="3">
        <v>586301422.20999992</v>
      </c>
      <c r="S118" s="3">
        <v>629265877.38</v>
      </c>
      <c r="T118" s="3">
        <f t="shared" si="15"/>
        <v>591564459.21000004</v>
      </c>
      <c r="U118" s="12">
        <v>34.32210725777302</v>
      </c>
      <c r="V118" s="12">
        <v>49.556183879151213</v>
      </c>
    </row>
    <row r="119" spans="1:22" x14ac:dyDescent="0.3">
      <c r="A119" s="3">
        <v>30201</v>
      </c>
      <c r="B119" s="3" t="s">
        <v>161</v>
      </c>
      <c r="C119" s="3" t="s">
        <v>153</v>
      </c>
      <c r="D119" s="3" t="s">
        <v>162</v>
      </c>
      <c r="E119" s="3">
        <v>29895180.68</v>
      </c>
      <c r="F119" s="3">
        <v>35182646.399570242</v>
      </c>
      <c r="G119" s="3">
        <v>41673075.059999987</v>
      </c>
      <c r="H119" s="3">
        <f t="shared" si="12"/>
        <v>35583634.046523415</v>
      </c>
      <c r="I119" s="3">
        <v>1849735.94</v>
      </c>
      <c r="J119" s="3">
        <v>2231979.12</v>
      </c>
      <c r="K119" s="3">
        <v>2353614.2400000002</v>
      </c>
      <c r="L119" s="3">
        <f t="shared" si="13"/>
        <v>2145109.7666666671</v>
      </c>
      <c r="M119" s="3">
        <v>26773724.999999981</v>
      </c>
      <c r="N119" s="3">
        <v>32127536.620000001</v>
      </c>
      <c r="O119" s="3">
        <v>26790309.52</v>
      </c>
      <c r="P119" s="3">
        <f t="shared" si="14"/>
        <v>28563857.046666663</v>
      </c>
      <c r="Q119" s="3">
        <v>6610312.0199999996</v>
      </c>
      <c r="R119" s="3">
        <v>8579491.9900000002</v>
      </c>
      <c r="S119" s="3">
        <v>3999118.6400000011</v>
      </c>
      <c r="T119" s="3">
        <f t="shared" si="15"/>
        <v>6396307.5500000007</v>
      </c>
      <c r="U119" s="12">
        <v>6.0283605768372839</v>
      </c>
      <c r="V119" s="12">
        <v>22.393010648211586</v>
      </c>
    </row>
    <row r="120" spans="1:22" x14ac:dyDescent="0.3">
      <c r="A120" s="3">
        <v>30202</v>
      </c>
      <c r="B120" s="3" t="s">
        <v>163</v>
      </c>
      <c r="C120" s="3" t="s">
        <v>153</v>
      </c>
      <c r="D120" s="3" t="s">
        <v>162</v>
      </c>
      <c r="E120" s="3">
        <v>5164136.3999999994</v>
      </c>
      <c r="F120" s="3">
        <v>6177530.4257248323</v>
      </c>
      <c r="G120" s="3">
        <v>7438576.1900000004</v>
      </c>
      <c r="H120" s="3">
        <f t="shared" si="12"/>
        <v>6260081.005241611</v>
      </c>
      <c r="I120" s="3">
        <v>210141.31</v>
      </c>
      <c r="J120" s="3">
        <v>349306.78</v>
      </c>
      <c r="K120" s="3">
        <v>481655.68000000011</v>
      </c>
      <c r="L120" s="3">
        <f t="shared" si="13"/>
        <v>347034.59000000008</v>
      </c>
      <c r="M120" s="3">
        <v>6467691.9499999946</v>
      </c>
      <c r="N120" s="3">
        <v>7609652.8100000015</v>
      </c>
      <c r="O120" s="3">
        <v>7413755.7000000002</v>
      </c>
      <c r="P120" s="3">
        <f t="shared" si="14"/>
        <v>7163700.1533333324</v>
      </c>
      <c r="Q120" s="3">
        <v>531010.11</v>
      </c>
      <c r="R120" s="3">
        <v>674326.19000000006</v>
      </c>
      <c r="S120" s="3">
        <v>701318.78</v>
      </c>
      <c r="T120" s="3">
        <f t="shared" si="15"/>
        <v>635551.69333333336</v>
      </c>
      <c r="U120" s="12">
        <v>5.5436118112437445</v>
      </c>
      <c r="V120" s="12">
        <v>8.8718355002282667</v>
      </c>
    </row>
    <row r="121" spans="1:22" x14ac:dyDescent="0.3">
      <c r="A121" s="3">
        <v>30203</v>
      </c>
      <c r="B121" s="3" t="s">
        <v>164</v>
      </c>
      <c r="C121" s="3" t="s">
        <v>153</v>
      </c>
      <c r="D121" s="3" t="s">
        <v>162</v>
      </c>
      <c r="E121" s="3">
        <v>6722027.6000000006</v>
      </c>
      <c r="F121" s="3">
        <v>7806961.2536482085</v>
      </c>
      <c r="G121" s="3">
        <v>9284364.6000000015</v>
      </c>
      <c r="H121" s="3">
        <f t="shared" si="12"/>
        <v>7937784.4845494032</v>
      </c>
      <c r="I121" s="3">
        <v>350924.63</v>
      </c>
      <c r="J121" s="3">
        <v>272982.18000000011</v>
      </c>
      <c r="K121" s="3">
        <v>281296.51</v>
      </c>
      <c r="L121" s="3">
        <f t="shared" si="13"/>
        <v>301734.44</v>
      </c>
      <c r="M121" s="3">
        <v>5516306.2799999947</v>
      </c>
      <c r="N121" s="3">
        <v>6221152.7699999996</v>
      </c>
      <c r="O121" s="3">
        <v>6051915.330000001</v>
      </c>
      <c r="P121" s="3">
        <f t="shared" si="14"/>
        <v>5929791.4599999981</v>
      </c>
      <c r="Q121" s="3">
        <v>624664.85</v>
      </c>
      <c r="R121" s="3">
        <v>510437.22</v>
      </c>
      <c r="S121" s="3">
        <v>524729.23</v>
      </c>
      <c r="T121" s="3">
        <f t="shared" si="15"/>
        <v>553277.1</v>
      </c>
      <c r="U121" s="12">
        <v>3.8012425329424686</v>
      </c>
      <c r="V121" s="12">
        <v>9.3304647175568665</v>
      </c>
    </row>
    <row r="122" spans="1:22" x14ac:dyDescent="0.3">
      <c r="A122" s="3">
        <v>30301</v>
      </c>
      <c r="B122" s="3" t="s">
        <v>165</v>
      </c>
      <c r="C122" s="3" t="s">
        <v>153</v>
      </c>
      <c r="D122" s="3" t="s">
        <v>166</v>
      </c>
      <c r="E122" s="3">
        <v>30350392.280000001</v>
      </c>
      <c r="F122" s="3">
        <v>35332461.471197426</v>
      </c>
      <c r="G122" s="3">
        <v>42580741.229999997</v>
      </c>
      <c r="H122" s="3">
        <f t="shared" si="12"/>
        <v>36087864.993732475</v>
      </c>
      <c r="I122" s="3">
        <v>707347.74999999977</v>
      </c>
      <c r="J122" s="3">
        <v>966144.38</v>
      </c>
      <c r="K122" s="3">
        <v>1693610.88</v>
      </c>
      <c r="L122" s="3">
        <f t="shared" si="13"/>
        <v>1122367.67</v>
      </c>
      <c r="M122" s="3">
        <v>23284185.079999961</v>
      </c>
      <c r="N122" s="3">
        <v>26140291.050000001</v>
      </c>
      <c r="O122" s="3">
        <v>25533962.989999998</v>
      </c>
      <c r="P122" s="3">
        <f t="shared" si="14"/>
        <v>24986146.37333332</v>
      </c>
      <c r="Q122" s="3">
        <v>2783308.36</v>
      </c>
      <c r="R122" s="3">
        <v>2196512.73</v>
      </c>
      <c r="S122" s="3">
        <v>2359757.2799999998</v>
      </c>
      <c r="T122" s="3">
        <f t="shared" si="15"/>
        <v>2446526.1233333331</v>
      </c>
      <c r="U122" s="12">
        <v>3.1100971758648681</v>
      </c>
      <c r="V122" s="12">
        <v>9.7915304216115899</v>
      </c>
    </row>
    <row r="123" spans="1:22" x14ac:dyDescent="0.3">
      <c r="A123" s="3">
        <v>30302</v>
      </c>
      <c r="B123" s="3" t="s">
        <v>167</v>
      </c>
      <c r="C123" s="3" t="s">
        <v>153</v>
      </c>
      <c r="D123" s="3" t="s">
        <v>166</v>
      </c>
      <c r="E123" s="3">
        <v>18240568.949999999</v>
      </c>
      <c r="F123" s="3">
        <v>21165437.5445401</v>
      </c>
      <c r="G123" s="3">
        <v>25211043.210000001</v>
      </c>
      <c r="H123" s="3">
        <f t="shared" si="12"/>
        <v>21539016.568180032</v>
      </c>
      <c r="I123" s="3">
        <v>135756.6</v>
      </c>
      <c r="J123" s="3">
        <v>106111.62</v>
      </c>
      <c r="K123" s="3">
        <v>112080.24</v>
      </c>
      <c r="L123" s="3">
        <f t="shared" si="13"/>
        <v>117982.82</v>
      </c>
      <c r="M123" s="3">
        <v>11688187.479999989</v>
      </c>
      <c r="N123" s="3">
        <v>13610631.199999999</v>
      </c>
      <c r="O123" s="3">
        <v>13442362.09</v>
      </c>
      <c r="P123" s="3">
        <f t="shared" si="14"/>
        <v>12913726.92333333</v>
      </c>
      <c r="Q123" s="3">
        <v>598483.82000000007</v>
      </c>
      <c r="R123" s="3">
        <v>659358.48</v>
      </c>
      <c r="S123" s="3">
        <v>907363.90999999992</v>
      </c>
      <c r="T123" s="3">
        <f t="shared" si="15"/>
        <v>721735.40333333332</v>
      </c>
      <c r="U123" s="12">
        <v>0.54776326313011936</v>
      </c>
      <c r="V123" s="12">
        <v>5.5889009239405283</v>
      </c>
    </row>
    <row r="124" spans="1:22" x14ac:dyDescent="0.3">
      <c r="A124" s="3">
        <v>30303</v>
      </c>
      <c r="B124" s="3" t="s">
        <v>215</v>
      </c>
      <c r="C124" s="3" t="s">
        <v>153</v>
      </c>
      <c r="D124" s="3" t="s">
        <v>166</v>
      </c>
      <c r="E124" s="3">
        <v>19383550.77</v>
      </c>
      <c r="F124" s="3">
        <v>22590236.349569138</v>
      </c>
      <c r="G124" s="3">
        <v>26865516.539999999</v>
      </c>
      <c r="H124" s="3">
        <f t="shared" si="12"/>
        <v>22946434.553189714</v>
      </c>
      <c r="I124" s="3">
        <v>90436.040000000008</v>
      </c>
      <c r="J124" s="3">
        <v>151873.17000000001</v>
      </c>
      <c r="K124" s="3">
        <v>175649.47</v>
      </c>
      <c r="L124" s="3">
        <f t="shared" si="13"/>
        <v>139319.56000000003</v>
      </c>
      <c r="M124" s="3">
        <v>16991313.729999989</v>
      </c>
      <c r="N124" s="3">
        <v>19538960.899999999</v>
      </c>
      <c r="O124" s="3">
        <v>28410918.41</v>
      </c>
      <c r="P124" s="3">
        <f t="shared" si="14"/>
        <v>21647064.346666664</v>
      </c>
      <c r="Q124" s="3">
        <v>1326623.6000000001</v>
      </c>
      <c r="R124" s="3">
        <v>1244769.3999999999</v>
      </c>
      <c r="S124" s="3">
        <v>10704722.539999999</v>
      </c>
      <c r="T124" s="3">
        <f t="shared" si="15"/>
        <v>4425371.8466666667</v>
      </c>
      <c r="U124" s="12">
        <v>0.60715123160880624</v>
      </c>
      <c r="V124" s="12">
        <v>20.443288640882663</v>
      </c>
    </row>
    <row r="125" spans="1:22" x14ac:dyDescent="0.3">
      <c r="A125" s="3">
        <v>30401</v>
      </c>
      <c r="B125" s="3" t="s">
        <v>178</v>
      </c>
      <c r="C125" s="3" t="s">
        <v>153</v>
      </c>
      <c r="D125" s="3" t="s">
        <v>179</v>
      </c>
      <c r="E125" s="3">
        <v>9695407.0500000007</v>
      </c>
      <c r="F125" s="3">
        <v>11579992.1328471</v>
      </c>
      <c r="G125" s="3">
        <v>13906507.560000001</v>
      </c>
      <c r="H125" s="3">
        <f t="shared" si="12"/>
        <v>11727302.247615701</v>
      </c>
      <c r="I125" s="3">
        <v>629404.88000000012</v>
      </c>
      <c r="J125" s="3">
        <v>822305.88000000012</v>
      </c>
      <c r="K125" s="3">
        <v>1041518.66</v>
      </c>
      <c r="L125" s="3">
        <f t="shared" si="13"/>
        <v>831076.4733333335</v>
      </c>
      <c r="M125" s="3">
        <v>8212898.889999995</v>
      </c>
      <c r="N125" s="3">
        <v>10012236.199999999</v>
      </c>
      <c r="O125" s="3">
        <v>9218228.3900000006</v>
      </c>
      <c r="P125" s="3">
        <f t="shared" si="14"/>
        <v>9147787.8266666662</v>
      </c>
      <c r="Q125" s="3">
        <v>1070735.74</v>
      </c>
      <c r="R125" s="3">
        <v>1671115.79</v>
      </c>
      <c r="S125" s="3">
        <v>1145196.56</v>
      </c>
      <c r="T125" s="3">
        <f t="shared" si="15"/>
        <v>1295682.6966666668</v>
      </c>
      <c r="U125" s="12">
        <v>7.0866807709531079</v>
      </c>
      <c r="V125" s="12">
        <v>14.163890999850578</v>
      </c>
    </row>
    <row r="126" spans="1:22" x14ac:dyDescent="0.3">
      <c r="A126" s="3">
        <v>30402</v>
      </c>
      <c r="B126" s="3" t="s">
        <v>180</v>
      </c>
      <c r="C126" s="3" t="s">
        <v>153</v>
      </c>
      <c r="D126" s="3" t="s">
        <v>179</v>
      </c>
      <c r="E126" s="3">
        <v>10023870.039999999</v>
      </c>
      <c r="F126" s="3">
        <v>11788427.18580121</v>
      </c>
      <c r="G126" s="3">
        <v>14270585.439999999</v>
      </c>
      <c r="H126" s="3">
        <f t="shared" si="12"/>
        <v>12027627.555267068</v>
      </c>
      <c r="I126" s="3">
        <v>155584.73000000001</v>
      </c>
      <c r="J126" s="3">
        <v>253113.7</v>
      </c>
      <c r="K126" s="3">
        <v>521150.19</v>
      </c>
      <c r="L126" s="3">
        <f t="shared" si="13"/>
        <v>309949.54000000004</v>
      </c>
      <c r="M126" s="3">
        <v>6465106.7799999956</v>
      </c>
      <c r="N126" s="3">
        <v>7468461.8200000003</v>
      </c>
      <c r="O126" s="3">
        <v>7306410.0299999984</v>
      </c>
      <c r="P126" s="3">
        <f t="shared" si="14"/>
        <v>7079992.8766666651</v>
      </c>
      <c r="Q126" s="3">
        <v>232882.01</v>
      </c>
      <c r="R126" s="3">
        <v>190030.4</v>
      </c>
      <c r="S126" s="3">
        <v>261903.68</v>
      </c>
      <c r="T126" s="3">
        <f t="shared" si="15"/>
        <v>228272.03000000003</v>
      </c>
      <c r="U126" s="12">
        <v>2.5769798622029061</v>
      </c>
      <c r="V126" s="12">
        <v>3.2241844586074344</v>
      </c>
    </row>
    <row r="127" spans="1:22" x14ac:dyDescent="0.3">
      <c r="A127" s="3">
        <v>30403</v>
      </c>
      <c r="B127" s="3" t="s">
        <v>181</v>
      </c>
      <c r="C127" s="3" t="s">
        <v>153</v>
      </c>
      <c r="D127" s="3" t="s">
        <v>179</v>
      </c>
      <c r="E127" s="3">
        <v>10445224.82</v>
      </c>
      <c r="F127" s="3">
        <v>13044932.55522196</v>
      </c>
      <c r="G127" s="3">
        <v>15035435.460000001</v>
      </c>
      <c r="H127" s="3">
        <f t="shared" si="12"/>
        <v>12841864.27840732</v>
      </c>
      <c r="I127" s="3">
        <v>940612.51</v>
      </c>
      <c r="J127" s="3">
        <v>1620886.16</v>
      </c>
      <c r="K127" s="3">
        <v>1335486.43</v>
      </c>
      <c r="L127" s="3">
        <f t="shared" si="13"/>
        <v>1298995.0333333332</v>
      </c>
      <c r="M127" s="3">
        <v>17036439.359999988</v>
      </c>
      <c r="N127" s="3">
        <v>21021440.460000001</v>
      </c>
      <c r="O127" s="3">
        <v>20649158.710000001</v>
      </c>
      <c r="P127" s="3">
        <f t="shared" si="14"/>
        <v>19569012.84333333</v>
      </c>
      <c r="Q127" s="3">
        <v>1919650.85</v>
      </c>
      <c r="R127" s="3">
        <v>3365889.66</v>
      </c>
      <c r="S127" s="3">
        <v>3561077.61</v>
      </c>
      <c r="T127" s="3">
        <f t="shared" si="15"/>
        <v>2948872.7066666665</v>
      </c>
      <c r="U127" s="12">
        <v>10.115315075533859</v>
      </c>
      <c r="V127" s="12">
        <v>15.069092806443086</v>
      </c>
    </row>
    <row r="128" spans="1:22" x14ac:dyDescent="0.3">
      <c r="A128" s="3">
        <v>30404</v>
      </c>
      <c r="B128" s="3" t="s">
        <v>182</v>
      </c>
      <c r="C128" s="3" t="s">
        <v>153</v>
      </c>
      <c r="D128" s="3" t="s">
        <v>179</v>
      </c>
      <c r="E128" s="3">
        <v>5426719.9699999997</v>
      </c>
      <c r="F128" s="3">
        <v>6014747.1214007596</v>
      </c>
      <c r="G128" s="3">
        <v>7181249.9900000002</v>
      </c>
      <c r="H128" s="3">
        <f t="shared" si="12"/>
        <v>6207572.3604669198</v>
      </c>
      <c r="I128" s="3">
        <v>331661.12</v>
      </c>
      <c r="J128" s="3">
        <v>56130.100000000049</v>
      </c>
      <c r="K128" s="3">
        <v>78085.290000000023</v>
      </c>
      <c r="L128" s="3">
        <f t="shared" si="13"/>
        <v>155292.17000000001</v>
      </c>
      <c r="M128" s="3">
        <v>3831185.219999996</v>
      </c>
      <c r="N128" s="3">
        <v>4443088.9800000004</v>
      </c>
      <c r="O128" s="3">
        <v>4400072.7799999993</v>
      </c>
      <c r="P128" s="3">
        <f t="shared" si="14"/>
        <v>4224782.3266666653</v>
      </c>
      <c r="Q128" s="3">
        <v>48018.1</v>
      </c>
      <c r="R128" s="3">
        <v>24803.08</v>
      </c>
      <c r="S128" s="3">
        <v>123809.33</v>
      </c>
      <c r="T128" s="3">
        <f t="shared" si="15"/>
        <v>65543.503333333341</v>
      </c>
      <c r="U128" s="12">
        <v>2.5016570243946266</v>
      </c>
      <c r="V128" s="12">
        <v>1.5514054515809073</v>
      </c>
    </row>
    <row r="129" spans="1:22" x14ac:dyDescent="0.3">
      <c r="A129" s="3">
        <v>30501</v>
      </c>
      <c r="B129" s="3" t="s">
        <v>200</v>
      </c>
      <c r="C129" s="3" t="s">
        <v>153</v>
      </c>
      <c r="D129" s="3" t="s">
        <v>201</v>
      </c>
      <c r="E129" s="3">
        <v>12241544.43</v>
      </c>
      <c r="F129" s="3">
        <v>14544083.273320939</v>
      </c>
      <c r="G129" s="3">
        <v>17291681.91</v>
      </c>
      <c r="H129" s="3">
        <f t="shared" si="12"/>
        <v>14692436.537773646</v>
      </c>
      <c r="I129" s="3">
        <v>393757.23</v>
      </c>
      <c r="J129" s="3">
        <v>411431.33</v>
      </c>
      <c r="K129" s="3">
        <v>371317.73</v>
      </c>
      <c r="L129" s="3">
        <f t="shared" si="13"/>
        <v>392168.76333333337</v>
      </c>
      <c r="M129" s="3">
        <v>8938862.4599999953</v>
      </c>
      <c r="N129" s="3">
        <v>10719758.08</v>
      </c>
      <c r="O129" s="3">
        <v>10757071.98</v>
      </c>
      <c r="P129" s="3">
        <f t="shared" si="14"/>
        <v>10138564.173333332</v>
      </c>
      <c r="Q129" s="3">
        <v>703001.09</v>
      </c>
      <c r="R129" s="3">
        <v>1101357.49</v>
      </c>
      <c r="S129" s="3">
        <v>1447827.82</v>
      </c>
      <c r="T129" s="3">
        <f t="shared" si="15"/>
        <v>1084062.1333333335</v>
      </c>
      <c r="U129" s="12">
        <v>2.6691880705088207</v>
      </c>
      <c r="V129" s="12">
        <v>10.692462115934099</v>
      </c>
    </row>
    <row r="130" spans="1:22" x14ac:dyDescent="0.3">
      <c r="A130" s="3">
        <v>30502</v>
      </c>
      <c r="B130" s="3" t="s">
        <v>202</v>
      </c>
      <c r="C130" s="3" t="s">
        <v>153</v>
      </c>
      <c r="D130" s="3" t="s">
        <v>201</v>
      </c>
      <c r="E130" s="3">
        <v>13466971.74</v>
      </c>
      <c r="F130" s="3">
        <v>15829263.398721941</v>
      </c>
      <c r="G130" s="3">
        <v>19044988.149999999</v>
      </c>
      <c r="H130" s="3">
        <f t="shared" ref="H130:H156" si="16">AVERAGE(E130:G130)</f>
        <v>16113741.096240647</v>
      </c>
      <c r="I130" s="3">
        <v>130399.39</v>
      </c>
      <c r="J130" s="3">
        <v>153703.82</v>
      </c>
      <c r="K130" s="3">
        <v>337866.33</v>
      </c>
      <c r="L130" s="3">
        <f t="shared" ref="L130:L156" si="17">AVERAGE(I130:K130)</f>
        <v>207323.18000000002</v>
      </c>
      <c r="M130" s="3">
        <v>7977719.3399999961</v>
      </c>
      <c r="N130" s="3">
        <v>9415114.1699999999</v>
      </c>
      <c r="O130" s="3">
        <v>9054623.3099999987</v>
      </c>
      <c r="P130" s="3">
        <f t="shared" ref="P130:P156" si="18">AVERAGE(M130:O130)</f>
        <v>8815818.9399999995</v>
      </c>
      <c r="Q130" s="3">
        <v>230642.21</v>
      </c>
      <c r="R130" s="3">
        <v>367542.3</v>
      </c>
      <c r="S130" s="3">
        <v>297861.64</v>
      </c>
      <c r="T130" s="3">
        <f t="shared" ref="T130:T156" si="19">AVERAGE(Q130:S130)</f>
        <v>298682.05</v>
      </c>
      <c r="U130" s="12">
        <v>1.2866235020269052</v>
      </c>
      <c r="V130" s="12">
        <v>3.3880238697370526</v>
      </c>
    </row>
    <row r="131" spans="1:22" x14ac:dyDescent="0.3">
      <c r="A131" s="3">
        <v>30601</v>
      </c>
      <c r="B131" s="3" t="s">
        <v>203</v>
      </c>
      <c r="C131" s="3" t="s">
        <v>153</v>
      </c>
      <c r="D131" s="3" t="s">
        <v>204</v>
      </c>
      <c r="E131" s="3">
        <v>13409845.1</v>
      </c>
      <c r="F131" s="3">
        <v>15394689.20042225</v>
      </c>
      <c r="G131" s="3">
        <v>18567054.02</v>
      </c>
      <c r="H131" s="3">
        <f t="shared" si="16"/>
        <v>15790529.440140748</v>
      </c>
      <c r="I131" s="3">
        <v>111752.32000000001</v>
      </c>
      <c r="J131" s="3">
        <v>88174.219999999987</v>
      </c>
      <c r="K131" s="3">
        <v>385653.67</v>
      </c>
      <c r="L131" s="3">
        <f t="shared" si="17"/>
        <v>195193.40333333332</v>
      </c>
      <c r="M131" s="3">
        <v>9690501.0499999952</v>
      </c>
      <c r="N131" s="3">
        <v>11202411.66</v>
      </c>
      <c r="O131" s="3">
        <v>10939605.289999999</v>
      </c>
      <c r="P131" s="3">
        <f t="shared" si="18"/>
        <v>10610839.33333333</v>
      </c>
      <c r="Q131" s="3">
        <v>510379.05</v>
      </c>
      <c r="R131" s="3">
        <v>477776.79</v>
      </c>
      <c r="S131" s="3">
        <v>559681.21</v>
      </c>
      <c r="T131" s="3">
        <f t="shared" si="19"/>
        <v>515945.68333333329</v>
      </c>
      <c r="U131" s="12">
        <v>1.2361422336931691</v>
      </c>
      <c r="V131" s="12">
        <v>4.8624398798737829</v>
      </c>
    </row>
    <row r="132" spans="1:22" x14ac:dyDescent="0.3">
      <c r="A132" s="3">
        <v>30602</v>
      </c>
      <c r="B132" s="3" t="s">
        <v>205</v>
      </c>
      <c r="C132" s="3" t="s">
        <v>153</v>
      </c>
      <c r="D132" s="3" t="s">
        <v>204</v>
      </c>
      <c r="E132" s="3">
        <v>13402381.720000001</v>
      </c>
      <c r="F132" s="3">
        <v>15170297.66474675</v>
      </c>
      <c r="G132" s="3">
        <v>18023832.98</v>
      </c>
      <c r="H132" s="3">
        <f t="shared" si="16"/>
        <v>15532170.788248917</v>
      </c>
      <c r="I132" s="3">
        <v>387390.11</v>
      </c>
      <c r="J132" s="3">
        <v>139621.64000000001</v>
      </c>
      <c r="K132" s="3">
        <v>156621.22</v>
      </c>
      <c r="L132" s="3">
        <f t="shared" si="17"/>
        <v>227877.65666666665</v>
      </c>
      <c r="M132" s="3">
        <v>9260000.1099999957</v>
      </c>
      <c r="N132" s="3">
        <v>10687840.08</v>
      </c>
      <c r="O132" s="3">
        <v>10529758.550000001</v>
      </c>
      <c r="P132" s="3">
        <f t="shared" si="18"/>
        <v>10159199.58</v>
      </c>
      <c r="Q132" s="3">
        <v>374539.21</v>
      </c>
      <c r="R132" s="3">
        <v>311370.15000000002</v>
      </c>
      <c r="S132" s="3">
        <v>486809.43000000011</v>
      </c>
      <c r="T132" s="3">
        <f t="shared" si="19"/>
        <v>390906.26333333342</v>
      </c>
      <c r="U132" s="12">
        <v>1.4671333439049659</v>
      </c>
      <c r="V132" s="12">
        <v>3.8478057277553104</v>
      </c>
    </row>
    <row r="133" spans="1:22" x14ac:dyDescent="0.3">
      <c r="A133" s="3">
        <v>30701</v>
      </c>
      <c r="B133" s="3" t="s">
        <v>188</v>
      </c>
      <c r="C133" s="3" t="s">
        <v>153</v>
      </c>
      <c r="D133" s="3" t="s">
        <v>189</v>
      </c>
      <c r="E133" s="3">
        <v>21390321.129999999</v>
      </c>
      <c r="F133" s="3">
        <v>24100907.092108998</v>
      </c>
      <c r="G133" s="3">
        <v>27692248.699999999</v>
      </c>
      <c r="H133" s="3">
        <f t="shared" si="16"/>
        <v>24394492.307369664</v>
      </c>
      <c r="I133" s="3">
        <v>3634240.06</v>
      </c>
      <c r="J133" s="3">
        <v>3091194.47</v>
      </c>
      <c r="K133" s="3">
        <v>2582662.13</v>
      </c>
      <c r="L133" s="3">
        <f t="shared" si="17"/>
        <v>3102698.8866666667</v>
      </c>
      <c r="M133" s="3">
        <v>20501023.699999981</v>
      </c>
      <c r="N133" s="3">
        <v>22844579.329999998</v>
      </c>
      <c r="O133" s="3">
        <v>21762430.120000001</v>
      </c>
      <c r="P133" s="3">
        <f t="shared" si="18"/>
        <v>21702677.716666657</v>
      </c>
      <c r="Q133" s="3">
        <v>3623134.4</v>
      </c>
      <c r="R133" s="3">
        <v>3132424.79</v>
      </c>
      <c r="S133" s="3">
        <v>2683844.2199999988</v>
      </c>
      <c r="T133" s="3">
        <f t="shared" si="19"/>
        <v>3146467.8033333328</v>
      </c>
      <c r="U133" s="12">
        <v>12.718850007504892</v>
      </c>
      <c r="V133" s="12">
        <v>14.498062609652035</v>
      </c>
    </row>
    <row r="134" spans="1:22" x14ac:dyDescent="0.3">
      <c r="A134" s="3">
        <v>30702</v>
      </c>
      <c r="B134" s="3" t="s">
        <v>190</v>
      </c>
      <c r="C134" s="3" t="s">
        <v>153</v>
      </c>
      <c r="D134" s="3" t="s">
        <v>189</v>
      </c>
      <c r="E134" s="3">
        <v>7260523.5499999998</v>
      </c>
      <c r="F134" s="3">
        <v>9471769.2106703222</v>
      </c>
      <c r="G134" s="3">
        <v>10359650.26</v>
      </c>
      <c r="H134" s="3">
        <f t="shared" si="16"/>
        <v>9030647.6735567749</v>
      </c>
      <c r="I134" s="3">
        <v>683977.96</v>
      </c>
      <c r="J134" s="3">
        <v>1629374.02</v>
      </c>
      <c r="K134" s="3">
        <v>970886.25</v>
      </c>
      <c r="L134" s="3">
        <f t="shared" si="17"/>
        <v>1094746.0766666667</v>
      </c>
      <c r="M134" s="3">
        <v>9451427.3499999959</v>
      </c>
      <c r="N134" s="3">
        <v>10703139.32</v>
      </c>
      <c r="O134" s="3">
        <v>9927735.2599999979</v>
      </c>
      <c r="P134" s="3">
        <f t="shared" si="18"/>
        <v>10027433.976666665</v>
      </c>
      <c r="Q134" s="3">
        <v>3795461.85</v>
      </c>
      <c r="R134" s="3">
        <v>4097752.51</v>
      </c>
      <c r="S134" s="3">
        <v>3534625.67</v>
      </c>
      <c r="T134" s="3">
        <f t="shared" si="19"/>
        <v>3809280.01</v>
      </c>
      <c r="U134" s="12">
        <v>12.122564363487058</v>
      </c>
      <c r="V134" s="12">
        <v>37.988582311925498</v>
      </c>
    </row>
    <row r="135" spans="1:22" x14ac:dyDescent="0.3">
      <c r="A135" s="3">
        <v>30703</v>
      </c>
      <c r="B135" s="3" t="s">
        <v>191</v>
      </c>
      <c r="C135" s="3" t="s">
        <v>153</v>
      </c>
      <c r="D135" s="3" t="s">
        <v>189</v>
      </c>
      <c r="E135" s="3">
        <v>2552592.11</v>
      </c>
      <c r="F135" s="3">
        <v>3035927.5416633738</v>
      </c>
      <c r="G135" s="3">
        <v>3605533.25</v>
      </c>
      <c r="H135" s="3">
        <f t="shared" si="16"/>
        <v>3064684.3005544581</v>
      </c>
      <c r="I135" s="3">
        <v>153809.18</v>
      </c>
      <c r="J135" s="3">
        <v>224070.71</v>
      </c>
      <c r="K135" s="3">
        <v>251772.7</v>
      </c>
      <c r="L135" s="3">
        <f t="shared" si="17"/>
        <v>209884.19666666668</v>
      </c>
      <c r="M135" s="3">
        <v>3939104.809999994</v>
      </c>
      <c r="N135" s="3">
        <v>4387343.9800000004</v>
      </c>
      <c r="O135" s="3">
        <v>4388792.209999999</v>
      </c>
      <c r="P135" s="3">
        <f t="shared" si="18"/>
        <v>4238413.6666666642</v>
      </c>
      <c r="Q135" s="3">
        <v>698453.3899999999</v>
      </c>
      <c r="R135" s="3">
        <v>602637.71</v>
      </c>
      <c r="S135" s="3">
        <v>725744.94000000006</v>
      </c>
      <c r="T135" s="3">
        <f t="shared" si="19"/>
        <v>675612.01333333331</v>
      </c>
      <c r="U135" s="12">
        <v>6.8484769093082356</v>
      </c>
      <c r="V135" s="12">
        <v>15.940209391233726</v>
      </c>
    </row>
    <row r="136" spans="1:22" x14ac:dyDescent="0.3">
      <c r="A136" s="3">
        <v>30801</v>
      </c>
      <c r="B136" s="3" t="s">
        <v>183</v>
      </c>
      <c r="C136" s="3" t="s">
        <v>153</v>
      </c>
      <c r="D136" s="3" t="s">
        <v>184</v>
      </c>
      <c r="E136" s="3">
        <v>23509749.120000001</v>
      </c>
      <c r="F136" s="3">
        <v>28967475.07668934</v>
      </c>
      <c r="G136" s="3">
        <v>33220276.120000001</v>
      </c>
      <c r="H136" s="3">
        <f t="shared" si="16"/>
        <v>28565833.438896447</v>
      </c>
      <c r="I136" s="3">
        <v>3643933.5</v>
      </c>
      <c r="J136" s="3">
        <v>5079628.53</v>
      </c>
      <c r="K136" s="3">
        <v>4571015.5299999993</v>
      </c>
      <c r="L136" s="3">
        <f t="shared" si="17"/>
        <v>4431525.8533333335</v>
      </c>
      <c r="M136" s="3">
        <v>24842388.599999979</v>
      </c>
      <c r="N136" s="3">
        <v>29174552.149999999</v>
      </c>
      <c r="O136" s="3">
        <v>28989941.460000001</v>
      </c>
      <c r="P136" s="3">
        <f t="shared" si="18"/>
        <v>27668960.736666661</v>
      </c>
      <c r="Q136" s="3">
        <v>5866303.1100000003</v>
      </c>
      <c r="R136" s="3">
        <v>7011071.6500000013</v>
      </c>
      <c r="S136" s="3">
        <v>7538815.0799999991</v>
      </c>
      <c r="T136" s="3">
        <f t="shared" si="19"/>
        <v>6805396.6133333333</v>
      </c>
      <c r="U136" s="12">
        <v>15.5133784659655</v>
      </c>
      <c r="V136" s="12">
        <v>24.595779646739253</v>
      </c>
    </row>
    <row r="137" spans="1:22" x14ac:dyDescent="0.3">
      <c r="A137" s="3">
        <v>30802</v>
      </c>
      <c r="B137" s="3" t="s">
        <v>185</v>
      </c>
      <c r="C137" s="3" t="s">
        <v>153</v>
      </c>
      <c r="D137" s="3" t="s">
        <v>186</v>
      </c>
      <c r="E137" s="3">
        <v>7515582.9900000002</v>
      </c>
      <c r="F137" s="3">
        <v>8822567.0549747199</v>
      </c>
      <c r="G137" s="3">
        <v>10083047.560000001</v>
      </c>
      <c r="H137" s="3">
        <f t="shared" si="16"/>
        <v>8807065.8683249075</v>
      </c>
      <c r="I137" s="3">
        <v>626348.29</v>
      </c>
      <c r="J137" s="3">
        <v>607956.07999999996</v>
      </c>
      <c r="K137" s="3">
        <v>248852.14</v>
      </c>
      <c r="L137" s="3">
        <f t="shared" si="17"/>
        <v>494385.50333333341</v>
      </c>
      <c r="M137" s="3">
        <v>6479668.6999999965</v>
      </c>
      <c r="N137" s="3">
        <v>7560764.7700000014</v>
      </c>
      <c r="O137" s="3">
        <v>7362254.5499999998</v>
      </c>
      <c r="P137" s="3">
        <f t="shared" si="18"/>
        <v>7134229.3399999999</v>
      </c>
      <c r="Q137" s="3">
        <v>364440.41</v>
      </c>
      <c r="R137" s="3">
        <v>418968.09</v>
      </c>
      <c r="S137" s="3">
        <v>449991.44</v>
      </c>
      <c r="T137" s="3">
        <f t="shared" si="19"/>
        <v>411133.3133333333</v>
      </c>
      <c r="U137" s="12">
        <v>5.613509774139624</v>
      </c>
      <c r="V137" s="12">
        <v>5.7628272619188508</v>
      </c>
    </row>
    <row r="138" spans="1:22" x14ac:dyDescent="0.3">
      <c r="A138" s="3">
        <v>30803</v>
      </c>
      <c r="B138" s="3" t="s">
        <v>187</v>
      </c>
      <c r="C138" s="3" t="s">
        <v>153</v>
      </c>
      <c r="D138" s="3" t="s">
        <v>184</v>
      </c>
      <c r="E138" s="3">
        <v>6455114.3500000006</v>
      </c>
      <c r="F138" s="3">
        <v>7702740.6728199553</v>
      </c>
      <c r="G138" s="3">
        <v>8758290.1700000018</v>
      </c>
      <c r="H138" s="3">
        <f t="shared" si="16"/>
        <v>7638715.0642733192</v>
      </c>
      <c r="I138" s="3">
        <v>1106739.1299999999</v>
      </c>
      <c r="J138" s="3">
        <v>1271918.7</v>
      </c>
      <c r="K138" s="3">
        <v>1045650.9</v>
      </c>
      <c r="L138" s="3">
        <f t="shared" si="17"/>
        <v>1141436.2433333334</v>
      </c>
      <c r="M138" s="3">
        <v>7107479.8899999978</v>
      </c>
      <c r="N138" s="3">
        <v>6997990.7300000004</v>
      </c>
      <c r="O138" s="3">
        <v>7075509.8700000001</v>
      </c>
      <c r="P138" s="3">
        <f t="shared" si="18"/>
        <v>7060326.8299999991</v>
      </c>
      <c r="Q138" s="3">
        <v>2305145.19</v>
      </c>
      <c r="R138" s="3">
        <v>1389497.8</v>
      </c>
      <c r="S138" s="3">
        <v>1647261.24</v>
      </c>
      <c r="T138" s="3">
        <f t="shared" si="19"/>
        <v>1780634.7433333334</v>
      </c>
      <c r="U138" s="12">
        <v>14.942778120784896</v>
      </c>
      <c r="V138" s="12">
        <v>25.220287760153642</v>
      </c>
    </row>
    <row r="139" spans="1:22" x14ac:dyDescent="0.3">
      <c r="A139" s="3">
        <v>30901</v>
      </c>
      <c r="B139" s="3" t="s">
        <v>155</v>
      </c>
      <c r="C139" s="3" t="s">
        <v>153</v>
      </c>
      <c r="D139" s="3" t="s">
        <v>156</v>
      </c>
      <c r="E139" s="3">
        <v>148693678.19</v>
      </c>
      <c r="F139" s="3">
        <v>174603271.55454859</v>
      </c>
      <c r="G139" s="3">
        <v>207285198.06</v>
      </c>
      <c r="H139" s="3">
        <f t="shared" si="16"/>
        <v>176860715.93484953</v>
      </c>
      <c r="I139" s="3">
        <v>46150677.969999999</v>
      </c>
      <c r="J139" s="3">
        <v>50196340.799999997</v>
      </c>
      <c r="K139" s="3">
        <v>57797389.43999999</v>
      </c>
      <c r="L139" s="3">
        <f t="shared" si="17"/>
        <v>51381469.403333329</v>
      </c>
      <c r="M139" s="3">
        <v>220995348.65999991</v>
      </c>
      <c r="N139" s="3">
        <v>233389812.29000011</v>
      </c>
      <c r="O139" s="3">
        <v>231187777.65000001</v>
      </c>
      <c r="P139" s="3">
        <f t="shared" si="18"/>
        <v>228524312.86666667</v>
      </c>
      <c r="Q139" s="3">
        <v>102110496.38</v>
      </c>
      <c r="R139" s="3">
        <v>94547476.530000016</v>
      </c>
      <c r="S139" s="3">
        <v>96807842.019999996</v>
      </c>
      <c r="T139" s="3">
        <f t="shared" si="19"/>
        <v>97821938.310000002</v>
      </c>
      <c r="U139" s="12">
        <v>29.051940184535272</v>
      </c>
      <c r="V139" s="12">
        <v>42.805921646977914</v>
      </c>
    </row>
    <row r="140" spans="1:22" x14ac:dyDescent="0.3">
      <c r="A140" s="3">
        <v>30902</v>
      </c>
      <c r="B140" s="3" t="s">
        <v>157</v>
      </c>
      <c r="C140" s="3" t="s">
        <v>153</v>
      </c>
      <c r="D140" s="3" t="s">
        <v>156</v>
      </c>
      <c r="E140" s="3">
        <v>33497076.59</v>
      </c>
      <c r="F140" s="3">
        <v>40741053.265146889</v>
      </c>
      <c r="G140" s="3">
        <v>48666338.880000003</v>
      </c>
      <c r="H140" s="3">
        <f t="shared" si="16"/>
        <v>40968156.245048963</v>
      </c>
      <c r="I140" s="3">
        <v>1348335.08</v>
      </c>
      <c r="J140" s="3">
        <v>2383195.9300000002</v>
      </c>
      <c r="K140" s="3">
        <v>2740088.95</v>
      </c>
      <c r="L140" s="3">
        <f t="shared" si="17"/>
        <v>2157206.6533333338</v>
      </c>
      <c r="M140" s="3">
        <v>42737299.11999996</v>
      </c>
      <c r="N140" s="3">
        <v>49677482.079999998</v>
      </c>
      <c r="O140" s="3">
        <v>50041944.539999999</v>
      </c>
      <c r="P140" s="3">
        <f t="shared" si="18"/>
        <v>47485575.246666647</v>
      </c>
      <c r="Q140" s="3">
        <v>6711312.6699999999</v>
      </c>
      <c r="R140" s="3">
        <v>7603811.8299999991</v>
      </c>
      <c r="S140" s="3">
        <v>9320539.3800000008</v>
      </c>
      <c r="T140" s="3">
        <f t="shared" si="19"/>
        <v>7878554.6266666679</v>
      </c>
      <c r="U140" s="12">
        <v>5.2655692885716183</v>
      </c>
      <c r="V140" s="12">
        <v>16.591469274071223</v>
      </c>
    </row>
    <row r="141" spans="1:22" x14ac:dyDescent="0.3">
      <c r="A141" s="3">
        <v>30903</v>
      </c>
      <c r="B141" s="3" t="s">
        <v>158</v>
      </c>
      <c r="C141" s="3" t="s">
        <v>153</v>
      </c>
      <c r="D141" s="3" t="s">
        <v>156</v>
      </c>
      <c r="E141" s="3">
        <v>50165140.850000001</v>
      </c>
      <c r="F141" s="3">
        <v>60800308.249186859</v>
      </c>
      <c r="G141" s="3">
        <v>72896186.479999989</v>
      </c>
      <c r="H141" s="3">
        <f t="shared" si="16"/>
        <v>61287211.859728955</v>
      </c>
      <c r="I141" s="3">
        <v>12480165.390000001</v>
      </c>
      <c r="J141" s="3">
        <v>15325047.6</v>
      </c>
      <c r="K141" s="3">
        <v>17775049.02</v>
      </c>
      <c r="L141" s="3">
        <f t="shared" si="17"/>
        <v>15193420.670000002</v>
      </c>
      <c r="M141" s="3">
        <v>77388139.699999958</v>
      </c>
      <c r="N141" s="3">
        <v>89405586.370000005</v>
      </c>
      <c r="O141" s="3">
        <v>90964860.319999978</v>
      </c>
      <c r="P141" s="3">
        <f t="shared" si="18"/>
        <v>85919528.796666637</v>
      </c>
      <c r="Q141" s="3">
        <v>30683037.760000002</v>
      </c>
      <c r="R141" s="3">
        <v>34849586.780000001</v>
      </c>
      <c r="S141" s="3">
        <v>38162307.029999986</v>
      </c>
      <c r="T141" s="3">
        <f t="shared" si="19"/>
        <v>34564977.189999998</v>
      </c>
      <c r="U141" s="12">
        <v>24.790523518632124</v>
      </c>
      <c r="V141" s="12">
        <v>40.22947713295769</v>
      </c>
    </row>
    <row r="142" spans="1:22" x14ac:dyDescent="0.3">
      <c r="A142" s="3">
        <v>30904</v>
      </c>
      <c r="B142" s="3" t="s">
        <v>159</v>
      </c>
      <c r="C142" s="3" t="s">
        <v>153</v>
      </c>
      <c r="D142" s="3" t="s">
        <v>156</v>
      </c>
      <c r="E142" s="3">
        <v>36241446.890000008</v>
      </c>
      <c r="F142" s="3">
        <v>43782479.462783962</v>
      </c>
      <c r="G142" s="3">
        <v>51300590.880000003</v>
      </c>
      <c r="H142" s="3">
        <f t="shared" si="16"/>
        <v>43774839.07759466</v>
      </c>
      <c r="I142" s="3">
        <v>4446870.0599999996</v>
      </c>
      <c r="J142" s="3">
        <v>5606487.3700000001</v>
      </c>
      <c r="K142" s="3">
        <v>5529621.2799999993</v>
      </c>
      <c r="L142" s="3">
        <f t="shared" si="17"/>
        <v>5194326.2366666663</v>
      </c>
      <c r="M142" s="3">
        <v>60784122.559999958</v>
      </c>
      <c r="N142" s="3">
        <v>70391033.189999998</v>
      </c>
      <c r="O142" s="3">
        <v>71268946.739999995</v>
      </c>
      <c r="P142" s="3">
        <f t="shared" si="18"/>
        <v>67481367.496666655</v>
      </c>
      <c r="Q142" s="3">
        <v>15748426.560000001</v>
      </c>
      <c r="R142" s="3">
        <v>17794475.02</v>
      </c>
      <c r="S142" s="3">
        <v>20362858.440000001</v>
      </c>
      <c r="T142" s="3">
        <f t="shared" si="19"/>
        <v>17968586.673333332</v>
      </c>
      <c r="U142" s="12">
        <v>11.866008753245847</v>
      </c>
      <c r="V142" s="12">
        <v>26.627478576543247</v>
      </c>
    </row>
    <row r="143" spans="1:22" x14ac:dyDescent="0.3">
      <c r="A143" s="3">
        <v>30905</v>
      </c>
      <c r="B143" s="3" t="s">
        <v>160</v>
      </c>
      <c r="C143" s="3" t="s">
        <v>153</v>
      </c>
      <c r="D143" s="3" t="s">
        <v>156</v>
      </c>
      <c r="E143" s="3">
        <v>53052955.740000002</v>
      </c>
      <c r="F143" s="3">
        <v>63800435.268326543</v>
      </c>
      <c r="G143" s="3">
        <v>74837420.51000002</v>
      </c>
      <c r="H143" s="3">
        <f t="shared" si="16"/>
        <v>63896937.172775529</v>
      </c>
      <c r="I143" s="3">
        <v>12213129.15</v>
      </c>
      <c r="J143" s="3">
        <v>14021784.08</v>
      </c>
      <c r="K143" s="3">
        <v>14964147.27</v>
      </c>
      <c r="L143" s="3">
        <f t="shared" si="17"/>
        <v>13733020.166666666</v>
      </c>
      <c r="M143" s="3">
        <v>84956762.789999962</v>
      </c>
      <c r="N143" s="3">
        <v>91358081.930000007</v>
      </c>
      <c r="O143" s="3">
        <v>95836389.730000004</v>
      </c>
      <c r="P143" s="3">
        <f t="shared" si="18"/>
        <v>90717078.149999991</v>
      </c>
      <c r="Q143" s="3">
        <v>39901944.489999987</v>
      </c>
      <c r="R143" s="3">
        <v>38739257.560000002</v>
      </c>
      <c r="S143" s="3">
        <v>44908750.710000001</v>
      </c>
      <c r="T143" s="3">
        <f t="shared" si="19"/>
        <v>41183317.586666666</v>
      </c>
      <c r="U143" s="12">
        <v>21.492454528036237</v>
      </c>
      <c r="V143" s="12">
        <v>45.397535311455208</v>
      </c>
    </row>
    <row r="144" spans="1:22" x14ac:dyDescent="0.3">
      <c r="A144" s="3">
        <v>31001</v>
      </c>
      <c r="B144" s="3" t="s">
        <v>168</v>
      </c>
      <c r="C144" s="3" t="s">
        <v>153</v>
      </c>
      <c r="D144" s="3" t="s">
        <v>169</v>
      </c>
      <c r="E144" s="3">
        <v>150746396.34999999</v>
      </c>
      <c r="F144" s="3">
        <v>179122713.40693709</v>
      </c>
      <c r="G144" s="3">
        <v>214964498.27000001</v>
      </c>
      <c r="H144" s="3">
        <f t="shared" si="16"/>
        <v>181611202.67564571</v>
      </c>
      <c r="I144" s="3">
        <v>34642979.560000002</v>
      </c>
      <c r="J144" s="3">
        <v>38172076.890000001</v>
      </c>
      <c r="K144" s="3">
        <v>45263662.169999987</v>
      </c>
      <c r="L144" s="3">
        <f t="shared" si="17"/>
        <v>39359572.873333327</v>
      </c>
      <c r="M144" s="3">
        <v>226760665.23999989</v>
      </c>
      <c r="N144" s="3">
        <v>264528150.09999999</v>
      </c>
      <c r="O144" s="3">
        <v>263024877.00999999</v>
      </c>
      <c r="P144" s="3">
        <f t="shared" si="18"/>
        <v>251437897.44999996</v>
      </c>
      <c r="Q144" s="3">
        <v>77329221.949999988</v>
      </c>
      <c r="R144" s="3">
        <v>89974593.019999996</v>
      </c>
      <c r="S144" s="3">
        <v>94081474.640000015</v>
      </c>
      <c r="T144" s="3">
        <f t="shared" si="19"/>
        <v>87128429.86999999</v>
      </c>
      <c r="U144" s="12">
        <v>21.672436663298136</v>
      </c>
      <c r="V144" s="12">
        <v>34.652067470189543</v>
      </c>
    </row>
    <row r="145" spans="1:22" x14ac:dyDescent="0.3">
      <c r="A145" s="3">
        <v>31002</v>
      </c>
      <c r="B145" s="3" t="s">
        <v>170</v>
      </c>
      <c r="C145" s="3" t="s">
        <v>153</v>
      </c>
      <c r="D145" s="3" t="s">
        <v>169</v>
      </c>
      <c r="E145" s="3">
        <v>19108554.93</v>
      </c>
      <c r="F145" s="3">
        <v>22228518.328778841</v>
      </c>
      <c r="G145" s="3">
        <v>27087076.870000001</v>
      </c>
      <c r="H145" s="3">
        <f t="shared" si="16"/>
        <v>22808050.042926282</v>
      </c>
      <c r="I145" s="3">
        <v>923889.44000000006</v>
      </c>
      <c r="J145" s="3">
        <v>702970.13000000012</v>
      </c>
      <c r="K145" s="3">
        <v>1358715.71</v>
      </c>
      <c r="L145" s="3">
        <f t="shared" si="17"/>
        <v>995191.76000000013</v>
      </c>
      <c r="M145" s="3">
        <v>18792485.199999981</v>
      </c>
      <c r="N145" s="3">
        <v>21756061.149999999</v>
      </c>
      <c r="O145" s="3">
        <v>21429898.5</v>
      </c>
      <c r="P145" s="3">
        <f t="shared" si="18"/>
        <v>20659481.61666666</v>
      </c>
      <c r="Q145" s="3">
        <v>2063700.9</v>
      </c>
      <c r="R145" s="3">
        <v>2238230.7599999998</v>
      </c>
      <c r="S145" s="3">
        <v>2539391.08</v>
      </c>
      <c r="T145" s="3">
        <f t="shared" si="19"/>
        <v>2280440.9133333336</v>
      </c>
      <c r="U145" s="12">
        <v>4.3633355684812267</v>
      </c>
      <c r="V145" s="12">
        <v>11.038229107808927</v>
      </c>
    </row>
    <row r="146" spans="1:22" x14ac:dyDescent="0.3">
      <c r="A146" s="3">
        <v>31003</v>
      </c>
      <c r="B146" s="3" t="s">
        <v>171</v>
      </c>
      <c r="C146" s="3" t="s">
        <v>153</v>
      </c>
      <c r="D146" s="3" t="s">
        <v>169</v>
      </c>
      <c r="E146" s="3">
        <v>61950140.049999997</v>
      </c>
      <c r="F146" s="3">
        <v>71840798.934825301</v>
      </c>
      <c r="G146" s="3">
        <v>84946558.329999998</v>
      </c>
      <c r="H146" s="3">
        <f t="shared" si="16"/>
        <v>72912499.10494177</v>
      </c>
      <c r="I146" s="3">
        <v>6474149.6099999994</v>
      </c>
      <c r="J146" s="3">
        <v>6746861.8900000006</v>
      </c>
      <c r="K146" s="3">
        <v>8144457.0499999989</v>
      </c>
      <c r="L146" s="3">
        <f t="shared" si="17"/>
        <v>7121822.8499999987</v>
      </c>
      <c r="M146" s="3">
        <v>84015822.699999958</v>
      </c>
      <c r="N146" s="3">
        <v>91352057.930000007</v>
      </c>
      <c r="O146" s="3">
        <v>93549808</v>
      </c>
      <c r="P146" s="3">
        <f t="shared" si="18"/>
        <v>89639229.543333337</v>
      </c>
      <c r="Q146" s="3">
        <v>22136616.399999999</v>
      </c>
      <c r="R146" s="3">
        <v>19102385.27</v>
      </c>
      <c r="S146" s="3">
        <v>23622254.460000001</v>
      </c>
      <c r="T146" s="3">
        <f t="shared" si="19"/>
        <v>21620418.710000001</v>
      </c>
      <c r="U146" s="12">
        <v>9.7676296073046061</v>
      </c>
      <c r="V146" s="12">
        <v>24.119371418234103</v>
      </c>
    </row>
    <row r="147" spans="1:22" x14ac:dyDescent="0.3">
      <c r="A147" s="3">
        <v>31101</v>
      </c>
      <c r="B147" s="3" t="s">
        <v>192</v>
      </c>
      <c r="C147" s="3" t="s">
        <v>153</v>
      </c>
      <c r="D147" s="3" t="s">
        <v>193</v>
      </c>
      <c r="E147" s="3">
        <v>29116963.579999998</v>
      </c>
      <c r="F147" s="3">
        <v>34338768.8160787</v>
      </c>
      <c r="G147" s="3">
        <v>40106445.57</v>
      </c>
      <c r="H147" s="3">
        <f t="shared" si="16"/>
        <v>34520725.988692902</v>
      </c>
      <c r="I147" s="3">
        <v>169640.52</v>
      </c>
      <c r="J147" s="3">
        <v>912848.86999999988</v>
      </c>
      <c r="K147" s="3">
        <v>373887.02</v>
      </c>
      <c r="L147" s="3">
        <f t="shared" si="17"/>
        <v>485458.80333333329</v>
      </c>
      <c r="M147" s="3">
        <v>22402887.04999999</v>
      </c>
      <c r="N147" s="3">
        <v>25723109.989999998</v>
      </c>
      <c r="O147" s="3">
        <v>25086320.789999999</v>
      </c>
      <c r="P147" s="3">
        <f t="shared" si="18"/>
        <v>24404105.943333328</v>
      </c>
      <c r="Q147" s="3">
        <v>1062917.93</v>
      </c>
      <c r="R147" s="3">
        <v>800622.64</v>
      </c>
      <c r="S147" s="3">
        <v>964861.69</v>
      </c>
      <c r="T147" s="3">
        <f t="shared" si="19"/>
        <v>942800.7533333333</v>
      </c>
      <c r="U147" s="12">
        <v>1.4062821375551111</v>
      </c>
      <c r="V147" s="12">
        <v>3.8632874136939486</v>
      </c>
    </row>
    <row r="148" spans="1:22" x14ac:dyDescent="0.3">
      <c r="A148" s="3">
        <v>31201</v>
      </c>
      <c r="B148" s="3" t="s">
        <v>194</v>
      </c>
      <c r="C148" s="3" t="s">
        <v>153</v>
      </c>
      <c r="D148" s="3" t="s">
        <v>195</v>
      </c>
      <c r="E148" s="3">
        <v>14336700.48</v>
      </c>
      <c r="F148" s="3">
        <v>16832261.208247758</v>
      </c>
      <c r="G148" s="3">
        <v>20261370.420000002</v>
      </c>
      <c r="H148" s="3">
        <f t="shared" si="16"/>
        <v>17143444.036082584</v>
      </c>
      <c r="I148" s="3">
        <v>406196.17</v>
      </c>
      <c r="J148" s="3">
        <v>510472.33</v>
      </c>
      <c r="K148" s="3">
        <v>796710.3</v>
      </c>
      <c r="L148" s="3">
        <f t="shared" si="17"/>
        <v>571126.26666666672</v>
      </c>
      <c r="M148" s="3">
        <v>14123656.04999999</v>
      </c>
      <c r="N148" s="3">
        <v>16034751.109999999</v>
      </c>
      <c r="O148" s="3">
        <v>15935771.060000001</v>
      </c>
      <c r="P148" s="3">
        <f t="shared" si="18"/>
        <v>15364726.07333333</v>
      </c>
      <c r="Q148" s="3">
        <v>1415603.08</v>
      </c>
      <c r="R148" s="3">
        <v>1192860.8</v>
      </c>
      <c r="S148" s="3">
        <v>1570919.54</v>
      </c>
      <c r="T148" s="3">
        <f t="shared" si="19"/>
        <v>1393127.8066666666</v>
      </c>
      <c r="U148" s="12">
        <v>3.3314558350386969</v>
      </c>
      <c r="V148" s="12">
        <v>9.0670526764844031</v>
      </c>
    </row>
    <row r="149" spans="1:22" x14ac:dyDescent="0.3">
      <c r="A149" s="3">
        <v>31202</v>
      </c>
      <c r="B149" s="3" t="s">
        <v>196</v>
      </c>
      <c r="C149" s="3" t="s">
        <v>153</v>
      </c>
      <c r="D149" s="3" t="s">
        <v>195</v>
      </c>
      <c r="E149" s="3">
        <v>12515235.02</v>
      </c>
      <c r="F149" s="3">
        <v>14720895.399715301</v>
      </c>
      <c r="G149" s="3">
        <v>17520507.690000001</v>
      </c>
      <c r="H149" s="3">
        <f t="shared" si="16"/>
        <v>14918879.369905099</v>
      </c>
      <c r="I149" s="3">
        <v>184873.81</v>
      </c>
      <c r="J149" s="3">
        <v>253248.58</v>
      </c>
      <c r="K149" s="3">
        <v>261540.08</v>
      </c>
      <c r="L149" s="3">
        <f t="shared" si="17"/>
        <v>233220.82333333333</v>
      </c>
      <c r="M149" s="3">
        <v>9064683.0799999982</v>
      </c>
      <c r="N149" s="3">
        <v>10549119.470000001</v>
      </c>
      <c r="O149" s="3">
        <v>10378609.02</v>
      </c>
      <c r="P149" s="3">
        <f t="shared" si="18"/>
        <v>9997470.5233333316</v>
      </c>
      <c r="Q149" s="3">
        <v>263772.96999999997</v>
      </c>
      <c r="R149" s="3">
        <v>270824.06999999989</v>
      </c>
      <c r="S149" s="3">
        <v>430678.89</v>
      </c>
      <c r="T149" s="3">
        <f t="shared" si="19"/>
        <v>321758.64333333325</v>
      </c>
      <c r="U149" s="12">
        <v>1.5632596628121731</v>
      </c>
      <c r="V149" s="12">
        <v>3.2184005202353254</v>
      </c>
    </row>
    <row r="150" spans="1:22" x14ac:dyDescent="0.3">
      <c r="A150" s="3">
        <v>31203</v>
      </c>
      <c r="B150" s="3" t="s">
        <v>197</v>
      </c>
      <c r="C150" s="3" t="s">
        <v>153</v>
      </c>
      <c r="D150" s="3" t="s">
        <v>195</v>
      </c>
      <c r="E150" s="3">
        <v>14471578.5</v>
      </c>
      <c r="F150" s="3">
        <v>17061446.514697481</v>
      </c>
      <c r="G150" s="3">
        <v>20407734.93</v>
      </c>
      <c r="H150" s="3">
        <f t="shared" si="16"/>
        <v>17313586.648232494</v>
      </c>
      <c r="I150" s="3">
        <v>182392.9</v>
      </c>
      <c r="J150" s="3">
        <v>225831.36</v>
      </c>
      <c r="K150" s="3">
        <v>305581.32000000012</v>
      </c>
      <c r="L150" s="3">
        <f t="shared" si="17"/>
        <v>237935.19333333336</v>
      </c>
      <c r="M150" s="3">
        <v>9523814.7399999928</v>
      </c>
      <c r="N150" s="3">
        <v>11046704.310000001</v>
      </c>
      <c r="O150" s="3">
        <v>10919515.720000001</v>
      </c>
      <c r="P150" s="3">
        <f t="shared" si="18"/>
        <v>10496678.256666666</v>
      </c>
      <c r="Q150" s="3">
        <v>208120.93</v>
      </c>
      <c r="R150" s="3">
        <v>167216.46</v>
      </c>
      <c r="S150" s="3">
        <v>389715.44</v>
      </c>
      <c r="T150" s="3">
        <f t="shared" si="19"/>
        <v>255017.61000000002</v>
      </c>
      <c r="U150" s="12">
        <v>1.3742686490532778</v>
      </c>
      <c r="V150" s="12">
        <v>2.4295077334396988</v>
      </c>
    </row>
    <row r="151" spans="1:22" x14ac:dyDescent="0.3">
      <c r="A151" s="3">
        <v>31204</v>
      </c>
      <c r="B151" s="3" t="s">
        <v>198</v>
      </c>
      <c r="C151" s="3" t="s">
        <v>153</v>
      </c>
      <c r="D151" s="3" t="s">
        <v>195</v>
      </c>
      <c r="E151" s="3">
        <v>17466064.989999998</v>
      </c>
      <c r="F151" s="3">
        <v>20701914.969605912</v>
      </c>
      <c r="G151" s="3">
        <v>24490141.760000002</v>
      </c>
      <c r="H151" s="3">
        <f t="shared" si="16"/>
        <v>20886040.573201969</v>
      </c>
      <c r="I151" s="3">
        <v>1530234.25</v>
      </c>
      <c r="J151" s="3">
        <v>1818864.14</v>
      </c>
      <c r="K151" s="3">
        <v>1915099.66</v>
      </c>
      <c r="L151" s="3">
        <f t="shared" si="17"/>
        <v>1754732.6833333333</v>
      </c>
      <c r="M151" s="3">
        <v>23297080.71999998</v>
      </c>
      <c r="N151" s="3">
        <v>26785145.739999998</v>
      </c>
      <c r="O151" s="3">
        <v>26000741.199999999</v>
      </c>
      <c r="P151" s="3">
        <f t="shared" si="18"/>
        <v>25360989.219999995</v>
      </c>
      <c r="Q151" s="3">
        <v>4461770.7</v>
      </c>
      <c r="R151" s="3">
        <v>4786638.96</v>
      </c>
      <c r="S151" s="3">
        <v>4709286.21</v>
      </c>
      <c r="T151" s="3">
        <f t="shared" si="19"/>
        <v>4652565.29</v>
      </c>
      <c r="U151" s="12">
        <v>8.4014616230553525</v>
      </c>
      <c r="V151" s="12">
        <v>18.345362042624618</v>
      </c>
    </row>
    <row r="152" spans="1:22" x14ac:dyDescent="0.3">
      <c r="A152" s="3">
        <v>31205</v>
      </c>
      <c r="B152" s="3" t="s">
        <v>199</v>
      </c>
      <c r="C152" s="3" t="s">
        <v>153</v>
      </c>
      <c r="D152" s="3" t="s">
        <v>195</v>
      </c>
      <c r="E152" s="3">
        <v>45635511.860000007</v>
      </c>
      <c r="F152" s="3">
        <v>53597303.933051951</v>
      </c>
      <c r="G152" s="3">
        <v>63863861.659999996</v>
      </c>
      <c r="H152" s="3">
        <f t="shared" si="16"/>
        <v>54365559.151017316</v>
      </c>
      <c r="I152" s="3">
        <v>3225389.5</v>
      </c>
      <c r="J152" s="3">
        <v>3262035.22</v>
      </c>
      <c r="K152" s="3">
        <v>3665961.1</v>
      </c>
      <c r="L152" s="3">
        <f t="shared" si="17"/>
        <v>3384461.94</v>
      </c>
      <c r="M152" s="3">
        <v>51769021.529999971</v>
      </c>
      <c r="N152" s="3">
        <v>57941847.070000008</v>
      </c>
      <c r="O152" s="3">
        <v>60369255.909999996</v>
      </c>
      <c r="P152" s="3">
        <f t="shared" si="18"/>
        <v>56693374.836666666</v>
      </c>
      <c r="Q152" s="3">
        <v>11360743.050000001</v>
      </c>
      <c r="R152" s="3">
        <v>10750958.130000001</v>
      </c>
      <c r="S152" s="3">
        <v>14695099.199999999</v>
      </c>
      <c r="T152" s="3">
        <f t="shared" si="19"/>
        <v>12268933.459999999</v>
      </c>
      <c r="U152" s="12">
        <v>6.2253787008767816</v>
      </c>
      <c r="V152" s="12">
        <v>21.640859263267952</v>
      </c>
    </row>
    <row r="153" spans="1:22" x14ac:dyDescent="0.3">
      <c r="A153" s="3">
        <v>31206</v>
      </c>
      <c r="B153" s="3" t="s">
        <v>214</v>
      </c>
      <c r="C153" s="3" t="s">
        <v>153</v>
      </c>
      <c r="D153" s="3" t="s">
        <v>195</v>
      </c>
      <c r="E153" s="3">
        <v>25987675.710000001</v>
      </c>
      <c r="F153" s="3">
        <v>30594194.15041453</v>
      </c>
      <c r="G153" s="3">
        <v>37444168.950000003</v>
      </c>
      <c r="H153" s="3">
        <f t="shared" si="16"/>
        <v>31342012.936804846</v>
      </c>
      <c r="I153" s="3">
        <v>2927639.28</v>
      </c>
      <c r="J153" s="3">
        <v>3221251.5</v>
      </c>
      <c r="K153" s="3">
        <v>4706793.5500000007</v>
      </c>
      <c r="L153" s="3">
        <f t="shared" si="17"/>
        <v>3618561.4433333334</v>
      </c>
      <c r="M153" s="3">
        <v>37526099.579999961</v>
      </c>
      <c r="N153" s="3">
        <v>53844659.719999999</v>
      </c>
      <c r="O153" s="3">
        <v>44306107.799999997</v>
      </c>
      <c r="P153" s="3">
        <f t="shared" si="18"/>
        <v>45225622.366666652</v>
      </c>
      <c r="Q153" s="3">
        <v>10187066.289999999</v>
      </c>
      <c r="R153" s="3">
        <v>21913324.199999999</v>
      </c>
      <c r="S153" s="3">
        <v>13401064.18</v>
      </c>
      <c r="T153" s="3">
        <f t="shared" si="19"/>
        <v>15167151.556666667</v>
      </c>
      <c r="U153" s="12">
        <v>11.54540217512343</v>
      </c>
      <c r="V153" s="12">
        <v>33.536634241755735</v>
      </c>
    </row>
    <row r="154" spans="1:22" x14ac:dyDescent="0.3">
      <c r="A154" s="3">
        <v>31301</v>
      </c>
      <c r="B154" s="3" t="s">
        <v>210</v>
      </c>
      <c r="C154" s="3" t="s">
        <v>153</v>
      </c>
      <c r="D154" s="3" t="s">
        <v>211</v>
      </c>
      <c r="E154" s="3">
        <v>30810080.609999999</v>
      </c>
      <c r="F154" s="3">
        <v>35751121.85079518</v>
      </c>
      <c r="G154" s="3">
        <v>42766089.670000009</v>
      </c>
      <c r="H154" s="3">
        <f t="shared" si="16"/>
        <v>36442430.710265063</v>
      </c>
      <c r="I154" s="3">
        <v>2088034.81</v>
      </c>
      <c r="J154" s="3">
        <v>2129453.2400000002</v>
      </c>
      <c r="K154" s="3">
        <v>2678601.15</v>
      </c>
      <c r="L154" s="3">
        <f t="shared" si="17"/>
        <v>2298696.4000000004</v>
      </c>
      <c r="M154" s="3">
        <v>20439911.459999971</v>
      </c>
      <c r="N154" s="3">
        <v>23553102.399999999</v>
      </c>
      <c r="O154" s="3">
        <v>23582610.640000001</v>
      </c>
      <c r="P154" s="3">
        <f t="shared" si="18"/>
        <v>22525208.166666657</v>
      </c>
      <c r="Q154" s="3">
        <v>3494866.89</v>
      </c>
      <c r="R154" s="3">
        <v>3760991.33</v>
      </c>
      <c r="S154" s="3">
        <v>4426637.72</v>
      </c>
      <c r="T154" s="3">
        <f t="shared" si="19"/>
        <v>3894165.3133333339</v>
      </c>
      <c r="U154" s="12">
        <v>6.3077471924849018</v>
      </c>
      <c r="V154" s="12">
        <v>17.288032521253289</v>
      </c>
    </row>
    <row r="155" spans="1:22" x14ac:dyDescent="0.3">
      <c r="A155" s="3">
        <v>31302</v>
      </c>
      <c r="B155" s="3" t="s">
        <v>212</v>
      </c>
      <c r="C155" s="3" t="s">
        <v>153</v>
      </c>
      <c r="D155" s="3" t="s">
        <v>211</v>
      </c>
      <c r="E155" s="3">
        <v>5034735.2300000004</v>
      </c>
      <c r="F155" s="3">
        <v>5876077.8954018569</v>
      </c>
      <c r="G155" s="3">
        <v>7222809.7699999996</v>
      </c>
      <c r="H155" s="3">
        <f t="shared" si="16"/>
        <v>6044540.9651339529</v>
      </c>
      <c r="I155" s="3">
        <v>20580.5</v>
      </c>
      <c r="J155" s="3">
        <v>37295.040000000001</v>
      </c>
      <c r="K155" s="3">
        <v>269172.17</v>
      </c>
      <c r="L155" s="3">
        <f t="shared" si="17"/>
        <v>109015.90333333332</v>
      </c>
      <c r="M155" s="3">
        <v>4785488.2399999984</v>
      </c>
      <c r="N155" s="3">
        <v>5601197.3699999992</v>
      </c>
      <c r="O155" s="3">
        <v>5366841.04</v>
      </c>
      <c r="P155" s="3">
        <f t="shared" si="18"/>
        <v>5251175.55</v>
      </c>
      <c r="Q155" s="3">
        <v>55084.62</v>
      </c>
      <c r="R155" s="3">
        <v>76701.290000000008</v>
      </c>
      <c r="S155" s="3">
        <v>19897.330000000002</v>
      </c>
      <c r="T155" s="3">
        <f t="shared" si="19"/>
        <v>50561.079999999994</v>
      </c>
      <c r="U155" s="12">
        <v>1.8035431302750287</v>
      </c>
      <c r="V155" s="12">
        <v>0.96285259402535095</v>
      </c>
    </row>
    <row r="156" spans="1:22" x14ac:dyDescent="0.3">
      <c r="A156" s="3">
        <v>31303</v>
      </c>
      <c r="B156" s="3" t="s">
        <v>213</v>
      </c>
      <c r="C156" s="3" t="s">
        <v>153</v>
      </c>
      <c r="D156" s="3" t="s">
        <v>211</v>
      </c>
      <c r="E156" s="3">
        <v>5644601.71</v>
      </c>
      <c r="F156" s="3">
        <v>6782340.6584918443</v>
      </c>
      <c r="G156" s="3">
        <v>7505175.9299999997</v>
      </c>
      <c r="H156" s="3">
        <f t="shared" si="16"/>
        <v>6644039.432830614</v>
      </c>
      <c r="I156" s="3">
        <v>259064.9</v>
      </c>
      <c r="J156" s="3">
        <v>511097.57</v>
      </c>
      <c r="K156" s="3">
        <v>36521.71</v>
      </c>
      <c r="L156" s="3">
        <f t="shared" si="17"/>
        <v>268894.72666666663</v>
      </c>
      <c r="M156" s="3">
        <v>3012586.379999998</v>
      </c>
      <c r="N156" s="3">
        <v>3502257.3</v>
      </c>
      <c r="O156" s="3">
        <v>3400914.379999999</v>
      </c>
      <c r="P156" s="3">
        <f t="shared" si="18"/>
        <v>3305252.6866666656</v>
      </c>
      <c r="Q156" s="3">
        <v>25860.45</v>
      </c>
      <c r="R156" s="3">
        <v>14098.97</v>
      </c>
      <c r="S156" s="3">
        <v>24884</v>
      </c>
      <c r="T156" s="3">
        <f t="shared" si="19"/>
        <v>21614.473333333332</v>
      </c>
      <c r="U156" s="12">
        <v>4.0471572961767812</v>
      </c>
      <c r="V156" s="12">
        <v>0.65394314390926167</v>
      </c>
    </row>
    <row r="157" spans="1:22" x14ac:dyDescent="0.3">
      <c r="A157" s="3">
        <v>31304</v>
      </c>
      <c r="B157" s="3" t="s">
        <v>473</v>
      </c>
      <c r="C157" s="3" t="s">
        <v>153</v>
      </c>
      <c r="D157" s="3" t="s">
        <v>211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7245132.7800000003</v>
      </c>
      <c r="O157" s="3">
        <v>7245132.7800000003</v>
      </c>
      <c r="P157" s="3">
        <v>7245132.7800000003</v>
      </c>
      <c r="Q157" s="3">
        <v>255458.10000000056</v>
      </c>
      <c r="R157" s="3">
        <v>255458.10000000056</v>
      </c>
      <c r="S157" s="3">
        <v>255458.10000000056</v>
      </c>
      <c r="T157" s="3">
        <f>7245132.78-6989674.68</f>
        <v>255458.10000000056</v>
      </c>
      <c r="U157" s="12">
        <v>0</v>
      </c>
      <c r="V157" s="12">
        <v>3.5259270983298743</v>
      </c>
    </row>
    <row r="158" spans="1:22" x14ac:dyDescent="0.3">
      <c r="A158" s="3">
        <v>31401</v>
      </c>
      <c r="B158" s="3" t="s">
        <v>172</v>
      </c>
      <c r="C158" s="3" t="s">
        <v>153</v>
      </c>
      <c r="D158" s="3" t="s">
        <v>173</v>
      </c>
      <c r="E158" s="3">
        <v>32846588.780000001</v>
      </c>
      <c r="F158" s="3">
        <v>42585386.104297347</v>
      </c>
      <c r="G158" s="3">
        <v>48722523.950000003</v>
      </c>
      <c r="H158" s="3">
        <f t="shared" ref="H158:H189" si="20">AVERAGE(E158:G158)</f>
        <v>41384832.944765784</v>
      </c>
      <c r="I158" s="3">
        <v>6585697.3699999992</v>
      </c>
      <c r="J158" s="3">
        <v>10990119.73</v>
      </c>
      <c r="K158" s="3">
        <v>10825070.07</v>
      </c>
      <c r="L158" s="3">
        <f t="shared" ref="L158:L189" si="21">AVERAGE(I158:K158)</f>
        <v>9466962.3900000006</v>
      </c>
      <c r="M158" s="3">
        <v>43100837.23999998</v>
      </c>
      <c r="N158" s="3">
        <v>48221822.909999996</v>
      </c>
      <c r="O158" s="3">
        <v>47967879.619999997</v>
      </c>
      <c r="P158" s="3">
        <f t="shared" ref="P158:P185" si="22">AVERAGE(M158:O158)</f>
        <v>46430179.923333324</v>
      </c>
      <c r="Q158" s="3">
        <v>18068950.239999998</v>
      </c>
      <c r="R158" s="3">
        <v>18985731.09</v>
      </c>
      <c r="S158" s="3">
        <v>19671454.75</v>
      </c>
      <c r="T158" s="3">
        <f t="shared" ref="T158:T185" si="23">AVERAGE(Q158:S158)</f>
        <v>18908712.026666667</v>
      </c>
      <c r="U158" s="12">
        <v>22.875439421575216</v>
      </c>
      <c r="V158" s="12">
        <v>40.725045773867784</v>
      </c>
    </row>
    <row r="159" spans="1:22" x14ac:dyDescent="0.3">
      <c r="A159" s="3">
        <v>31402</v>
      </c>
      <c r="B159" s="3" t="s">
        <v>174</v>
      </c>
      <c r="C159" s="3" t="s">
        <v>153</v>
      </c>
      <c r="D159" s="3" t="s">
        <v>173</v>
      </c>
      <c r="E159" s="3">
        <v>6282608.6699999999</v>
      </c>
      <c r="F159" s="3">
        <v>7424667.2189274533</v>
      </c>
      <c r="G159" s="3">
        <v>8771684.5699999984</v>
      </c>
      <c r="H159" s="3">
        <f t="shared" si="20"/>
        <v>7492986.8196424842</v>
      </c>
      <c r="I159" s="3">
        <v>190479.17</v>
      </c>
      <c r="J159" s="3">
        <v>195500.11</v>
      </c>
      <c r="K159" s="3">
        <v>126292.97</v>
      </c>
      <c r="L159" s="3">
        <f t="shared" si="21"/>
        <v>170757.41666666666</v>
      </c>
      <c r="M159" s="3">
        <v>7529237.9099999946</v>
      </c>
      <c r="N159" s="3">
        <v>8807999.1999999993</v>
      </c>
      <c r="O159" s="3">
        <v>8549471.75</v>
      </c>
      <c r="P159" s="3">
        <f t="shared" si="22"/>
        <v>8295569.6199999973</v>
      </c>
      <c r="Q159" s="3">
        <v>479805.02</v>
      </c>
      <c r="R159" s="3">
        <v>575174.05000000005</v>
      </c>
      <c r="S159" s="3">
        <v>581254.57999999996</v>
      </c>
      <c r="T159" s="3">
        <f t="shared" si="23"/>
        <v>545411.21666666667</v>
      </c>
      <c r="U159" s="12">
        <v>2.2788965305401945</v>
      </c>
      <c r="V159" s="12">
        <v>6.5747289414788472</v>
      </c>
    </row>
    <row r="160" spans="1:22" x14ac:dyDescent="0.3">
      <c r="A160" s="3">
        <v>31403</v>
      </c>
      <c r="B160" s="3" t="s">
        <v>175</v>
      </c>
      <c r="C160" s="3" t="s">
        <v>153</v>
      </c>
      <c r="D160" s="3" t="s">
        <v>173</v>
      </c>
      <c r="E160" s="3">
        <v>13555338.9</v>
      </c>
      <c r="F160" s="3">
        <v>17745628.432011869</v>
      </c>
      <c r="G160" s="3">
        <v>18998727.210000001</v>
      </c>
      <c r="H160" s="3">
        <f t="shared" si="20"/>
        <v>16766564.847337291</v>
      </c>
      <c r="I160" s="3">
        <v>644391.06000000006</v>
      </c>
      <c r="J160" s="3">
        <v>2275881.83</v>
      </c>
      <c r="K160" s="3">
        <v>459646.06</v>
      </c>
      <c r="L160" s="3">
        <f t="shared" si="21"/>
        <v>1126639.6500000001</v>
      </c>
      <c r="M160" s="3">
        <v>13267194.969999989</v>
      </c>
      <c r="N160" s="3">
        <v>15846420.59</v>
      </c>
      <c r="O160" s="3">
        <v>15094179.84</v>
      </c>
      <c r="P160" s="3">
        <f t="shared" si="22"/>
        <v>14735931.799999997</v>
      </c>
      <c r="Q160" s="3">
        <v>1514512.92</v>
      </c>
      <c r="R160" s="3">
        <v>2120885.61</v>
      </c>
      <c r="S160" s="3">
        <v>1809803.89</v>
      </c>
      <c r="T160" s="3">
        <f t="shared" si="23"/>
        <v>1815067.4733333334</v>
      </c>
      <c r="U160" s="12">
        <v>6.7195615813869143</v>
      </c>
      <c r="V160" s="12">
        <v>12.317290131142801</v>
      </c>
    </row>
    <row r="161" spans="1:22" x14ac:dyDescent="0.3">
      <c r="A161" s="3">
        <v>31404</v>
      </c>
      <c r="B161" s="3" t="s">
        <v>176</v>
      </c>
      <c r="C161" s="3" t="s">
        <v>153</v>
      </c>
      <c r="D161" s="3" t="s">
        <v>173</v>
      </c>
      <c r="E161" s="3">
        <v>1107924.07</v>
      </c>
      <c r="F161" s="3">
        <v>1712295.2688264111</v>
      </c>
      <c r="G161" s="3">
        <v>1898453.6</v>
      </c>
      <c r="H161" s="3">
        <f t="shared" si="20"/>
        <v>1572890.979608804</v>
      </c>
      <c r="I161" s="3">
        <v>3736</v>
      </c>
      <c r="J161" s="3">
        <v>395261</v>
      </c>
      <c r="K161" s="3">
        <v>321529.74</v>
      </c>
      <c r="L161" s="3">
        <f t="shared" si="21"/>
        <v>240175.58</v>
      </c>
      <c r="M161" s="3">
        <v>1151674.199999999</v>
      </c>
      <c r="N161" s="3">
        <v>1336611.03</v>
      </c>
      <c r="O161" s="3">
        <v>1290508.8400000001</v>
      </c>
      <c r="P161" s="3">
        <f t="shared" si="22"/>
        <v>1259598.0233333332</v>
      </c>
      <c r="Q161" s="3">
        <v>23021.94</v>
      </c>
      <c r="R161" s="3">
        <v>18412.29</v>
      </c>
      <c r="S161" s="3">
        <v>14695.63</v>
      </c>
      <c r="T161" s="3">
        <f t="shared" si="23"/>
        <v>18709.953333333331</v>
      </c>
      <c r="U161" s="12">
        <v>15.269690214622148</v>
      </c>
      <c r="V161" s="12">
        <v>1.4853908141122916</v>
      </c>
    </row>
    <row r="162" spans="1:22" x14ac:dyDescent="0.3">
      <c r="A162" s="3">
        <v>31405</v>
      </c>
      <c r="B162" s="3" t="s">
        <v>177</v>
      </c>
      <c r="C162" s="3" t="s">
        <v>153</v>
      </c>
      <c r="D162" s="3" t="s">
        <v>173</v>
      </c>
      <c r="E162" s="3">
        <v>2142793.39</v>
      </c>
      <c r="F162" s="3">
        <v>2537720.5835017562</v>
      </c>
      <c r="G162" s="3">
        <v>2877045.55</v>
      </c>
      <c r="H162" s="3">
        <f t="shared" si="20"/>
        <v>2519186.507833919</v>
      </c>
      <c r="I162" s="3">
        <v>113668.16</v>
      </c>
      <c r="J162" s="3">
        <v>134327.63</v>
      </c>
      <c r="K162" s="3">
        <v>3884.3</v>
      </c>
      <c r="L162" s="3">
        <f t="shared" si="21"/>
        <v>83960.03</v>
      </c>
      <c r="M162" s="3">
        <v>2461170.5899999961</v>
      </c>
      <c r="N162" s="3">
        <v>2853917.72</v>
      </c>
      <c r="O162" s="3">
        <v>2754972.68</v>
      </c>
      <c r="P162" s="3">
        <f t="shared" si="22"/>
        <v>2690020.3299999987</v>
      </c>
      <c r="Q162" s="3">
        <v>63639.27</v>
      </c>
      <c r="R162" s="3">
        <v>52980.9</v>
      </c>
      <c r="S162" s="3">
        <v>44076.6</v>
      </c>
      <c r="T162" s="3">
        <f t="shared" si="23"/>
        <v>53565.59</v>
      </c>
      <c r="U162" s="12">
        <v>3.3328231053520385</v>
      </c>
      <c r="V162" s="12">
        <v>1.991270824336113</v>
      </c>
    </row>
    <row r="163" spans="1:22" x14ac:dyDescent="0.3">
      <c r="A163" s="3">
        <v>31501</v>
      </c>
      <c r="B163" s="3" t="s">
        <v>206</v>
      </c>
      <c r="C163" s="3" t="s">
        <v>153</v>
      </c>
      <c r="D163" s="3" t="s">
        <v>207</v>
      </c>
      <c r="E163" s="3">
        <v>9598702.4799999986</v>
      </c>
      <c r="F163" s="3">
        <v>11181074.13471226</v>
      </c>
      <c r="G163" s="3">
        <v>13347586.449999999</v>
      </c>
      <c r="H163" s="3">
        <f t="shared" si="20"/>
        <v>11375787.688237419</v>
      </c>
      <c r="I163" s="3">
        <v>117253.8</v>
      </c>
      <c r="J163" s="3">
        <v>162466.66</v>
      </c>
      <c r="K163" s="3">
        <v>231121.65</v>
      </c>
      <c r="L163" s="3">
        <f t="shared" si="21"/>
        <v>170280.70333333334</v>
      </c>
      <c r="M163" s="3">
        <v>6582706.9599999934</v>
      </c>
      <c r="N163" s="3">
        <v>7709310.1199999992</v>
      </c>
      <c r="O163" s="3">
        <v>7348154.1600000001</v>
      </c>
      <c r="P163" s="3">
        <f t="shared" si="22"/>
        <v>7213390.4133333312</v>
      </c>
      <c r="Q163" s="3">
        <v>275084.84999999998</v>
      </c>
      <c r="R163" s="3">
        <v>342833.79</v>
      </c>
      <c r="S163" s="3">
        <v>218424.92</v>
      </c>
      <c r="T163" s="3">
        <f t="shared" si="23"/>
        <v>278781.18666666665</v>
      </c>
      <c r="U163" s="12">
        <v>1.4968695619152932</v>
      </c>
      <c r="V163" s="12">
        <v>3.8647732992708064</v>
      </c>
    </row>
    <row r="164" spans="1:22" x14ac:dyDescent="0.3">
      <c r="A164" s="3">
        <v>31601</v>
      </c>
      <c r="B164" s="3" t="s">
        <v>208</v>
      </c>
      <c r="C164" s="3" t="s">
        <v>153</v>
      </c>
      <c r="D164" s="3" t="s">
        <v>209</v>
      </c>
      <c r="E164" s="3">
        <v>21623739.760000009</v>
      </c>
      <c r="F164" s="3">
        <v>25584289.82594328</v>
      </c>
      <c r="G164" s="3">
        <v>30838516.109999999</v>
      </c>
      <c r="H164" s="3">
        <f t="shared" si="20"/>
        <v>26015515.231981099</v>
      </c>
      <c r="I164" s="3">
        <v>437353.73</v>
      </c>
      <c r="J164" s="3">
        <v>472376.43000000011</v>
      </c>
      <c r="K164" s="3">
        <v>814908.19</v>
      </c>
      <c r="L164" s="3">
        <f t="shared" si="21"/>
        <v>574879.45000000007</v>
      </c>
      <c r="M164" s="3">
        <v>20173840.52999999</v>
      </c>
      <c r="N164" s="3">
        <v>23529925.399999999</v>
      </c>
      <c r="O164" s="3">
        <v>22580049.420000002</v>
      </c>
      <c r="P164" s="3">
        <f t="shared" si="22"/>
        <v>22094605.116666663</v>
      </c>
      <c r="Q164" s="3">
        <v>1776239.55</v>
      </c>
      <c r="R164" s="3">
        <v>2042533.12</v>
      </c>
      <c r="S164" s="3">
        <v>1783281.6</v>
      </c>
      <c r="T164" s="3">
        <f t="shared" si="23"/>
        <v>1867351.4233333331</v>
      </c>
      <c r="U164" s="12">
        <v>2.2097561584838257</v>
      </c>
      <c r="V164" s="12">
        <v>8.4516170959974772</v>
      </c>
    </row>
    <row r="165" spans="1:22" x14ac:dyDescent="0.3">
      <c r="A165" s="3">
        <v>31602</v>
      </c>
      <c r="B165" s="3" t="s">
        <v>216</v>
      </c>
      <c r="C165" s="3" t="s">
        <v>153</v>
      </c>
      <c r="D165" s="3" t="s">
        <v>209</v>
      </c>
      <c r="E165" s="3">
        <v>16520724.41</v>
      </c>
      <c r="F165" s="3">
        <v>19730498.447561149</v>
      </c>
      <c r="G165" s="3">
        <v>23529105.07</v>
      </c>
      <c r="H165" s="3">
        <f t="shared" si="20"/>
        <v>19926775.975853715</v>
      </c>
      <c r="I165" s="3">
        <v>1178367.8799999999</v>
      </c>
      <c r="J165" s="3">
        <v>1544177</v>
      </c>
      <c r="K165" s="3">
        <v>1785312.1</v>
      </c>
      <c r="L165" s="3">
        <f t="shared" si="21"/>
        <v>1502618.9933333334</v>
      </c>
      <c r="M165" s="3">
        <v>21913836.849999979</v>
      </c>
      <c r="N165" s="3">
        <v>25386738.07</v>
      </c>
      <c r="O165" s="3">
        <v>25235439.440000009</v>
      </c>
      <c r="P165" s="3">
        <f t="shared" si="22"/>
        <v>24178671.453333329</v>
      </c>
      <c r="Q165" s="3">
        <v>3852890.53</v>
      </c>
      <c r="R165" s="3">
        <v>4294068.72</v>
      </c>
      <c r="S165" s="3">
        <v>4820708.17</v>
      </c>
      <c r="T165" s="3">
        <f t="shared" si="23"/>
        <v>4322555.8066666666</v>
      </c>
      <c r="U165" s="12">
        <v>7.5407029975854254</v>
      </c>
      <c r="V165" s="12">
        <v>17.877557147875258</v>
      </c>
    </row>
    <row r="166" spans="1:22" x14ac:dyDescent="0.3">
      <c r="A166" s="3">
        <v>40101</v>
      </c>
      <c r="B166" s="3" t="s">
        <v>217</v>
      </c>
      <c r="C166" s="3" t="s">
        <v>218</v>
      </c>
      <c r="D166" s="3" t="s">
        <v>154</v>
      </c>
      <c r="E166" s="3">
        <v>422417387.89999998</v>
      </c>
      <c r="F166" s="3">
        <v>519288699.56409878</v>
      </c>
      <c r="G166" s="3">
        <v>619344581.32000005</v>
      </c>
      <c r="H166" s="3">
        <f t="shared" si="20"/>
        <v>520350222.92803288</v>
      </c>
      <c r="I166" s="3">
        <v>94206701.270000011</v>
      </c>
      <c r="J166" s="3">
        <v>107050842.14</v>
      </c>
      <c r="K166" s="3">
        <v>111043685.7</v>
      </c>
      <c r="L166" s="3">
        <f t="shared" si="21"/>
        <v>104100409.70333333</v>
      </c>
      <c r="M166" s="3">
        <v>487200479.79999977</v>
      </c>
      <c r="N166" s="3">
        <v>545382048.0999999</v>
      </c>
      <c r="O166" s="3">
        <v>528548167.84000009</v>
      </c>
      <c r="P166" s="3">
        <f t="shared" si="22"/>
        <v>520376898.57999992</v>
      </c>
      <c r="Q166" s="3">
        <v>190017428.65000001</v>
      </c>
      <c r="R166" s="3">
        <v>188219832.03</v>
      </c>
      <c r="S166" s="3">
        <v>199032940.41999999</v>
      </c>
      <c r="T166" s="3">
        <f t="shared" si="23"/>
        <v>192423400.36666667</v>
      </c>
      <c r="U166" s="12">
        <v>20.005835515464163</v>
      </c>
      <c r="V166" s="12">
        <v>36.977698451209122</v>
      </c>
    </row>
    <row r="167" spans="1:22" x14ac:dyDescent="0.3">
      <c r="A167" s="3">
        <v>40102</v>
      </c>
      <c r="B167" s="3" t="s">
        <v>219</v>
      </c>
      <c r="C167" s="3" t="s">
        <v>218</v>
      </c>
      <c r="D167" s="3" t="s">
        <v>154</v>
      </c>
      <c r="E167" s="3">
        <v>38448541.520000003</v>
      </c>
      <c r="F167" s="3">
        <v>45609159.427378222</v>
      </c>
      <c r="G167" s="3">
        <v>56234080.039999999</v>
      </c>
      <c r="H167" s="3">
        <f t="shared" si="20"/>
        <v>46763926.995792739</v>
      </c>
      <c r="I167" s="3">
        <v>2842046.17</v>
      </c>
      <c r="J167" s="3">
        <v>1900536.27</v>
      </c>
      <c r="K167" s="3">
        <v>2620984.06</v>
      </c>
      <c r="L167" s="3">
        <f t="shared" si="21"/>
        <v>2454522.1666666665</v>
      </c>
      <c r="M167" s="3">
        <v>27984458.17999997</v>
      </c>
      <c r="N167" s="3">
        <v>33663141.579999998</v>
      </c>
      <c r="O167" s="3">
        <v>31272362.199999999</v>
      </c>
      <c r="P167" s="3">
        <f t="shared" si="22"/>
        <v>30973320.653333321</v>
      </c>
      <c r="Q167" s="3">
        <v>2057195.11</v>
      </c>
      <c r="R167" s="3">
        <v>2502985.35</v>
      </c>
      <c r="S167" s="3">
        <v>2524272.5099999998</v>
      </c>
      <c r="T167" s="3">
        <f t="shared" si="23"/>
        <v>2361484.3233333332</v>
      </c>
      <c r="U167" s="12">
        <v>5.2487511728591469</v>
      </c>
      <c r="V167" s="12">
        <v>7.6242529813450668</v>
      </c>
    </row>
    <row r="168" spans="1:22" x14ac:dyDescent="0.3">
      <c r="A168" s="3">
        <v>40103</v>
      </c>
      <c r="B168" s="3" t="s">
        <v>220</v>
      </c>
      <c r="C168" s="3" t="s">
        <v>218</v>
      </c>
      <c r="D168" s="3" t="s">
        <v>154</v>
      </c>
      <c r="E168" s="3">
        <v>9374834.3499999996</v>
      </c>
      <c r="F168" s="3">
        <v>11467326.54720711</v>
      </c>
      <c r="G168" s="3">
        <v>14028268.880000001</v>
      </c>
      <c r="H168" s="3">
        <f t="shared" si="20"/>
        <v>11623476.592402371</v>
      </c>
      <c r="I168" s="3">
        <v>0</v>
      </c>
      <c r="J168" s="3">
        <v>20786</v>
      </c>
      <c r="K168" s="3">
        <v>5243.45</v>
      </c>
      <c r="L168" s="3">
        <f t="shared" si="21"/>
        <v>8676.4833333333336</v>
      </c>
      <c r="M168" s="3">
        <v>10000274.199999999</v>
      </c>
      <c r="N168" s="3">
        <v>11869564.449999999</v>
      </c>
      <c r="O168" s="3">
        <v>11084895.99</v>
      </c>
      <c r="P168" s="3">
        <f t="shared" si="22"/>
        <v>10984911.546666667</v>
      </c>
      <c r="Q168" s="3">
        <v>214114.8</v>
      </c>
      <c r="R168" s="3">
        <v>108194.19</v>
      </c>
      <c r="S168" s="3">
        <v>233985.76</v>
      </c>
      <c r="T168" s="3">
        <f t="shared" si="23"/>
        <v>185431.58333333334</v>
      </c>
      <c r="U168" s="12">
        <v>7.4646197842431025E-2</v>
      </c>
      <c r="V168" s="12">
        <v>1.6880571367877961</v>
      </c>
    </row>
    <row r="169" spans="1:22" x14ac:dyDescent="0.3">
      <c r="A169" s="3">
        <v>40104</v>
      </c>
      <c r="B169" s="3" t="s">
        <v>267</v>
      </c>
      <c r="C169" s="3" t="s">
        <v>218</v>
      </c>
      <c r="D169" s="3" t="s">
        <v>154</v>
      </c>
      <c r="E169" s="3">
        <v>23509630.050000001</v>
      </c>
      <c r="F169" s="3">
        <v>28911530.27577582</v>
      </c>
      <c r="G169" s="3">
        <v>36169171.349999987</v>
      </c>
      <c r="H169" s="3">
        <f t="shared" si="20"/>
        <v>29530110.558591932</v>
      </c>
      <c r="I169" s="3">
        <v>131220.79999999999</v>
      </c>
      <c r="J169" s="3">
        <v>160590.71</v>
      </c>
      <c r="K169" s="3">
        <v>888163.41</v>
      </c>
      <c r="L169" s="3">
        <f t="shared" si="21"/>
        <v>393324.97333333333</v>
      </c>
      <c r="M169" s="3">
        <v>16547489.09999999</v>
      </c>
      <c r="N169" s="3">
        <v>19062500.18</v>
      </c>
      <c r="O169" s="3">
        <v>18057623.579999998</v>
      </c>
      <c r="P169" s="3">
        <f t="shared" si="22"/>
        <v>17889204.286666662</v>
      </c>
      <c r="Q169" s="3">
        <v>2138849.77</v>
      </c>
      <c r="R169" s="3">
        <v>1745717.03</v>
      </c>
      <c r="S169" s="3">
        <v>2081329.6</v>
      </c>
      <c r="T169" s="3">
        <f t="shared" si="23"/>
        <v>1988632.1333333335</v>
      </c>
      <c r="U169" s="12">
        <v>1.3319454817242244</v>
      </c>
      <c r="V169" s="12">
        <v>11.116381150700583</v>
      </c>
    </row>
    <row r="170" spans="1:22" x14ac:dyDescent="0.3">
      <c r="A170" s="3">
        <v>40201</v>
      </c>
      <c r="B170" s="3" t="s">
        <v>221</v>
      </c>
      <c r="C170" s="3" t="s">
        <v>218</v>
      </c>
      <c r="D170" s="3" t="s">
        <v>222</v>
      </c>
      <c r="E170" s="3">
        <v>43349823.459999993</v>
      </c>
      <c r="F170" s="3">
        <v>55770653.523671083</v>
      </c>
      <c r="G170" s="3">
        <v>71163230.719999999</v>
      </c>
      <c r="H170" s="3">
        <f t="shared" si="20"/>
        <v>56761235.901223689</v>
      </c>
      <c r="I170" s="3">
        <v>1140593.78</v>
      </c>
      <c r="J170" s="3">
        <v>1202589</v>
      </c>
      <c r="K170" s="3">
        <v>2606352.7999999998</v>
      </c>
      <c r="L170" s="3">
        <f t="shared" si="21"/>
        <v>1649845.1933333334</v>
      </c>
      <c r="M170" s="3">
        <v>36462795.299999937</v>
      </c>
      <c r="N170" s="3">
        <v>44298542.119999997</v>
      </c>
      <c r="O170" s="3">
        <v>40033931.489999987</v>
      </c>
      <c r="P170" s="3">
        <f t="shared" si="22"/>
        <v>40265089.636666633</v>
      </c>
      <c r="Q170" s="3">
        <v>4026371.540000001</v>
      </c>
      <c r="R170" s="3">
        <v>5315512.17</v>
      </c>
      <c r="S170" s="3">
        <v>4068515.24</v>
      </c>
      <c r="T170" s="3">
        <f t="shared" si="23"/>
        <v>4470132.9833333334</v>
      </c>
      <c r="U170" s="12">
        <v>2.9066407155129705</v>
      </c>
      <c r="V170" s="12">
        <v>11.101758430615021</v>
      </c>
    </row>
    <row r="171" spans="1:22" x14ac:dyDescent="0.3">
      <c r="A171" s="3">
        <v>40202</v>
      </c>
      <c r="B171" s="3" t="s">
        <v>223</v>
      </c>
      <c r="C171" s="3" t="s">
        <v>218</v>
      </c>
      <c r="D171" s="3" t="s">
        <v>222</v>
      </c>
      <c r="E171" s="3">
        <v>5637183.1600000011</v>
      </c>
      <c r="F171" s="3">
        <v>6865462.9693254242</v>
      </c>
      <c r="G171" s="3">
        <v>8400724.5599999987</v>
      </c>
      <c r="H171" s="3">
        <f t="shared" si="20"/>
        <v>6967790.229775141</v>
      </c>
      <c r="I171" s="3">
        <v>73113.88</v>
      </c>
      <c r="J171" s="3">
        <v>74566.28</v>
      </c>
      <c r="K171" s="3">
        <v>112666.77</v>
      </c>
      <c r="L171" s="3">
        <f t="shared" si="21"/>
        <v>86782.31</v>
      </c>
      <c r="M171" s="3">
        <v>4564775.969999996</v>
      </c>
      <c r="N171" s="3">
        <v>5509998.2700000014</v>
      </c>
      <c r="O171" s="3">
        <v>5108953.4399999985</v>
      </c>
      <c r="P171" s="3">
        <f t="shared" si="22"/>
        <v>5061242.5599999987</v>
      </c>
      <c r="Q171" s="3">
        <v>21390</v>
      </c>
      <c r="R171" s="3">
        <v>49526</v>
      </c>
      <c r="S171" s="3">
        <v>71205.919999999998</v>
      </c>
      <c r="T171" s="3">
        <f t="shared" si="23"/>
        <v>47373.973333333328</v>
      </c>
      <c r="U171" s="12">
        <v>1.2454782239160573</v>
      </c>
      <c r="V171" s="12">
        <v>0.93601467963103002</v>
      </c>
    </row>
    <row r="172" spans="1:22" x14ac:dyDescent="0.3">
      <c r="A172" s="3">
        <v>40301</v>
      </c>
      <c r="B172" s="3" t="s">
        <v>237</v>
      </c>
      <c r="C172" s="3" t="s">
        <v>218</v>
      </c>
      <c r="D172" s="3" t="s">
        <v>238</v>
      </c>
      <c r="E172" s="3">
        <v>14952585.720000001</v>
      </c>
      <c r="F172" s="3">
        <v>18327059.42857293</v>
      </c>
      <c r="G172" s="3">
        <v>22489978.02</v>
      </c>
      <c r="H172" s="3">
        <f t="shared" si="20"/>
        <v>18589874.389524311</v>
      </c>
      <c r="I172" s="3">
        <v>35908.720000000001</v>
      </c>
      <c r="J172" s="3">
        <v>123153.25</v>
      </c>
      <c r="K172" s="3">
        <v>191282.44</v>
      </c>
      <c r="L172" s="3">
        <f t="shared" si="21"/>
        <v>116781.47000000002</v>
      </c>
      <c r="M172" s="3">
        <v>10419964.87999999</v>
      </c>
      <c r="N172" s="3">
        <v>12607649.380000001</v>
      </c>
      <c r="O172" s="3">
        <v>11753470.17</v>
      </c>
      <c r="P172" s="3">
        <f t="shared" si="22"/>
        <v>11593694.809999997</v>
      </c>
      <c r="Q172" s="3">
        <v>77447.5</v>
      </c>
      <c r="R172" s="3">
        <v>177634.5</v>
      </c>
      <c r="S172" s="3">
        <v>285673.26</v>
      </c>
      <c r="T172" s="3">
        <f t="shared" si="23"/>
        <v>180251.75333333333</v>
      </c>
      <c r="U172" s="12">
        <v>0.62819934956531087</v>
      </c>
      <c r="V172" s="12">
        <v>1.5547395052857473</v>
      </c>
    </row>
    <row r="173" spans="1:22" x14ac:dyDescent="0.3">
      <c r="A173" s="3">
        <v>40302</v>
      </c>
      <c r="B173" s="3" t="s">
        <v>239</v>
      </c>
      <c r="C173" s="3" t="s">
        <v>218</v>
      </c>
      <c r="D173" s="3" t="s">
        <v>238</v>
      </c>
      <c r="E173" s="3">
        <v>2765304.44</v>
      </c>
      <c r="F173" s="3">
        <v>3400853.9942953908</v>
      </c>
      <c r="G173" s="3">
        <v>4173431.67</v>
      </c>
      <c r="H173" s="3">
        <f t="shared" si="20"/>
        <v>3446530.0347651304</v>
      </c>
      <c r="I173" s="3">
        <v>0</v>
      </c>
      <c r="J173" s="3">
        <v>0</v>
      </c>
      <c r="K173" s="3">
        <v>0</v>
      </c>
      <c r="L173" s="3">
        <f t="shared" si="21"/>
        <v>0</v>
      </c>
      <c r="M173" s="3">
        <v>2092133.389999998</v>
      </c>
      <c r="N173" s="3">
        <v>2511561.91</v>
      </c>
      <c r="O173" s="3">
        <v>2390228.63</v>
      </c>
      <c r="P173" s="3">
        <f t="shared" si="22"/>
        <v>2331307.9766666661</v>
      </c>
      <c r="Q173" s="3">
        <v>17584.71</v>
      </c>
      <c r="R173" s="3">
        <v>18200.5</v>
      </c>
      <c r="S173" s="3">
        <v>89916</v>
      </c>
      <c r="T173" s="3">
        <f t="shared" si="23"/>
        <v>41900.403333333328</v>
      </c>
      <c r="U173" s="12">
        <v>0</v>
      </c>
      <c r="V173" s="12">
        <v>1.7972916385437441</v>
      </c>
    </row>
    <row r="174" spans="1:22" x14ac:dyDescent="0.3">
      <c r="A174" s="3">
        <v>40401</v>
      </c>
      <c r="B174" s="3" t="s">
        <v>240</v>
      </c>
      <c r="C174" s="3" t="s">
        <v>218</v>
      </c>
      <c r="D174" s="3" t="s">
        <v>241</v>
      </c>
      <c r="E174" s="3">
        <v>9154489.2799999993</v>
      </c>
      <c r="F174" s="3">
        <v>11221508.63388948</v>
      </c>
      <c r="G174" s="3">
        <v>13759211.630000001</v>
      </c>
      <c r="H174" s="3">
        <f t="shared" si="20"/>
        <v>11378403.181296492</v>
      </c>
      <c r="I174" s="3">
        <v>105164.2</v>
      </c>
      <c r="J174" s="3">
        <v>97712</v>
      </c>
      <c r="K174" s="3">
        <v>110276.4</v>
      </c>
      <c r="L174" s="3">
        <f t="shared" si="21"/>
        <v>104384.2</v>
      </c>
      <c r="M174" s="3">
        <v>5481252.1999999974</v>
      </c>
      <c r="N174" s="3">
        <v>5934559.75</v>
      </c>
      <c r="O174" s="3">
        <v>5483926.46</v>
      </c>
      <c r="P174" s="3">
        <f t="shared" si="22"/>
        <v>5633246.1366666658</v>
      </c>
      <c r="Q174" s="3">
        <v>788682.06</v>
      </c>
      <c r="R174" s="3">
        <v>294794.09999999998</v>
      </c>
      <c r="S174" s="3">
        <v>280764.06</v>
      </c>
      <c r="T174" s="3">
        <f t="shared" si="23"/>
        <v>454746.74000000005</v>
      </c>
      <c r="U174" s="12">
        <v>0.91738883160322438</v>
      </c>
      <c r="V174" s="12">
        <v>8.0725522898789084</v>
      </c>
    </row>
    <row r="175" spans="1:22" x14ac:dyDescent="0.3">
      <c r="A175" s="3">
        <v>40402</v>
      </c>
      <c r="B175" s="3" t="s">
        <v>242</v>
      </c>
      <c r="C175" s="3" t="s">
        <v>218</v>
      </c>
      <c r="D175" s="3" t="s">
        <v>241</v>
      </c>
      <c r="E175" s="3">
        <v>7267183.790000001</v>
      </c>
      <c r="F175" s="3">
        <v>8855773.2511500027</v>
      </c>
      <c r="G175" s="3">
        <v>10907450.6</v>
      </c>
      <c r="H175" s="3">
        <f t="shared" si="20"/>
        <v>9010135.8803833351</v>
      </c>
      <c r="I175" s="3">
        <v>136117.1</v>
      </c>
      <c r="J175" s="3">
        <v>89335</v>
      </c>
      <c r="K175" s="3">
        <v>150788.49</v>
      </c>
      <c r="L175" s="3">
        <f t="shared" si="21"/>
        <v>125413.52999999998</v>
      </c>
      <c r="M175" s="3">
        <v>6001033.0999999978</v>
      </c>
      <c r="N175" s="3">
        <v>7708515.6299999999</v>
      </c>
      <c r="O175" s="3">
        <v>7238039.3799999999</v>
      </c>
      <c r="P175" s="3">
        <f t="shared" si="22"/>
        <v>6982529.3699999982</v>
      </c>
      <c r="Q175" s="3">
        <v>160975.39000000001</v>
      </c>
      <c r="R175" s="3">
        <v>689670.2</v>
      </c>
      <c r="S175" s="3">
        <v>762548</v>
      </c>
      <c r="T175" s="3">
        <f t="shared" si="23"/>
        <v>537731.19666666666</v>
      </c>
      <c r="U175" s="12">
        <v>1.3919160783473588</v>
      </c>
      <c r="V175" s="12">
        <v>7.7010946631602462</v>
      </c>
    </row>
    <row r="176" spans="1:22" x14ac:dyDescent="0.3">
      <c r="A176" s="3">
        <v>40501</v>
      </c>
      <c r="B176" s="3" t="s">
        <v>243</v>
      </c>
      <c r="C176" s="3" t="s">
        <v>218</v>
      </c>
      <c r="D176" s="3" t="s">
        <v>244</v>
      </c>
      <c r="E176" s="3">
        <v>2738024.36</v>
      </c>
      <c r="F176" s="3">
        <v>3465647.6482023592</v>
      </c>
      <c r="G176" s="3">
        <v>4205450.09</v>
      </c>
      <c r="H176" s="3">
        <f t="shared" si="20"/>
        <v>3469707.3660674528</v>
      </c>
      <c r="I176" s="3">
        <v>13786.27</v>
      </c>
      <c r="J176" s="3">
        <v>63928.25</v>
      </c>
      <c r="K176" s="3">
        <v>16414.939999999999</v>
      </c>
      <c r="L176" s="3">
        <f t="shared" si="21"/>
        <v>31376.486666666668</v>
      </c>
      <c r="M176" s="3">
        <v>1252371.6099999989</v>
      </c>
      <c r="N176" s="3">
        <v>1802043.75</v>
      </c>
      <c r="O176" s="3">
        <v>1680497.88</v>
      </c>
      <c r="P176" s="3">
        <f t="shared" si="22"/>
        <v>1578304.4133333329</v>
      </c>
      <c r="Q176" s="3">
        <v>127893.91</v>
      </c>
      <c r="R176" s="3">
        <v>450501.67</v>
      </c>
      <c r="S176" s="3">
        <v>433619.58</v>
      </c>
      <c r="T176" s="3">
        <f t="shared" si="23"/>
        <v>337338.38666666666</v>
      </c>
      <c r="U176" s="12">
        <v>0.90429777950492141</v>
      </c>
      <c r="V176" s="12">
        <v>21.373467869497862</v>
      </c>
    </row>
    <row r="177" spans="1:22" x14ac:dyDescent="0.3">
      <c r="A177" s="3">
        <v>40502</v>
      </c>
      <c r="B177" s="3" t="s">
        <v>245</v>
      </c>
      <c r="C177" s="3" t="s">
        <v>218</v>
      </c>
      <c r="D177" s="3" t="s">
        <v>244</v>
      </c>
      <c r="E177" s="3">
        <v>1474272.45</v>
      </c>
      <c r="F177" s="3">
        <v>1814680.624780403</v>
      </c>
      <c r="G177" s="3">
        <v>2227459.02</v>
      </c>
      <c r="H177" s="3">
        <f t="shared" si="20"/>
        <v>1838804.0315934673</v>
      </c>
      <c r="I177" s="3">
        <v>0</v>
      </c>
      <c r="J177" s="3">
        <v>0</v>
      </c>
      <c r="K177" s="3">
        <v>0</v>
      </c>
      <c r="L177" s="3">
        <f t="shared" si="21"/>
        <v>0</v>
      </c>
      <c r="M177" s="3">
        <v>6957558.0899999989</v>
      </c>
      <c r="N177" s="3">
        <v>8046434.6600000001</v>
      </c>
      <c r="O177" s="3">
        <v>7446974.6399999997</v>
      </c>
      <c r="P177" s="3">
        <f t="shared" si="22"/>
        <v>7483655.7966666669</v>
      </c>
      <c r="Q177" s="3">
        <v>2221242</v>
      </c>
      <c r="R177" s="3">
        <v>2354094</v>
      </c>
      <c r="S177" s="3">
        <v>2195307</v>
      </c>
      <c r="T177" s="3">
        <f t="shared" si="23"/>
        <v>2256881</v>
      </c>
      <c r="U177" s="12">
        <v>0</v>
      </c>
      <c r="V177" s="12">
        <v>30.15746663556131</v>
      </c>
    </row>
    <row r="178" spans="1:22" x14ac:dyDescent="0.3">
      <c r="A178" s="3">
        <v>40503</v>
      </c>
      <c r="B178" s="3" t="s">
        <v>246</v>
      </c>
      <c r="C178" s="3" t="s">
        <v>218</v>
      </c>
      <c r="D178" s="3" t="s">
        <v>244</v>
      </c>
      <c r="E178" s="3">
        <v>1508449.87</v>
      </c>
      <c r="F178" s="3">
        <v>1844557.590841752</v>
      </c>
      <c r="G178" s="3">
        <v>2261981.5499999998</v>
      </c>
      <c r="H178" s="3">
        <f t="shared" si="20"/>
        <v>1871663.0036139172</v>
      </c>
      <c r="I178" s="3">
        <v>0</v>
      </c>
      <c r="J178" s="3">
        <v>0</v>
      </c>
      <c r="K178" s="3">
        <v>1300</v>
      </c>
      <c r="L178" s="3">
        <f t="shared" si="21"/>
        <v>433.33333333333331</v>
      </c>
      <c r="M178" s="3">
        <v>3039797.709999999</v>
      </c>
      <c r="N178" s="3">
        <v>3693695.01</v>
      </c>
      <c r="O178" s="3">
        <v>3554970.08</v>
      </c>
      <c r="P178" s="3">
        <f t="shared" si="22"/>
        <v>3429487.5999999996</v>
      </c>
      <c r="Q178" s="3">
        <v>834011.95</v>
      </c>
      <c r="R178" s="3">
        <v>1042609.8</v>
      </c>
      <c r="S178" s="3">
        <v>1109142.6000000001</v>
      </c>
      <c r="T178" s="3">
        <f t="shared" si="23"/>
        <v>995254.78333333333</v>
      </c>
      <c r="U178" s="12">
        <v>2.3152316015042654E-2</v>
      </c>
      <c r="V178" s="12">
        <v>29.020509750008525</v>
      </c>
    </row>
    <row r="179" spans="1:22" x14ac:dyDescent="0.3">
      <c r="A179" s="3">
        <v>40504</v>
      </c>
      <c r="B179" s="3" t="s">
        <v>247</v>
      </c>
      <c r="C179" s="3" t="s">
        <v>218</v>
      </c>
      <c r="D179" s="3" t="s">
        <v>244</v>
      </c>
      <c r="E179" s="3">
        <v>385624.28</v>
      </c>
      <c r="F179" s="3">
        <v>470243.20035888703</v>
      </c>
      <c r="G179" s="3">
        <v>576115.06000000006</v>
      </c>
      <c r="H179" s="3">
        <f t="shared" si="20"/>
        <v>477327.51345296233</v>
      </c>
      <c r="I179" s="3">
        <v>65.61</v>
      </c>
      <c r="J179" s="3">
        <v>0</v>
      </c>
      <c r="K179" s="3">
        <v>0</v>
      </c>
      <c r="L179" s="3">
        <f t="shared" si="21"/>
        <v>21.87</v>
      </c>
      <c r="M179" s="3">
        <v>575972.24999999953</v>
      </c>
      <c r="N179" s="3">
        <v>692532.24</v>
      </c>
      <c r="O179" s="3">
        <v>689145.15</v>
      </c>
      <c r="P179" s="3">
        <f t="shared" si="22"/>
        <v>652549.87999999989</v>
      </c>
      <c r="Q179" s="3">
        <v>0</v>
      </c>
      <c r="R179" s="3">
        <v>198</v>
      </c>
      <c r="S179" s="3">
        <v>50447</v>
      </c>
      <c r="T179" s="3">
        <f t="shared" si="23"/>
        <v>16881.666666666668</v>
      </c>
      <c r="U179" s="12">
        <v>4.5817597736601354E-3</v>
      </c>
      <c r="V179" s="12">
        <v>2.5870308437826499</v>
      </c>
    </row>
    <row r="180" spans="1:22" x14ac:dyDescent="0.3">
      <c r="A180" s="3">
        <v>40505</v>
      </c>
      <c r="B180" s="3" t="s">
        <v>248</v>
      </c>
      <c r="C180" s="3" t="s">
        <v>218</v>
      </c>
      <c r="D180" s="3" t="s">
        <v>244</v>
      </c>
      <c r="E180" s="3">
        <v>1763373.41</v>
      </c>
      <c r="F180" s="3">
        <v>2295074.6971897441</v>
      </c>
      <c r="G180" s="3">
        <v>2744564.48</v>
      </c>
      <c r="H180" s="3">
        <f t="shared" si="20"/>
        <v>2267670.8623965811</v>
      </c>
      <c r="I180" s="3">
        <v>144501.26999999999</v>
      </c>
      <c r="J180" s="3">
        <v>298580.05</v>
      </c>
      <c r="K180" s="3">
        <v>292869.17</v>
      </c>
      <c r="L180" s="3">
        <f t="shared" si="21"/>
        <v>245316.83</v>
      </c>
      <c r="M180" s="3">
        <v>4130015.3099999949</v>
      </c>
      <c r="N180" s="3">
        <v>4706262.9600000009</v>
      </c>
      <c r="O180" s="3">
        <v>4462424.37</v>
      </c>
      <c r="P180" s="3">
        <f t="shared" si="22"/>
        <v>4432900.879999999</v>
      </c>
      <c r="Q180" s="3">
        <v>1099788</v>
      </c>
      <c r="R180" s="3">
        <v>1064343</v>
      </c>
      <c r="S180" s="3">
        <v>1102460</v>
      </c>
      <c r="T180" s="3">
        <f t="shared" si="23"/>
        <v>1088863.6666666667</v>
      </c>
      <c r="U180" s="12">
        <v>10.818008647901294</v>
      </c>
      <c r="V180" s="12">
        <v>24.563230628036667</v>
      </c>
    </row>
    <row r="181" spans="1:22" x14ac:dyDescent="0.3">
      <c r="A181" s="3">
        <v>40601</v>
      </c>
      <c r="B181" s="3" t="s">
        <v>227</v>
      </c>
      <c r="C181" s="3" t="s">
        <v>218</v>
      </c>
      <c r="D181" s="3" t="s">
        <v>228</v>
      </c>
      <c r="E181" s="3">
        <v>14212325.140000001</v>
      </c>
      <c r="F181" s="3">
        <v>15309329.916319739</v>
      </c>
      <c r="G181" s="3">
        <v>18644239.34</v>
      </c>
      <c r="H181" s="3">
        <f t="shared" si="20"/>
        <v>16055298.13210658</v>
      </c>
      <c r="I181" s="3">
        <v>3801844.2399999988</v>
      </c>
      <c r="J181" s="3">
        <v>2432938.67</v>
      </c>
      <c r="K181" s="3">
        <v>2822397.21</v>
      </c>
      <c r="L181" s="3">
        <f t="shared" si="21"/>
        <v>3019060.0399999991</v>
      </c>
      <c r="M181" s="3">
        <v>12256086.84999999</v>
      </c>
      <c r="N181" s="3">
        <v>14894327.390000001</v>
      </c>
      <c r="O181" s="3">
        <v>14688012.76</v>
      </c>
      <c r="P181" s="3">
        <f t="shared" si="22"/>
        <v>13946142.33333333</v>
      </c>
      <c r="Q181" s="3">
        <v>3746409.47</v>
      </c>
      <c r="R181" s="3">
        <v>4667065.71</v>
      </c>
      <c r="S181" s="3">
        <v>5252460.16</v>
      </c>
      <c r="T181" s="3">
        <f t="shared" si="23"/>
        <v>4555311.78</v>
      </c>
      <c r="U181" s="12">
        <v>18.804135651412377</v>
      </c>
      <c r="V181" s="12">
        <v>32.663597367080754</v>
      </c>
    </row>
    <row r="182" spans="1:22" x14ac:dyDescent="0.3">
      <c r="A182" s="3">
        <v>40602</v>
      </c>
      <c r="B182" s="3" t="s">
        <v>229</v>
      </c>
      <c r="C182" s="3" t="s">
        <v>218</v>
      </c>
      <c r="D182" s="3" t="s">
        <v>228</v>
      </c>
      <c r="E182" s="3">
        <v>9884804.8899999987</v>
      </c>
      <c r="F182" s="3">
        <v>11917523.986950761</v>
      </c>
      <c r="G182" s="3">
        <v>14534176.109999999</v>
      </c>
      <c r="H182" s="3">
        <f t="shared" si="20"/>
        <v>12112168.328983584</v>
      </c>
      <c r="I182" s="3">
        <v>653713.79</v>
      </c>
      <c r="J182" s="3">
        <v>496264.11999999988</v>
      </c>
      <c r="K182" s="3">
        <v>499288.41</v>
      </c>
      <c r="L182" s="3">
        <f t="shared" si="21"/>
        <v>549755.43999999994</v>
      </c>
      <c r="M182" s="3">
        <v>6960464.5699999947</v>
      </c>
      <c r="N182" s="3">
        <v>8286978.1100000003</v>
      </c>
      <c r="O182" s="3">
        <v>7689224.959999999</v>
      </c>
      <c r="P182" s="3">
        <f t="shared" si="22"/>
        <v>7645555.879999998</v>
      </c>
      <c r="Q182" s="3">
        <v>281383.01</v>
      </c>
      <c r="R182" s="3">
        <v>259772.97</v>
      </c>
      <c r="S182" s="3">
        <v>283428.34000000003</v>
      </c>
      <c r="T182" s="3">
        <f t="shared" si="23"/>
        <v>274861.44</v>
      </c>
      <c r="U182" s="12">
        <v>4.5388688884423196</v>
      </c>
      <c r="V182" s="12">
        <v>3.5950484740947322</v>
      </c>
    </row>
    <row r="183" spans="1:22" x14ac:dyDescent="0.3">
      <c r="A183" s="3">
        <v>40603</v>
      </c>
      <c r="B183" s="3" t="s">
        <v>230</v>
      </c>
      <c r="C183" s="3" t="s">
        <v>218</v>
      </c>
      <c r="D183" s="3" t="s">
        <v>228</v>
      </c>
      <c r="E183" s="3">
        <v>10505510.67</v>
      </c>
      <c r="F183" s="3">
        <v>11555295.689495141</v>
      </c>
      <c r="G183" s="3">
        <v>12895784.119999999</v>
      </c>
      <c r="H183" s="3">
        <f t="shared" si="20"/>
        <v>11652196.82649838</v>
      </c>
      <c r="I183" s="3">
        <v>4910180.0100000007</v>
      </c>
      <c r="J183" s="3">
        <v>4600304.4700000007</v>
      </c>
      <c r="K183" s="3">
        <v>4340126.7799999993</v>
      </c>
      <c r="L183" s="3">
        <f t="shared" si="21"/>
        <v>4616870.42</v>
      </c>
      <c r="M183" s="3">
        <v>9111268.3799999934</v>
      </c>
      <c r="N183" s="3">
        <v>10856598.869999999</v>
      </c>
      <c r="O183" s="3">
        <v>9731581.8200000003</v>
      </c>
      <c r="P183" s="3">
        <f t="shared" si="22"/>
        <v>9899816.3566666637</v>
      </c>
      <c r="Q183" s="3">
        <v>5450651.8499999996</v>
      </c>
      <c r="R183" s="3">
        <v>6457061.2599999998</v>
      </c>
      <c r="S183" s="3">
        <v>5672645.0099999998</v>
      </c>
      <c r="T183" s="3">
        <f t="shared" si="23"/>
        <v>5860119.3733333321</v>
      </c>
      <c r="U183" s="12">
        <v>39.622317480088626</v>
      </c>
      <c r="V183" s="12">
        <v>59.194223026036767</v>
      </c>
    </row>
    <row r="184" spans="1:22" x14ac:dyDescent="0.3">
      <c r="A184" s="3">
        <v>40701</v>
      </c>
      <c r="B184" s="3" t="s">
        <v>224</v>
      </c>
      <c r="C184" s="3" t="s">
        <v>218</v>
      </c>
      <c r="D184" s="3" t="s">
        <v>225</v>
      </c>
      <c r="E184" s="3">
        <v>39172443.630000003</v>
      </c>
      <c r="F184" s="3">
        <v>47881886.117137223</v>
      </c>
      <c r="G184" s="3">
        <v>56024764.829999998</v>
      </c>
      <c r="H184" s="3">
        <f t="shared" si="20"/>
        <v>47693031.525712408</v>
      </c>
      <c r="I184" s="3">
        <v>6768065.8700000001</v>
      </c>
      <c r="J184" s="3">
        <v>7588156.4300000006</v>
      </c>
      <c r="K184" s="3">
        <v>6454066.790000001</v>
      </c>
      <c r="L184" s="3">
        <f t="shared" si="21"/>
        <v>6936763.0300000012</v>
      </c>
      <c r="M184" s="3">
        <v>37547775.589999959</v>
      </c>
      <c r="N184" s="3">
        <v>42957321.740000002</v>
      </c>
      <c r="O184" s="3">
        <v>38927223.490000002</v>
      </c>
      <c r="P184" s="3">
        <f t="shared" si="22"/>
        <v>39810773.606666654</v>
      </c>
      <c r="Q184" s="3">
        <v>9868434.1800000016</v>
      </c>
      <c r="R184" s="3">
        <v>9691473.8299999982</v>
      </c>
      <c r="S184" s="3">
        <v>8236437.7599999998</v>
      </c>
      <c r="T184" s="3">
        <f t="shared" si="23"/>
        <v>9265448.589999998</v>
      </c>
      <c r="U184" s="12">
        <v>14.544604962383724</v>
      </c>
      <c r="V184" s="12">
        <v>23.273721534636088</v>
      </c>
    </row>
    <row r="185" spans="1:22" x14ac:dyDescent="0.3">
      <c r="A185" s="3">
        <v>40702</v>
      </c>
      <c r="B185" s="3" t="s">
        <v>226</v>
      </c>
      <c r="C185" s="3" t="s">
        <v>218</v>
      </c>
      <c r="D185" s="3" t="s">
        <v>225</v>
      </c>
      <c r="E185" s="3">
        <v>7095047.29</v>
      </c>
      <c r="F185" s="3">
        <v>8807457.6586055122</v>
      </c>
      <c r="G185" s="3">
        <v>10810882.77</v>
      </c>
      <c r="H185" s="3">
        <f t="shared" si="20"/>
        <v>8904462.5728685036</v>
      </c>
      <c r="I185" s="3">
        <v>177714.63</v>
      </c>
      <c r="J185" s="3">
        <v>177759.08</v>
      </c>
      <c r="K185" s="3">
        <v>186314.72</v>
      </c>
      <c r="L185" s="3">
        <f t="shared" si="21"/>
        <v>180596.14333333331</v>
      </c>
      <c r="M185" s="3">
        <v>5829717.049999997</v>
      </c>
      <c r="N185" s="3">
        <v>6855306.7600000007</v>
      </c>
      <c r="O185" s="3">
        <v>6397889.3200000003</v>
      </c>
      <c r="P185" s="3">
        <f t="shared" si="22"/>
        <v>6360971.043333333</v>
      </c>
      <c r="Q185" s="3">
        <v>423752.56000000011</v>
      </c>
      <c r="R185" s="3">
        <v>358165.73</v>
      </c>
      <c r="S185" s="3">
        <v>403718.82</v>
      </c>
      <c r="T185" s="3">
        <f t="shared" si="23"/>
        <v>395212.37000000005</v>
      </c>
      <c r="U185" s="12">
        <v>2.0281532080734626</v>
      </c>
      <c r="V185" s="12">
        <v>6.2130823628603933</v>
      </c>
    </row>
    <row r="186" spans="1:22" x14ac:dyDescent="0.3">
      <c r="A186" s="3">
        <v>40801</v>
      </c>
      <c r="B186" s="3" t="s">
        <v>254</v>
      </c>
      <c r="C186" s="3" t="s">
        <v>218</v>
      </c>
      <c r="D186" s="3" t="s">
        <v>255</v>
      </c>
      <c r="E186" s="3">
        <v>15232375.42</v>
      </c>
      <c r="F186" s="3">
        <v>18732756.535330161</v>
      </c>
      <c r="G186" s="3">
        <v>22964340.350000001</v>
      </c>
      <c r="H186" s="3">
        <f t="shared" si="20"/>
        <v>18976490.768443387</v>
      </c>
      <c r="I186" s="3">
        <v>177506.32</v>
      </c>
      <c r="J186" s="3">
        <v>276751.59000000003</v>
      </c>
      <c r="K186" s="3">
        <v>333033.27</v>
      </c>
      <c r="L186" s="3">
        <f t="shared" si="21"/>
        <v>262430.39333333337</v>
      </c>
      <c r="M186" s="3">
        <v>17014945.120000001</v>
      </c>
      <c r="N186" s="3">
        <v>17014945.120000001</v>
      </c>
      <c r="O186" s="3">
        <v>17014945.120000001</v>
      </c>
      <c r="P186" s="3">
        <v>17014945.120000001</v>
      </c>
      <c r="Q186" s="3">
        <v>1059077.9500000011</v>
      </c>
      <c r="R186" s="3">
        <v>1059077.9500000011</v>
      </c>
      <c r="S186" s="3">
        <v>1059077.9500000011</v>
      </c>
      <c r="T186" s="3">
        <f>P186-15955867.17</f>
        <v>1059077.9500000011</v>
      </c>
      <c r="U186" s="12">
        <v>1.382923726707876</v>
      </c>
      <c r="V186" s="12">
        <v>6.2243982718176474</v>
      </c>
    </row>
    <row r="187" spans="1:22" x14ac:dyDescent="0.3">
      <c r="A187" s="3">
        <v>40802</v>
      </c>
      <c r="B187" s="3" t="s">
        <v>256</v>
      </c>
      <c r="C187" s="3" t="s">
        <v>218</v>
      </c>
      <c r="D187" s="3" t="s">
        <v>255</v>
      </c>
      <c r="E187" s="3">
        <v>5159491.97</v>
      </c>
      <c r="F187" s="3">
        <v>6360075.891808535</v>
      </c>
      <c r="G187" s="3">
        <v>7755588.6699999999</v>
      </c>
      <c r="H187" s="3">
        <f t="shared" si="20"/>
        <v>6425052.1772695109</v>
      </c>
      <c r="I187" s="3">
        <v>24292.5</v>
      </c>
      <c r="J187" s="3">
        <v>65330</v>
      </c>
      <c r="K187" s="3">
        <v>36848.949999999997</v>
      </c>
      <c r="L187" s="3">
        <f t="shared" si="21"/>
        <v>42157.15</v>
      </c>
      <c r="M187" s="3">
        <v>3334205.27</v>
      </c>
      <c r="N187" s="3">
        <v>4033421.3</v>
      </c>
      <c r="O187" s="3">
        <v>3730838.84</v>
      </c>
      <c r="P187" s="3">
        <f>AVERAGE(M187:O187)</f>
        <v>3699488.47</v>
      </c>
      <c r="Q187" s="3">
        <v>0</v>
      </c>
      <c r="R187" s="3">
        <v>26173</v>
      </c>
      <c r="S187" s="3">
        <v>33825</v>
      </c>
      <c r="T187" s="3">
        <f>AVERAGE(Q187:S187)</f>
        <v>19999.333333333332</v>
      </c>
      <c r="U187" s="12">
        <v>0.65613708397798176</v>
      </c>
      <c r="V187" s="12">
        <v>0.54059726082436832</v>
      </c>
    </row>
    <row r="188" spans="1:22" x14ac:dyDescent="0.3">
      <c r="A188" s="3">
        <v>40901</v>
      </c>
      <c r="B188" s="3" t="s">
        <v>261</v>
      </c>
      <c r="C188" s="3" t="s">
        <v>218</v>
      </c>
      <c r="D188" s="3" t="s">
        <v>262</v>
      </c>
      <c r="E188" s="3">
        <v>8792159.4500000011</v>
      </c>
      <c r="F188" s="3">
        <v>10420091.76178824</v>
      </c>
      <c r="G188" s="3">
        <v>12811012.5</v>
      </c>
      <c r="H188" s="3">
        <f t="shared" si="20"/>
        <v>10674421.237262746</v>
      </c>
      <c r="I188" s="3">
        <v>803193.8600000001</v>
      </c>
      <c r="J188" s="3">
        <v>578473.61</v>
      </c>
      <c r="K188" s="3">
        <v>729275.72</v>
      </c>
      <c r="L188" s="3">
        <f t="shared" si="21"/>
        <v>703647.7300000001</v>
      </c>
      <c r="M188" s="3">
        <v>10819822.03999999</v>
      </c>
      <c r="N188" s="3">
        <v>11536336.9</v>
      </c>
      <c r="O188" s="3">
        <v>10867305.720000001</v>
      </c>
      <c r="P188" s="3">
        <f>AVERAGE(M188:O188)</f>
        <v>11074488.219999997</v>
      </c>
      <c r="Q188" s="3">
        <v>1826696.44</v>
      </c>
      <c r="R188" s="3">
        <v>728055.02</v>
      </c>
      <c r="S188" s="3">
        <v>895707.73</v>
      </c>
      <c r="T188" s="3">
        <f>AVERAGE(Q188:S188)</f>
        <v>1150153.0633333332</v>
      </c>
      <c r="U188" s="12">
        <v>6.5919052130308966</v>
      </c>
      <c r="V188" s="12">
        <v>10.385609163014971</v>
      </c>
    </row>
    <row r="189" spans="1:22" x14ac:dyDescent="0.3">
      <c r="A189" s="3">
        <v>40902</v>
      </c>
      <c r="B189" s="3" t="s">
        <v>263</v>
      </c>
      <c r="C189" s="3" t="s">
        <v>218</v>
      </c>
      <c r="D189" s="3" t="s">
        <v>262</v>
      </c>
      <c r="E189" s="3">
        <v>1046631.91</v>
      </c>
      <c r="F189" s="3">
        <v>1294223.782410251</v>
      </c>
      <c r="G189" s="3">
        <v>1634031.06</v>
      </c>
      <c r="H189" s="3">
        <f t="shared" si="20"/>
        <v>1324962.2508034171</v>
      </c>
      <c r="I189" s="3">
        <v>1437.57</v>
      </c>
      <c r="J189" s="3">
        <v>4161.0300000000007</v>
      </c>
      <c r="K189" s="3">
        <v>49473.01</v>
      </c>
      <c r="L189" s="3">
        <f t="shared" si="21"/>
        <v>18357.203333333335</v>
      </c>
      <c r="M189" s="3">
        <v>2468986.7200000002</v>
      </c>
      <c r="N189" s="3">
        <v>2725397.72</v>
      </c>
      <c r="O189" s="3">
        <v>2982366.62</v>
      </c>
      <c r="P189" s="3">
        <f>AVERAGE(M189:O189)</f>
        <v>2725583.686666667</v>
      </c>
      <c r="Q189" s="3">
        <v>1456678.03</v>
      </c>
      <c r="R189" s="3">
        <v>1508663.22</v>
      </c>
      <c r="S189" s="3">
        <v>1859860.59</v>
      </c>
      <c r="T189" s="3">
        <f>AVERAGE(Q189:S189)</f>
        <v>1608400.6133333333</v>
      </c>
      <c r="U189" s="12">
        <v>1.3854887806956071</v>
      </c>
      <c r="V189" s="12">
        <v>59.011235692431597</v>
      </c>
    </row>
    <row r="190" spans="1:22" x14ac:dyDescent="0.3">
      <c r="A190" s="3">
        <v>40903</v>
      </c>
      <c r="B190" s="3" t="s">
        <v>264</v>
      </c>
      <c r="C190" s="3" t="s">
        <v>218</v>
      </c>
      <c r="D190" s="3" t="s">
        <v>262</v>
      </c>
      <c r="E190" s="3">
        <v>3124419.8399999989</v>
      </c>
      <c r="F190" s="3">
        <v>3833201.8761074692</v>
      </c>
      <c r="G190" s="3">
        <v>4701343.2</v>
      </c>
      <c r="H190" s="3">
        <f t="shared" ref="H190:H221" si="24">AVERAGE(E190:G190)</f>
        <v>3886321.6387024894</v>
      </c>
      <c r="I190" s="3">
        <v>0</v>
      </c>
      <c r="J190" s="3">
        <v>0</v>
      </c>
      <c r="K190" s="3">
        <v>0</v>
      </c>
      <c r="L190" s="3">
        <f t="shared" ref="L190:L221" si="25">AVERAGE(I190:K190)</f>
        <v>0</v>
      </c>
      <c r="M190" s="3">
        <v>2734311.06</v>
      </c>
      <c r="N190" s="3">
        <v>2734311.06</v>
      </c>
      <c r="O190" s="3">
        <v>2734311.06</v>
      </c>
      <c r="P190" s="3">
        <v>2734311.06</v>
      </c>
      <c r="Q190" s="3">
        <v>12919.180000000168</v>
      </c>
      <c r="R190" s="3">
        <v>12919.180000000168</v>
      </c>
      <c r="S190" s="3">
        <v>12919.180000000168</v>
      </c>
      <c r="T190" s="3">
        <f>P190-2721391.88</f>
        <v>12919.180000000168</v>
      </c>
      <c r="U190" s="12">
        <v>0</v>
      </c>
      <c r="V190" s="12">
        <v>0.47248391702735415</v>
      </c>
    </row>
    <row r="191" spans="1:22" x14ac:dyDescent="0.3">
      <c r="A191" s="3">
        <v>41001</v>
      </c>
      <c r="B191" s="3" t="s">
        <v>249</v>
      </c>
      <c r="C191" s="3" t="s">
        <v>218</v>
      </c>
      <c r="D191" s="3" t="s">
        <v>250</v>
      </c>
      <c r="E191" s="3">
        <v>13727622.529999999</v>
      </c>
      <c r="F191" s="3">
        <v>17035133.36672632</v>
      </c>
      <c r="G191" s="3">
        <v>20429293.050000001</v>
      </c>
      <c r="H191" s="3">
        <f t="shared" si="24"/>
        <v>17064016.315575439</v>
      </c>
      <c r="I191" s="3">
        <v>312035.12</v>
      </c>
      <c r="J191" s="3">
        <v>597651.97</v>
      </c>
      <c r="K191" s="3">
        <v>275671.65000000002</v>
      </c>
      <c r="L191" s="3">
        <f t="shared" si="25"/>
        <v>395119.58</v>
      </c>
      <c r="M191" s="3">
        <v>11587813.01999999</v>
      </c>
      <c r="N191" s="3">
        <v>13951201.130000001</v>
      </c>
      <c r="O191" s="3">
        <v>12829256.140000001</v>
      </c>
      <c r="P191" s="3">
        <f t="shared" ref="P191:P235" si="26">AVERAGE(M191:O191)</f>
        <v>12789423.429999998</v>
      </c>
      <c r="Q191" s="3">
        <v>204367.9</v>
      </c>
      <c r="R191" s="3">
        <v>270173</v>
      </c>
      <c r="S191" s="3">
        <v>207283.15</v>
      </c>
      <c r="T191" s="3">
        <f t="shared" ref="T191:T235" si="27">AVERAGE(Q191:S191)</f>
        <v>227274.68333333335</v>
      </c>
      <c r="U191" s="12">
        <v>2.3155133744178888</v>
      </c>
      <c r="V191" s="12">
        <v>1.7770518317519917</v>
      </c>
    </row>
    <row r="192" spans="1:22" x14ac:dyDescent="0.3">
      <c r="A192" s="3">
        <v>41101</v>
      </c>
      <c r="B192" s="3" t="s">
        <v>231</v>
      </c>
      <c r="C192" s="3" t="s">
        <v>218</v>
      </c>
      <c r="D192" s="3" t="s">
        <v>232</v>
      </c>
      <c r="E192" s="3">
        <v>9319246.6500000004</v>
      </c>
      <c r="F192" s="3">
        <v>11436932.90417639</v>
      </c>
      <c r="G192" s="3">
        <v>14022560.84</v>
      </c>
      <c r="H192" s="3">
        <f t="shared" si="24"/>
        <v>11592913.464725465</v>
      </c>
      <c r="I192" s="3">
        <v>38847.5</v>
      </c>
      <c r="J192" s="3">
        <v>19303.5</v>
      </c>
      <c r="K192" s="3">
        <v>10323.31</v>
      </c>
      <c r="L192" s="3">
        <f t="shared" si="25"/>
        <v>22824.77</v>
      </c>
      <c r="M192" s="3">
        <v>6018996.6599999983</v>
      </c>
      <c r="N192" s="3">
        <v>7213283.7800000003</v>
      </c>
      <c r="O192" s="3">
        <v>6635037.7100000009</v>
      </c>
      <c r="P192" s="3">
        <f t="shared" si="26"/>
        <v>6622439.3833333328</v>
      </c>
      <c r="Q192" s="3">
        <v>111637.52</v>
      </c>
      <c r="R192" s="3">
        <v>113554</v>
      </c>
      <c r="S192" s="3">
        <v>84923</v>
      </c>
      <c r="T192" s="3">
        <f t="shared" si="27"/>
        <v>103371.50666666667</v>
      </c>
      <c r="U192" s="12">
        <v>0.19688553761270158</v>
      </c>
      <c r="V192" s="12">
        <v>1.5609279403420637</v>
      </c>
    </row>
    <row r="193" spans="1:22" x14ac:dyDescent="0.3">
      <c r="A193" s="3">
        <v>41201</v>
      </c>
      <c r="B193" s="3" t="s">
        <v>251</v>
      </c>
      <c r="C193" s="3" t="s">
        <v>218</v>
      </c>
      <c r="D193" s="3" t="s">
        <v>252</v>
      </c>
      <c r="E193" s="3">
        <v>7982931.2500000009</v>
      </c>
      <c r="F193" s="3">
        <v>9742175.9689977188</v>
      </c>
      <c r="G193" s="3">
        <v>12075044.16</v>
      </c>
      <c r="H193" s="3">
        <f t="shared" si="24"/>
        <v>9933383.7929992396</v>
      </c>
      <c r="I193" s="3">
        <v>34968</v>
      </c>
      <c r="J193" s="3">
        <v>13747.5</v>
      </c>
      <c r="K193" s="3">
        <v>149973.29999999999</v>
      </c>
      <c r="L193" s="3">
        <f t="shared" si="25"/>
        <v>66229.599999999991</v>
      </c>
      <c r="M193" s="3">
        <v>6125448.8299999954</v>
      </c>
      <c r="N193" s="3">
        <v>7813158.7100000009</v>
      </c>
      <c r="O193" s="3">
        <v>6864190.9700000007</v>
      </c>
      <c r="P193" s="3">
        <f t="shared" si="26"/>
        <v>6934266.169999999</v>
      </c>
      <c r="Q193" s="3">
        <v>275295.31</v>
      </c>
      <c r="R193" s="3">
        <v>782180.4</v>
      </c>
      <c r="S193" s="3">
        <v>377505.94</v>
      </c>
      <c r="T193" s="3">
        <f t="shared" si="27"/>
        <v>478327.21666666662</v>
      </c>
      <c r="U193" s="12">
        <v>0.66673755268246748</v>
      </c>
      <c r="V193" s="12">
        <v>6.8980221546163509</v>
      </c>
    </row>
    <row r="194" spans="1:22" x14ac:dyDescent="0.3">
      <c r="A194" s="3">
        <v>41202</v>
      </c>
      <c r="B194" s="3" t="s">
        <v>253</v>
      </c>
      <c r="C194" s="3" t="s">
        <v>218</v>
      </c>
      <c r="D194" s="3" t="s">
        <v>252</v>
      </c>
      <c r="E194" s="3">
        <v>2667236.7000000002</v>
      </c>
      <c r="F194" s="3">
        <v>3271750.7084619151</v>
      </c>
      <c r="G194" s="3">
        <v>4024568.81</v>
      </c>
      <c r="H194" s="3">
        <f t="shared" si="24"/>
        <v>3321185.4061539718</v>
      </c>
      <c r="I194" s="3">
        <v>13483</v>
      </c>
      <c r="J194" s="3">
        <v>9712</v>
      </c>
      <c r="K194" s="3">
        <v>21941.119999999999</v>
      </c>
      <c r="L194" s="3">
        <f t="shared" si="25"/>
        <v>15045.373333333331</v>
      </c>
      <c r="M194" s="3">
        <v>2348436.1899999981</v>
      </c>
      <c r="N194" s="3">
        <v>2810361.39</v>
      </c>
      <c r="O194" s="3">
        <v>2621461.4300000002</v>
      </c>
      <c r="P194" s="3">
        <f t="shared" si="26"/>
        <v>2593419.6699999995</v>
      </c>
      <c r="Q194" s="3">
        <v>87687.330000000016</v>
      </c>
      <c r="R194" s="3">
        <v>93220</v>
      </c>
      <c r="S194" s="3">
        <v>114691.07</v>
      </c>
      <c r="T194" s="3">
        <f t="shared" si="27"/>
        <v>98532.800000000003</v>
      </c>
      <c r="U194" s="12">
        <v>0.45301214757402858</v>
      </c>
      <c r="V194" s="12">
        <v>3.7993388089016853</v>
      </c>
    </row>
    <row r="195" spans="1:22" x14ac:dyDescent="0.3">
      <c r="A195" s="3">
        <v>41301</v>
      </c>
      <c r="B195" s="3" t="s">
        <v>235</v>
      </c>
      <c r="C195" s="3" t="s">
        <v>218</v>
      </c>
      <c r="D195" s="3" t="s">
        <v>236</v>
      </c>
      <c r="E195" s="3">
        <v>8915965.1799999997</v>
      </c>
      <c r="F195" s="3">
        <v>10559720.261922309</v>
      </c>
      <c r="G195" s="3">
        <v>12947818.779999999</v>
      </c>
      <c r="H195" s="3">
        <f t="shared" si="24"/>
        <v>10807834.740640769</v>
      </c>
      <c r="I195" s="3">
        <v>296686.7</v>
      </c>
      <c r="J195" s="3">
        <v>39630</v>
      </c>
      <c r="K195" s="3">
        <v>60887.6</v>
      </c>
      <c r="L195" s="3">
        <f t="shared" si="25"/>
        <v>132401.43333333332</v>
      </c>
      <c r="M195" s="3">
        <v>6291055.1399999922</v>
      </c>
      <c r="N195" s="3">
        <v>7521402</v>
      </c>
      <c r="O195" s="3">
        <v>6952963.1500000004</v>
      </c>
      <c r="P195" s="3">
        <f t="shared" si="26"/>
        <v>6921806.7633333309</v>
      </c>
      <c r="Q195" s="3">
        <v>87569.52</v>
      </c>
      <c r="R195" s="3">
        <v>65780.39</v>
      </c>
      <c r="S195" s="3">
        <v>74505</v>
      </c>
      <c r="T195" s="3">
        <f t="shared" si="27"/>
        <v>75951.636666666673</v>
      </c>
      <c r="U195" s="12">
        <v>1.2250504981859445</v>
      </c>
      <c r="V195" s="12">
        <v>1.097280511628884</v>
      </c>
    </row>
    <row r="196" spans="1:22" x14ac:dyDescent="0.3">
      <c r="A196" s="3">
        <v>41401</v>
      </c>
      <c r="B196" s="3" t="s">
        <v>233</v>
      </c>
      <c r="C196" s="3" t="s">
        <v>218</v>
      </c>
      <c r="D196" s="3" t="s">
        <v>234</v>
      </c>
      <c r="E196" s="3">
        <v>17960385.329999998</v>
      </c>
      <c r="F196" s="3">
        <v>19279247.570369679</v>
      </c>
      <c r="G196" s="3">
        <v>22284626.59</v>
      </c>
      <c r="H196" s="3">
        <f t="shared" si="24"/>
        <v>19841419.830123227</v>
      </c>
      <c r="I196" s="3">
        <v>306532.98</v>
      </c>
      <c r="J196" s="3">
        <v>441226.26</v>
      </c>
      <c r="K196" s="3">
        <v>793007.07000000007</v>
      </c>
      <c r="L196" s="3">
        <f t="shared" si="25"/>
        <v>513588.77</v>
      </c>
      <c r="M196" s="3">
        <v>16045380.819999989</v>
      </c>
      <c r="N196" s="3">
        <v>18941791</v>
      </c>
      <c r="O196" s="3">
        <v>17588515.120000001</v>
      </c>
      <c r="P196" s="3">
        <f t="shared" si="26"/>
        <v>17525228.98</v>
      </c>
      <c r="Q196" s="3">
        <v>1146563.24</v>
      </c>
      <c r="R196" s="3">
        <v>1035899.29</v>
      </c>
      <c r="S196" s="3">
        <v>1068713.76</v>
      </c>
      <c r="T196" s="3">
        <f t="shared" si="27"/>
        <v>1083725.43</v>
      </c>
      <c r="U196" s="12">
        <v>2.588467833437353</v>
      </c>
      <c r="V196" s="12">
        <v>6.1838018278492131</v>
      </c>
    </row>
    <row r="197" spans="1:22" x14ac:dyDescent="0.3">
      <c r="A197" s="3">
        <v>41501</v>
      </c>
      <c r="B197" s="3" t="s">
        <v>257</v>
      </c>
      <c r="C197" s="3" t="s">
        <v>218</v>
      </c>
      <c r="D197" s="3" t="s">
        <v>258</v>
      </c>
      <c r="E197" s="3">
        <v>662952.82000000007</v>
      </c>
      <c r="F197" s="3">
        <v>819358.82961698598</v>
      </c>
      <c r="G197" s="3">
        <v>1343501.14</v>
      </c>
      <c r="H197" s="3">
        <f t="shared" si="24"/>
        <v>941937.59653899539</v>
      </c>
      <c r="I197" s="3">
        <v>0</v>
      </c>
      <c r="J197" s="3">
        <v>1836</v>
      </c>
      <c r="K197" s="3">
        <v>339497.1</v>
      </c>
      <c r="L197" s="3">
        <f t="shared" si="25"/>
        <v>113777.7</v>
      </c>
      <c r="M197" s="3">
        <v>1886567.34</v>
      </c>
      <c r="N197" s="3">
        <v>2094442.68</v>
      </c>
      <c r="O197" s="3">
        <v>2059359.95</v>
      </c>
      <c r="P197" s="3">
        <f t="shared" si="26"/>
        <v>2013456.6566666665</v>
      </c>
      <c r="Q197" s="3">
        <v>1316204.03</v>
      </c>
      <c r="R197" s="3">
        <v>1408849.42</v>
      </c>
      <c r="S197" s="3">
        <v>1426881.11</v>
      </c>
      <c r="T197" s="3">
        <f t="shared" si="27"/>
        <v>1383978.1866666668</v>
      </c>
      <c r="U197" s="12">
        <v>12.079112291308748</v>
      </c>
      <c r="V197" s="12">
        <v>68.73642807677227</v>
      </c>
    </row>
    <row r="198" spans="1:22" x14ac:dyDescent="0.3">
      <c r="A198" s="3">
        <v>41502</v>
      </c>
      <c r="B198" s="3" t="s">
        <v>259</v>
      </c>
      <c r="C198" s="3" t="s">
        <v>218</v>
      </c>
      <c r="D198" s="3" t="s">
        <v>258</v>
      </c>
      <c r="E198" s="3">
        <v>668176.96000000008</v>
      </c>
      <c r="F198" s="3">
        <v>819230.65872148355</v>
      </c>
      <c r="G198" s="3">
        <v>1017057.06</v>
      </c>
      <c r="H198" s="3">
        <f t="shared" si="24"/>
        <v>834821.55957382789</v>
      </c>
      <c r="I198" s="3">
        <v>2000</v>
      </c>
      <c r="J198" s="3">
        <v>2000</v>
      </c>
      <c r="K198" s="3">
        <v>14614.38</v>
      </c>
      <c r="L198" s="3">
        <f t="shared" si="25"/>
        <v>6204.7933333333322</v>
      </c>
      <c r="M198" s="3">
        <v>1319768.959999999</v>
      </c>
      <c r="N198" s="3">
        <v>1107104.18</v>
      </c>
      <c r="O198" s="3">
        <v>988099.65</v>
      </c>
      <c r="P198" s="3">
        <f t="shared" si="26"/>
        <v>1138324.263333333</v>
      </c>
      <c r="Q198" s="3">
        <v>504877.53</v>
      </c>
      <c r="R198" s="3">
        <v>127630.68</v>
      </c>
      <c r="S198" s="3">
        <v>84489.11</v>
      </c>
      <c r="T198" s="3">
        <f t="shared" si="27"/>
        <v>238999.10666666666</v>
      </c>
      <c r="U198" s="12">
        <v>0.74324785484707023</v>
      </c>
      <c r="V198" s="12">
        <v>20.995696425446486</v>
      </c>
    </row>
    <row r="199" spans="1:22" x14ac:dyDescent="0.3">
      <c r="A199" s="3">
        <v>41503</v>
      </c>
      <c r="B199" s="3" t="s">
        <v>260</v>
      </c>
      <c r="C199" s="3" t="s">
        <v>218</v>
      </c>
      <c r="D199" s="3" t="s">
        <v>258</v>
      </c>
      <c r="E199" s="3">
        <v>931882.39</v>
      </c>
      <c r="F199" s="3">
        <v>814550.22769674519</v>
      </c>
      <c r="G199" s="3">
        <v>1119994.8500000001</v>
      </c>
      <c r="H199" s="3">
        <f t="shared" si="24"/>
        <v>955475.82256558177</v>
      </c>
      <c r="I199" s="3">
        <v>316586.18</v>
      </c>
      <c r="J199" s="3">
        <v>63632.06</v>
      </c>
      <c r="K199" s="3">
        <v>199984.39</v>
      </c>
      <c r="L199" s="3">
        <f t="shared" si="25"/>
        <v>193400.87666666668</v>
      </c>
      <c r="M199" s="3">
        <v>2040571.6199999989</v>
      </c>
      <c r="N199" s="3">
        <v>2662500.17</v>
      </c>
      <c r="O199" s="3">
        <v>2537302.75</v>
      </c>
      <c r="P199" s="3">
        <f t="shared" si="26"/>
        <v>2413458.1799999997</v>
      </c>
      <c r="Q199" s="3">
        <v>1098929.1100000001</v>
      </c>
      <c r="R199" s="3">
        <v>1530694.07</v>
      </c>
      <c r="S199" s="3">
        <v>1493151.11</v>
      </c>
      <c r="T199" s="3">
        <f t="shared" si="27"/>
        <v>1374258.0966666667</v>
      </c>
      <c r="U199" s="12">
        <v>20.241315593665067</v>
      </c>
      <c r="V199" s="12">
        <v>56.941450573080438</v>
      </c>
    </row>
    <row r="200" spans="1:22" x14ac:dyDescent="0.3">
      <c r="A200" s="3">
        <v>41601</v>
      </c>
      <c r="B200" s="3" t="s">
        <v>265</v>
      </c>
      <c r="C200" s="3" t="s">
        <v>218</v>
      </c>
      <c r="D200" s="3" t="s">
        <v>266</v>
      </c>
      <c r="E200" s="3">
        <v>10061363.23</v>
      </c>
      <c r="F200" s="3">
        <v>12296032.997440251</v>
      </c>
      <c r="G200" s="3">
        <v>15067138.84</v>
      </c>
      <c r="H200" s="3">
        <f t="shared" si="24"/>
        <v>12474845.022480085</v>
      </c>
      <c r="I200" s="3">
        <v>45538</v>
      </c>
      <c r="J200" s="3">
        <v>29177.5</v>
      </c>
      <c r="K200" s="3">
        <v>28427.1</v>
      </c>
      <c r="L200" s="3">
        <f t="shared" si="25"/>
        <v>34380.866666666669</v>
      </c>
      <c r="M200" s="3">
        <v>6349303.2899999944</v>
      </c>
      <c r="N200" s="3">
        <v>7619546.3100000015</v>
      </c>
      <c r="O200" s="3">
        <v>7009907.3599999994</v>
      </c>
      <c r="P200" s="3">
        <f t="shared" si="26"/>
        <v>6992918.9866666645</v>
      </c>
      <c r="Q200" s="3">
        <v>178347.13</v>
      </c>
      <c r="R200" s="3">
        <v>203019.12</v>
      </c>
      <c r="S200" s="3">
        <v>167517.51</v>
      </c>
      <c r="T200" s="3">
        <f t="shared" si="27"/>
        <v>182961.25333333333</v>
      </c>
      <c r="U200" s="12">
        <v>0.27560155340375936</v>
      </c>
      <c r="V200" s="12">
        <v>2.6163788495502933</v>
      </c>
    </row>
    <row r="201" spans="1:22" x14ac:dyDescent="0.3">
      <c r="A201" s="3">
        <v>50101</v>
      </c>
      <c r="B201" s="3" t="s">
        <v>268</v>
      </c>
      <c r="C201" s="3" t="s">
        <v>269</v>
      </c>
      <c r="D201" s="3" t="s">
        <v>270</v>
      </c>
      <c r="E201" s="3">
        <v>260575181.43000001</v>
      </c>
      <c r="F201" s="3">
        <v>298919017.09576768</v>
      </c>
      <c r="G201" s="3">
        <v>344153627.95999998</v>
      </c>
      <c r="H201" s="3">
        <f t="shared" si="24"/>
        <v>301215942.16192251</v>
      </c>
      <c r="I201" s="3">
        <v>86385384.570000008</v>
      </c>
      <c r="J201" s="3">
        <v>85924999.560000002</v>
      </c>
      <c r="K201" s="3">
        <v>85735525.379999995</v>
      </c>
      <c r="L201" s="3">
        <f t="shared" si="25"/>
        <v>86015303.170000002</v>
      </c>
      <c r="M201" s="3">
        <v>309153796.07999992</v>
      </c>
      <c r="N201" s="3">
        <v>364382068.67000002</v>
      </c>
      <c r="O201" s="3">
        <v>343852186.66000003</v>
      </c>
      <c r="P201" s="3">
        <f t="shared" si="26"/>
        <v>339129350.47000003</v>
      </c>
      <c r="Q201" s="3">
        <v>125848851.27</v>
      </c>
      <c r="R201" s="3">
        <v>147687601.37</v>
      </c>
      <c r="S201" s="3">
        <v>138313621.87</v>
      </c>
      <c r="T201" s="3">
        <f t="shared" si="27"/>
        <v>137283358.16999999</v>
      </c>
      <c r="U201" s="12">
        <v>28.556026136146993</v>
      </c>
      <c r="V201" s="12">
        <v>40.481119661196743</v>
      </c>
    </row>
    <row r="202" spans="1:22" x14ac:dyDescent="0.3">
      <c r="A202" s="3">
        <v>50102</v>
      </c>
      <c r="B202" s="3" t="s">
        <v>271</v>
      </c>
      <c r="C202" s="3" t="s">
        <v>269</v>
      </c>
      <c r="D202" s="3" t="s">
        <v>270</v>
      </c>
      <c r="E202" s="3">
        <v>31057112.010000002</v>
      </c>
      <c r="F202" s="3">
        <v>33681649.147117727</v>
      </c>
      <c r="G202" s="3">
        <v>40958624.499999993</v>
      </c>
      <c r="H202" s="3">
        <f t="shared" si="24"/>
        <v>35232461.885705911</v>
      </c>
      <c r="I202" s="3">
        <v>2649143.85</v>
      </c>
      <c r="J202" s="3">
        <v>67349.87000000001</v>
      </c>
      <c r="K202" s="3">
        <v>475228.77</v>
      </c>
      <c r="L202" s="3">
        <f t="shared" si="25"/>
        <v>1063907.4966666668</v>
      </c>
      <c r="M202" s="3">
        <v>26277827.89999998</v>
      </c>
      <c r="N202" s="3">
        <v>31960270.399999999</v>
      </c>
      <c r="O202" s="3">
        <v>30626089.460000001</v>
      </c>
      <c r="P202" s="3">
        <f t="shared" si="26"/>
        <v>29621395.919999998</v>
      </c>
      <c r="Q202" s="3">
        <v>215372.03</v>
      </c>
      <c r="R202" s="3">
        <v>1150373.48</v>
      </c>
      <c r="S202" s="3">
        <v>1402378.32</v>
      </c>
      <c r="T202" s="3">
        <f t="shared" si="27"/>
        <v>922707.94333333336</v>
      </c>
      <c r="U202" s="12">
        <v>3.0196796923189253</v>
      </c>
      <c r="V202" s="12">
        <v>3.115004930305572</v>
      </c>
    </row>
    <row r="203" spans="1:22" x14ac:dyDescent="0.3">
      <c r="A203" s="3">
        <v>50103</v>
      </c>
      <c r="B203" s="3" t="s">
        <v>272</v>
      </c>
      <c r="C203" s="3" t="s">
        <v>269</v>
      </c>
      <c r="D203" s="3" t="s">
        <v>270</v>
      </c>
      <c r="E203" s="3">
        <v>9989066.7300000023</v>
      </c>
      <c r="F203" s="3">
        <v>12149354.292776201</v>
      </c>
      <c r="G203" s="3">
        <v>14809465.09</v>
      </c>
      <c r="H203" s="3">
        <f t="shared" si="24"/>
        <v>12315962.037592068</v>
      </c>
      <c r="I203" s="3">
        <v>82671.14</v>
      </c>
      <c r="J203" s="3">
        <v>159026.07</v>
      </c>
      <c r="K203" s="3">
        <v>294731.46999999997</v>
      </c>
      <c r="L203" s="3">
        <f t="shared" si="25"/>
        <v>178809.55999999997</v>
      </c>
      <c r="M203" s="3">
        <v>8839487.1899999939</v>
      </c>
      <c r="N203" s="3">
        <v>10417600.41</v>
      </c>
      <c r="O203" s="3">
        <v>10021661.310000001</v>
      </c>
      <c r="P203" s="3">
        <f t="shared" si="26"/>
        <v>9759582.9699999988</v>
      </c>
      <c r="Q203" s="3">
        <v>236388.11</v>
      </c>
      <c r="R203" s="3">
        <v>247322.12</v>
      </c>
      <c r="S203" s="3">
        <v>374999.42999999988</v>
      </c>
      <c r="T203" s="3">
        <f t="shared" si="27"/>
        <v>286236.55333333329</v>
      </c>
      <c r="U203" s="12">
        <v>1.4518521529558042</v>
      </c>
      <c r="V203" s="12">
        <v>2.932876888420298</v>
      </c>
    </row>
    <row r="204" spans="1:22" x14ac:dyDescent="0.3">
      <c r="A204" s="3">
        <v>50104</v>
      </c>
      <c r="B204" s="3" t="s">
        <v>273</v>
      </c>
      <c r="C204" s="3" t="s">
        <v>269</v>
      </c>
      <c r="D204" s="3" t="s">
        <v>270</v>
      </c>
      <c r="E204" s="3">
        <v>3671690.29</v>
      </c>
      <c r="F204" s="3">
        <v>3221895.8560626442</v>
      </c>
      <c r="G204" s="3">
        <v>3712383.94</v>
      </c>
      <c r="H204" s="3">
        <f t="shared" si="24"/>
        <v>3535323.3620208814</v>
      </c>
      <c r="I204" s="3">
        <v>1112205.44</v>
      </c>
      <c r="J204" s="3">
        <v>156651.07999999999</v>
      </c>
      <c r="K204" s="3">
        <v>10489.78</v>
      </c>
      <c r="L204" s="3">
        <f t="shared" si="25"/>
        <v>426448.76666666666</v>
      </c>
      <c r="M204" s="3">
        <v>2656749.4699999969</v>
      </c>
      <c r="N204" s="3">
        <v>3264189.77</v>
      </c>
      <c r="O204" s="3">
        <v>3022280.06</v>
      </c>
      <c r="P204" s="3">
        <f t="shared" si="26"/>
        <v>2981073.0999999992</v>
      </c>
      <c r="Q204" s="3">
        <v>13652.5</v>
      </c>
      <c r="R204" s="3">
        <v>139541.51999999999</v>
      </c>
      <c r="S204" s="3">
        <v>58525.01</v>
      </c>
      <c r="T204" s="3">
        <f t="shared" si="27"/>
        <v>70573.009999999995</v>
      </c>
      <c r="U204" s="12">
        <v>12.062510921855182</v>
      </c>
      <c r="V204" s="12">
        <v>2.3673693207992788</v>
      </c>
    </row>
    <row r="205" spans="1:22" x14ac:dyDescent="0.3">
      <c r="A205" s="3">
        <v>50201</v>
      </c>
      <c r="B205" s="3" t="s">
        <v>274</v>
      </c>
      <c r="C205" s="3" t="s">
        <v>269</v>
      </c>
      <c r="D205" s="3" t="s">
        <v>275</v>
      </c>
      <c r="E205" s="3">
        <v>25034391</v>
      </c>
      <c r="F205" s="3">
        <v>29986240.477737829</v>
      </c>
      <c r="G205" s="3">
        <v>36034936.909999996</v>
      </c>
      <c r="H205" s="3">
        <f t="shared" si="24"/>
        <v>30351856.129245941</v>
      </c>
      <c r="I205" s="3">
        <v>1080979.32</v>
      </c>
      <c r="J205" s="3">
        <v>1238578.8400000001</v>
      </c>
      <c r="K205" s="3">
        <v>1301047.8700000001</v>
      </c>
      <c r="L205" s="3">
        <f t="shared" si="25"/>
        <v>1206868.6766666668</v>
      </c>
      <c r="M205" s="3">
        <v>23085533.999999989</v>
      </c>
      <c r="N205" s="3">
        <v>26849238.43</v>
      </c>
      <c r="O205" s="3">
        <v>25577480.670000002</v>
      </c>
      <c r="P205" s="3">
        <f t="shared" si="26"/>
        <v>25170751.033333331</v>
      </c>
      <c r="Q205" s="3">
        <v>1986552.59</v>
      </c>
      <c r="R205" s="3">
        <v>1906924.11</v>
      </c>
      <c r="S205" s="3">
        <v>1919277.41</v>
      </c>
      <c r="T205" s="3">
        <f t="shared" si="27"/>
        <v>1937584.7033333334</v>
      </c>
      <c r="U205" s="12">
        <v>3.9762598752692826</v>
      </c>
      <c r="V205" s="12">
        <v>7.6977627754031364</v>
      </c>
    </row>
    <row r="206" spans="1:22" x14ac:dyDescent="0.3">
      <c r="A206" s="3">
        <v>50202</v>
      </c>
      <c r="B206" s="3" t="s">
        <v>276</v>
      </c>
      <c r="C206" s="3" t="s">
        <v>269</v>
      </c>
      <c r="D206" s="3" t="s">
        <v>275</v>
      </c>
      <c r="E206" s="3">
        <v>21108319.75</v>
      </c>
      <c r="F206" s="3">
        <v>23708515.20243448</v>
      </c>
      <c r="G206" s="3">
        <v>26685389.68</v>
      </c>
      <c r="H206" s="3">
        <f t="shared" si="24"/>
        <v>23834074.877478164</v>
      </c>
      <c r="I206" s="3">
        <v>3123590.31</v>
      </c>
      <c r="J206" s="3">
        <v>2206533.6</v>
      </c>
      <c r="K206" s="3">
        <v>728360.05</v>
      </c>
      <c r="L206" s="3">
        <f t="shared" si="25"/>
        <v>2019494.6533333333</v>
      </c>
      <c r="M206" s="3">
        <v>15940746.470000001</v>
      </c>
      <c r="N206" s="3">
        <v>18732887.98</v>
      </c>
      <c r="O206" s="3">
        <v>17551184.93</v>
      </c>
      <c r="P206" s="3">
        <f t="shared" si="26"/>
        <v>17408273.126666669</v>
      </c>
      <c r="Q206" s="3">
        <v>486519.09</v>
      </c>
      <c r="R206" s="3">
        <v>463532.69</v>
      </c>
      <c r="S206" s="3">
        <v>222403.09</v>
      </c>
      <c r="T206" s="3">
        <f t="shared" si="27"/>
        <v>390818.29000000004</v>
      </c>
      <c r="U206" s="12">
        <v>8.4731405087664644</v>
      </c>
      <c r="V206" s="12">
        <v>2.2450146959225346</v>
      </c>
    </row>
    <row r="207" spans="1:22" x14ac:dyDescent="0.3">
      <c r="A207" s="3">
        <v>50203</v>
      </c>
      <c r="B207" s="3" t="s">
        <v>277</v>
      </c>
      <c r="C207" s="3" t="s">
        <v>269</v>
      </c>
      <c r="D207" s="3" t="s">
        <v>275</v>
      </c>
      <c r="E207" s="3">
        <v>54670245.380000003</v>
      </c>
      <c r="F207" s="3">
        <v>65077996.728324063</v>
      </c>
      <c r="G207" s="3">
        <v>82547542.469999999</v>
      </c>
      <c r="H207" s="3">
        <f t="shared" si="24"/>
        <v>67431928.192774698</v>
      </c>
      <c r="I207" s="3">
        <v>10252161.140000001</v>
      </c>
      <c r="J207" s="3">
        <v>11020656.1</v>
      </c>
      <c r="K207" s="3">
        <v>17029914.969999999</v>
      </c>
      <c r="L207" s="3">
        <f t="shared" si="25"/>
        <v>12767577.403333334</v>
      </c>
      <c r="M207" s="3">
        <v>50149511.55999995</v>
      </c>
      <c r="N207" s="3">
        <v>56019515.450000003</v>
      </c>
      <c r="O207" s="3">
        <v>54250715.890000008</v>
      </c>
      <c r="P207" s="3">
        <f t="shared" si="26"/>
        <v>53473247.633333325</v>
      </c>
      <c r="Q207" s="3">
        <v>10764246.560000001</v>
      </c>
      <c r="R207" s="3">
        <v>9460028.8899999987</v>
      </c>
      <c r="S207" s="3">
        <v>10088236.119999999</v>
      </c>
      <c r="T207" s="3">
        <f t="shared" si="27"/>
        <v>10104170.523333333</v>
      </c>
      <c r="U207" s="12">
        <v>18.93402390457133</v>
      </c>
      <c r="V207" s="12">
        <v>18.895748753877353</v>
      </c>
    </row>
    <row r="208" spans="1:22" x14ac:dyDescent="0.3">
      <c r="A208" s="3">
        <v>50204</v>
      </c>
      <c r="B208" s="3" t="s">
        <v>324</v>
      </c>
      <c r="C208" s="3" t="s">
        <v>269</v>
      </c>
      <c r="D208" s="3" t="s">
        <v>275</v>
      </c>
      <c r="E208" s="3">
        <v>11125656.65</v>
      </c>
      <c r="F208" s="3">
        <v>9806383.9599331543</v>
      </c>
      <c r="G208" s="3">
        <v>11932365.85</v>
      </c>
      <c r="H208" s="3">
        <f t="shared" si="24"/>
        <v>10954802.153311051</v>
      </c>
      <c r="I208" s="3">
        <v>2981693</v>
      </c>
      <c r="J208" s="3">
        <v>32734</v>
      </c>
      <c r="K208" s="3">
        <v>123511.6</v>
      </c>
      <c r="L208" s="3">
        <f t="shared" si="25"/>
        <v>1045979.5333333333</v>
      </c>
      <c r="M208" s="3">
        <v>7897548.1199999936</v>
      </c>
      <c r="N208" s="3">
        <v>9189017.9199999999</v>
      </c>
      <c r="O208" s="3">
        <v>8820536.879999999</v>
      </c>
      <c r="P208" s="3">
        <f t="shared" si="26"/>
        <v>8635700.9733333308</v>
      </c>
      <c r="Q208" s="3">
        <v>214320.64000000001</v>
      </c>
      <c r="R208" s="3">
        <v>106168.13</v>
      </c>
      <c r="S208" s="3">
        <v>205320.26</v>
      </c>
      <c r="T208" s="3">
        <f t="shared" si="27"/>
        <v>175269.67666666667</v>
      </c>
      <c r="U208" s="12">
        <v>9.5481371429167208</v>
      </c>
      <c r="V208" s="12">
        <v>2.029594090947473</v>
      </c>
    </row>
    <row r="209" spans="1:22" x14ac:dyDescent="0.3">
      <c r="A209" s="3">
        <v>50301</v>
      </c>
      <c r="B209" s="3" t="s">
        <v>278</v>
      </c>
      <c r="C209" s="3" t="s">
        <v>269</v>
      </c>
      <c r="D209" s="3" t="s">
        <v>279</v>
      </c>
      <c r="E209" s="3">
        <v>46915048.32</v>
      </c>
      <c r="F209" s="3">
        <v>56260670.852437884</v>
      </c>
      <c r="G209" s="3">
        <v>68200663.109999999</v>
      </c>
      <c r="H209" s="3">
        <f t="shared" si="24"/>
        <v>57125460.760812618</v>
      </c>
      <c r="I209" s="3">
        <v>561076.53</v>
      </c>
      <c r="J209" s="3">
        <v>652865.59000000008</v>
      </c>
      <c r="K209" s="3">
        <v>1020079.67</v>
      </c>
      <c r="L209" s="3">
        <f t="shared" si="25"/>
        <v>744673.93</v>
      </c>
      <c r="M209" s="3">
        <v>34533905.269999981</v>
      </c>
      <c r="N209" s="3">
        <v>39902377.939999998</v>
      </c>
      <c r="O209" s="3">
        <v>37784909.440000013</v>
      </c>
      <c r="P209" s="3">
        <f t="shared" si="26"/>
        <v>37407064.216666661</v>
      </c>
      <c r="Q209" s="3">
        <v>2030430.65</v>
      </c>
      <c r="R209" s="3">
        <v>1478215.4</v>
      </c>
      <c r="S209" s="3">
        <v>1338930.73</v>
      </c>
      <c r="T209" s="3">
        <f t="shared" si="27"/>
        <v>1615858.9266666665</v>
      </c>
      <c r="U209" s="12">
        <v>1.3035762339283177</v>
      </c>
      <c r="V209" s="12">
        <v>4.3196625036046612</v>
      </c>
    </row>
    <row r="210" spans="1:22" x14ac:dyDescent="0.3">
      <c r="A210" s="3">
        <v>50302</v>
      </c>
      <c r="B210" s="3" t="s">
        <v>280</v>
      </c>
      <c r="C210" s="3" t="s">
        <v>269</v>
      </c>
      <c r="D210" s="3" t="s">
        <v>279</v>
      </c>
      <c r="E210" s="3">
        <v>12101614.189999999</v>
      </c>
      <c r="F210" s="3">
        <v>15505246.045670399</v>
      </c>
      <c r="G210" s="3">
        <v>17874360.16</v>
      </c>
      <c r="H210" s="3">
        <f t="shared" si="24"/>
        <v>15160406.798556799</v>
      </c>
      <c r="I210" s="3">
        <v>15889.71</v>
      </c>
      <c r="J210" s="3">
        <v>980683.71</v>
      </c>
      <c r="K210" s="3">
        <v>319815.37</v>
      </c>
      <c r="L210" s="3">
        <f t="shared" si="25"/>
        <v>438796.26333333337</v>
      </c>
      <c r="M210" s="3">
        <v>9625033.4199999943</v>
      </c>
      <c r="N210" s="3">
        <v>11373734.84</v>
      </c>
      <c r="O210" s="3">
        <v>10884029.949999999</v>
      </c>
      <c r="P210" s="3">
        <f t="shared" si="26"/>
        <v>10627599.403333331</v>
      </c>
      <c r="Q210" s="3">
        <v>129850.17</v>
      </c>
      <c r="R210" s="3">
        <v>148877.22</v>
      </c>
      <c r="S210" s="3">
        <v>237080.42</v>
      </c>
      <c r="T210" s="3">
        <f t="shared" si="27"/>
        <v>171935.93666666668</v>
      </c>
      <c r="U210" s="12">
        <v>2.8943567884676074</v>
      </c>
      <c r="V210" s="12">
        <v>1.6178247800038383</v>
      </c>
    </row>
    <row r="211" spans="1:22" x14ac:dyDescent="0.3">
      <c r="A211" s="3">
        <v>50303</v>
      </c>
      <c r="B211" s="3" t="s">
        <v>281</v>
      </c>
      <c r="C211" s="3" t="s">
        <v>269</v>
      </c>
      <c r="D211" s="3" t="s">
        <v>279</v>
      </c>
      <c r="E211" s="3">
        <v>17012614.079999998</v>
      </c>
      <c r="F211" s="3">
        <v>19940189.636034131</v>
      </c>
      <c r="G211" s="3">
        <v>24028959.890000001</v>
      </c>
      <c r="H211" s="3">
        <f t="shared" si="24"/>
        <v>20327254.535344709</v>
      </c>
      <c r="I211" s="3">
        <v>210634.93000000011</v>
      </c>
      <c r="J211" s="3">
        <v>141026.01999999999</v>
      </c>
      <c r="K211" s="3">
        <v>206441.71</v>
      </c>
      <c r="L211" s="3">
        <f t="shared" si="25"/>
        <v>186034.22</v>
      </c>
      <c r="M211" s="3">
        <v>12372126.29999999</v>
      </c>
      <c r="N211" s="3">
        <v>13965654.449999999</v>
      </c>
      <c r="O211" s="3">
        <v>13340438.560000001</v>
      </c>
      <c r="P211" s="3">
        <f t="shared" si="26"/>
        <v>13226073.10333333</v>
      </c>
      <c r="Q211" s="3">
        <v>1032408.99</v>
      </c>
      <c r="R211" s="3">
        <v>560276.38</v>
      </c>
      <c r="S211" s="3">
        <v>625226.16</v>
      </c>
      <c r="T211" s="3">
        <f t="shared" si="27"/>
        <v>739303.84333333338</v>
      </c>
      <c r="U211" s="12">
        <v>0.91519599794712381</v>
      </c>
      <c r="V211" s="12">
        <v>5.5897456301448143</v>
      </c>
    </row>
    <row r="212" spans="1:22" x14ac:dyDescent="0.3">
      <c r="A212" s="3">
        <v>50401</v>
      </c>
      <c r="B212" s="3" t="s">
        <v>282</v>
      </c>
      <c r="C212" s="3" t="s">
        <v>269</v>
      </c>
      <c r="D212" s="3" t="s">
        <v>283</v>
      </c>
      <c r="E212" s="3">
        <v>39323204.030000009</v>
      </c>
      <c r="F212" s="3">
        <v>47028617.696157493</v>
      </c>
      <c r="G212" s="3">
        <v>56586736.490000002</v>
      </c>
      <c r="H212" s="3">
        <f t="shared" si="24"/>
        <v>47646186.072052501</v>
      </c>
      <c r="I212" s="3">
        <v>58171</v>
      </c>
      <c r="J212" s="3">
        <v>649833.5</v>
      </c>
      <c r="K212" s="3">
        <v>765430.57000000007</v>
      </c>
      <c r="L212" s="3">
        <f t="shared" si="25"/>
        <v>491145.02333333337</v>
      </c>
      <c r="M212" s="3">
        <v>25737951.099999979</v>
      </c>
      <c r="N212" s="3">
        <v>23164419.239999998</v>
      </c>
      <c r="O212" s="3">
        <v>19674483.059999999</v>
      </c>
      <c r="P212" s="3">
        <f t="shared" si="26"/>
        <v>22858951.133333325</v>
      </c>
      <c r="Q212" s="3">
        <v>2878529.060000001</v>
      </c>
      <c r="R212" s="3">
        <v>5879413.6799999988</v>
      </c>
      <c r="S212" s="3">
        <v>3279374.45</v>
      </c>
      <c r="T212" s="3">
        <f t="shared" si="27"/>
        <v>4012439.0633333339</v>
      </c>
      <c r="U212" s="12">
        <v>1.0308170786022701</v>
      </c>
      <c r="V212" s="12">
        <v>17.553032245133611</v>
      </c>
    </row>
    <row r="213" spans="1:22" x14ac:dyDescent="0.3">
      <c r="A213" s="3">
        <v>50402</v>
      </c>
      <c r="B213" s="3" t="s">
        <v>284</v>
      </c>
      <c r="C213" s="3" t="s">
        <v>269</v>
      </c>
      <c r="D213" s="3" t="s">
        <v>283</v>
      </c>
      <c r="E213" s="3">
        <v>32229013.719999999</v>
      </c>
      <c r="F213" s="3">
        <v>35965026.533695027</v>
      </c>
      <c r="G213" s="3">
        <v>43489507.649999999</v>
      </c>
      <c r="H213" s="3">
        <f t="shared" si="24"/>
        <v>37227849.301231675</v>
      </c>
      <c r="I213" s="3">
        <v>2698475.59</v>
      </c>
      <c r="J213" s="3">
        <v>631763</v>
      </c>
      <c r="K213" s="3">
        <v>792923.97</v>
      </c>
      <c r="L213" s="3">
        <f t="shared" si="25"/>
        <v>1374387.5199999998</v>
      </c>
      <c r="M213" s="3">
        <v>20526080.259999961</v>
      </c>
      <c r="N213" s="3">
        <v>24185731.440000001</v>
      </c>
      <c r="O213" s="3">
        <v>23085213.789999999</v>
      </c>
      <c r="P213" s="3">
        <f t="shared" si="26"/>
        <v>22599008.496666651</v>
      </c>
      <c r="Q213" s="3">
        <v>202655.24</v>
      </c>
      <c r="R213" s="3">
        <v>157536.38</v>
      </c>
      <c r="S213" s="3">
        <v>294069.01</v>
      </c>
      <c r="T213" s="3">
        <f t="shared" si="27"/>
        <v>218086.87666666668</v>
      </c>
      <c r="U213" s="12">
        <v>3.6918262693045993</v>
      </c>
      <c r="V213" s="12">
        <v>0.96502851750701557</v>
      </c>
    </row>
    <row r="214" spans="1:22" x14ac:dyDescent="0.3">
      <c r="A214" s="3">
        <v>50403</v>
      </c>
      <c r="B214" s="3" t="s">
        <v>285</v>
      </c>
      <c r="C214" s="3" t="s">
        <v>269</v>
      </c>
      <c r="D214" s="3" t="s">
        <v>283</v>
      </c>
      <c r="E214" s="3">
        <v>27441771.129999999</v>
      </c>
      <c r="F214" s="3">
        <v>33115509.057734381</v>
      </c>
      <c r="G214" s="3">
        <v>40230493.759999998</v>
      </c>
      <c r="H214" s="3">
        <f t="shared" si="24"/>
        <v>33595924.649244793</v>
      </c>
      <c r="I214" s="3">
        <v>321252.71000000002</v>
      </c>
      <c r="J214" s="3">
        <v>38871.279999999999</v>
      </c>
      <c r="K214" s="3">
        <v>45044</v>
      </c>
      <c r="L214" s="3">
        <f t="shared" si="25"/>
        <v>135055.99666666667</v>
      </c>
      <c r="M214" s="3">
        <v>25487352.809999969</v>
      </c>
      <c r="N214" s="3">
        <v>29987897.75</v>
      </c>
      <c r="O214" s="3">
        <v>28531297</v>
      </c>
      <c r="P214" s="3">
        <f t="shared" si="26"/>
        <v>28002182.519999992</v>
      </c>
      <c r="Q214" s="3">
        <v>258530.38</v>
      </c>
      <c r="R214" s="3">
        <v>163482.48000000001</v>
      </c>
      <c r="S214" s="3">
        <v>242332.98</v>
      </c>
      <c r="T214" s="3">
        <f t="shared" si="27"/>
        <v>221448.61333333331</v>
      </c>
      <c r="U214" s="12">
        <v>0.40200112982960456</v>
      </c>
      <c r="V214" s="12">
        <v>0.79082626211427676</v>
      </c>
    </row>
    <row r="215" spans="1:22" x14ac:dyDescent="0.3">
      <c r="A215" s="3">
        <v>50404</v>
      </c>
      <c r="B215" s="3" t="s">
        <v>286</v>
      </c>
      <c r="C215" s="3" t="s">
        <v>269</v>
      </c>
      <c r="D215" s="3" t="s">
        <v>283</v>
      </c>
      <c r="E215" s="3">
        <v>21184438.690000001</v>
      </c>
      <c r="F215" s="3">
        <v>25273680.031372759</v>
      </c>
      <c r="G215" s="3">
        <v>29739174.379999999</v>
      </c>
      <c r="H215" s="3">
        <f t="shared" si="24"/>
        <v>25399097.700457588</v>
      </c>
      <c r="I215" s="3">
        <v>54254.23</v>
      </c>
      <c r="J215" s="3">
        <v>549593.32999999996</v>
      </c>
      <c r="K215" s="3">
        <v>74715.010000000009</v>
      </c>
      <c r="L215" s="3">
        <f t="shared" si="25"/>
        <v>226187.52333333332</v>
      </c>
      <c r="M215" s="3">
        <v>15662054.460000001</v>
      </c>
      <c r="N215" s="3">
        <v>18696634.23</v>
      </c>
      <c r="O215" s="3">
        <v>17524673.670000002</v>
      </c>
      <c r="P215" s="3">
        <f t="shared" si="26"/>
        <v>17294454.120000001</v>
      </c>
      <c r="Q215" s="3">
        <v>218367.84</v>
      </c>
      <c r="R215" s="3">
        <v>439739.48</v>
      </c>
      <c r="S215" s="3">
        <v>207710.65</v>
      </c>
      <c r="T215" s="3">
        <f t="shared" si="27"/>
        <v>288605.99</v>
      </c>
      <c r="U215" s="12">
        <v>0.8905336953338242</v>
      </c>
      <c r="V215" s="12">
        <v>1.6687776786562141</v>
      </c>
    </row>
    <row r="216" spans="1:22" x14ac:dyDescent="0.3">
      <c r="A216" s="3">
        <v>50405</v>
      </c>
      <c r="B216" s="3" t="s">
        <v>325</v>
      </c>
      <c r="C216" s="3" t="s">
        <v>269</v>
      </c>
      <c r="D216" s="3" t="s">
        <v>283</v>
      </c>
      <c r="E216" s="3">
        <v>0</v>
      </c>
      <c r="F216" s="3">
        <v>0</v>
      </c>
      <c r="G216" s="3">
        <v>0</v>
      </c>
      <c r="H216" s="3">
        <f t="shared" si="24"/>
        <v>0</v>
      </c>
      <c r="I216" s="3">
        <v>0</v>
      </c>
      <c r="J216" s="3">
        <v>0</v>
      </c>
      <c r="K216" s="3">
        <v>0</v>
      </c>
      <c r="L216" s="3">
        <f t="shared" si="25"/>
        <v>0</v>
      </c>
      <c r="M216" s="3">
        <v>10867337.089999979</v>
      </c>
      <c r="N216" s="3">
        <v>22645904.09</v>
      </c>
      <c r="O216" s="3">
        <v>21582609.809999999</v>
      </c>
      <c r="P216" s="3">
        <f t="shared" si="26"/>
        <v>18365283.663333327</v>
      </c>
      <c r="Q216" s="3">
        <v>0</v>
      </c>
      <c r="R216" s="3">
        <v>60817.59</v>
      </c>
      <c r="S216" s="3">
        <v>160279</v>
      </c>
      <c r="T216" s="3">
        <f t="shared" si="27"/>
        <v>73698.863333333327</v>
      </c>
      <c r="U216" s="12">
        <v>0</v>
      </c>
      <c r="V216" s="12">
        <v>0.40129444600125974</v>
      </c>
    </row>
    <row r="217" spans="1:22" x14ac:dyDescent="0.3">
      <c r="A217" s="3">
        <v>50501</v>
      </c>
      <c r="B217" s="3" t="s">
        <v>287</v>
      </c>
      <c r="C217" s="3" t="s">
        <v>269</v>
      </c>
      <c r="D217" s="3" t="s">
        <v>288</v>
      </c>
      <c r="E217" s="3">
        <v>36873031.048999988</v>
      </c>
      <c r="F217" s="3">
        <v>42111684.923616119</v>
      </c>
      <c r="G217" s="3">
        <v>52291182.959999993</v>
      </c>
      <c r="H217" s="3">
        <f t="shared" si="24"/>
        <v>43758632.977538697</v>
      </c>
      <c r="I217" s="3">
        <v>649989.79</v>
      </c>
      <c r="J217" s="3">
        <v>163948.82999999999</v>
      </c>
      <c r="K217" s="3">
        <v>2101208.2200000011</v>
      </c>
      <c r="L217" s="3">
        <f t="shared" si="25"/>
        <v>971715.61333333375</v>
      </c>
      <c r="M217" s="3">
        <v>29691501.279999971</v>
      </c>
      <c r="N217" s="3">
        <v>34653958.960000001</v>
      </c>
      <c r="O217" s="3">
        <v>32961697.300000001</v>
      </c>
      <c r="P217" s="3">
        <f t="shared" si="26"/>
        <v>32435719.179999992</v>
      </c>
      <c r="Q217" s="3">
        <v>934587.83000000007</v>
      </c>
      <c r="R217" s="3">
        <v>658802.46</v>
      </c>
      <c r="S217" s="3">
        <v>716710.51000000013</v>
      </c>
      <c r="T217" s="3">
        <f t="shared" si="27"/>
        <v>770033.60000000009</v>
      </c>
      <c r="U217" s="12">
        <v>2.2206260735615651</v>
      </c>
      <c r="V217" s="12">
        <v>2.3740296792149018</v>
      </c>
    </row>
    <row r="218" spans="1:22" x14ac:dyDescent="0.3">
      <c r="A218" s="3">
        <v>50502</v>
      </c>
      <c r="B218" s="3" t="s">
        <v>289</v>
      </c>
      <c r="C218" s="3" t="s">
        <v>269</v>
      </c>
      <c r="D218" s="3" t="s">
        <v>288</v>
      </c>
      <c r="E218" s="3">
        <v>14004031.189999999</v>
      </c>
      <c r="F218" s="3">
        <v>16675801.423779599</v>
      </c>
      <c r="G218" s="3">
        <v>19982219.350000001</v>
      </c>
      <c r="H218" s="3">
        <f t="shared" si="24"/>
        <v>16887350.654593199</v>
      </c>
      <c r="I218" s="3">
        <v>347776.45</v>
      </c>
      <c r="J218" s="3">
        <v>481883.34</v>
      </c>
      <c r="K218" s="3">
        <v>469368.5</v>
      </c>
      <c r="L218" s="3">
        <f t="shared" si="25"/>
        <v>433009.43</v>
      </c>
      <c r="M218" s="3">
        <v>10894121.60999999</v>
      </c>
      <c r="N218" s="3">
        <v>12918005.4</v>
      </c>
      <c r="O218" s="3">
        <v>12457476.52</v>
      </c>
      <c r="P218" s="3">
        <f t="shared" si="26"/>
        <v>12089867.843333328</v>
      </c>
      <c r="Q218" s="3">
        <v>479066.72000000009</v>
      </c>
      <c r="R218" s="3">
        <v>605719.33000000007</v>
      </c>
      <c r="S218" s="3">
        <v>779081.52999999991</v>
      </c>
      <c r="T218" s="3">
        <f t="shared" si="27"/>
        <v>621289.19333333336</v>
      </c>
      <c r="U218" s="12">
        <v>2.5641051628321909</v>
      </c>
      <c r="V218" s="12">
        <v>5.1389246051678601</v>
      </c>
    </row>
    <row r="219" spans="1:22" x14ac:dyDescent="0.3">
      <c r="A219" s="3">
        <v>50601</v>
      </c>
      <c r="B219" s="3" t="s">
        <v>290</v>
      </c>
      <c r="C219" s="3" t="s">
        <v>269</v>
      </c>
      <c r="D219" s="3" t="s">
        <v>291</v>
      </c>
      <c r="E219" s="3">
        <v>31064725.809999991</v>
      </c>
      <c r="F219" s="3">
        <v>37104638.290518329</v>
      </c>
      <c r="G219" s="3">
        <v>45140406.07</v>
      </c>
      <c r="H219" s="3">
        <f t="shared" si="24"/>
        <v>37769923.390172772</v>
      </c>
      <c r="I219" s="3">
        <v>1066616.76</v>
      </c>
      <c r="J219" s="3">
        <v>999860.01</v>
      </c>
      <c r="K219" s="3">
        <v>1489524.87</v>
      </c>
      <c r="L219" s="3">
        <f t="shared" si="25"/>
        <v>1185333.8800000001</v>
      </c>
      <c r="M219" s="3">
        <v>32550087.07999998</v>
      </c>
      <c r="N219" s="3">
        <v>38006175.520000003</v>
      </c>
      <c r="O219" s="3">
        <v>36353554.310000002</v>
      </c>
      <c r="P219" s="3">
        <f t="shared" si="26"/>
        <v>35636605.636666663</v>
      </c>
      <c r="Q219" s="3">
        <v>2078953.93</v>
      </c>
      <c r="R219" s="3">
        <v>1984550.27</v>
      </c>
      <c r="S219" s="3">
        <v>2186425.3199999998</v>
      </c>
      <c r="T219" s="3">
        <f t="shared" si="27"/>
        <v>2083309.8399999999</v>
      </c>
      <c r="U219" s="12">
        <v>3.1383009908577368</v>
      </c>
      <c r="V219" s="12">
        <v>5.8459828111588532</v>
      </c>
    </row>
    <row r="220" spans="1:22" x14ac:dyDescent="0.3">
      <c r="A220" s="3">
        <v>50602</v>
      </c>
      <c r="B220" s="3" t="s">
        <v>292</v>
      </c>
      <c r="C220" s="3" t="s">
        <v>269</v>
      </c>
      <c r="D220" s="3" t="s">
        <v>291</v>
      </c>
      <c r="E220" s="3">
        <v>14291535.82</v>
      </c>
      <c r="F220" s="3">
        <v>17187979.39678077</v>
      </c>
      <c r="G220" s="3">
        <v>20637634.34</v>
      </c>
      <c r="H220" s="3">
        <f t="shared" si="24"/>
        <v>17372383.18559359</v>
      </c>
      <c r="I220" s="3">
        <v>114988.25</v>
      </c>
      <c r="J220" s="3">
        <v>159294.21</v>
      </c>
      <c r="K220" s="3">
        <v>58945.149999999987</v>
      </c>
      <c r="L220" s="3">
        <f t="shared" si="25"/>
        <v>111075.86999999998</v>
      </c>
      <c r="M220" s="3">
        <v>10341592.989999991</v>
      </c>
      <c r="N220" s="3">
        <v>12180305.029999999</v>
      </c>
      <c r="O220" s="3">
        <v>11486817.460000001</v>
      </c>
      <c r="P220" s="3">
        <f t="shared" si="26"/>
        <v>11336238.49333333</v>
      </c>
      <c r="Q220" s="3">
        <v>141175.29999999999</v>
      </c>
      <c r="R220" s="3">
        <v>121752.74</v>
      </c>
      <c r="S220" s="3">
        <v>49093.5</v>
      </c>
      <c r="T220" s="3">
        <f t="shared" si="27"/>
        <v>104007.18</v>
      </c>
      <c r="U220" s="12">
        <v>0.63938187877476682</v>
      </c>
      <c r="V220" s="12">
        <v>0.91747522832344297</v>
      </c>
    </row>
    <row r="221" spans="1:22" x14ac:dyDescent="0.3">
      <c r="A221" s="3">
        <v>50701</v>
      </c>
      <c r="B221" s="3" t="s">
        <v>303</v>
      </c>
      <c r="C221" s="3" t="s">
        <v>269</v>
      </c>
      <c r="D221" s="3" t="s">
        <v>304</v>
      </c>
      <c r="E221" s="3">
        <v>24313455.940000001</v>
      </c>
      <c r="F221" s="3">
        <v>28965204.2510144</v>
      </c>
      <c r="G221" s="3">
        <v>35104289.009999998</v>
      </c>
      <c r="H221" s="3">
        <f t="shared" si="24"/>
        <v>29460983.0670048</v>
      </c>
      <c r="I221" s="3">
        <v>194554.11</v>
      </c>
      <c r="J221" s="3">
        <v>292697.42</v>
      </c>
      <c r="K221" s="3">
        <v>535716.77000000014</v>
      </c>
      <c r="L221" s="3">
        <f t="shared" si="25"/>
        <v>340989.43333333335</v>
      </c>
      <c r="M221" s="3">
        <v>18935518.749999989</v>
      </c>
      <c r="N221" s="3">
        <v>22414432.93</v>
      </c>
      <c r="O221" s="3">
        <v>21264326.539999999</v>
      </c>
      <c r="P221" s="3">
        <f t="shared" si="26"/>
        <v>20871426.07333333</v>
      </c>
      <c r="Q221" s="3">
        <v>144840.26</v>
      </c>
      <c r="R221" s="3">
        <v>200884.27</v>
      </c>
      <c r="S221" s="3">
        <v>194406</v>
      </c>
      <c r="T221" s="3">
        <f t="shared" si="27"/>
        <v>180043.51</v>
      </c>
      <c r="U221" s="12">
        <v>1.1574272065456932</v>
      </c>
      <c r="V221" s="12">
        <v>0.86263156799829366</v>
      </c>
    </row>
    <row r="222" spans="1:22" x14ac:dyDescent="0.3">
      <c r="A222" s="3">
        <v>50702</v>
      </c>
      <c r="B222" s="3" t="s">
        <v>305</v>
      </c>
      <c r="C222" s="3" t="s">
        <v>269</v>
      </c>
      <c r="D222" s="3" t="s">
        <v>304</v>
      </c>
      <c r="E222" s="3">
        <v>11703211.189999999</v>
      </c>
      <c r="F222" s="3">
        <v>13886749.5214702</v>
      </c>
      <c r="G222" s="3">
        <v>16740962.65</v>
      </c>
      <c r="H222" s="3">
        <f t="shared" ref="H222:H253" si="28">AVERAGE(E222:G222)</f>
        <v>14110307.787156733</v>
      </c>
      <c r="I222" s="3">
        <v>85852</v>
      </c>
      <c r="J222" s="3">
        <v>69768.900000000009</v>
      </c>
      <c r="K222" s="3">
        <v>80933.5</v>
      </c>
      <c r="L222" s="3">
        <f t="shared" ref="L222:L253" si="29">AVERAGE(I222:K222)</f>
        <v>78851.466666666674</v>
      </c>
      <c r="M222" s="3">
        <v>8437939.4799999949</v>
      </c>
      <c r="N222" s="3">
        <v>10033557.960000001</v>
      </c>
      <c r="O222" s="3">
        <v>9484577.5699999984</v>
      </c>
      <c r="P222" s="3">
        <f t="shared" si="26"/>
        <v>9318691.6699999999</v>
      </c>
      <c r="Q222" s="3">
        <v>98345.47</v>
      </c>
      <c r="R222" s="3">
        <v>174782.68</v>
      </c>
      <c r="S222" s="3">
        <v>133381.85</v>
      </c>
      <c r="T222" s="3">
        <f t="shared" si="27"/>
        <v>135503.33333333334</v>
      </c>
      <c r="U222" s="12">
        <v>0.55882173412572644</v>
      </c>
      <c r="V222" s="12">
        <v>1.4541025514296615</v>
      </c>
    </row>
    <row r="223" spans="1:22" x14ac:dyDescent="0.3">
      <c r="A223" s="3">
        <v>50801</v>
      </c>
      <c r="B223" s="3" t="s">
        <v>293</v>
      </c>
      <c r="C223" s="3" t="s">
        <v>269</v>
      </c>
      <c r="D223" s="3" t="s">
        <v>294</v>
      </c>
      <c r="E223" s="3">
        <v>53474971.739999987</v>
      </c>
      <c r="F223" s="3">
        <v>61168566.336225219</v>
      </c>
      <c r="G223" s="3">
        <v>77565648.800000012</v>
      </c>
      <c r="H223" s="3">
        <f t="shared" si="28"/>
        <v>64069728.958741747</v>
      </c>
      <c r="I223" s="3">
        <v>7183283.5199999996</v>
      </c>
      <c r="J223" s="3">
        <v>4692714.1400000006</v>
      </c>
      <c r="K223" s="3">
        <v>9079661.5299999993</v>
      </c>
      <c r="L223" s="3">
        <f t="shared" si="29"/>
        <v>6985219.7299999995</v>
      </c>
      <c r="M223" s="3">
        <v>54134825.579999954</v>
      </c>
      <c r="N223" s="3">
        <v>62848639.919999987</v>
      </c>
      <c r="O223" s="3">
        <v>61385872.93</v>
      </c>
      <c r="P223" s="3">
        <f t="shared" si="26"/>
        <v>59456446.143333316</v>
      </c>
      <c r="Q223" s="3">
        <v>11194640.369999999</v>
      </c>
      <c r="R223" s="3">
        <v>12086695.98</v>
      </c>
      <c r="S223" s="3">
        <v>13237286.789999999</v>
      </c>
      <c r="T223" s="3">
        <f t="shared" si="27"/>
        <v>12172874.380000001</v>
      </c>
      <c r="U223" s="12">
        <v>10.902527361241363</v>
      </c>
      <c r="V223" s="12">
        <v>20.473599028530082</v>
      </c>
    </row>
    <row r="224" spans="1:22" x14ac:dyDescent="0.3">
      <c r="A224" s="3">
        <v>50802</v>
      </c>
      <c r="B224" s="3" t="s">
        <v>295</v>
      </c>
      <c r="C224" s="3" t="s">
        <v>269</v>
      </c>
      <c r="D224" s="3" t="s">
        <v>294</v>
      </c>
      <c r="E224" s="3">
        <v>23283809.550000001</v>
      </c>
      <c r="F224" s="3">
        <v>27838403.84976938</v>
      </c>
      <c r="G224" s="3">
        <v>27111884.84</v>
      </c>
      <c r="H224" s="3">
        <f t="shared" si="28"/>
        <v>26078032.746589795</v>
      </c>
      <c r="I224" s="3">
        <v>11756319.48</v>
      </c>
      <c r="J224" s="3">
        <v>13781518.33</v>
      </c>
      <c r="K224" s="3">
        <v>10067343.98</v>
      </c>
      <c r="L224" s="3">
        <f t="shared" si="29"/>
        <v>11868393.930000002</v>
      </c>
      <c r="M224" s="3">
        <v>19153993.219999991</v>
      </c>
      <c r="N224" s="3">
        <v>21549060.73</v>
      </c>
      <c r="O224" s="3">
        <v>21486707.469999999</v>
      </c>
      <c r="P224" s="3">
        <f t="shared" si="26"/>
        <v>20729920.473333329</v>
      </c>
      <c r="Q224" s="3">
        <v>8390153.5999999996</v>
      </c>
      <c r="R224" s="3">
        <v>8824458.3300000001</v>
      </c>
      <c r="S224" s="3">
        <v>9417222.7999999989</v>
      </c>
      <c r="T224" s="3">
        <f t="shared" si="27"/>
        <v>8877278.2433333322</v>
      </c>
      <c r="U224" s="12">
        <v>45.511078405835747</v>
      </c>
      <c r="V224" s="12">
        <v>42.823503615235452</v>
      </c>
    </row>
    <row r="225" spans="1:22" x14ac:dyDescent="0.3">
      <c r="A225" s="3">
        <v>50901</v>
      </c>
      <c r="B225" s="3" t="s">
        <v>296</v>
      </c>
      <c r="C225" s="3" t="s">
        <v>269</v>
      </c>
      <c r="D225" s="3" t="s">
        <v>297</v>
      </c>
      <c r="E225" s="3">
        <v>74107613.510000005</v>
      </c>
      <c r="F225" s="3">
        <v>59676980.368728578</v>
      </c>
      <c r="G225" s="3">
        <v>66716841.670000009</v>
      </c>
      <c r="H225" s="3">
        <f t="shared" si="28"/>
        <v>66833811.849576198</v>
      </c>
      <c r="I225" s="3">
        <v>62184645.620000012</v>
      </c>
      <c r="J225" s="3">
        <v>45269206.609999999</v>
      </c>
      <c r="K225" s="3">
        <v>49282027.180000007</v>
      </c>
      <c r="L225" s="3">
        <f t="shared" si="29"/>
        <v>52245293.136666678</v>
      </c>
      <c r="M225" s="3">
        <v>81656630.249999985</v>
      </c>
      <c r="N225" s="3">
        <v>76883262.599999994</v>
      </c>
      <c r="O225" s="3">
        <v>65094689.509999998</v>
      </c>
      <c r="P225" s="3">
        <f t="shared" si="26"/>
        <v>74544860.786666647</v>
      </c>
      <c r="Q225" s="3">
        <v>69203484.689999998</v>
      </c>
      <c r="R225" s="3">
        <v>62161643.090000004</v>
      </c>
      <c r="S225" s="3">
        <v>51130998.549999997</v>
      </c>
      <c r="T225" s="3">
        <f t="shared" si="27"/>
        <v>60832042.109999992</v>
      </c>
      <c r="U225" s="12">
        <v>78.17194873495454</v>
      </c>
      <c r="V225" s="12">
        <v>81.604608913402956</v>
      </c>
    </row>
    <row r="226" spans="1:22" x14ac:dyDescent="0.3">
      <c r="A226" s="3">
        <v>50902</v>
      </c>
      <c r="B226" s="3" t="s">
        <v>298</v>
      </c>
      <c r="C226" s="3" t="s">
        <v>269</v>
      </c>
      <c r="D226" s="3" t="s">
        <v>297</v>
      </c>
      <c r="E226" s="3">
        <v>1002165.63</v>
      </c>
      <c r="F226" s="3">
        <v>1213433.1726385369</v>
      </c>
      <c r="G226" s="3">
        <v>4158196.7999999989</v>
      </c>
      <c r="H226" s="3">
        <f t="shared" si="28"/>
        <v>2124598.5342128449</v>
      </c>
      <c r="I226" s="3">
        <v>0</v>
      </c>
      <c r="J226" s="3">
        <v>124.04</v>
      </c>
      <c r="K226" s="3">
        <v>2689200.39</v>
      </c>
      <c r="L226" s="3">
        <f t="shared" si="29"/>
        <v>896441.47666666668</v>
      </c>
      <c r="M226" s="3">
        <v>1127447.6099999989</v>
      </c>
      <c r="N226" s="3">
        <v>1217921.53</v>
      </c>
      <c r="O226" s="3">
        <v>1254764.1299999999</v>
      </c>
      <c r="P226" s="3">
        <f t="shared" si="26"/>
        <v>1200044.4233333329</v>
      </c>
      <c r="Q226" s="3">
        <v>112332</v>
      </c>
      <c r="R226" s="3">
        <v>17795.400000000001</v>
      </c>
      <c r="S226" s="3">
        <v>116452.75</v>
      </c>
      <c r="T226" s="3">
        <f t="shared" si="27"/>
        <v>82193.383333333331</v>
      </c>
      <c r="U226" s="12">
        <v>42.193452656164737</v>
      </c>
      <c r="V226" s="12">
        <v>6.8491950577151854</v>
      </c>
    </row>
    <row r="227" spans="1:22" x14ac:dyDescent="0.3">
      <c r="A227" s="3">
        <v>51001</v>
      </c>
      <c r="B227" s="3" t="s">
        <v>299</v>
      </c>
      <c r="C227" s="3" t="s">
        <v>269</v>
      </c>
      <c r="D227" s="3" t="s">
        <v>300</v>
      </c>
      <c r="E227" s="3">
        <v>3184484.24</v>
      </c>
      <c r="F227" s="3">
        <v>6575583.559132155</v>
      </c>
      <c r="G227" s="3">
        <v>7968890.1899999985</v>
      </c>
      <c r="H227" s="3">
        <f t="shared" si="28"/>
        <v>5909652.6630440513</v>
      </c>
      <c r="I227" s="3">
        <v>0</v>
      </c>
      <c r="J227" s="3">
        <v>2759639.03</v>
      </c>
      <c r="K227" s="3">
        <v>3359821.55</v>
      </c>
      <c r="L227" s="3">
        <f t="shared" si="29"/>
        <v>2039820.1933333334</v>
      </c>
      <c r="M227" s="3">
        <v>3618852.6599999969</v>
      </c>
      <c r="N227" s="3">
        <v>4253925.2799999993</v>
      </c>
      <c r="O227" s="3">
        <v>4303148.28</v>
      </c>
      <c r="P227" s="3">
        <f t="shared" si="26"/>
        <v>4058642.0733333318</v>
      </c>
      <c r="Q227" s="3">
        <v>389337.22999999992</v>
      </c>
      <c r="R227" s="3">
        <v>436040.99</v>
      </c>
      <c r="S227" s="3">
        <v>681846.27</v>
      </c>
      <c r="T227" s="3">
        <f t="shared" si="27"/>
        <v>502408.16333333333</v>
      </c>
      <c r="U227" s="12">
        <v>34.51675266956596</v>
      </c>
      <c r="V227" s="12">
        <v>12.378725550457554</v>
      </c>
    </row>
    <row r="228" spans="1:22" x14ac:dyDescent="0.3">
      <c r="A228" s="3">
        <v>51002</v>
      </c>
      <c r="B228" s="3" t="s">
        <v>301</v>
      </c>
      <c r="C228" s="3" t="s">
        <v>269</v>
      </c>
      <c r="D228" s="3" t="s">
        <v>300</v>
      </c>
      <c r="E228" s="3">
        <v>3774902.77</v>
      </c>
      <c r="F228" s="3">
        <v>1069490.3638676321</v>
      </c>
      <c r="G228" s="3">
        <v>1426510.34</v>
      </c>
      <c r="H228" s="3">
        <f t="shared" si="28"/>
        <v>2090301.1579558775</v>
      </c>
      <c r="I228" s="3">
        <v>2889473.91</v>
      </c>
      <c r="J228" s="3">
        <v>0</v>
      </c>
      <c r="K228" s="3">
        <v>132292.14000000001</v>
      </c>
      <c r="L228" s="3">
        <f t="shared" si="29"/>
        <v>1007255.3500000001</v>
      </c>
      <c r="M228" s="3">
        <v>1210877.959999999</v>
      </c>
      <c r="N228" s="3">
        <v>1498720.04</v>
      </c>
      <c r="O228" s="3">
        <v>1385757.32</v>
      </c>
      <c r="P228" s="3">
        <f t="shared" si="26"/>
        <v>1365118.4399999997</v>
      </c>
      <c r="Q228" s="3">
        <v>80778.390000000014</v>
      </c>
      <c r="R228" s="3">
        <v>162665.29999999999</v>
      </c>
      <c r="S228" s="3">
        <v>118514.96</v>
      </c>
      <c r="T228" s="3">
        <f t="shared" si="27"/>
        <v>120652.88333333335</v>
      </c>
      <c r="U228" s="12">
        <v>48.187092379789107</v>
      </c>
      <c r="V228" s="12">
        <v>8.8382721819605159</v>
      </c>
    </row>
    <row r="229" spans="1:22" x14ac:dyDescent="0.3">
      <c r="A229" s="3">
        <v>51003</v>
      </c>
      <c r="B229" s="3" t="s">
        <v>302</v>
      </c>
      <c r="C229" s="3" t="s">
        <v>269</v>
      </c>
      <c r="D229" s="3" t="s">
        <v>300</v>
      </c>
      <c r="E229" s="3">
        <v>4724431.4000000004</v>
      </c>
      <c r="F229" s="3">
        <v>2532198.7826807741</v>
      </c>
      <c r="G229" s="3">
        <v>3126021.91</v>
      </c>
      <c r="H229" s="3">
        <f t="shared" si="28"/>
        <v>3460884.0308935917</v>
      </c>
      <c r="I229" s="3">
        <v>2612165.7599999998</v>
      </c>
      <c r="J229" s="3">
        <v>5717.49</v>
      </c>
      <c r="K229" s="3">
        <v>75622.55</v>
      </c>
      <c r="L229" s="3">
        <f t="shared" si="29"/>
        <v>897835.2666666666</v>
      </c>
      <c r="M229" s="3">
        <v>2236199.5399999982</v>
      </c>
      <c r="N229" s="3">
        <v>2629461.31</v>
      </c>
      <c r="O229" s="3">
        <v>2629306.48</v>
      </c>
      <c r="P229" s="3">
        <f t="shared" si="26"/>
        <v>2498322.4433333329</v>
      </c>
      <c r="Q229" s="3">
        <v>48247.759999999987</v>
      </c>
      <c r="R229" s="3">
        <v>42863.94</v>
      </c>
      <c r="S229" s="3">
        <v>175902.22</v>
      </c>
      <c r="T229" s="3">
        <f t="shared" si="27"/>
        <v>89004.64</v>
      </c>
      <c r="U229" s="12">
        <v>25.942367864746039</v>
      </c>
      <c r="V229" s="12">
        <v>3.5625761693613684</v>
      </c>
    </row>
    <row r="230" spans="1:22" x14ac:dyDescent="0.3">
      <c r="A230" s="3">
        <v>51101</v>
      </c>
      <c r="B230" s="3" t="s">
        <v>306</v>
      </c>
      <c r="C230" s="3" t="s">
        <v>269</v>
      </c>
      <c r="D230" s="3" t="s">
        <v>307</v>
      </c>
      <c r="E230" s="3">
        <v>29352735.170000002</v>
      </c>
      <c r="F230" s="3">
        <v>35462183.469056793</v>
      </c>
      <c r="G230" s="3">
        <v>43715114.339999989</v>
      </c>
      <c r="H230" s="3">
        <f t="shared" si="28"/>
        <v>36176677.659685589</v>
      </c>
      <c r="I230" s="3">
        <v>207746.09</v>
      </c>
      <c r="J230" s="3">
        <v>530392.56999999995</v>
      </c>
      <c r="K230" s="3">
        <v>1522055.9</v>
      </c>
      <c r="L230" s="3">
        <f t="shared" si="29"/>
        <v>753398.18666666653</v>
      </c>
      <c r="M230" s="3">
        <v>24039935.819999989</v>
      </c>
      <c r="N230" s="3">
        <v>25244980.43</v>
      </c>
      <c r="O230" s="3">
        <v>24089617.82</v>
      </c>
      <c r="P230" s="3">
        <f t="shared" si="26"/>
        <v>24458178.02333333</v>
      </c>
      <c r="Q230" s="3">
        <v>3039649.03</v>
      </c>
      <c r="R230" s="3">
        <v>419338.16</v>
      </c>
      <c r="S230" s="3">
        <v>542079.56000000006</v>
      </c>
      <c r="T230" s="3">
        <f t="shared" si="27"/>
        <v>1333688.9166666667</v>
      </c>
      <c r="U230" s="12">
        <v>2.0825521728498448</v>
      </c>
      <c r="V230" s="12">
        <v>5.4529364999891454</v>
      </c>
    </row>
    <row r="231" spans="1:22" x14ac:dyDescent="0.3">
      <c r="A231" s="3">
        <v>51102</v>
      </c>
      <c r="B231" s="3" t="s">
        <v>308</v>
      </c>
      <c r="C231" s="3" t="s">
        <v>269</v>
      </c>
      <c r="D231" s="3" t="s">
        <v>307</v>
      </c>
      <c r="E231" s="3">
        <v>13825412.26</v>
      </c>
      <c r="F231" s="3">
        <v>19094247.91413375</v>
      </c>
      <c r="G231" s="3">
        <v>20528983.190000001</v>
      </c>
      <c r="H231" s="3">
        <f t="shared" si="28"/>
        <v>17816214.454711247</v>
      </c>
      <c r="I231" s="3">
        <v>296457.36</v>
      </c>
      <c r="J231" s="3">
        <v>2763904.49</v>
      </c>
      <c r="K231" s="3">
        <v>772585.62999999989</v>
      </c>
      <c r="L231" s="3">
        <f t="shared" si="29"/>
        <v>1277649.1599999999</v>
      </c>
      <c r="M231" s="3">
        <v>12644713.939999981</v>
      </c>
      <c r="N231" s="3">
        <v>14706089.060000001</v>
      </c>
      <c r="O231" s="3">
        <v>14419793.99</v>
      </c>
      <c r="P231" s="3">
        <f t="shared" si="26"/>
        <v>13923532.329999993</v>
      </c>
      <c r="Q231" s="3">
        <v>1082693.9099999999</v>
      </c>
      <c r="R231" s="3">
        <v>1037915.34</v>
      </c>
      <c r="S231" s="3">
        <v>1455315.34</v>
      </c>
      <c r="T231" s="3">
        <f t="shared" si="27"/>
        <v>1191974.8633333333</v>
      </c>
      <c r="U231" s="12">
        <v>7.1712717830590744</v>
      </c>
      <c r="V231" s="12">
        <v>8.5608654117538432</v>
      </c>
    </row>
    <row r="232" spans="1:22" x14ac:dyDescent="0.3">
      <c r="A232" s="3">
        <v>51103</v>
      </c>
      <c r="B232" s="3" t="s">
        <v>323</v>
      </c>
      <c r="C232" s="3" t="s">
        <v>269</v>
      </c>
      <c r="D232" s="3" t="s">
        <v>307</v>
      </c>
      <c r="E232" s="3">
        <v>21849903.32</v>
      </c>
      <c r="F232" s="3">
        <v>25957548.963358749</v>
      </c>
      <c r="G232" s="3">
        <v>31380168.219999999</v>
      </c>
      <c r="H232" s="3">
        <f t="shared" si="28"/>
        <v>26395873.501119584</v>
      </c>
      <c r="I232" s="3">
        <v>548551.97</v>
      </c>
      <c r="J232" s="3">
        <v>424741.77</v>
      </c>
      <c r="K232" s="3">
        <v>539264.86</v>
      </c>
      <c r="L232" s="3">
        <f t="shared" si="29"/>
        <v>504186.2</v>
      </c>
      <c r="M232" s="3">
        <v>15227649.169999991</v>
      </c>
      <c r="N232" s="3">
        <v>17971175.98</v>
      </c>
      <c r="O232" s="3">
        <v>17033959.41</v>
      </c>
      <c r="P232" s="3">
        <f t="shared" si="26"/>
        <v>16744261.519999996</v>
      </c>
      <c r="Q232" s="3">
        <v>77171.360000000015</v>
      </c>
      <c r="R232" s="3">
        <v>60898.84</v>
      </c>
      <c r="S232" s="3">
        <v>45769.440000000002</v>
      </c>
      <c r="T232" s="3">
        <f t="shared" si="27"/>
        <v>61279.880000000005</v>
      </c>
      <c r="U232" s="12">
        <v>1.910094772876582</v>
      </c>
      <c r="V232" s="12">
        <v>0.36597541149727586</v>
      </c>
    </row>
    <row r="233" spans="1:22" x14ac:dyDescent="0.3">
      <c r="A233" s="3">
        <v>51201</v>
      </c>
      <c r="B233" s="3" t="s">
        <v>309</v>
      </c>
      <c r="C233" s="3" t="s">
        <v>269</v>
      </c>
      <c r="D233" s="3" t="s">
        <v>310</v>
      </c>
      <c r="E233" s="3">
        <v>25239141.829999998</v>
      </c>
      <c r="F233" s="3">
        <v>31071454.07763321</v>
      </c>
      <c r="G233" s="3">
        <v>38086537.560000002</v>
      </c>
      <c r="H233" s="3">
        <f t="shared" si="28"/>
        <v>31465711.155877739</v>
      </c>
      <c r="I233" s="3">
        <v>2453115.0699999998</v>
      </c>
      <c r="J233" s="3">
        <v>3372353.1</v>
      </c>
      <c r="K233" s="3">
        <v>4523614.97</v>
      </c>
      <c r="L233" s="3">
        <f t="shared" si="29"/>
        <v>3449694.3800000004</v>
      </c>
      <c r="M233" s="3">
        <v>34147989.309999973</v>
      </c>
      <c r="N233" s="3">
        <v>43988190.030000001</v>
      </c>
      <c r="O233" s="3">
        <v>40140655.649999999</v>
      </c>
      <c r="P233" s="3">
        <f t="shared" si="26"/>
        <v>39425611.663333327</v>
      </c>
      <c r="Q233" s="3">
        <v>5716863.7300000004</v>
      </c>
      <c r="R233" s="3">
        <v>10378164.439999999</v>
      </c>
      <c r="S233" s="3">
        <v>8260972.3200000012</v>
      </c>
      <c r="T233" s="3">
        <f t="shared" si="27"/>
        <v>8118666.830000001</v>
      </c>
      <c r="U233" s="12">
        <v>10.963344711678648</v>
      </c>
      <c r="V233" s="12">
        <v>20.592367467441317</v>
      </c>
    </row>
    <row r="234" spans="1:22" x14ac:dyDescent="0.3">
      <c r="A234" s="3">
        <v>51202</v>
      </c>
      <c r="B234" s="3" t="s">
        <v>311</v>
      </c>
      <c r="C234" s="3" t="s">
        <v>269</v>
      </c>
      <c r="D234" s="3" t="s">
        <v>310</v>
      </c>
      <c r="E234" s="3">
        <v>16271471.779999999</v>
      </c>
      <c r="F234" s="3">
        <v>19721340.802420478</v>
      </c>
      <c r="G234" s="3">
        <v>24432480.379999999</v>
      </c>
      <c r="H234" s="3">
        <f t="shared" si="28"/>
        <v>20141764.320806827</v>
      </c>
      <c r="I234" s="3">
        <v>279545.26</v>
      </c>
      <c r="J234" s="3">
        <v>500420.43999999989</v>
      </c>
      <c r="K234" s="3">
        <v>1201392.3</v>
      </c>
      <c r="L234" s="3">
        <f t="shared" si="29"/>
        <v>660452.66666666663</v>
      </c>
      <c r="M234" s="3">
        <v>16169608.59999999</v>
      </c>
      <c r="N234" s="3">
        <v>15570130.109999999</v>
      </c>
      <c r="O234" s="3">
        <v>10088078.640000001</v>
      </c>
      <c r="P234" s="3">
        <f t="shared" si="26"/>
        <v>13942605.783333331</v>
      </c>
      <c r="Q234" s="3">
        <v>1999368.95</v>
      </c>
      <c r="R234" s="3">
        <v>848527.98</v>
      </c>
      <c r="S234" s="3">
        <v>575719.30999999994</v>
      </c>
      <c r="T234" s="3">
        <f t="shared" si="27"/>
        <v>1141205.4133333333</v>
      </c>
      <c r="U234" s="12">
        <v>3.2790209246188349</v>
      </c>
      <c r="V234" s="12">
        <v>8.1850224489421048</v>
      </c>
    </row>
    <row r="235" spans="1:22" x14ac:dyDescent="0.3">
      <c r="A235" s="3">
        <v>51203</v>
      </c>
      <c r="B235" s="3" t="s">
        <v>312</v>
      </c>
      <c r="C235" s="3" t="s">
        <v>269</v>
      </c>
      <c r="D235" s="3" t="s">
        <v>310</v>
      </c>
      <c r="E235" s="3">
        <v>16155998.140000001</v>
      </c>
      <c r="F235" s="3">
        <v>16643864.629041281</v>
      </c>
      <c r="G235" s="3">
        <v>17621286.09</v>
      </c>
      <c r="H235" s="3">
        <f t="shared" si="28"/>
        <v>16807049.619680427</v>
      </c>
      <c r="I235" s="3">
        <v>8827551.4699999988</v>
      </c>
      <c r="J235" s="3">
        <v>7769770.3399999989</v>
      </c>
      <c r="K235" s="3">
        <v>6877748.919999999</v>
      </c>
      <c r="L235" s="3">
        <f t="shared" si="29"/>
        <v>7825023.5766666653</v>
      </c>
      <c r="M235" s="3">
        <v>21895673.929999989</v>
      </c>
      <c r="N235" s="3">
        <v>29262719.899999999</v>
      </c>
      <c r="O235" s="3">
        <v>25706060.149999999</v>
      </c>
      <c r="P235" s="3">
        <f t="shared" si="26"/>
        <v>25621484.659999996</v>
      </c>
      <c r="Q235" s="3">
        <v>11484452.26</v>
      </c>
      <c r="R235" s="3">
        <v>16954965.329999998</v>
      </c>
      <c r="S235" s="3">
        <v>14031963.51</v>
      </c>
      <c r="T235" s="3">
        <f t="shared" si="27"/>
        <v>14157127.033333331</v>
      </c>
      <c r="U235" s="12">
        <v>46.557984617977539</v>
      </c>
      <c r="V235" s="12">
        <v>55.254905097030907</v>
      </c>
    </row>
    <row r="236" spans="1:22" x14ac:dyDescent="0.3">
      <c r="A236" s="3">
        <v>51204</v>
      </c>
      <c r="B236" s="3" t="s">
        <v>324</v>
      </c>
      <c r="C236" s="3" t="s">
        <v>269</v>
      </c>
      <c r="D236" s="3" t="s">
        <v>275</v>
      </c>
      <c r="E236" s="3">
        <v>0</v>
      </c>
      <c r="F236" s="3">
        <v>0</v>
      </c>
      <c r="G236" s="3">
        <v>0</v>
      </c>
      <c r="H236" s="3">
        <f t="shared" si="28"/>
        <v>0</v>
      </c>
      <c r="I236" s="3">
        <v>0</v>
      </c>
      <c r="J236" s="3">
        <v>0</v>
      </c>
      <c r="K236" s="3">
        <v>0</v>
      </c>
      <c r="L236" s="3">
        <f t="shared" si="29"/>
        <v>0</v>
      </c>
      <c r="M236" s="3">
        <v>6758412.6799999997</v>
      </c>
      <c r="N236" s="3">
        <v>6758412.6799999997</v>
      </c>
      <c r="O236" s="3">
        <v>6758412.6799999997</v>
      </c>
      <c r="P236" s="3">
        <v>6758412.6799999997</v>
      </c>
      <c r="Q236" s="3">
        <f>M236-5943111.39</f>
        <v>815301.29</v>
      </c>
      <c r="R236" s="3">
        <f>N236-5943111.39</f>
        <v>815301.29</v>
      </c>
      <c r="S236" s="3">
        <f>O236-5943111.39</f>
        <v>815301.29</v>
      </c>
      <c r="T236" s="3">
        <f>P236-5943111.39</f>
        <v>815301.29</v>
      </c>
      <c r="U236" s="12">
        <v>0</v>
      </c>
      <c r="V236" s="12">
        <v>12.063502609313879</v>
      </c>
    </row>
    <row r="237" spans="1:22" x14ac:dyDescent="0.3">
      <c r="A237" s="3">
        <v>51301</v>
      </c>
      <c r="B237" s="3" t="s">
        <v>313</v>
      </c>
      <c r="C237" s="3" t="s">
        <v>269</v>
      </c>
      <c r="D237" s="3" t="s">
        <v>314</v>
      </c>
      <c r="E237" s="3">
        <v>6417436.0899999989</v>
      </c>
      <c r="F237" s="3">
        <v>7549344.7355050053</v>
      </c>
      <c r="G237" s="3">
        <v>9599545.0199999996</v>
      </c>
      <c r="H237" s="3">
        <f t="shared" si="28"/>
        <v>7855441.9485016679</v>
      </c>
      <c r="I237" s="3">
        <v>90249.17</v>
      </c>
      <c r="J237" s="3">
        <v>59873.600000000013</v>
      </c>
      <c r="K237" s="3">
        <v>578746.93000000005</v>
      </c>
      <c r="L237" s="3">
        <f t="shared" si="29"/>
        <v>242956.56666666668</v>
      </c>
      <c r="M237" s="3">
        <v>4061523.279999997</v>
      </c>
      <c r="N237" s="3">
        <v>4789736.2200000007</v>
      </c>
      <c r="O237" s="3">
        <v>4584626.72</v>
      </c>
      <c r="P237" s="3">
        <f t="shared" ref="P237:P274" si="30">AVERAGE(M237:O237)</f>
        <v>4478628.7399999993</v>
      </c>
      <c r="Q237" s="3">
        <v>66406.31</v>
      </c>
      <c r="R237" s="3">
        <v>66794.63</v>
      </c>
      <c r="S237" s="3">
        <v>104861.09</v>
      </c>
      <c r="T237" s="3">
        <f t="shared" ref="T237:T274" si="31">AVERAGE(Q237:S237)</f>
        <v>79354.009999999995</v>
      </c>
      <c r="U237" s="12">
        <v>3.0928440215003783</v>
      </c>
      <c r="V237" s="12">
        <v>1.7718371985439454</v>
      </c>
    </row>
    <row r="238" spans="1:22" x14ac:dyDescent="0.3">
      <c r="A238" s="3">
        <v>51302</v>
      </c>
      <c r="B238" s="3" t="s">
        <v>315</v>
      </c>
      <c r="C238" s="3" t="s">
        <v>269</v>
      </c>
      <c r="D238" s="3" t="s">
        <v>314</v>
      </c>
      <c r="E238" s="3">
        <v>7468246.0300000012</v>
      </c>
      <c r="F238" s="3">
        <v>8965968.1889454015</v>
      </c>
      <c r="G238" s="3">
        <v>10815190.1</v>
      </c>
      <c r="H238" s="3">
        <f t="shared" si="28"/>
        <v>9083134.7729818001</v>
      </c>
      <c r="I238" s="3">
        <v>108030.97</v>
      </c>
      <c r="J238" s="3">
        <v>186393.8</v>
      </c>
      <c r="K238" s="3">
        <v>221958.1</v>
      </c>
      <c r="L238" s="3">
        <f t="shared" si="29"/>
        <v>172127.62333333332</v>
      </c>
      <c r="M238" s="3">
        <v>6007121.5299999956</v>
      </c>
      <c r="N238" s="3">
        <v>7120049.2699999996</v>
      </c>
      <c r="O238" s="3">
        <v>6707179.8899999997</v>
      </c>
      <c r="P238" s="3">
        <f t="shared" si="30"/>
        <v>6611450.2299999977</v>
      </c>
      <c r="Q238" s="3">
        <v>104229.43</v>
      </c>
      <c r="R238" s="3">
        <v>141826.48000000001</v>
      </c>
      <c r="S238" s="3">
        <v>88239.98</v>
      </c>
      <c r="T238" s="3">
        <f t="shared" si="31"/>
        <v>111431.96333333333</v>
      </c>
      <c r="U238" s="12">
        <v>1.8950244341340703</v>
      </c>
      <c r="V238" s="12">
        <v>1.6854390407070097</v>
      </c>
    </row>
    <row r="239" spans="1:22" x14ac:dyDescent="0.3">
      <c r="A239" s="3">
        <v>51401</v>
      </c>
      <c r="B239" s="3" t="s">
        <v>316</v>
      </c>
      <c r="C239" s="3" t="s">
        <v>269</v>
      </c>
      <c r="D239" s="3" t="s">
        <v>317</v>
      </c>
      <c r="E239" s="3">
        <v>6206047.0199999996</v>
      </c>
      <c r="F239" s="3">
        <v>4602608.8169950247</v>
      </c>
      <c r="G239" s="3">
        <v>5555755.2799999993</v>
      </c>
      <c r="H239" s="3">
        <f t="shared" si="28"/>
        <v>5454803.7056650082</v>
      </c>
      <c r="I239" s="3">
        <v>2649405.54</v>
      </c>
      <c r="J239" s="3">
        <v>290598.2</v>
      </c>
      <c r="K239" s="3">
        <v>333874.40000000002</v>
      </c>
      <c r="L239" s="3">
        <f t="shared" si="29"/>
        <v>1091292.7133333334</v>
      </c>
      <c r="M239" s="3">
        <v>4213491.0299999984</v>
      </c>
      <c r="N239" s="3">
        <v>4837920.25</v>
      </c>
      <c r="O239" s="3">
        <v>4734792.08</v>
      </c>
      <c r="P239" s="3">
        <f t="shared" si="30"/>
        <v>4595401.1199999992</v>
      </c>
      <c r="Q239" s="3">
        <v>237537.97</v>
      </c>
      <c r="R239" s="3">
        <v>137633.44</v>
      </c>
      <c r="S239" s="3">
        <v>276515.01</v>
      </c>
      <c r="T239" s="3">
        <f t="shared" si="31"/>
        <v>217228.80666666667</v>
      </c>
      <c r="U239" s="12">
        <v>0</v>
      </c>
      <c r="V239" s="12">
        <v>4.7270913026775503</v>
      </c>
    </row>
    <row r="240" spans="1:22" x14ac:dyDescent="0.3">
      <c r="A240" s="3">
        <v>51402</v>
      </c>
      <c r="B240" s="3" t="s">
        <v>318</v>
      </c>
      <c r="C240" s="3" t="s">
        <v>269</v>
      </c>
      <c r="D240" s="3" t="s">
        <v>317</v>
      </c>
      <c r="E240" s="3">
        <v>2710549.68</v>
      </c>
      <c r="F240" s="3">
        <v>3258778.3161456068</v>
      </c>
      <c r="G240" s="3">
        <v>4012759.65</v>
      </c>
      <c r="H240" s="3">
        <f t="shared" si="28"/>
        <v>3327362.5487152021</v>
      </c>
      <c r="I240" s="3">
        <v>6941.09</v>
      </c>
      <c r="J240" s="3">
        <v>4668</v>
      </c>
      <c r="K240" s="3">
        <v>78346.539999999994</v>
      </c>
      <c r="L240" s="3">
        <f t="shared" si="29"/>
        <v>29985.209999999995</v>
      </c>
      <c r="M240" s="3">
        <v>1629517.569999998</v>
      </c>
      <c r="N240" s="3">
        <v>1940634.98</v>
      </c>
      <c r="O240" s="3">
        <v>1959771.9</v>
      </c>
      <c r="P240" s="3">
        <f t="shared" si="30"/>
        <v>1843308.1499999992</v>
      </c>
      <c r="Q240" s="3">
        <v>1154.27</v>
      </c>
      <c r="R240" s="3">
        <v>15556.4</v>
      </c>
      <c r="S240" s="3">
        <v>133829.99</v>
      </c>
      <c r="T240" s="3">
        <f t="shared" si="31"/>
        <v>50180.219999999994</v>
      </c>
      <c r="U240" s="12">
        <v>0.90117050850314506</v>
      </c>
      <c r="V240" s="12">
        <v>2.7222914410702308</v>
      </c>
    </row>
    <row r="241" spans="1:22" x14ac:dyDescent="0.3">
      <c r="A241" s="3">
        <v>51501</v>
      </c>
      <c r="B241" s="3" t="s">
        <v>319</v>
      </c>
      <c r="C241" s="3" t="s">
        <v>269</v>
      </c>
      <c r="D241" s="3" t="s">
        <v>320</v>
      </c>
      <c r="E241" s="3">
        <v>48368395.539999999</v>
      </c>
      <c r="F241" s="3">
        <v>58787313.071636237</v>
      </c>
      <c r="G241" s="3">
        <v>77241233.570000008</v>
      </c>
      <c r="H241" s="3">
        <f t="shared" si="28"/>
        <v>61465647.393878751</v>
      </c>
      <c r="I241" s="3">
        <v>4527993.0699999994</v>
      </c>
      <c r="J241" s="3">
        <v>5326701</v>
      </c>
      <c r="K241" s="3">
        <v>12418305.41</v>
      </c>
      <c r="L241" s="3">
        <f t="shared" si="29"/>
        <v>7424333.1600000001</v>
      </c>
      <c r="M241" s="3">
        <v>55430104.579999968</v>
      </c>
      <c r="N241" s="3">
        <v>66980732.780000001</v>
      </c>
      <c r="O241" s="3">
        <v>63786426.649999999</v>
      </c>
      <c r="P241" s="3">
        <f t="shared" si="30"/>
        <v>62065754.669999987</v>
      </c>
      <c r="Q241" s="3">
        <v>12401764.48</v>
      </c>
      <c r="R241" s="3">
        <v>16114576.550000001</v>
      </c>
      <c r="S241" s="3">
        <v>15538993.470000001</v>
      </c>
      <c r="T241" s="3">
        <f t="shared" si="31"/>
        <v>14685111.5</v>
      </c>
      <c r="U241" s="12">
        <v>12.078833421250803</v>
      </c>
      <c r="V241" s="12">
        <v>23.660570274348366</v>
      </c>
    </row>
    <row r="242" spans="1:22" x14ac:dyDescent="0.3">
      <c r="A242" s="3">
        <v>51601</v>
      </c>
      <c r="B242" s="3" t="s">
        <v>321</v>
      </c>
      <c r="C242" s="3" t="s">
        <v>269</v>
      </c>
      <c r="D242" s="3" t="s">
        <v>322</v>
      </c>
      <c r="E242" s="3">
        <v>2465105.310000001</v>
      </c>
      <c r="F242" s="3">
        <v>2508538.174641626</v>
      </c>
      <c r="G242" s="3">
        <v>6460170.9400000004</v>
      </c>
      <c r="H242" s="3">
        <f t="shared" si="28"/>
        <v>3811271.4748805426</v>
      </c>
      <c r="I242" s="3">
        <v>412758.06</v>
      </c>
      <c r="J242" s="3">
        <v>40932.07</v>
      </c>
      <c r="K242" s="3">
        <v>3477358.3900000011</v>
      </c>
      <c r="L242" s="3">
        <f t="shared" si="29"/>
        <v>1310349.5066666671</v>
      </c>
      <c r="M242" s="3">
        <v>1681358.899999999</v>
      </c>
      <c r="N242" s="3">
        <v>2100595.8199999998</v>
      </c>
      <c r="O242" s="3">
        <v>1949603.99</v>
      </c>
      <c r="P242" s="3">
        <f t="shared" si="30"/>
        <v>1910519.5699999996</v>
      </c>
      <c r="Q242" s="3">
        <v>68326.900000000009</v>
      </c>
      <c r="R242" s="3">
        <v>193641.31</v>
      </c>
      <c r="S242" s="3">
        <v>140853.16</v>
      </c>
      <c r="T242" s="3">
        <f t="shared" si="31"/>
        <v>134273.79</v>
      </c>
      <c r="U242" s="12">
        <v>34.380901893317308</v>
      </c>
      <c r="V242" s="12">
        <v>7.0281295260430143</v>
      </c>
    </row>
    <row r="243" spans="1:22" x14ac:dyDescent="0.3">
      <c r="A243" s="3">
        <v>60101</v>
      </c>
      <c r="B243" s="3" t="s">
        <v>326</v>
      </c>
      <c r="C243" s="3" t="s">
        <v>327</v>
      </c>
      <c r="D243" s="3" t="s">
        <v>154</v>
      </c>
      <c r="E243" s="3">
        <v>379716958.10000002</v>
      </c>
      <c r="F243" s="3">
        <v>465555718.45184439</v>
      </c>
      <c r="G243" s="3">
        <v>565131498.83999991</v>
      </c>
      <c r="H243" s="3">
        <f t="shared" si="28"/>
        <v>470134725.13061476</v>
      </c>
      <c r="I243" s="3">
        <v>81017936.25</v>
      </c>
      <c r="J243" s="3">
        <v>91459998.820000008</v>
      </c>
      <c r="K243" s="3">
        <v>98337832.50999999</v>
      </c>
      <c r="L243" s="3">
        <f t="shared" si="29"/>
        <v>90271922.526666656</v>
      </c>
      <c r="M243" s="3">
        <v>392444812.34999979</v>
      </c>
      <c r="N243" s="3">
        <v>460924530.87</v>
      </c>
      <c r="O243" s="3">
        <v>475275557.94999999</v>
      </c>
      <c r="P243" s="3">
        <f t="shared" si="30"/>
        <v>442881633.7233333</v>
      </c>
      <c r="Q243" s="3">
        <v>160116945.66999999</v>
      </c>
      <c r="R243" s="3">
        <v>181558291.71000001</v>
      </c>
      <c r="S243" s="3">
        <v>203202108.25999999</v>
      </c>
      <c r="T243" s="3">
        <f t="shared" si="31"/>
        <v>181625781.88</v>
      </c>
      <c r="U243" s="12">
        <v>19.201287992837997</v>
      </c>
      <c r="V243" s="12">
        <v>41.010005394231598</v>
      </c>
    </row>
    <row r="244" spans="1:22" x14ac:dyDescent="0.3">
      <c r="A244" s="3">
        <v>60201</v>
      </c>
      <c r="B244" s="3" t="s">
        <v>328</v>
      </c>
      <c r="C244" s="3" t="s">
        <v>327</v>
      </c>
      <c r="D244" s="3" t="s">
        <v>329</v>
      </c>
      <c r="E244" s="3">
        <v>40635684.219999999</v>
      </c>
      <c r="F244" s="3">
        <v>49350506.151527449</v>
      </c>
      <c r="G244" s="3">
        <v>61053698.159999996</v>
      </c>
      <c r="H244" s="3">
        <f t="shared" si="28"/>
        <v>50346629.510509156</v>
      </c>
      <c r="I244" s="3">
        <v>339228.67</v>
      </c>
      <c r="J244" s="3">
        <v>374023.67</v>
      </c>
      <c r="K244" s="3">
        <v>387232.09</v>
      </c>
      <c r="L244" s="3">
        <f t="shared" si="29"/>
        <v>366828.14333333331</v>
      </c>
      <c r="M244" s="3">
        <v>22051163.959999979</v>
      </c>
      <c r="N244" s="3">
        <v>26234651.260000002</v>
      </c>
      <c r="O244" s="3">
        <v>25528332.879999999</v>
      </c>
      <c r="P244" s="3">
        <f t="shared" si="30"/>
        <v>24604716.033333328</v>
      </c>
      <c r="Q244" s="3">
        <v>919043.13</v>
      </c>
      <c r="R244" s="3">
        <v>823899.58</v>
      </c>
      <c r="S244" s="3">
        <v>780936.70000000007</v>
      </c>
      <c r="T244" s="3">
        <f t="shared" si="31"/>
        <v>841293.13666666672</v>
      </c>
      <c r="U244" s="12">
        <v>0.72860516562834265</v>
      </c>
      <c r="V244" s="12">
        <v>3.4192353023986208</v>
      </c>
    </row>
    <row r="245" spans="1:22" x14ac:dyDescent="0.3">
      <c r="A245" s="3">
        <v>60202</v>
      </c>
      <c r="B245" s="3" t="s">
        <v>330</v>
      </c>
      <c r="C245" s="3" t="s">
        <v>327</v>
      </c>
      <c r="D245" s="3" t="s">
        <v>329</v>
      </c>
      <c r="E245" s="3">
        <v>73944135.010000005</v>
      </c>
      <c r="F245" s="3">
        <v>89451424.127635524</v>
      </c>
      <c r="G245" s="3">
        <v>110774273.34999999</v>
      </c>
      <c r="H245" s="3">
        <f t="shared" si="28"/>
        <v>91389944.162545159</v>
      </c>
      <c r="I245" s="3">
        <v>7960476.54</v>
      </c>
      <c r="J245" s="3">
        <v>7421678.5599999996</v>
      </c>
      <c r="K245" s="3">
        <v>8600395.3399999999</v>
      </c>
      <c r="L245" s="3">
        <f t="shared" si="29"/>
        <v>7994183.4799999995</v>
      </c>
      <c r="M245" s="3">
        <v>53096071.659999989</v>
      </c>
      <c r="N245" s="3">
        <v>62724046.5</v>
      </c>
      <c r="O245" s="3">
        <v>61473480</v>
      </c>
      <c r="P245" s="3">
        <f t="shared" si="30"/>
        <v>59097866.053333335</v>
      </c>
      <c r="Q245" s="3">
        <v>14063206.52</v>
      </c>
      <c r="R245" s="3">
        <v>15788276.880000001</v>
      </c>
      <c r="S245" s="3">
        <v>15762969.939999999</v>
      </c>
      <c r="T245" s="3">
        <f t="shared" si="31"/>
        <v>15204817.779999999</v>
      </c>
      <c r="U245" s="12">
        <v>8.7473338048895535</v>
      </c>
      <c r="V245" s="12">
        <v>25.728201025529909</v>
      </c>
    </row>
    <row r="246" spans="1:22" x14ac:dyDescent="0.3">
      <c r="A246" s="3">
        <v>60301</v>
      </c>
      <c r="B246" s="3" t="s">
        <v>331</v>
      </c>
      <c r="C246" s="3" t="s">
        <v>327</v>
      </c>
      <c r="D246" s="3" t="s">
        <v>332</v>
      </c>
      <c r="E246" s="3">
        <v>185081800.22999999</v>
      </c>
      <c r="F246" s="3">
        <v>229472271.58721161</v>
      </c>
      <c r="G246" s="3">
        <v>281566714.31</v>
      </c>
      <c r="H246" s="3">
        <f t="shared" si="28"/>
        <v>232040262.04240385</v>
      </c>
      <c r="I246" s="3">
        <v>18652944.050000001</v>
      </c>
      <c r="J246" s="3">
        <v>23086270.41</v>
      </c>
      <c r="K246" s="3">
        <v>24653753.969999999</v>
      </c>
      <c r="L246" s="3">
        <f t="shared" si="29"/>
        <v>22130989.476666667</v>
      </c>
      <c r="M246" s="3">
        <v>140852056.80000001</v>
      </c>
      <c r="N246" s="3">
        <v>160552308.91</v>
      </c>
      <c r="O246" s="3">
        <v>168358542.69999999</v>
      </c>
      <c r="P246" s="3">
        <f t="shared" si="30"/>
        <v>156587636.13666669</v>
      </c>
      <c r="Q246" s="3">
        <v>36501386.360000007</v>
      </c>
      <c r="R246" s="3">
        <v>35074165.88000001</v>
      </c>
      <c r="S246" s="3">
        <v>46155985.069999993</v>
      </c>
      <c r="T246" s="3">
        <f t="shared" si="31"/>
        <v>39243845.770000003</v>
      </c>
      <c r="U246" s="12">
        <v>9.5375644217391766</v>
      </c>
      <c r="V246" s="12">
        <v>25.061905740596742</v>
      </c>
    </row>
    <row r="247" spans="1:22" x14ac:dyDescent="0.3">
      <c r="A247" s="3">
        <v>60302</v>
      </c>
      <c r="B247" s="3" t="s">
        <v>333</v>
      </c>
      <c r="C247" s="3" t="s">
        <v>327</v>
      </c>
      <c r="D247" s="3" t="s">
        <v>332</v>
      </c>
      <c r="E247" s="3">
        <v>20807508.16</v>
      </c>
      <c r="F247" s="3">
        <v>24632144.83314747</v>
      </c>
      <c r="G247" s="3">
        <v>30941673.100000001</v>
      </c>
      <c r="H247" s="3">
        <f t="shared" si="28"/>
        <v>25460442.031049158</v>
      </c>
      <c r="I247" s="3">
        <v>1934431.93</v>
      </c>
      <c r="J247" s="3">
        <v>1678863.15</v>
      </c>
      <c r="K247" s="3">
        <v>2505146.89</v>
      </c>
      <c r="L247" s="3">
        <f t="shared" si="29"/>
        <v>2039480.656666667</v>
      </c>
      <c r="M247" s="3">
        <v>20846892.989999991</v>
      </c>
      <c r="N247" s="3">
        <v>24535278.239999998</v>
      </c>
      <c r="O247" s="3">
        <v>24424061.719999999</v>
      </c>
      <c r="P247" s="3">
        <f t="shared" si="30"/>
        <v>23268744.316666663</v>
      </c>
      <c r="Q247" s="3">
        <v>3464832.73</v>
      </c>
      <c r="R247" s="3">
        <v>3633843.1099999989</v>
      </c>
      <c r="S247" s="3">
        <v>4068267.33</v>
      </c>
      <c r="T247" s="3">
        <f t="shared" si="31"/>
        <v>3722314.3899999992</v>
      </c>
      <c r="U247" s="12">
        <v>8.0103898203319019</v>
      </c>
      <c r="V247" s="12">
        <v>15.997057423222548</v>
      </c>
    </row>
    <row r="248" spans="1:22" x14ac:dyDescent="0.3">
      <c r="A248" s="3">
        <v>60303</v>
      </c>
      <c r="B248" s="3" t="s">
        <v>334</v>
      </c>
      <c r="C248" s="3" t="s">
        <v>327</v>
      </c>
      <c r="D248" s="3" t="s">
        <v>332</v>
      </c>
      <c r="E248" s="3">
        <v>55108535.090000004</v>
      </c>
      <c r="F248" s="3">
        <v>67143031.005790323</v>
      </c>
      <c r="G248" s="3">
        <v>83350428.170000002</v>
      </c>
      <c r="H248" s="3">
        <f t="shared" si="28"/>
        <v>68533998.088596776</v>
      </c>
      <c r="I248" s="3">
        <v>7417767.0000000009</v>
      </c>
      <c r="J248" s="3">
        <v>8175614.8300000001</v>
      </c>
      <c r="K248" s="3">
        <v>9998998.4600000009</v>
      </c>
      <c r="L248" s="3">
        <f t="shared" si="29"/>
        <v>8530793.4300000016</v>
      </c>
      <c r="M248" s="3">
        <v>61467551.069999918</v>
      </c>
      <c r="N248" s="3">
        <v>70598451.120000005</v>
      </c>
      <c r="O248" s="3">
        <v>74228973.239999995</v>
      </c>
      <c r="P248" s="3">
        <f t="shared" si="30"/>
        <v>68764991.809999973</v>
      </c>
      <c r="Q248" s="3">
        <v>16368976.699999999</v>
      </c>
      <c r="R248" s="3">
        <v>16368878.33</v>
      </c>
      <c r="S248" s="3">
        <v>21415062.48</v>
      </c>
      <c r="T248" s="3">
        <f t="shared" si="31"/>
        <v>18050972.503333334</v>
      </c>
      <c r="U248" s="12">
        <v>12.447535045265981</v>
      </c>
      <c r="V248" s="12">
        <v>26.250235807791253</v>
      </c>
    </row>
    <row r="249" spans="1:22" x14ac:dyDescent="0.3">
      <c r="A249" s="3">
        <v>60401</v>
      </c>
      <c r="B249" s="3" t="s">
        <v>335</v>
      </c>
      <c r="C249" s="3" t="s">
        <v>327</v>
      </c>
      <c r="D249" s="3" t="s">
        <v>336</v>
      </c>
      <c r="E249" s="3">
        <v>25603170.43</v>
      </c>
      <c r="F249" s="3">
        <v>31352128.047868598</v>
      </c>
      <c r="G249" s="3">
        <v>39375817.840000004</v>
      </c>
      <c r="H249" s="3">
        <f t="shared" si="28"/>
        <v>32110372.105956201</v>
      </c>
      <c r="I249" s="3">
        <v>223157.9</v>
      </c>
      <c r="J249" s="3">
        <v>298059.5</v>
      </c>
      <c r="K249" s="3">
        <v>845703.11999999988</v>
      </c>
      <c r="L249" s="3">
        <f t="shared" si="29"/>
        <v>455640.17333333334</v>
      </c>
      <c r="M249" s="3">
        <v>17411660.329999991</v>
      </c>
      <c r="N249" s="3">
        <v>23535907.16</v>
      </c>
      <c r="O249" s="3">
        <v>23432640.870000001</v>
      </c>
      <c r="P249" s="3">
        <f t="shared" si="30"/>
        <v>21460069.453333333</v>
      </c>
      <c r="Q249" s="3">
        <v>691376.12</v>
      </c>
      <c r="R249" s="3">
        <v>3430234.36</v>
      </c>
      <c r="S249" s="3">
        <v>3851835.94</v>
      </c>
      <c r="T249" s="3">
        <f t="shared" si="31"/>
        <v>2657815.4733333332</v>
      </c>
      <c r="U249" s="12">
        <v>1.418981293115616</v>
      </c>
      <c r="V249" s="12">
        <v>12.384934163950257</v>
      </c>
    </row>
    <row r="250" spans="1:22" x14ac:dyDescent="0.3">
      <c r="A250" s="3">
        <v>60402</v>
      </c>
      <c r="B250" s="3" t="s">
        <v>337</v>
      </c>
      <c r="C250" s="3" t="s">
        <v>327</v>
      </c>
      <c r="D250" s="3" t="s">
        <v>336</v>
      </c>
      <c r="E250" s="3">
        <v>11059108.970000001</v>
      </c>
      <c r="F250" s="3">
        <v>13345482.58470401</v>
      </c>
      <c r="G250" s="3">
        <v>16554849.800000001</v>
      </c>
      <c r="H250" s="3">
        <f t="shared" si="28"/>
        <v>13653147.11823467</v>
      </c>
      <c r="I250" s="3">
        <v>22704.68</v>
      </c>
      <c r="J250" s="3">
        <v>37420.15</v>
      </c>
      <c r="K250" s="3">
        <v>102783.85</v>
      </c>
      <c r="L250" s="3">
        <f t="shared" si="29"/>
        <v>54302.893333333333</v>
      </c>
      <c r="M250" s="3">
        <v>6318846.1599999964</v>
      </c>
      <c r="N250" s="3">
        <v>7572750.620000001</v>
      </c>
      <c r="O250" s="3">
        <v>7365435.8000000007</v>
      </c>
      <c r="P250" s="3">
        <f t="shared" si="30"/>
        <v>7085677.5266666664</v>
      </c>
      <c r="Q250" s="3">
        <v>108913.60000000001</v>
      </c>
      <c r="R250" s="3">
        <v>105407.5</v>
      </c>
      <c r="S250" s="3">
        <v>93040.610000000015</v>
      </c>
      <c r="T250" s="3">
        <f t="shared" si="31"/>
        <v>102453.90333333334</v>
      </c>
      <c r="U250" s="12">
        <v>0.39773169411474568</v>
      </c>
      <c r="V250" s="12">
        <v>1.4459295239975589</v>
      </c>
    </row>
    <row r="251" spans="1:22" x14ac:dyDescent="0.3">
      <c r="A251" s="3">
        <v>60501</v>
      </c>
      <c r="B251" s="3" t="s">
        <v>338</v>
      </c>
      <c r="C251" s="3" t="s">
        <v>327</v>
      </c>
      <c r="D251" s="3" t="s">
        <v>339</v>
      </c>
      <c r="E251" s="3">
        <v>44587023.280000001</v>
      </c>
      <c r="F251" s="3">
        <v>54496473.528388336</v>
      </c>
      <c r="G251" s="3">
        <v>68173362.769999996</v>
      </c>
      <c r="H251" s="3">
        <f t="shared" si="28"/>
        <v>55752286.526129447</v>
      </c>
      <c r="I251" s="3">
        <v>351517.84</v>
      </c>
      <c r="J251" s="3">
        <v>492253.47</v>
      </c>
      <c r="K251" s="3">
        <v>1205089.72</v>
      </c>
      <c r="L251" s="3">
        <f t="shared" si="29"/>
        <v>682953.67666666664</v>
      </c>
      <c r="M251" s="3">
        <v>31618779.129999969</v>
      </c>
      <c r="N251" s="3">
        <v>37814793.140000001</v>
      </c>
      <c r="O251" s="3">
        <v>38646836.710000001</v>
      </c>
      <c r="P251" s="3">
        <f t="shared" si="30"/>
        <v>36026802.993333317</v>
      </c>
      <c r="Q251" s="3">
        <v>4624572.25</v>
      </c>
      <c r="R251" s="3">
        <v>5355088.33</v>
      </c>
      <c r="S251" s="3">
        <v>7034497.8399999999</v>
      </c>
      <c r="T251" s="3">
        <f t="shared" si="31"/>
        <v>5671386.1400000006</v>
      </c>
      <c r="U251" s="12">
        <v>1.2249787752589958</v>
      </c>
      <c r="V251" s="12">
        <v>15.742129938783293</v>
      </c>
    </row>
    <row r="252" spans="1:22" x14ac:dyDescent="0.3">
      <c r="A252" s="3">
        <v>60502</v>
      </c>
      <c r="B252" s="3" t="s">
        <v>340</v>
      </c>
      <c r="C252" s="3" t="s">
        <v>327</v>
      </c>
      <c r="D252" s="3" t="s">
        <v>339</v>
      </c>
      <c r="E252" s="3">
        <v>22757926.170000002</v>
      </c>
      <c r="F252" s="3">
        <v>28345755.070548911</v>
      </c>
      <c r="G252" s="3">
        <v>33911755.090000004</v>
      </c>
      <c r="H252" s="3">
        <f t="shared" si="28"/>
        <v>28338478.776849639</v>
      </c>
      <c r="I252" s="3">
        <v>442360.11</v>
      </c>
      <c r="J252" s="3">
        <v>1226462.46</v>
      </c>
      <c r="K252" s="3">
        <v>320378.78000000003</v>
      </c>
      <c r="L252" s="3">
        <f t="shared" si="29"/>
        <v>663067.11666666658</v>
      </c>
      <c r="M252" s="3">
        <v>13652109.880000001</v>
      </c>
      <c r="N252" s="3">
        <v>16685635.82</v>
      </c>
      <c r="O252" s="3">
        <v>16438974.34</v>
      </c>
      <c r="P252" s="3">
        <f t="shared" si="30"/>
        <v>15592240.013333336</v>
      </c>
      <c r="Q252" s="3">
        <v>808585.23</v>
      </c>
      <c r="R252" s="3">
        <v>1241630.57</v>
      </c>
      <c r="S252" s="3">
        <v>1398145.59</v>
      </c>
      <c r="T252" s="3">
        <f t="shared" si="31"/>
        <v>1149453.7966666666</v>
      </c>
      <c r="U252" s="12">
        <v>2.339811963401301</v>
      </c>
      <c r="V252" s="12">
        <v>7.3719606399320323</v>
      </c>
    </row>
    <row r="253" spans="1:22" x14ac:dyDescent="0.3">
      <c r="A253" s="3">
        <v>60601</v>
      </c>
      <c r="B253" s="3" t="s">
        <v>341</v>
      </c>
      <c r="C253" s="3" t="s">
        <v>327</v>
      </c>
      <c r="D253" s="3" t="s">
        <v>342</v>
      </c>
      <c r="E253" s="3">
        <v>42221101.280000001</v>
      </c>
      <c r="F253" s="3">
        <v>50659523.719353437</v>
      </c>
      <c r="G253" s="3">
        <v>63283185.410000011</v>
      </c>
      <c r="H253" s="3">
        <f t="shared" si="28"/>
        <v>52054603.469784476</v>
      </c>
      <c r="I253" s="3">
        <v>1365920.36</v>
      </c>
      <c r="J253" s="3">
        <v>1198288.81</v>
      </c>
      <c r="K253" s="3">
        <v>2076203.81</v>
      </c>
      <c r="L253" s="3">
        <f t="shared" si="29"/>
        <v>1546804.3266666669</v>
      </c>
      <c r="M253" s="3">
        <v>26288432.329999991</v>
      </c>
      <c r="N253" s="3">
        <v>31820385.890000001</v>
      </c>
      <c r="O253" s="3">
        <v>30782457.07</v>
      </c>
      <c r="P253" s="3">
        <f t="shared" si="30"/>
        <v>29630425.096666664</v>
      </c>
      <c r="Q253" s="3">
        <v>1411906.4</v>
      </c>
      <c r="R253" s="3">
        <v>1907118.1</v>
      </c>
      <c r="S253" s="3">
        <v>1650081.62</v>
      </c>
      <c r="T253" s="3">
        <f t="shared" si="31"/>
        <v>1656368.7066666668</v>
      </c>
      <c r="U253" s="12">
        <v>2.9715034282501493</v>
      </c>
      <c r="V253" s="12">
        <v>5.590094307668247</v>
      </c>
    </row>
    <row r="254" spans="1:22" x14ac:dyDescent="0.3">
      <c r="A254" s="3">
        <v>70101</v>
      </c>
      <c r="B254" s="3" t="s">
        <v>343</v>
      </c>
      <c r="C254" s="3" t="s">
        <v>344</v>
      </c>
      <c r="D254" s="3" t="s">
        <v>345</v>
      </c>
      <c r="E254" s="3">
        <v>1785166624.3599999</v>
      </c>
      <c r="F254" s="3">
        <v>2072849970.6833279</v>
      </c>
      <c r="G254" s="3">
        <v>2441386664.8400002</v>
      </c>
      <c r="H254" s="3">
        <f t="shared" ref="H254:H285" si="32">AVERAGE(E254:G254)</f>
        <v>2099801086.6277759</v>
      </c>
      <c r="I254" s="3">
        <v>721087177.96999991</v>
      </c>
      <c r="J254" s="3">
        <v>782485676.65999997</v>
      </c>
      <c r="K254" s="3">
        <v>894038969.53000009</v>
      </c>
      <c r="L254" s="3">
        <f t="shared" ref="L254:L285" si="33">AVERAGE(I254:K254)</f>
        <v>799203941.38666666</v>
      </c>
      <c r="M254" s="3">
        <v>2254889460.4299998</v>
      </c>
      <c r="N254" s="3">
        <v>2492619737.2399998</v>
      </c>
      <c r="O254" s="3">
        <v>2699457577.02</v>
      </c>
      <c r="P254" s="3">
        <f t="shared" si="30"/>
        <v>2482322258.23</v>
      </c>
      <c r="Q254" s="3">
        <v>1031784908.6799999</v>
      </c>
      <c r="R254" s="3">
        <v>1069753847.36</v>
      </c>
      <c r="S254" s="3">
        <v>1315184295.9000001</v>
      </c>
      <c r="T254" s="3">
        <f t="shared" si="31"/>
        <v>1138907683.98</v>
      </c>
      <c r="U254" s="12">
        <v>38.060935698922165</v>
      </c>
      <c r="V254" s="12">
        <v>45.8807344696691</v>
      </c>
    </row>
    <row r="255" spans="1:22" x14ac:dyDescent="0.3">
      <c r="A255" s="3">
        <v>70102</v>
      </c>
      <c r="B255" s="3" t="s">
        <v>346</v>
      </c>
      <c r="C255" s="3" t="s">
        <v>344</v>
      </c>
      <c r="D255" s="3" t="s">
        <v>347</v>
      </c>
      <c r="E255" s="3">
        <v>49655760.369999997</v>
      </c>
      <c r="F255" s="3">
        <v>59152904.213428803</v>
      </c>
      <c r="G255" s="3">
        <v>69597090.110000014</v>
      </c>
      <c r="H255" s="3">
        <f t="shared" si="32"/>
        <v>59468584.897809602</v>
      </c>
      <c r="I255" s="3">
        <v>14434517.279999999</v>
      </c>
      <c r="J255" s="3">
        <v>16920976.59</v>
      </c>
      <c r="K255" s="3">
        <v>19075137.870000001</v>
      </c>
      <c r="L255" s="3">
        <f t="shared" si="33"/>
        <v>16810210.579999998</v>
      </c>
      <c r="M255" s="3">
        <v>82288755.759999961</v>
      </c>
      <c r="N255" s="3">
        <v>104325976.51000001</v>
      </c>
      <c r="O255" s="3">
        <v>105794416.19</v>
      </c>
      <c r="P255" s="3">
        <f t="shared" si="30"/>
        <v>97469716.153333321</v>
      </c>
      <c r="Q255" s="3">
        <v>44012550.549999997</v>
      </c>
      <c r="R255" s="3">
        <v>59798819.670000002</v>
      </c>
      <c r="S255" s="3">
        <v>60604843.57</v>
      </c>
      <c r="T255" s="3">
        <f t="shared" si="31"/>
        <v>54805404.596666664</v>
      </c>
      <c r="U255" s="12">
        <v>28.267379506148576</v>
      </c>
      <c r="V255" s="12">
        <v>56.22813604017292</v>
      </c>
    </row>
    <row r="256" spans="1:22" x14ac:dyDescent="0.3">
      <c r="A256" s="3">
        <v>70103</v>
      </c>
      <c r="B256" s="3" t="s">
        <v>348</v>
      </c>
      <c r="C256" s="3" t="s">
        <v>344</v>
      </c>
      <c r="D256" s="3" t="s">
        <v>347</v>
      </c>
      <c r="E256" s="3">
        <v>20531402.050000001</v>
      </c>
      <c r="F256" s="3">
        <v>27584622.74366691</v>
      </c>
      <c r="G256" s="3">
        <v>34976739.260000013</v>
      </c>
      <c r="H256" s="3">
        <f t="shared" si="32"/>
        <v>27697588.017888974</v>
      </c>
      <c r="I256" s="3">
        <v>9336201.2699999996</v>
      </c>
      <c r="J256" s="3">
        <v>14388916.34</v>
      </c>
      <c r="K256" s="3">
        <v>19248725.5</v>
      </c>
      <c r="L256" s="3">
        <f t="shared" si="33"/>
        <v>14324614.369999999</v>
      </c>
      <c r="M256" s="3">
        <v>71230118.439999998</v>
      </c>
      <c r="N256" s="3">
        <v>74680067.959999993</v>
      </c>
      <c r="O256" s="3">
        <v>78839622.299999997</v>
      </c>
      <c r="P256" s="3">
        <f t="shared" si="30"/>
        <v>74916602.899999991</v>
      </c>
      <c r="Q256" s="3">
        <v>58352501.799999997</v>
      </c>
      <c r="R256" s="3">
        <v>59697266.219999991</v>
      </c>
      <c r="S256" s="3">
        <v>64244123.499999993</v>
      </c>
      <c r="T256" s="3">
        <f t="shared" si="31"/>
        <v>60764630.50666666</v>
      </c>
      <c r="U256" s="12">
        <v>51.717912623829179</v>
      </c>
      <c r="V256" s="12">
        <v>81.109698190368249</v>
      </c>
    </row>
    <row r="257" spans="1:22" x14ac:dyDescent="0.3">
      <c r="A257" s="3">
        <v>70104</v>
      </c>
      <c r="B257" s="3" t="s">
        <v>349</v>
      </c>
      <c r="C257" s="3" t="s">
        <v>344</v>
      </c>
      <c r="D257" s="3" t="s">
        <v>345</v>
      </c>
      <c r="E257" s="3">
        <v>66251587.170000002</v>
      </c>
      <c r="F257" s="3">
        <v>74335837.715168312</v>
      </c>
      <c r="G257" s="3">
        <v>91071845.950000003</v>
      </c>
      <c r="H257" s="3">
        <f t="shared" si="32"/>
        <v>77219756.945056096</v>
      </c>
      <c r="I257" s="3">
        <v>28114580.510000002</v>
      </c>
      <c r="J257" s="3">
        <v>28556198.219999999</v>
      </c>
      <c r="K257" s="3">
        <v>36292639.82</v>
      </c>
      <c r="L257" s="3">
        <f t="shared" si="33"/>
        <v>30987806.183333337</v>
      </c>
      <c r="M257" s="3">
        <v>134925808.16999999</v>
      </c>
      <c r="N257" s="3">
        <v>144766176.03</v>
      </c>
      <c r="O257" s="3">
        <v>153189041.84999999</v>
      </c>
      <c r="P257" s="3">
        <f t="shared" si="30"/>
        <v>144293675.34999999</v>
      </c>
      <c r="Q257" s="3">
        <v>59850758.190000013</v>
      </c>
      <c r="R257" s="3">
        <v>57426998.630000003</v>
      </c>
      <c r="S257" s="3">
        <v>68107483.269999996</v>
      </c>
      <c r="T257" s="3">
        <f t="shared" si="31"/>
        <v>61795080.030000009</v>
      </c>
      <c r="U257" s="12">
        <v>40.129375446470242</v>
      </c>
      <c r="V257" s="12">
        <v>42.825910338834554</v>
      </c>
    </row>
    <row r="258" spans="1:22" x14ac:dyDescent="0.3">
      <c r="A258" s="3">
        <v>70105</v>
      </c>
      <c r="B258" s="3" t="s">
        <v>350</v>
      </c>
      <c r="C258" s="3" t="s">
        <v>344</v>
      </c>
      <c r="D258" s="3" t="s">
        <v>347</v>
      </c>
      <c r="E258" s="3">
        <v>41197265.880000003</v>
      </c>
      <c r="F258" s="3">
        <v>49356285.23557169</v>
      </c>
      <c r="G258" s="3">
        <v>57999109.049999997</v>
      </c>
      <c r="H258" s="3">
        <f t="shared" si="32"/>
        <v>49517553.388523899</v>
      </c>
      <c r="I258" s="3">
        <v>3510531.97</v>
      </c>
      <c r="J258" s="3">
        <v>4636449.62</v>
      </c>
      <c r="K258" s="3">
        <v>4620207.3900000006</v>
      </c>
      <c r="L258" s="3">
        <f t="shared" si="33"/>
        <v>4255729.66</v>
      </c>
      <c r="M258" s="3">
        <v>59977768.819999963</v>
      </c>
      <c r="N258" s="3">
        <v>67513349.25</v>
      </c>
      <c r="O258" s="3">
        <v>67850895.680000007</v>
      </c>
      <c r="P258" s="3">
        <f t="shared" si="30"/>
        <v>65114004.583333321</v>
      </c>
      <c r="Q258" s="3">
        <v>18226128.890000001</v>
      </c>
      <c r="R258" s="3">
        <v>18943188.600000001</v>
      </c>
      <c r="S258" s="3">
        <v>20536226.66</v>
      </c>
      <c r="T258" s="3">
        <f t="shared" si="31"/>
        <v>19235181.383333337</v>
      </c>
      <c r="U258" s="12">
        <v>8.5943859677572441</v>
      </c>
      <c r="V258" s="12">
        <v>29.540774686520823</v>
      </c>
    </row>
    <row r="259" spans="1:22" x14ac:dyDescent="0.3">
      <c r="A259" s="3">
        <v>70201</v>
      </c>
      <c r="B259" s="3" t="s">
        <v>351</v>
      </c>
      <c r="C259" s="3" t="s">
        <v>344</v>
      </c>
      <c r="D259" s="3" t="s">
        <v>352</v>
      </c>
      <c r="E259" s="3">
        <v>95149493.849999994</v>
      </c>
      <c r="F259" s="3">
        <v>106813926.6482144</v>
      </c>
      <c r="G259" s="3">
        <v>133044779.91</v>
      </c>
      <c r="H259" s="3">
        <f t="shared" si="32"/>
        <v>111669400.13607146</v>
      </c>
      <c r="I259" s="3">
        <v>51034756.869999997</v>
      </c>
      <c r="J259" s="3">
        <v>54058954.850000001</v>
      </c>
      <c r="K259" s="3">
        <v>69969957.25999999</v>
      </c>
      <c r="L259" s="3">
        <f t="shared" si="33"/>
        <v>58354556.326666661</v>
      </c>
      <c r="M259" s="3">
        <v>198460840.22999999</v>
      </c>
      <c r="N259" s="3">
        <v>215306760.86000001</v>
      </c>
      <c r="O259" s="3">
        <v>197654470.19</v>
      </c>
      <c r="P259" s="3">
        <f t="shared" si="30"/>
        <v>203807357.09333333</v>
      </c>
      <c r="Q259" s="3">
        <v>117393812.94</v>
      </c>
      <c r="R259" s="3">
        <v>121000663.44</v>
      </c>
      <c r="S259" s="3">
        <v>105786077.45999999</v>
      </c>
      <c r="T259" s="3">
        <f t="shared" si="31"/>
        <v>114726851.27999999</v>
      </c>
      <c r="U259" s="12">
        <v>52.256532457020846</v>
      </c>
      <c r="V259" s="12">
        <v>56.291810519607964</v>
      </c>
    </row>
    <row r="260" spans="1:22" x14ac:dyDescent="0.3">
      <c r="A260" s="3">
        <v>70202</v>
      </c>
      <c r="B260" s="3" t="s">
        <v>407</v>
      </c>
      <c r="C260" s="3" t="s">
        <v>344</v>
      </c>
      <c r="D260" s="3" t="s">
        <v>352</v>
      </c>
      <c r="E260" s="3">
        <v>13068077.07</v>
      </c>
      <c r="F260" s="3">
        <v>15614771.21595462</v>
      </c>
      <c r="G260" s="3">
        <v>17910933.640000001</v>
      </c>
      <c r="H260" s="3">
        <f t="shared" si="32"/>
        <v>15531260.641984874</v>
      </c>
      <c r="I260" s="3">
        <v>1445546.24</v>
      </c>
      <c r="J260" s="3">
        <v>1844824.21</v>
      </c>
      <c r="K260" s="3">
        <v>1480169.52</v>
      </c>
      <c r="L260" s="3">
        <f t="shared" si="33"/>
        <v>1590179.9900000002</v>
      </c>
      <c r="M260" s="3">
        <v>13720005.739999991</v>
      </c>
      <c r="N260" s="3">
        <v>16945335.600000001</v>
      </c>
      <c r="O260" s="3">
        <v>14146375.4</v>
      </c>
      <c r="P260" s="3">
        <f t="shared" si="30"/>
        <v>14937238.913333332</v>
      </c>
      <c r="Q260" s="3">
        <v>3224578.15</v>
      </c>
      <c r="R260" s="3">
        <v>4735802.3899999997</v>
      </c>
      <c r="S260" s="3">
        <v>2252459.65</v>
      </c>
      <c r="T260" s="3">
        <f t="shared" si="31"/>
        <v>3404280.063333333</v>
      </c>
      <c r="U260" s="12">
        <v>10.238576421165368</v>
      </c>
      <c r="V260" s="12">
        <v>22.790557766968515</v>
      </c>
    </row>
    <row r="261" spans="1:22" x14ac:dyDescent="0.3">
      <c r="A261" s="3">
        <v>70301</v>
      </c>
      <c r="B261" s="3" t="s">
        <v>353</v>
      </c>
      <c r="C261" s="3" t="s">
        <v>344</v>
      </c>
      <c r="D261" s="3" t="s">
        <v>354</v>
      </c>
      <c r="E261" s="3">
        <v>49165290.179999992</v>
      </c>
      <c r="F261" s="3">
        <v>55192973.544419192</v>
      </c>
      <c r="G261" s="3">
        <v>64915499.5</v>
      </c>
      <c r="H261" s="3">
        <f t="shared" si="32"/>
        <v>56424587.741473056</v>
      </c>
      <c r="I261" s="3">
        <v>7448114.5300000003</v>
      </c>
      <c r="J261" s="3">
        <v>5971845.959999999</v>
      </c>
      <c r="K261" s="3">
        <v>6236117.9699999997</v>
      </c>
      <c r="L261" s="3">
        <f t="shared" si="33"/>
        <v>6552026.1533333324</v>
      </c>
      <c r="M261" s="3">
        <v>58648108.559999958</v>
      </c>
      <c r="N261" s="3">
        <v>64991368.689999998</v>
      </c>
      <c r="O261" s="3">
        <v>62371411.089999989</v>
      </c>
      <c r="P261" s="3">
        <f t="shared" si="30"/>
        <v>62003629.44666665</v>
      </c>
      <c r="Q261" s="3">
        <v>14618937.039999999</v>
      </c>
      <c r="R261" s="3">
        <v>13770217.560000001</v>
      </c>
      <c r="S261" s="3">
        <v>12474276.24</v>
      </c>
      <c r="T261" s="3">
        <f t="shared" si="31"/>
        <v>13621143.613333335</v>
      </c>
      <c r="U261" s="12">
        <v>11.612005360771965</v>
      </c>
      <c r="V261" s="12">
        <v>21.968300460620238</v>
      </c>
    </row>
    <row r="262" spans="1:22" x14ac:dyDescent="0.3">
      <c r="A262" s="3">
        <v>70302</v>
      </c>
      <c r="B262" s="3" t="s">
        <v>355</v>
      </c>
      <c r="C262" s="3" t="s">
        <v>344</v>
      </c>
      <c r="D262" s="3" t="s">
        <v>354</v>
      </c>
      <c r="E262" s="3">
        <v>11407921.609999999</v>
      </c>
      <c r="F262" s="3">
        <v>13376013.49111546</v>
      </c>
      <c r="G262" s="3">
        <v>15910766.609999999</v>
      </c>
      <c r="H262" s="3">
        <f t="shared" si="32"/>
        <v>13564900.57037182</v>
      </c>
      <c r="I262" s="3">
        <v>922396.91</v>
      </c>
      <c r="J262" s="3">
        <v>1067404.0900000001</v>
      </c>
      <c r="K262" s="3">
        <v>1253159.3899999999</v>
      </c>
      <c r="L262" s="3">
        <f t="shared" si="33"/>
        <v>1080986.7966666666</v>
      </c>
      <c r="M262" s="3">
        <v>10939769.34999999</v>
      </c>
      <c r="N262" s="3">
        <v>11960377.880000001</v>
      </c>
      <c r="O262" s="3">
        <v>11842773.32</v>
      </c>
      <c r="P262" s="3">
        <f t="shared" si="30"/>
        <v>11580973.516666664</v>
      </c>
      <c r="Q262" s="3">
        <v>1415579.41</v>
      </c>
      <c r="R262" s="3">
        <v>880693.97000000009</v>
      </c>
      <c r="S262" s="3">
        <v>1049501.75</v>
      </c>
      <c r="T262" s="3">
        <f t="shared" si="31"/>
        <v>1115258.3766666667</v>
      </c>
      <c r="U262" s="12">
        <v>7.9689990432199407</v>
      </c>
      <c r="V262" s="12">
        <v>9.6300917626799833</v>
      </c>
    </row>
    <row r="263" spans="1:22" x14ac:dyDescent="0.3">
      <c r="A263" s="3">
        <v>70303</v>
      </c>
      <c r="B263" s="3" t="s">
        <v>356</v>
      </c>
      <c r="C263" s="3" t="s">
        <v>344</v>
      </c>
      <c r="D263" s="3" t="s">
        <v>354</v>
      </c>
      <c r="E263" s="3">
        <v>5396466.459999999</v>
      </c>
      <c r="F263" s="3">
        <v>6510267.6204375848</v>
      </c>
      <c r="G263" s="3">
        <v>7681064.0999999996</v>
      </c>
      <c r="H263" s="3">
        <f t="shared" si="32"/>
        <v>6529266.0601458615</v>
      </c>
      <c r="I263" s="3">
        <v>281146.53000000003</v>
      </c>
      <c r="J263" s="3">
        <v>503271.79</v>
      </c>
      <c r="K263" s="3">
        <v>526990.27</v>
      </c>
      <c r="L263" s="3">
        <f t="shared" si="33"/>
        <v>437136.19666666671</v>
      </c>
      <c r="M263" s="3">
        <v>6153244.2499999944</v>
      </c>
      <c r="N263" s="3">
        <v>8352899.2500000009</v>
      </c>
      <c r="O263" s="3">
        <v>8541880.0999999996</v>
      </c>
      <c r="P263" s="3">
        <f t="shared" si="30"/>
        <v>7682674.5333333313</v>
      </c>
      <c r="Q263" s="3">
        <v>991638.24</v>
      </c>
      <c r="R263" s="3">
        <v>2348247.5299999998</v>
      </c>
      <c r="S263" s="3">
        <v>2692458.02</v>
      </c>
      <c r="T263" s="3">
        <f t="shared" si="31"/>
        <v>2010781.263333333</v>
      </c>
      <c r="U263" s="12">
        <v>6.6950280879946442</v>
      </c>
      <c r="V263" s="12">
        <v>26.172933066590577</v>
      </c>
    </row>
    <row r="264" spans="1:22" x14ac:dyDescent="0.3">
      <c r="A264" s="3">
        <v>70401</v>
      </c>
      <c r="B264" s="3" t="s">
        <v>357</v>
      </c>
      <c r="C264" s="3" t="s">
        <v>344</v>
      </c>
      <c r="D264" s="3" t="s">
        <v>358</v>
      </c>
      <c r="E264" s="3">
        <v>14192786.310000001</v>
      </c>
      <c r="F264" s="3">
        <v>15794355.579514019</v>
      </c>
      <c r="G264" s="3">
        <v>19145518.690000001</v>
      </c>
      <c r="H264" s="3">
        <f t="shared" si="32"/>
        <v>16377553.526504675</v>
      </c>
      <c r="I264" s="3">
        <v>886352.6100000001</v>
      </c>
      <c r="J264" s="3">
        <v>65123.64</v>
      </c>
      <c r="K264" s="3">
        <v>386103.9</v>
      </c>
      <c r="L264" s="3">
        <f t="shared" si="33"/>
        <v>445860.05000000005</v>
      </c>
      <c r="M264" s="3">
        <v>13285164.460000001</v>
      </c>
      <c r="N264" s="3">
        <v>15187478.33</v>
      </c>
      <c r="O264" s="3">
        <v>15582865.609999999</v>
      </c>
      <c r="P264" s="3">
        <f t="shared" si="30"/>
        <v>14685169.466666667</v>
      </c>
      <c r="Q264" s="3">
        <v>2455899.85</v>
      </c>
      <c r="R264" s="3">
        <v>2589589.41</v>
      </c>
      <c r="S264" s="3">
        <v>3310632.85</v>
      </c>
      <c r="T264" s="3">
        <f t="shared" si="31"/>
        <v>2785374.0366666666</v>
      </c>
      <c r="U264" s="12">
        <v>2.7223849354449721</v>
      </c>
      <c r="V264" s="12">
        <v>18.967258382608975</v>
      </c>
    </row>
    <row r="265" spans="1:22" x14ac:dyDescent="0.3">
      <c r="A265" s="3">
        <v>70402</v>
      </c>
      <c r="B265" s="3" t="s">
        <v>359</v>
      </c>
      <c r="C265" s="3" t="s">
        <v>344</v>
      </c>
      <c r="D265" s="3" t="s">
        <v>358</v>
      </c>
      <c r="E265" s="3">
        <v>19429467.68</v>
      </c>
      <c r="F265" s="3">
        <v>21934232.34867822</v>
      </c>
      <c r="G265" s="3">
        <v>25438738.100000001</v>
      </c>
      <c r="H265" s="3">
        <f t="shared" si="32"/>
        <v>22267479.376226075</v>
      </c>
      <c r="I265" s="3">
        <v>3052098.37</v>
      </c>
      <c r="J265" s="3">
        <v>2498155.06</v>
      </c>
      <c r="K265" s="3">
        <v>2238613.7999999998</v>
      </c>
      <c r="L265" s="3">
        <f t="shared" si="33"/>
        <v>2596289.0766666667</v>
      </c>
      <c r="M265" s="3">
        <v>20333891.259999979</v>
      </c>
      <c r="N265" s="3">
        <v>23629257.300000001</v>
      </c>
      <c r="O265" s="3">
        <v>22964739.960000001</v>
      </c>
      <c r="P265" s="3">
        <f t="shared" si="30"/>
        <v>22309296.173333328</v>
      </c>
      <c r="Q265" s="3">
        <v>3438381.66</v>
      </c>
      <c r="R265" s="3">
        <v>3974452.45</v>
      </c>
      <c r="S265" s="3">
        <v>3818002.92</v>
      </c>
      <c r="T265" s="3">
        <f t="shared" si="31"/>
        <v>3743612.3433333337</v>
      </c>
      <c r="U265" s="12">
        <v>11.659555321913087</v>
      </c>
      <c r="V265" s="12">
        <v>16.780504029562959</v>
      </c>
    </row>
    <row r="266" spans="1:22" x14ac:dyDescent="0.3">
      <c r="A266" s="3">
        <v>70403</v>
      </c>
      <c r="B266" s="3" t="s">
        <v>360</v>
      </c>
      <c r="C266" s="3" t="s">
        <v>344</v>
      </c>
      <c r="D266" s="3" t="s">
        <v>358</v>
      </c>
      <c r="E266" s="3">
        <v>34700894.810000002</v>
      </c>
      <c r="F266" s="3">
        <v>40890630.240271121</v>
      </c>
      <c r="G266" s="3">
        <v>48049535.57</v>
      </c>
      <c r="H266" s="3">
        <f t="shared" si="32"/>
        <v>41213686.873423703</v>
      </c>
      <c r="I266" s="3">
        <v>3169982.79</v>
      </c>
      <c r="J266" s="3">
        <v>3578199.1</v>
      </c>
      <c r="K266" s="3">
        <v>3538786.44</v>
      </c>
      <c r="L266" s="3">
        <f t="shared" si="33"/>
        <v>3428989.4433333334</v>
      </c>
      <c r="M266" s="3">
        <v>60887064.619999938</v>
      </c>
      <c r="N266" s="3">
        <v>61192869.18</v>
      </c>
      <c r="O266" s="3">
        <v>61569577.449999988</v>
      </c>
      <c r="P266" s="3">
        <f t="shared" si="30"/>
        <v>61216503.749999978</v>
      </c>
      <c r="Q266" s="3">
        <v>18373569.890000001</v>
      </c>
      <c r="R266" s="3">
        <v>11736436.220000001</v>
      </c>
      <c r="S266" s="3">
        <v>13391544.880000001</v>
      </c>
      <c r="T266" s="3">
        <f t="shared" si="31"/>
        <v>14500516.996666668</v>
      </c>
      <c r="U266" s="12">
        <v>8.3200259512440944</v>
      </c>
      <c r="V266" s="12">
        <v>23.68726749878569</v>
      </c>
    </row>
    <row r="267" spans="1:22" x14ac:dyDescent="0.3">
      <c r="A267" s="3">
        <v>70404</v>
      </c>
      <c r="B267" s="3" t="s">
        <v>411</v>
      </c>
      <c r="C267" s="3" t="s">
        <v>344</v>
      </c>
      <c r="D267" s="3" t="s">
        <v>358</v>
      </c>
      <c r="E267" s="3">
        <v>10244385.98</v>
      </c>
      <c r="F267" s="3">
        <v>12121286.272511389</v>
      </c>
      <c r="G267" s="3">
        <v>14258135.67</v>
      </c>
      <c r="H267" s="3">
        <f t="shared" si="32"/>
        <v>12207935.974170463</v>
      </c>
      <c r="I267" s="3">
        <v>1209021.29</v>
      </c>
      <c r="J267" s="3">
        <v>1386143.39</v>
      </c>
      <c r="K267" s="3">
        <v>1440762.13</v>
      </c>
      <c r="L267" s="3">
        <f t="shared" si="33"/>
        <v>1345308.9366666665</v>
      </c>
      <c r="M267" s="3">
        <v>9484765.7499999944</v>
      </c>
      <c r="N267" s="3">
        <v>10542708.359999999</v>
      </c>
      <c r="O267" s="3">
        <v>10752932.82</v>
      </c>
      <c r="P267" s="3">
        <f t="shared" si="30"/>
        <v>10260135.643333331</v>
      </c>
      <c r="Q267" s="3">
        <v>1756735.82</v>
      </c>
      <c r="R267" s="3">
        <v>1552513.15</v>
      </c>
      <c r="S267" s="3">
        <v>1995139.92</v>
      </c>
      <c r="T267" s="3">
        <f t="shared" si="31"/>
        <v>1768129.63</v>
      </c>
      <c r="U267" s="12">
        <v>11.01995406523322</v>
      </c>
      <c r="V267" s="12">
        <v>17.233004430588277</v>
      </c>
    </row>
    <row r="268" spans="1:22" x14ac:dyDescent="0.3">
      <c r="A268" s="3">
        <v>70501</v>
      </c>
      <c r="B268" s="3" t="s">
        <v>361</v>
      </c>
      <c r="C268" s="3" t="s">
        <v>344</v>
      </c>
      <c r="D268" s="3" t="s">
        <v>362</v>
      </c>
      <c r="E268" s="3">
        <v>19685000.719999999</v>
      </c>
      <c r="F268" s="3">
        <v>27244105.200568549</v>
      </c>
      <c r="G268" s="3">
        <v>32889738.320000011</v>
      </c>
      <c r="H268" s="3">
        <f t="shared" si="32"/>
        <v>26606281.413522854</v>
      </c>
      <c r="I268" s="3">
        <v>3309912.61</v>
      </c>
      <c r="J268" s="3">
        <v>7764860.0899999999</v>
      </c>
      <c r="K268" s="3">
        <v>9626276.4299999997</v>
      </c>
      <c r="L268" s="3">
        <f t="shared" si="33"/>
        <v>6900349.71</v>
      </c>
      <c r="M268" s="3">
        <v>27940778.12999998</v>
      </c>
      <c r="N268" s="3">
        <v>32883140.620000001</v>
      </c>
      <c r="O268" s="3">
        <v>31760457.600000001</v>
      </c>
      <c r="P268" s="3">
        <f t="shared" si="30"/>
        <v>30861458.783333331</v>
      </c>
      <c r="Q268" s="3">
        <v>3620972.15</v>
      </c>
      <c r="R268" s="3">
        <v>4591586.1399999997</v>
      </c>
      <c r="S268" s="3">
        <v>4200219.43</v>
      </c>
      <c r="T268" s="3">
        <f t="shared" si="31"/>
        <v>4137592.5733333328</v>
      </c>
      <c r="U268" s="12">
        <v>25.935039935692938</v>
      </c>
      <c r="V268" s="12">
        <v>13.406989612454195</v>
      </c>
    </row>
    <row r="269" spans="1:22" x14ac:dyDescent="0.3">
      <c r="A269" s="3">
        <v>70502</v>
      </c>
      <c r="B269" s="3" t="s">
        <v>363</v>
      </c>
      <c r="C269" s="3" t="s">
        <v>344</v>
      </c>
      <c r="D269" s="3" t="s">
        <v>362</v>
      </c>
      <c r="E269" s="3">
        <v>32239346.670000002</v>
      </c>
      <c r="F269" s="3">
        <v>38464843.563189283</v>
      </c>
      <c r="G269" s="3">
        <v>46774626.270000003</v>
      </c>
      <c r="H269" s="3">
        <f t="shared" si="32"/>
        <v>39159605.501063101</v>
      </c>
      <c r="I269" s="3">
        <v>4206039.74</v>
      </c>
      <c r="J269" s="3">
        <v>5069431.08</v>
      </c>
      <c r="K269" s="3">
        <v>6879264.21</v>
      </c>
      <c r="L269" s="3">
        <f t="shared" si="33"/>
        <v>5384911.6766666668</v>
      </c>
      <c r="M269" s="3">
        <v>47428483.979999952</v>
      </c>
      <c r="N269" s="3">
        <v>54202726.200000003</v>
      </c>
      <c r="O269" s="3">
        <v>54845877.18</v>
      </c>
      <c r="P269" s="3">
        <f t="shared" si="30"/>
        <v>52159029.119999982</v>
      </c>
      <c r="Q269" s="3">
        <v>15587678.42</v>
      </c>
      <c r="R269" s="3">
        <v>17161926.399999999</v>
      </c>
      <c r="S269" s="3">
        <v>18762550.25</v>
      </c>
      <c r="T269" s="3">
        <f t="shared" si="31"/>
        <v>17170718.356666666</v>
      </c>
      <c r="U269" s="12">
        <v>13.751189798172193</v>
      </c>
      <c r="V269" s="12">
        <v>32.919934757916501</v>
      </c>
    </row>
    <row r="270" spans="1:22" x14ac:dyDescent="0.3">
      <c r="A270" s="3">
        <v>70503</v>
      </c>
      <c r="B270" s="3" t="s">
        <v>364</v>
      </c>
      <c r="C270" s="3" t="s">
        <v>344</v>
      </c>
      <c r="D270" s="3" t="s">
        <v>362</v>
      </c>
      <c r="E270" s="3">
        <v>16077235.33</v>
      </c>
      <c r="F270" s="3">
        <v>19106768.854847021</v>
      </c>
      <c r="G270" s="3">
        <v>22939319.27</v>
      </c>
      <c r="H270" s="3">
        <f t="shared" si="32"/>
        <v>19374441.151615676</v>
      </c>
      <c r="I270" s="3">
        <v>1156255.03</v>
      </c>
      <c r="J270" s="3">
        <v>1304179.56</v>
      </c>
      <c r="K270" s="3">
        <v>1664583.22</v>
      </c>
      <c r="L270" s="3">
        <f t="shared" si="33"/>
        <v>1375005.9366666665</v>
      </c>
      <c r="M270" s="3">
        <v>16654673.75999999</v>
      </c>
      <c r="N270" s="3">
        <v>19006564.899999999</v>
      </c>
      <c r="O270" s="3">
        <v>18214294.170000002</v>
      </c>
      <c r="P270" s="3">
        <f t="shared" si="30"/>
        <v>17958510.943333331</v>
      </c>
      <c r="Q270" s="3">
        <v>3502846.34</v>
      </c>
      <c r="R270" s="3">
        <v>3706818.2</v>
      </c>
      <c r="S270" s="3">
        <v>3310043.23</v>
      </c>
      <c r="T270" s="3">
        <f t="shared" si="31"/>
        <v>3506569.2566666664</v>
      </c>
      <c r="U270" s="12">
        <v>7.0970095390441852</v>
      </c>
      <c r="V270" s="12">
        <v>19.525946598419935</v>
      </c>
    </row>
    <row r="271" spans="1:22" x14ac:dyDescent="0.3">
      <c r="A271" s="3">
        <v>70601</v>
      </c>
      <c r="B271" s="3" t="s">
        <v>365</v>
      </c>
      <c r="C271" s="3" t="s">
        <v>344</v>
      </c>
      <c r="D271" s="3" t="s">
        <v>366</v>
      </c>
      <c r="E271" s="3">
        <v>18328388.190000001</v>
      </c>
      <c r="F271" s="3">
        <v>22640197.89750021</v>
      </c>
      <c r="G271" s="3">
        <v>26981630.16</v>
      </c>
      <c r="H271" s="3">
        <f t="shared" si="32"/>
        <v>22650072.08250007</v>
      </c>
      <c r="I271" s="3">
        <v>2373180.6800000002</v>
      </c>
      <c r="J271" s="3">
        <v>3552129.73</v>
      </c>
      <c r="K271" s="3">
        <v>4157486.52</v>
      </c>
      <c r="L271" s="3">
        <f t="shared" si="33"/>
        <v>3360932.31</v>
      </c>
      <c r="M271" s="3">
        <v>22668582.34999999</v>
      </c>
      <c r="N271" s="3">
        <v>25211716.699999999</v>
      </c>
      <c r="O271" s="3">
        <v>24031629.18</v>
      </c>
      <c r="P271" s="3">
        <f t="shared" si="30"/>
        <v>23970642.743333329</v>
      </c>
      <c r="Q271" s="3">
        <v>7629777.2699999986</v>
      </c>
      <c r="R271" s="3">
        <v>7716832.6499999994</v>
      </c>
      <c r="S271" s="3">
        <v>6988981.8900000006</v>
      </c>
      <c r="T271" s="3">
        <f t="shared" si="31"/>
        <v>7445197.2699999996</v>
      </c>
      <c r="U271" s="12">
        <v>14.838506022224662</v>
      </c>
      <c r="V271" s="12">
        <v>31.059648044150357</v>
      </c>
    </row>
    <row r="272" spans="1:22" x14ac:dyDescent="0.3">
      <c r="A272" s="3">
        <v>70602</v>
      </c>
      <c r="B272" s="3" t="s">
        <v>367</v>
      </c>
      <c r="C272" s="3" t="s">
        <v>344</v>
      </c>
      <c r="D272" s="3" t="s">
        <v>366</v>
      </c>
      <c r="E272" s="3">
        <v>17850485.899999999</v>
      </c>
      <c r="F272" s="3">
        <v>19223443.00643966</v>
      </c>
      <c r="G272" s="3">
        <v>22296091.140000001</v>
      </c>
      <c r="H272" s="3">
        <f t="shared" si="32"/>
        <v>19790006.682146553</v>
      </c>
      <c r="I272" s="3">
        <v>2463365.48</v>
      </c>
      <c r="J272" s="3">
        <v>1171585.08</v>
      </c>
      <c r="K272" s="3">
        <v>802015.2</v>
      </c>
      <c r="L272" s="3">
        <f t="shared" si="33"/>
        <v>1478988.5866666667</v>
      </c>
      <c r="M272" s="3">
        <v>18137945.45999999</v>
      </c>
      <c r="N272" s="3">
        <v>20504280.43</v>
      </c>
      <c r="O272" s="3">
        <v>21312669.539999999</v>
      </c>
      <c r="P272" s="3">
        <f t="shared" si="30"/>
        <v>19984965.143333327</v>
      </c>
      <c r="Q272" s="3">
        <v>1992610.55</v>
      </c>
      <c r="R272" s="3">
        <v>1706400.94</v>
      </c>
      <c r="S272" s="3">
        <v>3000707.4</v>
      </c>
      <c r="T272" s="3">
        <f t="shared" si="31"/>
        <v>2233239.6300000004</v>
      </c>
      <c r="U272" s="12">
        <v>7.4734112545850131</v>
      </c>
      <c r="V272" s="12">
        <v>11.174598574393682</v>
      </c>
    </row>
    <row r="273" spans="1:22" x14ac:dyDescent="0.3">
      <c r="A273" s="3">
        <v>70603</v>
      </c>
      <c r="B273" s="3" t="s">
        <v>415</v>
      </c>
      <c r="C273" s="3" t="s">
        <v>344</v>
      </c>
      <c r="D273" s="3" t="s">
        <v>366</v>
      </c>
      <c r="E273" s="3">
        <v>7243520.4900000002</v>
      </c>
      <c r="F273" s="3">
        <v>8399989.6225853562</v>
      </c>
      <c r="G273" s="3">
        <v>10535451.5</v>
      </c>
      <c r="H273" s="3">
        <f t="shared" si="32"/>
        <v>8726320.5375284534</v>
      </c>
      <c r="I273" s="3">
        <v>1269578.26</v>
      </c>
      <c r="J273" s="3">
        <v>1193429.03</v>
      </c>
      <c r="K273" s="3">
        <v>1903028.36</v>
      </c>
      <c r="L273" s="3">
        <f t="shared" si="33"/>
        <v>1455345.2166666668</v>
      </c>
      <c r="M273" s="3">
        <v>20675448.899999999</v>
      </c>
      <c r="N273" s="3">
        <v>19412830.41</v>
      </c>
      <c r="O273" s="3">
        <v>20448678.98</v>
      </c>
      <c r="P273" s="3">
        <f t="shared" si="30"/>
        <v>20178986.096666668</v>
      </c>
      <c r="Q273" s="3">
        <v>15572705.380000001</v>
      </c>
      <c r="R273" s="3">
        <v>13476654.050000001</v>
      </c>
      <c r="S273" s="3">
        <v>14665962.130000001</v>
      </c>
      <c r="T273" s="3">
        <f t="shared" si="31"/>
        <v>14571773.853333334</v>
      </c>
      <c r="U273" s="12">
        <v>16.677650223915141</v>
      </c>
      <c r="V273" s="12">
        <v>72.212616548362746</v>
      </c>
    </row>
    <row r="274" spans="1:22" x14ac:dyDescent="0.3">
      <c r="A274" s="3">
        <v>70701</v>
      </c>
      <c r="B274" s="3" t="s">
        <v>368</v>
      </c>
      <c r="C274" s="3" t="s">
        <v>344</v>
      </c>
      <c r="D274" s="3" t="s">
        <v>369</v>
      </c>
      <c r="E274" s="3">
        <v>5482399.0300000012</v>
      </c>
      <c r="F274" s="3">
        <v>6387187.9680738458</v>
      </c>
      <c r="G274" s="3">
        <v>7593651.6400000025</v>
      </c>
      <c r="H274" s="3">
        <f t="shared" si="32"/>
        <v>6487746.2126912819</v>
      </c>
      <c r="I274" s="3">
        <v>47650.64</v>
      </c>
      <c r="J274" s="3">
        <v>26818.76</v>
      </c>
      <c r="K274" s="3">
        <v>24426.95</v>
      </c>
      <c r="L274" s="3">
        <f t="shared" si="33"/>
        <v>32965.449999999997</v>
      </c>
      <c r="M274" s="3">
        <v>4511590.9799999967</v>
      </c>
      <c r="N274" s="3">
        <v>5626960.1999999993</v>
      </c>
      <c r="O274" s="3">
        <v>5257233.5699999994</v>
      </c>
      <c r="P274" s="3">
        <f t="shared" si="30"/>
        <v>5131928.2499999991</v>
      </c>
      <c r="Q274" s="3">
        <v>0</v>
      </c>
      <c r="R274" s="3">
        <v>378476.79999999999</v>
      </c>
      <c r="S274" s="3">
        <v>144433.79999999999</v>
      </c>
      <c r="T274" s="3">
        <f t="shared" si="31"/>
        <v>174303.53333333333</v>
      </c>
      <c r="U274" s="12">
        <v>0.50811867356206419</v>
      </c>
      <c r="V274" s="12">
        <v>3.3964530453700976</v>
      </c>
    </row>
    <row r="275" spans="1:22" x14ac:dyDescent="0.3">
      <c r="A275" s="3">
        <v>70702</v>
      </c>
      <c r="B275" s="3" t="s">
        <v>370</v>
      </c>
      <c r="C275" s="3" t="s">
        <v>344</v>
      </c>
      <c r="D275" s="3" t="s">
        <v>369</v>
      </c>
      <c r="E275" s="3">
        <v>25975992.289999999</v>
      </c>
      <c r="F275" s="3">
        <v>30664293.81806834</v>
      </c>
      <c r="G275" s="3">
        <v>36898339.669999987</v>
      </c>
      <c r="H275" s="3">
        <f t="shared" si="32"/>
        <v>31179541.926022779</v>
      </c>
      <c r="I275" s="3">
        <v>1297065.67</v>
      </c>
      <c r="J275" s="3">
        <v>1579241.55</v>
      </c>
      <c r="K275" s="3">
        <v>2232891.81</v>
      </c>
      <c r="L275" s="3">
        <f t="shared" si="33"/>
        <v>1703066.343333333</v>
      </c>
      <c r="M275" s="3">
        <v>33414180.329999998</v>
      </c>
      <c r="N275" s="3">
        <v>33414180.329999998</v>
      </c>
      <c r="O275" s="3">
        <v>33414180.329999998</v>
      </c>
      <c r="P275" s="3">
        <v>33414180.329999998</v>
      </c>
      <c r="Q275" s="3">
        <v>2395126.8099999987</v>
      </c>
      <c r="R275" s="3">
        <v>2395126.8099999987</v>
      </c>
      <c r="S275" s="3">
        <v>2395126.8099999987</v>
      </c>
      <c r="T275" s="3">
        <f>P275-31019053.52</f>
        <v>2395126.8099999987</v>
      </c>
      <c r="U275" s="12">
        <v>5.4621275302057457</v>
      </c>
      <c r="V275" s="12">
        <v>7.1679951037123013</v>
      </c>
    </row>
    <row r="276" spans="1:22" x14ac:dyDescent="0.3">
      <c r="A276" s="3">
        <v>70703</v>
      </c>
      <c r="B276" s="3" t="s">
        <v>371</v>
      </c>
      <c r="C276" s="3" t="s">
        <v>344</v>
      </c>
      <c r="D276" s="3" t="s">
        <v>369</v>
      </c>
      <c r="E276" s="3">
        <v>23776926.16</v>
      </c>
      <c r="F276" s="3">
        <v>28220303.46277855</v>
      </c>
      <c r="G276" s="3">
        <v>33132817.16</v>
      </c>
      <c r="H276" s="3">
        <f t="shared" si="32"/>
        <v>28376682.260926183</v>
      </c>
      <c r="I276" s="3">
        <v>1634525.4</v>
      </c>
      <c r="J276" s="3">
        <v>1949282.49</v>
      </c>
      <c r="K276" s="3">
        <v>1775848.74</v>
      </c>
      <c r="L276" s="3">
        <f t="shared" si="33"/>
        <v>1786552.21</v>
      </c>
      <c r="M276" s="3">
        <v>27528307.229999971</v>
      </c>
      <c r="N276" s="3">
        <v>32945149.739999998</v>
      </c>
      <c r="O276" s="3">
        <v>31209080.77</v>
      </c>
      <c r="P276" s="3">
        <f t="shared" ref="P276:P307" si="34">AVERAGE(M276:O276)</f>
        <v>30560845.913333323</v>
      </c>
      <c r="Q276" s="3">
        <v>5302220.63</v>
      </c>
      <c r="R276" s="3">
        <v>7087419.5900000008</v>
      </c>
      <c r="S276" s="3">
        <v>6019755.9300000006</v>
      </c>
      <c r="T276" s="3">
        <f t="shared" ref="T276:T307" si="35">AVERAGE(Q276:S276)</f>
        <v>6136465.3833333338</v>
      </c>
      <c r="U276" s="12">
        <v>6.2958459821782169</v>
      </c>
      <c r="V276" s="12">
        <v>20.079501073810491</v>
      </c>
    </row>
    <row r="277" spans="1:22" x14ac:dyDescent="0.3">
      <c r="A277" s="3">
        <v>70704</v>
      </c>
      <c r="B277" s="3" t="s">
        <v>372</v>
      </c>
      <c r="C277" s="3" t="s">
        <v>344</v>
      </c>
      <c r="D277" s="3" t="s">
        <v>369</v>
      </c>
      <c r="E277" s="3">
        <v>3532123.12</v>
      </c>
      <c r="F277" s="3">
        <v>4142895.3753157919</v>
      </c>
      <c r="G277" s="3">
        <v>5247944.79</v>
      </c>
      <c r="H277" s="3">
        <f t="shared" si="32"/>
        <v>4307654.4284385974</v>
      </c>
      <c r="I277" s="3">
        <v>68388.639999999999</v>
      </c>
      <c r="J277" s="3">
        <v>71325.89</v>
      </c>
      <c r="K277" s="3">
        <v>397810.27</v>
      </c>
      <c r="L277" s="3">
        <f t="shared" si="33"/>
        <v>179174.93333333335</v>
      </c>
      <c r="M277" s="3">
        <v>4440460.5199999977</v>
      </c>
      <c r="N277" s="3">
        <v>5171717.1999999993</v>
      </c>
      <c r="O277" s="3">
        <v>5094196.5</v>
      </c>
      <c r="P277" s="3">
        <f t="shared" si="34"/>
        <v>4902124.7399999993</v>
      </c>
      <c r="Q277" s="3">
        <v>192911.15</v>
      </c>
      <c r="R277" s="3">
        <v>230395.98</v>
      </c>
      <c r="S277" s="3">
        <v>280619.19</v>
      </c>
      <c r="T277" s="3">
        <f t="shared" si="35"/>
        <v>234642.10666666669</v>
      </c>
      <c r="U277" s="12">
        <v>4.1594546709792413</v>
      </c>
      <c r="V277" s="12">
        <v>4.7865388808255158</v>
      </c>
    </row>
    <row r="278" spans="1:22" x14ac:dyDescent="0.3">
      <c r="A278" s="3">
        <v>70705</v>
      </c>
      <c r="B278" s="3" t="s">
        <v>373</v>
      </c>
      <c r="C278" s="3" t="s">
        <v>344</v>
      </c>
      <c r="D278" s="3" t="s">
        <v>369</v>
      </c>
      <c r="E278" s="3">
        <v>12204710.189999999</v>
      </c>
      <c r="F278" s="3">
        <v>13975752.63464847</v>
      </c>
      <c r="G278" s="3">
        <v>16707898.550000001</v>
      </c>
      <c r="H278" s="3">
        <f t="shared" si="32"/>
        <v>14296120.458216155</v>
      </c>
      <c r="I278" s="3">
        <v>242980.32</v>
      </c>
      <c r="J278" s="3">
        <v>84877.45</v>
      </c>
      <c r="K278" s="3">
        <v>205321.31</v>
      </c>
      <c r="L278" s="3">
        <f t="shared" si="33"/>
        <v>177726.36000000002</v>
      </c>
      <c r="M278" s="3">
        <f>3601952.83+6801667.38</f>
        <v>10403620.210000001</v>
      </c>
      <c r="N278" s="3">
        <v>12153242.66</v>
      </c>
      <c r="O278" s="3">
        <v>11821491.199999999</v>
      </c>
      <c r="P278" s="3">
        <f t="shared" si="34"/>
        <v>11459451.356666667</v>
      </c>
      <c r="Q278" s="3">
        <f>13798.05+(6801667.38-6744310.1)</f>
        <v>71155.330000000264</v>
      </c>
      <c r="R278" s="3">
        <f>N278-12005084.52</f>
        <v>148158.1400000006</v>
      </c>
      <c r="S278" s="3">
        <f>O278-11724939.94</f>
        <v>96551.259999999776</v>
      </c>
      <c r="T278" s="3">
        <f t="shared" si="35"/>
        <v>105288.24333333354</v>
      </c>
      <c r="U278" s="12">
        <v>1.2431789485787279</v>
      </c>
      <c r="V278" s="12">
        <v>0.91878956554129354</v>
      </c>
    </row>
    <row r="279" spans="1:22" x14ac:dyDescent="0.3">
      <c r="A279" s="3">
        <v>70706</v>
      </c>
      <c r="B279" s="3" t="s">
        <v>374</v>
      </c>
      <c r="C279" s="3" t="s">
        <v>344</v>
      </c>
      <c r="D279" s="3" t="s">
        <v>369</v>
      </c>
      <c r="E279" s="3">
        <v>40047304.710000001</v>
      </c>
      <c r="F279" s="3">
        <v>47284521.725241147</v>
      </c>
      <c r="G279" s="3">
        <v>53438700.25</v>
      </c>
      <c r="H279" s="3">
        <f t="shared" si="32"/>
        <v>46923508.895080388</v>
      </c>
      <c r="I279" s="3">
        <v>10677041.960000001</v>
      </c>
      <c r="J279" s="3">
        <v>11826639.470000001</v>
      </c>
      <c r="K279" s="3">
        <v>10958965.189999999</v>
      </c>
      <c r="L279" s="3">
        <f t="shared" si="33"/>
        <v>11154215.539999999</v>
      </c>
      <c r="M279" s="3">
        <v>38952833.099999972</v>
      </c>
      <c r="N279" s="3">
        <v>44129862.570000008</v>
      </c>
      <c r="O279" s="3">
        <v>43034304.760000013</v>
      </c>
      <c r="P279" s="3">
        <f t="shared" si="34"/>
        <v>42039000.143333338</v>
      </c>
      <c r="Q279" s="3">
        <v>10499168.689999999</v>
      </c>
      <c r="R279" s="3">
        <v>11029354.140000001</v>
      </c>
      <c r="S279" s="3">
        <v>10789417.99</v>
      </c>
      <c r="T279" s="3">
        <f t="shared" si="35"/>
        <v>10772646.939999999</v>
      </c>
      <c r="U279" s="12">
        <v>23.771060184225576</v>
      </c>
      <c r="V279" s="12">
        <v>25.625364312353554</v>
      </c>
    </row>
    <row r="280" spans="1:22" x14ac:dyDescent="0.3">
      <c r="A280" s="3">
        <v>70707</v>
      </c>
      <c r="B280" s="3" t="s">
        <v>375</v>
      </c>
      <c r="C280" s="3" t="s">
        <v>344</v>
      </c>
      <c r="D280" s="3" t="s">
        <v>369</v>
      </c>
      <c r="E280" s="3">
        <v>4201111.1399999997</v>
      </c>
      <c r="F280" s="3">
        <v>5058021.8867977206</v>
      </c>
      <c r="G280" s="3">
        <v>6007013.21</v>
      </c>
      <c r="H280" s="3">
        <f t="shared" si="32"/>
        <v>5088715.412265907</v>
      </c>
      <c r="I280" s="3">
        <v>154059.34</v>
      </c>
      <c r="J280" s="3">
        <v>276976.5</v>
      </c>
      <c r="K280" s="3">
        <v>305574.3</v>
      </c>
      <c r="L280" s="3">
        <f t="shared" si="33"/>
        <v>245536.71333333329</v>
      </c>
      <c r="M280" s="3">
        <v>4580361.9799999967</v>
      </c>
      <c r="N280" s="3">
        <v>5518189.6099999994</v>
      </c>
      <c r="O280" s="3">
        <v>5234009.71</v>
      </c>
      <c r="P280" s="3">
        <f t="shared" si="34"/>
        <v>5110853.7666666657</v>
      </c>
      <c r="Q280" s="3">
        <v>303381.68</v>
      </c>
      <c r="R280" s="3">
        <v>542630.91</v>
      </c>
      <c r="S280" s="3">
        <v>387079.97</v>
      </c>
      <c r="T280" s="3">
        <f t="shared" si="35"/>
        <v>411030.85333333333</v>
      </c>
      <c r="U280" s="12">
        <v>4.8251217338955197</v>
      </c>
      <c r="V280" s="12">
        <v>8.0423129304560508</v>
      </c>
    </row>
    <row r="281" spans="1:22" x14ac:dyDescent="0.3">
      <c r="A281" s="3">
        <v>70801</v>
      </c>
      <c r="B281" s="3" t="s">
        <v>376</v>
      </c>
      <c r="C281" s="3" t="s">
        <v>344</v>
      </c>
      <c r="D281" s="3" t="s">
        <v>377</v>
      </c>
      <c r="E281" s="3">
        <v>19823048.609999999</v>
      </c>
      <c r="F281" s="3">
        <v>23666464.30302019</v>
      </c>
      <c r="G281" s="3">
        <v>28382775.850000001</v>
      </c>
      <c r="H281" s="3">
        <f t="shared" si="32"/>
        <v>23957429.587673396</v>
      </c>
      <c r="I281" s="3">
        <v>3334969.4899999988</v>
      </c>
      <c r="J281" s="3">
        <v>3995767.25</v>
      </c>
      <c r="K281" s="3">
        <v>4876019.7599999988</v>
      </c>
      <c r="L281" s="3">
        <f t="shared" si="33"/>
        <v>4068918.8333333321</v>
      </c>
      <c r="M281" s="3">
        <v>20055971.309999991</v>
      </c>
      <c r="N281" s="3">
        <v>22252909.550000001</v>
      </c>
      <c r="O281" s="3">
        <v>22625870.649999999</v>
      </c>
      <c r="P281" s="3">
        <f t="shared" si="34"/>
        <v>21644917.169999998</v>
      </c>
      <c r="Q281" s="3">
        <v>5586455.0300000012</v>
      </c>
      <c r="R281" s="3">
        <v>5420283.79</v>
      </c>
      <c r="S281" s="3">
        <v>6228363.2500000009</v>
      </c>
      <c r="T281" s="3">
        <f t="shared" si="35"/>
        <v>5745034.0233333334</v>
      </c>
      <c r="U281" s="12">
        <v>16.983954052511862</v>
      </c>
      <c r="V281" s="12">
        <v>26.542185300186734</v>
      </c>
    </row>
    <row r="282" spans="1:22" x14ac:dyDescent="0.3">
      <c r="A282" s="3">
        <v>70802</v>
      </c>
      <c r="B282" s="3" t="s">
        <v>378</v>
      </c>
      <c r="C282" s="3" t="s">
        <v>344</v>
      </c>
      <c r="D282" s="3" t="s">
        <v>377</v>
      </c>
      <c r="E282" s="3">
        <v>2206329.23</v>
      </c>
      <c r="F282" s="3">
        <v>2891426.1082346658</v>
      </c>
      <c r="G282" s="3">
        <v>3045317.7</v>
      </c>
      <c r="H282" s="3">
        <f t="shared" si="32"/>
        <v>2714357.6794115552</v>
      </c>
      <c r="I282" s="3">
        <v>82000</v>
      </c>
      <c r="J282" s="3">
        <v>374049.4</v>
      </c>
      <c r="K282" s="3">
        <v>41246.5</v>
      </c>
      <c r="L282" s="3">
        <f t="shared" si="33"/>
        <v>165765.30000000002</v>
      </c>
      <c r="M282" s="3">
        <v>1996046.8599999971</v>
      </c>
      <c r="N282" s="3">
        <v>2303241.15</v>
      </c>
      <c r="O282" s="3">
        <v>2118762.5</v>
      </c>
      <c r="P282" s="3">
        <f t="shared" si="34"/>
        <v>2139350.169999999</v>
      </c>
      <c r="Q282" s="3">
        <v>201399.88</v>
      </c>
      <c r="R282" s="3">
        <v>215410.48</v>
      </c>
      <c r="S282" s="3">
        <v>84909.1</v>
      </c>
      <c r="T282" s="3">
        <f t="shared" si="35"/>
        <v>167239.81999999998</v>
      </c>
      <c r="U282" s="12">
        <v>6.1069807143447736</v>
      </c>
      <c r="V282" s="12">
        <v>7.8173186580296976</v>
      </c>
    </row>
    <row r="283" spans="1:22" x14ac:dyDescent="0.3">
      <c r="A283" s="3">
        <v>70803</v>
      </c>
      <c r="B283" s="3" t="s">
        <v>379</v>
      </c>
      <c r="C283" s="3" t="s">
        <v>344</v>
      </c>
      <c r="D283" s="3" t="s">
        <v>377</v>
      </c>
      <c r="E283" s="3">
        <v>3634286.8900000011</v>
      </c>
      <c r="F283" s="3">
        <v>6132630.3968515452</v>
      </c>
      <c r="G283" s="3">
        <v>5333081.0899999989</v>
      </c>
      <c r="H283" s="3">
        <f t="shared" si="32"/>
        <v>5033332.7922838479</v>
      </c>
      <c r="I283" s="3">
        <v>200486.05</v>
      </c>
      <c r="J283" s="3">
        <v>2101131.0699999998</v>
      </c>
      <c r="K283" s="3">
        <v>531938.85</v>
      </c>
      <c r="L283" s="3">
        <f t="shared" si="33"/>
        <v>944518.65666666662</v>
      </c>
      <c r="M283" s="3">
        <v>2670128.1699999971</v>
      </c>
      <c r="N283" s="3">
        <v>3006331.97</v>
      </c>
      <c r="O283" s="3">
        <v>2935639.28</v>
      </c>
      <c r="P283" s="3">
        <f t="shared" si="34"/>
        <v>2870699.8066666652</v>
      </c>
      <c r="Q283" s="3">
        <v>344033.48</v>
      </c>
      <c r="R283" s="3">
        <v>300255.39</v>
      </c>
      <c r="S283" s="3">
        <v>299528.88</v>
      </c>
      <c r="T283" s="3">
        <f t="shared" si="35"/>
        <v>314605.91666666669</v>
      </c>
      <c r="U283" s="12">
        <v>18.765273341644001</v>
      </c>
      <c r="V283" s="12">
        <v>10.959206390582988</v>
      </c>
    </row>
    <row r="284" spans="1:22" x14ac:dyDescent="0.3">
      <c r="A284" s="3">
        <v>70804</v>
      </c>
      <c r="B284" s="3" t="s">
        <v>380</v>
      </c>
      <c r="C284" s="3" t="s">
        <v>344</v>
      </c>
      <c r="D284" s="3" t="s">
        <v>377</v>
      </c>
      <c r="E284" s="3">
        <v>2702238.49</v>
      </c>
      <c r="F284" s="3">
        <v>3127083.9224001612</v>
      </c>
      <c r="G284" s="3">
        <v>3693733.38</v>
      </c>
      <c r="H284" s="3">
        <f t="shared" si="32"/>
        <v>3174351.9308000542</v>
      </c>
      <c r="I284" s="3">
        <v>145972.79</v>
      </c>
      <c r="J284" s="3">
        <v>107822.31</v>
      </c>
      <c r="K284" s="3">
        <v>93343.16</v>
      </c>
      <c r="L284" s="3">
        <f t="shared" si="33"/>
        <v>115712.75333333334</v>
      </c>
      <c r="M284" s="3">
        <v>2017848.9299999981</v>
      </c>
      <c r="N284" s="3">
        <v>2395585.6</v>
      </c>
      <c r="O284" s="3">
        <v>2349440.41</v>
      </c>
      <c r="P284" s="3">
        <f t="shared" si="34"/>
        <v>2254291.646666666</v>
      </c>
      <c r="Q284" s="3">
        <v>8772.2900000000009</v>
      </c>
      <c r="R284" s="3">
        <v>58299.17</v>
      </c>
      <c r="S284" s="3">
        <v>72587.22</v>
      </c>
      <c r="T284" s="3">
        <f t="shared" si="35"/>
        <v>46552.893333333333</v>
      </c>
      <c r="U284" s="12">
        <v>3.6452402208651593</v>
      </c>
      <c r="V284" s="12">
        <v>2.065078553707516</v>
      </c>
    </row>
    <row r="285" spans="1:22" x14ac:dyDescent="0.3">
      <c r="A285" s="3">
        <v>70805</v>
      </c>
      <c r="B285" s="3" t="s">
        <v>381</v>
      </c>
      <c r="C285" s="3" t="s">
        <v>344</v>
      </c>
      <c r="D285" s="3" t="s">
        <v>377</v>
      </c>
      <c r="E285" s="3">
        <v>2655948.62</v>
      </c>
      <c r="F285" s="3">
        <v>3104101.148764302</v>
      </c>
      <c r="G285" s="3">
        <v>3700510.540000001</v>
      </c>
      <c r="H285" s="3">
        <f t="shared" si="32"/>
        <v>3153520.1029214342</v>
      </c>
      <c r="I285" s="3">
        <v>43778.15</v>
      </c>
      <c r="J285" s="3">
        <v>43131.05</v>
      </c>
      <c r="K285" s="3">
        <v>56676.639999999999</v>
      </c>
      <c r="L285" s="3">
        <f t="shared" si="33"/>
        <v>47861.946666666678</v>
      </c>
      <c r="M285" s="3">
        <v>1917109.349999998</v>
      </c>
      <c r="N285" s="3">
        <v>2092926.92</v>
      </c>
      <c r="O285" s="3">
        <v>2060195.99</v>
      </c>
      <c r="P285" s="3">
        <f t="shared" si="34"/>
        <v>2023410.7533333327</v>
      </c>
      <c r="Q285" s="3">
        <v>172083.34</v>
      </c>
      <c r="R285" s="3">
        <v>62803.6</v>
      </c>
      <c r="S285" s="3">
        <v>82566.070000000007</v>
      </c>
      <c r="T285" s="3">
        <f t="shared" si="35"/>
        <v>105817.67</v>
      </c>
      <c r="U285" s="12">
        <v>1.5177308247481021</v>
      </c>
      <c r="V285" s="12">
        <v>5.2296682631382563</v>
      </c>
    </row>
    <row r="286" spans="1:22" x14ac:dyDescent="0.3">
      <c r="A286" s="3">
        <v>70901</v>
      </c>
      <c r="B286" s="3" t="s">
        <v>382</v>
      </c>
      <c r="C286" s="3" t="s">
        <v>344</v>
      </c>
      <c r="D286" s="3" t="s">
        <v>383</v>
      </c>
      <c r="E286" s="3">
        <v>9876565.209999999</v>
      </c>
      <c r="F286" s="3">
        <v>13676444.74242137</v>
      </c>
      <c r="G286" s="3">
        <v>13879719.92</v>
      </c>
      <c r="H286" s="3">
        <f t="shared" ref="H286:H317" si="36">AVERAGE(E286:G286)</f>
        <v>12477576.624140456</v>
      </c>
      <c r="I286" s="3">
        <v>301213.59000000003</v>
      </c>
      <c r="J286" s="3">
        <v>2270932.2200000002</v>
      </c>
      <c r="K286" s="3">
        <v>254559.19</v>
      </c>
      <c r="L286" s="3">
        <f t="shared" ref="L286:L317" si="37">AVERAGE(I286:K286)</f>
        <v>942235</v>
      </c>
      <c r="M286" s="3">
        <v>13725781.779999999</v>
      </c>
      <c r="N286" s="3">
        <v>15199891.23</v>
      </c>
      <c r="O286" s="3">
        <v>16318173.49</v>
      </c>
      <c r="P286" s="3">
        <f t="shared" si="34"/>
        <v>15081282.166666666</v>
      </c>
      <c r="Q286" s="3">
        <v>4920560.45</v>
      </c>
      <c r="R286" s="3">
        <v>4956589.68</v>
      </c>
      <c r="S286" s="3">
        <v>6339665.29</v>
      </c>
      <c r="T286" s="3">
        <f t="shared" si="35"/>
        <v>5405605.1399999997</v>
      </c>
      <c r="U286" s="12">
        <v>7.5514262775758176</v>
      </c>
      <c r="V286" s="12">
        <v>35.843140392583557</v>
      </c>
    </row>
    <row r="287" spans="1:22" x14ac:dyDescent="0.3">
      <c r="A287" s="3">
        <v>70902</v>
      </c>
      <c r="B287" s="3" t="s">
        <v>384</v>
      </c>
      <c r="C287" s="3" t="s">
        <v>344</v>
      </c>
      <c r="D287" s="3" t="s">
        <v>383</v>
      </c>
      <c r="E287" s="3">
        <v>8276340.3499999996</v>
      </c>
      <c r="F287" s="3">
        <v>9884824.1065015625</v>
      </c>
      <c r="G287" s="3">
        <v>12381979.68</v>
      </c>
      <c r="H287" s="3">
        <f t="shared" si="36"/>
        <v>10181048.045500521</v>
      </c>
      <c r="I287" s="3">
        <v>351212.43</v>
      </c>
      <c r="J287" s="3">
        <v>503931.21</v>
      </c>
      <c r="K287" s="3">
        <v>1190564.3799999999</v>
      </c>
      <c r="L287" s="3">
        <f t="shared" si="37"/>
        <v>681902.67333333334</v>
      </c>
      <c r="M287" s="3">
        <v>9719965.5299999975</v>
      </c>
      <c r="N287" s="3">
        <v>10497849.699999999</v>
      </c>
      <c r="O287" s="3">
        <v>11257450.869999999</v>
      </c>
      <c r="P287" s="3">
        <f t="shared" si="34"/>
        <v>10491755.366666665</v>
      </c>
      <c r="Q287" s="3">
        <v>1986049.73</v>
      </c>
      <c r="R287" s="3">
        <v>1500807.4</v>
      </c>
      <c r="S287" s="3">
        <v>2492987.63</v>
      </c>
      <c r="T287" s="3">
        <f t="shared" si="35"/>
        <v>1993281.5866666667</v>
      </c>
      <c r="U287" s="12">
        <v>6.6977650069601413</v>
      </c>
      <c r="V287" s="12">
        <v>18.998551881980756</v>
      </c>
    </row>
    <row r="288" spans="1:22" x14ac:dyDescent="0.3">
      <c r="A288" s="3">
        <v>70903</v>
      </c>
      <c r="B288" s="3" t="s">
        <v>385</v>
      </c>
      <c r="C288" s="3" t="s">
        <v>344</v>
      </c>
      <c r="D288" s="3" t="s">
        <v>383</v>
      </c>
      <c r="E288" s="3">
        <v>8326161.6700000009</v>
      </c>
      <c r="F288" s="3">
        <v>10037660.24772119</v>
      </c>
      <c r="G288" s="3">
        <v>12109773.939999999</v>
      </c>
      <c r="H288" s="3">
        <f t="shared" si="36"/>
        <v>10157865.285907062</v>
      </c>
      <c r="I288" s="3">
        <v>663192.74</v>
      </c>
      <c r="J288" s="3">
        <v>931786.45</v>
      </c>
      <c r="K288" s="3">
        <v>1237335.71</v>
      </c>
      <c r="L288" s="3">
        <f t="shared" si="37"/>
        <v>944104.96666666667</v>
      </c>
      <c r="M288" s="3">
        <v>10423836.060000001</v>
      </c>
      <c r="N288" s="3">
        <v>12393765.02</v>
      </c>
      <c r="O288" s="3">
        <v>11995776.699999999</v>
      </c>
      <c r="P288" s="3">
        <f t="shared" si="34"/>
        <v>11604459.26</v>
      </c>
      <c r="Q288" s="3">
        <v>1866679.9</v>
      </c>
      <c r="R288" s="3">
        <v>2439040.3199999998</v>
      </c>
      <c r="S288" s="3">
        <v>2298385.7599999998</v>
      </c>
      <c r="T288" s="3">
        <f t="shared" si="35"/>
        <v>2201368.6599999997</v>
      </c>
      <c r="U288" s="12">
        <v>9.2943245464823221</v>
      </c>
      <c r="V288" s="12">
        <v>18.970023597635517</v>
      </c>
    </row>
    <row r="289" spans="1:22" x14ac:dyDescent="0.3">
      <c r="A289" s="3">
        <v>70904</v>
      </c>
      <c r="B289" s="3" t="s">
        <v>386</v>
      </c>
      <c r="C289" s="3" t="s">
        <v>344</v>
      </c>
      <c r="D289" s="3" t="s">
        <v>383</v>
      </c>
      <c r="E289" s="3">
        <v>2079331.56</v>
      </c>
      <c r="F289" s="3">
        <v>2443690.4506784561</v>
      </c>
      <c r="G289" s="3">
        <v>6548008.4699999997</v>
      </c>
      <c r="H289" s="3">
        <f t="shared" si="36"/>
        <v>3690343.4935594853</v>
      </c>
      <c r="I289" s="3">
        <v>36804</v>
      </c>
      <c r="J289" s="3">
        <v>33824.730000000003</v>
      </c>
      <c r="K289" s="3">
        <v>3674954.15</v>
      </c>
      <c r="L289" s="3">
        <f t="shared" si="37"/>
        <v>1248527.6266666667</v>
      </c>
      <c r="M289" s="3">
        <v>2684028.2199999942</v>
      </c>
      <c r="N289" s="3">
        <v>3081337.0700000012</v>
      </c>
      <c r="O289" s="3">
        <v>3121017.91</v>
      </c>
      <c r="P289" s="3">
        <f t="shared" si="34"/>
        <v>2962127.733333332</v>
      </c>
      <c r="Q289" s="3">
        <v>166208.06</v>
      </c>
      <c r="R289" s="3">
        <v>152232.95000000001</v>
      </c>
      <c r="S289" s="3">
        <v>267636.78000000003</v>
      </c>
      <c r="T289" s="3">
        <f t="shared" si="35"/>
        <v>195359.26333333334</v>
      </c>
      <c r="U289" s="12">
        <v>33.832287667682969</v>
      </c>
      <c r="V289" s="12">
        <v>6.5952342680878342</v>
      </c>
    </row>
    <row r="290" spans="1:22" x14ac:dyDescent="0.3">
      <c r="A290" s="3">
        <v>71001</v>
      </c>
      <c r="B290" s="3" t="s">
        <v>387</v>
      </c>
      <c r="C290" s="3" t="s">
        <v>344</v>
      </c>
      <c r="D290" s="3" t="s">
        <v>388</v>
      </c>
      <c r="E290" s="3">
        <v>113085071.23</v>
      </c>
      <c r="F290" s="3">
        <v>136288729.58204809</v>
      </c>
      <c r="G290" s="3">
        <v>163054529.72999999</v>
      </c>
      <c r="H290" s="3">
        <f t="shared" si="36"/>
        <v>137476110.18068269</v>
      </c>
      <c r="I290" s="3">
        <v>36978399.229999997</v>
      </c>
      <c r="J290" s="3">
        <v>44278470.020000003</v>
      </c>
      <c r="K290" s="3">
        <v>52790627.260000013</v>
      </c>
      <c r="L290" s="3">
        <f t="shared" si="37"/>
        <v>44682498.836666673</v>
      </c>
      <c r="M290" s="3">
        <v>155459286.03999999</v>
      </c>
      <c r="N290" s="3">
        <v>174478843.09</v>
      </c>
      <c r="O290" s="3">
        <v>177480555.62</v>
      </c>
      <c r="P290" s="3">
        <f t="shared" si="34"/>
        <v>169139561.58333334</v>
      </c>
      <c r="Q290" s="3">
        <v>63366392.82</v>
      </c>
      <c r="R290" s="3">
        <v>67346258.679999992</v>
      </c>
      <c r="S290" s="3">
        <v>73117223.480000004</v>
      </c>
      <c r="T290" s="3">
        <f t="shared" si="35"/>
        <v>67943291.660000011</v>
      </c>
      <c r="U290" s="12">
        <v>32.502009824064096</v>
      </c>
      <c r="V290" s="12">
        <v>40.169958479243803</v>
      </c>
    </row>
    <row r="291" spans="1:22" x14ac:dyDescent="0.3">
      <c r="A291" s="3">
        <v>71002</v>
      </c>
      <c r="B291" s="3" t="s">
        <v>389</v>
      </c>
      <c r="C291" s="3" t="s">
        <v>344</v>
      </c>
      <c r="D291" s="3" t="s">
        <v>388</v>
      </c>
      <c r="E291" s="3">
        <v>16894850.850000001</v>
      </c>
      <c r="F291" s="3">
        <v>20398929.749861009</v>
      </c>
      <c r="G291" s="3">
        <v>24577856.190000009</v>
      </c>
      <c r="H291" s="3">
        <f t="shared" si="36"/>
        <v>20623878.929953676</v>
      </c>
      <c r="I291" s="3">
        <v>429856.42</v>
      </c>
      <c r="J291" s="3">
        <v>858160.58</v>
      </c>
      <c r="K291" s="3">
        <v>1252546.8400000001</v>
      </c>
      <c r="L291" s="3">
        <f t="shared" si="37"/>
        <v>846854.61333333328</v>
      </c>
      <c r="M291" s="3">
        <v>15136203.45999999</v>
      </c>
      <c r="N291" s="3">
        <v>17565500.93</v>
      </c>
      <c r="O291" s="3">
        <v>17725723.16</v>
      </c>
      <c r="P291" s="3">
        <f t="shared" si="34"/>
        <v>16809142.516666662</v>
      </c>
      <c r="Q291" s="3">
        <v>3188982.61</v>
      </c>
      <c r="R291" s="3">
        <v>3666572.15</v>
      </c>
      <c r="S291" s="3">
        <v>4186080.65</v>
      </c>
      <c r="T291" s="3">
        <f t="shared" si="35"/>
        <v>3680545.1366666667</v>
      </c>
      <c r="U291" s="12">
        <v>4.1061849529352115</v>
      </c>
      <c r="V291" s="12">
        <v>21.896090969645353</v>
      </c>
    </row>
    <row r="292" spans="1:22" x14ac:dyDescent="0.3">
      <c r="A292" s="3">
        <v>71003</v>
      </c>
      <c r="B292" s="3" t="s">
        <v>390</v>
      </c>
      <c r="C292" s="3" t="s">
        <v>344</v>
      </c>
      <c r="D292" s="3" t="s">
        <v>388</v>
      </c>
      <c r="E292" s="3">
        <v>21570152.579999998</v>
      </c>
      <c r="F292" s="3">
        <v>25279048.282920521</v>
      </c>
      <c r="G292" s="3">
        <v>29840698.379999999</v>
      </c>
      <c r="H292" s="3">
        <f t="shared" si="36"/>
        <v>25563299.747640174</v>
      </c>
      <c r="I292" s="3">
        <v>2369385.71</v>
      </c>
      <c r="J292" s="3">
        <v>2347653.38</v>
      </c>
      <c r="K292" s="3">
        <v>2432379.71</v>
      </c>
      <c r="L292" s="3">
        <f t="shared" si="37"/>
        <v>2383139.6</v>
      </c>
      <c r="M292" s="3">
        <v>23999151.409999989</v>
      </c>
      <c r="N292" s="3">
        <v>27761230.809999999</v>
      </c>
      <c r="O292" s="3">
        <v>26342984.289999999</v>
      </c>
      <c r="P292" s="3">
        <f t="shared" si="34"/>
        <v>26034455.50333333</v>
      </c>
      <c r="Q292" s="3">
        <v>4448083.22</v>
      </c>
      <c r="R292" s="3">
        <v>5017190.9800000004</v>
      </c>
      <c r="S292" s="3">
        <v>4186865.01</v>
      </c>
      <c r="T292" s="3">
        <f t="shared" si="35"/>
        <v>4550713.0699999994</v>
      </c>
      <c r="U292" s="12">
        <v>9.3225038376354163</v>
      </c>
      <c r="V292" s="12">
        <v>17.479578435651735</v>
      </c>
    </row>
    <row r="293" spans="1:22" x14ac:dyDescent="0.3">
      <c r="A293" s="3">
        <v>71004</v>
      </c>
      <c r="B293" s="3" t="s">
        <v>412</v>
      </c>
      <c r="C293" s="3" t="s">
        <v>344</v>
      </c>
      <c r="D293" s="3" t="s">
        <v>388</v>
      </c>
      <c r="E293" s="3">
        <v>12637930.25</v>
      </c>
      <c r="F293" s="3">
        <v>17279903.336651068</v>
      </c>
      <c r="G293" s="3">
        <v>19764998.899999999</v>
      </c>
      <c r="H293" s="3">
        <f t="shared" si="36"/>
        <v>16560944.162217021</v>
      </c>
      <c r="I293" s="3">
        <v>1052698.3</v>
      </c>
      <c r="J293" s="3">
        <v>3588595.23</v>
      </c>
      <c r="K293" s="3">
        <v>3435664.84</v>
      </c>
      <c r="L293" s="3">
        <f t="shared" si="37"/>
        <v>2692319.4566666665</v>
      </c>
      <c r="M293" s="3">
        <v>15173181.739999991</v>
      </c>
      <c r="N293" s="3">
        <v>18899042.41</v>
      </c>
      <c r="O293" s="3">
        <v>18125639.059999999</v>
      </c>
      <c r="P293" s="3">
        <f t="shared" si="34"/>
        <v>17399287.736666664</v>
      </c>
      <c r="Q293" s="3">
        <v>2461985.27</v>
      </c>
      <c r="R293" s="3">
        <v>4111885.58</v>
      </c>
      <c r="S293" s="3">
        <v>3720728.07</v>
      </c>
      <c r="T293" s="3">
        <f t="shared" si="35"/>
        <v>3431532.9733333332</v>
      </c>
      <c r="U293" s="12">
        <v>16.257040844380484</v>
      </c>
      <c r="V293" s="12">
        <v>19.722261194070821</v>
      </c>
    </row>
    <row r="294" spans="1:22" x14ac:dyDescent="0.3">
      <c r="A294" s="3">
        <v>71005</v>
      </c>
      <c r="B294" s="3" t="s">
        <v>413</v>
      </c>
      <c r="C294" s="3" t="s">
        <v>344</v>
      </c>
      <c r="D294" s="3" t="s">
        <v>388</v>
      </c>
      <c r="E294" s="3">
        <v>17307893.260000002</v>
      </c>
      <c r="F294" s="3">
        <v>19068144.927829739</v>
      </c>
      <c r="G294" s="3">
        <v>23457438.550000001</v>
      </c>
      <c r="H294" s="3">
        <f t="shared" si="36"/>
        <v>19944492.245943248</v>
      </c>
      <c r="I294" s="3">
        <v>2644545.5099999998</v>
      </c>
      <c r="J294" s="3">
        <v>1726815.85</v>
      </c>
      <c r="K294" s="3">
        <v>2773285.540000001</v>
      </c>
      <c r="L294" s="3">
        <f t="shared" si="37"/>
        <v>2381548.9666666668</v>
      </c>
      <c r="M294" s="3">
        <v>20822658.25999999</v>
      </c>
      <c r="N294" s="3">
        <v>21978002.530000001</v>
      </c>
      <c r="O294" s="3">
        <v>26924171.539999999</v>
      </c>
      <c r="P294" s="3">
        <f t="shared" si="34"/>
        <v>23241610.77666666</v>
      </c>
      <c r="Q294" s="3">
        <v>4759639.18</v>
      </c>
      <c r="R294" s="3">
        <v>3291641</v>
      </c>
      <c r="S294" s="3">
        <v>8720844.7699999996</v>
      </c>
      <c r="T294" s="3">
        <f t="shared" si="35"/>
        <v>5590708.3166666664</v>
      </c>
      <c r="U294" s="12">
        <v>11.940885419888685</v>
      </c>
      <c r="V294" s="12">
        <v>24.054736869956706</v>
      </c>
    </row>
    <row r="295" spans="1:22" x14ac:dyDescent="0.3">
      <c r="A295" s="3">
        <v>71101</v>
      </c>
      <c r="B295" s="3" t="s">
        <v>391</v>
      </c>
      <c r="C295" s="3" t="s">
        <v>344</v>
      </c>
      <c r="D295" s="3" t="s">
        <v>392</v>
      </c>
      <c r="E295" s="3">
        <v>16606811.439999999</v>
      </c>
      <c r="F295" s="3">
        <v>19664851.988345269</v>
      </c>
      <c r="G295" s="3">
        <v>25536563.500000011</v>
      </c>
      <c r="H295" s="3">
        <f t="shared" si="36"/>
        <v>20602742.309448425</v>
      </c>
      <c r="I295" s="3">
        <v>1743032.79</v>
      </c>
      <c r="J295" s="3">
        <v>2235322.44</v>
      </c>
      <c r="K295" s="3">
        <v>4785655.1599999992</v>
      </c>
      <c r="L295" s="3">
        <f t="shared" si="37"/>
        <v>2921336.7966666664</v>
      </c>
      <c r="M295" s="3">
        <v>21492285.86999999</v>
      </c>
      <c r="N295" s="3">
        <v>23771189.199999999</v>
      </c>
      <c r="O295" s="3">
        <v>25045154.960000001</v>
      </c>
      <c r="P295" s="3">
        <f t="shared" si="34"/>
        <v>23436210.010000002</v>
      </c>
      <c r="Q295" s="3">
        <v>5684058.7799999993</v>
      </c>
      <c r="R295" s="3">
        <v>5381229.4800000004</v>
      </c>
      <c r="S295" s="3">
        <v>7130568.5799999991</v>
      </c>
      <c r="T295" s="3">
        <f t="shared" si="35"/>
        <v>6065285.6133333333</v>
      </c>
      <c r="U295" s="12">
        <v>14.179359003713502</v>
      </c>
      <c r="V295" s="12">
        <v>25.879976373079675</v>
      </c>
    </row>
    <row r="296" spans="1:22" x14ac:dyDescent="0.3">
      <c r="A296" s="3">
        <v>71102</v>
      </c>
      <c r="B296" s="3" t="s">
        <v>393</v>
      </c>
      <c r="C296" s="3" t="s">
        <v>344</v>
      </c>
      <c r="D296" s="3" t="s">
        <v>392</v>
      </c>
      <c r="E296" s="3">
        <v>12565794.17</v>
      </c>
      <c r="F296" s="3">
        <v>15207615.210257581</v>
      </c>
      <c r="G296" s="3">
        <v>18029577.289999999</v>
      </c>
      <c r="H296" s="3">
        <f t="shared" si="36"/>
        <v>15267662.223419195</v>
      </c>
      <c r="I296" s="3">
        <v>1001733.71</v>
      </c>
      <c r="J296" s="3">
        <v>1639229.38</v>
      </c>
      <c r="K296" s="3">
        <v>1873432.33</v>
      </c>
      <c r="L296" s="3">
        <f t="shared" si="37"/>
        <v>1504798.4733333334</v>
      </c>
      <c r="M296" s="3">
        <v>13616555.92999999</v>
      </c>
      <c r="N296" s="3">
        <v>16301626.42</v>
      </c>
      <c r="O296" s="3">
        <v>14955489.49</v>
      </c>
      <c r="P296" s="3">
        <f t="shared" si="34"/>
        <v>14957890.61333333</v>
      </c>
      <c r="Q296" s="3">
        <v>2164397.4</v>
      </c>
      <c r="R296" s="3">
        <v>2978872.88</v>
      </c>
      <c r="S296" s="3">
        <v>1977128.47</v>
      </c>
      <c r="T296" s="3">
        <f t="shared" si="35"/>
        <v>2373466.2499999995</v>
      </c>
      <c r="U296" s="12">
        <v>9.8561158303928842</v>
      </c>
      <c r="V296" s="12">
        <v>15.867653477050521</v>
      </c>
    </row>
    <row r="297" spans="1:22" x14ac:dyDescent="0.3">
      <c r="A297" s="3">
        <v>71103</v>
      </c>
      <c r="B297" s="3" t="s">
        <v>409</v>
      </c>
      <c r="C297" s="3" t="s">
        <v>344</v>
      </c>
      <c r="D297" s="3" t="s">
        <v>392</v>
      </c>
      <c r="E297" s="3">
        <v>6383799.7599999998</v>
      </c>
      <c r="F297" s="3">
        <v>7374372.7136635156</v>
      </c>
      <c r="G297" s="3">
        <v>9305885.7300000004</v>
      </c>
      <c r="H297" s="3">
        <f t="shared" si="36"/>
        <v>7688019.401221172</v>
      </c>
      <c r="I297" s="3">
        <v>687215.88</v>
      </c>
      <c r="J297" s="3">
        <v>650976.90999999992</v>
      </c>
      <c r="K297" s="3">
        <v>1289871.2</v>
      </c>
      <c r="L297" s="3">
        <f t="shared" si="37"/>
        <v>876021.33000000007</v>
      </c>
      <c r="M297" s="3">
        <v>8269788.2499999981</v>
      </c>
      <c r="N297" s="3">
        <v>10754809.880000001</v>
      </c>
      <c r="O297" s="3">
        <v>12361500.380000001</v>
      </c>
      <c r="P297" s="3">
        <f t="shared" si="34"/>
        <v>10462032.836666666</v>
      </c>
      <c r="Q297" s="3">
        <v>1972127.38</v>
      </c>
      <c r="R297" s="3">
        <v>3428575.67</v>
      </c>
      <c r="S297" s="3">
        <v>5224656.99</v>
      </c>
      <c r="T297" s="3">
        <f t="shared" si="35"/>
        <v>3541786.6799999997</v>
      </c>
      <c r="U297" s="12">
        <v>11.394629543479716</v>
      </c>
      <c r="V297" s="12">
        <v>33.853714046728776</v>
      </c>
    </row>
    <row r="298" spans="1:22" x14ac:dyDescent="0.3">
      <c r="A298" s="3">
        <v>71104</v>
      </c>
      <c r="B298" s="3" t="s">
        <v>394</v>
      </c>
      <c r="C298" s="3" t="s">
        <v>344</v>
      </c>
      <c r="D298" s="3" t="s">
        <v>392</v>
      </c>
      <c r="E298" s="3">
        <v>42707518.790000007</v>
      </c>
      <c r="F298" s="3">
        <v>52267007.362603687</v>
      </c>
      <c r="G298" s="3">
        <v>59804513.32</v>
      </c>
      <c r="H298" s="3">
        <f t="shared" si="36"/>
        <v>51593013.157534562</v>
      </c>
      <c r="I298" s="3">
        <v>4092336.48</v>
      </c>
      <c r="J298" s="3">
        <v>6847108.1000000006</v>
      </c>
      <c r="K298" s="3">
        <v>5693365.9400000004</v>
      </c>
      <c r="L298" s="3">
        <f t="shared" si="37"/>
        <v>5544270.1733333329</v>
      </c>
      <c r="M298" s="3">
        <v>52377967.699999951</v>
      </c>
      <c r="N298" s="3">
        <v>59293691.609999999</v>
      </c>
      <c r="O298" s="3">
        <v>58247564.770000003</v>
      </c>
      <c r="P298" s="3">
        <f t="shared" si="34"/>
        <v>56639741.359999985</v>
      </c>
      <c r="Q298" s="3">
        <v>12507988.9</v>
      </c>
      <c r="R298" s="3">
        <v>12910842.68</v>
      </c>
      <c r="S298" s="3">
        <v>13063668.16</v>
      </c>
      <c r="T298" s="3">
        <f t="shared" si="35"/>
        <v>12827499.913333332</v>
      </c>
      <c r="U298" s="12">
        <v>10.746164711110028</v>
      </c>
      <c r="V298" s="12">
        <v>22.647525580673548</v>
      </c>
    </row>
    <row r="299" spans="1:22" x14ac:dyDescent="0.3">
      <c r="A299" s="3">
        <v>71105</v>
      </c>
      <c r="B299" s="3" t="s">
        <v>408</v>
      </c>
      <c r="C299" s="3" t="s">
        <v>344</v>
      </c>
      <c r="D299" s="3" t="s">
        <v>392</v>
      </c>
      <c r="E299" s="3">
        <v>6556576.96</v>
      </c>
      <c r="F299" s="3">
        <v>7616886.5977944108</v>
      </c>
      <c r="G299" s="3">
        <v>9444562.7399999984</v>
      </c>
      <c r="H299" s="3">
        <f t="shared" si="36"/>
        <v>7872675.4325981364</v>
      </c>
      <c r="I299" s="3">
        <v>43207.649999999987</v>
      </c>
      <c r="J299" s="3">
        <v>11925.6</v>
      </c>
      <c r="K299" s="3">
        <v>398860.57</v>
      </c>
      <c r="L299" s="3">
        <f t="shared" si="37"/>
        <v>151331.27333333335</v>
      </c>
      <c r="M299" s="3">
        <v>5486445.9899999984</v>
      </c>
      <c r="N299" s="3">
        <v>6407094.29</v>
      </c>
      <c r="O299" s="3">
        <v>6457905.7300000014</v>
      </c>
      <c r="P299" s="3">
        <f t="shared" si="34"/>
        <v>6117148.669999999</v>
      </c>
      <c r="Q299" s="3">
        <v>37252.6</v>
      </c>
      <c r="R299" s="3">
        <v>67889.679999999993</v>
      </c>
      <c r="S299" s="3">
        <v>282578.40000000002</v>
      </c>
      <c r="T299" s="3">
        <f t="shared" si="35"/>
        <v>129240.22666666668</v>
      </c>
      <c r="U299" s="12">
        <v>1.9222343741839116</v>
      </c>
      <c r="V299" s="12">
        <v>2.1127527486865332</v>
      </c>
    </row>
    <row r="300" spans="1:22" x14ac:dyDescent="0.3">
      <c r="A300" s="3">
        <v>71106</v>
      </c>
      <c r="B300" s="3" t="s">
        <v>414</v>
      </c>
      <c r="C300" s="3" t="s">
        <v>344</v>
      </c>
      <c r="D300" s="3" t="s">
        <v>392</v>
      </c>
      <c r="E300" s="3">
        <v>24233149.550000001</v>
      </c>
      <c r="F300" s="3">
        <v>28072210.1723805</v>
      </c>
      <c r="G300" s="3">
        <v>30816945.399999999</v>
      </c>
      <c r="H300" s="3">
        <f t="shared" si="36"/>
        <v>27707435.040793497</v>
      </c>
      <c r="I300" s="3">
        <v>6732100.1699999999</v>
      </c>
      <c r="J300" s="3">
        <v>7330397.9100000001</v>
      </c>
      <c r="K300" s="3">
        <v>6065376.6500000004</v>
      </c>
      <c r="L300" s="3">
        <f t="shared" si="37"/>
        <v>6709291.5766666671</v>
      </c>
      <c r="M300" s="3">
        <v>32085407.64999998</v>
      </c>
      <c r="N300" s="3">
        <v>37348221.739999987</v>
      </c>
      <c r="O300" s="3">
        <v>34851602.700000003</v>
      </c>
      <c r="P300" s="3">
        <f t="shared" si="34"/>
        <v>34761744.029999994</v>
      </c>
      <c r="Q300" s="3">
        <v>12875744.34</v>
      </c>
      <c r="R300" s="3">
        <v>15001341.09</v>
      </c>
      <c r="S300" s="3">
        <v>13082376.470000001</v>
      </c>
      <c r="T300" s="3">
        <f t="shared" si="35"/>
        <v>13653153.966666667</v>
      </c>
      <c r="U300" s="12">
        <v>24.21476967026582</v>
      </c>
      <c r="V300" s="12">
        <v>39.276377948366907</v>
      </c>
    </row>
    <row r="301" spans="1:22" x14ac:dyDescent="0.3">
      <c r="A301" s="3">
        <v>71201</v>
      </c>
      <c r="B301" s="3" t="s">
        <v>395</v>
      </c>
      <c r="C301" s="3" t="s">
        <v>344</v>
      </c>
      <c r="D301" s="3" t="s">
        <v>396</v>
      </c>
      <c r="E301" s="3">
        <v>13721030.060000001</v>
      </c>
      <c r="F301" s="3">
        <v>16619908.60675952</v>
      </c>
      <c r="G301" s="3">
        <v>19333703.140000001</v>
      </c>
      <c r="H301" s="3">
        <f t="shared" si="36"/>
        <v>16558213.935586507</v>
      </c>
      <c r="I301" s="3">
        <v>573602.82000000007</v>
      </c>
      <c r="J301" s="3">
        <v>1097762.04</v>
      </c>
      <c r="K301" s="3">
        <v>826210.27</v>
      </c>
      <c r="L301" s="3">
        <f t="shared" si="37"/>
        <v>832525.04333333333</v>
      </c>
      <c r="M301" s="3">
        <v>13717750.419999991</v>
      </c>
      <c r="N301" s="3">
        <v>14748443.57</v>
      </c>
      <c r="O301" s="3">
        <v>14310735.98</v>
      </c>
      <c r="P301" s="3">
        <f t="shared" si="34"/>
        <v>14258976.656666664</v>
      </c>
      <c r="Q301" s="3">
        <v>1551449.48</v>
      </c>
      <c r="R301" s="3">
        <v>594198.23</v>
      </c>
      <c r="S301" s="3">
        <v>522376.4</v>
      </c>
      <c r="T301" s="3">
        <f t="shared" si="35"/>
        <v>889341.37</v>
      </c>
      <c r="U301" s="12">
        <v>5.0278674171740887</v>
      </c>
      <c r="V301" s="12">
        <v>6.2370630895464432</v>
      </c>
    </row>
    <row r="302" spans="1:22" x14ac:dyDescent="0.3">
      <c r="A302" s="3">
        <v>71301</v>
      </c>
      <c r="B302" s="3" t="s">
        <v>397</v>
      </c>
      <c r="C302" s="3" t="s">
        <v>344</v>
      </c>
      <c r="D302" s="3" t="s">
        <v>398</v>
      </c>
      <c r="E302" s="3">
        <v>16274817.470000001</v>
      </c>
      <c r="F302" s="3">
        <v>18937417.323174492</v>
      </c>
      <c r="G302" s="3">
        <v>22640576.780000001</v>
      </c>
      <c r="H302" s="3">
        <f t="shared" si="36"/>
        <v>19284270.524391498</v>
      </c>
      <c r="I302" s="3">
        <v>1442498.44</v>
      </c>
      <c r="J302" s="3">
        <v>1466733.76</v>
      </c>
      <c r="K302" s="3">
        <v>1820378.31</v>
      </c>
      <c r="L302" s="3">
        <f t="shared" si="37"/>
        <v>1576536.8366666667</v>
      </c>
      <c r="M302" s="3">
        <v>16275018.319999989</v>
      </c>
      <c r="N302" s="3">
        <v>18257207.390000001</v>
      </c>
      <c r="O302" s="3">
        <v>17705260.949999999</v>
      </c>
      <c r="P302" s="3">
        <f t="shared" si="34"/>
        <v>17412495.553333331</v>
      </c>
      <c r="Q302" s="3">
        <v>2890058.39</v>
      </c>
      <c r="R302" s="3">
        <v>2685514.41</v>
      </c>
      <c r="S302" s="3">
        <v>2536092.91</v>
      </c>
      <c r="T302" s="3">
        <f t="shared" si="35"/>
        <v>2703888.5700000003</v>
      </c>
      <c r="U302" s="12">
        <v>8.1752474622911002</v>
      </c>
      <c r="V302" s="12">
        <v>15.528437964094042</v>
      </c>
    </row>
    <row r="303" spans="1:22" x14ac:dyDescent="0.3">
      <c r="A303" s="3">
        <v>71302</v>
      </c>
      <c r="B303" s="3" t="s">
        <v>399</v>
      </c>
      <c r="C303" s="3" t="s">
        <v>344</v>
      </c>
      <c r="D303" s="3" t="s">
        <v>398</v>
      </c>
      <c r="E303" s="3">
        <v>6066761.2300000004</v>
      </c>
      <c r="F303" s="3">
        <v>7094249.5695965542</v>
      </c>
      <c r="G303" s="3">
        <v>8313054.7399999993</v>
      </c>
      <c r="H303" s="3">
        <f t="shared" si="36"/>
        <v>7158021.8465321846</v>
      </c>
      <c r="I303" s="3">
        <v>682128.52</v>
      </c>
      <c r="J303" s="3">
        <v>739073.65</v>
      </c>
      <c r="K303" s="3">
        <v>736055.47</v>
      </c>
      <c r="L303" s="3">
        <f t="shared" si="37"/>
        <v>719085.87999999989</v>
      </c>
      <c r="M303" s="3">
        <v>7377270.3499999959</v>
      </c>
      <c r="N303" s="3">
        <v>8902228.8900000006</v>
      </c>
      <c r="O303" s="3">
        <v>9189542.4499999993</v>
      </c>
      <c r="P303" s="3">
        <f t="shared" si="34"/>
        <v>8489680.5633333325</v>
      </c>
      <c r="Q303" s="3">
        <v>1163699.3799999999</v>
      </c>
      <c r="R303" s="3">
        <v>1673817.33</v>
      </c>
      <c r="S303" s="3">
        <v>2147992.87</v>
      </c>
      <c r="T303" s="3">
        <f t="shared" si="35"/>
        <v>1661836.5266666666</v>
      </c>
      <c r="U303" s="12">
        <v>10.045874340944799</v>
      </c>
      <c r="V303" s="12">
        <v>19.574782752652521</v>
      </c>
    </row>
    <row r="304" spans="1:22" x14ac:dyDescent="0.3">
      <c r="A304" s="3">
        <v>71401</v>
      </c>
      <c r="B304" s="3" t="s">
        <v>400</v>
      </c>
      <c r="C304" s="3" t="s">
        <v>344</v>
      </c>
      <c r="D304" s="3" t="s">
        <v>401</v>
      </c>
      <c r="E304" s="3">
        <v>17515441.190000001</v>
      </c>
      <c r="F304" s="3">
        <v>20002173.521124031</v>
      </c>
      <c r="G304" s="3">
        <v>25718138.530000001</v>
      </c>
      <c r="H304" s="3">
        <f t="shared" si="36"/>
        <v>21078584.413708013</v>
      </c>
      <c r="I304" s="3">
        <v>3066219.09</v>
      </c>
      <c r="J304" s="3">
        <v>2554170.36</v>
      </c>
      <c r="K304" s="3">
        <v>4813814.12</v>
      </c>
      <c r="L304" s="3">
        <f t="shared" si="37"/>
        <v>3478067.8566666669</v>
      </c>
      <c r="M304" s="3">
        <v>21403223.68999999</v>
      </c>
      <c r="N304" s="3">
        <v>25470990.870000001</v>
      </c>
      <c r="O304" s="3">
        <v>23832044.280000001</v>
      </c>
      <c r="P304" s="3">
        <f t="shared" si="34"/>
        <v>23568752.946666662</v>
      </c>
      <c r="Q304" s="3">
        <v>4730181.7200000007</v>
      </c>
      <c r="R304" s="3">
        <v>6074437.2300000004</v>
      </c>
      <c r="S304" s="3">
        <v>4936883.1500000004</v>
      </c>
      <c r="T304" s="3">
        <f t="shared" si="35"/>
        <v>5247167.3666666672</v>
      </c>
      <c r="U304" s="12">
        <v>16.500481191729264</v>
      </c>
      <c r="V304" s="12">
        <v>22.26323717058936</v>
      </c>
    </row>
    <row r="305" spans="1:22" x14ac:dyDescent="0.3">
      <c r="A305" s="3">
        <v>71402</v>
      </c>
      <c r="B305" s="3" t="s">
        <v>402</v>
      </c>
      <c r="C305" s="3" t="s">
        <v>344</v>
      </c>
      <c r="D305" s="3" t="s">
        <v>401</v>
      </c>
      <c r="E305" s="3">
        <v>16950746.050000001</v>
      </c>
      <c r="F305" s="3">
        <v>20634452.980090961</v>
      </c>
      <c r="G305" s="3">
        <v>24131232.5</v>
      </c>
      <c r="H305" s="3">
        <f t="shared" si="36"/>
        <v>20572143.843363654</v>
      </c>
      <c r="I305" s="3">
        <v>4800148.96</v>
      </c>
      <c r="J305" s="3">
        <v>5909739.9000000004</v>
      </c>
      <c r="K305" s="3">
        <v>6476386.1099999994</v>
      </c>
      <c r="L305" s="3">
        <f t="shared" si="37"/>
        <v>5728758.3233333332</v>
      </c>
      <c r="M305" s="3">
        <v>23689462.04999999</v>
      </c>
      <c r="N305" s="3">
        <v>26104665.829999998</v>
      </c>
      <c r="O305" s="3">
        <v>26585001.210000001</v>
      </c>
      <c r="P305" s="3">
        <f t="shared" si="34"/>
        <v>25459709.696666662</v>
      </c>
      <c r="Q305" s="3">
        <v>9681599.4200000018</v>
      </c>
      <c r="R305" s="3">
        <v>9809085.9399999995</v>
      </c>
      <c r="S305" s="3">
        <v>10710657.869999999</v>
      </c>
      <c r="T305" s="3">
        <f t="shared" si="35"/>
        <v>10067114.409999998</v>
      </c>
      <c r="U305" s="12">
        <v>27.847162488032904</v>
      </c>
      <c r="V305" s="12">
        <v>39.541355851822793</v>
      </c>
    </row>
    <row r="306" spans="1:22" x14ac:dyDescent="0.3">
      <c r="A306" s="3">
        <v>71403</v>
      </c>
      <c r="B306" s="3" t="s">
        <v>410</v>
      </c>
      <c r="C306" s="3" t="s">
        <v>344</v>
      </c>
      <c r="D306" s="3" t="s">
        <v>401</v>
      </c>
      <c r="E306" s="3">
        <v>6042319.4100000001</v>
      </c>
      <c r="F306" s="3">
        <v>6523413.2484993031</v>
      </c>
      <c r="G306" s="3">
        <v>8780744.4200000018</v>
      </c>
      <c r="H306" s="3">
        <f t="shared" si="36"/>
        <v>7115492.3594997684</v>
      </c>
      <c r="I306" s="3">
        <v>1109058.44</v>
      </c>
      <c r="J306" s="3">
        <v>704467.4800000001</v>
      </c>
      <c r="K306" s="3">
        <v>1843965.67</v>
      </c>
      <c r="L306" s="3">
        <f t="shared" si="37"/>
        <v>1219163.8633333333</v>
      </c>
      <c r="M306" s="3">
        <v>7376049.5799999936</v>
      </c>
      <c r="N306" s="3">
        <v>7681913.0100000007</v>
      </c>
      <c r="O306" s="3">
        <v>8820618.3699999992</v>
      </c>
      <c r="P306" s="3">
        <f t="shared" si="34"/>
        <v>7959526.9866666645</v>
      </c>
      <c r="Q306" s="3">
        <v>2043741.06</v>
      </c>
      <c r="R306" s="3">
        <v>1478681.79</v>
      </c>
      <c r="S306" s="3">
        <v>2777749.55</v>
      </c>
      <c r="T306" s="3">
        <f t="shared" si="35"/>
        <v>2100057.4666666668</v>
      </c>
      <c r="U306" s="12">
        <v>17.133935386855544</v>
      </c>
      <c r="V306" s="12">
        <v>26.384199339791934</v>
      </c>
    </row>
    <row r="307" spans="1:22" x14ac:dyDescent="0.3">
      <c r="A307" s="3">
        <v>71501</v>
      </c>
      <c r="B307" s="3" t="s">
        <v>403</v>
      </c>
      <c r="C307" s="3" t="s">
        <v>344</v>
      </c>
      <c r="D307" s="3" t="s">
        <v>404</v>
      </c>
      <c r="E307" s="3">
        <v>18887617.600000001</v>
      </c>
      <c r="F307" s="3">
        <v>21728029.706574529</v>
      </c>
      <c r="G307" s="3">
        <v>26197664</v>
      </c>
      <c r="H307" s="3">
        <f t="shared" si="36"/>
        <v>22271103.768858176</v>
      </c>
      <c r="I307" s="3">
        <v>1505144.17</v>
      </c>
      <c r="J307" s="3">
        <v>1344320.03</v>
      </c>
      <c r="K307" s="3">
        <v>1929507</v>
      </c>
      <c r="L307" s="3">
        <f t="shared" si="37"/>
        <v>1592990.4000000001</v>
      </c>
      <c r="M307" s="3">
        <v>25894361.14999998</v>
      </c>
      <c r="N307" s="3">
        <v>29288398.449999999</v>
      </c>
      <c r="O307" s="3">
        <v>28905679.600000001</v>
      </c>
      <c r="P307" s="3">
        <f t="shared" si="34"/>
        <v>28029479.733333331</v>
      </c>
      <c r="Q307" s="3">
        <v>3131900.18</v>
      </c>
      <c r="R307" s="3">
        <v>2808516.94</v>
      </c>
      <c r="S307" s="3">
        <v>3110285.37</v>
      </c>
      <c r="T307" s="3">
        <f t="shared" si="35"/>
        <v>3016900.83</v>
      </c>
      <c r="U307" s="12">
        <v>7.1527231722905826</v>
      </c>
      <c r="V307" s="12">
        <v>10.763313692234641</v>
      </c>
    </row>
    <row r="308" spans="1:22" x14ac:dyDescent="0.3">
      <c r="A308" s="3">
        <v>71502</v>
      </c>
      <c r="B308" s="3" t="s">
        <v>405</v>
      </c>
      <c r="C308" s="3" t="s">
        <v>344</v>
      </c>
      <c r="D308" s="3" t="s">
        <v>404</v>
      </c>
      <c r="E308" s="3">
        <v>6383498.7200000007</v>
      </c>
      <c r="F308" s="3">
        <v>7339859.7043366972</v>
      </c>
      <c r="G308" s="3">
        <v>9454002.2799999993</v>
      </c>
      <c r="H308" s="3">
        <f t="shared" si="36"/>
        <v>7725786.9014455648</v>
      </c>
      <c r="I308" s="3">
        <v>188820.06</v>
      </c>
      <c r="J308" s="3">
        <v>118605.36</v>
      </c>
      <c r="K308" s="3">
        <v>867730.17</v>
      </c>
      <c r="L308" s="3">
        <f t="shared" si="37"/>
        <v>391718.53</v>
      </c>
      <c r="M308" s="3">
        <v>6018430.139999995</v>
      </c>
      <c r="N308" s="3">
        <v>7426554.1100000003</v>
      </c>
      <c r="O308" s="3">
        <v>6782976.8100000015</v>
      </c>
      <c r="P308" s="3">
        <f t="shared" ref="P308:P328" si="38">AVERAGE(M308:O308)</f>
        <v>6742653.6866666665</v>
      </c>
      <c r="Q308" s="3">
        <v>110947.05</v>
      </c>
      <c r="R308" s="3">
        <v>554216.92999999993</v>
      </c>
      <c r="S308" s="3">
        <v>88298</v>
      </c>
      <c r="T308" s="3">
        <f t="shared" ref="T308:T328" si="39">AVERAGE(Q308:S308)</f>
        <v>251153.99333333332</v>
      </c>
      <c r="U308" s="12">
        <v>5.0702735526746912</v>
      </c>
      <c r="V308" s="12">
        <v>3.7248538187565603</v>
      </c>
    </row>
    <row r="309" spans="1:22" x14ac:dyDescent="0.3">
      <c r="A309" s="3">
        <v>71503</v>
      </c>
      <c r="B309" s="3" t="s">
        <v>406</v>
      </c>
      <c r="C309" s="3" t="s">
        <v>344</v>
      </c>
      <c r="D309" s="3" t="s">
        <v>404</v>
      </c>
      <c r="E309" s="3">
        <v>9337440.209999999</v>
      </c>
      <c r="F309" s="3">
        <v>11699932.70044134</v>
      </c>
      <c r="G309" s="3">
        <v>12910437.98</v>
      </c>
      <c r="H309" s="3">
        <f t="shared" si="36"/>
        <v>11315936.963480448</v>
      </c>
      <c r="I309" s="3">
        <v>489680.68</v>
      </c>
      <c r="J309" s="3">
        <v>1330178.32</v>
      </c>
      <c r="K309" s="3">
        <v>565967.41</v>
      </c>
      <c r="L309" s="3">
        <f t="shared" si="37"/>
        <v>795275.47000000009</v>
      </c>
      <c r="M309" s="3">
        <v>14656351.6</v>
      </c>
      <c r="N309" s="3">
        <v>15824138.51</v>
      </c>
      <c r="O309" s="3">
        <v>16151512.65</v>
      </c>
      <c r="P309" s="3">
        <f t="shared" si="38"/>
        <v>15544000.92</v>
      </c>
      <c r="Q309" s="3">
        <v>2712055.21</v>
      </c>
      <c r="R309" s="3">
        <v>1929123</v>
      </c>
      <c r="S309" s="3">
        <v>2615682.9</v>
      </c>
      <c r="T309" s="3">
        <f t="shared" si="39"/>
        <v>2418953.7033333331</v>
      </c>
      <c r="U309" s="12">
        <v>7.0279241795581449</v>
      </c>
      <c r="V309" s="12">
        <v>15.561976068985803</v>
      </c>
    </row>
    <row r="310" spans="1:22" x14ac:dyDescent="0.3">
      <c r="A310" s="3">
        <v>80101</v>
      </c>
      <c r="B310" s="3" t="s">
        <v>416</v>
      </c>
      <c r="C310" s="3" t="s">
        <v>417</v>
      </c>
      <c r="D310" s="3" t="s">
        <v>154</v>
      </c>
      <c r="E310" s="3">
        <v>170085780.80199999</v>
      </c>
      <c r="F310" s="3">
        <v>202086009.04117221</v>
      </c>
      <c r="G310" s="3">
        <v>245800170.13</v>
      </c>
      <c r="H310" s="3">
        <f t="shared" si="36"/>
        <v>205990653.32439074</v>
      </c>
      <c r="I310" s="3">
        <v>32105497.75999999</v>
      </c>
      <c r="J310" s="3">
        <v>29030437.670000002</v>
      </c>
      <c r="K310" s="3">
        <v>32225801.050000001</v>
      </c>
      <c r="L310" s="3">
        <f t="shared" si="37"/>
        <v>31120578.826666664</v>
      </c>
      <c r="M310" s="3">
        <v>180204155.2299999</v>
      </c>
      <c r="N310" s="3">
        <v>209887127.44999999</v>
      </c>
      <c r="O310" s="3">
        <v>200143657.03999999</v>
      </c>
      <c r="P310" s="3">
        <f t="shared" si="38"/>
        <v>196744979.90666664</v>
      </c>
      <c r="Q310" s="3">
        <v>53202732.909999996</v>
      </c>
      <c r="R310" s="3">
        <v>56395764.209999993</v>
      </c>
      <c r="S310" s="3">
        <v>59869585.760000013</v>
      </c>
      <c r="T310" s="3">
        <f t="shared" si="39"/>
        <v>56489360.960000001</v>
      </c>
      <c r="U310" s="12">
        <v>15.107762572925328</v>
      </c>
      <c r="V310" s="12">
        <v>28.711970687535636</v>
      </c>
    </row>
    <row r="311" spans="1:22" x14ac:dyDescent="0.3">
      <c r="A311" s="3">
        <v>80102</v>
      </c>
      <c r="B311" s="3" t="s">
        <v>418</v>
      </c>
      <c r="C311" s="3" t="s">
        <v>417</v>
      </c>
      <c r="D311" s="3" t="s">
        <v>154</v>
      </c>
      <c r="E311" s="3">
        <v>5024705.2699999996</v>
      </c>
      <c r="F311" s="3">
        <v>6210985.0228623971</v>
      </c>
      <c r="G311" s="3">
        <v>7534514.209999999</v>
      </c>
      <c r="H311" s="3">
        <f t="shared" si="36"/>
        <v>6256734.8342874646</v>
      </c>
      <c r="I311" s="3">
        <v>211173.76000000001</v>
      </c>
      <c r="J311" s="3">
        <v>265195.7</v>
      </c>
      <c r="K311" s="3">
        <v>222250.41</v>
      </c>
      <c r="L311" s="3">
        <f t="shared" si="37"/>
        <v>232873.29</v>
      </c>
      <c r="M311" s="3">
        <v>6608069.4299999941</v>
      </c>
      <c r="N311" s="3">
        <v>7963501.4900000002</v>
      </c>
      <c r="O311" s="3">
        <v>7237321.2999999989</v>
      </c>
      <c r="P311" s="3">
        <f t="shared" si="38"/>
        <v>7269630.7399999974</v>
      </c>
      <c r="Q311" s="3">
        <v>321453.24</v>
      </c>
      <c r="R311" s="3">
        <v>365509.55</v>
      </c>
      <c r="S311" s="3">
        <v>293647.05</v>
      </c>
      <c r="T311" s="3">
        <f t="shared" si="39"/>
        <v>326869.94666666671</v>
      </c>
      <c r="U311" s="12">
        <v>3.7219619524841234</v>
      </c>
      <c r="V311" s="12">
        <v>4.4963762033760029</v>
      </c>
    </row>
    <row r="312" spans="1:22" x14ac:dyDescent="0.3">
      <c r="A312" s="3">
        <v>80201</v>
      </c>
      <c r="B312" s="3" t="s">
        <v>419</v>
      </c>
      <c r="C312" s="3" t="s">
        <v>417</v>
      </c>
      <c r="D312" s="3" t="s">
        <v>420</v>
      </c>
      <c r="E312" s="3">
        <v>144200234.13999999</v>
      </c>
      <c r="F312" s="3">
        <v>177401878.84986889</v>
      </c>
      <c r="G312" s="3">
        <v>216680598.24000001</v>
      </c>
      <c r="H312" s="3">
        <f t="shared" si="36"/>
        <v>179427570.40995631</v>
      </c>
      <c r="I312" s="3">
        <v>9861909.8599999994</v>
      </c>
      <c r="J312" s="3">
        <v>10639134.73</v>
      </c>
      <c r="K312" s="3">
        <v>11354614.23</v>
      </c>
      <c r="L312" s="3">
        <f t="shared" si="37"/>
        <v>10618552.939999999</v>
      </c>
      <c r="M312" s="3">
        <v>135748994.29999989</v>
      </c>
      <c r="N312" s="3">
        <v>154401455.69999999</v>
      </c>
      <c r="O312" s="3">
        <v>146650740.46000001</v>
      </c>
      <c r="P312" s="3">
        <f t="shared" si="38"/>
        <v>145600396.81999996</v>
      </c>
      <c r="Q312" s="3">
        <v>29685816.899999999</v>
      </c>
      <c r="R312" s="3">
        <v>26215613.449999999</v>
      </c>
      <c r="S312" s="3">
        <v>29503115.25</v>
      </c>
      <c r="T312" s="3">
        <f t="shared" si="39"/>
        <v>28468181.866666663</v>
      </c>
      <c r="U312" s="12">
        <v>5.9180163426048287</v>
      </c>
      <c r="V312" s="12">
        <v>19.552269422631284</v>
      </c>
    </row>
    <row r="313" spans="1:22" x14ac:dyDescent="0.3">
      <c r="A313" s="3">
        <v>80202</v>
      </c>
      <c r="B313" s="3" t="s">
        <v>421</v>
      </c>
      <c r="C313" s="3" t="s">
        <v>417</v>
      </c>
      <c r="D313" s="3" t="s">
        <v>420</v>
      </c>
      <c r="E313" s="3">
        <v>76813351.820000008</v>
      </c>
      <c r="F313" s="3">
        <v>94311910.648799598</v>
      </c>
      <c r="G313" s="3">
        <v>115834107.88</v>
      </c>
      <c r="H313" s="3">
        <f t="shared" si="36"/>
        <v>95653123.449599862</v>
      </c>
      <c r="I313" s="3">
        <v>7204634.9000000004</v>
      </c>
      <c r="J313" s="3">
        <v>6912982.9600000009</v>
      </c>
      <c r="K313" s="3">
        <v>7945014.4800000004</v>
      </c>
      <c r="L313" s="3">
        <f t="shared" si="37"/>
        <v>7354210.7800000012</v>
      </c>
      <c r="M313" s="3">
        <v>55652567.109999947</v>
      </c>
      <c r="N313" s="3">
        <v>68701586.239999995</v>
      </c>
      <c r="O313" s="3">
        <v>62797570.810000002</v>
      </c>
      <c r="P313" s="3">
        <f t="shared" si="38"/>
        <v>62383908.053333312</v>
      </c>
      <c r="Q313" s="3">
        <v>5834561.21</v>
      </c>
      <c r="R313" s="3">
        <v>8492473.8100000005</v>
      </c>
      <c r="S313" s="3">
        <v>7773154.3199999984</v>
      </c>
      <c r="T313" s="3">
        <f t="shared" si="39"/>
        <v>7366729.7799999984</v>
      </c>
      <c r="U313" s="12">
        <v>7.6884167654754876</v>
      </c>
      <c r="V313" s="12">
        <v>11.808701971191075</v>
      </c>
    </row>
    <row r="314" spans="1:22" x14ac:dyDescent="0.3">
      <c r="A314" s="3">
        <v>80301</v>
      </c>
      <c r="B314" s="3" t="s">
        <v>422</v>
      </c>
      <c r="C314" s="3" t="s">
        <v>417</v>
      </c>
      <c r="D314" s="3" t="s">
        <v>423</v>
      </c>
      <c r="E314" s="3">
        <v>20208635.169999991</v>
      </c>
      <c r="F314" s="3">
        <v>24661867.88623235</v>
      </c>
      <c r="G314" s="3">
        <v>30207324.5</v>
      </c>
      <c r="H314" s="3">
        <f t="shared" si="36"/>
        <v>25025942.518744111</v>
      </c>
      <c r="I314" s="3">
        <v>543294.07999999996</v>
      </c>
      <c r="J314" s="3">
        <v>245210.35</v>
      </c>
      <c r="K314" s="3">
        <v>143177.84</v>
      </c>
      <c r="L314" s="3">
        <f t="shared" si="37"/>
        <v>310560.75666666665</v>
      </c>
      <c r="M314" s="3">
        <v>16278872.44999999</v>
      </c>
      <c r="N314" s="3">
        <v>19705285.050000001</v>
      </c>
      <c r="O314" s="3">
        <v>18220806.59</v>
      </c>
      <c r="P314" s="3">
        <f t="shared" si="38"/>
        <v>18068321.36333333</v>
      </c>
      <c r="Q314" s="3">
        <v>497726.58</v>
      </c>
      <c r="R314" s="3">
        <v>632404.53999999992</v>
      </c>
      <c r="S314" s="3">
        <v>790353.89</v>
      </c>
      <c r="T314" s="3">
        <f t="shared" si="39"/>
        <v>640161.66999999993</v>
      </c>
      <c r="U314" s="12">
        <v>1.2409552864355082</v>
      </c>
      <c r="V314" s="12">
        <v>3.5430057786059872</v>
      </c>
    </row>
    <row r="315" spans="1:22" x14ac:dyDescent="0.3">
      <c r="A315" s="3">
        <v>80302</v>
      </c>
      <c r="B315" s="3" t="s">
        <v>426</v>
      </c>
      <c r="C315" s="3" t="s">
        <v>417</v>
      </c>
      <c r="D315" s="3" t="s">
        <v>425</v>
      </c>
      <c r="E315" s="3">
        <v>63205646.240000002</v>
      </c>
      <c r="F315" s="3">
        <v>77237521.414264739</v>
      </c>
      <c r="G315" s="3">
        <v>94676495.390000001</v>
      </c>
      <c r="H315" s="3">
        <f t="shared" si="36"/>
        <v>78373221.014754906</v>
      </c>
      <c r="I315" s="3">
        <v>1604060.77</v>
      </c>
      <c r="J315" s="3">
        <v>1205572.33</v>
      </c>
      <c r="K315" s="3">
        <v>1186382.46</v>
      </c>
      <c r="L315" s="3">
        <f t="shared" si="37"/>
        <v>1332005.1866666668</v>
      </c>
      <c r="M315" s="3">
        <v>50203469.529999949</v>
      </c>
      <c r="N315" s="3">
        <v>60628895.31000001</v>
      </c>
      <c r="O315" s="3">
        <v>56191657.130000003</v>
      </c>
      <c r="P315" s="3">
        <f t="shared" si="38"/>
        <v>55674673.989999987</v>
      </c>
      <c r="Q315" s="3">
        <v>1517324.71</v>
      </c>
      <c r="R315" s="3">
        <v>1787726.51</v>
      </c>
      <c r="S315" s="3">
        <v>2417389.71</v>
      </c>
      <c r="T315" s="3">
        <f t="shared" si="39"/>
        <v>1907480.3099999998</v>
      </c>
      <c r="U315" s="12">
        <v>1.6995667262621466</v>
      </c>
      <c r="V315" s="12">
        <v>3.4261185082872907</v>
      </c>
    </row>
    <row r="316" spans="1:22" x14ac:dyDescent="0.3">
      <c r="A316" s="3">
        <v>80303</v>
      </c>
      <c r="B316" s="3" t="s">
        <v>427</v>
      </c>
      <c r="C316" s="3" t="s">
        <v>417</v>
      </c>
      <c r="D316" s="3" t="s">
        <v>425</v>
      </c>
      <c r="E316" s="3">
        <v>18657552.530000001</v>
      </c>
      <c r="F316" s="3">
        <v>22443390.116290551</v>
      </c>
      <c r="G316" s="3">
        <v>27489791.699999999</v>
      </c>
      <c r="H316" s="3">
        <f t="shared" si="36"/>
        <v>22863578.115430187</v>
      </c>
      <c r="I316" s="3">
        <v>2727098.64</v>
      </c>
      <c r="J316" s="3">
        <v>2661879.85</v>
      </c>
      <c r="K316" s="3">
        <v>3132307.9</v>
      </c>
      <c r="L316" s="3">
        <f t="shared" si="37"/>
        <v>2840428.7966666669</v>
      </c>
      <c r="M316" s="3">
        <v>12214096.17999999</v>
      </c>
      <c r="N316" s="3">
        <v>14765990.380000001</v>
      </c>
      <c r="O316" s="3">
        <v>13709994.609999999</v>
      </c>
      <c r="P316" s="3">
        <f t="shared" si="38"/>
        <v>13563360.389999995</v>
      </c>
      <c r="Q316" s="3">
        <v>922269.57000000007</v>
      </c>
      <c r="R316" s="3">
        <v>1118806.53</v>
      </c>
      <c r="S316" s="3">
        <v>1238028.58</v>
      </c>
      <c r="T316" s="3">
        <f t="shared" si="39"/>
        <v>1093034.8933333333</v>
      </c>
      <c r="U316" s="12">
        <v>12.4233782758164</v>
      </c>
      <c r="V316" s="12">
        <v>8.0587322160900996</v>
      </c>
    </row>
    <row r="317" spans="1:22" x14ac:dyDescent="0.3">
      <c r="A317" s="3">
        <v>80304</v>
      </c>
      <c r="B317" s="3" t="s">
        <v>424</v>
      </c>
      <c r="C317" s="3" t="s">
        <v>417</v>
      </c>
      <c r="D317" s="3" t="s">
        <v>425</v>
      </c>
      <c r="E317" s="3">
        <v>26532724.109999999</v>
      </c>
      <c r="F317" s="3">
        <v>32571110.140332069</v>
      </c>
      <c r="G317" s="3">
        <v>39041945.240000002</v>
      </c>
      <c r="H317" s="3">
        <f t="shared" si="36"/>
        <v>32715259.830110688</v>
      </c>
      <c r="I317" s="3">
        <v>2392610.52</v>
      </c>
      <c r="J317" s="3">
        <v>2590212.1599999992</v>
      </c>
      <c r="K317" s="3">
        <v>2124202.75</v>
      </c>
      <c r="L317" s="3">
        <f t="shared" si="37"/>
        <v>2369008.4766666666</v>
      </c>
      <c r="M317" s="3">
        <v>25039324.629999992</v>
      </c>
      <c r="N317" s="3">
        <v>30194211.75</v>
      </c>
      <c r="O317" s="3">
        <v>28066729.210000001</v>
      </c>
      <c r="P317" s="3">
        <f t="shared" si="38"/>
        <v>27766755.196666669</v>
      </c>
      <c r="Q317" s="3">
        <v>2170343.11</v>
      </c>
      <c r="R317" s="3">
        <v>2555122.17</v>
      </c>
      <c r="S317" s="3">
        <v>2807709.77</v>
      </c>
      <c r="T317" s="3">
        <f t="shared" si="39"/>
        <v>2511058.3499999996</v>
      </c>
      <c r="U317" s="12">
        <v>7.2412950071888558</v>
      </c>
      <c r="V317" s="12">
        <v>9.043398597404158</v>
      </c>
    </row>
    <row r="318" spans="1:22" x14ac:dyDescent="0.3">
      <c r="A318" s="3">
        <v>80401</v>
      </c>
      <c r="B318" s="3" t="s">
        <v>428</v>
      </c>
      <c r="C318" s="3" t="s">
        <v>417</v>
      </c>
      <c r="D318" s="3" t="s">
        <v>429</v>
      </c>
      <c r="E318" s="3">
        <v>43293229.299999997</v>
      </c>
      <c r="F318" s="3">
        <v>54188320.903179407</v>
      </c>
      <c r="G318" s="3">
        <v>65301985.990000002</v>
      </c>
      <c r="H318" s="3">
        <f t="shared" ref="H318:H328" si="40">AVERAGE(E318:G318)</f>
        <v>54261178.731059797</v>
      </c>
      <c r="I318" s="3">
        <v>2137520.04</v>
      </c>
      <c r="J318" s="3">
        <v>2879237.46</v>
      </c>
      <c r="K318" s="3">
        <v>2065914.11</v>
      </c>
      <c r="L318" s="3">
        <f t="shared" ref="L318:L328" si="41">AVERAGE(I318:K318)</f>
        <v>2360890.5366666666</v>
      </c>
      <c r="M318" s="3">
        <v>35034855.349999987</v>
      </c>
      <c r="N318" s="3">
        <v>38674265.420000002</v>
      </c>
      <c r="O318" s="3">
        <v>34123333.579999998</v>
      </c>
      <c r="P318" s="3">
        <f t="shared" si="38"/>
        <v>35944151.449999996</v>
      </c>
      <c r="Q318" s="3">
        <v>13066597.310000001</v>
      </c>
      <c r="R318" s="3">
        <v>12123771.619999999</v>
      </c>
      <c r="S318" s="3">
        <v>9859169.7300000004</v>
      </c>
      <c r="T318" s="3">
        <f t="shared" si="39"/>
        <v>11683179.553333333</v>
      </c>
      <c r="U318" s="12">
        <v>4.3509753969190177</v>
      </c>
      <c r="V318" s="12">
        <v>32.503701108607849</v>
      </c>
    </row>
    <row r="319" spans="1:22" x14ac:dyDescent="0.3">
      <c r="A319" s="3">
        <v>80402</v>
      </c>
      <c r="B319" s="3" t="s">
        <v>443</v>
      </c>
      <c r="C319" s="3" t="s">
        <v>417</v>
      </c>
      <c r="D319" s="3" t="s">
        <v>429</v>
      </c>
      <c r="E319" s="3">
        <v>10828996.18</v>
      </c>
      <c r="F319" s="3">
        <v>13656206.396392509</v>
      </c>
      <c r="G319" s="3">
        <v>16850950.809999999</v>
      </c>
      <c r="H319" s="3">
        <f t="shared" si="40"/>
        <v>13778717.795464167</v>
      </c>
      <c r="I319" s="3">
        <v>0</v>
      </c>
      <c r="J319" s="3">
        <v>240389.38</v>
      </c>
      <c r="K319" s="3">
        <v>340501.62</v>
      </c>
      <c r="L319" s="3">
        <f t="shared" si="41"/>
        <v>193630.33333333334</v>
      </c>
      <c r="M319" s="3">
        <v>8057540.0799999926</v>
      </c>
      <c r="N319" s="3">
        <v>9871213.1099999994</v>
      </c>
      <c r="O319" s="3">
        <v>9485709.9600000009</v>
      </c>
      <c r="P319" s="3">
        <f t="shared" si="38"/>
        <v>9138154.383333331</v>
      </c>
      <c r="Q319" s="3">
        <v>478219.15000000008</v>
      </c>
      <c r="R319" s="3">
        <v>710885.4</v>
      </c>
      <c r="S319" s="3">
        <v>1114233.6100000001</v>
      </c>
      <c r="T319" s="3">
        <f t="shared" si="39"/>
        <v>767779.38666666672</v>
      </c>
      <c r="U319" s="12">
        <v>1.4052855730674356</v>
      </c>
      <c r="V319" s="12">
        <v>8.4019086837379877</v>
      </c>
    </row>
    <row r="320" spans="1:22" x14ac:dyDescent="0.3">
      <c r="A320" s="3">
        <v>80501</v>
      </c>
      <c r="B320" s="3" t="s">
        <v>430</v>
      </c>
      <c r="C320" s="3" t="s">
        <v>417</v>
      </c>
      <c r="D320" s="3" t="s">
        <v>431</v>
      </c>
      <c r="E320" s="3">
        <v>36659066.539999999</v>
      </c>
      <c r="F320" s="3">
        <v>45254651.889859483</v>
      </c>
      <c r="G320" s="3">
        <v>55054162.960000001</v>
      </c>
      <c r="H320" s="3">
        <f t="shared" si="40"/>
        <v>45655960.463286497</v>
      </c>
      <c r="I320" s="3">
        <v>862229.65999999992</v>
      </c>
      <c r="J320" s="3">
        <v>1103867.8899999999</v>
      </c>
      <c r="K320" s="3">
        <v>774668.91</v>
      </c>
      <c r="L320" s="3">
        <f t="shared" si="41"/>
        <v>913588.82</v>
      </c>
      <c r="M320" s="3">
        <v>26290415.339999981</v>
      </c>
      <c r="N320" s="3">
        <v>31606932.469999999</v>
      </c>
      <c r="O320" s="3">
        <v>28952133.09</v>
      </c>
      <c r="P320" s="3">
        <f t="shared" si="38"/>
        <v>28949826.966666657</v>
      </c>
      <c r="Q320" s="3">
        <v>1135073.8600000001</v>
      </c>
      <c r="R320" s="3">
        <v>1204596.51</v>
      </c>
      <c r="S320" s="3">
        <v>1167811.95</v>
      </c>
      <c r="T320" s="3">
        <f t="shared" si="39"/>
        <v>1169160.7733333334</v>
      </c>
      <c r="U320" s="12">
        <v>2.0010285858177217</v>
      </c>
      <c r="V320" s="12">
        <v>4.038576032525258</v>
      </c>
    </row>
    <row r="321" spans="1:22" x14ac:dyDescent="0.3">
      <c r="A321" s="3">
        <v>80601</v>
      </c>
      <c r="B321" s="3" t="s">
        <v>432</v>
      </c>
      <c r="C321" s="3" t="s">
        <v>417</v>
      </c>
      <c r="D321" s="3" t="s">
        <v>433</v>
      </c>
      <c r="E321" s="3">
        <v>7162452.1100000003</v>
      </c>
      <c r="F321" s="3">
        <v>8727984.6143276729</v>
      </c>
      <c r="G321" s="3">
        <v>10658611.539999999</v>
      </c>
      <c r="H321" s="3">
        <f t="shared" si="40"/>
        <v>8849682.7547758911</v>
      </c>
      <c r="I321" s="3">
        <v>190202.75</v>
      </c>
      <c r="J321" s="3">
        <v>150158.69</v>
      </c>
      <c r="K321" s="3">
        <v>119146.28</v>
      </c>
      <c r="L321" s="3">
        <f t="shared" si="41"/>
        <v>153169.24</v>
      </c>
      <c r="M321" s="3">
        <v>4721805.8299999973</v>
      </c>
      <c r="N321" s="3">
        <v>5586789.8900000006</v>
      </c>
      <c r="O321" s="3">
        <v>5036867.33</v>
      </c>
      <c r="P321" s="3">
        <f t="shared" si="38"/>
        <v>5115154.3499999996</v>
      </c>
      <c r="Q321" s="3">
        <v>161576.18</v>
      </c>
      <c r="R321" s="3">
        <v>75272.649999999994</v>
      </c>
      <c r="S321" s="3">
        <v>0</v>
      </c>
      <c r="T321" s="3">
        <f t="shared" si="39"/>
        <v>78949.61</v>
      </c>
      <c r="U321" s="12">
        <v>1.7307879191187894</v>
      </c>
      <c r="V321" s="12">
        <v>1.5434453116747104</v>
      </c>
    </row>
    <row r="322" spans="1:22" x14ac:dyDescent="0.3">
      <c r="A322" s="3">
        <v>80602</v>
      </c>
      <c r="B322" s="3" t="s">
        <v>434</v>
      </c>
      <c r="C322" s="3" t="s">
        <v>417</v>
      </c>
      <c r="D322" s="3" t="s">
        <v>433</v>
      </c>
      <c r="E322" s="3">
        <v>19567332.620000001</v>
      </c>
      <c r="F322" s="3">
        <v>24189257.956100538</v>
      </c>
      <c r="G322" s="3">
        <v>29311455.43</v>
      </c>
      <c r="H322" s="3">
        <f t="shared" si="40"/>
        <v>24356015.335366845</v>
      </c>
      <c r="I322" s="3">
        <v>609594.52</v>
      </c>
      <c r="J322" s="3">
        <v>772202.73</v>
      </c>
      <c r="K322" s="3">
        <v>512310</v>
      </c>
      <c r="L322" s="3">
        <f t="shared" si="41"/>
        <v>631369.08333333337</v>
      </c>
      <c r="M322" s="3">
        <v>15776677.54999999</v>
      </c>
      <c r="N322" s="3">
        <v>18758142.02</v>
      </c>
      <c r="O322" s="3">
        <v>17189951.899999999</v>
      </c>
      <c r="P322" s="3">
        <f t="shared" si="38"/>
        <v>17241590.489999998</v>
      </c>
      <c r="Q322" s="3">
        <v>880766.25</v>
      </c>
      <c r="R322" s="3">
        <v>755137.27</v>
      </c>
      <c r="S322" s="3">
        <v>737247.49</v>
      </c>
      <c r="T322" s="3">
        <f t="shared" si="39"/>
        <v>791050.33666666655</v>
      </c>
      <c r="U322" s="12">
        <v>2.5922511323785216</v>
      </c>
      <c r="V322" s="12">
        <v>4.5880357564777459</v>
      </c>
    </row>
    <row r="323" spans="1:22" x14ac:dyDescent="0.3">
      <c r="A323" s="3">
        <v>80701</v>
      </c>
      <c r="B323" s="3" t="s">
        <v>435</v>
      </c>
      <c r="C323" s="3" t="s">
        <v>417</v>
      </c>
      <c r="D323" s="3" t="s">
        <v>436</v>
      </c>
      <c r="E323" s="3">
        <v>9878957.1900000013</v>
      </c>
      <c r="F323" s="3">
        <v>12458581.23674239</v>
      </c>
      <c r="G323" s="3">
        <v>15488191.73</v>
      </c>
      <c r="H323" s="3">
        <f t="shared" si="40"/>
        <v>12608576.718914131</v>
      </c>
      <c r="I323" s="3">
        <v>294309.75</v>
      </c>
      <c r="J323" s="3">
        <v>531581.34</v>
      </c>
      <c r="K323" s="3">
        <v>795055.81</v>
      </c>
      <c r="L323" s="3">
        <f t="shared" si="41"/>
        <v>540315.6333333333</v>
      </c>
      <c r="M323" s="3">
        <v>8964258.3899999913</v>
      </c>
      <c r="N323" s="3">
        <v>11129095.949999999</v>
      </c>
      <c r="O323" s="3">
        <v>10634935.18</v>
      </c>
      <c r="P323" s="3">
        <f t="shared" si="38"/>
        <v>10242763.17333333</v>
      </c>
      <c r="Q323" s="3">
        <v>723692.04</v>
      </c>
      <c r="R323" s="3">
        <v>1169600.55</v>
      </c>
      <c r="S323" s="3">
        <v>1533108.57</v>
      </c>
      <c r="T323" s="3">
        <f t="shared" si="39"/>
        <v>1142133.72</v>
      </c>
      <c r="U323" s="12">
        <v>4.28530234124527</v>
      </c>
      <c r="V323" s="12">
        <v>11.150640707709659</v>
      </c>
    </row>
    <row r="324" spans="1:22" x14ac:dyDescent="0.3">
      <c r="A324" s="3">
        <v>80702</v>
      </c>
      <c r="B324" s="3" t="s">
        <v>437</v>
      </c>
      <c r="C324" s="3" t="s">
        <v>417</v>
      </c>
      <c r="D324" s="3" t="s">
        <v>436</v>
      </c>
      <c r="E324" s="3">
        <v>10679343.640000001</v>
      </c>
      <c r="F324" s="3">
        <v>13189403.26414221</v>
      </c>
      <c r="G324" s="3">
        <v>16122794.65</v>
      </c>
      <c r="H324" s="3">
        <f t="shared" si="40"/>
        <v>13330513.851380736</v>
      </c>
      <c r="I324" s="3">
        <v>340455.95</v>
      </c>
      <c r="J324" s="3">
        <v>281579.83</v>
      </c>
      <c r="K324" s="3">
        <v>209442.78</v>
      </c>
      <c r="L324" s="3">
        <f t="shared" si="41"/>
        <v>277159.52</v>
      </c>
      <c r="M324" s="3">
        <v>6451260.5399999954</v>
      </c>
      <c r="N324" s="3">
        <v>7864681.5700000022</v>
      </c>
      <c r="O324" s="3">
        <v>7121823.5700000003</v>
      </c>
      <c r="P324" s="3">
        <f t="shared" si="38"/>
        <v>7145921.8933333335</v>
      </c>
      <c r="Q324" s="3">
        <v>548285.72</v>
      </c>
      <c r="R324" s="3">
        <v>730350.38</v>
      </c>
      <c r="S324" s="3">
        <v>601883.98</v>
      </c>
      <c r="T324" s="3">
        <f t="shared" si="39"/>
        <v>626840.02666666673</v>
      </c>
      <c r="U324" s="12">
        <v>2.079136056494121</v>
      </c>
      <c r="V324" s="12">
        <v>8.7719966160204805</v>
      </c>
    </row>
    <row r="325" spans="1:22" x14ac:dyDescent="0.3">
      <c r="A325" s="3">
        <v>80703</v>
      </c>
      <c r="B325" s="3" t="s">
        <v>438</v>
      </c>
      <c r="C325" s="3" t="s">
        <v>417</v>
      </c>
      <c r="D325" s="3" t="s">
        <v>436</v>
      </c>
      <c r="E325" s="3">
        <v>1824015.79</v>
      </c>
      <c r="F325" s="3">
        <v>2277499.972864104</v>
      </c>
      <c r="G325" s="3">
        <v>2779925.28</v>
      </c>
      <c r="H325" s="3">
        <f t="shared" si="40"/>
        <v>2293813.6809547013</v>
      </c>
      <c r="I325" s="3">
        <v>5972.7</v>
      </c>
      <c r="J325" s="3">
        <v>29845.200000000001</v>
      </c>
      <c r="K325" s="3">
        <v>15205.62</v>
      </c>
      <c r="L325" s="3">
        <f t="shared" si="41"/>
        <v>17007.84</v>
      </c>
      <c r="M325" s="3">
        <v>1226278.5799999989</v>
      </c>
      <c r="N325" s="3">
        <v>1395812.27</v>
      </c>
      <c r="O325" s="3">
        <v>1267355.1299999999</v>
      </c>
      <c r="P325" s="3">
        <f t="shared" si="38"/>
        <v>1296481.9933333329</v>
      </c>
      <c r="Q325" s="3">
        <v>100950.45</v>
      </c>
      <c r="R325" s="3">
        <v>35644.400000000001</v>
      </c>
      <c r="S325" s="3">
        <v>24361.85</v>
      </c>
      <c r="T325" s="3">
        <f t="shared" si="39"/>
        <v>53652.233333333337</v>
      </c>
      <c r="U325" s="12">
        <v>0.74146562736173138</v>
      </c>
      <c r="V325" s="12">
        <v>4.1382937525719301</v>
      </c>
    </row>
    <row r="326" spans="1:22" x14ac:dyDescent="0.3">
      <c r="A326" s="3">
        <v>80801</v>
      </c>
      <c r="B326" s="3" t="s">
        <v>439</v>
      </c>
      <c r="C326" s="3" t="s">
        <v>417</v>
      </c>
      <c r="D326" s="3" t="s">
        <v>440</v>
      </c>
      <c r="E326" s="3">
        <v>17937279.620000001</v>
      </c>
      <c r="F326" s="3">
        <v>22365693.02940087</v>
      </c>
      <c r="G326" s="3">
        <v>27667285</v>
      </c>
      <c r="H326" s="3">
        <f t="shared" si="40"/>
        <v>22656752.549800292</v>
      </c>
      <c r="I326" s="3">
        <v>326624.95</v>
      </c>
      <c r="J326" s="3">
        <v>552017.13</v>
      </c>
      <c r="K326" s="3">
        <v>822843.28999999992</v>
      </c>
      <c r="L326" s="3">
        <f t="shared" si="41"/>
        <v>567161.79</v>
      </c>
      <c r="M326" s="3">
        <v>14697621.61999999</v>
      </c>
      <c r="N326" s="3">
        <v>17483409.780000001</v>
      </c>
      <c r="O326" s="3">
        <v>16715757.42</v>
      </c>
      <c r="P326" s="3">
        <f t="shared" si="38"/>
        <v>16298929.606666664</v>
      </c>
      <c r="Q326" s="3">
        <v>1143263.6599999999</v>
      </c>
      <c r="R326" s="3">
        <v>1101778.24</v>
      </c>
      <c r="S326" s="3">
        <v>1744808.5</v>
      </c>
      <c r="T326" s="3">
        <f t="shared" si="39"/>
        <v>1329950.1333333333</v>
      </c>
      <c r="U326" s="12">
        <v>2.5032792707311411</v>
      </c>
      <c r="V326" s="12">
        <v>8.1597391082010127</v>
      </c>
    </row>
    <row r="327" spans="1:22" x14ac:dyDescent="0.3">
      <c r="A327" s="3">
        <v>80802</v>
      </c>
      <c r="B327" s="3" t="s">
        <v>441</v>
      </c>
      <c r="C327" s="3" t="s">
        <v>417</v>
      </c>
      <c r="D327" s="3" t="s">
        <v>440</v>
      </c>
      <c r="E327" s="3">
        <v>9445205.0899999999</v>
      </c>
      <c r="F327" s="3">
        <v>11737115.280870641</v>
      </c>
      <c r="G327" s="3">
        <v>15089827.48</v>
      </c>
      <c r="H327" s="3">
        <f t="shared" si="40"/>
        <v>12090715.950290212</v>
      </c>
      <c r="I327" s="3">
        <v>161898.21</v>
      </c>
      <c r="J327" s="3">
        <v>200349.28</v>
      </c>
      <c r="K327" s="3">
        <v>881731.22</v>
      </c>
      <c r="L327" s="3">
        <f t="shared" si="41"/>
        <v>414659.57</v>
      </c>
      <c r="M327" s="3">
        <v>12202181.559999989</v>
      </c>
      <c r="N327" s="3">
        <v>11692594.32</v>
      </c>
      <c r="O327" s="3">
        <v>10445605.869999999</v>
      </c>
      <c r="P327" s="3">
        <f t="shared" si="38"/>
        <v>11446793.916666662</v>
      </c>
      <c r="Q327" s="3">
        <v>5095859.6899999985</v>
      </c>
      <c r="R327" s="3">
        <v>3103923.1</v>
      </c>
      <c r="S327" s="3">
        <v>2596560.5699999998</v>
      </c>
      <c r="T327" s="3">
        <f t="shared" si="39"/>
        <v>3598781.1199999996</v>
      </c>
      <c r="U327" s="12">
        <v>3.4295700246770493</v>
      </c>
      <c r="V327" s="12">
        <v>31.439206001255364</v>
      </c>
    </row>
    <row r="328" spans="1:22" x14ac:dyDescent="0.3">
      <c r="A328" s="3">
        <v>80803</v>
      </c>
      <c r="B328" s="3" t="s">
        <v>442</v>
      </c>
      <c r="C328" s="3" t="s">
        <v>417</v>
      </c>
      <c r="D328" s="3" t="s">
        <v>440</v>
      </c>
      <c r="E328" s="3">
        <v>6646582.4799999986</v>
      </c>
      <c r="F328" s="3">
        <v>8280573.9231176097</v>
      </c>
      <c r="G328" s="3">
        <v>10152712.970000001</v>
      </c>
      <c r="H328" s="3">
        <f t="shared" si="40"/>
        <v>8359956.4577058703</v>
      </c>
      <c r="I328" s="3">
        <v>102506.2</v>
      </c>
      <c r="J328" s="3">
        <v>152276.54999999999</v>
      </c>
      <c r="K328" s="3">
        <v>143562.45000000001</v>
      </c>
      <c r="L328" s="3">
        <f t="shared" si="41"/>
        <v>132781.73333333334</v>
      </c>
      <c r="M328" s="3">
        <v>5060651.849999994</v>
      </c>
      <c r="N328" s="3">
        <v>6391922.5</v>
      </c>
      <c r="O328" s="3">
        <v>5746493.0999999987</v>
      </c>
      <c r="P328" s="3">
        <f t="shared" si="38"/>
        <v>5733022.4833333306</v>
      </c>
      <c r="Q328" s="3">
        <v>163246.43</v>
      </c>
      <c r="R328" s="3">
        <v>472901.15</v>
      </c>
      <c r="S328" s="3">
        <v>337212.15</v>
      </c>
      <c r="T328" s="3">
        <f t="shared" si="39"/>
        <v>324453.24333333335</v>
      </c>
      <c r="U328" s="12">
        <v>1.5883065181630283</v>
      </c>
      <c r="V328" s="12">
        <v>5.6593750378018344</v>
      </c>
    </row>
    <row r="329" spans="1:22" x14ac:dyDescent="0.3">
      <c r="A329" s="3">
        <v>80901</v>
      </c>
      <c r="B329" s="3" t="s">
        <v>474</v>
      </c>
      <c r="C329" s="3" t="s">
        <v>417</v>
      </c>
      <c r="D329" s="3" t="s">
        <v>475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4273955.99</v>
      </c>
      <c r="N329" s="3">
        <v>4273955.99</v>
      </c>
      <c r="O329" s="3">
        <v>4273955.99</v>
      </c>
      <c r="P329" s="3">
        <v>4273955.99</v>
      </c>
      <c r="Q329" s="3">
        <v>0</v>
      </c>
      <c r="R329" s="3">
        <v>0</v>
      </c>
      <c r="S329" s="3">
        <v>0</v>
      </c>
      <c r="T329" s="3">
        <v>0</v>
      </c>
      <c r="U329" s="12">
        <v>0</v>
      </c>
      <c r="V329" s="12">
        <v>0</v>
      </c>
    </row>
    <row r="330" spans="1:22" x14ac:dyDescent="0.3">
      <c r="A330" s="3">
        <v>90101</v>
      </c>
      <c r="B330" s="3" t="s">
        <v>444</v>
      </c>
      <c r="C330" s="3" t="s">
        <v>445</v>
      </c>
      <c r="D330" s="3" t="s">
        <v>446</v>
      </c>
      <c r="E330" s="3">
        <v>186531571.59999999</v>
      </c>
      <c r="F330" s="3">
        <v>244378579.91909599</v>
      </c>
      <c r="G330" s="3">
        <v>310705940.64999998</v>
      </c>
      <c r="H330" s="3">
        <f t="shared" ref="H330:H344" si="42">AVERAGE(E330:G330)</f>
        <v>247205364.05636534</v>
      </c>
      <c r="I330" s="3">
        <v>9848205.9499999993</v>
      </c>
      <c r="J330" s="3">
        <v>10837186.17</v>
      </c>
      <c r="K330" s="3">
        <v>13730188</v>
      </c>
      <c r="L330" s="3">
        <f t="shared" ref="L330:L344" si="43">AVERAGE(I330:K330)</f>
        <v>11471860.039999999</v>
      </c>
      <c r="M330" s="3">
        <v>151067313.02000001</v>
      </c>
      <c r="N330" s="3">
        <v>188519598.16</v>
      </c>
      <c r="O330" s="3">
        <v>153681042.43000001</v>
      </c>
      <c r="P330" s="3">
        <f t="shared" ref="P330:P344" si="44">AVERAGE(M330:O330)</f>
        <v>164422651.20333335</v>
      </c>
      <c r="Q330" s="3">
        <v>33890204.100000009</v>
      </c>
      <c r="R330" s="3">
        <v>40166372.409999996</v>
      </c>
      <c r="S330" s="3">
        <v>28537794.719999999</v>
      </c>
      <c r="T330" s="3">
        <f t="shared" ref="T330:T344" si="45">AVERAGE(Q330:S330)</f>
        <v>34198123.743333332</v>
      </c>
      <c r="U330" s="12">
        <v>4.6406193829128641</v>
      </c>
      <c r="V330" s="12">
        <v>20.798912736811552</v>
      </c>
    </row>
    <row r="331" spans="1:22" x14ac:dyDescent="0.3">
      <c r="A331" s="3">
        <v>90102</v>
      </c>
      <c r="B331" s="3" t="s">
        <v>447</v>
      </c>
      <c r="C331" s="3" t="s">
        <v>445</v>
      </c>
      <c r="D331" s="3" t="s">
        <v>446</v>
      </c>
      <c r="E331" s="3">
        <v>30132118.65000001</v>
      </c>
      <c r="F331" s="3">
        <v>39541662.63427671</v>
      </c>
      <c r="G331" s="3">
        <v>50141827.239999987</v>
      </c>
      <c r="H331" s="3">
        <f t="shared" si="42"/>
        <v>39938536.174758904</v>
      </c>
      <c r="I331" s="3">
        <v>299478.46000000002</v>
      </c>
      <c r="J331" s="3">
        <v>376749.94</v>
      </c>
      <c r="K331" s="3">
        <v>417478.44</v>
      </c>
      <c r="L331" s="3">
        <f t="shared" si="43"/>
        <v>364568.94666666671</v>
      </c>
      <c r="M331" s="3">
        <v>21141913.309999991</v>
      </c>
      <c r="N331" s="3">
        <v>26355801.66</v>
      </c>
      <c r="O331" s="3">
        <v>22307041.300000001</v>
      </c>
      <c r="P331" s="3">
        <f t="shared" si="44"/>
        <v>23268252.09</v>
      </c>
      <c r="Q331" s="3">
        <v>1013061.07</v>
      </c>
      <c r="R331" s="3">
        <v>871344.48</v>
      </c>
      <c r="S331" s="3">
        <v>809721.90999999992</v>
      </c>
      <c r="T331" s="3">
        <f t="shared" si="45"/>
        <v>898042.48666666669</v>
      </c>
      <c r="U331" s="12">
        <v>0.91282500958829271</v>
      </c>
      <c r="V331" s="12">
        <v>3.8595184683108128</v>
      </c>
    </row>
    <row r="332" spans="1:22" x14ac:dyDescent="0.3">
      <c r="A332" s="3">
        <v>90103</v>
      </c>
      <c r="B332" s="3" t="s">
        <v>448</v>
      </c>
      <c r="C332" s="3" t="s">
        <v>445</v>
      </c>
      <c r="D332" s="3" t="s">
        <v>446</v>
      </c>
      <c r="E332" s="3">
        <v>9804079.4499999993</v>
      </c>
      <c r="F332" s="3">
        <v>12748691.168385699</v>
      </c>
      <c r="G332" s="3">
        <v>16145981.300000001</v>
      </c>
      <c r="H332" s="3">
        <f t="shared" si="42"/>
        <v>12899583.972795233</v>
      </c>
      <c r="I332" s="3">
        <v>0</v>
      </c>
      <c r="J332" s="3">
        <v>2508.08</v>
      </c>
      <c r="K332" s="3">
        <v>0</v>
      </c>
      <c r="L332" s="3">
        <f t="shared" si="43"/>
        <v>836.02666666666664</v>
      </c>
      <c r="M332" s="3">
        <v>5502852.4099999974</v>
      </c>
      <c r="N332" s="3">
        <v>6974312.9600000009</v>
      </c>
      <c r="O332" s="3">
        <v>6405750.5800000001</v>
      </c>
      <c r="P332" s="3">
        <f t="shared" si="44"/>
        <v>6294305.3166666655</v>
      </c>
      <c r="Q332" s="3">
        <v>0</v>
      </c>
      <c r="R332" s="3">
        <v>7227.08</v>
      </c>
      <c r="S332" s="3">
        <v>528756.52</v>
      </c>
      <c r="T332" s="3">
        <f t="shared" si="45"/>
        <v>178661.19999999998</v>
      </c>
      <c r="U332" s="12">
        <v>6.4810358879000846E-3</v>
      </c>
      <c r="V332" s="12">
        <v>2.8384577965565754</v>
      </c>
    </row>
    <row r="333" spans="1:22" x14ac:dyDescent="0.3">
      <c r="A333" s="3">
        <v>90104</v>
      </c>
      <c r="B333" s="3" t="s">
        <v>449</v>
      </c>
      <c r="C333" s="3" t="s">
        <v>445</v>
      </c>
      <c r="D333" s="3" t="s">
        <v>446</v>
      </c>
      <c r="E333" s="3">
        <v>19033460.390000001</v>
      </c>
      <c r="F333" s="3">
        <v>24637033.21931858</v>
      </c>
      <c r="G333" s="3">
        <v>31293430.829999998</v>
      </c>
      <c r="H333" s="3">
        <f t="shared" si="42"/>
        <v>24987974.813106194</v>
      </c>
      <c r="I333" s="3">
        <v>64577.30000000001</v>
      </c>
      <c r="J333" s="3">
        <v>0</v>
      </c>
      <c r="K333" s="3">
        <v>92284.39</v>
      </c>
      <c r="L333" s="3">
        <f t="shared" si="43"/>
        <v>52287.23</v>
      </c>
      <c r="M333" s="3">
        <v>10087163.889999989</v>
      </c>
      <c r="N333" s="3">
        <v>12626392.199999999</v>
      </c>
      <c r="O333" s="3">
        <v>10641542.92</v>
      </c>
      <c r="P333" s="3">
        <f t="shared" si="44"/>
        <v>11118366.336666664</v>
      </c>
      <c r="Q333" s="3">
        <v>187647.19</v>
      </c>
      <c r="R333" s="3">
        <v>92871.81</v>
      </c>
      <c r="S333" s="3">
        <v>68984.19</v>
      </c>
      <c r="T333" s="3">
        <f t="shared" si="45"/>
        <v>116501.06333333334</v>
      </c>
      <c r="U333" s="12">
        <v>0.20924957060776028</v>
      </c>
      <c r="V333" s="12">
        <v>1.047825371153051</v>
      </c>
    </row>
    <row r="334" spans="1:22" x14ac:dyDescent="0.3">
      <c r="A334" s="3">
        <v>90201</v>
      </c>
      <c r="B334" s="3" t="s">
        <v>450</v>
      </c>
      <c r="C334" s="3" t="s">
        <v>445</v>
      </c>
      <c r="D334" s="3" t="s">
        <v>451</v>
      </c>
      <c r="E334" s="3">
        <v>32993729.84</v>
      </c>
      <c r="F334" s="3">
        <v>42774524.083570443</v>
      </c>
      <c r="G334" s="3">
        <v>54168106.799999997</v>
      </c>
      <c r="H334" s="3">
        <f t="shared" si="42"/>
        <v>43312120.241190143</v>
      </c>
      <c r="I334" s="3">
        <v>270474.63</v>
      </c>
      <c r="J334" s="3">
        <v>146337.82</v>
      </c>
      <c r="K334" s="3">
        <v>144620.5</v>
      </c>
      <c r="L334" s="3">
        <f t="shared" si="43"/>
        <v>187144.31666666665</v>
      </c>
      <c r="M334" s="3">
        <v>16115440.729999989</v>
      </c>
      <c r="N334" s="3">
        <v>20322119.719999999</v>
      </c>
      <c r="O334" s="3">
        <v>17385362.780000001</v>
      </c>
      <c r="P334" s="3">
        <f t="shared" si="44"/>
        <v>17940974.409999996</v>
      </c>
      <c r="Q334" s="3">
        <v>314871.67999999999</v>
      </c>
      <c r="R334" s="3">
        <v>317522.13000000012</v>
      </c>
      <c r="S334" s="3">
        <v>510577.99</v>
      </c>
      <c r="T334" s="3">
        <f t="shared" si="45"/>
        <v>380990.60000000003</v>
      </c>
      <c r="U334" s="12">
        <v>0.43208301885136308</v>
      </c>
      <c r="V334" s="12">
        <v>2.1235780805062756</v>
      </c>
    </row>
    <row r="335" spans="1:22" x14ac:dyDescent="0.3">
      <c r="A335" s="3">
        <v>90202</v>
      </c>
      <c r="B335" s="3" t="s">
        <v>452</v>
      </c>
      <c r="C335" s="3" t="s">
        <v>445</v>
      </c>
      <c r="D335" s="3" t="s">
        <v>451</v>
      </c>
      <c r="E335" s="3">
        <v>9066495.0800000001</v>
      </c>
      <c r="F335" s="3">
        <v>11681853.828404659</v>
      </c>
      <c r="G335" s="3">
        <v>14809964.220000001</v>
      </c>
      <c r="H335" s="3">
        <f t="shared" si="42"/>
        <v>11852771.042801553</v>
      </c>
      <c r="I335" s="3">
        <v>0</v>
      </c>
      <c r="J335" s="3">
        <v>0</v>
      </c>
      <c r="K335" s="3">
        <v>43609.820000000007</v>
      </c>
      <c r="L335" s="3">
        <f t="shared" si="43"/>
        <v>14536.606666666668</v>
      </c>
      <c r="M335" s="3">
        <v>7619516.1399999941</v>
      </c>
      <c r="N335" s="3">
        <v>9682873.3099999987</v>
      </c>
      <c r="O335" s="3">
        <v>8192778.160000002</v>
      </c>
      <c r="P335" s="3">
        <f t="shared" si="44"/>
        <v>8498389.2033333313</v>
      </c>
      <c r="Q335" s="3">
        <v>44963.59</v>
      </c>
      <c r="R335" s="3">
        <v>92893.65</v>
      </c>
      <c r="S335" s="3">
        <v>103242.73</v>
      </c>
      <c r="T335" s="3">
        <f t="shared" si="45"/>
        <v>80366.656666666662</v>
      </c>
      <c r="U335" s="12">
        <v>0.12264310695088526</v>
      </c>
      <c r="V335" s="12">
        <v>0.9456692879533497</v>
      </c>
    </row>
    <row r="336" spans="1:22" x14ac:dyDescent="0.3">
      <c r="A336" s="3">
        <v>90203</v>
      </c>
      <c r="B336" s="3" t="s">
        <v>453</v>
      </c>
      <c r="C336" s="3" t="s">
        <v>445</v>
      </c>
      <c r="D336" s="3" t="s">
        <v>451</v>
      </c>
      <c r="E336" s="3">
        <v>25940233.41</v>
      </c>
      <c r="F336" s="3">
        <v>33581981.750450082</v>
      </c>
      <c r="G336" s="3">
        <v>42546546.259999998</v>
      </c>
      <c r="H336" s="3">
        <f t="shared" si="42"/>
        <v>34022920.473483361</v>
      </c>
      <c r="I336" s="3">
        <v>105049.3</v>
      </c>
      <c r="J336" s="3">
        <v>0</v>
      </c>
      <c r="K336" s="3">
        <v>9233.74</v>
      </c>
      <c r="L336" s="3">
        <f t="shared" si="43"/>
        <v>38094.346666666672</v>
      </c>
      <c r="M336" s="3">
        <v>14738469.139999989</v>
      </c>
      <c r="N336" s="3">
        <v>18810519.579999998</v>
      </c>
      <c r="O336" s="3">
        <v>15692594.1</v>
      </c>
      <c r="P336" s="3">
        <f t="shared" si="44"/>
        <v>16413860.939999996</v>
      </c>
      <c r="Q336" s="3">
        <v>161165.47</v>
      </c>
      <c r="R336" s="3">
        <v>354647.38</v>
      </c>
      <c r="S336" s="3">
        <v>124236.63</v>
      </c>
      <c r="T336" s="3">
        <f t="shared" si="45"/>
        <v>213349.82666666666</v>
      </c>
      <c r="U336" s="12">
        <v>0.11196671578019435</v>
      </c>
      <c r="V336" s="12">
        <v>1.2998150005446962</v>
      </c>
    </row>
    <row r="337" spans="1:22" x14ac:dyDescent="0.3">
      <c r="A337" s="3">
        <v>90301</v>
      </c>
      <c r="B337" s="3" t="s">
        <v>454</v>
      </c>
      <c r="C337" s="3" t="s">
        <v>445</v>
      </c>
      <c r="D337" s="3" t="s">
        <v>455</v>
      </c>
      <c r="E337" s="3">
        <v>31600591.440000001</v>
      </c>
      <c r="F337" s="3">
        <v>40896569.652522959</v>
      </c>
      <c r="G337" s="3">
        <v>51965535.690000013</v>
      </c>
      <c r="H337" s="3">
        <f t="shared" si="42"/>
        <v>41487565.594174325</v>
      </c>
      <c r="I337" s="3">
        <v>39847.629999999997</v>
      </c>
      <c r="J337" s="3">
        <v>24191.49</v>
      </c>
      <c r="K337" s="3">
        <v>239027.87</v>
      </c>
      <c r="L337" s="3">
        <f t="shared" si="43"/>
        <v>101022.33</v>
      </c>
      <c r="M337" s="3">
        <v>20769002.589999989</v>
      </c>
      <c r="N337" s="3">
        <v>26223728.73</v>
      </c>
      <c r="O337" s="3">
        <v>22130485.370000001</v>
      </c>
      <c r="P337" s="3">
        <f t="shared" si="44"/>
        <v>23041072.23</v>
      </c>
      <c r="Q337" s="3">
        <v>103231.13</v>
      </c>
      <c r="R337" s="3">
        <v>59499.96</v>
      </c>
      <c r="S337" s="3">
        <v>59745.03</v>
      </c>
      <c r="T337" s="3">
        <f t="shared" si="45"/>
        <v>74158.706666666665</v>
      </c>
      <c r="U337" s="12">
        <v>0.24350025978430881</v>
      </c>
      <c r="V337" s="12">
        <v>0.32185440819073663</v>
      </c>
    </row>
    <row r="338" spans="1:22" x14ac:dyDescent="0.3">
      <c r="A338" s="3">
        <v>90302</v>
      </c>
      <c r="B338" s="3" t="s">
        <v>456</v>
      </c>
      <c r="C338" s="3" t="s">
        <v>445</v>
      </c>
      <c r="D338" s="3" t="s">
        <v>455</v>
      </c>
      <c r="E338" s="3">
        <v>28966181.699999999</v>
      </c>
      <c r="F338" s="3">
        <v>37389742.50518924</v>
      </c>
      <c r="G338" s="3">
        <v>47307384.049999997</v>
      </c>
      <c r="H338" s="3">
        <f t="shared" si="42"/>
        <v>37887769.418396413</v>
      </c>
      <c r="I338" s="3">
        <v>0</v>
      </c>
      <c r="J338" s="3">
        <v>0</v>
      </c>
      <c r="K338" s="3">
        <v>25035.81</v>
      </c>
      <c r="L338" s="3">
        <f t="shared" si="43"/>
        <v>8345.27</v>
      </c>
      <c r="M338" s="3">
        <v>19485571.629999992</v>
      </c>
      <c r="N338" s="3">
        <v>24535341.530000001</v>
      </c>
      <c r="O338" s="3">
        <v>20790982.199999999</v>
      </c>
      <c r="P338" s="3">
        <f t="shared" si="44"/>
        <v>21603965.120000001</v>
      </c>
      <c r="Q338" s="3">
        <v>106381.32</v>
      </c>
      <c r="R338" s="3">
        <v>0</v>
      </c>
      <c r="S338" s="3">
        <v>94289.21</v>
      </c>
      <c r="T338" s="3">
        <f t="shared" si="45"/>
        <v>66890.176666666681</v>
      </c>
      <c r="U338" s="12">
        <v>2.2026290088083024E-2</v>
      </c>
      <c r="V338" s="12">
        <v>0.30961990678619777</v>
      </c>
    </row>
    <row r="339" spans="1:22" x14ac:dyDescent="0.3">
      <c r="A339" s="3">
        <v>90303</v>
      </c>
      <c r="B339" s="3" t="s">
        <v>457</v>
      </c>
      <c r="C339" s="3" t="s">
        <v>445</v>
      </c>
      <c r="D339" s="3" t="s">
        <v>455</v>
      </c>
      <c r="E339" s="3">
        <v>18659928.739999998</v>
      </c>
      <c r="F339" s="3">
        <v>24035874.07544383</v>
      </c>
      <c r="G339" s="3">
        <v>30566150.789999992</v>
      </c>
      <c r="H339" s="3">
        <f t="shared" si="42"/>
        <v>24420651.201814607</v>
      </c>
      <c r="I339" s="3">
        <v>162418.28</v>
      </c>
      <c r="J339" s="3">
        <v>47771.02</v>
      </c>
      <c r="K339" s="3">
        <v>197779.43</v>
      </c>
      <c r="L339" s="3">
        <f t="shared" si="43"/>
        <v>135989.57666666666</v>
      </c>
      <c r="M339" s="3">
        <v>21593131.379999992</v>
      </c>
      <c r="N339" s="3">
        <v>27419411.199999999</v>
      </c>
      <c r="O339" s="3">
        <v>23743042.420000002</v>
      </c>
      <c r="P339" s="3">
        <f t="shared" si="44"/>
        <v>24251861.666666668</v>
      </c>
      <c r="Q339" s="3">
        <v>679160.96</v>
      </c>
      <c r="R339" s="3">
        <v>940948.00999999989</v>
      </c>
      <c r="S339" s="3">
        <v>1407229.77</v>
      </c>
      <c r="T339" s="3">
        <f t="shared" si="45"/>
        <v>1009112.9133333332</v>
      </c>
      <c r="U339" s="12">
        <v>0.55686302360586426</v>
      </c>
      <c r="V339" s="12">
        <v>4.1609709275239828</v>
      </c>
    </row>
    <row r="340" spans="1:22" x14ac:dyDescent="0.3">
      <c r="A340" s="3">
        <v>90401</v>
      </c>
      <c r="B340" s="3" t="s">
        <v>458</v>
      </c>
      <c r="C340" s="3" t="s">
        <v>445</v>
      </c>
      <c r="D340" s="3" t="s">
        <v>459</v>
      </c>
      <c r="E340" s="3">
        <v>17284114.789999999</v>
      </c>
      <c r="F340" s="3">
        <v>22429256.07824181</v>
      </c>
      <c r="G340" s="3">
        <v>28401455.579999998</v>
      </c>
      <c r="H340" s="3">
        <f t="shared" si="42"/>
        <v>22704942.149413932</v>
      </c>
      <c r="I340" s="3">
        <v>5527.4</v>
      </c>
      <c r="J340" s="3">
        <v>0</v>
      </c>
      <c r="K340" s="3">
        <v>0</v>
      </c>
      <c r="L340" s="3">
        <f t="shared" si="43"/>
        <v>1842.4666666666665</v>
      </c>
      <c r="M340" s="3">
        <v>6065098.1899999939</v>
      </c>
      <c r="N340" s="3">
        <v>7797569.7800000012</v>
      </c>
      <c r="O340" s="3">
        <v>6477463.8000000007</v>
      </c>
      <c r="P340" s="3">
        <f t="shared" si="44"/>
        <v>6780043.9233333319</v>
      </c>
      <c r="Q340" s="3">
        <v>0</v>
      </c>
      <c r="R340" s="3">
        <v>118647.21</v>
      </c>
      <c r="S340" s="3">
        <v>0</v>
      </c>
      <c r="T340" s="3">
        <f t="shared" si="45"/>
        <v>39549.07</v>
      </c>
      <c r="U340" s="12">
        <v>8.1148265190106421E-3</v>
      </c>
      <c r="V340" s="12">
        <v>0.58331583758466488</v>
      </c>
    </row>
    <row r="341" spans="1:22" x14ac:dyDescent="0.3">
      <c r="A341" s="3">
        <v>90402</v>
      </c>
      <c r="B341" s="3" t="s">
        <v>460</v>
      </c>
      <c r="C341" s="3" t="s">
        <v>445</v>
      </c>
      <c r="D341" s="3" t="s">
        <v>459</v>
      </c>
      <c r="E341" s="3">
        <v>7626038.2200000007</v>
      </c>
      <c r="F341" s="3">
        <v>9689841.6491275225</v>
      </c>
      <c r="G341" s="3">
        <v>12252206.949999999</v>
      </c>
      <c r="H341" s="3">
        <f t="shared" si="42"/>
        <v>9856028.9397091735</v>
      </c>
      <c r="I341" s="3">
        <v>115436.23</v>
      </c>
      <c r="J341" s="3">
        <v>0</v>
      </c>
      <c r="K341" s="3">
        <v>0</v>
      </c>
      <c r="L341" s="3">
        <f t="shared" si="43"/>
        <v>38478.743333333332</v>
      </c>
      <c r="M341" s="3">
        <v>4188411.9399999972</v>
      </c>
      <c r="N341" s="3">
        <v>5302927.6099999994</v>
      </c>
      <c r="O341" s="3">
        <v>4473253.47</v>
      </c>
      <c r="P341" s="3">
        <f t="shared" si="44"/>
        <v>4654864.3399999989</v>
      </c>
      <c r="Q341" s="3">
        <v>0</v>
      </c>
      <c r="R341" s="3">
        <v>0</v>
      </c>
      <c r="S341" s="3">
        <v>60</v>
      </c>
      <c r="T341" s="3">
        <f t="shared" si="45"/>
        <v>20</v>
      </c>
      <c r="U341" s="12">
        <v>0.39040818131433713</v>
      </c>
      <c r="V341" s="12">
        <v>4.2965806389107366E-4</v>
      </c>
    </row>
    <row r="342" spans="1:22" x14ac:dyDescent="0.3">
      <c r="A342" s="3">
        <v>90501</v>
      </c>
      <c r="B342" s="3" t="s">
        <v>461</v>
      </c>
      <c r="C342" s="3" t="s">
        <v>445</v>
      </c>
      <c r="D342" s="3" t="s">
        <v>462</v>
      </c>
      <c r="E342" s="3">
        <v>6097283.4900000002</v>
      </c>
      <c r="F342" s="3">
        <v>7939316.1854800684</v>
      </c>
      <c r="G342" s="3">
        <v>10003984.140000001</v>
      </c>
      <c r="H342" s="3">
        <f t="shared" si="42"/>
        <v>8013527.9384933561</v>
      </c>
      <c r="I342" s="3">
        <v>43583.47</v>
      </c>
      <c r="J342" s="3">
        <v>56015.219999999987</v>
      </c>
      <c r="K342" s="3">
        <v>14062.18</v>
      </c>
      <c r="L342" s="3">
        <f t="shared" si="43"/>
        <v>37886.956666666665</v>
      </c>
      <c r="M342" s="3">
        <v>5332565.3499999959</v>
      </c>
      <c r="N342" s="3">
        <v>6710321.6500000004</v>
      </c>
      <c r="O342" s="3">
        <v>5619587.4800000004</v>
      </c>
      <c r="P342" s="3">
        <f t="shared" si="44"/>
        <v>5887491.4933333322</v>
      </c>
      <c r="Q342" s="3">
        <v>95640.87</v>
      </c>
      <c r="R342" s="3">
        <v>79915.63</v>
      </c>
      <c r="S342" s="3">
        <v>26600</v>
      </c>
      <c r="T342" s="3">
        <f t="shared" si="45"/>
        <v>67385.5</v>
      </c>
      <c r="U342" s="12">
        <v>0.4727874783424027</v>
      </c>
      <c r="V342" s="12">
        <v>1.1445536707153392</v>
      </c>
    </row>
    <row r="343" spans="1:22" x14ac:dyDescent="0.3">
      <c r="A343" s="3">
        <v>90502</v>
      </c>
      <c r="B343" s="3" t="s">
        <v>463</v>
      </c>
      <c r="C343" s="3" t="s">
        <v>445</v>
      </c>
      <c r="D343" s="3" t="s">
        <v>462</v>
      </c>
      <c r="E343" s="3">
        <v>8298028.0199999996</v>
      </c>
      <c r="F343" s="3">
        <v>10704567.35503399</v>
      </c>
      <c r="G343" s="3">
        <v>13631410.25</v>
      </c>
      <c r="H343" s="3">
        <f t="shared" si="42"/>
        <v>10878001.87501133</v>
      </c>
      <c r="I343" s="3">
        <v>0</v>
      </c>
      <c r="J343" s="3">
        <v>0</v>
      </c>
      <c r="K343" s="3">
        <v>96510.95</v>
      </c>
      <c r="L343" s="3">
        <f t="shared" si="43"/>
        <v>32170.316666666666</v>
      </c>
      <c r="M343" s="3">
        <v>7093350.3699999955</v>
      </c>
      <c r="N343" s="3">
        <v>9144188.9000000022</v>
      </c>
      <c r="O343" s="3">
        <v>7718785.830000001</v>
      </c>
      <c r="P343" s="3">
        <f t="shared" si="44"/>
        <v>7985441.6999999993</v>
      </c>
      <c r="Q343" s="3">
        <v>0</v>
      </c>
      <c r="R343" s="3">
        <v>163439.23000000001</v>
      </c>
      <c r="S343" s="3">
        <v>143166.20000000001</v>
      </c>
      <c r="T343" s="3">
        <f t="shared" si="45"/>
        <v>102201.81000000001</v>
      </c>
      <c r="U343" s="12">
        <v>0.29573737011911627</v>
      </c>
      <c r="V343" s="12">
        <v>1.2798516830947502</v>
      </c>
    </row>
    <row r="344" spans="1:22" x14ac:dyDescent="0.3">
      <c r="A344" s="3">
        <v>90503</v>
      </c>
      <c r="B344" s="3" t="s">
        <v>464</v>
      </c>
      <c r="C344" s="3" t="s">
        <v>445</v>
      </c>
      <c r="D344" s="3" t="s">
        <v>462</v>
      </c>
      <c r="E344" s="3">
        <v>4319803.1999999993</v>
      </c>
      <c r="F344" s="3">
        <v>5433066.5018333867</v>
      </c>
      <c r="G344" s="3">
        <v>6882368.8700000001</v>
      </c>
      <c r="H344" s="3">
        <f t="shared" si="42"/>
        <v>5545079.5239444626</v>
      </c>
      <c r="I344" s="3">
        <v>140985.73000000001</v>
      </c>
      <c r="J344" s="3">
        <v>0</v>
      </c>
      <c r="K344" s="3">
        <v>0</v>
      </c>
      <c r="L344" s="3">
        <f t="shared" si="43"/>
        <v>46995.243333333339</v>
      </c>
      <c r="M344" s="3">
        <v>5482994.8999999948</v>
      </c>
      <c r="N344" s="3">
        <v>6949770.1799999997</v>
      </c>
      <c r="O344" s="3">
        <v>5855359.9599999981</v>
      </c>
      <c r="P344" s="3">
        <f t="shared" si="44"/>
        <v>6096041.6799999969</v>
      </c>
      <c r="Q344" s="3">
        <v>400</v>
      </c>
      <c r="R344" s="3">
        <v>8333.2999999999993</v>
      </c>
      <c r="S344" s="3">
        <v>0</v>
      </c>
      <c r="T344" s="3">
        <f t="shared" si="45"/>
        <v>2911.1</v>
      </c>
      <c r="U344" s="12">
        <v>0.84751252223527218</v>
      </c>
      <c r="V344" s="12">
        <v>4.7753938585275574E-2</v>
      </c>
    </row>
  </sheetData>
  <sortState xmlns:xlrd2="http://schemas.microsoft.com/office/spreadsheetml/2017/richdata2" ref="A2:V344">
    <sortCondition ref="A1:A3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4ECD-81C1-4AAC-ADD5-3AB146DD834E}">
  <dimension ref="A1:H344"/>
  <sheetViews>
    <sheetView workbookViewId="0">
      <selection activeCell="G1" sqref="G1:H1048576"/>
    </sheetView>
  </sheetViews>
  <sheetFormatPr baseColWidth="10" defaultColWidth="8.88671875" defaultRowHeight="14.4" x14ac:dyDescent="0.3"/>
  <cols>
    <col min="1" max="1" width="9" style="1" bestFit="1" customWidth="1"/>
    <col min="2" max="2" width="26.21875" style="1" customWidth="1"/>
    <col min="3" max="3" width="17.21875" style="1" customWidth="1"/>
    <col min="4" max="4" width="18.5546875" style="1" customWidth="1"/>
    <col min="5" max="5" width="18" style="1" customWidth="1"/>
    <col min="6" max="6" width="18.88671875" style="1" customWidth="1"/>
    <col min="7" max="16384" width="8.88671875" style="6"/>
  </cols>
  <sheetData>
    <row r="1" spans="1:8" s="8" customFormat="1" x14ac:dyDescent="0.3">
      <c r="A1" s="2" t="s">
        <v>0</v>
      </c>
      <c r="B1" s="2" t="s">
        <v>1</v>
      </c>
      <c r="C1" s="2" t="s">
        <v>489</v>
      </c>
      <c r="D1" s="2" t="s">
        <v>490</v>
      </c>
      <c r="E1" s="9" t="s">
        <v>491</v>
      </c>
      <c r="F1" s="9" t="s">
        <v>492</v>
      </c>
      <c r="G1" s="9" t="s">
        <v>471</v>
      </c>
      <c r="H1" s="9" t="s">
        <v>472</v>
      </c>
    </row>
    <row r="2" spans="1:8" x14ac:dyDescent="0.3">
      <c r="A2" s="3">
        <v>10101</v>
      </c>
      <c r="B2" s="3" t="s">
        <v>4</v>
      </c>
      <c r="C2" s="11">
        <v>494838603.35567427</v>
      </c>
      <c r="D2" s="11">
        <v>125819323.01666667</v>
      </c>
      <c r="E2" s="11">
        <v>499322082.92333335</v>
      </c>
      <c r="F2" s="11">
        <v>193520980.67666671</v>
      </c>
      <c r="G2" s="12">
        <f t="shared" ref="G2:G33" si="0">(D2*100)/C2</f>
        <v>25.426335407836348</v>
      </c>
      <c r="H2" s="12">
        <f t="shared" ref="H2:H65" si="1">(F2*100)/E2</f>
        <v>38.756743852320312</v>
      </c>
    </row>
    <row r="3" spans="1:8" x14ac:dyDescent="0.3">
      <c r="A3" s="3">
        <v>10102</v>
      </c>
      <c r="B3" s="3" t="s">
        <v>7</v>
      </c>
      <c r="C3" s="11">
        <v>17144644.556706291</v>
      </c>
      <c r="D3" s="11">
        <v>549103.72666666668</v>
      </c>
      <c r="E3" s="11">
        <v>12570188.633333331</v>
      </c>
      <c r="F3" s="11">
        <v>1497165.0033333332</v>
      </c>
      <c r="G3" s="12">
        <f t="shared" si="0"/>
        <v>3.2027711327026585</v>
      </c>
      <c r="H3" s="12">
        <f t="shared" si="1"/>
        <v>11.910441815989827</v>
      </c>
    </row>
    <row r="4" spans="1:8" x14ac:dyDescent="0.3">
      <c r="A4" s="3">
        <v>10103</v>
      </c>
      <c r="B4" s="3" t="s">
        <v>8</v>
      </c>
      <c r="C4" s="11">
        <v>29436085.501514029</v>
      </c>
      <c r="D4" s="11">
        <v>114746.79333333333</v>
      </c>
      <c r="E4" s="11">
        <v>20010289.256666664</v>
      </c>
      <c r="F4" s="11">
        <v>246903.05666666667</v>
      </c>
      <c r="G4" s="12">
        <f t="shared" si="0"/>
        <v>0.38981675510974922</v>
      </c>
      <c r="H4" s="12">
        <f t="shared" si="1"/>
        <v>1.2338804976765041</v>
      </c>
    </row>
    <row r="5" spans="1:8" x14ac:dyDescent="0.3">
      <c r="A5" s="3">
        <v>10201</v>
      </c>
      <c r="B5" s="3" t="s">
        <v>9</v>
      </c>
      <c r="C5" s="11">
        <v>21014436.90513248</v>
      </c>
      <c r="D5" s="11">
        <v>526457.03</v>
      </c>
      <c r="E5" s="11">
        <v>12894199.67333333</v>
      </c>
      <c r="F5" s="11">
        <v>427173.1766666667</v>
      </c>
      <c r="G5" s="12">
        <f t="shared" si="0"/>
        <v>2.5052159730790611</v>
      </c>
      <c r="H5" s="12">
        <f t="shared" si="1"/>
        <v>3.3129095832920084</v>
      </c>
    </row>
    <row r="6" spans="1:8" x14ac:dyDescent="0.3">
      <c r="A6" s="3">
        <v>10202</v>
      </c>
      <c r="B6" s="3" t="s">
        <v>11</v>
      </c>
      <c r="C6" s="11">
        <v>29491821.049914081</v>
      </c>
      <c r="D6" s="11">
        <v>128379.29</v>
      </c>
      <c r="E6" s="11">
        <v>16597420.793333327</v>
      </c>
      <c r="F6" s="11">
        <v>200032.76333333334</v>
      </c>
      <c r="G6" s="12">
        <f t="shared" si="0"/>
        <v>0.43530472324079833</v>
      </c>
      <c r="H6" s="12">
        <f t="shared" si="1"/>
        <v>1.2052039038118521</v>
      </c>
    </row>
    <row r="7" spans="1:8" x14ac:dyDescent="0.3">
      <c r="A7" s="3">
        <v>10301</v>
      </c>
      <c r="B7" s="3" t="s">
        <v>12</v>
      </c>
      <c r="C7" s="11">
        <v>13357269.440617466</v>
      </c>
      <c r="D7" s="11">
        <v>237881.51666666669</v>
      </c>
      <c r="E7" s="11">
        <v>14576151.506666666</v>
      </c>
      <c r="F7" s="11">
        <v>1278108.0199999998</v>
      </c>
      <c r="G7" s="12">
        <f t="shared" si="0"/>
        <v>1.7809142633845838</v>
      </c>
      <c r="H7" s="12">
        <f t="shared" si="1"/>
        <v>8.768487480494656</v>
      </c>
    </row>
    <row r="8" spans="1:8" x14ac:dyDescent="0.3">
      <c r="A8" s="3">
        <v>10302</v>
      </c>
      <c r="B8" s="3" t="s">
        <v>14</v>
      </c>
      <c r="C8" s="11">
        <v>16422616.152705824</v>
      </c>
      <c r="D8" s="11">
        <v>268126.37333333335</v>
      </c>
      <c r="E8" s="11">
        <v>14717037.616666665</v>
      </c>
      <c r="F8" s="11">
        <v>221626.87666666668</v>
      </c>
      <c r="G8" s="12">
        <f t="shared" si="0"/>
        <v>1.6326654099453959</v>
      </c>
      <c r="H8" s="12">
        <f t="shared" si="1"/>
        <v>1.5059204334415777</v>
      </c>
    </row>
    <row r="9" spans="1:8" x14ac:dyDescent="0.3">
      <c r="A9" s="3">
        <v>10303</v>
      </c>
      <c r="B9" s="3" t="s">
        <v>15</v>
      </c>
      <c r="C9" s="11">
        <v>14760366.723466372</v>
      </c>
      <c r="D9" s="11">
        <v>602595.04333333333</v>
      </c>
      <c r="E9" s="11">
        <v>10210613.116666665</v>
      </c>
      <c r="F9" s="11">
        <v>768021.91</v>
      </c>
      <c r="G9" s="12">
        <f t="shared" si="0"/>
        <v>4.0825208114600153</v>
      </c>
      <c r="H9" s="12">
        <f t="shared" si="1"/>
        <v>7.5218001233086262</v>
      </c>
    </row>
    <row r="10" spans="1:8" x14ac:dyDescent="0.3">
      <c r="A10" s="3">
        <v>10304</v>
      </c>
      <c r="B10" s="3" t="s">
        <v>16</v>
      </c>
      <c r="C10" s="11">
        <v>14883282.610223139</v>
      </c>
      <c r="D10" s="11">
        <v>131275.80333333334</v>
      </c>
      <c r="E10" s="11">
        <v>9553116.2399999965</v>
      </c>
      <c r="F10" s="11">
        <v>160854.92666666667</v>
      </c>
      <c r="G10" s="12">
        <f t="shared" si="0"/>
        <v>0.88203527925460246</v>
      </c>
      <c r="H10" s="12">
        <f t="shared" si="1"/>
        <v>1.6837953462049229</v>
      </c>
    </row>
    <row r="11" spans="1:8" x14ac:dyDescent="0.3">
      <c r="A11" s="3">
        <v>10401</v>
      </c>
      <c r="B11" s="3" t="s">
        <v>17</v>
      </c>
      <c r="C11" s="11">
        <v>23161184.666937899</v>
      </c>
      <c r="D11" s="11">
        <v>1129960.7466666668</v>
      </c>
      <c r="E11" s="11">
        <v>14102893.029999996</v>
      </c>
      <c r="F11" s="11">
        <v>1950717.3133333332</v>
      </c>
      <c r="G11" s="12">
        <f t="shared" si="0"/>
        <v>4.8786828606382207</v>
      </c>
      <c r="H11" s="12">
        <f t="shared" si="1"/>
        <v>13.832036513243933</v>
      </c>
    </row>
    <row r="12" spans="1:8" x14ac:dyDescent="0.3">
      <c r="A12" s="3">
        <v>10402</v>
      </c>
      <c r="B12" s="3" t="s">
        <v>19</v>
      </c>
      <c r="C12" s="11">
        <v>16224546.301342098</v>
      </c>
      <c r="D12" s="11">
        <v>105710.88</v>
      </c>
      <c r="E12" s="11">
        <v>10405945.526666665</v>
      </c>
      <c r="F12" s="11">
        <v>464744.02999999997</v>
      </c>
      <c r="G12" s="12">
        <f t="shared" si="0"/>
        <v>0.65154906668333512</v>
      </c>
      <c r="H12" s="12">
        <f t="shared" si="1"/>
        <v>4.4661393701228738</v>
      </c>
    </row>
    <row r="13" spans="1:8" x14ac:dyDescent="0.3">
      <c r="A13" s="3">
        <v>10403</v>
      </c>
      <c r="B13" s="3" t="s">
        <v>20</v>
      </c>
      <c r="C13" s="11">
        <v>13230735.42873461</v>
      </c>
      <c r="D13" s="11">
        <v>260705.31999999998</v>
      </c>
      <c r="E13" s="11">
        <v>9207601.0833333321</v>
      </c>
      <c r="F13" s="11">
        <v>649868.05333333334</v>
      </c>
      <c r="G13" s="12">
        <f t="shared" si="0"/>
        <v>1.970452220167582</v>
      </c>
      <c r="H13" s="12">
        <f t="shared" si="1"/>
        <v>7.0579518753224306</v>
      </c>
    </row>
    <row r="14" spans="1:8" x14ac:dyDescent="0.3">
      <c r="A14" s="3">
        <v>10404</v>
      </c>
      <c r="B14" s="3" t="s">
        <v>21</v>
      </c>
      <c r="C14" s="11">
        <v>7151792.3998050019</v>
      </c>
      <c r="D14" s="11">
        <v>37534.159999999996</v>
      </c>
      <c r="E14" s="11">
        <v>6032284.419999999</v>
      </c>
      <c r="F14" s="11">
        <v>295329.34666666668</v>
      </c>
      <c r="G14" s="12">
        <f t="shared" si="0"/>
        <v>0.52482172162915952</v>
      </c>
      <c r="H14" s="12">
        <f t="shared" si="1"/>
        <v>4.8958126988758055</v>
      </c>
    </row>
    <row r="15" spans="1:8" x14ac:dyDescent="0.3">
      <c r="A15" s="3">
        <v>10405</v>
      </c>
      <c r="B15" s="3" t="s">
        <v>22</v>
      </c>
      <c r="C15" s="11">
        <v>8263091.7035823343</v>
      </c>
      <c r="D15" s="11">
        <v>81512.19666666667</v>
      </c>
      <c r="E15" s="11">
        <v>5650961.4566666661</v>
      </c>
      <c r="F15" s="11">
        <v>425492</v>
      </c>
      <c r="G15" s="12">
        <f t="shared" si="0"/>
        <v>0.9864612374001408</v>
      </c>
      <c r="H15" s="12">
        <f t="shared" si="1"/>
        <v>7.5295505598968475</v>
      </c>
    </row>
    <row r="16" spans="1:8" x14ac:dyDescent="0.3">
      <c r="A16" s="3">
        <v>10501</v>
      </c>
      <c r="B16" s="3" t="s">
        <v>23</v>
      </c>
      <c r="C16" s="11">
        <v>49437957.771747082</v>
      </c>
      <c r="D16" s="11">
        <v>2835694.7333333339</v>
      </c>
      <c r="E16" s="11">
        <v>34799667.083333328</v>
      </c>
      <c r="F16" s="11">
        <v>6354867.2533333329</v>
      </c>
      <c r="G16" s="12">
        <f t="shared" si="0"/>
        <v>5.7358654385070151</v>
      </c>
      <c r="H16" s="12">
        <f t="shared" si="1"/>
        <v>18.261287494836068</v>
      </c>
    </row>
    <row r="17" spans="1:8" x14ac:dyDescent="0.3">
      <c r="A17" s="3">
        <v>10502</v>
      </c>
      <c r="B17" s="3" t="s">
        <v>25</v>
      </c>
      <c r="C17" s="11">
        <v>18439373.33754557</v>
      </c>
      <c r="D17" s="11">
        <v>633016.77333333332</v>
      </c>
      <c r="E17" s="11">
        <v>10047600.159999998</v>
      </c>
      <c r="F17" s="11">
        <v>276113.34333333332</v>
      </c>
      <c r="G17" s="12">
        <f t="shared" si="0"/>
        <v>3.4329625077030572</v>
      </c>
      <c r="H17" s="12">
        <f t="shared" si="1"/>
        <v>2.7480526587090361</v>
      </c>
    </row>
    <row r="18" spans="1:8" x14ac:dyDescent="0.3">
      <c r="A18" s="3">
        <v>10601</v>
      </c>
      <c r="B18" s="3" t="s">
        <v>26</v>
      </c>
      <c r="C18" s="11">
        <v>35712438.115104049</v>
      </c>
      <c r="D18" s="11">
        <v>821301.42333333322</v>
      </c>
      <c r="E18" s="11">
        <v>20656434.399999995</v>
      </c>
      <c r="F18" s="11">
        <v>824955.11</v>
      </c>
      <c r="G18" s="12">
        <f t="shared" si="0"/>
        <v>2.2997629584578152</v>
      </c>
      <c r="H18" s="12">
        <f t="shared" si="1"/>
        <v>3.9936955915295829</v>
      </c>
    </row>
    <row r="19" spans="1:8" x14ac:dyDescent="0.3">
      <c r="A19" s="3">
        <v>10602</v>
      </c>
      <c r="B19" s="3" t="s">
        <v>28</v>
      </c>
      <c r="C19" s="11">
        <v>17823720.498125494</v>
      </c>
      <c r="D19" s="11">
        <v>151913.37666666668</v>
      </c>
      <c r="E19" s="11">
        <v>12318374.289999997</v>
      </c>
      <c r="F19" s="11">
        <v>484559.58333333331</v>
      </c>
      <c r="G19" s="12">
        <f t="shared" si="0"/>
        <v>0.85231013739608008</v>
      </c>
      <c r="H19" s="12">
        <f t="shared" si="1"/>
        <v>3.9336325713588414</v>
      </c>
    </row>
    <row r="20" spans="1:8" x14ac:dyDescent="0.3">
      <c r="A20" s="3">
        <v>10701</v>
      </c>
      <c r="B20" s="3" t="s">
        <v>29</v>
      </c>
      <c r="C20" s="11">
        <v>26463172.523186985</v>
      </c>
      <c r="D20" s="11">
        <v>1382616.6933333334</v>
      </c>
      <c r="E20" s="11">
        <v>20640161.279999997</v>
      </c>
      <c r="F20" s="11">
        <v>2330263.2333333334</v>
      </c>
      <c r="G20" s="12">
        <f t="shared" si="0"/>
        <v>5.2246823094316719</v>
      </c>
      <c r="H20" s="12">
        <f t="shared" si="1"/>
        <v>11.289946826100255</v>
      </c>
    </row>
    <row r="21" spans="1:8" x14ac:dyDescent="0.3">
      <c r="A21" s="3">
        <v>10702</v>
      </c>
      <c r="B21" s="3" t="s">
        <v>31</v>
      </c>
      <c r="C21" s="11">
        <v>61652510.090883039</v>
      </c>
      <c r="D21" s="11">
        <v>3703705.2433333336</v>
      </c>
      <c r="E21" s="11">
        <v>41552181.069999985</v>
      </c>
      <c r="F21" s="11">
        <v>3489817.1733333343</v>
      </c>
      <c r="G21" s="12">
        <f t="shared" si="0"/>
        <v>6.0073875952068088</v>
      </c>
      <c r="H21" s="12">
        <f t="shared" si="1"/>
        <v>8.3986377693490724</v>
      </c>
    </row>
    <row r="22" spans="1:8" x14ac:dyDescent="0.3">
      <c r="A22" s="3">
        <v>10703</v>
      </c>
      <c r="B22" s="3" t="s">
        <v>32</v>
      </c>
      <c r="C22" s="11">
        <v>19942764.94482458</v>
      </c>
      <c r="D22" s="11">
        <v>446082.54333333339</v>
      </c>
      <c r="E22" s="11">
        <v>15545216.416666662</v>
      </c>
      <c r="F22" s="11">
        <v>264435.28666666668</v>
      </c>
      <c r="G22" s="12">
        <f t="shared" si="0"/>
        <v>2.2368139250876435</v>
      </c>
      <c r="H22" s="12">
        <f t="shared" si="1"/>
        <v>1.7010717611055888</v>
      </c>
    </row>
    <row r="23" spans="1:8" x14ac:dyDescent="0.3">
      <c r="A23" s="3">
        <v>10704</v>
      </c>
      <c r="B23" s="3" t="s">
        <v>43</v>
      </c>
      <c r="C23" s="11">
        <v>22306412.070157066</v>
      </c>
      <c r="D23" s="11">
        <v>81998.19</v>
      </c>
      <c r="E23" s="11">
        <v>20112172.896666665</v>
      </c>
      <c r="F23" s="11">
        <v>1210028.0166666668</v>
      </c>
      <c r="G23" s="12">
        <f t="shared" si="0"/>
        <v>0.36759918960567567</v>
      </c>
      <c r="H23" s="12">
        <f t="shared" si="1"/>
        <v>6.0163962535704609</v>
      </c>
    </row>
    <row r="24" spans="1:8" x14ac:dyDescent="0.3">
      <c r="A24" s="3">
        <v>10801</v>
      </c>
      <c r="B24" s="3" t="s">
        <v>33</v>
      </c>
      <c r="C24" s="11">
        <v>22423213.074601743</v>
      </c>
      <c r="D24" s="11">
        <v>484569.49666666664</v>
      </c>
      <c r="E24" s="11">
        <v>13930028.68</v>
      </c>
      <c r="F24" s="11">
        <v>867244.91333333321</v>
      </c>
      <c r="G24" s="12">
        <f t="shared" si="0"/>
        <v>2.161017223778368</v>
      </c>
      <c r="H24" s="12">
        <f t="shared" si="1"/>
        <v>6.2257223818819396</v>
      </c>
    </row>
    <row r="25" spans="1:8" x14ac:dyDescent="0.3">
      <c r="A25" s="3">
        <v>10901</v>
      </c>
      <c r="B25" s="3" t="s">
        <v>35</v>
      </c>
      <c r="C25" s="11">
        <v>5835341.3744605584</v>
      </c>
      <c r="D25" s="11">
        <v>182223.87</v>
      </c>
      <c r="E25" s="11">
        <v>4398948.0733333323</v>
      </c>
      <c r="F25" s="11">
        <v>286573.27666666667</v>
      </c>
      <c r="G25" s="12">
        <f t="shared" si="0"/>
        <v>3.1227628052325471</v>
      </c>
      <c r="H25" s="12">
        <f t="shared" si="1"/>
        <v>6.5145864849801205</v>
      </c>
    </row>
    <row r="26" spans="1:8" x14ac:dyDescent="0.3">
      <c r="A26" s="3">
        <v>10902</v>
      </c>
      <c r="B26" s="3" t="s">
        <v>37</v>
      </c>
      <c r="C26" s="11">
        <v>32222612.946669638</v>
      </c>
      <c r="D26" s="11">
        <v>730577.02999999991</v>
      </c>
      <c r="E26" s="11">
        <v>21808089.443333328</v>
      </c>
      <c r="F26" s="11">
        <v>1055467.7300000002</v>
      </c>
      <c r="G26" s="12">
        <f t="shared" si="0"/>
        <v>2.2672805312503637</v>
      </c>
      <c r="H26" s="12">
        <f t="shared" si="1"/>
        <v>4.8397991614192213</v>
      </c>
    </row>
    <row r="27" spans="1:8" x14ac:dyDescent="0.3">
      <c r="A27" s="3">
        <v>10903</v>
      </c>
      <c r="B27" s="3" t="s">
        <v>38</v>
      </c>
      <c r="C27" s="11">
        <v>6453557.9995419485</v>
      </c>
      <c r="D27" s="11">
        <v>193327.76666666663</v>
      </c>
      <c r="E27" s="11">
        <v>5128015.0333333323</v>
      </c>
      <c r="F27" s="11">
        <v>343804.21333333332</v>
      </c>
      <c r="G27" s="12">
        <f t="shared" si="0"/>
        <v>2.9956772168219201</v>
      </c>
      <c r="H27" s="12">
        <f t="shared" si="1"/>
        <v>6.7044306831887805</v>
      </c>
    </row>
    <row r="28" spans="1:8" x14ac:dyDescent="0.3">
      <c r="A28" s="3">
        <v>11001</v>
      </c>
      <c r="B28" s="3" t="s">
        <v>39</v>
      </c>
      <c r="C28" s="11">
        <v>21023961.142549369</v>
      </c>
      <c r="D28" s="11">
        <v>1998356.8466666667</v>
      </c>
      <c r="E28" s="11">
        <v>12549157.736666664</v>
      </c>
      <c r="F28" s="11">
        <v>1172988.4066666665</v>
      </c>
      <c r="G28" s="12">
        <f t="shared" si="0"/>
        <v>9.5051395553727964</v>
      </c>
      <c r="H28" s="12">
        <f t="shared" si="1"/>
        <v>9.3471484802472364</v>
      </c>
    </row>
    <row r="29" spans="1:8" x14ac:dyDescent="0.3">
      <c r="A29" s="3">
        <v>11002</v>
      </c>
      <c r="B29" s="3" t="s">
        <v>41</v>
      </c>
      <c r="C29" s="11">
        <v>6911775.1490680417</v>
      </c>
      <c r="D29" s="11">
        <v>2713825.7666666666</v>
      </c>
      <c r="E29" s="11">
        <v>3048049.0899999994</v>
      </c>
      <c r="F29" s="11">
        <v>74501.069999999992</v>
      </c>
      <c r="G29" s="12">
        <f t="shared" si="0"/>
        <v>39.263802831210285</v>
      </c>
      <c r="H29" s="12">
        <f t="shared" si="1"/>
        <v>2.4442214610132806</v>
      </c>
    </row>
    <row r="30" spans="1:8" x14ac:dyDescent="0.3">
      <c r="A30" s="3">
        <v>11003</v>
      </c>
      <c r="B30" s="3" t="s">
        <v>42</v>
      </c>
      <c r="C30" s="11">
        <v>13386007.632072957</v>
      </c>
      <c r="D30" s="11">
        <v>388889.64666666667</v>
      </c>
      <c r="E30" s="11">
        <v>9446337.2599999979</v>
      </c>
      <c r="F30" s="11">
        <v>764537.18333333323</v>
      </c>
      <c r="G30" s="12">
        <f t="shared" si="0"/>
        <v>2.9051951661441207</v>
      </c>
      <c r="H30" s="12">
        <f t="shared" si="1"/>
        <v>8.0934775277474422</v>
      </c>
    </row>
    <row r="31" spans="1:8" x14ac:dyDescent="0.3">
      <c r="A31" s="3">
        <v>20101</v>
      </c>
      <c r="B31" s="3" t="s">
        <v>44</v>
      </c>
      <c r="C31" s="11">
        <v>1458975917.4857616</v>
      </c>
      <c r="D31" s="11">
        <v>560258790.57666671</v>
      </c>
      <c r="E31" s="11">
        <v>1507760047.25</v>
      </c>
      <c r="F31" s="11">
        <v>790270499.39666653</v>
      </c>
      <c r="G31" s="12">
        <f t="shared" si="0"/>
        <v>38.400825117261363</v>
      </c>
      <c r="H31" s="12">
        <f t="shared" si="1"/>
        <v>52.413545566354479</v>
      </c>
    </row>
    <row r="32" spans="1:8" x14ac:dyDescent="0.3">
      <c r="A32" s="3">
        <v>20102</v>
      </c>
      <c r="B32" s="3" t="s">
        <v>47</v>
      </c>
      <c r="C32" s="11">
        <v>19031156.89322222</v>
      </c>
      <c r="D32" s="11">
        <v>1769055.6966666665</v>
      </c>
      <c r="E32" s="11">
        <v>29933380.419999998</v>
      </c>
      <c r="F32" s="11">
        <v>14373953.663333334</v>
      </c>
      <c r="G32" s="12">
        <f t="shared" si="0"/>
        <v>9.295576231083988</v>
      </c>
      <c r="H32" s="12">
        <f t="shared" si="1"/>
        <v>48.01981420624773</v>
      </c>
    </row>
    <row r="33" spans="1:8" x14ac:dyDescent="0.3">
      <c r="A33" s="3">
        <v>20103</v>
      </c>
      <c r="B33" s="3" t="s">
        <v>48</v>
      </c>
      <c r="C33" s="11">
        <v>15131476.844098175</v>
      </c>
      <c r="D33" s="11">
        <v>1090536.4833333334</v>
      </c>
      <c r="E33" s="11">
        <v>24282790.983333331</v>
      </c>
      <c r="F33" s="11">
        <v>9461389.9333333336</v>
      </c>
      <c r="G33" s="12">
        <f t="shared" si="0"/>
        <v>7.2070723470636127</v>
      </c>
      <c r="H33" s="12">
        <f t="shared" si="1"/>
        <v>38.963354500012898</v>
      </c>
    </row>
    <row r="34" spans="1:8" x14ac:dyDescent="0.3">
      <c r="A34" s="3">
        <v>20104</v>
      </c>
      <c r="B34" s="3" t="s">
        <v>49</v>
      </c>
      <c r="C34" s="11">
        <v>22089742.799922246</v>
      </c>
      <c r="D34" s="11">
        <v>3864751.7666666671</v>
      </c>
      <c r="E34" s="11">
        <v>60707511.313333325</v>
      </c>
      <c r="F34" s="11">
        <v>39743191.789999999</v>
      </c>
      <c r="G34" s="12">
        <f t="shared" ref="G34:G65" si="2">(D34*100)/C34</f>
        <v>17.495684769495234</v>
      </c>
      <c r="H34" s="12">
        <f t="shared" si="1"/>
        <v>65.466679378225663</v>
      </c>
    </row>
    <row r="35" spans="1:8" x14ac:dyDescent="0.3">
      <c r="A35" s="3">
        <v>20105</v>
      </c>
      <c r="B35" s="3" t="s">
        <v>50</v>
      </c>
      <c r="C35" s="11">
        <v>918124583.42658961</v>
      </c>
      <c r="D35" s="11">
        <v>158872742.07000005</v>
      </c>
      <c r="E35" s="11">
        <v>1192055548.1733334</v>
      </c>
      <c r="F35" s="11">
        <v>397805325.88999993</v>
      </c>
      <c r="G35" s="12">
        <f t="shared" si="2"/>
        <v>17.304050554562135</v>
      </c>
      <c r="H35" s="12">
        <f t="shared" si="1"/>
        <v>33.371374891009374</v>
      </c>
    </row>
    <row r="36" spans="1:8" x14ac:dyDescent="0.3">
      <c r="A36" s="3">
        <v>20201</v>
      </c>
      <c r="B36" s="3" t="s">
        <v>73</v>
      </c>
      <c r="C36" s="11">
        <v>62449486.42504283</v>
      </c>
      <c r="D36" s="11">
        <v>723504.19333333336</v>
      </c>
      <c r="E36" s="11">
        <v>44770987.656666659</v>
      </c>
      <c r="F36" s="11">
        <v>1656086.75</v>
      </c>
      <c r="G36" s="12">
        <f t="shared" si="2"/>
        <v>1.158543063763614</v>
      </c>
      <c r="H36" s="12">
        <f t="shared" si="1"/>
        <v>3.6990176823883383</v>
      </c>
    </row>
    <row r="37" spans="1:8" x14ac:dyDescent="0.3">
      <c r="A37" s="3">
        <v>20202</v>
      </c>
      <c r="B37" s="3" t="s">
        <v>75</v>
      </c>
      <c r="C37" s="11">
        <v>18483165.302182037</v>
      </c>
      <c r="D37" s="11">
        <v>64500.353333333325</v>
      </c>
      <c r="E37" s="11">
        <v>12536939.813333331</v>
      </c>
      <c r="F37" s="11">
        <v>240808.72999999998</v>
      </c>
      <c r="G37" s="12">
        <f t="shared" si="2"/>
        <v>0.34896811384205229</v>
      </c>
      <c r="H37" s="12">
        <f t="shared" si="1"/>
        <v>1.9207935396155786</v>
      </c>
    </row>
    <row r="38" spans="1:8" x14ac:dyDescent="0.3">
      <c r="A38" s="3">
        <v>20203</v>
      </c>
      <c r="B38" s="3" t="s">
        <v>151</v>
      </c>
      <c r="C38" s="11">
        <v>1974013.26</v>
      </c>
      <c r="D38" s="11">
        <v>0</v>
      </c>
      <c r="E38" s="11">
        <v>4888012.549999998</v>
      </c>
      <c r="F38" s="11">
        <v>205302.89666666664</v>
      </c>
      <c r="G38" s="12">
        <f t="shared" si="2"/>
        <v>0</v>
      </c>
      <c r="H38" s="12">
        <f t="shared" si="1"/>
        <v>4.2001303099491167</v>
      </c>
    </row>
    <row r="39" spans="1:8" x14ac:dyDescent="0.3">
      <c r="A39" s="3">
        <v>20204</v>
      </c>
      <c r="B39" s="3" t="s">
        <v>145</v>
      </c>
      <c r="C39" s="11">
        <v>10744372.477719726</v>
      </c>
      <c r="D39" s="11">
        <v>869930.46</v>
      </c>
      <c r="E39" s="11">
        <v>9590389.7166666649</v>
      </c>
      <c r="F39" s="11">
        <v>1579718.1600000001</v>
      </c>
      <c r="G39" s="12">
        <f t="shared" si="2"/>
        <v>8.0966148726130633</v>
      </c>
      <c r="H39" s="12">
        <f t="shared" si="1"/>
        <v>16.471887031396502</v>
      </c>
    </row>
    <row r="40" spans="1:8" x14ac:dyDescent="0.3">
      <c r="A40" s="3">
        <v>20205</v>
      </c>
      <c r="B40" s="3" t="s">
        <v>146</v>
      </c>
      <c r="C40" s="11">
        <v>1036397.0766666667</v>
      </c>
      <c r="D40" s="11">
        <v>21253.253333333334</v>
      </c>
      <c r="E40" s="11">
        <v>4540929.9333333327</v>
      </c>
      <c r="F40" s="11">
        <v>865479.82333333325</v>
      </c>
      <c r="G40" s="12">
        <f t="shared" si="2"/>
        <v>2.0506863452075286</v>
      </c>
      <c r="H40" s="12">
        <f t="shared" si="1"/>
        <v>19.059528247290437</v>
      </c>
    </row>
    <row r="41" spans="1:8" x14ac:dyDescent="0.3">
      <c r="A41" s="3">
        <v>20206</v>
      </c>
      <c r="B41" s="3" t="s">
        <v>150</v>
      </c>
      <c r="C41" s="11">
        <v>14540056.380721623</v>
      </c>
      <c r="D41" s="11">
        <v>425486</v>
      </c>
      <c r="E41" s="11">
        <v>10817183.149999997</v>
      </c>
      <c r="F41" s="11">
        <v>851162.02999999991</v>
      </c>
      <c r="G41" s="12">
        <f t="shared" si="2"/>
        <v>2.9263022704928683</v>
      </c>
      <c r="H41" s="12">
        <f t="shared" si="1"/>
        <v>7.8686106927939008</v>
      </c>
    </row>
    <row r="42" spans="1:8" x14ac:dyDescent="0.3">
      <c r="A42" s="3">
        <v>20301</v>
      </c>
      <c r="B42" s="3" t="s">
        <v>91</v>
      </c>
      <c r="C42" s="11">
        <v>14461272.25604648</v>
      </c>
      <c r="D42" s="11">
        <v>153656.42333333334</v>
      </c>
      <c r="E42" s="11">
        <v>14154565.353333332</v>
      </c>
      <c r="F42" s="11">
        <v>407264.29666666663</v>
      </c>
      <c r="G42" s="12">
        <f t="shared" si="2"/>
        <v>1.0625373799258031</v>
      </c>
      <c r="H42" s="12">
        <f t="shared" si="1"/>
        <v>2.8772645892002462</v>
      </c>
    </row>
    <row r="43" spans="1:8" x14ac:dyDescent="0.3">
      <c r="A43" s="3">
        <v>20302</v>
      </c>
      <c r="B43" s="3" t="s">
        <v>93</v>
      </c>
      <c r="C43" s="11">
        <v>10643460.557632463</v>
      </c>
      <c r="D43" s="11">
        <v>942.93666666666661</v>
      </c>
      <c r="E43" s="11">
        <v>9457947.1166666653</v>
      </c>
      <c r="F43" s="11">
        <v>210741.79333333333</v>
      </c>
      <c r="G43" s="12">
        <f t="shared" si="2"/>
        <v>8.8593053129743908E-3</v>
      </c>
      <c r="H43" s="12">
        <f t="shared" si="1"/>
        <v>2.2281980511602462</v>
      </c>
    </row>
    <row r="44" spans="1:8" x14ac:dyDescent="0.3">
      <c r="A44" s="3">
        <v>20303</v>
      </c>
      <c r="B44" s="3" t="s">
        <v>94</v>
      </c>
      <c r="C44" s="11">
        <v>4683404.3662238447</v>
      </c>
      <c r="D44" s="11">
        <v>7778.2566666666671</v>
      </c>
      <c r="E44" s="11">
        <v>3833418.0166666657</v>
      </c>
      <c r="F44" s="11">
        <v>201965.08666666667</v>
      </c>
      <c r="G44" s="12">
        <f t="shared" si="2"/>
        <v>0.16608125326018247</v>
      </c>
      <c r="H44" s="12">
        <f t="shared" si="1"/>
        <v>5.2685380459051698</v>
      </c>
    </row>
    <row r="45" spans="1:8" x14ac:dyDescent="0.3">
      <c r="A45" s="3">
        <v>20304</v>
      </c>
      <c r="B45" s="3" t="s">
        <v>95</v>
      </c>
      <c r="C45" s="11">
        <v>3385242.1763203912</v>
      </c>
      <c r="D45" s="11">
        <v>59422.459999999992</v>
      </c>
      <c r="E45" s="11">
        <v>3078791.9299999992</v>
      </c>
      <c r="F45" s="11">
        <v>40835.916666666664</v>
      </c>
      <c r="G45" s="12">
        <f t="shared" si="2"/>
        <v>1.7553385224743236</v>
      </c>
      <c r="H45" s="12">
        <f t="shared" si="1"/>
        <v>1.3263616897510406</v>
      </c>
    </row>
    <row r="46" spans="1:8" x14ac:dyDescent="0.3">
      <c r="A46" s="3">
        <v>20305</v>
      </c>
      <c r="B46" s="3" t="s">
        <v>96</v>
      </c>
      <c r="C46" s="11">
        <v>2024331.0441768756</v>
      </c>
      <c r="D46" s="11">
        <v>7.6466666666666656</v>
      </c>
      <c r="E46" s="11">
        <v>4744579.5133333318</v>
      </c>
      <c r="F46" s="11">
        <v>85.666666666666671</v>
      </c>
      <c r="G46" s="12">
        <f t="shared" si="2"/>
        <v>3.7773795391138305E-4</v>
      </c>
      <c r="H46" s="12">
        <f t="shared" si="1"/>
        <v>1.8055692064159563E-3</v>
      </c>
    </row>
    <row r="47" spans="1:8" x14ac:dyDescent="0.3">
      <c r="A47" s="3">
        <v>20306</v>
      </c>
      <c r="B47" s="3" t="s">
        <v>97</v>
      </c>
      <c r="C47" s="11">
        <v>319423.87862606201</v>
      </c>
      <c r="D47" s="11">
        <v>34.933333333333337</v>
      </c>
      <c r="E47" s="11">
        <v>608526.75999999978</v>
      </c>
      <c r="F47" s="11">
        <v>29743.833333333332</v>
      </c>
      <c r="G47" s="12">
        <f t="shared" si="2"/>
        <v>1.0936356256016955E-2</v>
      </c>
      <c r="H47" s="12">
        <f t="shared" si="1"/>
        <v>4.8878431136427496</v>
      </c>
    </row>
    <row r="48" spans="1:8" x14ac:dyDescent="0.3">
      <c r="A48" s="3">
        <v>20307</v>
      </c>
      <c r="B48" s="3" t="s">
        <v>98</v>
      </c>
      <c r="C48" s="11">
        <v>9937700.2198703606</v>
      </c>
      <c r="D48" s="11">
        <v>51601.91333333333</v>
      </c>
      <c r="E48" s="11">
        <v>6974992.2566666668</v>
      </c>
      <c r="F48" s="11">
        <v>152323.67333333334</v>
      </c>
      <c r="G48" s="12">
        <f t="shared" si="2"/>
        <v>0.51925407480249475</v>
      </c>
      <c r="H48" s="12">
        <f t="shared" si="1"/>
        <v>2.1838543718488439</v>
      </c>
    </row>
    <row r="49" spans="1:8" x14ac:dyDescent="0.3">
      <c r="A49" s="3">
        <v>20308</v>
      </c>
      <c r="B49" s="3" t="s">
        <v>99</v>
      </c>
      <c r="C49" s="11">
        <v>16107322.09290991</v>
      </c>
      <c r="D49" s="11">
        <v>52770.443333333336</v>
      </c>
      <c r="E49" s="11">
        <v>11642962.17333333</v>
      </c>
      <c r="F49" s="11">
        <v>1069688.57</v>
      </c>
      <c r="G49" s="12">
        <f t="shared" si="2"/>
        <v>0.32761773204101835</v>
      </c>
      <c r="H49" s="12">
        <f t="shared" si="1"/>
        <v>9.1874263102046374</v>
      </c>
    </row>
    <row r="50" spans="1:8" x14ac:dyDescent="0.3">
      <c r="A50" s="3">
        <v>20401</v>
      </c>
      <c r="B50" s="3" t="s">
        <v>100</v>
      </c>
      <c r="C50" s="11">
        <v>21056838.424821563</v>
      </c>
      <c r="D50" s="11">
        <v>12395.730000000001</v>
      </c>
      <c r="E50" s="11">
        <v>14724410.803333329</v>
      </c>
      <c r="F50" s="11">
        <v>66679.463333333333</v>
      </c>
      <c r="G50" s="12">
        <f t="shared" si="2"/>
        <v>5.8867954200513099E-2</v>
      </c>
      <c r="H50" s="12">
        <f t="shared" si="1"/>
        <v>0.45284978953615146</v>
      </c>
    </row>
    <row r="51" spans="1:8" x14ac:dyDescent="0.3">
      <c r="A51" s="3">
        <v>20402</v>
      </c>
      <c r="B51" s="3" t="s">
        <v>102</v>
      </c>
      <c r="C51" s="11">
        <v>18360244.604887705</v>
      </c>
      <c r="D51" s="11">
        <v>593408.89</v>
      </c>
      <c r="E51" s="11">
        <v>14966513.499999998</v>
      </c>
      <c r="F51" s="11">
        <v>1310646.3166666667</v>
      </c>
      <c r="G51" s="12">
        <f t="shared" si="2"/>
        <v>3.2320315048636541</v>
      </c>
      <c r="H51" s="12">
        <f t="shared" si="1"/>
        <v>8.7571919583453219</v>
      </c>
    </row>
    <row r="52" spans="1:8" x14ac:dyDescent="0.3">
      <c r="A52" s="3">
        <v>20403</v>
      </c>
      <c r="B52" s="3" t="s">
        <v>103</v>
      </c>
      <c r="C52" s="11">
        <v>6692753.5800489606</v>
      </c>
      <c r="D52" s="11">
        <v>1015.9933333333332</v>
      </c>
      <c r="E52" s="11">
        <v>5059735.0266666645</v>
      </c>
      <c r="F52" s="11">
        <v>60687.556666666664</v>
      </c>
      <c r="G52" s="12">
        <f t="shared" si="2"/>
        <v>1.5180498148953227E-2</v>
      </c>
      <c r="H52" s="12">
        <f t="shared" si="1"/>
        <v>1.1994216366434391</v>
      </c>
    </row>
    <row r="53" spans="1:8" x14ac:dyDescent="0.3">
      <c r="A53" s="3">
        <v>20404</v>
      </c>
      <c r="B53" s="3" t="s">
        <v>148</v>
      </c>
      <c r="C53" s="11">
        <v>8865148.5698754396</v>
      </c>
      <c r="D53" s="11">
        <v>63266.446666666678</v>
      </c>
      <c r="E53" s="11">
        <v>6822293.6366666658</v>
      </c>
      <c r="F53" s="11">
        <v>96045.60000000002</v>
      </c>
      <c r="G53" s="12">
        <f t="shared" si="2"/>
        <v>0.71365354080643018</v>
      </c>
      <c r="H53" s="12">
        <f t="shared" si="1"/>
        <v>1.4078197907489562</v>
      </c>
    </row>
    <row r="54" spans="1:8" x14ac:dyDescent="0.3">
      <c r="A54" s="3">
        <v>20405</v>
      </c>
      <c r="B54" s="3" t="s">
        <v>147</v>
      </c>
      <c r="C54" s="11">
        <v>15670269.982367767</v>
      </c>
      <c r="D54" s="11">
        <v>29329.919999999998</v>
      </c>
      <c r="E54" s="11">
        <v>11703429.496666668</v>
      </c>
      <c r="F54" s="11">
        <v>964133.54</v>
      </c>
      <c r="G54" s="12">
        <f t="shared" si="2"/>
        <v>0.18716920661227987</v>
      </c>
      <c r="H54" s="12">
        <f t="shared" si="1"/>
        <v>8.2380428768729832</v>
      </c>
    </row>
    <row r="55" spans="1:8" x14ac:dyDescent="0.3">
      <c r="A55" s="3">
        <v>20501</v>
      </c>
      <c r="B55" s="3" t="s">
        <v>87</v>
      </c>
      <c r="C55" s="11">
        <v>9823300.3728740271</v>
      </c>
      <c r="D55" s="11">
        <v>92509.466666666674</v>
      </c>
      <c r="E55" s="11">
        <v>7991595.8066666648</v>
      </c>
      <c r="F55" s="11">
        <v>119911.60333333333</v>
      </c>
      <c r="G55" s="12">
        <f t="shared" si="2"/>
        <v>0.94173509060276206</v>
      </c>
      <c r="H55" s="12">
        <f t="shared" si="1"/>
        <v>1.5004713230529245</v>
      </c>
    </row>
    <row r="56" spans="1:8" x14ac:dyDescent="0.3">
      <c r="A56" s="3">
        <v>20502</v>
      </c>
      <c r="B56" s="3" t="s">
        <v>89</v>
      </c>
      <c r="C56" s="11">
        <v>5606727.769703147</v>
      </c>
      <c r="D56" s="11">
        <v>480840.44</v>
      </c>
      <c r="E56" s="11">
        <v>5596996.4099999992</v>
      </c>
      <c r="F56" s="11">
        <v>454449.60333333333</v>
      </c>
      <c r="G56" s="12">
        <f t="shared" si="2"/>
        <v>8.5761331698374672</v>
      </c>
      <c r="H56" s="12">
        <f t="shared" si="1"/>
        <v>8.119526439598582</v>
      </c>
    </row>
    <row r="57" spans="1:8" x14ac:dyDescent="0.3">
      <c r="A57" s="3">
        <v>20503</v>
      </c>
      <c r="B57" s="3" t="s">
        <v>90</v>
      </c>
      <c r="C57" s="11">
        <v>23748004.528409015</v>
      </c>
      <c r="D57" s="11">
        <v>967318.69666666666</v>
      </c>
      <c r="E57" s="11">
        <v>27527597.34333333</v>
      </c>
      <c r="F57" s="11">
        <v>5521494.9366666665</v>
      </c>
      <c r="G57" s="12">
        <f t="shared" si="2"/>
        <v>4.0732630630480671</v>
      </c>
      <c r="H57" s="12">
        <f t="shared" si="1"/>
        <v>20.058034371110377</v>
      </c>
    </row>
    <row r="58" spans="1:8" x14ac:dyDescent="0.3">
      <c r="A58" s="3">
        <v>20601</v>
      </c>
      <c r="B58" s="3" t="s">
        <v>76</v>
      </c>
      <c r="C58" s="11">
        <v>14832189.114057317</v>
      </c>
      <c r="D58" s="11">
        <v>1182386.5866666667</v>
      </c>
      <c r="E58" s="11">
        <v>24275371.02333333</v>
      </c>
      <c r="F58" s="11">
        <v>10432778.029999999</v>
      </c>
      <c r="G58" s="12">
        <f t="shared" si="2"/>
        <v>7.9717604567625902</v>
      </c>
      <c r="H58" s="12">
        <f t="shared" si="1"/>
        <v>42.976801549076555</v>
      </c>
    </row>
    <row r="59" spans="1:8" x14ac:dyDescent="0.3">
      <c r="A59" s="3">
        <v>20602</v>
      </c>
      <c r="B59" s="3" t="s">
        <v>78</v>
      </c>
      <c r="C59" s="11">
        <v>8107374.4384828806</v>
      </c>
      <c r="D59" s="11">
        <v>569267.64</v>
      </c>
      <c r="E59" s="11">
        <v>10173122.203333331</v>
      </c>
      <c r="F59" s="11">
        <v>2515578.8433333337</v>
      </c>
      <c r="G59" s="12">
        <f t="shared" si="2"/>
        <v>7.0216029162028697</v>
      </c>
      <c r="H59" s="12">
        <f t="shared" si="1"/>
        <v>24.727697092924704</v>
      </c>
    </row>
    <row r="60" spans="1:8" x14ac:dyDescent="0.3">
      <c r="A60" s="3">
        <v>20603</v>
      </c>
      <c r="B60" s="3" t="s">
        <v>79</v>
      </c>
      <c r="C60" s="11">
        <v>3687718.0661415407</v>
      </c>
      <c r="D60" s="11">
        <v>483628.77333333326</v>
      </c>
      <c r="E60" s="11">
        <v>2656192.1666666665</v>
      </c>
      <c r="F60" s="11">
        <v>144332.59666666665</v>
      </c>
      <c r="G60" s="12">
        <f t="shared" si="2"/>
        <v>13.114581013492554</v>
      </c>
      <c r="H60" s="12">
        <f t="shared" si="1"/>
        <v>5.4338160648893812</v>
      </c>
    </row>
    <row r="61" spans="1:8" x14ac:dyDescent="0.3">
      <c r="A61" s="3">
        <v>20604</v>
      </c>
      <c r="B61" s="3" t="s">
        <v>81</v>
      </c>
      <c r="C61" s="11">
        <v>3281861.3616531198</v>
      </c>
      <c r="D61" s="11">
        <v>6.6533333333333333</v>
      </c>
      <c r="E61" s="11">
        <v>3506603.5466666655</v>
      </c>
      <c r="F61" s="11">
        <v>14631.269999999999</v>
      </c>
      <c r="G61" s="12">
        <f t="shared" si="2"/>
        <v>2.0273048127730648E-4</v>
      </c>
      <c r="H61" s="12">
        <f t="shared" si="1"/>
        <v>0.41724905040686178</v>
      </c>
    </row>
    <row r="62" spans="1:8" x14ac:dyDescent="0.3">
      <c r="A62" s="3">
        <v>20605</v>
      </c>
      <c r="B62" s="3" t="s">
        <v>82</v>
      </c>
      <c r="C62" s="11">
        <v>12125681.12496119</v>
      </c>
      <c r="D62" s="11">
        <v>1231613.46</v>
      </c>
      <c r="E62" s="11">
        <v>12360542.656666666</v>
      </c>
      <c r="F62" s="11">
        <v>3014109.5833333335</v>
      </c>
      <c r="G62" s="12">
        <f t="shared" si="2"/>
        <v>10.157066207725647</v>
      </c>
      <c r="H62" s="12">
        <f t="shared" si="1"/>
        <v>24.384929262856204</v>
      </c>
    </row>
    <row r="63" spans="1:8" x14ac:dyDescent="0.3">
      <c r="A63" s="3">
        <v>20606</v>
      </c>
      <c r="B63" s="3" t="s">
        <v>80</v>
      </c>
      <c r="C63" s="11">
        <v>12447312.445783362</v>
      </c>
      <c r="D63" s="11">
        <v>947531.70666666667</v>
      </c>
      <c r="E63" s="11">
        <v>18355426.843333334</v>
      </c>
      <c r="F63" s="11">
        <v>5352999.6833333327</v>
      </c>
      <c r="G63" s="12">
        <f t="shared" si="2"/>
        <v>7.6123396981783928</v>
      </c>
      <c r="H63" s="12">
        <f t="shared" si="1"/>
        <v>29.163035700679089</v>
      </c>
    </row>
    <row r="64" spans="1:8" x14ac:dyDescent="0.3">
      <c r="A64" s="3">
        <v>20607</v>
      </c>
      <c r="B64" s="3" t="s">
        <v>140</v>
      </c>
      <c r="C64" s="11">
        <v>8788570.718427211</v>
      </c>
      <c r="D64" s="11">
        <v>287402.45</v>
      </c>
      <c r="E64" s="11">
        <v>13192875.699999997</v>
      </c>
      <c r="F64" s="11">
        <v>4434826.0266666664</v>
      </c>
      <c r="G64" s="12">
        <f t="shared" si="2"/>
        <v>3.2701841881683475</v>
      </c>
      <c r="H64" s="12">
        <f t="shared" si="1"/>
        <v>33.615309713458963</v>
      </c>
    </row>
    <row r="65" spans="1:8" x14ac:dyDescent="0.3">
      <c r="A65" s="3">
        <v>20608</v>
      </c>
      <c r="B65" s="3" t="s">
        <v>141</v>
      </c>
      <c r="C65" s="11">
        <v>16644679.906716719</v>
      </c>
      <c r="D65" s="11">
        <v>359070.97666666663</v>
      </c>
      <c r="E65" s="11">
        <v>20447684.439999994</v>
      </c>
      <c r="F65" s="11">
        <v>1438317.0766666669</v>
      </c>
      <c r="G65" s="12">
        <f t="shared" si="2"/>
        <v>2.1572717449601946</v>
      </c>
      <c r="H65" s="12">
        <f t="shared" si="1"/>
        <v>7.0341318152045353</v>
      </c>
    </row>
    <row r="66" spans="1:8" x14ac:dyDescent="0.3">
      <c r="A66" s="3">
        <v>20701</v>
      </c>
      <c r="B66" s="3" t="s">
        <v>104</v>
      </c>
      <c r="C66" s="11">
        <v>6653984.606062606</v>
      </c>
      <c r="D66" s="11">
        <v>461682.09</v>
      </c>
      <c r="E66" s="11">
        <v>10635929.220000001</v>
      </c>
      <c r="F66" s="11">
        <v>4289743.6500000004</v>
      </c>
      <c r="G66" s="12">
        <f t="shared" ref="G66:G97" si="3">(D66*100)/C66</f>
        <v>6.9384303892039414</v>
      </c>
      <c r="H66" s="12">
        <f t="shared" ref="H66:H129" si="4">(F66*100)/E66</f>
        <v>40.332570490723896</v>
      </c>
    </row>
    <row r="67" spans="1:8" x14ac:dyDescent="0.3">
      <c r="A67" s="3">
        <v>20702</v>
      </c>
      <c r="B67" s="3" t="s">
        <v>106</v>
      </c>
      <c r="C67" s="11">
        <v>69519461.098828241</v>
      </c>
      <c r="D67" s="11">
        <v>14242535.026666665</v>
      </c>
      <c r="E67" s="11">
        <v>122284201.4133333</v>
      </c>
      <c r="F67" s="11">
        <v>46720084.863333337</v>
      </c>
      <c r="G67" s="12">
        <f t="shared" si="3"/>
        <v>20.487119436123944</v>
      </c>
      <c r="H67" s="12">
        <f t="shared" si="4"/>
        <v>38.206149546182665</v>
      </c>
    </row>
    <row r="68" spans="1:8" x14ac:dyDescent="0.3">
      <c r="A68" s="3">
        <v>20801</v>
      </c>
      <c r="B68" s="3" t="s">
        <v>51</v>
      </c>
      <c r="C68" s="11">
        <v>9108722.1006429922</v>
      </c>
      <c r="D68" s="11">
        <v>79808.09</v>
      </c>
      <c r="E68" s="11">
        <v>7088972.6166666644</v>
      </c>
      <c r="F68" s="11">
        <v>276601.77666666667</v>
      </c>
      <c r="G68" s="12">
        <f t="shared" si="3"/>
        <v>0.87617219098567389</v>
      </c>
      <c r="H68" s="12">
        <f t="shared" si="4"/>
        <v>3.9018598550706316</v>
      </c>
    </row>
    <row r="69" spans="1:8" x14ac:dyDescent="0.3">
      <c r="A69" s="3">
        <v>20802</v>
      </c>
      <c r="B69" s="3" t="s">
        <v>53</v>
      </c>
      <c r="C69" s="11">
        <v>18243470.676397998</v>
      </c>
      <c r="D69" s="11">
        <v>4532791.7966666669</v>
      </c>
      <c r="E69" s="11">
        <v>11839625.596666658</v>
      </c>
      <c r="F69" s="11">
        <v>429994.83333333331</v>
      </c>
      <c r="G69" s="12">
        <f t="shared" si="3"/>
        <v>24.846104543752439</v>
      </c>
      <c r="H69" s="12">
        <f t="shared" si="4"/>
        <v>3.6318279646815395</v>
      </c>
    </row>
    <row r="70" spans="1:8" x14ac:dyDescent="0.3">
      <c r="A70" s="3">
        <v>20803</v>
      </c>
      <c r="B70" s="3" t="s">
        <v>54</v>
      </c>
      <c r="C70" s="11">
        <v>6399845.237011564</v>
      </c>
      <c r="D70" s="11">
        <v>544477.91333333333</v>
      </c>
      <c r="E70" s="11">
        <v>8665046.0533333328</v>
      </c>
      <c r="F70" s="11">
        <v>2125084.7633333332</v>
      </c>
      <c r="G70" s="12">
        <f t="shared" si="3"/>
        <v>8.5076731259767104</v>
      </c>
      <c r="H70" s="12">
        <f t="shared" si="4"/>
        <v>24.524794793396858</v>
      </c>
    </row>
    <row r="71" spans="1:8" x14ac:dyDescent="0.3">
      <c r="A71" s="3">
        <v>20804</v>
      </c>
      <c r="B71" s="3" t="s">
        <v>55</v>
      </c>
      <c r="C71" s="11">
        <v>10033797.998771852</v>
      </c>
      <c r="D71" s="11">
        <v>83379.963333333333</v>
      </c>
      <c r="E71" s="11">
        <v>8325592.8599999994</v>
      </c>
      <c r="F71" s="11">
        <v>883308.40666666662</v>
      </c>
      <c r="G71" s="12">
        <f t="shared" si="3"/>
        <v>0.83099104988499006</v>
      </c>
      <c r="H71" s="12">
        <f t="shared" si="4"/>
        <v>10.609555637899241</v>
      </c>
    </row>
    <row r="72" spans="1:8" x14ac:dyDescent="0.3">
      <c r="A72" s="3">
        <v>20805</v>
      </c>
      <c r="B72" s="3" t="s">
        <v>142</v>
      </c>
      <c r="C72" s="11">
        <v>7784381.9611813733</v>
      </c>
      <c r="D72" s="11">
        <v>152451.78333333333</v>
      </c>
      <c r="E72" s="11">
        <v>6068367.1666666642</v>
      </c>
      <c r="F72" s="11">
        <v>316614.6166666667</v>
      </c>
      <c r="G72" s="12">
        <f t="shared" si="3"/>
        <v>1.9584314348084344</v>
      </c>
      <c r="H72" s="12">
        <f t="shared" si="4"/>
        <v>5.2174597873019302</v>
      </c>
    </row>
    <row r="73" spans="1:8" x14ac:dyDescent="0.3">
      <c r="A73" s="3">
        <v>20806</v>
      </c>
      <c r="B73" s="3" t="s">
        <v>143</v>
      </c>
      <c r="C73" s="11">
        <v>16053424.776799656</v>
      </c>
      <c r="D73" s="11">
        <v>75125.82666666666</v>
      </c>
      <c r="E73" s="11">
        <v>14739135.11666666</v>
      </c>
      <c r="F73" s="11">
        <v>662143.8933333332</v>
      </c>
      <c r="G73" s="12">
        <f t="shared" si="3"/>
        <v>0.46797382933041304</v>
      </c>
      <c r="H73" s="12">
        <f t="shared" si="4"/>
        <v>4.4924202681648318</v>
      </c>
    </row>
    <row r="74" spans="1:8" x14ac:dyDescent="0.3">
      <c r="A74" s="3">
        <v>20807</v>
      </c>
      <c r="B74" s="3" t="s">
        <v>144</v>
      </c>
      <c r="C74" s="11">
        <v>7166922.2219078206</v>
      </c>
      <c r="D74" s="11">
        <v>12115.663333333332</v>
      </c>
      <c r="E74" s="11">
        <v>7286696.1766666658</v>
      </c>
      <c r="F74" s="11">
        <v>1106234.7166666666</v>
      </c>
      <c r="G74" s="12">
        <f t="shared" si="3"/>
        <v>0.16904973931903738</v>
      </c>
      <c r="H74" s="12">
        <f t="shared" si="4"/>
        <v>15.181567748207103</v>
      </c>
    </row>
    <row r="75" spans="1:8" x14ac:dyDescent="0.3">
      <c r="A75" s="3">
        <v>20901</v>
      </c>
      <c r="B75" s="3" t="s">
        <v>107</v>
      </c>
      <c r="C75" s="11">
        <v>12538768.852139318</v>
      </c>
      <c r="D75" s="11">
        <v>61818.746666666666</v>
      </c>
      <c r="E75" s="11">
        <v>10719325.376666665</v>
      </c>
      <c r="F75" s="11">
        <v>292615.46666666673</v>
      </c>
      <c r="G75" s="12">
        <f t="shared" si="3"/>
        <v>0.49302086509170623</v>
      </c>
      <c r="H75" s="12">
        <f t="shared" si="4"/>
        <v>2.7297936799606681</v>
      </c>
    </row>
    <row r="76" spans="1:8" x14ac:dyDescent="0.3">
      <c r="A76" s="3">
        <v>20902</v>
      </c>
      <c r="B76" s="3" t="s">
        <v>109</v>
      </c>
      <c r="C76" s="11">
        <v>14009068.80502638</v>
      </c>
      <c r="D76" s="11">
        <v>144216.87</v>
      </c>
      <c r="E76" s="11">
        <v>12052193.116666665</v>
      </c>
      <c r="F76" s="11">
        <v>367166.22333333333</v>
      </c>
      <c r="G76" s="12">
        <f t="shared" si="3"/>
        <v>1.0294536489695572</v>
      </c>
      <c r="H76" s="12">
        <f t="shared" si="4"/>
        <v>3.0464681388617039</v>
      </c>
    </row>
    <row r="77" spans="1:8" x14ac:dyDescent="0.3">
      <c r="A77" s="3">
        <v>20903</v>
      </c>
      <c r="B77" s="3" t="s">
        <v>110</v>
      </c>
      <c r="C77" s="11">
        <v>9691831.6831927057</v>
      </c>
      <c r="D77" s="11">
        <v>78831.32666666666</v>
      </c>
      <c r="E77" s="11">
        <v>7188373.9833333315</v>
      </c>
      <c r="F77" s="11">
        <v>341366.83333333331</v>
      </c>
      <c r="G77" s="12">
        <f t="shared" si="3"/>
        <v>0.81337903136899981</v>
      </c>
      <c r="H77" s="12">
        <f t="shared" si="4"/>
        <v>4.7488741421190994</v>
      </c>
    </row>
    <row r="78" spans="1:8" x14ac:dyDescent="0.3">
      <c r="A78" s="3">
        <v>20904</v>
      </c>
      <c r="B78" s="3" t="s">
        <v>111</v>
      </c>
      <c r="C78" s="11">
        <v>4724771.4334930228</v>
      </c>
      <c r="D78" s="11">
        <v>196071.85</v>
      </c>
      <c r="E78" s="11">
        <v>5009312.4533333322</v>
      </c>
      <c r="F78" s="11">
        <v>161285.69666666668</v>
      </c>
      <c r="G78" s="12">
        <f t="shared" si="3"/>
        <v>4.1498695282925908</v>
      </c>
      <c r="H78" s="12">
        <f t="shared" si="4"/>
        <v>3.2197172400244831</v>
      </c>
    </row>
    <row r="79" spans="1:8" x14ac:dyDescent="0.3">
      <c r="A79" s="3">
        <v>20905</v>
      </c>
      <c r="B79" s="3" t="s">
        <v>112</v>
      </c>
      <c r="C79" s="11">
        <v>12844501.997927228</v>
      </c>
      <c r="D79" s="11">
        <v>533227.92666666664</v>
      </c>
      <c r="E79" s="11">
        <v>12199538.666666664</v>
      </c>
      <c r="F79" s="11">
        <v>1570627.9433333334</v>
      </c>
      <c r="G79" s="12">
        <f t="shared" si="3"/>
        <v>4.1514098931411736</v>
      </c>
      <c r="H79" s="12">
        <f t="shared" si="4"/>
        <v>12.874486374020266</v>
      </c>
    </row>
    <row r="80" spans="1:8" x14ac:dyDescent="0.3">
      <c r="A80" s="3">
        <v>21001</v>
      </c>
      <c r="B80" s="3" t="s">
        <v>66</v>
      </c>
      <c r="C80" s="11">
        <v>19930029.495689239</v>
      </c>
      <c r="D80" s="11">
        <v>241905.76</v>
      </c>
      <c r="E80" s="11">
        <v>15709021.19666666</v>
      </c>
      <c r="F80" s="11">
        <v>1933853.3466666667</v>
      </c>
      <c r="G80" s="12">
        <f t="shared" si="3"/>
        <v>1.2137752232244461</v>
      </c>
      <c r="H80" s="12">
        <f t="shared" si="4"/>
        <v>12.310463665788523</v>
      </c>
    </row>
    <row r="81" spans="1:8" x14ac:dyDescent="0.3">
      <c r="A81" s="3">
        <v>21002</v>
      </c>
      <c r="B81" s="3" t="s">
        <v>68</v>
      </c>
      <c r="C81" s="11">
        <v>10074272.492429107</v>
      </c>
      <c r="D81" s="11">
        <v>1363823.4733333334</v>
      </c>
      <c r="E81" s="11">
        <v>9527019.1599999983</v>
      </c>
      <c r="F81" s="11">
        <v>1788685.8533333333</v>
      </c>
      <c r="G81" s="12">
        <f t="shared" si="3"/>
        <v>13.537686958122853</v>
      </c>
      <c r="H81" s="12">
        <f t="shared" si="4"/>
        <v>18.774874105882805</v>
      </c>
    </row>
    <row r="82" spans="1:8" x14ac:dyDescent="0.3">
      <c r="A82" s="3">
        <v>21003</v>
      </c>
      <c r="B82" s="3" t="s">
        <v>69</v>
      </c>
      <c r="C82" s="11">
        <v>9840741.2090524379</v>
      </c>
      <c r="D82" s="11">
        <v>571395.40333333332</v>
      </c>
      <c r="E82" s="11">
        <v>10970370.793333331</v>
      </c>
      <c r="F82" s="11">
        <v>1182236.5</v>
      </c>
      <c r="G82" s="12">
        <f t="shared" si="3"/>
        <v>5.8064264794171212</v>
      </c>
      <c r="H82" s="12">
        <f t="shared" si="4"/>
        <v>10.776632096322965</v>
      </c>
    </row>
    <row r="83" spans="1:8" x14ac:dyDescent="0.3">
      <c r="A83" s="3">
        <v>21004</v>
      </c>
      <c r="B83" s="3" t="s">
        <v>70</v>
      </c>
      <c r="C83" s="11">
        <v>27024926.959860846</v>
      </c>
      <c r="D83" s="11">
        <v>4360715.5466666669</v>
      </c>
      <c r="E83" s="11">
        <v>25210985.309999999</v>
      </c>
      <c r="F83" s="11">
        <v>6844272.2233333327</v>
      </c>
      <c r="G83" s="12">
        <f t="shared" si="3"/>
        <v>16.135901322299524</v>
      </c>
      <c r="H83" s="12">
        <f t="shared" si="4"/>
        <v>27.147975928646215</v>
      </c>
    </row>
    <row r="84" spans="1:8" x14ac:dyDescent="0.3">
      <c r="A84" s="3">
        <v>21005</v>
      </c>
      <c r="B84" s="3" t="s">
        <v>71</v>
      </c>
      <c r="C84" s="11">
        <v>8542586.239703266</v>
      </c>
      <c r="D84" s="11">
        <v>218552.81999999998</v>
      </c>
      <c r="E84" s="11">
        <v>8182025.8566666646</v>
      </c>
      <c r="F84" s="11">
        <v>775813.5033333333</v>
      </c>
      <c r="G84" s="12">
        <f t="shared" si="3"/>
        <v>2.5583917313498681</v>
      </c>
      <c r="H84" s="12">
        <f t="shared" si="4"/>
        <v>9.4819243659711141</v>
      </c>
    </row>
    <row r="85" spans="1:8" x14ac:dyDescent="0.3">
      <c r="A85" s="3">
        <v>21006</v>
      </c>
      <c r="B85" s="3" t="s">
        <v>72</v>
      </c>
      <c r="C85" s="11">
        <v>3276228.0281530656</v>
      </c>
      <c r="D85" s="11">
        <v>25084.22</v>
      </c>
      <c r="E85" s="11">
        <v>5518797.7233333327</v>
      </c>
      <c r="F85" s="11">
        <v>382072.63666666672</v>
      </c>
      <c r="G85" s="12">
        <f t="shared" si="3"/>
        <v>0.76564328808764048</v>
      </c>
      <c r="H85" s="12">
        <f t="shared" si="4"/>
        <v>6.923113616780582</v>
      </c>
    </row>
    <row r="86" spans="1:8" x14ac:dyDescent="0.3">
      <c r="A86" s="3">
        <v>21101</v>
      </c>
      <c r="B86" s="3" t="s">
        <v>113</v>
      </c>
      <c r="C86" s="11">
        <v>15835227.228336155</v>
      </c>
      <c r="D86" s="11">
        <v>411505.62000000005</v>
      </c>
      <c r="E86" s="11">
        <v>17698702.02333333</v>
      </c>
      <c r="F86" s="11">
        <v>1015822.2033333335</v>
      </c>
      <c r="G86" s="12">
        <f t="shared" si="3"/>
        <v>2.5986720245077151</v>
      </c>
      <c r="H86" s="12">
        <f t="shared" si="4"/>
        <v>5.7395293846639719</v>
      </c>
    </row>
    <row r="87" spans="1:8" x14ac:dyDescent="0.3">
      <c r="A87" s="3">
        <v>21102</v>
      </c>
      <c r="B87" s="3" t="s">
        <v>115</v>
      </c>
      <c r="C87" s="11">
        <v>14534931.550591925</v>
      </c>
      <c r="D87" s="11">
        <v>1038875.4633333334</v>
      </c>
      <c r="E87" s="11">
        <v>20339183.796666659</v>
      </c>
      <c r="F87" s="11">
        <v>4167537.8433333337</v>
      </c>
      <c r="G87" s="12">
        <f t="shared" si="3"/>
        <v>7.1474396677913896</v>
      </c>
      <c r="H87" s="12">
        <f t="shared" si="4"/>
        <v>20.490192158135379</v>
      </c>
    </row>
    <row r="88" spans="1:8" x14ac:dyDescent="0.3">
      <c r="A88" s="3">
        <v>21103</v>
      </c>
      <c r="B88" s="3" t="s">
        <v>116</v>
      </c>
      <c r="C88" s="11">
        <v>5690067.8912729667</v>
      </c>
      <c r="D88" s="11">
        <v>744711.75666666671</v>
      </c>
      <c r="E88" s="11">
        <v>6794187.7833333313</v>
      </c>
      <c r="F88" s="11">
        <v>785754.11333333328</v>
      </c>
      <c r="G88" s="12">
        <f t="shared" si="3"/>
        <v>13.087923921063476</v>
      </c>
      <c r="H88" s="12">
        <f t="shared" si="4"/>
        <v>11.565092670250431</v>
      </c>
    </row>
    <row r="89" spans="1:8" x14ac:dyDescent="0.3">
      <c r="A89" s="3">
        <v>21104</v>
      </c>
      <c r="B89" s="3" t="s">
        <v>117</v>
      </c>
      <c r="C89" s="11">
        <v>20982304.095999971</v>
      </c>
      <c r="D89" s="11">
        <v>1032102.6333333334</v>
      </c>
      <c r="E89" s="11">
        <v>24227036.416666668</v>
      </c>
      <c r="F89" s="11">
        <v>1077259.1166666665</v>
      </c>
      <c r="G89" s="12">
        <f t="shared" si="3"/>
        <v>4.9189194313988214</v>
      </c>
      <c r="H89" s="12">
        <f t="shared" si="4"/>
        <v>4.4465162727273579</v>
      </c>
    </row>
    <row r="90" spans="1:8" x14ac:dyDescent="0.3">
      <c r="A90" s="3">
        <v>21105</v>
      </c>
      <c r="B90" s="3" t="s">
        <v>118</v>
      </c>
      <c r="C90" s="11">
        <v>21967533.740477063</v>
      </c>
      <c r="D90" s="11">
        <v>430423.14666666667</v>
      </c>
      <c r="E90" s="11">
        <v>38466476.846666656</v>
      </c>
      <c r="F90" s="11">
        <v>862757.22000000009</v>
      </c>
      <c r="G90" s="12">
        <f t="shared" si="3"/>
        <v>1.9593603531086201</v>
      </c>
      <c r="H90" s="12">
        <f t="shared" si="4"/>
        <v>2.2428807905623493</v>
      </c>
    </row>
    <row r="91" spans="1:8" x14ac:dyDescent="0.3">
      <c r="A91" s="3">
        <v>21201</v>
      </c>
      <c r="B91" s="3" t="s">
        <v>119</v>
      </c>
      <c r="C91" s="11">
        <v>30236005.520723596</v>
      </c>
      <c r="D91" s="11">
        <v>614641.88</v>
      </c>
      <c r="E91" s="11">
        <v>30692802.89666665</v>
      </c>
      <c r="F91" s="11">
        <v>2488190.2399999998</v>
      </c>
      <c r="G91" s="12">
        <f t="shared" si="3"/>
        <v>2.0328144191491422</v>
      </c>
      <c r="H91" s="12">
        <f t="shared" si="4"/>
        <v>8.1067546954801788</v>
      </c>
    </row>
    <row r="92" spans="1:8" x14ac:dyDescent="0.3">
      <c r="A92" s="3">
        <v>21202</v>
      </c>
      <c r="B92" s="3" t="s">
        <v>121</v>
      </c>
      <c r="C92" s="11">
        <v>20210197.069597747</v>
      </c>
      <c r="D92" s="11">
        <v>389614.38666666666</v>
      </c>
      <c r="E92" s="11">
        <v>28745185.199999988</v>
      </c>
      <c r="F92" s="11">
        <v>5787484.5333333341</v>
      </c>
      <c r="G92" s="12">
        <f t="shared" si="3"/>
        <v>1.9278109229957217</v>
      </c>
      <c r="H92" s="12">
        <f t="shared" si="4"/>
        <v>20.133752811351989</v>
      </c>
    </row>
    <row r="93" spans="1:8" x14ac:dyDescent="0.3">
      <c r="A93" s="3">
        <v>21203</v>
      </c>
      <c r="B93" s="3" t="s">
        <v>122</v>
      </c>
      <c r="C93" s="11">
        <v>24691931.410738807</v>
      </c>
      <c r="D93" s="11">
        <v>122288.25</v>
      </c>
      <c r="E93" s="11">
        <v>16976326.096666664</v>
      </c>
      <c r="F93" s="11">
        <v>663798.06333333335</v>
      </c>
      <c r="G93" s="12">
        <f t="shared" si="3"/>
        <v>0.49525591160040006</v>
      </c>
      <c r="H93" s="12">
        <f t="shared" si="4"/>
        <v>3.9101396824821331</v>
      </c>
    </row>
    <row r="94" spans="1:8" x14ac:dyDescent="0.3">
      <c r="A94" s="3">
        <v>21204</v>
      </c>
      <c r="B94" s="3" t="s">
        <v>123</v>
      </c>
      <c r="C94" s="11">
        <v>10364740.26436162</v>
      </c>
      <c r="D94" s="11">
        <v>28207.886666666669</v>
      </c>
      <c r="E94" s="11">
        <v>6098676.7533333329</v>
      </c>
      <c r="F94" s="11">
        <v>23607.110000000004</v>
      </c>
      <c r="G94" s="12">
        <f t="shared" si="3"/>
        <v>0.27215237379037244</v>
      </c>
      <c r="H94" s="12">
        <f t="shared" si="4"/>
        <v>0.38708577212420953</v>
      </c>
    </row>
    <row r="95" spans="1:8" x14ac:dyDescent="0.3">
      <c r="A95" s="3">
        <v>21301</v>
      </c>
      <c r="B95" s="3" t="s">
        <v>58</v>
      </c>
      <c r="C95" s="11">
        <v>32528961.045534935</v>
      </c>
      <c r="D95" s="11">
        <v>140178.87333333332</v>
      </c>
      <c r="E95" s="11">
        <v>33517321.649999995</v>
      </c>
      <c r="F95" s="11">
        <v>4208010.3166666664</v>
      </c>
      <c r="G95" s="12">
        <f t="shared" si="3"/>
        <v>0.43093559962492217</v>
      </c>
      <c r="H95" s="12">
        <f t="shared" si="4"/>
        <v>12.554733223042799</v>
      </c>
    </row>
    <row r="96" spans="1:8" x14ac:dyDescent="0.3">
      <c r="A96" s="3">
        <v>21302</v>
      </c>
      <c r="B96" s="3" t="s">
        <v>60</v>
      </c>
      <c r="C96" s="11">
        <v>11536467.231768137</v>
      </c>
      <c r="D96" s="11">
        <v>2733.0366666666682</v>
      </c>
      <c r="E96" s="11">
        <v>8355426.5999999987</v>
      </c>
      <c r="F96" s="11">
        <v>22683.693333333333</v>
      </c>
      <c r="G96" s="12">
        <f t="shared" si="3"/>
        <v>2.3690412426610682E-2</v>
      </c>
      <c r="H96" s="12">
        <f t="shared" si="4"/>
        <v>0.27148456230030599</v>
      </c>
    </row>
    <row r="97" spans="1:8" x14ac:dyDescent="0.3">
      <c r="A97" s="3">
        <v>21303</v>
      </c>
      <c r="B97" s="3" t="s">
        <v>61</v>
      </c>
      <c r="C97" s="11">
        <v>8747875.8859738894</v>
      </c>
      <c r="D97" s="11">
        <v>36074.933333333334</v>
      </c>
      <c r="E97" s="11">
        <v>7657996.8933333317</v>
      </c>
      <c r="F97" s="11">
        <v>358846.3066666667</v>
      </c>
      <c r="G97" s="12">
        <f t="shared" si="3"/>
        <v>0.41238506128299007</v>
      </c>
      <c r="H97" s="12">
        <f t="shared" si="4"/>
        <v>4.6859030065559351</v>
      </c>
    </row>
    <row r="98" spans="1:8" x14ac:dyDescent="0.3">
      <c r="A98" s="3">
        <v>21304</v>
      </c>
      <c r="B98" s="3" t="s">
        <v>62</v>
      </c>
      <c r="C98" s="11">
        <v>14640068.371526388</v>
      </c>
      <c r="D98" s="11">
        <v>187294.29333333333</v>
      </c>
      <c r="E98" s="11">
        <v>20531992.583333332</v>
      </c>
      <c r="F98" s="11">
        <v>8914637.9533333331</v>
      </c>
      <c r="G98" s="12">
        <f t="shared" ref="G98:G129" si="5">(D98*100)/C98</f>
        <v>1.2793266300422736</v>
      </c>
      <c r="H98" s="12">
        <f t="shared" si="4"/>
        <v>43.418279629468174</v>
      </c>
    </row>
    <row r="99" spans="1:8" x14ac:dyDescent="0.3">
      <c r="A99" s="3">
        <v>21305</v>
      </c>
      <c r="B99" s="3" t="s">
        <v>63</v>
      </c>
      <c r="C99" s="11">
        <v>24731727.14403696</v>
      </c>
      <c r="D99" s="11">
        <v>650272.43000000005</v>
      </c>
      <c r="E99" s="11">
        <v>25370910.273333326</v>
      </c>
      <c r="F99" s="11">
        <v>3974202.5933333333</v>
      </c>
      <c r="G99" s="12">
        <f t="shared" si="5"/>
        <v>2.6293045617591919</v>
      </c>
      <c r="H99" s="12">
        <f t="shared" si="4"/>
        <v>15.664406797065178</v>
      </c>
    </row>
    <row r="100" spans="1:8" x14ac:dyDescent="0.3">
      <c r="A100" s="3">
        <v>21306</v>
      </c>
      <c r="B100" s="3" t="s">
        <v>64</v>
      </c>
      <c r="C100" s="11">
        <v>9916693.982307462</v>
      </c>
      <c r="D100" s="11">
        <v>199325.43999999997</v>
      </c>
      <c r="E100" s="11">
        <v>9634064.5866666641</v>
      </c>
      <c r="F100" s="11">
        <v>387457.23</v>
      </c>
      <c r="G100" s="12">
        <f t="shared" si="5"/>
        <v>2.0099989003958352</v>
      </c>
      <c r="H100" s="12">
        <f t="shared" si="4"/>
        <v>4.0217420852277908</v>
      </c>
    </row>
    <row r="101" spans="1:8" x14ac:dyDescent="0.3">
      <c r="A101" s="3">
        <v>21307</v>
      </c>
      <c r="B101" s="3" t="s">
        <v>65</v>
      </c>
      <c r="C101" s="11">
        <v>3611292.6079673208</v>
      </c>
      <c r="D101" s="11">
        <v>133008.23333333331</v>
      </c>
      <c r="E101" s="11">
        <v>5124096.8066666657</v>
      </c>
      <c r="F101" s="11">
        <v>404878.60000000009</v>
      </c>
      <c r="G101" s="12">
        <f t="shared" si="5"/>
        <v>3.6831198070155637</v>
      </c>
      <c r="H101" s="12">
        <f t="shared" si="4"/>
        <v>7.9014627411651546</v>
      </c>
    </row>
    <row r="102" spans="1:8" x14ac:dyDescent="0.3">
      <c r="A102" s="3">
        <v>21401</v>
      </c>
      <c r="B102" s="3" t="s">
        <v>124</v>
      </c>
      <c r="C102" s="11">
        <v>16346879.258186677</v>
      </c>
      <c r="D102" s="11">
        <v>1983484.8166666664</v>
      </c>
      <c r="E102" s="11">
        <v>21244357.493333329</v>
      </c>
      <c r="F102" s="11">
        <v>3087212.0866666664</v>
      </c>
      <c r="G102" s="12">
        <f t="shared" si="5"/>
        <v>12.13372158281109</v>
      </c>
      <c r="H102" s="12">
        <f t="shared" si="4"/>
        <v>14.531915533973956</v>
      </c>
    </row>
    <row r="103" spans="1:8" x14ac:dyDescent="0.3">
      <c r="A103" s="3">
        <v>21402</v>
      </c>
      <c r="B103" s="3" t="s">
        <v>126</v>
      </c>
      <c r="C103" s="11">
        <v>13656887.442743635</v>
      </c>
      <c r="D103" s="11">
        <v>150650.25999999998</v>
      </c>
      <c r="E103" s="11">
        <v>16351802.183333328</v>
      </c>
      <c r="F103" s="11">
        <v>499878.54000000004</v>
      </c>
      <c r="G103" s="12">
        <f t="shared" si="5"/>
        <v>1.1031083080357782</v>
      </c>
      <c r="H103" s="12">
        <f t="shared" si="4"/>
        <v>3.0570241395746836</v>
      </c>
    </row>
    <row r="104" spans="1:8" x14ac:dyDescent="0.3">
      <c r="A104" s="3">
        <v>21501</v>
      </c>
      <c r="B104" s="3" t="s">
        <v>127</v>
      </c>
      <c r="C104" s="11">
        <v>7212738.6634492734</v>
      </c>
      <c r="D104" s="11">
        <v>617325.49</v>
      </c>
      <c r="E104" s="11">
        <v>9975178.129999999</v>
      </c>
      <c r="F104" s="11">
        <v>1211696.3433333333</v>
      </c>
      <c r="G104" s="12">
        <f t="shared" si="5"/>
        <v>8.5588223669923291</v>
      </c>
      <c r="H104" s="12">
        <f t="shared" si="4"/>
        <v>12.147114843886335</v>
      </c>
    </row>
    <row r="105" spans="1:8" x14ac:dyDescent="0.3">
      <c r="A105" s="3">
        <v>21502</v>
      </c>
      <c r="B105" s="3" t="s">
        <v>129</v>
      </c>
      <c r="C105" s="11">
        <v>7914733.1473972229</v>
      </c>
      <c r="D105" s="11">
        <v>493720.3133333333</v>
      </c>
      <c r="E105" s="11">
        <v>9302329.0133333318</v>
      </c>
      <c r="F105" s="11">
        <v>1148753.5599999998</v>
      </c>
      <c r="G105" s="12">
        <f t="shared" si="5"/>
        <v>6.2379906452777156</v>
      </c>
      <c r="H105" s="12">
        <f t="shared" si="4"/>
        <v>12.349096214006771</v>
      </c>
    </row>
    <row r="106" spans="1:8" x14ac:dyDescent="0.3">
      <c r="A106" s="3">
        <v>21601</v>
      </c>
      <c r="B106" s="3" t="s">
        <v>130</v>
      </c>
      <c r="C106" s="11">
        <v>11839267.371849567</v>
      </c>
      <c r="D106" s="11">
        <v>314161.2</v>
      </c>
      <c r="E106" s="11">
        <v>12279984.44333333</v>
      </c>
      <c r="F106" s="11">
        <v>89634.516666666677</v>
      </c>
      <c r="G106" s="12">
        <f t="shared" si="5"/>
        <v>2.6535527083963539</v>
      </c>
      <c r="H106" s="12">
        <f t="shared" si="4"/>
        <v>0.72992369884742225</v>
      </c>
    </row>
    <row r="107" spans="1:8" x14ac:dyDescent="0.3">
      <c r="A107" s="3">
        <v>21602</v>
      </c>
      <c r="B107" s="3" t="s">
        <v>132</v>
      </c>
      <c r="C107" s="11">
        <v>2905635.5963221169</v>
      </c>
      <c r="D107" s="11">
        <v>212810.83666666667</v>
      </c>
      <c r="E107" s="11">
        <v>3862776.603333333</v>
      </c>
      <c r="F107" s="11">
        <v>788312.16666666663</v>
      </c>
      <c r="G107" s="12">
        <f t="shared" si="5"/>
        <v>7.3240717774808886</v>
      </c>
      <c r="H107" s="12">
        <f t="shared" si="4"/>
        <v>20.407915021189751</v>
      </c>
    </row>
    <row r="108" spans="1:8" x14ac:dyDescent="0.3">
      <c r="A108" s="3">
        <v>21701</v>
      </c>
      <c r="B108" s="3" t="s">
        <v>83</v>
      </c>
      <c r="C108" s="11">
        <v>18664703.163799956</v>
      </c>
      <c r="D108" s="11">
        <v>1365491.2933333332</v>
      </c>
      <c r="E108" s="11">
        <v>15547165.096666664</v>
      </c>
      <c r="F108" s="11">
        <v>1570707.8966666667</v>
      </c>
      <c r="G108" s="12">
        <f t="shared" si="5"/>
        <v>7.3159014710809469</v>
      </c>
      <c r="H108" s="12">
        <f t="shared" si="4"/>
        <v>10.102857253400037</v>
      </c>
    </row>
    <row r="109" spans="1:8" x14ac:dyDescent="0.3">
      <c r="A109" s="3">
        <v>21702</v>
      </c>
      <c r="B109" s="3" t="s">
        <v>85</v>
      </c>
      <c r="C109" s="11">
        <v>7248637.0191928847</v>
      </c>
      <c r="D109" s="11">
        <v>11080.32</v>
      </c>
      <c r="E109" s="11">
        <v>5783219.4099999992</v>
      </c>
      <c r="F109" s="11">
        <v>119097.39666666667</v>
      </c>
      <c r="G109" s="12">
        <f t="shared" si="5"/>
        <v>0.15286073741396644</v>
      </c>
      <c r="H109" s="12">
        <f t="shared" si="4"/>
        <v>2.0593615462821715</v>
      </c>
    </row>
    <row r="110" spans="1:8" x14ac:dyDescent="0.3">
      <c r="A110" s="3">
        <v>21703</v>
      </c>
      <c r="B110" s="3" t="s">
        <v>86</v>
      </c>
      <c r="C110" s="11">
        <v>2658077.6851624879</v>
      </c>
      <c r="D110" s="11">
        <v>569.5</v>
      </c>
      <c r="E110" s="11">
        <v>5881251.4566666642</v>
      </c>
      <c r="F110" s="11">
        <v>20909.433333333334</v>
      </c>
      <c r="G110" s="12">
        <f t="shared" si="5"/>
        <v>2.1425257929028007E-2</v>
      </c>
      <c r="H110" s="12">
        <f t="shared" si="4"/>
        <v>0.35552693992758205</v>
      </c>
    </row>
    <row r="111" spans="1:8" x14ac:dyDescent="0.3">
      <c r="A111" s="3">
        <v>21801</v>
      </c>
      <c r="B111" s="3" t="s">
        <v>133</v>
      </c>
      <c r="C111" s="11">
        <v>9725135.1879206914</v>
      </c>
      <c r="D111" s="11">
        <v>352685.45999999996</v>
      </c>
      <c r="E111" s="11">
        <v>8316369.6599999992</v>
      </c>
      <c r="F111" s="11">
        <v>25459.103333333333</v>
      </c>
      <c r="G111" s="12">
        <f t="shared" si="5"/>
        <v>3.6265352942143201</v>
      </c>
      <c r="H111" s="12">
        <f t="shared" si="4"/>
        <v>0.30613241563547011</v>
      </c>
    </row>
    <row r="112" spans="1:8" x14ac:dyDescent="0.3">
      <c r="A112" s="3">
        <v>21802</v>
      </c>
      <c r="B112" s="3" t="s">
        <v>135</v>
      </c>
      <c r="C112" s="11">
        <v>8283692.7325705392</v>
      </c>
      <c r="D112" s="11">
        <v>189225.51333333334</v>
      </c>
      <c r="E112" s="11">
        <v>7194784.3933333308</v>
      </c>
      <c r="F112" s="11">
        <v>639851.62</v>
      </c>
      <c r="G112" s="12">
        <f t="shared" si="5"/>
        <v>2.2843135234763126</v>
      </c>
      <c r="H112" s="12">
        <f t="shared" si="4"/>
        <v>8.8932702499450151</v>
      </c>
    </row>
    <row r="113" spans="1:8" x14ac:dyDescent="0.3">
      <c r="A113" s="3">
        <v>21803</v>
      </c>
      <c r="B113" s="3" t="s">
        <v>136</v>
      </c>
      <c r="C113" s="11">
        <v>1977850.7693785753</v>
      </c>
      <c r="D113" s="11">
        <v>74496.843333333338</v>
      </c>
      <c r="E113" s="11">
        <v>2008159.7566666659</v>
      </c>
      <c r="F113" s="11">
        <v>132858.15666666665</v>
      </c>
      <c r="G113" s="12">
        <f t="shared" si="5"/>
        <v>3.7665553178584674</v>
      </c>
      <c r="H113" s="12">
        <f t="shared" si="4"/>
        <v>6.6159157022047497</v>
      </c>
    </row>
    <row r="114" spans="1:8" x14ac:dyDescent="0.3">
      <c r="A114" s="3">
        <v>21901</v>
      </c>
      <c r="B114" s="3" t="s">
        <v>137</v>
      </c>
      <c r="C114" s="11">
        <v>5313653.6466698162</v>
      </c>
      <c r="D114" s="11">
        <v>44856.25</v>
      </c>
      <c r="E114" s="11">
        <v>4373743.1833333327</v>
      </c>
      <c r="F114" s="11">
        <v>75431.843333333338</v>
      </c>
      <c r="G114" s="12">
        <f t="shared" si="5"/>
        <v>0.84416962381641869</v>
      </c>
      <c r="H114" s="12">
        <f t="shared" si="4"/>
        <v>1.7246518638948745</v>
      </c>
    </row>
    <row r="115" spans="1:8" x14ac:dyDescent="0.3">
      <c r="A115" s="3">
        <v>21902</v>
      </c>
      <c r="B115" s="3" t="s">
        <v>139</v>
      </c>
      <c r="C115" s="11">
        <v>2073505.9584636183</v>
      </c>
      <c r="D115" s="11">
        <v>0</v>
      </c>
      <c r="E115" s="11">
        <v>2696707.7100000004</v>
      </c>
      <c r="F115" s="11">
        <v>433.33333333333331</v>
      </c>
      <c r="G115" s="12">
        <f t="shared" si="5"/>
        <v>0</v>
      </c>
      <c r="H115" s="12">
        <f t="shared" si="4"/>
        <v>1.6068976690593331E-2</v>
      </c>
    </row>
    <row r="116" spans="1:8" x14ac:dyDescent="0.3">
      <c r="A116" s="3">
        <v>22001</v>
      </c>
      <c r="B116" s="3" t="s">
        <v>56</v>
      </c>
      <c r="C116" s="11">
        <v>55592190.986014865</v>
      </c>
      <c r="D116" s="11">
        <v>4307875.9666666668</v>
      </c>
      <c r="E116" s="11">
        <v>55275324.786666639</v>
      </c>
      <c r="F116" s="11">
        <v>8172900.9633333338</v>
      </c>
      <c r="G116" s="12">
        <f t="shared" si="5"/>
        <v>7.7490667128956732</v>
      </c>
      <c r="H116" s="12">
        <f t="shared" si="4"/>
        <v>14.785803602016607</v>
      </c>
    </row>
    <row r="117" spans="1:8" x14ac:dyDescent="0.3">
      <c r="A117" s="3">
        <v>22002</v>
      </c>
      <c r="B117" s="3" t="s">
        <v>149</v>
      </c>
      <c r="C117" s="11">
        <v>10187499.223075431</v>
      </c>
      <c r="D117" s="11">
        <v>547053.53333333333</v>
      </c>
      <c r="E117" s="11">
        <v>10985821.736666664</v>
      </c>
      <c r="F117" s="11">
        <v>509800.9266666667</v>
      </c>
      <c r="G117" s="12">
        <f t="shared" si="5"/>
        <v>5.36985104346528</v>
      </c>
      <c r="H117" s="12">
        <f t="shared" si="4"/>
        <v>4.6405352179085266</v>
      </c>
    </row>
    <row r="118" spans="1:8" x14ac:dyDescent="0.3">
      <c r="A118" s="3">
        <v>30101</v>
      </c>
      <c r="B118" s="3" t="s">
        <v>152</v>
      </c>
      <c r="C118" s="11">
        <v>945663673.75309277</v>
      </c>
      <c r="D118" s="11">
        <v>324571700.40333325</v>
      </c>
      <c r="E118" s="11">
        <v>1193724804.6633332</v>
      </c>
      <c r="F118" s="11">
        <v>591564459.21000004</v>
      </c>
      <c r="G118" s="12">
        <f t="shared" si="5"/>
        <v>34.32210725777302</v>
      </c>
      <c r="H118" s="12">
        <f t="shared" si="4"/>
        <v>49.556183879151213</v>
      </c>
    </row>
    <row r="119" spans="1:8" x14ac:dyDescent="0.3">
      <c r="A119" s="3">
        <v>30201</v>
      </c>
      <c r="B119" s="3" t="s">
        <v>161</v>
      </c>
      <c r="C119" s="11">
        <v>35583634.046523415</v>
      </c>
      <c r="D119" s="11">
        <v>2145109.7666666671</v>
      </c>
      <c r="E119" s="11">
        <v>28563857.046666663</v>
      </c>
      <c r="F119" s="11">
        <v>6396307.5500000007</v>
      </c>
      <c r="G119" s="12">
        <f t="shared" si="5"/>
        <v>6.0283605768372839</v>
      </c>
      <c r="H119" s="12">
        <f t="shared" si="4"/>
        <v>22.393010648211586</v>
      </c>
    </row>
    <row r="120" spans="1:8" x14ac:dyDescent="0.3">
      <c r="A120" s="3">
        <v>30202</v>
      </c>
      <c r="B120" s="3" t="s">
        <v>163</v>
      </c>
      <c r="C120" s="11">
        <v>6260081.005241611</v>
      </c>
      <c r="D120" s="11">
        <v>347034.59000000008</v>
      </c>
      <c r="E120" s="11">
        <v>7163700.1533333324</v>
      </c>
      <c r="F120" s="11">
        <v>635551.69333333336</v>
      </c>
      <c r="G120" s="12">
        <f t="shared" si="5"/>
        <v>5.5436118112437445</v>
      </c>
      <c r="H120" s="12">
        <f t="shared" si="4"/>
        <v>8.8718355002282667</v>
      </c>
    </row>
    <row r="121" spans="1:8" x14ac:dyDescent="0.3">
      <c r="A121" s="3">
        <v>30203</v>
      </c>
      <c r="B121" s="3" t="s">
        <v>164</v>
      </c>
      <c r="C121" s="11">
        <v>7937784.4845494032</v>
      </c>
      <c r="D121" s="11">
        <v>301734.44</v>
      </c>
      <c r="E121" s="11">
        <v>5929791.4599999981</v>
      </c>
      <c r="F121" s="11">
        <v>553277.1</v>
      </c>
      <c r="G121" s="12">
        <f t="shared" si="5"/>
        <v>3.8012425329424686</v>
      </c>
      <c r="H121" s="12">
        <f t="shared" si="4"/>
        <v>9.3304647175568665</v>
      </c>
    </row>
    <row r="122" spans="1:8" x14ac:dyDescent="0.3">
      <c r="A122" s="3">
        <v>30301</v>
      </c>
      <c r="B122" s="3" t="s">
        <v>165</v>
      </c>
      <c r="C122" s="11">
        <v>36087864.993732475</v>
      </c>
      <c r="D122" s="11">
        <v>1122367.67</v>
      </c>
      <c r="E122" s="11">
        <v>24986146.37333332</v>
      </c>
      <c r="F122" s="11">
        <v>2446526.1233333331</v>
      </c>
      <c r="G122" s="12">
        <f t="shared" si="5"/>
        <v>3.1100971758648681</v>
      </c>
      <c r="H122" s="12">
        <f t="shared" si="4"/>
        <v>9.7915304216115899</v>
      </c>
    </row>
    <row r="123" spans="1:8" x14ac:dyDescent="0.3">
      <c r="A123" s="3">
        <v>30302</v>
      </c>
      <c r="B123" s="3" t="s">
        <v>167</v>
      </c>
      <c r="C123" s="11">
        <v>21539016.568180032</v>
      </c>
      <c r="D123" s="11">
        <v>117982.82</v>
      </c>
      <c r="E123" s="11">
        <v>12913726.92333333</v>
      </c>
      <c r="F123" s="11">
        <v>721735.40333333332</v>
      </c>
      <c r="G123" s="12">
        <f t="shared" si="5"/>
        <v>0.54776326313011936</v>
      </c>
      <c r="H123" s="12">
        <f t="shared" si="4"/>
        <v>5.5889009239405283</v>
      </c>
    </row>
    <row r="124" spans="1:8" x14ac:dyDescent="0.3">
      <c r="A124" s="3">
        <v>30303</v>
      </c>
      <c r="B124" s="3" t="s">
        <v>215</v>
      </c>
      <c r="C124" s="11">
        <v>22946434.553189714</v>
      </c>
      <c r="D124" s="11">
        <v>139319.56000000003</v>
      </c>
      <c r="E124" s="11">
        <v>21647064.346666664</v>
      </c>
      <c r="F124" s="11">
        <v>4425371.8466666667</v>
      </c>
      <c r="G124" s="12">
        <f t="shared" si="5"/>
        <v>0.60715123160880624</v>
      </c>
      <c r="H124" s="12">
        <f t="shared" si="4"/>
        <v>20.443288640882663</v>
      </c>
    </row>
    <row r="125" spans="1:8" x14ac:dyDescent="0.3">
      <c r="A125" s="3">
        <v>30401</v>
      </c>
      <c r="B125" s="3" t="s">
        <v>178</v>
      </c>
      <c r="C125" s="11">
        <v>11727302.247615701</v>
      </c>
      <c r="D125" s="11">
        <v>831076.4733333335</v>
      </c>
      <c r="E125" s="11">
        <v>9147787.8266666662</v>
      </c>
      <c r="F125" s="11">
        <v>1295682.6966666668</v>
      </c>
      <c r="G125" s="12">
        <f t="shared" si="5"/>
        <v>7.0866807709531079</v>
      </c>
      <c r="H125" s="12">
        <f t="shared" si="4"/>
        <v>14.163890999850578</v>
      </c>
    </row>
    <row r="126" spans="1:8" x14ac:dyDescent="0.3">
      <c r="A126" s="3">
        <v>30402</v>
      </c>
      <c r="B126" s="3" t="s">
        <v>180</v>
      </c>
      <c r="C126" s="11">
        <v>12027627.555267068</v>
      </c>
      <c r="D126" s="11">
        <v>309949.54000000004</v>
      </c>
      <c r="E126" s="11">
        <v>7079992.8766666651</v>
      </c>
      <c r="F126" s="11">
        <v>228272.03000000003</v>
      </c>
      <c r="G126" s="12">
        <f t="shared" si="5"/>
        <v>2.5769798622029061</v>
      </c>
      <c r="H126" s="12">
        <f t="shared" si="4"/>
        <v>3.2241844586074344</v>
      </c>
    </row>
    <row r="127" spans="1:8" x14ac:dyDescent="0.3">
      <c r="A127" s="3">
        <v>30403</v>
      </c>
      <c r="B127" s="3" t="s">
        <v>181</v>
      </c>
      <c r="C127" s="11">
        <v>12841864.27840732</v>
      </c>
      <c r="D127" s="11">
        <v>1298995.0333333332</v>
      </c>
      <c r="E127" s="11">
        <v>19569012.84333333</v>
      </c>
      <c r="F127" s="11">
        <v>2948872.7066666665</v>
      </c>
      <c r="G127" s="12">
        <f t="shared" si="5"/>
        <v>10.115315075533859</v>
      </c>
      <c r="H127" s="12">
        <f t="shared" si="4"/>
        <v>15.069092806443086</v>
      </c>
    </row>
    <row r="128" spans="1:8" x14ac:dyDescent="0.3">
      <c r="A128" s="3">
        <v>30404</v>
      </c>
      <c r="B128" s="3" t="s">
        <v>182</v>
      </c>
      <c r="C128" s="11">
        <v>6207572.3604669198</v>
      </c>
      <c r="D128" s="11">
        <v>155292.17000000001</v>
      </c>
      <c r="E128" s="11">
        <v>4224782.3266666653</v>
      </c>
      <c r="F128" s="11">
        <v>65543.503333333341</v>
      </c>
      <c r="G128" s="12">
        <f t="shared" si="5"/>
        <v>2.5016570243946266</v>
      </c>
      <c r="H128" s="12">
        <f t="shared" si="4"/>
        <v>1.5514054515809073</v>
      </c>
    </row>
    <row r="129" spans="1:8" x14ac:dyDescent="0.3">
      <c r="A129" s="3">
        <v>30501</v>
      </c>
      <c r="B129" s="3" t="s">
        <v>200</v>
      </c>
      <c r="C129" s="11">
        <v>14692436.537773646</v>
      </c>
      <c r="D129" s="11">
        <v>392168.76333333337</v>
      </c>
      <c r="E129" s="11">
        <v>10138564.173333332</v>
      </c>
      <c r="F129" s="11">
        <v>1084062.1333333335</v>
      </c>
      <c r="G129" s="12">
        <f t="shared" si="5"/>
        <v>2.6691880705088207</v>
      </c>
      <c r="H129" s="12">
        <f t="shared" si="4"/>
        <v>10.692462115934099</v>
      </c>
    </row>
    <row r="130" spans="1:8" x14ac:dyDescent="0.3">
      <c r="A130" s="3">
        <v>30502</v>
      </c>
      <c r="B130" s="3" t="s">
        <v>202</v>
      </c>
      <c r="C130" s="11">
        <v>16113741.096240647</v>
      </c>
      <c r="D130" s="11">
        <v>207323.18000000002</v>
      </c>
      <c r="E130" s="11">
        <v>8815818.9399999995</v>
      </c>
      <c r="F130" s="11">
        <v>298682.05</v>
      </c>
      <c r="G130" s="12">
        <f t="shared" ref="G130:G156" si="6">(D130*100)/C130</f>
        <v>1.2866235020269052</v>
      </c>
      <c r="H130" s="12">
        <f t="shared" ref="H130:H193" si="7">(F130*100)/E130</f>
        <v>3.3880238697370526</v>
      </c>
    </row>
    <row r="131" spans="1:8" x14ac:dyDescent="0.3">
      <c r="A131" s="3">
        <v>30601</v>
      </c>
      <c r="B131" s="3" t="s">
        <v>203</v>
      </c>
      <c r="C131" s="11">
        <v>15790529.440140748</v>
      </c>
      <c r="D131" s="11">
        <v>195193.40333333332</v>
      </c>
      <c r="E131" s="11">
        <v>10610839.33333333</v>
      </c>
      <c r="F131" s="11">
        <v>515945.68333333329</v>
      </c>
      <c r="G131" s="12">
        <f t="shared" si="6"/>
        <v>1.2361422336931691</v>
      </c>
      <c r="H131" s="12">
        <f t="shared" si="7"/>
        <v>4.8624398798737829</v>
      </c>
    </row>
    <row r="132" spans="1:8" x14ac:dyDescent="0.3">
      <c r="A132" s="3">
        <v>30602</v>
      </c>
      <c r="B132" s="3" t="s">
        <v>205</v>
      </c>
      <c r="C132" s="11">
        <v>15532170.788248917</v>
      </c>
      <c r="D132" s="11">
        <v>227877.65666666665</v>
      </c>
      <c r="E132" s="11">
        <v>10159199.58</v>
      </c>
      <c r="F132" s="11">
        <v>390906.26333333342</v>
      </c>
      <c r="G132" s="12">
        <f t="shared" si="6"/>
        <v>1.4671333439049659</v>
      </c>
      <c r="H132" s="12">
        <f t="shared" si="7"/>
        <v>3.8478057277553104</v>
      </c>
    </row>
    <row r="133" spans="1:8" x14ac:dyDescent="0.3">
      <c r="A133" s="3">
        <v>30701</v>
      </c>
      <c r="B133" s="3" t="s">
        <v>188</v>
      </c>
      <c r="C133" s="11">
        <v>24394492.307369664</v>
      </c>
      <c r="D133" s="11">
        <v>3102698.8866666667</v>
      </c>
      <c r="E133" s="11">
        <v>21702677.716666657</v>
      </c>
      <c r="F133" s="11">
        <v>3146467.8033333328</v>
      </c>
      <c r="G133" s="12">
        <f t="shared" si="6"/>
        <v>12.718850007504892</v>
      </c>
      <c r="H133" s="12">
        <f t="shared" si="7"/>
        <v>14.498062609652035</v>
      </c>
    </row>
    <row r="134" spans="1:8" x14ac:dyDescent="0.3">
      <c r="A134" s="3">
        <v>30702</v>
      </c>
      <c r="B134" s="3" t="s">
        <v>190</v>
      </c>
      <c r="C134" s="11">
        <v>9030647.6735567749</v>
      </c>
      <c r="D134" s="11">
        <v>1094746.0766666667</v>
      </c>
      <c r="E134" s="11">
        <v>10027433.976666665</v>
      </c>
      <c r="F134" s="11">
        <v>3809280.01</v>
      </c>
      <c r="G134" s="12">
        <f t="shared" si="6"/>
        <v>12.122564363487058</v>
      </c>
      <c r="H134" s="12">
        <f t="shared" si="7"/>
        <v>37.988582311925498</v>
      </c>
    </row>
    <row r="135" spans="1:8" x14ac:dyDescent="0.3">
      <c r="A135" s="3">
        <v>30703</v>
      </c>
      <c r="B135" s="3" t="s">
        <v>191</v>
      </c>
      <c r="C135" s="11">
        <v>3064684.3005544581</v>
      </c>
      <c r="D135" s="11">
        <v>209884.19666666668</v>
      </c>
      <c r="E135" s="11">
        <v>4238413.6666666642</v>
      </c>
      <c r="F135" s="11">
        <v>675612.01333333331</v>
      </c>
      <c r="G135" s="12">
        <f t="shared" si="6"/>
        <v>6.8484769093082356</v>
      </c>
      <c r="H135" s="12">
        <f t="shared" si="7"/>
        <v>15.940209391233726</v>
      </c>
    </row>
    <row r="136" spans="1:8" x14ac:dyDescent="0.3">
      <c r="A136" s="3">
        <v>30801</v>
      </c>
      <c r="B136" s="3" t="s">
        <v>183</v>
      </c>
      <c r="C136" s="11">
        <v>28565833.438896447</v>
      </c>
      <c r="D136" s="11">
        <v>4431525.8533333335</v>
      </c>
      <c r="E136" s="11">
        <v>27668960.736666661</v>
      </c>
      <c r="F136" s="11">
        <v>6805396.6133333333</v>
      </c>
      <c r="G136" s="12">
        <f t="shared" si="6"/>
        <v>15.5133784659655</v>
      </c>
      <c r="H136" s="12">
        <f t="shared" si="7"/>
        <v>24.595779646739253</v>
      </c>
    </row>
    <row r="137" spans="1:8" x14ac:dyDescent="0.3">
      <c r="A137" s="3">
        <v>30802</v>
      </c>
      <c r="B137" s="3" t="s">
        <v>185</v>
      </c>
      <c r="C137" s="11">
        <v>8807065.8683249075</v>
      </c>
      <c r="D137" s="11">
        <v>494385.50333333341</v>
      </c>
      <c r="E137" s="11">
        <v>7134229.3399999999</v>
      </c>
      <c r="F137" s="11">
        <v>411133.3133333333</v>
      </c>
      <c r="G137" s="12">
        <f t="shared" si="6"/>
        <v>5.613509774139624</v>
      </c>
      <c r="H137" s="12">
        <f t="shared" si="7"/>
        <v>5.7628272619188508</v>
      </c>
    </row>
    <row r="138" spans="1:8" x14ac:dyDescent="0.3">
      <c r="A138" s="3">
        <v>30803</v>
      </c>
      <c r="B138" s="3" t="s">
        <v>187</v>
      </c>
      <c r="C138" s="11">
        <v>7638715.0642733192</v>
      </c>
      <c r="D138" s="11">
        <v>1141436.2433333334</v>
      </c>
      <c r="E138" s="11">
        <v>7060326.8299999991</v>
      </c>
      <c r="F138" s="11">
        <v>1780634.7433333334</v>
      </c>
      <c r="G138" s="12">
        <f t="shared" si="6"/>
        <v>14.942778120784896</v>
      </c>
      <c r="H138" s="12">
        <f t="shared" si="7"/>
        <v>25.220287760153642</v>
      </c>
    </row>
    <row r="139" spans="1:8" x14ac:dyDescent="0.3">
      <c r="A139" s="3">
        <v>30901</v>
      </c>
      <c r="B139" s="3" t="s">
        <v>155</v>
      </c>
      <c r="C139" s="11">
        <v>176860715.93484953</v>
      </c>
      <c r="D139" s="11">
        <v>51381469.403333329</v>
      </c>
      <c r="E139" s="11">
        <v>228524312.86666667</v>
      </c>
      <c r="F139" s="11">
        <v>97821938.310000002</v>
      </c>
      <c r="G139" s="12">
        <f t="shared" si="6"/>
        <v>29.051940184535272</v>
      </c>
      <c r="H139" s="12">
        <f t="shared" si="7"/>
        <v>42.805921646977914</v>
      </c>
    </row>
    <row r="140" spans="1:8" x14ac:dyDescent="0.3">
      <c r="A140" s="3">
        <v>30902</v>
      </c>
      <c r="B140" s="3" t="s">
        <v>157</v>
      </c>
      <c r="C140" s="11">
        <v>40968156.245048963</v>
      </c>
      <c r="D140" s="11">
        <v>2157206.6533333338</v>
      </c>
      <c r="E140" s="11">
        <v>47485575.246666647</v>
      </c>
      <c r="F140" s="11">
        <v>7878554.6266666679</v>
      </c>
      <c r="G140" s="12">
        <f t="shared" si="6"/>
        <v>5.2655692885716183</v>
      </c>
      <c r="H140" s="12">
        <f t="shared" si="7"/>
        <v>16.591469274071223</v>
      </c>
    </row>
    <row r="141" spans="1:8" x14ac:dyDescent="0.3">
      <c r="A141" s="3">
        <v>30903</v>
      </c>
      <c r="B141" s="3" t="s">
        <v>158</v>
      </c>
      <c r="C141" s="11">
        <v>61287211.859728955</v>
      </c>
      <c r="D141" s="11">
        <v>15193420.670000002</v>
      </c>
      <c r="E141" s="11">
        <v>85919528.796666637</v>
      </c>
      <c r="F141" s="11">
        <v>34564977.189999998</v>
      </c>
      <c r="G141" s="12">
        <f t="shared" si="6"/>
        <v>24.790523518632124</v>
      </c>
      <c r="H141" s="12">
        <f t="shared" si="7"/>
        <v>40.22947713295769</v>
      </c>
    </row>
    <row r="142" spans="1:8" x14ac:dyDescent="0.3">
      <c r="A142" s="3">
        <v>30904</v>
      </c>
      <c r="B142" s="3" t="s">
        <v>159</v>
      </c>
      <c r="C142" s="11">
        <v>43774839.07759466</v>
      </c>
      <c r="D142" s="11">
        <v>5194326.2366666663</v>
      </c>
      <c r="E142" s="11">
        <v>67481367.496666655</v>
      </c>
      <c r="F142" s="11">
        <v>17968586.673333332</v>
      </c>
      <c r="G142" s="12">
        <f t="shared" si="6"/>
        <v>11.866008753245847</v>
      </c>
      <c r="H142" s="12">
        <f t="shared" si="7"/>
        <v>26.627478576543247</v>
      </c>
    </row>
    <row r="143" spans="1:8" x14ac:dyDescent="0.3">
      <c r="A143" s="3">
        <v>30905</v>
      </c>
      <c r="B143" s="3" t="s">
        <v>160</v>
      </c>
      <c r="C143" s="11">
        <v>63896937.172775529</v>
      </c>
      <c r="D143" s="11">
        <v>13733020.166666666</v>
      </c>
      <c r="E143" s="11">
        <v>90717078.149999991</v>
      </c>
      <c r="F143" s="11">
        <v>41183317.586666666</v>
      </c>
      <c r="G143" s="12">
        <f t="shared" si="6"/>
        <v>21.492454528036237</v>
      </c>
      <c r="H143" s="12">
        <f t="shared" si="7"/>
        <v>45.397535311455208</v>
      </c>
    </row>
    <row r="144" spans="1:8" x14ac:dyDescent="0.3">
      <c r="A144" s="3">
        <v>31001</v>
      </c>
      <c r="B144" s="3" t="s">
        <v>168</v>
      </c>
      <c r="C144" s="11">
        <v>181611202.67564571</v>
      </c>
      <c r="D144" s="11">
        <v>39359572.873333327</v>
      </c>
      <c r="E144" s="11">
        <v>251437897.44999996</v>
      </c>
      <c r="F144" s="11">
        <v>87128429.86999999</v>
      </c>
      <c r="G144" s="12">
        <f t="shared" si="6"/>
        <v>21.672436663298136</v>
      </c>
      <c r="H144" s="12">
        <f t="shared" si="7"/>
        <v>34.652067470189543</v>
      </c>
    </row>
    <row r="145" spans="1:8" x14ac:dyDescent="0.3">
      <c r="A145" s="3">
        <v>31002</v>
      </c>
      <c r="B145" s="3" t="s">
        <v>170</v>
      </c>
      <c r="C145" s="11">
        <v>22808050.042926282</v>
      </c>
      <c r="D145" s="11">
        <v>995191.76000000013</v>
      </c>
      <c r="E145" s="11">
        <v>20659481.61666666</v>
      </c>
      <c r="F145" s="11">
        <v>2280440.9133333336</v>
      </c>
      <c r="G145" s="12">
        <f t="shared" si="6"/>
        <v>4.3633355684812267</v>
      </c>
      <c r="H145" s="12">
        <f t="shared" si="7"/>
        <v>11.038229107808927</v>
      </c>
    </row>
    <row r="146" spans="1:8" x14ac:dyDescent="0.3">
      <c r="A146" s="3">
        <v>31003</v>
      </c>
      <c r="B146" s="3" t="s">
        <v>171</v>
      </c>
      <c r="C146" s="11">
        <v>72912499.10494177</v>
      </c>
      <c r="D146" s="11">
        <v>7121822.8499999987</v>
      </c>
      <c r="E146" s="11">
        <v>89639229.543333337</v>
      </c>
      <c r="F146" s="11">
        <v>21620418.710000001</v>
      </c>
      <c r="G146" s="12">
        <f t="shared" si="6"/>
        <v>9.7676296073046061</v>
      </c>
      <c r="H146" s="12">
        <f t="shared" si="7"/>
        <v>24.119371418234103</v>
      </c>
    </row>
    <row r="147" spans="1:8" x14ac:dyDescent="0.3">
      <c r="A147" s="3">
        <v>31101</v>
      </c>
      <c r="B147" s="3" t="s">
        <v>192</v>
      </c>
      <c r="C147" s="11">
        <v>34520725.988692902</v>
      </c>
      <c r="D147" s="11">
        <v>485458.80333333329</v>
      </c>
      <c r="E147" s="11">
        <v>24404105.943333328</v>
      </c>
      <c r="F147" s="11">
        <v>942800.7533333333</v>
      </c>
      <c r="G147" s="12">
        <f t="shared" si="6"/>
        <v>1.4062821375551111</v>
      </c>
      <c r="H147" s="12">
        <f t="shared" si="7"/>
        <v>3.8632874136939486</v>
      </c>
    </row>
    <row r="148" spans="1:8" x14ac:dyDescent="0.3">
      <c r="A148" s="3">
        <v>31201</v>
      </c>
      <c r="B148" s="3" t="s">
        <v>194</v>
      </c>
      <c r="C148" s="11">
        <v>17143444.036082584</v>
      </c>
      <c r="D148" s="11">
        <v>571126.26666666672</v>
      </c>
      <c r="E148" s="11">
        <v>15364726.07333333</v>
      </c>
      <c r="F148" s="11">
        <v>1393127.8066666666</v>
      </c>
      <c r="G148" s="12">
        <f t="shared" si="6"/>
        <v>3.3314558350386969</v>
      </c>
      <c r="H148" s="12">
        <f t="shared" si="7"/>
        <v>9.0670526764844031</v>
      </c>
    </row>
    <row r="149" spans="1:8" x14ac:dyDescent="0.3">
      <c r="A149" s="3">
        <v>31202</v>
      </c>
      <c r="B149" s="3" t="s">
        <v>196</v>
      </c>
      <c r="C149" s="11">
        <v>14918879.369905099</v>
      </c>
      <c r="D149" s="11">
        <v>233220.82333333333</v>
      </c>
      <c r="E149" s="11">
        <v>9997470.5233333316</v>
      </c>
      <c r="F149" s="11">
        <v>321758.64333333325</v>
      </c>
      <c r="G149" s="12">
        <f t="shared" si="6"/>
        <v>1.5632596628121731</v>
      </c>
      <c r="H149" s="12">
        <f t="shared" si="7"/>
        <v>3.2184005202353254</v>
      </c>
    </row>
    <row r="150" spans="1:8" x14ac:dyDescent="0.3">
      <c r="A150" s="3">
        <v>31203</v>
      </c>
      <c r="B150" s="3" t="s">
        <v>197</v>
      </c>
      <c r="C150" s="11">
        <v>17313586.648232494</v>
      </c>
      <c r="D150" s="11">
        <v>237935.19333333336</v>
      </c>
      <c r="E150" s="11">
        <v>10496678.256666666</v>
      </c>
      <c r="F150" s="11">
        <v>255017.61000000002</v>
      </c>
      <c r="G150" s="12">
        <f t="shared" si="6"/>
        <v>1.3742686490532778</v>
      </c>
      <c r="H150" s="12">
        <f t="shared" si="7"/>
        <v>2.4295077334396988</v>
      </c>
    </row>
    <row r="151" spans="1:8" x14ac:dyDescent="0.3">
      <c r="A151" s="3">
        <v>31204</v>
      </c>
      <c r="B151" s="3" t="s">
        <v>198</v>
      </c>
      <c r="C151" s="11">
        <v>20886040.573201969</v>
      </c>
      <c r="D151" s="11">
        <v>1754732.6833333333</v>
      </c>
      <c r="E151" s="11">
        <v>25360989.219999995</v>
      </c>
      <c r="F151" s="11">
        <v>4652565.29</v>
      </c>
      <c r="G151" s="12">
        <f t="shared" si="6"/>
        <v>8.4014616230553525</v>
      </c>
      <c r="H151" s="12">
        <f t="shared" si="7"/>
        <v>18.345362042624618</v>
      </c>
    </row>
    <row r="152" spans="1:8" x14ac:dyDescent="0.3">
      <c r="A152" s="3">
        <v>31205</v>
      </c>
      <c r="B152" s="3" t="s">
        <v>199</v>
      </c>
      <c r="C152" s="11">
        <v>54365559.151017316</v>
      </c>
      <c r="D152" s="11">
        <v>3384461.94</v>
      </c>
      <c r="E152" s="11">
        <v>56693374.836666666</v>
      </c>
      <c r="F152" s="11">
        <v>12268933.459999999</v>
      </c>
      <c r="G152" s="12">
        <f t="shared" si="6"/>
        <v>6.2253787008767816</v>
      </c>
      <c r="H152" s="12">
        <f t="shared" si="7"/>
        <v>21.640859263267952</v>
      </c>
    </row>
    <row r="153" spans="1:8" x14ac:dyDescent="0.3">
      <c r="A153" s="3">
        <v>31206</v>
      </c>
      <c r="B153" s="3" t="s">
        <v>214</v>
      </c>
      <c r="C153" s="11">
        <v>31342012.936804846</v>
      </c>
      <c r="D153" s="11">
        <v>3618561.4433333334</v>
      </c>
      <c r="E153" s="11">
        <v>45225622.366666652</v>
      </c>
      <c r="F153" s="11">
        <v>15167151.556666667</v>
      </c>
      <c r="G153" s="12">
        <f t="shared" si="6"/>
        <v>11.54540217512343</v>
      </c>
      <c r="H153" s="12">
        <f t="shared" si="7"/>
        <v>33.536634241755735</v>
      </c>
    </row>
    <row r="154" spans="1:8" x14ac:dyDescent="0.3">
      <c r="A154" s="3">
        <v>31301</v>
      </c>
      <c r="B154" s="3" t="s">
        <v>210</v>
      </c>
      <c r="C154" s="11">
        <v>36442430.710265063</v>
      </c>
      <c r="D154" s="11">
        <v>2298696.4000000004</v>
      </c>
      <c r="E154" s="11">
        <v>22525208.166666657</v>
      </c>
      <c r="F154" s="11">
        <v>3894165.3133333339</v>
      </c>
      <c r="G154" s="12">
        <f t="shared" si="6"/>
        <v>6.3077471924849018</v>
      </c>
      <c r="H154" s="12">
        <f t="shared" si="7"/>
        <v>17.288032521253289</v>
      </c>
    </row>
    <row r="155" spans="1:8" x14ac:dyDescent="0.3">
      <c r="A155" s="3">
        <v>31302</v>
      </c>
      <c r="B155" s="3" t="s">
        <v>212</v>
      </c>
      <c r="C155" s="11">
        <v>6044540.9651339529</v>
      </c>
      <c r="D155" s="11">
        <v>109015.90333333332</v>
      </c>
      <c r="E155" s="11">
        <v>5251175.55</v>
      </c>
      <c r="F155" s="11">
        <v>50561.079999999994</v>
      </c>
      <c r="G155" s="12">
        <f t="shared" si="6"/>
        <v>1.8035431302750287</v>
      </c>
      <c r="H155" s="12">
        <f t="shared" si="7"/>
        <v>0.96285259402535095</v>
      </c>
    </row>
    <row r="156" spans="1:8" x14ac:dyDescent="0.3">
      <c r="A156" s="3">
        <v>31303</v>
      </c>
      <c r="B156" s="3" t="s">
        <v>213</v>
      </c>
      <c r="C156" s="11">
        <v>6644039.432830614</v>
      </c>
      <c r="D156" s="11">
        <v>268894.72666666663</v>
      </c>
      <c r="E156" s="11">
        <v>3305252.6866666656</v>
      </c>
      <c r="F156" s="11">
        <v>21614.473333333332</v>
      </c>
      <c r="G156" s="12">
        <f t="shared" si="6"/>
        <v>4.0471572961767812</v>
      </c>
      <c r="H156" s="12">
        <f t="shared" si="7"/>
        <v>0.65394314390926167</v>
      </c>
    </row>
    <row r="157" spans="1:8" x14ac:dyDescent="0.3">
      <c r="A157" s="5">
        <v>31304</v>
      </c>
      <c r="B157" s="5" t="s">
        <v>473</v>
      </c>
      <c r="C157" s="11">
        <v>0</v>
      </c>
      <c r="D157" s="11">
        <v>0</v>
      </c>
      <c r="E157" s="11">
        <v>7245132.7800000003</v>
      </c>
      <c r="F157" s="11">
        <v>255458.10000000056</v>
      </c>
      <c r="G157" s="12">
        <v>0</v>
      </c>
      <c r="H157" s="12">
        <f t="shared" si="7"/>
        <v>3.5259270983298743</v>
      </c>
    </row>
    <row r="158" spans="1:8" x14ac:dyDescent="0.3">
      <c r="A158" s="3">
        <v>31401</v>
      </c>
      <c r="B158" s="3" t="s">
        <v>172</v>
      </c>
      <c r="C158" s="11">
        <v>41384832.944765784</v>
      </c>
      <c r="D158" s="11">
        <v>9466962.3900000006</v>
      </c>
      <c r="E158" s="11">
        <v>46430179.923333324</v>
      </c>
      <c r="F158" s="11">
        <v>18908712.026666667</v>
      </c>
      <c r="G158" s="12">
        <f t="shared" ref="G158:G189" si="8">(D158*100)/C158</f>
        <v>22.875439421575216</v>
      </c>
      <c r="H158" s="12">
        <f t="shared" si="7"/>
        <v>40.725045773867784</v>
      </c>
    </row>
    <row r="159" spans="1:8" x14ac:dyDescent="0.3">
      <c r="A159" s="3">
        <v>31402</v>
      </c>
      <c r="B159" s="3" t="s">
        <v>174</v>
      </c>
      <c r="C159" s="11">
        <v>7492986.8196424842</v>
      </c>
      <c r="D159" s="11">
        <v>170757.41666666666</v>
      </c>
      <c r="E159" s="11">
        <v>8295569.6199999973</v>
      </c>
      <c r="F159" s="11">
        <v>545411.21666666667</v>
      </c>
      <c r="G159" s="12">
        <f t="shared" si="8"/>
        <v>2.2788965305401945</v>
      </c>
      <c r="H159" s="12">
        <f t="shared" si="7"/>
        <v>6.5747289414788472</v>
      </c>
    </row>
    <row r="160" spans="1:8" x14ac:dyDescent="0.3">
      <c r="A160" s="3">
        <v>31403</v>
      </c>
      <c r="B160" s="3" t="s">
        <v>175</v>
      </c>
      <c r="C160" s="11">
        <v>16766564.847337291</v>
      </c>
      <c r="D160" s="11">
        <v>1126639.6500000001</v>
      </c>
      <c r="E160" s="11">
        <v>14735931.799999997</v>
      </c>
      <c r="F160" s="11">
        <v>1815067.4733333334</v>
      </c>
      <c r="G160" s="12">
        <f t="shared" si="8"/>
        <v>6.7195615813869143</v>
      </c>
      <c r="H160" s="12">
        <f t="shared" si="7"/>
        <v>12.317290131142801</v>
      </c>
    </row>
    <row r="161" spans="1:8" x14ac:dyDescent="0.3">
      <c r="A161" s="3">
        <v>31404</v>
      </c>
      <c r="B161" s="3" t="s">
        <v>176</v>
      </c>
      <c r="C161" s="11">
        <v>1572890.979608804</v>
      </c>
      <c r="D161" s="11">
        <v>240175.58</v>
      </c>
      <c r="E161" s="11">
        <v>1259598.0233333332</v>
      </c>
      <c r="F161" s="11">
        <v>18709.953333333331</v>
      </c>
      <c r="G161" s="12">
        <f t="shared" si="8"/>
        <v>15.269690214622148</v>
      </c>
      <c r="H161" s="12">
        <f t="shared" si="7"/>
        <v>1.4853908141122916</v>
      </c>
    </row>
    <row r="162" spans="1:8" x14ac:dyDescent="0.3">
      <c r="A162" s="3">
        <v>31405</v>
      </c>
      <c r="B162" s="3" t="s">
        <v>177</v>
      </c>
      <c r="C162" s="11">
        <v>2519186.507833919</v>
      </c>
      <c r="D162" s="11">
        <v>83960.03</v>
      </c>
      <c r="E162" s="11">
        <v>2690020.3299999987</v>
      </c>
      <c r="F162" s="11">
        <v>53565.59</v>
      </c>
      <c r="G162" s="12">
        <f t="shared" si="8"/>
        <v>3.3328231053520385</v>
      </c>
      <c r="H162" s="12">
        <f t="shared" si="7"/>
        <v>1.991270824336113</v>
      </c>
    </row>
    <row r="163" spans="1:8" x14ac:dyDescent="0.3">
      <c r="A163" s="3">
        <v>31501</v>
      </c>
      <c r="B163" s="3" t="s">
        <v>206</v>
      </c>
      <c r="C163" s="11">
        <v>11375787.688237419</v>
      </c>
      <c r="D163" s="11">
        <v>170280.70333333334</v>
      </c>
      <c r="E163" s="11">
        <v>7213390.4133333312</v>
      </c>
      <c r="F163" s="11">
        <v>278781.18666666665</v>
      </c>
      <c r="G163" s="12">
        <f t="shared" si="8"/>
        <v>1.4968695619152932</v>
      </c>
      <c r="H163" s="12">
        <f t="shared" si="7"/>
        <v>3.8647732992708064</v>
      </c>
    </row>
    <row r="164" spans="1:8" x14ac:dyDescent="0.3">
      <c r="A164" s="3">
        <v>31601</v>
      </c>
      <c r="B164" s="3" t="s">
        <v>208</v>
      </c>
      <c r="C164" s="11">
        <v>26015515.231981099</v>
      </c>
      <c r="D164" s="11">
        <v>574879.45000000007</v>
      </c>
      <c r="E164" s="11">
        <v>22094605.116666663</v>
      </c>
      <c r="F164" s="11">
        <v>1867351.4233333331</v>
      </c>
      <c r="G164" s="12">
        <f t="shared" si="8"/>
        <v>2.2097561584838257</v>
      </c>
      <c r="H164" s="12">
        <f t="shared" si="7"/>
        <v>8.4516170959974772</v>
      </c>
    </row>
    <row r="165" spans="1:8" x14ac:dyDescent="0.3">
      <c r="A165" s="3">
        <v>31602</v>
      </c>
      <c r="B165" s="3" t="s">
        <v>216</v>
      </c>
      <c r="C165" s="11">
        <v>19926775.975853715</v>
      </c>
      <c r="D165" s="11">
        <v>1502618.9933333334</v>
      </c>
      <c r="E165" s="11">
        <v>24178671.453333329</v>
      </c>
      <c r="F165" s="11">
        <v>4322555.8066666666</v>
      </c>
      <c r="G165" s="12">
        <f t="shared" si="8"/>
        <v>7.5407029975854254</v>
      </c>
      <c r="H165" s="12">
        <f t="shared" si="7"/>
        <v>17.877557147875258</v>
      </c>
    </row>
    <row r="166" spans="1:8" x14ac:dyDescent="0.3">
      <c r="A166" s="3">
        <v>40101</v>
      </c>
      <c r="B166" s="3" t="s">
        <v>217</v>
      </c>
      <c r="C166" s="11">
        <v>520350222.92803288</v>
      </c>
      <c r="D166" s="11">
        <v>104100409.70333333</v>
      </c>
      <c r="E166" s="11">
        <v>520376898.57999992</v>
      </c>
      <c r="F166" s="11">
        <v>192423400.36666667</v>
      </c>
      <c r="G166" s="12">
        <f t="shared" si="8"/>
        <v>20.005835515464163</v>
      </c>
      <c r="H166" s="12">
        <f t="shared" si="7"/>
        <v>36.977698451209122</v>
      </c>
    </row>
    <row r="167" spans="1:8" x14ac:dyDescent="0.3">
      <c r="A167" s="3">
        <v>40102</v>
      </c>
      <c r="B167" s="3" t="s">
        <v>219</v>
      </c>
      <c r="C167" s="11">
        <v>46763926.995792739</v>
      </c>
      <c r="D167" s="11">
        <v>2454522.1666666665</v>
      </c>
      <c r="E167" s="11">
        <v>30973320.653333321</v>
      </c>
      <c r="F167" s="11">
        <v>2361484.3233333332</v>
      </c>
      <c r="G167" s="12">
        <f t="shared" si="8"/>
        <v>5.2487511728591469</v>
      </c>
      <c r="H167" s="12">
        <f t="shared" si="7"/>
        <v>7.6242529813450668</v>
      </c>
    </row>
    <row r="168" spans="1:8" x14ac:dyDescent="0.3">
      <c r="A168" s="3">
        <v>40103</v>
      </c>
      <c r="B168" s="3" t="s">
        <v>220</v>
      </c>
      <c r="C168" s="11">
        <v>11623476.592402371</v>
      </c>
      <c r="D168" s="11">
        <v>8676.4833333333336</v>
      </c>
      <c r="E168" s="11">
        <v>10984911.546666667</v>
      </c>
      <c r="F168" s="11">
        <v>185431.58333333334</v>
      </c>
      <c r="G168" s="12">
        <f t="shared" si="8"/>
        <v>7.4646197842431025E-2</v>
      </c>
      <c r="H168" s="12">
        <f t="shared" si="7"/>
        <v>1.6880571367877961</v>
      </c>
    </row>
    <row r="169" spans="1:8" x14ac:dyDescent="0.3">
      <c r="A169" s="3">
        <v>40104</v>
      </c>
      <c r="B169" s="3" t="s">
        <v>267</v>
      </c>
      <c r="C169" s="11">
        <v>29530110.558591932</v>
      </c>
      <c r="D169" s="11">
        <v>393324.97333333333</v>
      </c>
      <c r="E169" s="11">
        <v>17889204.286666662</v>
      </c>
      <c r="F169" s="11">
        <v>1988632.1333333335</v>
      </c>
      <c r="G169" s="12">
        <f t="shared" si="8"/>
        <v>1.3319454817242244</v>
      </c>
      <c r="H169" s="12">
        <f t="shared" si="7"/>
        <v>11.116381150700583</v>
      </c>
    </row>
    <row r="170" spans="1:8" x14ac:dyDescent="0.3">
      <c r="A170" s="3">
        <v>40201</v>
      </c>
      <c r="B170" s="3" t="s">
        <v>221</v>
      </c>
      <c r="C170" s="11">
        <v>56761235.901223689</v>
      </c>
      <c r="D170" s="11">
        <v>1649845.1933333334</v>
      </c>
      <c r="E170" s="11">
        <v>40265089.636666633</v>
      </c>
      <c r="F170" s="11">
        <v>4470132.9833333334</v>
      </c>
      <c r="G170" s="12">
        <f t="shared" si="8"/>
        <v>2.9066407155129705</v>
      </c>
      <c r="H170" s="12">
        <f t="shared" si="7"/>
        <v>11.101758430615021</v>
      </c>
    </row>
    <row r="171" spans="1:8" x14ac:dyDescent="0.3">
      <c r="A171" s="3">
        <v>40202</v>
      </c>
      <c r="B171" s="3" t="s">
        <v>223</v>
      </c>
      <c r="C171" s="11">
        <v>6967790.229775141</v>
      </c>
      <c r="D171" s="11">
        <v>86782.31</v>
      </c>
      <c r="E171" s="11">
        <v>5061242.5599999987</v>
      </c>
      <c r="F171" s="11">
        <v>47373.973333333328</v>
      </c>
      <c r="G171" s="12">
        <f t="shared" si="8"/>
        <v>1.2454782239160573</v>
      </c>
      <c r="H171" s="12">
        <f t="shared" si="7"/>
        <v>0.93601467963103002</v>
      </c>
    </row>
    <row r="172" spans="1:8" x14ac:dyDescent="0.3">
      <c r="A172" s="3">
        <v>40301</v>
      </c>
      <c r="B172" s="3" t="s">
        <v>237</v>
      </c>
      <c r="C172" s="11">
        <v>18589874.389524311</v>
      </c>
      <c r="D172" s="11">
        <v>116781.47000000002</v>
      </c>
      <c r="E172" s="11">
        <v>11593694.809999997</v>
      </c>
      <c r="F172" s="11">
        <v>180251.75333333333</v>
      </c>
      <c r="G172" s="12">
        <f t="shared" si="8"/>
        <v>0.62819934956531087</v>
      </c>
      <c r="H172" s="12">
        <f t="shared" si="7"/>
        <v>1.5547395052857473</v>
      </c>
    </row>
    <row r="173" spans="1:8" x14ac:dyDescent="0.3">
      <c r="A173" s="3">
        <v>40302</v>
      </c>
      <c r="B173" s="3" t="s">
        <v>239</v>
      </c>
      <c r="C173" s="11">
        <v>3446530.0347651304</v>
      </c>
      <c r="D173" s="11">
        <v>0</v>
      </c>
      <c r="E173" s="11">
        <v>2331307.9766666661</v>
      </c>
      <c r="F173" s="11">
        <v>41900.403333333328</v>
      </c>
      <c r="G173" s="12">
        <f t="shared" si="8"/>
        <v>0</v>
      </c>
      <c r="H173" s="12">
        <f t="shared" si="7"/>
        <v>1.7972916385437441</v>
      </c>
    </row>
    <row r="174" spans="1:8" x14ac:dyDescent="0.3">
      <c r="A174" s="3">
        <v>40401</v>
      </c>
      <c r="B174" s="3" t="s">
        <v>240</v>
      </c>
      <c r="C174" s="11">
        <v>11378403.181296492</v>
      </c>
      <c r="D174" s="11">
        <v>104384.2</v>
      </c>
      <c r="E174" s="11">
        <v>5633246.1366666658</v>
      </c>
      <c r="F174" s="11">
        <v>454746.74000000005</v>
      </c>
      <c r="G174" s="12">
        <f t="shared" si="8"/>
        <v>0.91738883160322438</v>
      </c>
      <c r="H174" s="12">
        <f t="shared" si="7"/>
        <v>8.0725522898789084</v>
      </c>
    </row>
    <row r="175" spans="1:8" x14ac:dyDescent="0.3">
      <c r="A175" s="3">
        <v>40402</v>
      </c>
      <c r="B175" s="3" t="s">
        <v>242</v>
      </c>
      <c r="C175" s="11">
        <v>9010135.8803833351</v>
      </c>
      <c r="D175" s="11">
        <v>125413.52999999998</v>
      </c>
      <c r="E175" s="11">
        <v>6982529.3699999982</v>
      </c>
      <c r="F175" s="11">
        <v>537731.19666666666</v>
      </c>
      <c r="G175" s="12">
        <f t="shared" si="8"/>
        <v>1.3919160783473588</v>
      </c>
      <c r="H175" s="12">
        <f t="shared" si="7"/>
        <v>7.7010946631602462</v>
      </c>
    </row>
    <row r="176" spans="1:8" x14ac:dyDescent="0.3">
      <c r="A176" s="3">
        <v>40501</v>
      </c>
      <c r="B176" s="3" t="s">
        <v>243</v>
      </c>
      <c r="C176" s="11">
        <v>3469707.3660674528</v>
      </c>
      <c r="D176" s="11">
        <v>31376.486666666668</v>
      </c>
      <c r="E176" s="11">
        <v>1578304.4133333329</v>
      </c>
      <c r="F176" s="11">
        <v>337338.38666666666</v>
      </c>
      <c r="G176" s="12">
        <f t="shared" si="8"/>
        <v>0.90429777950492141</v>
      </c>
      <c r="H176" s="12">
        <f t="shared" si="7"/>
        <v>21.373467869497862</v>
      </c>
    </row>
    <row r="177" spans="1:8" x14ac:dyDescent="0.3">
      <c r="A177" s="3">
        <v>40502</v>
      </c>
      <c r="B177" s="3" t="s">
        <v>245</v>
      </c>
      <c r="C177" s="11">
        <v>1838804.0315934673</v>
      </c>
      <c r="D177" s="11">
        <v>0</v>
      </c>
      <c r="E177" s="11">
        <v>7483655.7966666669</v>
      </c>
      <c r="F177" s="11">
        <v>2256881</v>
      </c>
      <c r="G177" s="12">
        <f t="shared" si="8"/>
        <v>0</v>
      </c>
      <c r="H177" s="12">
        <f t="shared" si="7"/>
        <v>30.15746663556131</v>
      </c>
    </row>
    <row r="178" spans="1:8" x14ac:dyDescent="0.3">
      <c r="A178" s="3">
        <v>40503</v>
      </c>
      <c r="B178" s="3" t="s">
        <v>246</v>
      </c>
      <c r="C178" s="11">
        <v>1871663.0036139172</v>
      </c>
      <c r="D178" s="11">
        <v>433.33333333333331</v>
      </c>
      <c r="E178" s="11">
        <v>3429487.5999999996</v>
      </c>
      <c r="F178" s="11">
        <v>995254.78333333333</v>
      </c>
      <c r="G178" s="12">
        <f t="shared" si="8"/>
        <v>2.3152316015042654E-2</v>
      </c>
      <c r="H178" s="12">
        <f t="shared" si="7"/>
        <v>29.020509750008525</v>
      </c>
    </row>
    <row r="179" spans="1:8" x14ac:dyDescent="0.3">
      <c r="A179" s="3">
        <v>40504</v>
      </c>
      <c r="B179" s="3" t="s">
        <v>247</v>
      </c>
      <c r="C179" s="11">
        <v>477327.51345296233</v>
      </c>
      <c r="D179" s="11">
        <v>21.87</v>
      </c>
      <c r="E179" s="11">
        <v>652549.87999999989</v>
      </c>
      <c r="F179" s="11">
        <v>16881.666666666668</v>
      </c>
      <c r="G179" s="12">
        <f t="shared" si="8"/>
        <v>4.5817597736601354E-3</v>
      </c>
      <c r="H179" s="12">
        <f t="shared" si="7"/>
        <v>2.5870308437826499</v>
      </c>
    </row>
    <row r="180" spans="1:8" x14ac:dyDescent="0.3">
      <c r="A180" s="3">
        <v>40505</v>
      </c>
      <c r="B180" s="3" t="s">
        <v>248</v>
      </c>
      <c r="C180" s="11">
        <v>2267670.8623965811</v>
      </c>
      <c r="D180" s="11">
        <v>245316.83</v>
      </c>
      <c r="E180" s="11">
        <v>4432900.879999999</v>
      </c>
      <c r="F180" s="11">
        <v>1088863.6666666667</v>
      </c>
      <c r="G180" s="12">
        <f t="shared" si="8"/>
        <v>10.818008647901294</v>
      </c>
      <c r="H180" s="12">
        <f t="shared" si="7"/>
        <v>24.563230628036667</v>
      </c>
    </row>
    <row r="181" spans="1:8" x14ac:dyDescent="0.3">
      <c r="A181" s="3">
        <v>40601</v>
      </c>
      <c r="B181" s="3" t="s">
        <v>227</v>
      </c>
      <c r="C181" s="11">
        <v>16055298.13210658</v>
      </c>
      <c r="D181" s="11">
        <v>3019060.0399999991</v>
      </c>
      <c r="E181" s="11">
        <v>13946142.33333333</v>
      </c>
      <c r="F181" s="11">
        <v>4555311.78</v>
      </c>
      <c r="G181" s="12">
        <f t="shared" si="8"/>
        <v>18.804135651412377</v>
      </c>
      <c r="H181" s="12">
        <f t="shared" si="7"/>
        <v>32.663597367080754</v>
      </c>
    </row>
    <row r="182" spans="1:8" x14ac:dyDescent="0.3">
      <c r="A182" s="3">
        <v>40602</v>
      </c>
      <c r="B182" s="3" t="s">
        <v>229</v>
      </c>
      <c r="C182" s="11">
        <v>12112168.328983584</v>
      </c>
      <c r="D182" s="11">
        <v>549755.43999999994</v>
      </c>
      <c r="E182" s="11">
        <v>7645555.879999998</v>
      </c>
      <c r="F182" s="11">
        <v>274861.44</v>
      </c>
      <c r="G182" s="12">
        <f t="shared" si="8"/>
        <v>4.5388688884423196</v>
      </c>
      <c r="H182" s="12">
        <f t="shared" si="7"/>
        <v>3.5950484740947322</v>
      </c>
    </row>
    <row r="183" spans="1:8" x14ac:dyDescent="0.3">
      <c r="A183" s="3">
        <v>40603</v>
      </c>
      <c r="B183" s="3" t="s">
        <v>230</v>
      </c>
      <c r="C183" s="11">
        <v>11652196.82649838</v>
      </c>
      <c r="D183" s="11">
        <v>4616870.42</v>
      </c>
      <c r="E183" s="11">
        <v>9899816.3566666637</v>
      </c>
      <c r="F183" s="11">
        <v>5860119.3733333321</v>
      </c>
      <c r="G183" s="12">
        <f t="shared" si="8"/>
        <v>39.622317480088626</v>
      </c>
      <c r="H183" s="12">
        <f t="shared" si="7"/>
        <v>59.194223026036767</v>
      </c>
    </row>
    <row r="184" spans="1:8" x14ac:dyDescent="0.3">
      <c r="A184" s="3">
        <v>40701</v>
      </c>
      <c r="B184" s="3" t="s">
        <v>224</v>
      </c>
      <c r="C184" s="11">
        <v>47693031.525712408</v>
      </c>
      <c r="D184" s="11">
        <v>6936763.0300000012</v>
      </c>
      <c r="E184" s="11">
        <v>39810773.606666654</v>
      </c>
      <c r="F184" s="11">
        <v>9265448.589999998</v>
      </c>
      <c r="G184" s="12">
        <f t="shared" si="8"/>
        <v>14.544604962383724</v>
      </c>
      <c r="H184" s="12">
        <f t="shared" si="7"/>
        <v>23.273721534636088</v>
      </c>
    </row>
    <row r="185" spans="1:8" x14ac:dyDescent="0.3">
      <c r="A185" s="3">
        <v>40702</v>
      </c>
      <c r="B185" s="3" t="s">
        <v>226</v>
      </c>
      <c r="C185" s="11">
        <v>8904462.5728685036</v>
      </c>
      <c r="D185" s="11">
        <v>180596.14333333331</v>
      </c>
      <c r="E185" s="11">
        <v>6360971.043333333</v>
      </c>
      <c r="F185" s="11">
        <v>395212.37000000005</v>
      </c>
      <c r="G185" s="12">
        <f t="shared" si="8"/>
        <v>2.0281532080734626</v>
      </c>
      <c r="H185" s="12">
        <f t="shared" si="7"/>
        <v>6.2130823628603933</v>
      </c>
    </row>
    <row r="186" spans="1:8" x14ac:dyDescent="0.3">
      <c r="A186" s="3">
        <v>40801</v>
      </c>
      <c r="B186" s="3" t="s">
        <v>254</v>
      </c>
      <c r="C186" s="11">
        <v>18976490.768443387</v>
      </c>
      <c r="D186" s="11">
        <v>262430.39333333337</v>
      </c>
      <c r="E186" s="11">
        <v>17014945.120000001</v>
      </c>
      <c r="F186" s="11">
        <v>1059077.9500000011</v>
      </c>
      <c r="G186" s="12">
        <f t="shared" si="8"/>
        <v>1.382923726707876</v>
      </c>
      <c r="H186" s="12">
        <f t="shared" si="7"/>
        <v>6.2243982718176474</v>
      </c>
    </row>
    <row r="187" spans="1:8" x14ac:dyDescent="0.3">
      <c r="A187" s="3">
        <v>40802</v>
      </c>
      <c r="B187" s="3" t="s">
        <v>256</v>
      </c>
      <c r="C187" s="11">
        <v>6425052.1772695109</v>
      </c>
      <c r="D187" s="11">
        <v>42157.15</v>
      </c>
      <c r="E187" s="11">
        <v>3699488.47</v>
      </c>
      <c r="F187" s="11">
        <v>19999.333333333332</v>
      </c>
      <c r="G187" s="12">
        <f t="shared" si="8"/>
        <v>0.65613708397798176</v>
      </c>
      <c r="H187" s="12">
        <f t="shared" si="7"/>
        <v>0.54059726082436832</v>
      </c>
    </row>
    <row r="188" spans="1:8" x14ac:dyDescent="0.3">
      <c r="A188" s="3">
        <v>40901</v>
      </c>
      <c r="B188" s="3" t="s">
        <v>261</v>
      </c>
      <c r="C188" s="11">
        <v>10674421.237262746</v>
      </c>
      <c r="D188" s="11">
        <v>703647.7300000001</v>
      </c>
      <c r="E188" s="11">
        <v>11074488.219999997</v>
      </c>
      <c r="F188" s="11">
        <v>1150153.0633333332</v>
      </c>
      <c r="G188" s="12">
        <f t="shared" si="8"/>
        <v>6.5919052130308966</v>
      </c>
      <c r="H188" s="12">
        <f t="shared" si="7"/>
        <v>10.385609163014971</v>
      </c>
    </row>
    <row r="189" spans="1:8" x14ac:dyDescent="0.3">
      <c r="A189" s="3">
        <v>40902</v>
      </c>
      <c r="B189" s="3" t="s">
        <v>263</v>
      </c>
      <c r="C189" s="11">
        <v>1324962.2508034171</v>
      </c>
      <c r="D189" s="11">
        <v>18357.203333333335</v>
      </c>
      <c r="E189" s="11">
        <v>2725583.686666667</v>
      </c>
      <c r="F189" s="11">
        <v>1608400.6133333333</v>
      </c>
      <c r="G189" s="12">
        <f t="shared" si="8"/>
        <v>1.3854887806956071</v>
      </c>
      <c r="H189" s="12">
        <f t="shared" si="7"/>
        <v>59.011235692431597</v>
      </c>
    </row>
    <row r="190" spans="1:8" x14ac:dyDescent="0.3">
      <c r="A190" s="3">
        <v>40903</v>
      </c>
      <c r="B190" s="3" t="s">
        <v>264</v>
      </c>
      <c r="C190" s="11">
        <v>3886321.6387024894</v>
      </c>
      <c r="D190" s="11">
        <v>0</v>
      </c>
      <c r="E190" s="11">
        <v>2734311.06</v>
      </c>
      <c r="F190" s="11">
        <v>12919.180000000168</v>
      </c>
      <c r="G190" s="12">
        <f t="shared" ref="G190:G215" si="9">(D190*100)/C190</f>
        <v>0</v>
      </c>
      <c r="H190" s="12">
        <f t="shared" si="7"/>
        <v>0.47248391702735415</v>
      </c>
    </row>
    <row r="191" spans="1:8" x14ac:dyDescent="0.3">
      <c r="A191" s="3">
        <v>41001</v>
      </c>
      <c r="B191" s="3" t="s">
        <v>249</v>
      </c>
      <c r="C191" s="11">
        <v>17064016.315575439</v>
      </c>
      <c r="D191" s="11">
        <v>395119.58</v>
      </c>
      <c r="E191" s="11">
        <v>12789423.429999998</v>
      </c>
      <c r="F191" s="11">
        <v>227274.68333333335</v>
      </c>
      <c r="G191" s="12">
        <f t="shared" si="9"/>
        <v>2.3155133744178888</v>
      </c>
      <c r="H191" s="12">
        <f t="shared" si="7"/>
        <v>1.7770518317519917</v>
      </c>
    </row>
    <row r="192" spans="1:8" x14ac:dyDescent="0.3">
      <c r="A192" s="3">
        <v>41101</v>
      </c>
      <c r="B192" s="3" t="s">
        <v>231</v>
      </c>
      <c r="C192" s="11">
        <v>11592913.464725465</v>
      </c>
      <c r="D192" s="11">
        <v>22824.77</v>
      </c>
      <c r="E192" s="11">
        <v>6622439.3833333328</v>
      </c>
      <c r="F192" s="11">
        <v>103371.50666666667</v>
      </c>
      <c r="G192" s="12">
        <f t="shared" si="9"/>
        <v>0.19688553761270158</v>
      </c>
      <c r="H192" s="12">
        <f t="shared" si="7"/>
        <v>1.5609279403420637</v>
      </c>
    </row>
    <row r="193" spans="1:8" x14ac:dyDescent="0.3">
      <c r="A193" s="3">
        <v>41201</v>
      </c>
      <c r="B193" s="3" t="s">
        <v>251</v>
      </c>
      <c r="C193" s="11">
        <v>9933383.7929992396</v>
      </c>
      <c r="D193" s="11">
        <v>66229.599999999991</v>
      </c>
      <c r="E193" s="11">
        <v>6934266.169999999</v>
      </c>
      <c r="F193" s="11">
        <v>478327.21666666662</v>
      </c>
      <c r="G193" s="12">
        <f t="shared" si="9"/>
        <v>0.66673755268246748</v>
      </c>
      <c r="H193" s="12">
        <f t="shared" si="7"/>
        <v>6.8980221546163509</v>
      </c>
    </row>
    <row r="194" spans="1:8" x14ac:dyDescent="0.3">
      <c r="A194" s="3">
        <v>41202</v>
      </c>
      <c r="B194" s="3" t="s">
        <v>253</v>
      </c>
      <c r="C194" s="11">
        <v>3321185.4061539718</v>
      </c>
      <c r="D194" s="11">
        <v>15045.373333333331</v>
      </c>
      <c r="E194" s="11">
        <v>2593419.6699999995</v>
      </c>
      <c r="F194" s="11">
        <v>98532.800000000003</v>
      </c>
      <c r="G194" s="12">
        <f t="shared" si="9"/>
        <v>0.45301214757402858</v>
      </c>
      <c r="H194" s="12">
        <f t="shared" ref="H194:H257" si="10">(F194*100)/E194</f>
        <v>3.7993388089016853</v>
      </c>
    </row>
    <row r="195" spans="1:8" x14ac:dyDescent="0.3">
      <c r="A195" s="3">
        <v>41301</v>
      </c>
      <c r="B195" s="3" t="s">
        <v>235</v>
      </c>
      <c r="C195" s="11">
        <v>10807834.740640769</v>
      </c>
      <c r="D195" s="11">
        <v>132401.43333333332</v>
      </c>
      <c r="E195" s="11">
        <v>6921806.7633333309</v>
      </c>
      <c r="F195" s="11">
        <v>75951.636666666673</v>
      </c>
      <c r="G195" s="12">
        <f t="shared" si="9"/>
        <v>1.2250504981859445</v>
      </c>
      <c r="H195" s="12">
        <f t="shared" si="10"/>
        <v>1.097280511628884</v>
      </c>
    </row>
    <row r="196" spans="1:8" x14ac:dyDescent="0.3">
      <c r="A196" s="3">
        <v>41401</v>
      </c>
      <c r="B196" s="3" t="s">
        <v>233</v>
      </c>
      <c r="C196" s="11">
        <v>19841419.830123227</v>
      </c>
      <c r="D196" s="11">
        <v>513588.77</v>
      </c>
      <c r="E196" s="11">
        <v>17525228.98</v>
      </c>
      <c r="F196" s="11">
        <v>1083725.43</v>
      </c>
      <c r="G196" s="12">
        <f t="shared" si="9"/>
        <v>2.588467833437353</v>
      </c>
      <c r="H196" s="12">
        <f t="shared" si="10"/>
        <v>6.1838018278492131</v>
      </c>
    </row>
    <row r="197" spans="1:8" x14ac:dyDescent="0.3">
      <c r="A197" s="3">
        <v>41501</v>
      </c>
      <c r="B197" s="3" t="s">
        <v>257</v>
      </c>
      <c r="C197" s="11">
        <v>941937.59653899539</v>
      </c>
      <c r="D197" s="11">
        <v>113777.7</v>
      </c>
      <c r="E197" s="11">
        <v>2013456.6566666665</v>
      </c>
      <c r="F197" s="11">
        <v>1383978.1866666668</v>
      </c>
      <c r="G197" s="12">
        <f t="shared" si="9"/>
        <v>12.079112291308748</v>
      </c>
      <c r="H197" s="12">
        <f t="shared" si="10"/>
        <v>68.73642807677227</v>
      </c>
    </row>
    <row r="198" spans="1:8" x14ac:dyDescent="0.3">
      <c r="A198" s="3">
        <v>41502</v>
      </c>
      <c r="B198" s="3" t="s">
        <v>259</v>
      </c>
      <c r="C198" s="11">
        <v>834821.55957382789</v>
      </c>
      <c r="D198" s="11">
        <v>6204.7933333333322</v>
      </c>
      <c r="E198" s="11">
        <v>1138324.263333333</v>
      </c>
      <c r="F198" s="11">
        <v>238999.10666666666</v>
      </c>
      <c r="G198" s="12">
        <f t="shared" si="9"/>
        <v>0.74324785484707023</v>
      </c>
      <c r="H198" s="12">
        <f t="shared" si="10"/>
        <v>20.995696425446486</v>
      </c>
    </row>
    <row r="199" spans="1:8" x14ac:dyDescent="0.3">
      <c r="A199" s="3">
        <v>41503</v>
      </c>
      <c r="B199" s="3" t="s">
        <v>260</v>
      </c>
      <c r="C199" s="11">
        <v>955475.82256558177</v>
      </c>
      <c r="D199" s="11">
        <v>193400.87666666668</v>
      </c>
      <c r="E199" s="11">
        <v>2413458.1799999997</v>
      </c>
      <c r="F199" s="11">
        <v>1374258.0966666667</v>
      </c>
      <c r="G199" s="12">
        <f t="shared" si="9"/>
        <v>20.241315593665067</v>
      </c>
      <c r="H199" s="12">
        <f t="shared" si="10"/>
        <v>56.941450573080438</v>
      </c>
    </row>
    <row r="200" spans="1:8" x14ac:dyDescent="0.3">
      <c r="A200" s="3">
        <v>41601</v>
      </c>
      <c r="B200" s="3" t="s">
        <v>265</v>
      </c>
      <c r="C200" s="11">
        <v>12474845.022480085</v>
      </c>
      <c r="D200" s="11">
        <v>34380.866666666669</v>
      </c>
      <c r="E200" s="11">
        <v>6992918.9866666645</v>
      </c>
      <c r="F200" s="11">
        <v>182961.25333333333</v>
      </c>
      <c r="G200" s="12">
        <f t="shared" si="9"/>
        <v>0.27560155340375936</v>
      </c>
      <c r="H200" s="12">
        <f t="shared" si="10"/>
        <v>2.6163788495502933</v>
      </c>
    </row>
    <row r="201" spans="1:8" x14ac:dyDescent="0.3">
      <c r="A201" s="3">
        <v>50101</v>
      </c>
      <c r="B201" s="3" t="s">
        <v>268</v>
      </c>
      <c r="C201" s="11">
        <v>301215942.16192251</v>
      </c>
      <c r="D201" s="11">
        <v>86015303.170000002</v>
      </c>
      <c r="E201" s="11">
        <v>339129350.47000003</v>
      </c>
      <c r="F201" s="11">
        <v>137283358.16999999</v>
      </c>
      <c r="G201" s="12">
        <f t="shared" si="9"/>
        <v>28.556026136146993</v>
      </c>
      <c r="H201" s="12">
        <f t="shared" si="10"/>
        <v>40.481119661196743</v>
      </c>
    </row>
    <row r="202" spans="1:8" x14ac:dyDescent="0.3">
      <c r="A202" s="3">
        <v>50102</v>
      </c>
      <c r="B202" s="3" t="s">
        <v>271</v>
      </c>
      <c r="C202" s="11">
        <v>35232461.885705911</v>
      </c>
      <c r="D202" s="11">
        <v>1063907.4966666668</v>
      </c>
      <c r="E202" s="11">
        <v>29621395.919999998</v>
      </c>
      <c r="F202" s="11">
        <v>922707.94333333336</v>
      </c>
      <c r="G202" s="12">
        <f t="shared" si="9"/>
        <v>3.0196796923189253</v>
      </c>
      <c r="H202" s="12">
        <f t="shared" si="10"/>
        <v>3.115004930305572</v>
      </c>
    </row>
    <row r="203" spans="1:8" x14ac:dyDescent="0.3">
      <c r="A203" s="3">
        <v>50103</v>
      </c>
      <c r="B203" s="3" t="s">
        <v>272</v>
      </c>
      <c r="C203" s="11">
        <v>12315962.037592068</v>
      </c>
      <c r="D203" s="11">
        <v>178809.55999999997</v>
      </c>
      <c r="E203" s="11">
        <v>9759582.9699999988</v>
      </c>
      <c r="F203" s="11">
        <v>286236.55333333329</v>
      </c>
      <c r="G203" s="12">
        <f t="shared" si="9"/>
        <v>1.4518521529558042</v>
      </c>
      <c r="H203" s="12">
        <f t="shared" si="10"/>
        <v>2.932876888420298</v>
      </c>
    </row>
    <row r="204" spans="1:8" x14ac:dyDescent="0.3">
      <c r="A204" s="3">
        <v>50104</v>
      </c>
      <c r="B204" s="3" t="s">
        <v>273</v>
      </c>
      <c r="C204" s="11">
        <v>3535323.3620208814</v>
      </c>
      <c r="D204" s="11">
        <v>426448.76666666666</v>
      </c>
      <c r="E204" s="11">
        <v>2981073.0999999992</v>
      </c>
      <c r="F204" s="11">
        <v>70573.009999999995</v>
      </c>
      <c r="G204" s="12">
        <f t="shared" si="9"/>
        <v>12.062510921855182</v>
      </c>
      <c r="H204" s="12">
        <f t="shared" si="10"/>
        <v>2.3673693207992788</v>
      </c>
    </row>
    <row r="205" spans="1:8" x14ac:dyDescent="0.3">
      <c r="A205" s="3">
        <v>50201</v>
      </c>
      <c r="B205" s="3" t="s">
        <v>274</v>
      </c>
      <c r="C205" s="11">
        <v>30351856.129245941</v>
      </c>
      <c r="D205" s="11">
        <v>1206868.6766666668</v>
      </c>
      <c r="E205" s="11">
        <v>25170751.033333331</v>
      </c>
      <c r="F205" s="11">
        <v>1937584.7033333334</v>
      </c>
      <c r="G205" s="12">
        <f t="shared" si="9"/>
        <v>3.9762598752692826</v>
      </c>
      <c r="H205" s="12">
        <f t="shared" si="10"/>
        <v>7.6977627754031364</v>
      </c>
    </row>
    <row r="206" spans="1:8" x14ac:dyDescent="0.3">
      <c r="A206" s="3">
        <v>50202</v>
      </c>
      <c r="B206" s="3" t="s">
        <v>276</v>
      </c>
      <c r="C206" s="11">
        <v>23834074.877478164</v>
      </c>
      <c r="D206" s="11">
        <v>2019494.6533333333</v>
      </c>
      <c r="E206" s="11">
        <v>17408273.126666669</v>
      </c>
      <c r="F206" s="11">
        <v>390818.29000000004</v>
      </c>
      <c r="G206" s="12">
        <f t="shared" si="9"/>
        <v>8.4731405087664644</v>
      </c>
      <c r="H206" s="12">
        <f t="shared" si="10"/>
        <v>2.2450146959225346</v>
      </c>
    </row>
    <row r="207" spans="1:8" x14ac:dyDescent="0.3">
      <c r="A207" s="3">
        <v>50203</v>
      </c>
      <c r="B207" s="3" t="s">
        <v>277</v>
      </c>
      <c r="C207" s="11">
        <v>67431928.192774698</v>
      </c>
      <c r="D207" s="11">
        <v>12767577.403333334</v>
      </c>
      <c r="E207" s="11">
        <v>53473247.633333325</v>
      </c>
      <c r="F207" s="11">
        <v>10104170.523333333</v>
      </c>
      <c r="G207" s="12">
        <f t="shared" si="9"/>
        <v>18.93402390457133</v>
      </c>
      <c r="H207" s="12">
        <f t="shared" si="10"/>
        <v>18.895748753877353</v>
      </c>
    </row>
    <row r="208" spans="1:8" x14ac:dyDescent="0.3">
      <c r="A208" s="3">
        <v>50204</v>
      </c>
      <c r="B208" s="3" t="s">
        <v>324</v>
      </c>
      <c r="C208" s="11">
        <v>10954802.153311051</v>
      </c>
      <c r="D208" s="11">
        <v>1045979.5333333333</v>
      </c>
      <c r="E208" s="11">
        <v>8635700.9733333308</v>
      </c>
      <c r="F208" s="11">
        <v>175269.67666666667</v>
      </c>
      <c r="G208" s="12">
        <f t="shared" si="9"/>
        <v>9.5481371429167208</v>
      </c>
      <c r="H208" s="12">
        <f t="shared" si="10"/>
        <v>2.029594090947473</v>
      </c>
    </row>
    <row r="209" spans="1:8" x14ac:dyDescent="0.3">
      <c r="A209" s="3">
        <v>50301</v>
      </c>
      <c r="B209" s="3" t="s">
        <v>278</v>
      </c>
      <c r="C209" s="11">
        <v>57125460.760812618</v>
      </c>
      <c r="D209" s="11">
        <v>744673.93</v>
      </c>
      <c r="E209" s="11">
        <v>37407064.216666661</v>
      </c>
      <c r="F209" s="11">
        <v>1615858.9266666665</v>
      </c>
      <c r="G209" s="12">
        <f t="shared" si="9"/>
        <v>1.3035762339283177</v>
      </c>
      <c r="H209" s="12">
        <f t="shared" si="10"/>
        <v>4.3196625036046612</v>
      </c>
    </row>
    <row r="210" spans="1:8" x14ac:dyDescent="0.3">
      <c r="A210" s="3">
        <v>50302</v>
      </c>
      <c r="B210" s="3" t="s">
        <v>280</v>
      </c>
      <c r="C210" s="11">
        <v>15160406.798556799</v>
      </c>
      <c r="D210" s="11">
        <v>438796.26333333337</v>
      </c>
      <c r="E210" s="11">
        <v>10627599.403333331</v>
      </c>
      <c r="F210" s="11">
        <v>171935.93666666668</v>
      </c>
      <c r="G210" s="12">
        <f t="shared" si="9"/>
        <v>2.8943567884676074</v>
      </c>
      <c r="H210" s="12">
        <f t="shared" si="10"/>
        <v>1.6178247800038383</v>
      </c>
    </row>
    <row r="211" spans="1:8" x14ac:dyDescent="0.3">
      <c r="A211" s="3">
        <v>50303</v>
      </c>
      <c r="B211" s="3" t="s">
        <v>281</v>
      </c>
      <c r="C211" s="11">
        <v>20327254.535344709</v>
      </c>
      <c r="D211" s="11">
        <v>186034.22</v>
      </c>
      <c r="E211" s="11">
        <v>13226073.10333333</v>
      </c>
      <c r="F211" s="11">
        <v>739303.84333333338</v>
      </c>
      <c r="G211" s="12">
        <f t="shared" si="9"/>
        <v>0.91519599794712381</v>
      </c>
      <c r="H211" s="12">
        <f t="shared" si="10"/>
        <v>5.5897456301448143</v>
      </c>
    </row>
    <row r="212" spans="1:8" x14ac:dyDescent="0.3">
      <c r="A212" s="3">
        <v>50401</v>
      </c>
      <c r="B212" s="3" t="s">
        <v>282</v>
      </c>
      <c r="C212" s="11">
        <v>47646186.072052501</v>
      </c>
      <c r="D212" s="11">
        <v>491145.02333333337</v>
      </c>
      <c r="E212" s="11">
        <v>22858951.133333325</v>
      </c>
      <c r="F212" s="11">
        <v>4012439.0633333339</v>
      </c>
      <c r="G212" s="12">
        <f t="shared" si="9"/>
        <v>1.0308170786022701</v>
      </c>
      <c r="H212" s="12">
        <f t="shared" si="10"/>
        <v>17.553032245133611</v>
      </c>
    </row>
    <row r="213" spans="1:8" x14ac:dyDescent="0.3">
      <c r="A213" s="3">
        <v>50402</v>
      </c>
      <c r="B213" s="3" t="s">
        <v>284</v>
      </c>
      <c r="C213" s="11">
        <v>37227849.301231675</v>
      </c>
      <c r="D213" s="11">
        <v>1374387.5199999998</v>
      </c>
      <c r="E213" s="11">
        <v>22599008.496666651</v>
      </c>
      <c r="F213" s="11">
        <v>218086.87666666668</v>
      </c>
      <c r="G213" s="12">
        <f t="shared" si="9"/>
        <v>3.6918262693045993</v>
      </c>
      <c r="H213" s="12">
        <f t="shared" si="10"/>
        <v>0.96502851750701557</v>
      </c>
    </row>
    <row r="214" spans="1:8" x14ac:dyDescent="0.3">
      <c r="A214" s="3">
        <v>50403</v>
      </c>
      <c r="B214" s="3" t="s">
        <v>285</v>
      </c>
      <c r="C214" s="11">
        <v>33595924.649244793</v>
      </c>
      <c r="D214" s="11">
        <v>135055.99666666667</v>
      </c>
      <c r="E214" s="11">
        <v>28002182.519999992</v>
      </c>
      <c r="F214" s="11">
        <v>221448.61333333331</v>
      </c>
      <c r="G214" s="12">
        <f t="shared" si="9"/>
        <v>0.40200112982960456</v>
      </c>
      <c r="H214" s="12">
        <f t="shared" si="10"/>
        <v>0.79082626211427676</v>
      </c>
    </row>
    <row r="215" spans="1:8" x14ac:dyDescent="0.3">
      <c r="A215" s="3">
        <v>50404</v>
      </c>
      <c r="B215" s="3" t="s">
        <v>286</v>
      </c>
      <c r="C215" s="11">
        <v>25399097.700457588</v>
      </c>
      <c r="D215" s="11">
        <v>226187.52333333332</v>
      </c>
      <c r="E215" s="11">
        <v>17294454.120000001</v>
      </c>
      <c r="F215" s="11">
        <v>288605.99</v>
      </c>
      <c r="G215" s="12">
        <f t="shared" si="9"/>
        <v>0.8905336953338242</v>
      </c>
      <c r="H215" s="12">
        <f t="shared" si="10"/>
        <v>1.6687776786562141</v>
      </c>
    </row>
    <row r="216" spans="1:8" x14ac:dyDescent="0.3">
      <c r="A216" s="3">
        <v>50405</v>
      </c>
      <c r="B216" s="3" t="s">
        <v>325</v>
      </c>
      <c r="C216" s="11">
        <v>0</v>
      </c>
      <c r="D216" s="11">
        <v>0</v>
      </c>
      <c r="E216" s="11">
        <v>18365283.663333327</v>
      </c>
      <c r="F216" s="11">
        <v>73698.863333333327</v>
      </c>
      <c r="G216" s="12">
        <v>0</v>
      </c>
      <c r="H216" s="12">
        <f t="shared" si="10"/>
        <v>0.40129444600125974</v>
      </c>
    </row>
    <row r="217" spans="1:8" x14ac:dyDescent="0.3">
      <c r="A217" s="3">
        <v>50501</v>
      </c>
      <c r="B217" s="3" t="s">
        <v>287</v>
      </c>
      <c r="C217" s="11">
        <v>43758632.977538697</v>
      </c>
      <c r="D217" s="11">
        <v>971715.61333333375</v>
      </c>
      <c r="E217" s="11">
        <v>32435719.179999992</v>
      </c>
      <c r="F217" s="11">
        <v>770033.60000000009</v>
      </c>
      <c r="G217" s="12">
        <f t="shared" ref="G217:G235" si="11">(D217*100)/C217</f>
        <v>2.2206260735615651</v>
      </c>
      <c r="H217" s="12">
        <f t="shared" si="10"/>
        <v>2.3740296792149018</v>
      </c>
    </row>
    <row r="218" spans="1:8" x14ac:dyDescent="0.3">
      <c r="A218" s="3">
        <v>50502</v>
      </c>
      <c r="B218" s="3" t="s">
        <v>289</v>
      </c>
      <c r="C218" s="11">
        <v>16887350.654593199</v>
      </c>
      <c r="D218" s="11">
        <v>433009.43</v>
      </c>
      <c r="E218" s="11">
        <v>12089867.843333328</v>
      </c>
      <c r="F218" s="11">
        <v>621289.19333333336</v>
      </c>
      <c r="G218" s="12">
        <f t="shared" si="11"/>
        <v>2.5641051628321909</v>
      </c>
      <c r="H218" s="12">
        <f t="shared" si="10"/>
        <v>5.1389246051678601</v>
      </c>
    </row>
    <row r="219" spans="1:8" x14ac:dyDescent="0.3">
      <c r="A219" s="3">
        <v>50601</v>
      </c>
      <c r="B219" s="3" t="s">
        <v>290</v>
      </c>
      <c r="C219" s="11">
        <v>37769923.390172772</v>
      </c>
      <c r="D219" s="11">
        <v>1185333.8800000001</v>
      </c>
      <c r="E219" s="11">
        <v>35636605.636666663</v>
      </c>
      <c r="F219" s="11">
        <v>2083309.8399999999</v>
      </c>
      <c r="G219" s="12">
        <f t="shared" si="11"/>
        <v>3.1383009908577368</v>
      </c>
      <c r="H219" s="12">
        <f t="shared" si="10"/>
        <v>5.8459828111588532</v>
      </c>
    </row>
    <row r="220" spans="1:8" x14ac:dyDescent="0.3">
      <c r="A220" s="3">
        <v>50602</v>
      </c>
      <c r="B220" s="3" t="s">
        <v>292</v>
      </c>
      <c r="C220" s="11">
        <v>17372383.18559359</v>
      </c>
      <c r="D220" s="11">
        <v>111075.86999999998</v>
      </c>
      <c r="E220" s="11">
        <v>11336238.49333333</v>
      </c>
      <c r="F220" s="11">
        <v>104007.18</v>
      </c>
      <c r="G220" s="12">
        <f t="shared" si="11"/>
        <v>0.63938187877476682</v>
      </c>
      <c r="H220" s="12">
        <f t="shared" si="10"/>
        <v>0.91747522832344297</v>
      </c>
    </row>
    <row r="221" spans="1:8" x14ac:dyDescent="0.3">
      <c r="A221" s="3">
        <v>50701</v>
      </c>
      <c r="B221" s="3" t="s">
        <v>303</v>
      </c>
      <c r="C221" s="11">
        <v>29460983.0670048</v>
      </c>
      <c r="D221" s="11">
        <v>340989.43333333335</v>
      </c>
      <c r="E221" s="11">
        <v>20871426.07333333</v>
      </c>
      <c r="F221" s="11">
        <v>180043.51</v>
      </c>
      <c r="G221" s="12">
        <f t="shared" si="11"/>
        <v>1.1574272065456932</v>
      </c>
      <c r="H221" s="12">
        <f t="shared" si="10"/>
        <v>0.86263156799829366</v>
      </c>
    </row>
    <row r="222" spans="1:8" x14ac:dyDescent="0.3">
      <c r="A222" s="3">
        <v>50702</v>
      </c>
      <c r="B222" s="3" t="s">
        <v>305</v>
      </c>
      <c r="C222" s="11">
        <v>14110307.787156733</v>
      </c>
      <c r="D222" s="11">
        <v>78851.466666666674</v>
      </c>
      <c r="E222" s="11">
        <v>9318691.6699999999</v>
      </c>
      <c r="F222" s="11">
        <v>135503.33333333334</v>
      </c>
      <c r="G222" s="12">
        <f t="shared" si="11"/>
        <v>0.55882173412572644</v>
      </c>
      <c r="H222" s="12">
        <f t="shared" si="10"/>
        <v>1.4541025514296615</v>
      </c>
    </row>
    <row r="223" spans="1:8" x14ac:dyDescent="0.3">
      <c r="A223" s="3">
        <v>50801</v>
      </c>
      <c r="B223" s="3" t="s">
        <v>293</v>
      </c>
      <c r="C223" s="11">
        <v>64069728.958741747</v>
      </c>
      <c r="D223" s="11">
        <v>6985219.7299999995</v>
      </c>
      <c r="E223" s="11">
        <v>59456446.143333316</v>
      </c>
      <c r="F223" s="11">
        <v>12172874.380000001</v>
      </c>
      <c r="G223" s="12">
        <f t="shared" si="11"/>
        <v>10.902527361241363</v>
      </c>
      <c r="H223" s="12">
        <f t="shared" si="10"/>
        <v>20.473599028530082</v>
      </c>
    </row>
    <row r="224" spans="1:8" x14ac:dyDescent="0.3">
      <c r="A224" s="3">
        <v>50802</v>
      </c>
      <c r="B224" s="3" t="s">
        <v>295</v>
      </c>
      <c r="C224" s="11">
        <v>26078032.746589795</v>
      </c>
      <c r="D224" s="11">
        <v>11868393.930000002</v>
      </c>
      <c r="E224" s="11">
        <v>20729920.473333329</v>
      </c>
      <c r="F224" s="11">
        <v>8877278.2433333322</v>
      </c>
      <c r="G224" s="12">
        <f t="shared" si="11"/>
        <v>45.511078405835747</v>
      </c>
      <c r="H224" s="12">
        <f t="shared" si="10"/>
        <v>42.823503615235452</v>
      </c>
    </row>
    <row r="225" spans="1:8" x14ac:dyDescent="0.3">
      <c r="A225" s="3">
        <v>50901</v>
      </c>
      <c r="B225" s="3" t="s">
        <v>296</v>
      </c>
      <c r="C225" s="11">
        <v>66833811.849576198</v>
      </c>
      <c r="D225" s="11">
        <v>52245293.136666678</v>
      </c>
      <c r="E225" s="11">
        <v>74544860.786666647</v>
      </c>
      <c r="F225" s="11">
        <v>60832042.109999992</v>
      </c>
      <c r="G225" s="12">
        <f t="shared" si="11"/>
        <v>78.17194873495454</v>
      </c>
      <c r="H225" s="12">
        <f t="shared" si="10"/>
        <v>81.604608913402956</v>
      </c>
    </row>
    <row r="226" spans="1:8" x14ac:dyDescent="0.3">
      <c r="A226" s="3">
        <v>50902</v>
      </c>
      <c r="B226" s="3" t="s">
        <v>298</v>
      </c>
      <c r="C226" s="11">
        <v>2124598.5342128449</v>
      </c>
      <c r="D226" s="11">
        <v>896441.47666666668</v>
      </c>
      <c r="E226" s="11">
        <v>1200044.4233333329</v>
      </c>
      <c r="F226" s="11">
        <v>82193.383333333331</v>
      </c>
      <c r="G226" s="12">
        <f t="shared" si="11"/>
        <v>42.193452656164737</v>
      </c>
      <c r="H226" s="12">
        <f t="shared" si="10"/>
        <v>6.8491950577151854</v>
      </c>
    </row>
    <row r="227" spans="1:8" x14ac:dyDescent="0.3">
      <c r="A227" s="3">
        <v>51001</v>
      </c>
      <c r="B227" s="3" t="s">
        <v>299</v>
      </c>
      <c r="C227" s="11">
        <v>5909652.6630440513</v>
      </c>
      <c r="D227" s="11">
        <v>2039820.1933333334</v>
      </c>
      <c r="E227" s="11">
        <v>4058642.0733333318</v>
      </c>
      <c r="F227" s="11">
        <v>502408.16333333333</v>
      </c>
      <c r="G227" s="12">
        <f t="shared" si="11"/>
        <v>34.51675266956596</v>
      </c>
      <c r="H227" s="12">
        <f t="shared" si="10"/>
        <v>12.378725550457554</v>
      </c>
    </row>
    <row r="228" spans="1:8" x14ac:dyDescent="0.3">
      <c r="A228" s="3">
        <v>51002</v>
      </c>
      <c r="B228" s="3" t="s">
        <v>301</v>
      </c>
      <c r="C228" s="11">
        <v>2090301.1579558775</v>
      </c>
      <c r="D228" s="11">
        <v>1007255.3500000001</v>
      </c>
      <c r="E228" s="11">
        <v>1365118.4399999997</v>
      </c>
      <c r="F228" s="11">
        <v>120652.88333333335</v>
      </c>
      <c r="G228" s="12">
        <f t="shared" si="11"/>
        <v>48.187092379789107</v>
      </c>
      <c r="H228" s="12">
        <f t="shared" si="10"/>
        <v>8.8382721819605159</v>
      </c>
    </row>
    <row r="229" spans="1:8" x14ac:dyDescent="0.3">
      <c r="A229" s="3">
        <v>51003</v>
      </c>
      <c r="B229" s="3" t="s">
        <v>302</v>
      </c>
      <c r="C229" s="11">
        <v>3460884.0308935917</v>
      </c>
      <c r="D229" s="11">
        <v>897835.2666666666</v>
      </c>
      <c r="E229" s="11">
        <v>2498322.4433333329</v>
      </c>
      <c r="F229" s="11">
        <v>89004.64</v>
      </c>
      <c r="G229" s="12">
        <f t="shared" si="11"/>
        <v>25.942367864746039</v>
      </c>
      <c r="H229" s="12">
        <f t="shared" si="10"/>
        <v>3.5625761693613684</v>
      </c>
    </row>
    <row r="230" spans="1:8" x14ac:dyDescent="0.3">
      <c r="A230" s="3">
        <v>51101</v>
      </c>
      <c r="B230" s="3" t="s">
        <v>306</v>
      </c>
      <c r="C230" s="11">
        <v>36176677.659685589</v>
      </c>
      <c r="D230" s="11">
        <v>753398.18666666653</v>
      </c>
      <c r="E230" s="11">
        <v>24458178.02333333</v>
      </c>
      <c r="F230" s="11">
        <v>1333688.9166666667</v>
      </c>
      <c r="G230" s="12">
        <f t="shared" si="11"/>
        <v>2.0825521728498448</v>
      </c>
      <c r="H230" s="12">
        <f t="shared" si="10"/>
        <v>5.4529364999891454</v>
      </c>
    </row>
    <row r="231" spans="1:8" x14ac:dyDescent="0.3">
      <c r="A231" s="3">
        <v>51102</v>
      </c>
      <c r="B231" s="3" t="s">
        <v>308</v>
      </c>
      <c r="C231" s="11">
        <v>17816214.454711247</v>
      </c>
      <c r="D231" s="11">
        <v>1277649.1599999999</v>
      </c>
      <c r="E231" s="11">
        <v>13923532.329999993</v>
      </c>
      <c r="F231" s="11">
        <v>1191974.8633333333</v>
      </c>
      <c r="G231" s="12">
        <f t="shared" si="11"/>
        <v>7.1712717830590744</v>
      </c>
      <c r="H231" s="12">
        <f t="shared" si="10"/>
        <v>8.5608654117538432</v>
      </c>
    </row>
    <row r="232" spans="1:8" x14ac:dyDescent="0.3">
      <c r="A232" s="3">
        <v>51103</v>
      </c>
      <c r="B232" s="3" t="s">
        <v>323</v>
      </c>
      <c r="C232" s="11">
        <v>26395873.501119584</v>
      </c>
      <c r="D232" s="11">
        <v>504186.2</v>
      </c>
      <c r="E232" s="11">
        <v>16744261.519999996</v>
      </c>
      <c r="F232" s="11">
        <v>61279.880000000005</v>
      </c>
      <c r="G232" s="12">
        <f t="shared" si="11"/>
        <v>1.910094772876582</v>
      </c>
      <c r="H232" s="12">
        <f t="shared" si="10"/>
        <v>0.36597541149727586</v>
      </c>
    </row>
    <row r="233" spans="1:8" x14ac:dyDescent="0.3">
      <c r="A233" s="3">
        <v>51201</v>
      </c>
      <c r="B233" s="3" t="s">
        <v>309</v>
      </c>
      <c r="C233" s="11">
        <v>31465711.155877739</v>
      </c>
      <c r="D233" s="11">
        <v>3449694.3800000004</v>
      </c>
      <c r="E233" s="11">
        <v>39425611.663333327</v>
      </c>
      <c r="F233" s="11">
        <v>8118666.830000001</v>
      </c>
      <c r="G233" s="12">
        <f t="shared" si="11"/>
        <v>10.963344711678648</v>
      </c>
      <c r="H233" s="12">
        <f t="shared" si="10"/>
        <v>20.592367467441317</v>
      </c>
    </row>
    <row r="234" spans="1:8" x14ac:dyDescent="0.3">
      <c r="A234" s="3">
        <v>51202</v>
      </c>
      <c r="B234" s="3" t="s">
        <v>311</v>
      </c>
      <c r="C234" s="11">
        <v>20141764.320806827</v>
      </c>
      <c r="D234" s="11">
        <v>660452.66666666663</v>
      </c>
      <c r="E234" s="11">
        <v>13942605.783333331</v>
      </c>
      <c r="F234" s="11">
        <v>1141205.4133333333</v>
      </c>
      <c r="G234" s="12">
        <f t="shared" si="11"/>
        <v>3.2790209246188349</v>
      </c>
      <c r="H234" s="12">
        <f t="shared" si="10"/>
        <v>8.1850224489421048</v>
      </c>
    </row>
    <row r="235" spans="1:8" x14ac:dyDescent="0.3">
      <c r="A235" s="3">
        <v>51203</v>
      </c>
      <c r="B235" s="3" t="s">
        <v>312</v>
      </c>
      <c r="C235" s="11">
        <v>16807049.619680427</v>
      </c>
      <c r="D235" s="11">
        <v>7825023.5766666653</v>
      </c>
      <c r="E235" s="11">
        <v>25621484.659999996</v>
      </c>
      <c r="F235" s="11">
        <v>14157127.033333331</v>
      </c>
      <c r="G235" s="12">
        <f t="shared" si="11"/>
        <v>46.557984617977539</v>
      </c>
      <c r="H235" s="12">
        <f t="shared" si="10"/>
        <v>55.254905097030907</v>
      </c>
    </row>
    <row r="236" spans="1:8" x14ac:dyDescent="0.3">
      <c r="A236" s="5">
        <v>51204</v>
      </c>
      <c r="B236" s="5" t="s">
        <v>488</v>
      </c>
      <c r="C236" s="11">
        <v>0</v>
      </c>
      <c r="D236" s="11">
        <v>0</v>
      </c>
      <c r="E236" s="11">
        <v>6758412.6799999997</v>
      </c>
      <c r="F236" s="11">
        <v>815301.29</v>
      </c>
      <c r="G236" s="12">
        <v>0</v>
      </c>
      <c r="H236" s="12">
        <f t="shared" si="10"/>
        <v>12.063502609313879</v>
      </c>
    </row>
    <row r="237" spans="1:8" x14ac:dyDescent="0.3">
      <c r="A237" s="3">
        <v>51301</v>
      </c>
      <c r="B237" s="3" t="s">
        <v>313</v>
      </c>
      <c r="C237" s="11">
        <v>7855441.9485016679</v>
      </c>
      <c r="D237" s="11">
        <v>242956.56666666668</v>
      </c>
      <c r="E237" s="11">
        <v>4478628.7399999993</v>
      </c>
      <c r="F237" s="11">
        <v>79354.009999999995</v>
      </c>
      <c r="G237" s="12">
        <f>(D237*100)/C237</f>
        <v>3.0928440215003783</v>
      </c>
      <c r="H237" s="12">
        <f t="shared" si="10"/>
        <v>1.7718371985439454</v>
      </c>
    </row>
    <row r="238" spans="1:8" x14ac:dyDescent="0.3">
      <c r="A238" s="3">
        <v>51302</v>
      </c>
      <c r="B238" s="3" t="s">
        <v>315</v>
      </c>
      <c r="C238" s="11">
        <v>9083134.7729818001</v>
      </c>
      <c r="D238" s="11">
        <v>172127.62333333332</v>
      </c>
      <c r="E238" s="11">
        <v>6611450.2299999977</v>
      </c>
      <c r="F238" s="11">
        <v>111431.96333333333</v>
      </c>
      <c r="G238" s="12">
        <f>(D238*100)/C238</f>
        <v>1.8950244341340703</v>
      </c>
      <c r="H238" s="12">
        <f t="shared" si="10"/>
        <v>1.6854390407070097</v>
      </c>
    </row>
    <row r="239" spans="1:8" x14ac:dyDescent="0.3">
      <c r="A239" s="3">
        <v>51401</v>
      </c>
      <c r="B239" s="3" t="s">
        <v>316</v>
      </c>
      <c r="C239" s="11">
        <v>5454803.7056650082</v>
      </c>
      <c r="D239" s="11">
        <v>1091292.7133333334</v>
      </c>
      <c r="E239" s="11">
        <v>4595401.1199999992</v>
      </c>
      <c r="F239" s="11">
        <v>217228.80666666667</v>
      </c>
      <c r="G239" s="12">
        <v>0</v>
      </c>
      <c r="H239" s="12">
        <f t="shared" si="10"/>
        <v>4.7270913026775503</v>
      </c>
    </row>
    <row r="240" spans="1:8" x14ac:dyDescent="0.3">
      <c r="A240" s="3">
        <v>51402</v>
      </c>
      <c r="B240" s="3" t="s">
        <v>318</v>
      </c>
      <c r="C240" s="11">
        <v>3327362.5487152021</v>
      </c>
      <c r="D240" s="11">
        <v>29985.209999999995</v>
      </c>
      <c r="E240" s="11">
        <v>1843308.1499999992</v>
      </c>
      <c r="F240" s="11">
        <v>50180.219999999994</v>
      </c>
      <c r="G240" s="12">
        <f t="shared" ref="G240:G271" si="12">(D240*100)/C240</f>
        <v>0.90117050850314506</v>
      </c>
      <c r="H240" s="12">
        <f t="shared" si="10"/>
        <v>2.7222914410702308</v>
      </c>
    </row>
    <row r="241" spans="1:8" x14ac:dyDescent="0.3">
      <c r="A241" s="3">
        <v>51501</v>
      </c>
      <c r="B241" s="3" t="s">
        <v>319</v>
      </c>
      <c r="C241" s="11">
        <v>61465647.393878751</v>
      </c>
      <c r="D241" s="11">
        <v>7424333.1600000001</v>
      </c>
      <c r="E241" s="11">
        <v>62065754.669999987</v>
      </c>
      <c r="F241" s="11">
        <v>14685111.5</v>
      </c>
      <c r="G241" s="12">
        <f t="shared" si="12"/>
        <v>12.078833421250803</v>
      </c>
      <c r="H241" s="12">
        <f t="shared" si="10"/>
        <v>23.660570274348366</v>
      </c>
    </row>
    <row r="242" spans="1:8" x14ac:dyDescent="0.3">
      <c r="A242" s="3">
        <v>51601</v>
      </c>
      <c r="B242" s="3" t="s">
        <v>321</v>
      </c>
      <c r="C242" s="11">
        <v>3811271.4748805426</v>
      </c>
      <c r="D242" s="11">
        <v>1310349.5066666671</v>
      </c>
      <c r="E242" s="11">
        <v>1910519.5699999996</v>
      </c>
      <c r="F242" s="11">
        <v>134273.79</v>
      </c>
      <c r="G242" s="12">
        <f t="shared" si="12"/>
        <v>34.380901893317308</v>
      </c>
      <c r="H242" s="12">
        <f t="shared" si="10"/>
        <v>7.0281295260430143</v>
      </c>
    </row>
    <row r="243" spans="1:8" x14ac:dyDescent="0.3">
      <c r="A243" s="3">
        <v>60101</v>
      </c>
      <c r="B243" s="3" t="s">
        <v>326</v>
      </c>
      <c r="C243" s="11">
        <v>470134725.13061476</v>
      </c>
      <c r="D243" s="11">
        <v>90271922.526666656</v>
      </c>
      <c r="E243" s="11">
        <v>442881633.7233333</v>
      </c>
      <c r="F243" s="11">
        <v>181625781.88</v>
      </c>
      <c r="G243" s="12">
        <f t="shared" si="12"/>
        <v>19.201287992837997</v>
      </c>
      <c r="H243" s="12">
        <f t="shared" si="10"/>
        <v>41.010005394231598</v>
      </c>
    </row>
    <row r="244" spans="1:8" x14ac:dyDescent="0.3">
      <c r="A244" s="3">
        <v>60201</v>
      </c>
      <c r="B244" s="3" t="s">
        <v>328</v>
      </c>
      <c r="C244" s="11">
        <v>50346629.510509156</v>
      </c>
      <c r="D244" s="11">
        <v>366828.14333333331</v>
      </c>
      <c r="E244" s="11">
        <v>24604716.033333328</v>
      </c>
      <c r="F244" s="11">
        <v>841293.13666666672</v>
      </c>
      <c r="G244" s="12">
        <f t="shared" si="12"/>
        <v>0.72860516562834265</v>
      </c>
      <c r="H244" s="12">
        <f t="shared" si="10"/>
        <v>3.4192353023986208</v>
      </c>
    </row>
    <row r="245" spans="1:8" x14ac:dyDescent="0.3">
      <c r="A245" s="3">
        <v>60202</v>
      </c>
      <c r="B245" s="3" t="s">
        <v>330</v>
      </c>
      <c r="C245" s="11">
        <v>91389944.162545159</v>
      </c>
      <c r="D245" s="11">
        <v>7994183.4799999995</v>
      </c>
      <c r="E245" s="11">
        <v>59097866.053333335</v>
      </c>
      <c r="F245" s="11">
        <v>15204817.779999999</v>
      </c>
      <c r="G245" s="12">
        <f t="shared" si="12"/>
        <v>8.7473338048895535</v>
      </c>
      <c r="H245" s="12">
        <f t="shared" si="10"/>
        <v>25.728201025529909</v>
      </c>
    </row>
    <row r="246" spans="1:8" x14ac:dyDescent="0.3">
      <c r="A246" s="3">
        <v>60301</v>
      </c>
      <c r="B246" s="3" t="s">
        <v>331</v>
      </c>
      <c r="C246" s="11">
        <v>232040262.04240385</v>
      </c>
      <c r="D246" s="11">
        <v>22130989.476666667</v>
      </c>
      <c r="E246" s="11">
        <v>156587636.13666669</v>
      </c>
      <c r="F246" s="11">
        <v>39243845.770000003</v>
      </c>
      <c r="G246" s="12">
        <f t="shared" si="12"/>
        <v>9.5375644217391766</v>
      </c>
      <c r="H246" s="12">
        <f t="shared" si="10"/>
        <v>25.061905740596742</v>
      </c>
    </row>
    <row r="247" spans="1:8" x14ac:dyDescent="0.3">
      <c r="A247" s="3">
        <v>60302</v>
      </c>
      <c r="B247" s="3" t="s">
        <v>333</v>
      </c>
      <c r="C247" s="11">
        <v>25460442.031049158</v>
      </c>
      <c r="D247" s="11">
        <v>2039480.656666667</v>
      </c>
      <c r="E247" s="11">
        <v>23268744.316666663</v>
      </c>
      <c r="F247" s="11">
        <v>3722314.3899999992</v>
      </c>
      <c r="G247" s="12">
        <f t="shared" si="12"/>
        <v>8.0103898203319019</v>
      </c>
      <c r="H247" s="12">
        <f t="shared" si="10"/>
        <v>15.997057423222548</v>
      </c>
    </row>
    <row r="248" spans="1:8" x14ac:dyDescent="0.3">
      <c r="A248" s="3">
        <v>60303</v>
      </c>
      <c r="B248" s="3" t="s">
        <v>334</v>
      </c>
      <c r="C248" s="11">
        <v>68533998.088596776</v>
      </c>
      <c r="D248" s="11">
        <v>8530793.4300000016</v>
      </c>
      <c r="E248" s="11">
        <v>68764991.809999973</v>
      </c>
      <c r="F248" s="11">
        <v>18050972.503333334</v>
      </c>
      <c r="G248" s="12">
        <f t="shared" si="12"/>
        <v>12.447535045265981</v>
      </c>
      <c r="H248" s="12">
        <f t="shared" si="10"/>
        <v>26.250235807791253</v>
      </c>
    </row>
    <row r="249" spans="1:8" x14ac:dyDescent="0.3">
      <c r="A249" s="3">
        <v>60401</v>
      </c>
      <c r="B249" s="3" t="s">
        <v>335</v>
      </c>
      <c r="C249" s="11">
        <v>32110372.105956201</v>
      </c>
      <c r="D249" s="11">
        <v>455640.17333333334</v>
      </c>
      <c r="E249" s="11">
        <v>21460069.453333333</v>
      </c>
      <c r="F249" s="11">
        <v>2657815.4733333332</v>
      </c>
      <c r="G249" s="12">
        <f t="shared" si="12"/>
        <v>1.418981293115616</v>
      </c>
      <c r="H249" s="12">
        <f t="shared" si="10"/>
        <v>12.384934163950257</v>
      </c>
    </row>
    <row r="250" spans="1:8" x14ac:dyDescent="0.3">
      <c r="A250" s="3">
        <v>60402</v>
      </c>
      <c r="B250" s="3" t="s">
        <v>337</v>
      </c>
      <c r="C250" s="11">
        <v>13653147.11823467</v>
      </c>
      <c r="D250" s="11">
        <v>54302.893333333333</v>
      </c>
      <c r="E250" s="11">
        <v>7085677.5266666664</v>
      </c>
      <c r="F250" s="11">
        <v>102453.90333333334</v>
      </c>
      <c r="G250" s="12">
        <f t="shared" si="12"/>
        <v>0.39773169411474568</v>
      </c>
      <c r="H250" s="12">
        <f t="shared" si="10"/>
        <v>1.4459295239975589</v>
      </c>
    </row>
    <row r="251" spans="1:8" x14ac:dyDescent="0.3">
      <c r="A251" s="3">
        <v>60501</v>
      </c>
      <c r="B251" s="3" t="s">
        <v>338</v>
      </c>
      <c r="C251" s="11">
        <v>55752286.526129447</v>
      </c>
      <c r="D251" s="11">
        <v>682953.67666666664</v>
      </c>
      <c r="E251" s="11">
        <v>36026802.993333317</v>
      </c>
      <c r="F251" s="11">
        <v>5671386.1400000006</v>
      </c>
      <c r="G251" s="12">
        <f t="shared" si="12"/>
        <v>1.2249787752589958</v>
      </c>
      <c r="H251" s="12">
        <f t="shared" si="10"/>
        <v>15.742129938783293</v>
      </c>
    </row>
    <row r="252" spans="1:8" x14ac:dyDescent="0.3">
      <c r="A252" s="3">
        <v>60502</v>
      </c>
      <c r="B252" s="3" t="s">
        <v>340</v>
      </c>
      <c r="C252" s="11">
        <v>28338478.776849639</v>
      </c>
      <c r="D252" s="11">
        <v>663067.11666666658</v>
      </c>
      <c r="E252" s="11">
        <v>15592240.013333336</v>
      </c>
      <c r="F252" s="11">
        <v>1149453.7966666666</v>
      </c>
      <c r="G252" s="12">
        <f t="shared" si="12"/>
        <v>2.339811963401301</v>
      </c>
      <c r="H252" s="12">
        <f t="shared" si="10"/>
        <v>7.3719606399320323</v>
      </c>
    </row>
    <row r="253" spans="1:8" x14ac:dyDescent="0.3">
      <c r="A253" s="3">
        <v>60601</v>
      </c>
      <c r="B253" s="3" t="s">
        <v>341</v>
      </c>
      <c r="C253" s="11">
        <v>52054603.469784476</v>
      </c>
      <c r="D253" s="11">
        <v>1546804.3266666669</v>
      </c>
      <c r="E253" s="11">
        <v>29630425.096666664</v>
      </c>
      <c r="F253" s="11">
        <v>1656368.7066666668</v>
      </c>
      <c r="G253" s="12">
        <f t="shared" si="12"/>
        <v>2.9715034282501493</v>
      </c>
      <c r="H253" s="12">
        <f t="shared" si="10"/>
        <v>5.590094307668247</v>
      </c>
    </row>
    <row r="254" spans="1:8" x14ac:dyDescent="0.3">
      <c r="A254" s="3">
        <v>70101</v>
      </c>
      <c r="B254" s="3" t="s">
        <v>343</v>
      </c>
      <c r="C254" s="11">
        <v>2099801086.6277759</v>
      </c>
      <c r="D254" s="11">
        <v>799203941.38666666</v>
      </c>
      <c r="E254" s="11">
        <v>2482322258.23</v>
      </c>
      <c r="F254" s="11">
        <v>1138907683.98</v>
      </c>
      <c r="G254" s="12">
        <f t="shared" si="12"/>
        <v>38.060935698922165</v>
      </c>
      <c r="H254" s="12">
        <f t="shared" si="10"/>
        <v>45.8807344696691</v>
      </c>
    </row>
    <row r="255" spans="1:8" x14ac:dyDescent="0.3">
      <c r="A255" s="3">
        <v>70102</v>
      </c>
      <c r="B255" s="3" t="s">
        <v>346</v>
      </c>
      <c r="C255" s="11">
        <v>59468584.897809602</v>
      </c>
      <c r="D255" s="11">
        <v>16810210.579999998</v>
      </c>
      <c r="E255" s="11">
        <v>97469716.153333321</v>
      </c>
      <c r="F255" s="11">
        <v>54805404.596666664</v>
      </c>
      <c r="G255" s="12">
        <f t="shared" si="12"/>
        <v>28.267379506148576</v>
      </c>
      <c r="H255" s="12">
        <f t="shared" si="10"/>
        <v>56.22813604017292</v>
      </c>
    </row>
    <row r="256" spans="1:8" x14ac:dyDescent="0.3">
      <c r="A256" s="3">
        <v>70103</v>
      </c>
      <c r="B256" s="3" t="s">
        <v>348</v>
      </c>
      <c r="C256" s="11">
        <v>27697588.017888974</v>
      </c>
      <c r="D256" s="11">
        <v>14324614.369999999</v>
      </c>
      <c r="E256" s="11">
        <v>74916602.899999991</v>
      </c>
      <c r="F256" s="11">
        <v>60764630.50666666</v>
      </c>
      <c r="G256" s="12">
        <f t="shared" si="12"/>
        <v>51.717912623829179</v>
      </c>
      <c r="H256" s="12">
        <f t="shared" si="10"/>
        <v>81.109698190368249</v>
      </c>
    </row>
    <row r="257" spans="1:8" x14ac:dyDescent="0.3">
      <c r="A257" s="3">
        <v>70104</v>
      </c>
      <c r="B257" s="3" t="s">
        <v>349</v>
      </c>
      <c r="C257" s="11">
        <v>77219756.945056096</v>
      </c>
      <c r="D257" s="11">
        <v>30987806.183333337</v>
      </c>
      <c r="E257" s="11">
        <v>144293675.34999999</v>
      </c>
      <c r="F257" s="11">
        <v>61795080.030000009</v>
      </c>
      <c r="G257" s="12">
        <f t="shared" si="12"/>
        <v>40.129375446470242</v>
      </c>
      <c r="H257" s="12">
        <f t="shared" si="10"/>
        <v>42.825910338834554</v>
      </c>
    </row>
    <row r="258" spans="1:8" x14ac:dyDescent="0.3">
      <c r="A258" s="3">
        <v>70105</v>
      </c>
      <c r="B258" s="3" t="s">
        <v>350</v>
      </c>
      <c r="C258" s="11">
        <v>49517553.388523899</v>
      </c>
      <c r="D258" s="11">
        <v>4255729.66</v>
      </c>
      <c r="E258" s="11">
        <v>65114004.583333321</v>
      </c>
      <c r="F258" s="11">
        <v>19235181.383333337</v>
      </c>
      <c r="G258" s="12">
        <f t="shared" si="12"/>
        <v>8.5943859677572441</v>
      </c>
      <c r="H258" s="12">
        <f t="shared" ref="H258:H321" si="13">(F258*100)/E258</f>
        <v>29.540774686520823</v>
      </c>
    </row>
    <row r="259" spans="1:8" x14ac:dyDescent="0.3">
      <c r="A259" s="3">
        <v>70201</v>
      </c>
      <c r="B259" s="3" t="s">
        <v>351</v>
      </c>
      <c r="C259" s="11">
        <v>111669400.13607146</v>
      </c>
      <c r="D259" s="11">
        <v>58354556.326666661</v>
      </c>
      <c r="E259" s="11">
        <v>203807357.09333333</v>
      </c>
      <c r="F259" s="11">
        <v>114726851.27999999</v>
      </c>
      <c r="G259" s="12">
        <f t="shared" si="12"/>
        <v>52.256532457020846</v>
      </c>
      <c r="H259" s="12">
        <f t="shared" si="13"/>
        <v>56.291810519607964</v>
      </c>
    </row>
    <row r="260" spans="1:8" x14ac:dyDescent="0.3">
      <c r="A260" s="3">
        <v>70202</v>
      </c>
      <c r="B260" s="3" t="s">
        <v>407</v>
      </c>
      <c r="C260" s="11">
        <v>15531260.641984874</v>
      </c>
      <c r="D260" s="11">
        <v>1590179.9900000002</v>
      </c>
      <c r="E260" s="11">
        <v>14937238.913333332</v>
      </c>
      <c r="F260" s="11">
        <v>3404280.063333333</v>
      </c>
      <c r="G260" s="12">
        <f t="shared" si="12"/>
        <v>10.238576421165368</v>
      </c>
      <c r="H260" s="12">
        <f t="shared" si="13"/>
        <v>22.790557766968515</v>
      </c>
    </row>
    <row r="261" spans="1:8" x14ac:dyDescent="0.3">
      <c r="A261" s="3">
        <v>70301</v>
      </c>
      <c r="B261" s="3" t="s">
        <v>353</v>
      </c>
      <c r="C261" s="11">
        <v>56424587.741473056</v>
      </c>
      <c r="D261" s="11">
        <v>6552026.1533333324</v>
      </c>
      <c r="E261" s="11">
        <v>62003629.44666665</v>
      </c>
      <c r="F261" s="11">
        <v>13621143.613333335</v>
      </c>
      <c r="G261" s="12">
        <f t="shared" si="12"/>
        <v>11.612005360771965</v>
      </c>
      <c r="H261" s="12">
        <f t="shared" si="13"/>
        <v>21.968300460620238</v>
      </c>
    </row>
    <row r="262" spans="1:8" x14ac:dyDescent="0.3">
      <c r="A262" s="3">
        <v>70302</v>
      </c>
      <c r="B262" s="3" t="s">
        <v>355</v>
      </c>
      <c r="C262" s="11">
        <v>13564900.57037182</v>
      </c>
      <c r="D262" s="11">
        <v>1080986.7966666666</v>
      </c>
      <c r="E262" s="11">
        <v>11580973.516666664</v>
      </c>
      <c r="F262" s="11">
        <v>1115258.3766666667</v>
      </c>
      <c r="G262" s="12">
        <f t="shared" si="12"/>
        <v>7.9689990432199407</v>
      </c>
      <c r="H262" s="12">
        <f t="shared" si="13"/>
        <v>9.6300917626799833</v>
      </c>
    </row>
    <row r="263" spans="1:8" x14ac:dyDescent="0.3">
      <c r="A263" s="3">
        <v>70303</v>
      </c>
      <c r="B263" s="3" t="s">
        <v>356</v>
      </c>
      <c r="C263" s="11">
        <v>6529266.0601458615</v>
      </c>
      <c r="D263" s="11">
        <v>437136.19666666671</v>
      </c>
      <c r="E263" s="11">
        <v>7682674.5333333313</v>
      </c>
      <c r="F263" s="11">
        <v>2010781.263333333</v>
      </c>
      <c r="G263" s="12">
        <f t="shared" si="12"/>
        <v>6.6950280879946442</v>
      </c>
      <c r="H263" s="12">
        <f t="shared" si="13"/>
        <v>26.172933066590577</v>
      </c>
    </row>
    <row r="264" spans="1:8" x14ac:dyDescent="0.3">
      <c r="A264" s="3">
        <v>70401</v>
      </c>
      <c r="B264" s="3" t="s">
        <v>357</v>
      </c>
      <c r="C264" s="11">
        <v>16377553.526504675</v>
      </c>
      <c r="D264" s="11">
        <v>445860.05000000005</v>
      </c>
      <c r="E264" s="11">
        <v>14685169.466666667</v>
      </c>
      <c r="F264" s="11">
        <v>2785374.0366666666</v>
      </c>
      <c r="G264" s="12">
        <f t="shared" si="12"/>
        <v>2.7223849354449721</v>
      </c>
      <c r="H264" s="12">
        <f t="shared" si="13"/>
        <v>18.967258382608975</v>
      </c>
    </row>
    <row r="265" spans="1:8" x14ac:dyDescent="0.3">
      <c r="A265" s="3">
        <v>70402</v>
      </c>
      <c r="B265" s="3" t="s">
        <v>359</v>
      </c>
      <c r="C265" s="11">
        <v>22267479.376226075</v>
      </c>
      <c r="D265" s="11">
        <v>2596289.0766666667</v>
      </c>
      <c r="E265" s="11">
        <v>22309296.173333328</v>
      </c>
      <c r="F265" s="11">
        <v>3743612.3433333337</v>
      </c>
      <c r="G265" s="12">
        <f t="shared" si="12"/>
        <v>11.659555321913087</v>
      </c>
      <c r="H265" s="12">
        <f t="shared" si="13"/>
        <v>16.780504029562959</v>
      </c>
    </row>
    <row r="266" spans="1:8" x14ac:dyDescent="0.3">
      <c r="A266" s="3">
        <v>70403</v>
      </c>
      <c r="B266" s="3" t="s">
        <v>360</v>
      </c>
      <c r="C266" s="11">
        <v>41213686.873423703</v>
      </c>
      <c r="D266" s="11">
        <v>3428989.4433333334</v>
      </c>
      <c r="E266" s="11">
        <v>61216503.749999978</v>
      </c>
      <c r="F266" s="11">
        <v>14500516.996666668</v>
      </c>
      <c r="G266" s="12">
        <f t="shared" si="12"/>
        <v>8.3200259512440944</v>
      </c>
      <c r="H266" s="12">
        <f t="shared" si="13"/>
        <v>23.68726749878569</v>
      </c>
    </row>
    <row r="267" spans="1:8" x14ac:dyDescent="0.3">
      <c r="A267" s="3">
        <v>70404</v>
      </c>
      <c r="B267" s="3" t="s">
        <v>411</v>
      </c>
      <c r="C267" s="11">
        <v>12207935.974170463</v>
      </c>
      <c r="D267" s="11">
        <v>1345308.9366666665</v>
      </c>
      <c r="E267" s="11">
        <v>10260135.643333331</v>
      </c>
      <c r="F267" s="11">
        <v>1768129.63</v>
      </c>
      <c r="G267" s="12">
        <f t="shared" si="12"/>
        <v>11.01995406523322</v>
      </c>
      <c r="H267" s="12">
        <f t="shared" si="13"/>
        <v>17.233004430588277</v>
      </c>
    </row>
    <row r="268" spans="1:8" x14ac:dyDescent="0.3">
      <c r="A268" s="3">
        <v>70501</v>
      </c>
      <c r="B268" s="3" t="s">
        <v>361</v>
      </c>
      <c r="C268" s="11">
        <v>26606281.413522854</v>
      </c>
      <c r="D268" s="11">
        <v>6900349.71</v>
      </c>
      <c r="E268" s="11">
        <v>30861458.783333331</v>
      </c>
      <c r="F268" s="11">
        <v>4137592.5733333328</v>
      </c>
      <c r="G268" s="12">
        <f t="shared" si="12"/>
        <v>25.935039935692938</v>
      </c>
      <c r="H268" s="12">
        <f t="shared" si="13"/>
        <v>13.406989612454195</v>
      </c>
    </row>
    <row r="269" spans="1:8" x14ac:dyDescent="0.3">
      <c r="A269" s="3">
        <v>70502</v>
      </c>
      <c r="B269" s="3" t="s">
        <v>363</v>
      </c>
      <c r="C269" s="11">
        <v>39159605.501063101</v>
      </c>
      <c r="D269" s="11">
        <v>5384911.6766666668</v>
      </c>
      <c r="E269" s="11">
        <v>52159029.119999982</v>
      </c>
      <c r="F269" s="11">
        <v>17170718.356666666</v>
      </c>
      <c r="G269" s="12">
        <f t="shared" si="12"/>
        <v>13.751189798172193</v>
      </c>
      <c r="H269" s="12">
        <f t="shared" si="13"/>
        <v>32.919934757916501</v>
      </c>
    </row>
    <row r="270" spans="1:8" x14ac:dyDescent="0.3">
      <c r="A270" s="3">
        <v>70503</v>
      </c>
      <c r="B270" s="3" t="s">
        <v>364</v>
      </c>
      <c r="C270" s="11">
        <v>19374441.151615676</v>
      </c>
      <c r="D270" s="11">
        <v>1375005.9366666665</v>
      </c>
      <c r="E270" s="11">
        <v>17958510.943333331</v>
      </c>
      <c r="F270" s="11">
        <v>3506569.2566666664</v>
      </c>
      <c r="G270" s="12">
        <f t="shared" si="12"/>
        <v>7.0970095390441852</v>
      </c>
      <c r="H270" s="12">
        <f t="shared" si="13"/>
        <v>19.525946598419935</v>
      </c>
    </row>
    <row r="271" spans="1:8" x14ac:dyDescent="0.3">
      <c r="A271" s="3">
        <v>70601</v>
      </c>
      <c r="B271" s="3" t="s">
        <v>365</v>
      </c>
      <c r="C271" s="11">
        <v>22650072.08250007</v>
      </c>
      <c r="D271" s="11">
        <v>3360932.31</v>
      </c>
      <c r="E271" s="11">
        <v>23970642.743333329</v>
      </c>
      <c r="F271" s="11">
        <v>7445197.2699999996</v>
      </c>
      <c r="G271" s="12">
        <f t="shared" si="12"/>
        <v>14.838506022224662</v>
      </c>
      <c r="H271" s="12">
        <f t="shared" si="13"/>
        <v>31.059648044150357</v>
      </c>
    </row>
    <row r="272" spans="1:8" x14ac:dyDescent="0.3">
      <c r="A272" s="3">
        <v>70602</v>
      </c>
      <c r="B272" s="3" t="s">
        <v>367</v>
      </c>
      <c r="C272" s="11">
        <v>19790006.682146553</v>
      </c>
      <c r="D272" s="11">
        <v>1478988.5866666667</v>
      </c>
      <c r="E272" s="11">
        <v>19984965.143333327</v>
      </c>
      <c r="F272" s="11">
        <v>2233239.6300000004</v>
      </c>
      <c r="G272" s="12">
        <f t="shared" ref="G272:G303" si="14">(D272*100)/C272</f>
        <v>7.4734112545850131</v>
      </c>
      <c r="H272" s="12">
        <f t="shared" si="13"/>
        <v>11.174598574393682</v>
      </c>
    </row>
    <row r="273" spans="1:8" x14ac:dyDescent="0.3">
      <c r="A273" s="3">
        <v>70603</v>
      </c>
      <c r="B273" s="3" t="s">
        <v>415</v>
      </c>
      <c r="C273" s="11">
        <v>8726320.5375284534</v>
      </c>
      <c r="D273" s="11">
        <v>1455345.2166666668</v>
      </c>
      <c r="E273" s="11">
        <v>20178986.096666668</v>
      </c>
      <c r="F273" s="11">
        <v>14571773.853333334</v>
      </c>
      <c r="G273" s="12">
        <f t="shared" si="14"/>
        <v>16.677650223915141</v>
      </c>
      <c r="H273" s="12">
        <f t="shared" si="13"/>
        <v>72.212616548362746</v>
      </c>
    </row>
    <row r="274" spans="1:8" x14ac:dyDescent="0.3">
      <c r="A274" s="3">
        <v>70701</v>
      </c>
      <c r="B274" s="3" t="s">
        <v>368</v>
      </c>
      <c r="C274" s="11">
        <v>6487746.2126912819</v>
      </c>
      <c r="D274" s="11">
        <v>32965.449999999997</v>
      </c>
      <c r="E274" s="11">
        <v>5131928.2499999991</v>
      </c>
      <c r="F274" s="11">
        <v>174303.53333333333</v>
      </c>
      <c r="G274" s="12">
        <f t="shared" si="14"/>
        <v>0.50811867356206419</v>
      </c>
      <c r="H274" s="12">
        <f t="shared" si="13"/>
        <v>3.3964530453700976</v>
      </c>
    </row>
    <row r="275" spans="1:8" x14ac:dyDescent="0.3">
      <c r="A275" s="3">
        <v>70702</v>
      </c>
      <c r="B275" s="3" t="s">
        <v>370</v>
      </c>
      <c r="C275" s="11">
        <v>31179541.926022779</v>
      </c>
      <c r="D275" s="11">
        <v>1703066.343333333</v>
      </c>
      <c r="E275" s="11">
        <v>33414180.329999998</v>
      </c>
      <c r="F275" s="11">
        <v>2395126.8099999987</v>
      </c>
      <c r="G275" s="12">
        <f t="shared" si="14"/>
        <v>5.4621275302057457</v>
      </c>
      <c r="H275" s="12">
        <f t="shared" si="13"/>
        <v>7.1679951037123013</v>
      </c>
    </row>
    <row r="276" spans="1:8" x14ac:dyDescent="0.3">
      <c r="A276" s="3">
        <v>70703</v>
      </c>
      <c r="B276" s="3" t="s">
        <v>371</v>
      </c>
      <c r="C276" s="11">
        <v>28376682.260926183</v>
      </c>
      <c r="D276" s="11">
        <v>1786552.21</v>
      </c>
      <c r="E276" s="11">
        <v>30560845.913333323</v>
      </c>
      <c r="F276" s="11">
        <v>6136465.3833333338</v>
      </c>
      <c r="G276" s="12">
        <f t="shared" si="14"/>
        <v>6.2958459821782169</v>
      </c>
      <c r="H276" s="12">
        <f t="shared" si="13"/>
        <v>20.079501073810491</v>
      </c>
    </row>
    <row r="277" spans="1:8" x14ac:dyDescent="0.3">
      <c r="A277" s="3">
        <v>70704</v>
      </c>
      <c r="B277" s="3" t="s">
        <v>372</v>
      </c>
      <c r="C277" s="11">
        <v>4307654.4284385974</v>
      </c>
      <c r="D277" s="11">
        <v>179174.93333333335</v>
      </c>
      <c r="E277" s="11">
        <v>4902124.7399999993</v>
      </c>
      <c r="F277" s="11">
        <v>234642.10666666669</v>
      </c>
      <c r="G277" s="12">
        <f t="shared" si="14"/>
        <v>4.1594546709792413</v>
      </c>
      <c r="H277" s="12">
        <f t="shared" si="13"/>
        <v>4.7865388808255158</v>
      </c>
    </row>
    <row r="278" spans="1:8" x14ac:dyDescent="0.3">
      <c r="A278" s="3">
        <v>70705</v>
      </c>
      <c r="B278" s="3" t="s">
        <v>373</v>
      </c>
      <c r="C278" s="11">
        <v>14296120.458216155</v>
      </c>
      <c r="D278" s="11">
        <v>177726.36000000002</v>
      </c>
      <c r="E278" s="11">
        <v>11459451.356666667</v>
      </c>
      <c r="F278" s="11">
        <v>105288.24333333354</v>
      </c>
      <c r="G278" s="12">
        <f t="shared" si="14"/>
        <v>1.2431789485787279</v>
      </c>
      <c r="H278" s="12">
        <f t="shared" si="13"/>
        <v>0.91878956554129354</v>
      </c>
    </row>
    <row r="279" spans="1:8" x14ac:dyDescent="0.3">
      <c r="A279" s="3">
        <v>70706</v>
      </c>
      <c r="B279" s="3" t="s">
        <v>374</v>
      </c>
      <c r="C279" s="11">
        <v>46923508.895080388</v>
      </c>
      <c r="D279" s="11">
        <v>11154215.539999999</v>
      </c>
      <c r="E279" s="11">
        <v>42039000.143333338</v>
      </c>
      <c r="F279" s="11">
        <v>10772646.939999999</v>
      </c>
      <c r="G279" s="12">
        <f t="shared" si="14"/>
        <v>23.771060184225576</v>
      </c>
      <c r="H279" s="12">
        <f t="shared" si="13"/>
        <v>25.625364312353554</v>
      </c>
    </row>
    <row r="280" spans="1:8" x14ac:dyDescent="0.3">
      <c r="A280" s="3">
        <v>70707</v>
      </c>
      <c r="B280" s="3" t="s">
        <v>375</v>
      </c>
      <c r="C280" s="11">
        <v>5088715.412265907</v>
      </c>
      <c r="D280" s="11">
        <v>245536.71333333329</v>
      </c>
      <c r="E280" s="11">
        <v>5110853.7666666657</v>
      </c>
      <c r="F280" s="11">
        <v>411030.85333333333</v>
      </c>
      <c r="G280" s="12">
        <f t="shared" si="14"/>
        <v>4.8251217338955197</v>
      </c>
      <c r="H280" s="12">
        <f t="shared" si="13"/>
        <v>8.0423129304560508</v>
      </c>
    </row>
    <row r="281" spans="1:8" x14ac:dyDescent="0.3">
      <c r="A281" s="3">
        <v>70801</v>
      </c>
      <c r="B281" s="3" t="s">
        <v>376</v>
      </c>
      <c r="C281" s="11">
        <v>23957429.587673396</v>
      </c>
      <c r="D281" s="11">
        <v>4068918.8333333321</v>
      </c>
      <c r="E281" s="11">
        <v>21644917.169999998</v>
      </c>
      <c r="F281" s="11">
        <v>5745034.0233333334</v>
      </c>
      <c r="G281" s="12">
        <f t="shared" si="14"/>
        <v>16.983954052511862</v>
      </c>
      <c r="H281" s="12">
        <f t="shared" si="13"/>
        <v>26.542185300186734</v>
      </c>
    </row>
    <row r="282" spans="1:8" x14ac:dyDescent="0.3">
      <c r="A282" s="3">
        <v>70802</v>
      </c>
      <c r="B282" s="3" t="s">
        <v>378</v>
      </c>
      <c r="C282" s="11">
        <v>2714357.6794115552</v>
      </c>
      <c r="D282" s="11">
        <v>165765.30000000002</v>
      </c>
      <c r="E282" s="11">
        <v>2139350.169999999</v>
      </c>
      <c r="F282" s="11">
        <v>167239.81999999998</v>
      </c>
      <c r="G282" s="12">
        <f t="shared" si="14"/>
        <v>6.1069807143447736</v>
      </c>
      <c r="H282" s="12">
        <f t="shared" si="13"/>
        <v>7.8173186580296976</v>
      </c>
    </row>
    <row r="283" spans="1:8" x14ac:dyDescent="0.3">
      <c r="A283" s="3">
        <v>70803</v>
      </c>
      <c r="B283" s="3" t="s">
        <v>379</v>
      </c>
      <c r="C283" s="11">
        <v>5033332.7922838479</v>
      </c>
      <c r="D283" s="11">
        <v>944518.65666666662</v>
      </c>
      <c r="E283" s="11">
        <v>2870699.8066666652</v>
      </c>
      <c r="F283" s="11">
        <v>314605.91666666669</v>
      </c>
      <c r="G283" s="12">
        <f t="shared" si="14"/>
        <v>18.765273341644001</v>
      </c>
      <c r="H283" s="12">
        <f t="shared" si="13"/>
        <v>10.959206390582988</v>
      </c>
    </row>
    <row r="284" spans="1:8" x14ac:dyDescent="0.3">
      <c r="A284" s="3">
        <v>70804</v>
      </c>
      <c r="B284" s="3" t="s">
        <v>380</v>
      </c>
      <c r="C284" s="11">
        <v>3174351.9308000542</v>
      </c>
      <c r="D284" s="11">
        <v>115712.75333333334</v>
      </c>
      <c r="E284" s="11">
        <v>2254291.646666666</v>
      </c>
      <c r="F284" s="11">
        <v>46552.893333333333</v>
      </c>
      <c r="G284" s="12">
        <f t="shared" si="14"/>
        <v>3.6452402208651593</v>
      </c>
      <c r="H284" s="12">
        <f t="shared" si="13"/>
        <v>2.065078553707516</v>
      </c>
    </row>
    <row r="285" spans="1:8" x14ac:dyDescent="0.3">
      <c r="A285" s="3">
        <v>70805</v>
      </c>
      <c r="B285" s="3" t="s">
        <v>381</v>
      </c>
      <c r="C285" s="11">
        <v>3153520.1029214342</v>
      </c>
      <c r="D285" s="11">
        <v>47861.946666666678</v>
      </c>
      <c r="E285" s="11">
        <v>2023410.7533333327</v>
      </c>
      <c r="F285" s="11">
        <v>105817.67</v>
      </c>
      <c r="G285" s="12">
        <f t="shared" si="14"/>
        <v>1.5177308247481021</v>
      </c>
      <c r="H285" s="12">
        <f t="shared" si="13"/>
        <v>5.2296682631382563</v>
      </c>
    </row>
    <row r="286" spans="1:8" x14ac:dyDescent="0.3">
      <c r="A286" s="3">
        <v>70901</v>
      </c>
      <c r="B286" s="3" t="s">
        <v>382</v>
      </c>
      <c r="C286" s="11">
        <v>12477576.624140456</v>
      </c>
      <c r="D286" s="11">
        <v>942235</v>
      </c>
      <c r="E286" s="11">
        <v>15081282.166666666</v>
      </c>
      <c r="F286" s="11">
        <v>5405605.1399999997</v>
      </c>
      <c r="G286" s="12">
        <f t="shared" si="14"/>
        <v>7.5514262775758176</v>
      </c>
      <c r="H286" s="12">
        <f t="shared" si="13"/>
        <v>35.843140392583557</v>
      </c>
    </row>
    <row r="287" spans="1:8" x14ac:dyDescent="0.3">
      <c r="A287" s="3">
        <v>70902</v>
      </c>
      <c r="B287" s="3" t="s">
        <v>384</v>
      </c>
      <c r="C287" s="11">
        <v>10181048.045500521</v>
      </c>
      <c r="D287" s="11">
        <v>681902.67333333334</v>
      </c>
      <c r="E287" s="11">
        <v>10491755.366666665</v>
      </c>
      <c r="F287" s="11">
        <v>1993281.5866666667</v>
      </c>
      <c r="G287" s="12">
        <f t="shared" si="14"/>
        <v>6.6977650069601413</v>
      </c>
      <c r="H287" s="12">
        <f t="shared" si="13"/>
        <v>18.998551881980756</v>
      </c>
    </row>
    <row r="288" spans="1:8" x14ac:dyDescent="0.3">
      <c r="A288" s="3">
        <v>70903</v>
      </c>
      <c r="B288" s="3" t="s">
        <v>385</v>
      </c>
      <c r="C288" s="11">
        <v>10157865.285907062</v>
      </c>
      <c r="D288" s="11">
        <v>944104.96666666667</v>
      </c>
      <c r="E288" s="11">
        <v>11604459.26</v>
      </c>
      <c r="F288" s="11">
        <v>2201368.6599999997</v>
      </c>
      <c r="G288" s="12">
        <f t="shared" si="14"/>
        <v>9.2943245464823221</v>
      </c>
      <c r="H288" s="12">
        <f t="shared" si="13"/>
        <v>18.970023597635517</v>
      </c>
    </row>
    <row r="289" spans="1:8" x14ac:dyDescent="0.3">
      <c r="A289" s="3">
        <v>70904</v>
      </c>
      <c r="B289" s="3" t="s">
        <v>386</v>
      </c>
      <c r="C289" s="11">
        <v>3690343.4935594853</v>
      </c>
      <c r="D289" s="11">
        <v>1248527.6266666667</v>
      </c>
      <c r="E289" s="11">
        <v>2962127.733333332</v>
      </c>
      <c r="F289" s="11">
        <v>195359.26333333334</v>
      </c>
      <c r="G289" s="12">
        <f t="shared" si="14"/>
        <v>33.832287667682969</v>
      </c>
      <c r="H289" s="12">
        <f t="shared" si="13"/>
        <v>6.5952342680878342</v>
      </c>
    </row>
    <row r="290" spans="1:8" x14ac:dyDescent="0.3">
      <c r="A290" s="3">
        <v>71001</v>
      </c>
      <c r="B290" s="3" t="s">
        <v>387</v>
      </c>
      <c r="C290" s="11">
        <v>137476110.18068269</v>
      </c>
      <c r="D290" s="11">
        <v>44682498.836666673</v>
      </c>
      <c r="E290" s="11">
        <v>169139561.58333334</v>
      </c>
      <c r="F290" s="11">
        <v>67943291.660000011</v>
      </c>
      <c r="G290" s="12">
        <f t="shared" si="14"/>
        <v>32.502009824064096</v>
      </c>
      <c r="H290" s="12">
        <f t="shared" si="13"/>
        <v>40.169958479243803</v>
      </c>
    </row>
    <row r="291" spans="1:8" x14ac:dyDescent="0.3">
      <c r="A291" s="3">
        <v>71002</v>
      </c>
      <c r="B291" s="3" t="s">
        <v>389</v>
      </c>
      <c r="C291" s="11">
        <v>20623878.929953676</v>
      </c>
      <c r="D291" s="11">
        <v>846854.61333333328</v>
      </c>
      <c r="E291" s="11">
        <v>16809142.516666662</v>
      </c>
      <c r="F291" s="11">
        <v>3680545.1366666667</v>
      </c>
      <c r="G291" s="12">
        <f t="shared" si="14"/>
        <v>4.1061849529352115</v>
      </c>
      <c r="H291" s="12">
        <f t="shared" si="13"/>
        <v>21.896090969645353</v>
      </c>
    </row>
    <row r="292" spans="1:8" x14ac:dyDescent="0.3">
      <c r="A292" s="3">
        <v>71003</v>
      </c>
      <c r="B292" s="3" t="s">
        <v>390</v>
      </c>
      <c r="C292" s="11">
        <v>25563299.747640174</v>
      </c>
      <c r="D292" s="11">
        <v>2383139.6</v>
      </c>
      <c r="E292" s="11">
        <v>26034455.50333333</v>
      </c>
      <c r="F292" s="11">
        <v>4550713.0699999994</v>
      </c>
      <c r="G292" s="12">
        <f t="shared" si="14"/>
        <v>9.3225038376354163</v>
      </c>
      <c r="H292" s="12">
        <f t="shared" si="13"/>
        <v>17.479578435651735</v>
      </c>
    </row>
    <row r="293" spans="1:8" x14ac:dyDescent="0.3">
      <c r="A293" s="3">
        <v>71004</v>
      </c>
      <c r="B293" s="3" t="s">
        <v>412</v>
      </c>
      <c r="C293" s="11">
        <v>16560944.162217021</v>
      </c>
      <c r="D293" s="11">
        <v>2692319.4566666665</v>
      </c>
      <c r="E293" s="11">
        <v>17399287.736666664</v>
      </c>
      <c r="F293" s="11">
        <v>3431532.9733333332</v>
      </c>
      <c r="G293" s="12">
        <f t="shared" si="14"/>
        <v>16.257040844380484</v>
      </c>
      <c r="H293" s="12">
        <f t="shared" si="13"/>
        <v>19.722261194070821</v>
      </c>
    </row>
    <row r="294" spans="1:8" x14ac:dyDescent="0.3">
      <c r="A294" s="3">
        <v>71005</v>
      </c>
      <c r="B294" s="3" t="s">
        <v>413</v>
      </c>
      <c r="C294" s="11">
        <v>19944492.245943248</v>
      </c>
      <c r="D294" s="11">
        <v>2381548.9666666668</v>
      </c>
      <c r="E294" s="11">
        <v>23241610.77666666</v>
      </c>
      <c r="F294" s="11">
        <v>5590708.3166666664</v>
      </c>
      <c r="G294" s="12">
        <f t="shared" si="14"/>
        <v>11.940885419888685</v>
      </c>
      <c r="H294" s="12">
        <f t="shared" si="13"/>
        <v>24.054736869956706</v>
      </c>
    </row>
    <row r="295" spans="1:8" x14ac:dyDescent="0.3">
      <c r="A295" s="3">
        <v>71101</v>
      </c>
      <c r="B295" s="3" t="s">
        <v>391</v>
      </c>
      <c r="C295" s="11">
        <v>20602742.309448425</v>
      </c>
      <c r="D295" s="11">
        <v>2921336.7966666664</v>
      </c>
      <c r="E295" s="11">
        <v>23436210.010000002</v>
      </c>
      <c r="F295" s="11">
        <v>6065285.6133333333</v>
      </c>
      <c r="G295" s="12">
        <f t="shared" si="14"/>
        <v>14.179359003713502</v>
      </c>
      <c r="H295" s="12">
        <f t="shared" si="13"/>
        <v>25.879976373079675</v>
      </c>
    </row>
    <row r="296" spans="1:8" x14ac:dyDescent="0.3">
      <c r="A296" s="3">
        <v>71102</v>
      </c>
      <c r="B296" s="3" t="s">
        <v>393</v>
      </c>
      <c r="C296" s="11">
        <v>15267662.223419195</v>
      </c>
      <c r="D296" s="11">
        <v>1504798.4733333334</v>
      </c>
      <c r="E296" s="11">
        <v>14957890.61333333</v>
      </c>
      <c r="F296" s="11">
        <v>2373466.2499999995</v>
      </c>
      <c r="G296" s="12">
        <f t="shared" si="14"/>
        <v>9.8561158303928842</v>
      </c>
      <c r="H296" s="12">
        <f t="shared" si="13"/>
        <v>15.867653477050521</v>
      </c>
    </row>
    <row r="297" spans="1:8" x14ac:dyDescent="0.3">
      <c r="A297" s="3">
        <v>71103</v>
      </c>
      <c r="B297" s="3" t="s">
        <v>409</v>
      </c>
      <c r="C297" s="11">
        <v>7688019.401221172</v>
      </c>
      <c r="D297" s="11">
        <v>876021.33000000007</v>
      </c>
      <c r="E297" s="11">
        <v>10462032.836666666</v>
      </c>
      <c r="F297" s="11">
        <v>3541786.6799999997</v>
      </c>
      <c r="G297" s="12">
        <f t="shared" si="14"/>
        <v>11.394629543479716</v>
      </c>
      <c r="H297" s="12">
        <f t="shared" si="13"/>
        <v>33.853714046728776</v>
      </c>
    </row>
    <row r="298" spans="1:8" x14ac:dyDescent="0.3">
      <c r="A298" s="3">
        <v>71104</v>
      </c>
      <c r="B298" s="3" t="s">
        <v>394</v>
      </c>
      <c r="C298" s="11">
        <v>51593013.157534562</v>
      </c>
      <c r="D298" s="11">
        <v>5544270.1733333329</v>
      </c>
      <c r="E298" s="11">
        <v>56639741.359999985</v>
      </c>
      <c r="F298" s="11">
        <v>12827499.913333332</v>
      </c>
      <c r="G298" s="12">
        <f t="shared" si="14"/>
        <v>10.746164711110028</v>
      </c>
      <c r="H298" s="12">
        <f t="shared" si="13"/>
        <v>22.647525580673548</v>
      </c>
    </row>
    <row r="299" spans="1:8" x14ac:dyDescent="0.3">
      <c r="A299" s="3">
        <v>71105</v>
      </c>
      <c r="B299" s="3" t="s">
        <v>408</v>
      </c>
      <c r="C299" s="11">
        <v>7872675.4325981364</v>
      </c>
      <c r="D299" s="11">
        <v>151331.27333333335</v>
      </c>
      <c r="E299" s="11">
        <v>6117148.669999999</v>
      </c>
      <c r="F299" s="11">
        <v>129240.22666666668</v>
      </c>
      <c r="G299" s="12">
        <f t="shared" si="14"/>
        <v>1.9222343741839116</v>
      </c>
      <c r="H299" s="12">
        <f t="shared" si="13"/>
        <v>2.1127527486865332</v>
      </c>
    </row>
    <row r="300" spans="1:8" x14ac:dyDescent="0.3">
      <c r="A300" s="3">
        <v>71106</v>
      </c>
      <c r="B300" s="3" t="s">
        <v>414</v>
      </c>
      <c r="C300" s="11">
        <v>27707435.040793497</v>
      </c>
      <c r="D300" s="11">
        <v>6709291.5766666671</v>
      </c>
      <c r="E300" s="11">
        <v>34761744.029999994</v>
      </c>
      <c r="F300" s="11">
        <v>13653153.966666667</v>
      </c>
      <c r="G300" s="12">
        <f t="shared" si="14"/>
        <v>24.21476967026582</v>
      </c>
      <c r="H300" s="12">
        <f t="shared" si="13"/>
        <v>39.276377948366907</v>
      </c>
    </row>
    <row r="301" spans="1:8" x14ac:dyDescent="0.3">
      <c r="A301" s="3">
        <v>71201</v>
      </c>
      <c r="B301" s="3" t="s">
        <v>395</v>
      </c>
      <c r="C301" s="11">
        <v>16558213.935586507</v>
      </c>
      <c r="D301" s="11">
        <v>832525.04333333333</v>
      </c>
      <c r="E301" s="11">
        <v>14258976.656666664</v>
      </c>
      <c r="F301" s="11">
        <v>889341.37</v>
      </c>
      <c r="G301" s="12">
        <f t="shared" si="14"/>
        <v>5.0278674171740887</v>
      </c>
      <c r="H301" s="12">
        <f t="shared" si="13"/>
        <v>6.2370630895464432</v>
      </c>
    </row>
    <row r="302" spans="1:8" x14ac:dyDescent="0.3">
      <c r="A302" s="3">
        <v>71301</v>
      </c>
      <c r="B302" s="3" t="s">
        <v>397</v>
      </c>
      <c r="C302" s="11">
        <v>19284270.524391498</v>
      </c>
      <c r="D302" s="11">
        <v>1576536.8366666667</v>
      </c>
      <c r="E302" s="11">
        <v>17412495.553333331</v>
      </c>
      <c r="F302" s="11">
        <v>2703888.5700000003</v>
      </c>
      <c r="G302" s="12">
        <f t="shared" si="14"/>
        <v>8.1752474622911002</v>
      </c>
      <c r="H302" s="12">
        <f t="shared" si="13"/>
        <v>15.528437964094042</v>
      </c>
    </row>
    <row r="303" spans="1:8" x14ac:dyDescent="0.3">
      <c r="A303" s="3">
        <v>71302</v>
      </c>
      <c r="B303" s="3" t="s">
        <v>399</v>
      </c>
      <c r="C303" s="11">
        <v>7158021.8465321846</v>
      </c>
      <c r="D303" s="11">
        <v>719085.87999999989</v>
      </c>
      <c r="E303" s="11">
        <v>8489680.5633333325</v>
      </c>
      <c r="F303" s="11">
        <v>1661836.5266666666</v>
      </c>
      <c r="G303" s="12">
        <f t="shared" si="14"/>
        <v>10.045874340944799</v>
      </c>
      <c r="H303" s="12">
        <f t="shared" si="13"/>
        <v>19.574782752652521</v>
      </c>
    </row>
    <row r="304" spans="1:8" x14ac:dyDescent="0.3">
      <c r="A304" s="3">
        <v>71401</v>
      </c>
      <c r="B304" s="3" t="s">
        <v>400</v>
      </c>
      <c r="C304" s="11">
        <v>21078584.413708013</v>
      </c>
      <c r="D304" s="11">
        <v>3478067.8566666669</v>
      </c>
      <c r="E304" s="11">
        <v>23568752.946666662</v>
      </c>
      <c r="F304" s="11">
        <v>5247167.3666666672</v>
      </c>
      <c r="G304" s="12">
        <f t="shared" ref="G304:G328" si="15">(D304*100)/C304</f>
        <v>16.500481191729264</v>
      </c>
      <c r="H304" s="12">
        <f t="shared" si="13"/>
        <v>22.26323717058936</v>
      </c>
    </row>
    <row r="305" spans="1:8" x14ac:dyDescent="0.3">
      <c r="A305" s="3">
        <v>71402</v>
      </c>
      <c r="B305" s="3" t="s">
        <v>402</v>
      </c>
      <c r="C305" s="11">
        <v>20572143.843363654</v>
      </c>
      <c r="D305" s="11">
        <v>5728758.3233333332</v>
      </c>
      <c r="E305" s="11">
        <v>25459709.696666662</v>
      </c>
      <c r="F305" s="11">
        <v>10067114.409999998</v>
      </c>
      <c r="G305" s="12">
        <f t="shared" si="15"/>
        <v>27.847162488032904</v>
      </c>
      <c r="H305" s="12">
        <f t="shared" si="13"/>
        <v>39.541355851822793</v>
      </c>
    </row>
    <row r="306" spans="1:8" x14ac:dyDescent="0.3">
      <c r="A306" s="3">
        <v>71403</v>
      </c>
      <c r="B306" s="3" t="s">
        <v>410</v>
      </c>
      <c r="C306" s="11">
        <v>7115492.3594997684</v>
      </c>
      <c r="D306" s="11">
        <v>1219163.8633333333</v>
      </c>
      <c r="E306" s="11">
        <v>7959526.9866666645</v>
      </c>
      <c r="F306" s="11">
        <v>2100057.4666666668</v>
      </c>
      <c r="G306" s="12">
        <f t="shared" si="15"/>
        <v>17.133935386855544</v>
      </c>
      <c r="H306" s="12">
        <f t="shared" si="13"/>
        <v>26.384199339791934</v>
      </c>
    </row>
    <row r="307" spans="1:8" x14ac:dyDescent="0.3">
      <c r="A307" s="3">
        <v>71501</v>
      </c>
      <c r="B307" s="3" t="s">
        <v>403</v>
      </c>
      <c r="C307" s="11">
        <v>22271103.768858176</v>
      </c>
      <c r="D307" s="11">
        <v>1592990.4000000001</v>
      </c>
      <c r="E307" s="11">
        <v>28029479.733333331</v>
      </c>
      <c r="F307" s="11">
        <v>3016900.83</v>
      </c>
      <c r="G307" s="12">
        <f t="shared" si="15"/>
        <v>7.1527231722905826</v>
      </c>
      <c r="H307" s="12">
        <f t="shared" si="13"/>
        <v>10.763313692234641</v>
      </c>
    </row>
    <row r="308" spans="1:8" x14ac:dyDescent="0.3">
      <c r="A308" s="3">
        <v>71502</v>
      </c>
      <c r="B308" s="3" t="s">
        <v>405</v>
      </c>
      <c r="C308" s="11">
        <v>7725786.9014455648</v>
      </c>
      <c r="D308" s="11">
        <v>391718.53</v>
      </c>
      <c r="E308" s="11">
        <v>6742653.6866666665</v>
      </c>
      <c r="F308" s="11">
        <v>251153.99333333332</v>
      </c>
      <c r="G308" s="12">
        <f t="shared" si="15"/>
        <v>5.0702735526746912</v>
      </c>
      <c r="H308" s="12">
        <f t="shared" si="13"/>
        <v>3.7248538187565603</v>
      </c>
    </row>
    <row r="309" spans="1:8" x14ac:dyDescent="0.3">
      <c r="A309" s="3">
        <v>71503</v>
      </c>
      <c r="B309" s="3" t="s">
        <v>406</v>
      </c>
      <c r="C309" s="11">
        <v>11315936.963480448</v>
      </c>
      <c r="D309" s="11">
        <v>795275.47000000009</v>
      </c>
      <c r="E309" s="11">
        <v>15544000.92</v>
      </c>
      <c r="F309" s="11">
        <v>2418953.7033333331</v>
      </c>
      <c r="G309" s="12">
        <f t="shared" si="15"/>
        <v>7.0279241795581449</v>
      </c>
      <c r="H309" s="12">
        <f t="shared" si="13"/>
        <v>15.561976068985803</v>
      </c>
    </row>
    <row r="310" spans="1:8" x14ac:dyDescent="0.3">
      <c r="A310" s="3">
        <v>80101</v>
      </c>
      <c r="B310" s="3" t="s">
        <v>416</v>
      </c>
      <c r="C310" s="11">
        <v>205990653.32439074</v>
      </c>
      <c r="D310" s="11">
        <v>31120578.826666664</v>
      </c>
      <c r="E310" s="11">
        <v>196744979.90666664</v>
      </c>
      <c r="F310" s="11">
        <v>56489360.960000001</v>
      </c>
      <c r="G310" s="12">
        <f t="shared" si="15"/>
        <v>15.107762572925328</v>
      </c>
      <c r="H310" s="12">
        <f t="shared" si="13"/>
        <v>28.711970687535636</v>
      </c>
    </row>
    <row r="311" spans="1:8" x14ac:dyDescent="0.3">
      <c r="A311" s="3">
        <v>80102</v>
      </c>
      <c r="B311" s="3" t="s">
        <v>418</v>
      </c>
      <c r="C311" s="11">
        <v>6256734.8342874646</v>
      </c>
      <c r="D311" s="11">
        <v>232873.29</v>
      </c>
      <c r="E311" s="11">
        <v>7269630.7399999974</v>
      </c>
      <c r="F311" s="11">
        <v>326869.94666666671</v>
      </c>
      <c r="G311" s="12">
        <f t="shared" si="15"/>
        <v>3.7219619524841234</v>
      </c>
      <c r="H311" s="12">
        <f t="shared" si="13"/>
        <v>4.4963762033760029</v>
      </c>
    </row>
    <row r="312" spans="1:8" x14ac:dyDescent="0.3">
      <c r="A312" s="3">
        <v>80201</v>
      </c>
      <c r="B312" s="3" t="s">
        <v>419</v>
      </c>
      <c r="C312" s="11">
        <v>179427570.40995631</v>
      </c>
      <c r="D312" s="11">
        <v>10618552.939999999</v>
      </c>
      <c r="E312" s="11">
        <v>145600396.81999996</v>
      </c>
      <c r="F312" s="11">
        <v>28468181.866666663</v>
      </c>
      <c r="G312" s="12">
        <f t="shared" si="15"/>
        <v>5.9180163426048287</v>
      </c>
      <c r="H312" s="12">
        <f t="shared" si="13"/>
        <v>19.552269422631284</v>
      </c>
    </row>
    <row r="313" spans="1:8" x14ac:dyDescent="0.3">
      <c r="A313" s="3">
        <v>80202</v>
      </c>
      <c r="B313" s="3" t="s">
        <v>421</v>
      </c>
      <c r="C313" s="11">
        <v>95653123.449599862</v>
      </c>
      <c r="D313" s="11">
        <v>7354210.7800000012</v>
      </c>
      <c r="E313" s="11">
        <v>62383908.053333312</v>
      </c>
      <c r="F313" s="11">
        <v>7366729.7799999984</v>
      </c>
      <c r="G313" s="12">
        <f t="shared" si="15"/>
        <v>7.6884167654754876</v>
      </c>
      <c r="H313" s="12">
        <f t="shared" si="13"/>
        <v>11.808701971191075</v>
      </c>
    </row>
    <row r="314" spans="1:8" x14ac:dyDescent="0.3">
      <c r="A314" s="3">
        <v>80301</v>
      </c>
      <c r="B314" s="3" t="s">
        <v>422</v>
      </c>
      <c r="C314" s="11">
        <v>25025942.518744111</v>
      </c>
      <c r="D314" s="11">
        <v>310560.75666666665</v>
      </c>
      <c r="E314" s="11">
        <v>18068321.36333333</v>
      </c>
      <c r="F314" s="11">
        <v>640161.66999999993</v>
      </c>
      <c r="G314" s="12">
        <f t="shared" si="15"/>
        <v>1.2409552864355082</v>
      </c>
      <c r="H314" s="12">
        <f t="shared" si="13"/>
        <v>3.5430057786059872</v>
      </c>
    </row>
    <row r="315" spans="1:8" x14ac:dyDescent="0.3">
      <c r="A315" s="3">
        <v>80302</v>
      </c>
      <c r="B315" s="3" t="s">
        <v>426</v>
      </c>
      <c r="C315" s="11">
        <v>78373221.014754906</v>
      </c>
      <c r="D315" s="11">
        <v>1332005.1866666668</v>
      </c>
      <c r="E315" s="11">
        <v>55674673.989999987</v>
      </c>
      <c r="F315" s="11">
        <v>1907480.3099999998</v>
      </c>
      <c r="G315" s="12">
        <f t="shared" si="15"/>
        <v>1.6995667262621466</v>
      </c>
      <c r="H315" s="12">
        <f t="shared" si="13"/>
        <v>3.4261185082872907</v>
      </c>
    </row>
    <row r="316" spans="1:8" x14ac:dyDescent="0.3">
      <c r="A316" s="3">
        <v>80303</v>
      </c>
      <c r="B316" s="3" t="s">
        <v>427</v>
      </c>
      <c r="C316" s="11">
        <v>22863578.115430187</v>
      </c>
      <c r="D316" s="11">
        <v>2840428.7966666669</v>
      </c>
      <c r="E316" s="11">
        <v>13563360.389999995</v>
      </c>
      <c r="F316" s="11">
        <v>1093034.8933333333</v>
      </c>
      <c r="G316" s="12">
        <f t="shared" si="15"/>
        <v>12.4233782758164</v>
      </c>
      <c r="H316" s="12">
        <f t="shared" si="13"/>
        <v>8.0587322160900996</v>
      </c>
    </row>
    <row r="317" spans="1:8" x14ac:dyDescent="0.3">
      <c r="A317" s="3">
        <v>80304</v>
      </c>
      <c r="B317" s="3" t="s">
        <v>424</v>
      </c>
      <c r="C317" s="11">
        <v>32715259.830110688</v>
      </c>
      <c r="D317" s="11">
        <v>2369008.4766666666</v>
      </c>
      <c r="E317" s="11">
        <v>27766755.196666669</v>
      </c>
      <c r="F317" s="11">
        <v>2511058.3499999996</v>
      </c>
      <c r="G317" s="12">
        <f t="shared" si="15"/>
        <v>7.2412950071888558</v>
      </c>
      <c r="H317" s="12">
        <f t="shared" si="13"/>
        <v>9.043398597404158</v>
      </c>
    </row>
    <row r="318" spans="1:8" x14ac:dyDescent="0.3">
      <c r="A318" s="3">
        <v>80401</v>
      </c>
      <c r="B318" s="3" t="s">
        <v>428</v>
      </c>
      <c r="C318" s="11">
        <v>54261178.731059797</v>
      </c>
      <c r="D318" s="11">
        <v>2360890.5366666666</v>
      </c>
      <c r="E318" s="11">
        <v>35944151.449999996</v>
      </c>
      <c r="F318" s="11">
        <v>11683179.553333333</v>
      </c>
      <c r="G318" s="12">
        <f t="shared" si="15"/>
        <v>4.3509753969190177</v>
      </c>
      <c r="H318" s="12">
        <f t="shared" si="13"/>
        <v>32.503701108607849</v>
      </c>
    </row>
    <row r="319" spans="1:8" x14ac:dyDescent="0.3">
      <c r="A319" s="3">
        <v>80402</v>
      </c>
      <c r="B319" s="3" t="s">
        <v>443</v>
      </c>
      <c r="C319" s="11">
        <v>13778717.795464167</v>
      </c>
      <c r="D319" s="11">
        <v>193630.33333333334</v>
      </c>
      <c r="E319" s="11">
        <v>9138154.383333331</v>
      </c>
      <c r="F319" s="11">
        <v>767779.38666666672</v>
      </c>
      <c r="G319" s="12">
        <f t="shared" si="15"/>
        <v>1.4052855730674356</v>
      </c>
      <c r="H319" s="12">
        <f t="shared" si="13"/>
        <v>8.4019086837379877</v>
      </c>
    </row>
    <row r="320" spans="1:8" x14ac:dyDescent="0.3">
      <c r="A320" s="3">
        <v>80501</v>
      </c>
      <c r="B320" s="3" t="s">
        <v>430</v>
      </c>
      <c r="C320" s="11">
        <v>45655960.463286497</v>
      </c>
      <c r="D320" s="11">
        <v>913588.82</v>
      </c>
      <c r="E320" s="11">
        <v>28949826.966666657</v>
      </c>
      <c r="F320" s="11">
        <v>1169160.7733333334</v>
      </c>
      <c r="G320" s="12">
        <f t="shared" si="15"/>
        <v>2.0010285858177217</v>
      </c>
      <c r="H320" s="12">
        <f t="shared" si="13"/>
        <v>4.038576032525258</v>
      </c>
    </row>
    <row r="321" spans="1:8" x14ac:dyDescent="0.3">
      <c r="A321" s="3">
        <v>80601</v>
      </c>
      <c r="B321" s="3" t="s">
        <v>432</v>
      </c>
      <c r="C321" s="11">
        <v>8849682.7547758911</v>
      </c>
      <c r="D321" s="11">
        <v>153169.24</v>
      </c>
      <c r="E321" s="11">
        <v>5115154.3499999996</v>
      </c>
      <c r="F321" s="11">
        <v>78949.61</v>
      </c>
      <c r="G321" s="12">
        <f t="shared" si="15"/>
        <v>1.7307879191187894</v>
      </c>
      <c r="H321" s="12">
        <f t="shared" si="13"/>
        <v>1.5434453116747104</v>
      </c>
    </row>
    <row r="322" spans="1:8" x14ac:dyDescent="0.3">
      <c r="A322" s="3">
        <v>80602</v>
      </c>
      <c r="B322" s="3" t="s">
        <v>434</v>
      </c>
      <c r="C322" s="11">
        <v>24356015.335366845</v>
      </c>
      <c r="D322" s="11">
        <v>631369.08333333337</v>
      </c>
      <c r="E322" s="11">
        <v>17241590.489999998</v>
      </c>
      <c r="F322" s="11">
        <v>791050.33666666655</v>
      </c>
      <c r="G322" s="12">
        <f t="shared" si="15"/>
        <v>2.5922511323785216</v>
      </c>
      <c r="H322" s="12">
        <f t="shared" ref="H322:H344" si="16">(F322*100)/E322</f>
        <v>4.5880357564777459</v>
      </c>
    </row>
    <row r="323" spans="1:8" x14ac:dyDescent="0.3">
      <c r="A323" s="3">
        <v>80701</v>
      </c>
      <c r="B323" s="3" t="s">
        <v>435</v>
      </c>
      <c r="C323" s="11">
        <v>12608576.718914131</v>
      </c>
      <c r="D323" s="11">
        <v>540315.6333333333</v>
      </c>
      <c r="E323" s="11">
        <v>10242763.17333333</v>
      </c>
      <c r="F323" s="11">
        <v>1142133.72</v>
      </c>
      <c r="G323" s="12">
        <f t="shared" si="15"/>
        <v>4.28530234124527</v>
      </c>
      <c r="H323" s="12">
        <f t="shared" si="16"/>
        <v>11.150640707709659</v>
      </c>
    </row>
    <row r="324" spans="1:8" x14ac:dyDescent="0.3">
      <c r="A324" s="3">
        <v>80702</v>
      </c>
      <c r="B324" s="3" t="s">
        <v>437</v>
      </c>
      <c r="C324" s="11">
        <v>13330513.851380736</v>
      </c>
      <c r="D324" s="11">
        <v>277159.52</v>
      </c>
      <c r="E324" s="11">
        <v>7145921.8933333335</v>
      </c>
      <c r="F324" s="11">
        <v>626840.02666666673</v>
      </c>
      <c r="G324" s="12">
        <f t="shared" si="15"/>
        <v>2.079136056494121</v>
      </c>
      <c r="H324" s="12">
        <f t="shared" si="16"/>
        <v>8.7719966160204805</v>
      </c>
    </row>
    <row r="325" spans="1:8" x14ac:dyDescent="0.3">
      <c r="A325" s="3">
        <v>80703</v>
      </c>
      <c r="B325" s="3" t="s">
        <v>438</v>
      </c>
      <c r="C325" s="11">
        <v>2293813.6809547013</v>
      </c>
      <c r="D325" s="11">
        <v>17007.84</v>
      </c>
      <c r="E325" s="11">
        <v>1296481.9933333329</v>
      </c>
      <c r="F325" s="11">
        <v>53652.233333333337</v>
      </c>
      <c r="G325" s="12">
        <f t="shared" si="15"/>
        <v>0.74146562736173138</v>
      </c>
      <c r="H325" s="12">
        <f t="shared" si="16"/>
        <v>4.1382937525719301</v>
      </c>
    </row>
    <row r="326" spans="1:8" x14ac:dyDescent="0.3">
      <c r="A326" s="3">
        <v>80801</v>
      </c>
      <c r="B326" s="3" t="s">
        <v>439</v>
      </c>
      <c r="C326" s="11">
        <v>22656752.549800292</v>
      </c>
      <c r="D326" s="11">
        <v>567161.79</v>
      </c>
      <c r="E326" s="11">
        <v>16298929.606666664</v>
      </c>
      <c r="F326" s="11">
        <v>1329950.1333333333</v>
      </c>
      <c r="G326" s="12">
        <f t="shared" si="15"/>
        <v>2.5032792707311411</v>
      </c>
      <c r="H326" s="12">
        <f t="shared" si="16"/>
        <v>8.1597391082010127</v>
      </c>
    </row>
    <row r="327" spans="1:8" x14ac:dyDescent="0.3">
      <c r="A327" s="3">
        <v>80802</v>
      </c>
      <c r="B327" s="3" t="s">
        <v>441</v>
      </c>
      <c r="C327" s="11">
        <v>12090715.950290212</v>
      </c>
      <c r="D327" s="11">
        <v>414659.57</v>
      </c>
      <c r="E327" s="11">
        <v>11446793.916666662</v>
      </c>
      <c r="F327" s="11">
        <v>3598781.1199999996</v>
      </c>
      <c r="G327" s="12">
        <f t="shared" si="15"/>
        <v>3.4295700246770493</v>
      </c>
      <c r="H327" s="12">
        <f t="shared" si="16"/>
        <v>31.439206001255364</v>
      </c>
    </row>
    <row r="328" spans="1:8" x14ac:dyDescent="0.3">
      <c r="A328" s="3">
        <v>80803</v>
      </c>
      <c r="B328" s="3" t="s">
        <v>442</v>
      </c>
      <c r="C328" s="11">
        <v>8359956.4577058703</v>
      </c>
      <c r="D328" s="11">
        <v>132781.73333333334</v>
      </c>
      <c r="E328" s="11">
        <v>5733022.4833333306</v>
      </c>
      <c r="F328" s="11">
        <v>324453.24333333335</v>
      </c>
      <c r="G328" s="12">
        <f t="shared" si="15"/>
        <v>1.5883065181630283</v>
      </c>
      <c r="H328" s="12">
        <f t="shared" si="16"/>
        <v>5.6593750378018344</v>
      </c>
    </row>
    <row r="329" spans="1:8" x14ac:dyDescent="0.3">
      <c r="A329" s="5">
        <v>80901</v>
      </c>
      <c r="B329" s="5" t="s">
        <v>475</v>
      </c>
      <c r="C329" s="11">
        <v>0</v>
      </c>
      <c r="D329" s="11">
        <v>0</v>
      </c>
      <c r="E329" s="11">
        <v>4273955.99</v>
      </c>
      <c r="F329" s="11">
        <v>0</v>
      </c>
      <c r="G329" s="12">
        <v>0</v>
      </c>
      <c r="H329" s="12">
        <f t="shared" si="16"/>
        <v>0</v>
      </c>
    </row>
    <row r="330" spans="1:8" x14ac:dyDescent="0.3">
      <c r="A330" s="3">
        <v>90101</v>
      </c>
      <c r="B330" s="3" t="s">
        <v>444</v>
      </c>
      <c r="C330" s="11">
        <v>247205364.05636534</v>
      </c>
      <c r="D330" s="11">
        <v>11471860.039999999</v>
      </c>
      <c r="E330" s="11">
        <v>164422651.20333335</v>
      </c>
      <c r="F330" s="11">
        <v>34198123.743333332</v>
      </c>
      <c r="G330" s="12">
        <f t="shared" ref="G330:G344" si="17">(D330*100)/C330</f>
        <v>4.6406193829128641</v>
      </c>
      <c r="H330" s="12">
        <f t="shared" si="16"/>
        <v>20.798912736811552</v>
      </c>
    </row>
    <row r="331" spans="1:8" x14ac:dyDescent="0.3">
      <c r="A331" s="3">
        <v>90102</v>
      </c>
      <c r="B331" s="3" t="s">
        <v>447</v>
      </c>
      <c r="C331" s="11">
        <v>39938536.174758904</v>
      </c>
      <c r="D331" s="11">
        <v>364568.94666666671</v>
      </c>
      <c r="E331" s="11">
        <v>23268252.09</v>
      </c>
      <c r="F331" s="11">
        <v>898042.48666666669</v>
      </c>
      <c r="G331" s="12">
        <f t="shared" si="17"/>
        <v>0.91282500958829271</v>
      </c>
      <c r="H331" s="12">
        <f t="shared" si="16"/>
        <v>3.8595184683108128</v>
      </c>
    </row>
    <row r="332" spans="1:8" x14ac:dyDescent="0.3">
      <c r="A332" s="3">
        <v>90103</v>
      </c>
      <c r="B332" s="3" t="s">
        <v>448</v>
      </c>
      <c r="C332" s="11">
        <v>12899583.972795233</v>
      </c>
      <c r="D332" s="11">
        <v>836.02666666666664</v>
      </c>
      <c r="E332" s="11">
        <v>6294305.3166666655</v>
      </c>
      <c r="F332" s="11">
        <v>178661.19999999998</v>
      </c>
      <c r="G332" s="12">
        <f t="shared" si="17"/>
        <v>6.4810358879000846E-3</v>
      </c>
      <c r="H332" s="12">
        <f t="shared" si="16"/>
        <v>2.8384577965565754</v>
      </c>
    </row>
    <row r="333" spans="1:8" x14ac:dyDescent="0.3">
      <c r="A333" s="3">
        <v>90104</v>
      </c>
      <c r="B333" s="3" t="s">
        <v>449</v>
      </c>
      <c r="C333" s="11">
        <v>24987974.813106194</v>
      </c>
      <c r="D333" s="11">
        <v>52287.23</v>
      </c>
      <c r="E333" s="11">
        <v>11118366.336666664</v>
      </c>
      <c r="F333" s="11">
        <v>116501.06333333334</v>
      </c>
      <c r="G333" s="12">
        <f t="shared" si="17"/>
        <v>0.20924957060776028</v>
      </c>
      <c r="H333" s="12">
        <f t="shared" si="16"/>
        <v>1.047825371153051</v>
      </c>
    </row>
    <row r="334" spans="1:8" x14ac:dyDescent="0.3">
      <c r="A334" s="3">
        <v>90201</v>
      </c>
      <c r="B334" s="3" t="s">
        <v>450</v>
      </c>
      <c r="C334" s="11">
        <v>43312120.241190143</v>
      </c>
      <c r="D334" s="11">
        <v>187144.31666666665</v>
      </c>
      <c r="E334" s="11">
        <v>17940974.409999996</v>
      </c>
      <c r="F334" s="11">
        <v>380990.60000000003</v>
      </c>
      <c r="G334" s="12">
        <f t="shared" si="17"/>
        <v>0.43208301885136308</v>
      </c>
      <c r="H334" s="12">
        <f t="shared" si="16"/>
        <v>2.1235780805062756</v>
      </c>
    </row>
    <row r="335" spans="1:8" x14ac:dyDescent="0.3">
      <c r="A335" s="3">
        <v>90202</v>
      </c>
      <c r="B335" s="3" t="s">
        <v>452</v>
      </c>
      <c r="C335" s="11">
        <v>11852771.042801553</v>
      </c>
      <c r="D335" s="11">
        <v>14536.606666666668</v>
      </c>
      <c r="E335" s="11">
        <v>8498389.2033333313</v>
      </c>
      <c r="F335" s="11">
        <v>80366.656666666662</v>
      </c>
      <c r="G335" s="12">
        <f t="shared" si="17"/>
        <v>0.12264310695088526</v>
      </c>
      <c r="H335" s="12">
        <f t="shared" si="16"/>
        <v>0.9456692879533497</v>
      </c>
    </row>
    <row r="336" spans="1:8" x14ac:dyDescent="0.3">
      <c r="A336" s="3">
        <v>90203</v>
      </c>
      <c r="B336" s="3" t="s">
        <v>453</v>
      </c>
      <c r="C336" s="11">
        <v>34022920.473483361</v>
      </c>
      <c r="D336" s="11">
        <v>38094.346666666672</v>
      </c>
      <c r="E336" s="11">
        <v>16413860.939999996</v>
      </c>
      <c r="F336" s="11">
        <v>213349.82666666666</v>
      </c>
      <c r="G336" s="12">
        <f t="shared" si="17"/>
        <v>0.11196671578019435</v>
      </c>
      <c r="H336" s="12">
        <f t="shared" si="16"/>
        <v>1.2998150005446962</v>
      </c>
    </row>
    <row r="337" spans="1:8" x14ac:dyDescent="0.3">
      <c r="A337" s="3">
        <v>90301</v>
      </c>
      <c r="B337" s="3" t="s">
        <v>454</v>
      </c>
      <c r="C337" s="11">
        <v>41487565.594174325</v>
      </c>
      <c r="D337" s="11">
        <v>101022.33</v>
      </c>
      <c r="E337" s="11">
        <v>23041072.23</v>
      </c>
      <c r="F337" s="11">
        <v>74158.706666666665</v>
      </c>
      <c r="G337" s="12">
        <f t="shared" si="17"/>
        <v>0.24350025978430881</v>
      </c>
      <c r="H337" s="12">
        <f t="shared" si="16"/>
        <v>0.32185440819073663</v>
      </c>
    </row>
    <row r="338" spans="1:8" x14ac:dyDescent="0.3">
      <c r="A338" s="3">
        <v>90302</v>
      </c>
      <c r="B338" s="3" t="s">
        <v>456</v>
      </c>
      <c r="C338" s="11">
        <v>37887769.418396413</v>
      </c>
      <c r="D338" s="11">
        <v>8345.27</v>
      </c>
      <c r="E338" s="11">
        <v>21603965.120000001</v>
      </c>
      <c r="F338" s="11">
        <v>66890.176666666681</v>
      </c>
      <c r="G338" s="12">
        <f t="shared" si="17"/>
        <v>2.2026290088083024E-2</v>
      </c>
      <c r="H338" s="12">
        <f t="shared" si="16"/>
        <v>0.30961990678619777</v>
      </c>
    </row>
    <row r="339" spans="1:8" x14ac:dyDescent="0.3">
      <c r="A339" s="3">
        <v>90303</v>
      </c>
      <c r="B339" s="3" t="s">
        <v>457</v>
      </c>
      <c r="C339" s="11">
        <v>24420651.201814607</v>
      </c>
      <c r="D339" s="11">
        <v>135989.57666666666</v>
      </c>
      <c r="E339" s="11">
        <v>24251861.666666668</v>
      </c>
      <c r="F339" s="11">
        <v>1009112.9133333332</v>
      </c>
      <c r="G339" s="12">
        <f t="shared" si="17"/>
        <v>0.55686302360586426</v>
      </c>
      <c r="H339" s="12">
        <f t="shared" si="16"/>
        <v>4.1609709275239828</v>
      </c>
    </row>
    <row r="340" spans="1:8" x14ac:dyDescent="0.3">
      <c r="A340" s="3">
        <v>90401</v>
      </c>
      <c r="B340" s="3" t="s">
        <v>458</v>
      </c>
      <c r="C340" s="11">
        <v>22704942.149413932</v>
      </c>
      <c r="D340" s="11">
        <v>1842.4666666666665</v>
      </c>
      <c r="E340" s="11">
        <v>6780043.9233333319</v>
      </c>
      <c r="F340" s="11">
        <v>39549.07</v>
      </c>
      <c r="G340" s="12">
        <f t="shared" si="17"/>
        <v>8.1148265190106421E-3</v>
      </c>
      <c r="H340" s="12">
        <f t="shared" si="16"/>
        <v>0.58331583758466488</v>
      </c>
    </row>
    <row r="341" spans="1:8" x14ac:dyDescent="0.3">
      <c r="A341" s="3">
        <v>90402</v>
      </c>
      <c r="B341" s="3" t="s">
        <v>460</v>
      </c>
      <c r="C341" s="11">
        <v>9856028.9397091735</v>
      </c>
      <c r="D341" s="11">
        <v>38478.743333333332</v>
      </c>
      <c r="E341" s="11">
        <v>4654864.3399999989</v>
      </c>
      <c r="F341" s="11">
        <v>20</v>
      </c>
      <c r="G341" s="12">
        <f t="shared" si="17"/>
        <v>0.39040818131433713</v>
      </c>
      <c r="H341" s="12">
        <f t="shared" si="16"/>
        <v>4.2965806389107366E-4</v>
      </c>
    </row>
    <row r="342" spans="1:8" x14ac:dyDescent="0.3">
      <c r="A342" s="3">
        <v>90501</v>
      </c>
      <c r="B342" s="3" t="s">
        <v>461</v>
      </c>
      <c r="C342" s="11">
        <v>8013527.9384933561</v>
      </c>
      <c r="D342" s="11">
        <v>37886.956666666665</v>
      </c>
      <c r="E342" s="11">
        <v>5887491.4933333322</v>
      </c>
      <c r="F342" s="11">
        <v>67385.5</v>
      </c>
      <c r="G342" s="12">
        <f t="shared" si="17"/>
        <v>0.4727874783424027</v>
      </c>
      <c r="H342" s="12">
        <f t="shared" si="16"/>
        <v>1.1445536707153392</v>
      </c>
    </row>
    <row r="343" spans="1:8" x14ac:dyDescent="0.3">
      <c r="A343" s="3">
        <v>90502</v>
      </c>
      <c r="B343" s="3" t="s">
        <v>463</v>
      </c>
      <c r="C343" s="11">
        <v>10878001.87501133</v>
      </c>
      <c r="D343" s="11">
        <v>32170.316666666666</v>
      </c>
      <c r="E343" s="11">
        <v>7985441.6999999993</v>
      </c>
      <c r="F343" s="11">
        <v>102201.81000000001</v>
      </c>
      <c r="G343" s="12">
        <f t="shared" si="17"/>
        <v>0.29573737011911627</v>
      </c>
      <c r="H343" s="12">
        <f t="shared" si="16"/>
        <v>1.2798516830947502</v>
      </c>
    </row>
    <row r="344" spans="1:8" x14ac:dyDescent="0.3">
      <c r="A344" s="3">
        <v>90503</v>
      </c>
      <c r="B344" s="3" t="s">
        <v>464</v>
      </c>
      <c r="C344" s="11">
        <v>5545079.5239444626</v>
      </c>
      <c r="D344" s="11">
        <v>46995.243333333339</v>
      </c>
      <c r="E344" s="11">
        <v>6096041.6799999969</v>
      </c>
      <c r="F344" s="11">
        <v>2911.1</v>
      </c>
      <c r="G344" s="12">
        <f t="shared" si="17"/>
        <v>0.84751252223527218</v>
      </c>
      <c r="H344" s="12">
        <f t="shared" si="16"/>
        <v>4.7753938585275574E-2</v>
      </c>
    </row>
  </sheetData>
  <sortState xmlns:xlrd2="http://schemas.microsoft.com/office/spreadsheetml/2017/richdata2" ref="A2:H346">
    <sortCondition ref="A1:A3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E305-CACB-4989-ACC7-5D0AE4AACA13}">
  <dimension ref="A1:D344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9" style="1" bestFit="1" customWidth="1"/>
    <col min="2" max="2" width="26.21875" style="1" customWidth="1"/>
    <col min="3" max="4" width="8.88671875" style="6"/>
  </cols>
  <sheetData>
    <row r="1" spans="1:4" x14ac:dyDescent="0.3">
      <c r="A1" s="2" t="s">
        <v>493</v>
      </c>
      <c r="B1" s="2" t="s">
        <v>1</v>
      </c>
      <c r="C1" s="9" t="s">
        <v>471</v>
      </c>
      <c r="D1" s="9" t="s">
        <v>472</v>
      </c>
    </row>
    <row r="2" spans="1:4" x14ac:dyDescent="0.3">
      <c r="A2" s="3">
        <v>10101</v>
      </c>
      <c r="B2" s="3" t="s">
        <v>4</v>
      </c>
      <c r="C2" s="12">
        <v>25.426335407836348</v>
      </c>
      <c r="D2" s="12">
        <v>38.756743852320312</v>
      </c>
    </row>
    <row r="3" spans="1:4" x14ac:dyDescent="0.3">
      <c r="A3" s="3">
        <v>10102</v>
      </c>
      <c r="B3" s="3" t="s">
        <v>7</v>
      </c>
      <c r="C3" s="12">
        <v>3.2027711327026585</v>
      </c>
      <c r="D3" s="12">
        <v>11.910441815989827</v>
      </c>
    </row>
    <row r="4" spans="1:4" x14ac:dyDescent="0.3">
      <c r="A4" s="3">
        <v>10103</v>
      </c>
      <c r="B4" s="3" t="s">
        <v>8</v>
      </c>
      <c r="C4" s="12">
        <v>0.38981675510974922</v>
      </c>
      <c r="D4" s="12">
        <v>1.2338804976765041</v>
      </c>
    </row>
    <row r="5" spans="1:4" x14ac:dyDescent="0.3">
      <c r="A5" s="3">
        <v>10201</v>
      </c>
      <c r="B5" s="3" t="s">
        <v>9</v>
      </c>
      <c r="C5" s="12">
        <v>2.5052159730790611</v>
      </c>
      <c r="D5" s="12">
        <v>3.3129095832920084</v>
      </c>
    </row>
    <row r="6" spans="1:4" x14ac:dyDescent="0.3">
      <c r="A6" s="3">
        <v>10202</v>
      </c>
      <c r="B6" s="3" t="s">
        <v>11</v>
      </c>
      <c r="C6" s="12">
        <v>0.43530472324079833</v>
      </c>
      <c r="D6" s="12">
        <v>1.2052039038118521</v>
      </c>
    </row>
    <row r="7" spans="1:4" x14ac:dyDescent="0.3">
      <c r="A7" s="3">
        <v>10301</v>
      </c>
      <c r="B7" s="3" t="s">
        <v>12</v>
      </c>
      <c r="C7" s="12">
        <v>1.7809142633845838</v>
      </c>
      <c r="D7" s="12">
        <v>8.768487480494656</v>
      </c>
    </row>
    <row r="8" spans="1:4" x14ac:dyDescent="0.3">
      <c r="A8" s="3">
        <v>10302</v>
      </c>
      <c r="B8" s="3" t="s">
        <v>14</v>
      </c>
      <c r="C8" s="12">
        <v>1.6326654099453959</v>
      </c>
      <c r="D8" s="12">
        <v>1.5059204334415777</v>
      </c>
    </row>
    <row r="9" spans="1:4" x14ac:dyDescent="0.3">
      <c r="A9" s="3">
        <v>10303</v>
      </c>
      <c r="B9" s="3" t="s">
        <v>15</v>
      </c>
      <c r="C9" s="12">
        <v>4.0825208114600153</v>
      </c>
      <c r="D9" s="12">
        <v>7.5218001233086262</v>
      </c>
    </row>
    <row r="10" spans="1:4" x14ac:dyDescent="0.3">
      <c r="A10" s="3">
        <v>10304</v>
      </c>
      <c r="B10" s="3" t="s">
        <v>16</v>
      </c>
      <c r="C10" s="12">
        <v>0.88203527925460246</v>
      </c>
      <c r="D10" s="12">
        <v>1.6837953462049229</v>
      </c>
    </row>
    <row r="11" spans="1:4" x14ac:dyDescent="0.3">
      <c r="A11" s="3">
        <v>10401</v>
      </c>
      <c r="B11" s="3" t="s">
        <v>17</v>
      </c>
      <c r="C11" s="12">
        <v>4.8786828606382207</v>
      </c>
      <c r="D11" s="12">
        <v>13.832036513243933</v>
      </c>
    </row>
    <row r="12" spans="1:4" x14ac:dyDescent="0.3">
      <c r="A12" s="3">
        <v>10402</v>
      </c>
      <c r="B12" s="3" t="s">
        <v>19</v>
      </c>
      <c r="C12" s="12">
        <v>0.65154906668333512</v>
      </c>
      <c r="D12" s="12">
        <v>4.4661393701228738</v>
      </c>
    </row>
    <row r="13" spans="1:4" x14ac:dyDescent="0.3">
      <c r="A13" s="3">
        <v>10403</v>
      </c>
      <c r="B13" s="3" t="s">
        <v>20</v>
      </c>
      <c r="C13" s="12">
        <v>1.970452220167582</v>
      </c>
      <c r="D13" s="12">
        <v>7.0579518753224306</v>
      </c>
    </row>
    <row r="14" spans="1:4" x14ac:dyDescent="0.3">
      <c r="A14" s="3">
        <v>10404</v>
      </c>
      <c r="B14" s="3" t="s">
        <v>21</v>
      </c>
      <c r="C14" s="12">
        <v>0.52482172162915952</v>
      </c>
      <c r="D14" s="12">
        <v>4.8958126988758055</v>
      </c>
    </row>
    <row r="15" spans="1:4" x14ac:dyDescent="0.3">
      <c r="A15" s="3">
        <v>10405</v>
      </c>
      <c r="B15" s="3" t="s">
        <v>22</v>
      </c>
      <c r="C15" s="12">
        <v>0.9864612374001408</v>
      </c>
      <c r="D15" s="12">
        <v>7.5295505598968475</v>
      </c>
    </row>
    <row r="16" spans="1:4" x14ac:dyDescent="0.3">
      <c r="A16" s="3">
        <v>10501</v>
      </c>
      <c r="B16" s="3" t="s">
        <v>23</v>
      </c>
      <c r="C16" s="12">
        <v>5.7358654385070151</v>
      </c>
      <c r="D16" s="12">
        <v>18.261287494836068</v>
      </c>
    </row>
    <row r="17" spans="1:4" x14ac:dyDescent="0.3">
      <c r="A17" s="3">
        <v>10502</v>
      </c>
      <c r="B17" s="3" t="s">
        <v>25</v>
      </c>
      <c r="C17" s="12">
        <v>3.4329625077030572</v>
      </c>
      <c r="D17" s="12">
        <v>2.7480526587090361</v>
      </c>
    </row>
    <row r="18" spans="1:4" x14ac:dyDescent="0.3">
      <c r="A18" s="3">
        <v>10601</v>
      </c>
      <c r="B18" s="3" t="s">
        <v>26</v>
      </c>
      <c r="C18" s="12">
        <v>2.2997629584578152</v>
      </c>
      <c r="D18" s="12">
        <v>3.9936955915295829</v>
      </c>
    </row>
    <row r="19" spans="1:4" x14ac:dyDescent="0.3">
      <c r="A19" s="3">
        <v>10602</v>
      </c>
      <c r="B19" s="3" t="s">
        <v>28</v>
      </c>
      <c r="C19" s="12">
        <v>0.85231013739608008</v>
      </c>
      <c r="D19" s="12">
        <v>3.9336325713588414</v>
      </c>
    </row>
    <row r="20" spans="1:4" x14ac:dyDescent="0.3">
      <c r="A20" s="3">
        <v>10701</v>
      </c>
      <c r="B20" s="3" t="s">
        <v>29</v>
      </c>
      <c r="C20" s="12">
        <v>5.2246823094316719</v>
      </c>
      <c r="D20" s="12">
        <v>11.289946826100255</v>
      </c>
    </row>
    <row r="21" spans="1:4" x14ac:dyDescent="0.3">
      <c r="A21" s="3">
        <v>10702</v>
      </c>
      <c r="B21" s="3" t="s">
        <v>31</v>
      </c>
      <c r="C21" s="12">
        <v>6.0073875952068088</v>
      </c>
      <c r="D21" s="12">
        <v>8.3986377693490724</v>
      </c>
    </row>
    <row r="22" spans="1:4" x14ac:dyDescent="0.3">
      <c r="A22" s="3">
        <v>10703</v>
      </c>
      <c r="B22" s="3" t="s">
        <v>32</v>
      </c>
      <c r="C22" s="12">
        <v>2.2368139250876435</v>
      </c>
      <c r="D22" s="12">
        <v>1.7010717611055888</v>
      </c>
    </row>
    <row r="23" spans="1:4" x14ac:dyDescent="0.3">
      <c r="A23" s="3">
        <v>10704</v>
      </c>
      <c r="B23" s="3" t="s">
        <v>43</v>
      </c>
      <c r="C23" s="12">
        <v>0.36759918960567567</v>
      </c>
      <c r="D23" s="12">
        <v>6.0163962535704609</v>
      </c>
    </row>
    <row r="24" spans="1:4" x14ac:dyDescent="0.3">
      <c r="A24" s="3">
        <v>10801</v>
      </c>
      <c r="B24" s="3" t="s">
        <v>33</v>
      </c>
      <c r="C24" s="12">
        <v>2.161017223778368</v>
      </c>
      <c r="D24" s="12">
        <v>6.2257223818819396</v>
      </c>
    </row>
    <row r="25" spans="1:4" x14ac:dyDescent="0.3">
      <c r="A25" s="3">
        <v>10901</v>
      </c>
      <c r="B25" s="3" t="s">
        <v>35</v>
      </c>
      <c r="C25" s="12">
        <v>3.1227628052325471</v>
      </c>
      <c r="D25" s="12">
        <v>6.5145864849801205</v>
      </c>
    </row>
    <row r="26" spans="1:4" x14ac:dyDescent="0.3">
      <c r="A26" s="3">
        <v>10902</v>
      </c>
      <c r="B26" s="3" t="s">
        <v>37</v>
      </c>
      <c r="C26" s="12">
        <v>2.2672805312503637</v>
      </c>
      <c r="D26" s="12">
        <v>4.8397991614192213</v>
      </c>
    </row>
    <row r="27" spans="1:4" x14ac:dyDescent="0.3">
      <c r="A27" s="3">
        <v>10903</v>
      </c>
      <c r="B27" s="3" t="s">
        <v>38</v>
      </c>
      <c r="C27" s="12">
        <v>2.9956772168219201</v>
      </c>
      <c r="D27" s="12">
        <v>6.7044306831887805</v>
      </c>
    </row>
    <row r="28" spans="1:4" x14ac:dyDescent="0.3">
      <c r="A28" s="3">
        <v>11001</v>
      </c>
      <c r="B28" s="3" t="s">
        <v>39</v>
      </c>
      <c r="C28" s="12">
        <v>9.5051395553727964</v>
      </c>
      <c r="D28" s="12">
        <v>9.3471484802472364</v>
      </c>
    </row>
    <row r="29" spans="1:4" x14ac:dyDescent="0.3">
      <c r="A29" s="3">
        <v>11002</v>
      </c>
      <c r="B29" s="3" t="s">
        <v>41</v>
      </c>
      <c r="C29" s="12">
        <v>39.263802831210285</v>
      </c>
      <c r="D29" s="12">
        <v>2.4442214610132806</v>
      </c>
    </row>
    <row r="30" spans="1:4" x14ac:dyDescent="0.3">
      <c r="A30" s="3">
        <v>11003</v>
      </c>
      <c r="B30" s="3" t="s">
        <v>42</v>
      </c>
      <c r="C30" s="12">
        <v>2.9051951661441207</v>
      </c>
      <c r="D30" s="12">
        <v>8.0934775277474422</v>
      </c>
    </row>
    <row r="31" spans="1:4" x14ac:dyDescent="0.3">
      <c r="A31" s="3">
        <v>20101</v>
      </c>
      <c r="B31" s="3" t="s">
        <v>44</v>
      </c>
      <c r="C31" s="12">
        <v>38.400825117261363</v>
      </c>
      <c r="D31" s="12">
        <v>52.413545566354479</v>
      </c>
    </row>
    <row r="32" spans="1:4" x14ac:dyDescent="0.3">
      <c r="A32" s="3">
        <v>20102</v>
      </c>
      <c r="B32" s="3" t="s">
        <v>47</v>
      </c>
      <c r="C32" s="12">
        <v>9.295576231083988</v>
      </c>
      <c r="D32" s="12">
        <v>48.01981420624773</v>
      </c>
    </row>
    <row r="33" spans="1:4" x14ac:dyDescent="0.3">
      <c r="A33" s="3">
        <v>20103</v>
      </c>
      <c r="B33" s="3" t="s">
        <v>48</v>
      </c>
      <c r="C33" s="12">
        <v>7.2070723470636127</v>
      </c>
      <c r="D33" s="12">
        <v>38.963354500012898</v>
      </c>
    </row>
    <row r="34" spans="1:4" x14ac:dyDescent="0.3">
      <c r="A34" s="3">
        <v>20104</v>
      </c>
      <c r="B34" s="3" t="s">
        <v>49</v>
      </c>
      <c r="C34" s="12">
        <v>17.495684769495234</v>
      </c>
      <c r="D34" s="12">
        <v>65.466679378225663</v>
      </c>
    </row>
    <row r="35" spans="1:4" x14ac:dyDescent="0.3">
      <c r="A35" s="3">
        <v>20105</v>
      </c>
      <c r="B35" s="3" t="s">
        <v>50</v>
      </c>
      <c r="C35" s="12">
        <v>17.304050554562135</v>
      </c>
      <c r="D35" s="12">
        <v>33.371374891009374</v>
      </c>
    </row>
    <row r="36" spans="1:4" x14ac:dyDescent="0.3">
      <c r="A36" s="3">
        <v>20201</v>
      </c>
      <c r="B36" s="3" t="s">
        <v>73</v>
      </c>
      <c r="C36" s="12">
        <v>1.158543063763614</v>
      </c>
      <c r="D36" s="12">
        <v>3.6990176823883383</v>
      </c>
    </row>
    <row r="37" spans="1:4" x14ac:dyDescent="0.3">
      <c r="A37" s="3">
        <v>20202</v>
      </c>
      <c r="B37" s="3" t="s">
        <v>75</v>
      </c>
      <c r="C37" s="12">
        <v>0.34896811384205229</v>
      </c>
      <c r="D37" s="12">
        <v>1.9207935396155786</v>
      </c>
    </row>
    <row r="38" spans="1:4" x14ac:dyDescent="0.3">
      <c r="A38" s="3">
        <v>20203</v>
      </c>
      <c r="B38" s="3" t="s">
        <v>151</v>
      </c>
      <c r="C38" s="12">
        <v>0</v>
      </c>
      <c r="D38" s="12">
        <v>4.2001303099491167</v>
      </c>
    </row>
    <row r="39" spans="1:4" x14ac:dyDescent="0.3">
      <c r="A39" s="3">
        <v>20204</v>
      </c>
      <c r="B39" s="3" t="s">
        <v>145</v>
      </c>
      <c r="C39" s="12">
        <v>8.0966148726130633</v>
      </c>
      <c r="D39" s="12">
        <v>16.471887031396502</v>
      </c>
    </row>
    <row r="40" spans="1:4" x14ac:dyDescent="0.3">
      <c r="A40" s="3">
        <v>20205</v>
      </c>
      <c r="B40" s="3" t="s">
        <v>146</v>
      </c>
      <c r="C40" s="12">
        <v>2.0506863452075286</v>
      </c>
      <c r="D40" s="12">
        <v>19.059528247290437</v>
      </c>
    </row>
    <row r="41" spans="1:4" x14ac:dyDescent="0.3">
      <c r="A41" s="3">
        <v>20206</v>
      </c>
      <c r="B41" s="3" t="s">
        <v>150</v>
      </c>
      <c r="C41" s="12">
        <v>2.9263022704928683</v>
      </c>
      <c r="D41" s="12">
        <v>7.8686106927939008</v>
      </c>
    </row>
    <row r="42" spans="1:4" x14ac:dyDescent="0.3">
      <c r="A42" s="3">
        <v>20301</v>
      </c>
      <c r="B42" s="3" t="s">
        <v>91</v>
      </c>
      <c r="C42" s="12">
        <v>1.0625373799258031</v>
      </c>
      <c r="D42" s="12">
        <v>2.8772645892002462</v>
      </c>
    </row>
    <row r="43" spans="1:4" x14ac:dyDescent="0.3">
      <c r="A43" s="3">
        <v>20302</v>
      </c>
      <c r="B43" s="3" t="s">
        <v>93</v>
      </c>
      <c r="C43" s="12">
        <v>8.8593053129743908E-3</v>
      </c>
      <c r="D43" s="12">
        <v>2.2281980511602462</v>
      </c>
    </row>
    <row r="44" spans="1:4" x14ac:dyDescent="0.3">
      <c r="A44" s="3">
        <v>20303</v>
      </c>
      <c r="B44" s="3" t="s">
        <v>94</v>
      </c>
      <c r="C44" s="12">
        <v>0.16608125326018247</v>
      </c>
      <c r="D44" s="12">
        <v>5.2685380459051698</v>
      </c>
    </row>
    <row r="45" spans="1:4" x14ac:dyDescent="0.3">
      <c r="A45" s="3">
        <v>20304</v>
      </c>
      <c r="B45" s="3" t="s">
        <v>95</v>
      </c>
      <c r="C45" s="12">
        <v>1.7553385224743236</v>
      </c>
      <c r="D45" s="12">
        <v>1.3263616897510406</v>
      </c>
    </row>
    <row r="46" spans="1:4" x14ac:dyDescent="0.3">
      <c r="A46" s="3">
        <v>20305</v>
      </c>
      <c r="B46" s="3" t="s">
        <v>96</v>
      </c>
      <c r="C46" s="12">
        <v>3.7773795391138305E-4</v>
      </c>
      <c r="D46" s="12">
        <v>1.8055692064159563E-3</v>
      </c>
    </row>
    <row r="47" spans="1:4" x14ac:dyDescent="0.3">
      <c r="A47" s="3">
        <v>20306</v>
      </c>
      <c r="B47" s="3" t="s">
        <v>97</v>
      </c>
      <c r="C47" s="12">
        <v>1.0936356256016955E-2</v>
      </c>
      <c r="D47" s="12">
        <v>4.8878431136427496</v>
      </c>
    </row>
    <row r="48" spans="1:4" x14ac:dyDescent="0.3">
      <c r="A48" s="3">
        <v>20307</v>
      </c>
      <c r="B48" s="3" t="s">
        <v>98</v>
      </c>
      <c r="C48" s="12">
        <v>0.51925407480249475</v>
      </c>
      <c r="D48" s="12">
        <v>2.1838543718488439</v>
      </c>
    </row>
    <row r="49" spans="1:4" x14ac:dyDescent="0.3">
      <c r="A49" s="3">
        <v>20308</v>
      </c>
      <c r="B49" s="3" t="s">
        <v>99</v>
      </c>
      <c r="C49" s="12">
        <v>0.32761773204101835</v>
      </c>
      <c r="D49" s="12">
        <v>9.1874263102046374</v>
      </c>
    </row>
    <row r="50" spans="1:4" x14ac:dyDescent="0.3">
      <c r="A50" s="3">
        <v>20401</v>
      </c>
      <c r="B50" s="3" t="s">
        <v>100</v>
      </c>
      <c r="C50" s="12">
        <v>5.8867954200513099E-2</v>
      </c>
      <c r="D50" s="12">
        <v>0.45284978953615146</v>
      </c>
    </row>
    <row r="51" spans="1:4" x14ac:dyDescent="0.3">
      <c r="A51" s="3">
        <v>20402</v>
      </c>
      <c r="B51" s="3" t="s">
        <v>102</v>
      </c>
      <c r="C51" s="12">
        <v>3.2320315048636541</v>
      </c>
      <c r="D51" s="12">
        <v>8.7571919583453219</v>
      </c>
    </row>
    <row r="52" spans="1:4" x14ac:dyDescent="0.3">
      <c r="A52" s="3">
        <v>20403</v>
      </c>
      <c r="B52" s="3" t="s">
        <v>103</v>
      </c>
      <c r="C52" s="12">
        <v>1.5180498148953227E-2</v>
      </c>
      <c r="D52" s="12">
        <v>1.1994216366434391</v>
      </c>
    </row>
    <row r="53" spans="1:4" x14ac:dyDescent="0.3">
      <c r="A53" s="3">
        <v>20404</v>
      </c>
      <c r="B53" s="3" t="s">
        <v>148</v>
      </c>
      <c r="C53" s="12">
        <v>0.71365354080643018</v>
      </c>
      <c r="D53" s="12">
        <v>1.4078197907489562</v>
      </c>
    </row>
    <row r="54" spans="1:4" x14ac:dyDescent="0.3">
      <c r="A54" s="3">
        <v>20405</v>
      </c>
      <c r="B54" s="3" t="s">
        <v>147</v>
      </c>
      <c r="C54" s="12">
        <v>0.18716920661227987</v>
      </c>
      <c r="D54" s="12">
        <v>8.2380428768729832</v>
      </c>
    </row>
    <row r="55" spans="1:4" x14ac:dyDescent="0.3">
      <c r="A55" s="3">
        <v>20501</v>
      </c>
      <c r="B55" s="3" t="s">
        <v>87</v>
      </c>
      <c r="C55" s="12">
        <v>0.94173509060276206</v>
      </c>
      <c r="D55" s="12">
        <v>1.5004713230529245</v>
      </c>
    </row>
    <row r="56" spans="1:4" x14ac:dyDescent="0.3">
      <c r="A56" s="3">
        <v>20502</v>
      </c>
      <c r="B56" s="3" t="s">
        <v>89</v>
      </c>
      <c r="C56" s="12">
        <v>8.5761331698374672</v>
      </c>
      <c r="D56" s="12">
        <v>8.119526439598582</v>
      </c>
    </row>
    <row r="57" spans="1:4" x14ac:dyDescent="0.3">
      <c r="A57" s="3">
        <v>20503</v>
      </c>
      <c r="B57" s="3" t="s">
        <v>90</v>
      </c>
      <c r="C57" s="12">
        <v>4.0732630630480671</v>
      </c>
      <c r="D57" s="12">
        <v>20.058034371110377</v>
      </c>
    </row>
    <row r="58" spans="1:4" x14ac:dyDescent="0.3">
      <c r="A58" s="3">
        <v>20601</v>
      </c>
      <c r="B58" s="3" t="s">
        <v>76</v>
      </c>
      <c r="C58" s="12">
        <v>7.9717604567625902</v>
      </c>
      <c r="D58" s="12">
        <v>42.976801549076555</v>
      </c>
    </row>
    <row r="59" spans="1:4" x14ac:dyDescent="0.3">
      <c r="A59" s="3">
        <v>20602</v>
      </c>
      <c r="B59" s="3" t="s">
        <v>78</v>
      </c>
      <c r="C59" s="12">
        <v>7.0216029162028697</v>
      </c>
      <c r="D59" s="12">
        <v>24.727697092924704</v>
      </c>
    </row>
    <row r="60" spans="1:4" x14ac:dyDescent="0.3">
      <c r="A60" s="3">
        <v>20603</v>
      </c>
      <c r="B60" s="3" t="s">
        <v>79</v>
      </c>
      <c r="C60" s="12">
        <v>13.114581013492554</v>
      </c>
      <c r="D60" s="12">
        <v>5.4338160648893812</v>
      </c>
    </row>
    <row r="61" spans="1:4" x14ac:dyDescent="0.3">
      <c r="A61" s="3">
        <v>20604</v>
      </c>
      <c r="B61" s="3" t="s">
        <v>81</v>
      </c>
      <c r="C61" s="12">
        <v>2.0273048127730648E-4</v>
      </c>
      <c r="D61" s="12">
        <v>0.41724905040686178</v>
      </c>
    </row>
    <row r="62" spans="1:4" x14ac:dyDescent="0.3">
      <c r="A62" s="3">
        <v>20605</v>
      </c>
      <c r="B62" s="3" t="s">
        <v>82</v>
      </c>
      <c r="C62" s="12">
        <v>10.157066207725647</v>
      </c>
      <c r="D62" s="12">
        <v>24.384929262856204</v>
      </c>
    </row>
    <row r="63" spans="1:4" x14ac:dyDescent="0.3">
      <c r="A63" s="3">
        <v>20606</v>
      </c>
      <c r="B63" s="3" t="s">
        <v>80</v>
      </c>
      <c r="C63" s="12">
        <v>7.6123396981783928</v>
      </c>
      <c r="D63" s="12">
        <v>29.163035700679089</v>
      </c>
    </row>
    <row r="64" spans="1:4" x14ac:dyDescent="0.3">
      <c r="A64" s="3">
        <v>20607</v>
      </c>
      <c r="B64" s="3" t="s">
        <v>140</v>
      </c>
      <c r="C64" s="12">
        <v>3.2701841881683475</v>
      </c>
      <c r="D64" s="12">
        <v>33.615309713458963</v>
      </c>
    </row>
    <row r="65" spans="1:4" x14ac:dyDescent="0.3">
      <c r="A65" s="3">
        <v>20608</v>
      </c>
      <c r="B65" s="3" t="s">
        <v>141</v>
      </c>
      <c r="C65" s="12">
        <v>2.1572717449601946</v>
      </c>
      <c r="D65" s="12">
        <v>7.0341318152045353</v>
      </c>
    </row>
    <row r="66" spans="1:4" x14ac:dyDescent="0.3">
      <c r="A66" s="3">
        <v>20701</v>
      </c>
      <c r="B66" s="3" t="s">
        <v>104</v>
      </c>
      <c r="C66" s="12">
        <v>6.9384303892039414</v>
      </c>
      <c r="D66" s="12">
        <v>40.332570490723896</v>
      </c>
    </row>
    <row r="67" spans="1:4" x14ac:dyDescent="0.3">
      <c r="A67" s="3">
        <v>20702</v>
      </c>
      <c r="B67" s="3" t="s">
        <v>106</v>
      </c>
      <c r="C67" s="12">
        <v>20.487119436123944</v>
      </c>
      <c r="D67" s="12">
        <v>38.206149546182665</v>
      </c>
    </row>
    <row r="68" spans="1:4" x14ac:dyDescent="0.3">
      <c r="A68" s="3">
        <v>20801</v>
      </c>
      <c r="B68" s="3" t="s">
        <v>51</v>
      </c>
      <c r="C68" s="12">
        <v>0.87617219098567389</v>
      </c>
      <c r="D68" s="12">
        <v>3.9018598550706316</v>
      </c>
    </row>
    <row r="69" spans="1:4" x14ac:dyDescent="0.3">
      <c r="A69" s="3">
        <v>20802</v>
      </c>
      <c r="B69" s="3" t="s">
        <v>53</v>
      </c>
      <c r="C69" s="12">
        <v>24.846104543752439</v>
      </c>
      <c r="D69" s="12">
        <v>3.6318279646815395</v>
      </c>
    </row>
    <row r="70" spans="1:4" x14ac:dyDescent="0.3">
      <c r="A70" s="3">
        <v>20803</v>
      </c>
      <c r="B70" s="3" t="s">
        <v>54</v>
      </c>
      <c r="C70" s="12">
        <v>8.5076731259767104</v>
      </c>
      <c r="D70" s="12">
        <v>24.524794793396858</v>
      </c>
    </row>
    <row r="71" spans="1:4" x14ac:dyDescent="0.3">
      <c r="A71" s="3">
        <v>20804</v>
      </c>
      <c r="B71" s="3" t="s">
        <v>55</v>
      </c>
      <c r="C71" s="12">
        <v>0.83099104988499006</v>
      </c>
      <c r="D71" s="12">
        <v>10.609555637899241</v>
      </c>
    </row>
    <row r="72" spans="1:4" x14ac:dyDescent="0.3">
      <c r="A72" s="3">
        <v>20805</v>
      </c>
      <c r="B72" s="3" t="s">
        <v>142</v>
      </c>
      <c r="C72" s="12">
        <v>1.9584314348084344</v>
      </c>
      <c r="D72" s="12">
        <v>5.2174597873019302</v>
      </c>
    </row>
    <row r="73" spans="1:4" x14ac:dyDescent="0.3">
      <c r="A73" s="3">
        <v>20806</v>
      </c>
      <c r="B73" s="3" t="s">
        <v>143</v>
      </c>
      <c r="C73" s="12">
        <v>0.46797382933041304</v>
      </c>
      <c r="D73" s="12">
        <v>4.4924202681648318</v>
      </c>
    </row>
    <row r="74" spans="1:4" x14ac:dyDescent="0.3">
      <c r="A74" s="3">
        <v>20807</v>
      </c>
      <c r="B74" s="3" t="s">
        <v>144</v>
      </c>
      <c r="C74" s="12">
        <v>0.16904973931903738</v>
      </c>
      <c r="D74" s="12">
        <v>15.181567748207103</v>
      </c>
    </row>
    <row r="75" spans="1:4" x14ac:dyDescent="0.3">
      <c r="A75" s="3">
        <v>20901</v>
      </c>
      <c r="B75" s="3" t="s">
        <v>107</v>
      </c>
      <c r="C75" s="12">
        <v>0.49302086509170623</v>
      </c>
      <c r="D75" s="12">
        <v>2.7297936799606681</v>
      </c>
    </row>
    <row r="76" spans="1:4" x14ac:dyDescent="0.3">
      <c r="A76" s="3">
        <v>20902</v>
      </c>
      <c r="B76" s="3" t="s">
        <v>109</v>
      </c>
      <c r="C76" s="12">
        <v>1.0294536489695572</v>
      </c>
      <c r="D76" s="12">
        <v>3.0464681388617039</v>
      </c>
    </row>
    <row r="77" spans="1:4" x14ac:dyDescent="0.3">
      <c r="A77" s="3">
        <v>20903</v>
      </c>
      <c r="B77" s="3" t="s">
        <v>110</v>
      </c>
      <c r="C77" s="12">
        <v>0.81337903136899981</v>
      </c>
      <c r="D77" s="12">
        <v>4.7488741421190994</v>
      </c>
    </row>
    <row r="78" spans="1:4" x14ac:dyDescent="0.3">
      <c r="A78" s="3">
        <v>20904</v>
      </c>
      <c r="B78" s="3" t="s">
        <v>111</v>
      </c>
      <c r="C78" s="12">
        <v>4.1498695282925908</v>
      </c>
      <c r="D78" s="12">
        <v>3.2197172400244831</v>
      </c>
    </row>
    <row r="79" spans="1:4" x14ac:dyDescent="0.3">
      <c r="A79" s="3">
        <v>20905</v>
      </c>
      <c r="B79" s="3" t="s">
        <v>112</v>
      </c>
      <c r="C79" s="12">
        <v>4.1514098931411736</v>
      </c>
      <c r="D79" s="12">
        <v>12.874486374020266</v>
      </c>
    </row>
    <row r="80" spans="1:4" x14ac:dyDescent="0.3">
      <c r="A80" s="3">
        <v>21001</v>
      </c>
      <c r="B80" s="3" t="s">
        <v>66</v>
      </c>
      <c r="C80" s="12">
        <v>1.2137752232244461</v>
      </c>
      <c r="D80" s="12">
        <v>12.310463665788523</v>
      </c>
    </row>
    <row r="81" spans="1:4" x14ac:dyDescent="0.3">
      <c r="A81" s="3">
        <v>21002</v>
      </c>
      <c r="B81" s="3" t="s">
        <v>68</v>
      </c>
      <c r="C81" s="12">
        <v>13.537686958122853</v>
      </c>
      <c r="D81" s="12">
        <v>18.774874105882805</v>
      </c>
    </row>
    <row r="82" spans="1:4" x14ac:dyDescent="0.3">
      <c r="A82" s="3">
        <v>21003</v>
      </c>
      <c r="B82" s="3" t="s">
        <v>69</v>
      </c>
      <c r="C82" s="12">
        <v>5.8064264794171212</v>
      </c>
      <c r="D82" s="12">
        <v>10.776632096322965</v>
      </c>
    </row>
    <row r="83" spans="1:4" x14ac:dyDescent="0.3">
      <c r="A83" s="3">
        <v>21004</v>
      </c>
      <c r="B83" s="3" t="s">
        <v>70</v>
      </c>
      <c r="C83" s="12">
        <v>16.135901322299524</v>
      </c>
      <c r="D83" s="12">
        <v>27.147975928646215</v>
      </c>
    </row>
    <row r="84" spans="1:4" x14ac:dyDescent="0.3">
      <c r="A84" s="3">
        <v>21005</v>
      </c>
      <c r="B84" s="3" t="s">
        <v>71</v>
      </c>
      <c r="C84" s="12">
        <v>2.5583917313498681</v>
      </c>
      <c r="D84" s="12">
        <v>9.4819243659711141</v>
      </c>
    </row>
    <row r="85" spans="1:4" x14ac:dyDescent="0.3">
      <c r="A85" s="3">
        <v>21006</v>
      </c>
      <c r="B85" s="3" t="s">
        <v>72</v>
      </c>
      <c r="C85" s="12">
        <v>0.76564328808764048</v>
      </c>
      <c r="D85" s="12">
        <v>6.923113616780582</v>
      </c>
    </row>
    <row r="86" spans="1:4" x14ac:dyDescent="0.3">
      <c r="A86" s="3">
        <v>21101</v>
      </c>
      <c r="B86" s="3" t="s">
        <v>113</v>
      </c>
      <c r="C86" s="12">
        <v>2.5986720245077151</v>
      </c>
      <c r="D86" s="12">
        <v>5.7395293846639719</v>
      </c>
    </row>
    <row r="87" spans="1:4" x14ac:dyDescent="0.3">
      <c r="A87" s="3">
        <v>21102</v>
      </c>
      <c r="B87" s="3" t="s">
        <v>115</v>
      </c>
      <c r="C87" s="12">
        <v>7.1474396677913896</v>
      </c>
      <c r="D87" s="12">
        <v>20.490192158135379</v>
      </c>
    </row>
    <row r="88" spans="1:4" x14ac:dyDescent="0.3">
      <c r="A88" s="3">
        <v>21103</v>
      </c>
      <c r="B88" s="3" t="s">
        <v>116</v>
      </c>
      <c r="C88" s="12">
        <v>13.087923921063476</v>
      </c>
      <c r="D88" s="12">
        <v>11.565092670250431</v>
      </c>
    </row>
    <row r="89" spans="1:4" x14ac:dyDescent="0.3">
      <c r="A89" s="3">
        <v>21104</v>
      </c>
      <c r="B89" s="3" t="s">
        <v>117</v>
      </c>
      <c r="C89" s="12">
        <v>4.9189194313988214</v>
      </c>
      <c r="D89" s="12">
        <v>4.4465162727273579</v>
      </c>
    </row>
    <row r="90" spans="1:4" x14ac:dyDescent="0.3">
      <c r="A90" s="3">
        <v>21105</v>
      </c>
      <c r="B90" s="3" t="s">
        <v>118</v>
      </c>
      <c r="C90" s="12">
        <v>1.9593603531086201</v>
      </c>
      <c r="D90" s="12">
        <v>2.2428807905623493</v>
      </c>
    </row>
    <row r="91" spans="1:4" x14ac:dyDescent="0.3">
      <c r="A91" s="3">
        <v>21201</v>
      </c>
      <c r="B91" s="3" t="s">
        <v>119</v>
      </c>
      <c r="C91" s="12">
        <v>2.0328144191491422</v>
      </c>
      <c r="D91" s="12">
        <v>8.1067546954801788</v>
      </c>
    </row>
    <row r="92" spans="1:4" x14ac:dyDescent="0.3">
      <c r="A92" s="3">
        <v>21202</v>
      </c>
      <c r="B92" s="3" t="s">
        <v>121</v>
      </c>
      <c r="C92" s="12">
        <v>1.9278109229957217</v>
      </c>
      <c r="D92" s="12">
        <v>20.133752811351989</v>
      </c>
    </row>
    <row r="93" spans="1:4" x14ac:dyDescent="0.3">
      <c r="A93" s="3">
        <v>21203</v>
      </c>
      <c r="B93" s="3" t="s">
        <v>122</v>
      </c>
      <c r="C93" s="12">
        <v>0.49525591160040006</v>
      </c>
      <c r="D93" s="12">
        <v>3.9101396824821331</v>
      </c>
    </row>
    <row r="94" spans="1:4" x14ac:dyDescent="0.3">
      <c r="A94" s="3">
        <v>21204</v>
      </c>
      <c r="B94" s="3" t="s">
        <v>123</v>
      </c>
      <c r="C94" s="12">
        <v>0.27215237379037244</v>
      </c>
      <c r="D94" s="12">
        <v>0.38708577212420953</v>
      </c>
    </row>
    <row r="95" spans="1:4" x14ac:dyDescent="0.3">
      <c r="A95" s="3">
        <v>21301</v>
      </c>
      <c r="B95" s="3" t="s">
        <v>58</v>
      </c>
      <c r="C95" s="12">
        <v>0.43093559962492217</v>
      </c>
      <c r="D95" s="12">
        <v>12.554733223042799</v>
      </c>
    </row>
    <row r="96" spans="1:4" x14ac:dyDescent="0.3">
      <c r="A96" s="3">
        <v>21302</v>
      </c>
      <c r="B96" s="3" t="s">
        <v>60</v>
      </c>
      <c r="C96" s="12">
        <v>2.3690412426610682E-2</v>
      </c>
      <c r="D96" s="12">
        <v>0.27148456230030599</v>
      </c>
    </row>
    <row r="97" spans="1:4" x14ac:dyDescent="0.3">
      <c r="A97" s="3">
        <v>21303</v>
      </c>
      <c r="B97" s="3" t="s">
        <v>61</v>
      </c>
      <c r="C97" s="12">
        <v>0.41238506128299007</v>
      </c>
      <c r="D97" s="12">
        <v>4.6859030065559351</v>
      </c>
    </row>
    <row r="98" spans="1:4" x14ac:dyDescent="0.3">
      <c r="A98" s="3">
        <v>21304</v>
      </c>
      <c r="B98" s="3" t="s">
        <v>62</v>
      </c>
      <c r="C98" s="12">
        <v>1.2793266300422736</v>
      </c>
      <c r="D98" s="12">
        <v>43.418279629468174</v>
      </c>
    </row>
    <row r="99" spans="1:4" x14ac:dyDescent="0.3">
      <c r="A99" s="3">
        <v>21305</v>
      </c>
      <c r="B99" s="3" t="s">
        <v>63</v>
      </c>
      <c r="C99" s="12">
        <v>2.6293045617591919</v>
      </c>
      <c r="D99" s="12">
        <v>15.664406797065178</v>
      </c>
    </row>
    <row r="100" spans="1:4" x14ac:dyDescent="0.3">
      <c r="A100" s="3">
        <v>21306</v>
      </c>
      <c r="B100" s="3" t="s">
        <v>64</v>
      </c>
      <c r="C100" s="12">
        <v>2.0099989003958352</v>
      </c>
      <c r="D100" s="12">
        <v>4.0217420852277908</v>
      </c>
    </row>
    <row r="101" spans="1:4" x14ac:dyDescent="0.3">
      <c r="A101" s="3">
        <v>21307</v>
      </c>
      <c r="B101" s="3" t="s">
        <v>65</v>
      </c>
      <c r="C101" s="12">
        <v>3.6831198070155637</v>
      </c>
      <c r="D101" s="12">
        <v>7.9014627411651546</v>
      </c>
    </row>
    <row r="102" spans="1:4" x14ac:dyDescent="0.3">
      <c r="A102" s="3">
        <v>21401</v>
      </c>
      <c r="B102" s="3" t="s">
        <v>124</v>
      </c>
      <c r="C102" s="12">
        <v>12.13372158281109</v>
      </c>
      <c r="D102" s="12">
        <v>14.531915533973956</v>
      </c>
    </row>
    <row r="103" spans="1:4" x14ac:dyDescent="0.3">
      <c r="A103" s="3">
        <v>21402</v>
      </c>
      <c r="B103" s="3" t="s">
        <v>126</v>
      </c>
      <c r="C103" s="12">
        <v>1.1031083080357782</v>
      </c>
      <c r="D103" s="12">
        <v>3.0570241395746836</v>
      </c>
    </row>
    <row r="104" spans="1:4" x14ac:dyDescent="0.3">
      <c r="A104" s="3">
        <v>21501</v>
      </c>
      <c r="B104" s="3" t="s">
        <v>127</v>
      </c>
      <c r="C104" s="12">
        <v>8.5588223669923291</v>
      </c>
      <c r="D104" s="12">
        <v>12.147114843886335</v>
      </c>
    </row>
    <row r="105" spans="1:4" x14ac:dyDescent="0.3">
      <c r="A105" s="3">
        <v>21502</v>
      </c>
      <c r="B105" s="3" t="s">
        <v>129</v>
      </c>
      <c r="C105" s="12">
        <v>6.2379906452777156</v>
      </c>
      <c r="D105" s="12">
        <v>12.349096214006771</v>
      </c>
    </row>
    <row r="106" spans="1:4" x14ac:dyDescent="0.3">
      <c r="A106" s="3">
        <v>21601</v>
      </c>
      <c r="B106" s="3" t="s">
        <v>130</v>
      </c>
      <c r="C106" s="12">
        <v>2.6535527083963539</v>
      </c>
      <c r="D106" s="12">
        <v>0.72992369884742225</v>
      </c>
    </row>
    <row r="107" spans="1:4" x14ac:dyDescent="0.3">
      <c r="A107" s="3">
        <v>21602</v>
      </c>
      <c r="B107" s="3" t="s">
        <v>132</v>
      </c>
      <c r="C107" s="12">
        <v>7.3240717774808886</v>
      </c>
      <c r="D107" s="12">
        <v>20.407915021189751</v>
      </c>
    </row>
    <row r="108" spans="1:4" x14ac:dyDescent="0.3">
      <c r="A108" s="3">
        <v>21701</v>
      </c>
      <c r="B108" s="3" t="s">
        <v>83</v>
      </c>
      <c r="C108" s="12">
        <v>7.3159014710809469</v>
      </c>
      <c r="D108" s="12">
        <v>10.102857253400037</v>
      </c>
    </row>
    <row r="109" spans="1:4" x14ac:dyDescent="0.3">
      <c r="A109" s="3">
        <v>21702</v>
      </c>
      <c r="B109" s="3" t="s">
        <v>85</v>
      </c>
      <c r="C109" s="12">
        <v>0.15286073741396644</v>
      </c>
      <c r="D109" s="12">
        <v>2.0593615462821715</v>
      </c>
    </row>
    <row r="110" spans="1:4" x14ac:dyDescent="0.3">
      <c r="A110" s="3">
        <v>21703</v>
      </c>
      <c r="B110" s="3" t="s">
        <v>86</v>
      </c>
      <c r="C110" s="12">
        <v>2.1425257929028007E-2</v>
      </c>
      <c r="D110" s="12">
        <v>0.35552693992758205</v>
      </c>
    </row>
    <row r="111" spans="1:4" x14ac:dyDescent="0.3">
      <c r="A111" s="3">
        <v>21801</v>
      </c>
      <c r="B111" s="3" t="s">
        <v>133</v>
      </c>
      <c r="C111" s="12">
        <v>3.6265352942143201</v>
      </c>
      <c r="D111" s="12">
        <v>0.30613241563547011</v>
      </c>
    </row>
    <row r="112" spans="1:4" x14ac:dyDescent="0.3">
      <c r="A112" s="3">
        <v>21802</v>
      </c>
      <c r="B112" s="3" t="s">
        <v>135</v>
      </c>
      <c r="C112" s="12">
        <v>2.2843135234763126</v>
      </c>
      <c r="D112" s="12">
        <v>8.8932702499450151</v>
      </c>
    </row>
    <row r="113" spans="1:4" x14ac:dyDescent="0.3">
      <c r="A113" s="3">
        <v>21803</v>
      </c>
      <c r="B113" s="3" t="s">
        <v>136</v>
      </c>
      <c r="C113" s="12">
        <v>3.7665553178584674</v>
      </c>
      <c r="D113" s="12">
        <v>6.6159157022047497</v>
      </c>
    </row>
    <row r="114" spans="1:4" x14ac:dyDescent="0.3">
      <c r="A114" s="3">
        <v>21901</v>
      </c>
      <c r="B114" s="3" t="s">
        <v>137</v>
      </c>
      <c r="C114" s="12">
        <v>0.84416962381641869</v>
      </c>
      <c r="D114" s="12">
        <v>1.7246518638948745</v>
      </c>
    </row>
    <row r="115" spans="1:4" x14ac:dyDescent="0.3">
      <c r="A115" s="3">
        <v>21902</v>
      </c>
      <c r="B115" s="3" t="s">
        <v>139</v>
      </c>
      <c r="C115" s="12">
        <v>0</v>
      </c>
      <c r="D115" s="12">
        <v>1.6068976690593331E-2</v>
      </c>
    </row>
    <row r="116" spans="1:4" x14ac:dyDescent="0.3">
      <c r="A116" s="3">
        <v>22001</v>
      </c>
      <c r="B116" s="3" t="s">
        <v>56</v>
      </c>
      <c r="C116" s="12">
        <v>7.7490667128956732</v>
      </c>
      <c r="D116" s="12">
        <v>14.785803602016607</v>
      </c>
    </row>
    <row r="117" spans="1:4" x14ac:dyDescent="0.3">
      <c r="A117" s="3">
        <v>22002</v>
      </c>
      <c r="B117" s="3" t="s">
        <v>149</v>
      </c>
      <c r="C117" s="12">
        <v>5.36985104346528</v>
      </c>
      <c r="D117" s="12">
        <v>4.6405352179085266</v>
      </c>
    </row>
    <row r="118" spans="1:4" x14ac:dyDescent="0.3">
      <c r="A118" s="3">
        <v>30101</v>
      </c>
      <c r="B118" s="3" t="s">
        <v>152</v>
      </c>
      <c r="C118" s="12">
        <v>34.32210725777302</v>
      </c>
      <c r="D118" s="12">
        <v>49.556183879151213</v>
      </c>
    </row>
    <row r="119" spans="1:4" x14ac:dyDescent="0.3">
      <c r="A119" s="3">
        <v>30201</v>
      </c>
      <c r="B119" s="3" t="s">
        <v>161</v>
      </c>
      <c r="C119" s="12">
        <v>6.0283605768372839</v>
      </c>
      <c r="D119" s="12">
        <v>22.393010648211586</v>
      </c>
    </row>
    <row r="120" spans="1:4" x14ac:dyDescent="0.3">
      <c r="A120" s="3">
        <v>30202</v>
      </c>
      <c r="B120" s="3" t="s">
        <v>163</v>
      </c>
      <c r="C120" s="12">
        <v>5.5436118112437445</v>
      </c>
      <c r="D120" s="12">
        <v>8.8718355002282667</v>
      </c>
    </row>
    <row r="121" spans="1:4" x14ac:dyDescent="0.3">
      <c r="A121" s="3">
        <v>30203</v>
      </c>
      <c r="B121" s="3" t="s">
        <v>164</v>
      </c>
      <c r="C121" s="12">
        <v>3.8012425329424686</v>
      </c>
      <c r="D121" s="12">
        <v>9.3304647175568665</v>
      </c>
    </row>
    <row r="122" spans="1:4" x14ac:dyDescent="0.3">
      <c r="A122" s="3">
        <v>30301</v>
      </c>
      <c r="B122" s="3" t="s">
        <v>165</v>
      </c>
      <c r="C122" s="12">
        <v>3.1100971758648681</v>
      </c>
      <c r="D122" s="12">
        <v>9.7915304216115899</v>
      </c>
    </row>
    <row r="123" spans="1:4" x14ac:dyDescent="0.3">
      <c r="A123" s="3">
        <v>30302</v>
      </c>
      <c r="B123" s="3" t="s">
        <v>167</v>
      </c>
      <c r="C123" s="12">
        <v>0.54776326313011936</v>
      </c>
      <c r="D123" s="12">
        <v>5.5889009239405283</v>
      </c>
    </row>
    <row r="124" spans="1:4" x14ac:dyDescent="0.3">
      <c r="A124" s="3">
        <v>30303</v>
      </c>
      <c r="B124" s="3" t="s">
        <v>215</v>
      </c>
      <c r="C124" s="12">
        <v>0.60715123160880624</v>
      </c>
      <c r="D124" s="12">
        <v>20.443288640882663</v>
      </c>
    </row>
    <row r="125" spans="1:4" x14ac:dyDescent="0.3">
      <c r="A125" s="3">
        <v>30401</v>
      </c>
      <c r="B125" s="3" t="s">
        <v>178</v>
      </c>
      <c r="C125" s="12">
        <v>7.0866807709531079</v>
      </c>
      <c r="D125" s="12">
        <v>14.163890999850578</v>
      </c>
    </row>
    <row r="126" spans="1:4" x14ac:dyDescent="0.3">
      <c r="A126" s="3">
        <v>30402</v>
      </c>
      <c r="B126" s="3" t="s">
        <v>180</v>
      </c>
      <c r="C126" s="12">
        <v>2.5769798622029061</v>
      </c>
      <c r="D126" s="12">
        <v>3.2241844586074344</v>
      </c>
    </row>
    <row r="127" spans="1:4" x14ac:dyDescent="0.3">
      <c r="A127" s="3">
        <v>30403</v>
      </c>
      <c r="B127" s="3" t="s">
        <v>181</v>
      </c>
      <c r="C127" s="12">
        <v>10.115315075533859</v>
      </c>
      <c r="D127" s="12">
        <v>15.069092806443086</v>
      </c>
    </row>
    <row r="128" spans="1:4" x14ac:dyDescent="0.3">
      <c r="A128" s="3">
        <v>30404</v>
      </c>
      <c r="B128" s="3" t="s">
        <v>182</v>
      </c>
      <c r="C128" s="12">
        <v>2.5016570243946266</v>
      </c>
      <c r="D128" s="12">
        <v>1.5514054515809073</v>
      </c>
    </row>
    <row r="129" spans="1:4" x14ac:dyDescent="0.3">
      <c r="A129" s="3">
        <v>30501</v>
      </c>
      <c r="B129" s="3" t="s">
        <v>200</v>
      </c>
      <c r="C129" s="12">
        <v>2.6691880705088207</v>
      </c>
      <c r="D129" s="12">
        <v>10.692462115934099</v>
      </c>
    </row>
    <row r="130" spans="1:4" x14ac:dyDescent="0.3">
      <c r="A130" s="3">
        <v>30502</v>
      </c>
      <c r="B130" s="3" t="s">
        <v>202</v>
      </c>
      <c r="C130" s="12">
        <v>1.2866235020269052</v>
      </c>
      <c r="D130" s="12">
        <v>3.3880238697370526</v>
      </c>
    </row>
    <row r="131" spans="1:4" x14ac:dyDescent="0.3">
      <c r="A131" s="3">
        <v>30601</v>
      </c>
      <c r="B131" s="3" t="s">
        <v>203</v>
      </c>
      <c r="C131" s="12">
        <v>1.2361422336931691</v>
      </c>
      <c r="D131" s="12">
        <v>4.8624398798737829</v>
      </c>
    </row>
    <row r="132" spans="1:4" x14ac:dyDescent="0.3">
      <c r="A132" s="3">
        <v>30602</v>
      </c>
      <c r="B132" s="3" t="s">
        <v>205</v>
      </c>
      <c r="C132" s="12">
        <v>1.4671333439049659</v>
      </c>
      <c r="D132" s="12">
        <v>3.8478057277553104</v>
      </c>
    </row>
    <row r="133" spans="1:4" x14ac:dyDescent="0.3">
      <c r="A133" s="3">
        <v>30701</v>
      </c>
      <c r="B133" s="3" t="s">
        <v>188</v>
      </c>
      <c r="C133" s="12">
        <v>12.718850007504892</v>
      </c>
      <c r="D133" s="12">
        <v>14.498062609652035</v>
      </c>
    </row>
    <row r="134" spans="1:4" x14ac:dyDescent="0.3">
      <c r="A134" s="3">
        <v>30702</v>
      </c>
      <c r="B134" s="3" t="s">
        <v>190</v>
      </c>
      <c r="C134" s="12">
        <v>12.122564363487058</v>
      </c>
      <c r="D134" s="12">
        <v>37.988582311925498</v>
      </c>
    </row>
    <row r="135" spans="1:4" x14ac:dyDescent="0.3">
      <c r="A135" s="3">
        <v>30703</v>
      </c>
      <c r="B135" s="3" t="s">
        <v>191</v>
      </c>
      <c r="C135" s="12">
        <v>6.8484769093082356</v>
      </c>
      <c r="D135" s="12">
        <v>15.940209391233726</v>
      </c>
    </row>
    <row r="136" spans="1:4" x14ac:dyDescent="0.3">
      <c r="A136" s="3">
        <v>30801</v>
      </c>
      <c r="B136" s="3" t="s">
        <v>183</v>
      </c>
      <c r="C136" s="12">
        <v>15.5133784659655</v>
      </c>
      <c r="D136" s="12">
        <v>24.595779646739253</v>
      </c>
    </row>
    <row r="137" spans="1:4" x14ac:dyDescent="0.3">
      <c r="A137" s="3">
        <v>30802</v>
      </c>
      <c r="B137" s="3" t="s">
        <v>185</v>
      </c>
      <c r="C137" s="12">
        <v>5.613509774139624</v>
      </c>
      <c r="D137" s="12">
        <v>5.7628272619188508</v>
      </c>
    </row>
    <row r="138" spans="1:4" x14ac:dyDescent="0.3">
      <c r="A138" s="3">
        <v>30803</v>
      </c>
      <c r="B138" s="3" t="s">
        <v>187</v>
      </c>
      <c r="C138" s="12">
        <v>14.942778120784896</v>
      </c>
      <c r="D138" s="12">
        <v>25.220287760153642</v>
      </c>
    </row>
    <row r="139" spans="1:4" x14ac:dyDescent="0.3">
      <c r="A139" s="3">
        <v>30901</v>
      </c>
      <c r="B139" s="3" t="s">
        <v>155</v>
      </c>
      <c r="C139" s="12">
        <v>29.051940184535272</v>
      </c>
      <c r="D139" s="12">
        <v>42.805921646977914</v>
      </c>
    </row>
    <row r="140" spans="1:4" x14ac:dyDescent="0.3">
      <c r="A140" s="3">
        <v>30902</v>
      </c>
      <c r="B140" s="3" t="s">
        <v>157</v>
      </c>
      <c r="C140" s="12">
        <v>5.2655692885716183</v>
      </c>
      <c r="D140" s="12">
        <v>16.591469274071223</v>
      </c>
    </row>
    <row r="141" spans="1:4" x14ac:dyDescent="0.3">
      <c r="A141" s="3">
        <v>30903</v>
      </c>
      <c r="B141" s="3" t="s">
        <v>158</v>
      </c>
      <c r="C141" s="12">
        <v>24.790523518632124</v>
      </c>
      <c r="D141" s="12">
        <v>40.22947713295769</v>
      </c>
    </row>
    <row r="142" spans="1:4" x14ac:dyDescent="0.3">
      <c r="A142" s="3">
        <v>30904</v>
      </c>
      <c r="B142" s="3" t="s">
        <v>159</v>
      </c>
      <c r="C142" s="12">
        <v>11.866008753245847</v>
      </c>
      <c r="D142" s="12">
        <v>26.627478576543247</v>
      </c>
    </row>
    <row r="143" spans="1:4" x14ac:dyDescent="0.3">
      <c r="A143" s="3">
        <v>30905</v>
      </c>
      <c r="B143" s="3" t="s">
        <v>160</v>
      </c>
      <c r="C143" s="12">
        <v>21.492454528036237</v>
      </c>
      <c r="D143" s="12">
        <v>45.397535311455208</v>
      </c>
    </row>
    <row r="144" spans="1:4" x14ac:dyDescent="0.3">
      <c r="A144" s="3">
        <v>31001</v>
      </c>
      <c r="B144" s="3" t="s">
        <v>168</v>
      </c>
      <c r="C144" s="12">
        <v>21.672436663298136</v>
      </c>
      <c r="D144" s="12">
        <v>34.652067470189543</v>
      </c>
    </row>
    <row r="145" spans="1:4" x14ac:dyDescent="0.3">
      <c r="A145" s="3">
        <v>31002</v>
      </c>
      <c r="B145" s="3" t="s">
        <v>170</v>
      </c>
      <c r="C145" s="12">
        <v>4.3633355684812267</v>
      </c>
      <c r="D145" s="12">
        <v>11.038229107808927</v>
      </c>
    </row>
    <row r="146" spans="1:4" x14ac:dyDescent="0.3">
      <c r="A146" s="3">
        <v>31003</v>
      </c>
      <c r="B146" s="3" t="s">
        <v>171</v>
      </c>
      <c r="C146" s="12">
        <v>9.7676296073046061</v>
      </c>
      <c r="D146" s="12">
        <v>24.119371418234103</v>
      </c>
    </row>
    <row r="147" spans="1:4" x14ac:dyDescent="0.3">
      <c r="A147" s="3">
        <v>31101</v>
      </c>
      <c r="B147" s="3" t="s">
        <v>192</v>
      </c>
      <c r="C147" s="12">
        <v>1.4062821375551111</v>
      </c>
      <c r="D147" s="12">
        <v>3.8632874136939486</v>
      </c>
    </row>
    <row r="148" spans="1:4" x14ac:dyDescent="0.3">
      <c r="A148" s="3">
        <v>31201</v>
      </c>
      <c r="B148" s="3" t="s">
        <v>194</v>
      </c>
      <c r="C148" s="12">
        <v>3.3314558350386969</v>
      </c>
      <c r="D148" s="12">
        <v>9.0670526764844031</v>
      </c>
    </row>
    <row r="149" spans="1:4" x14ac:dyDescent="0.3">
      <c r="A149" s="3">
        <v>31202</v>
      </c>
      <c r="B149" s="3" t="s">
        <v>196</v>
      </c>
      <c r="C149" s="12">
        <v>1.5632596628121731</v>
      </c>
      <c r="D149" s="12">
        <v>3.2184005202353254</v>
      </c>
    </row>
    <row r="150" spans="1:4" x14ac:dyDescent="0.3">
      <c r="A150" s="3">
        <v>31203</v>
      </c>
      <c r="B150" s="3" t="s">
        <v>197</v>
      </c>
      <c r="C150" s="12">
        <v>1.3742686490532778</v>
      </c>
      <c r="D150" s="12">
        <v>2.4295077334396988</v>
      </c>
    </row>
    <row r="151" spans="1:4" x14ac:dyDescent="0.3">
      <c r="A151" s="3">
        <v>31204</v>
      </c>
      <c r="B151" s="3" t="s">
        <v>198</v>
      </c>
      <c r="C151" s="12">
        <v>8.4014616230553525</v>
      </c>
      <c r="D151" s="12">
        <v>18.345362042624618</v>
      </c>
    </row>
    <row r="152" spans="1:4" x14ac:dyDescent="0.3">
      <c r="A152" s="3">
        <v>31205</v>
      </c>
      <c r="B152" s="3" t="s">
        <v>199</v>
      </c>
      <c r="C152" s="12">
        <v>6.2253787008767816</v>
      </c>
      <c r="D152" s="12">
        <v>21.640859263267952</v>
      </c>
    </row>
    <row r="153" spans="1:4" x14ac:dyDescent="0.3">
      <c r="A153" s="3">
        <v>31206</v>
      </c>
      <c r="B153" s="3" t="s">
        <v>214</v>
      </c>
      <c r="C153" s="12">
        <v>11.54540217512343</v>
      </c>
      <c r="D153" s="12">
        <v>33.536634241755735</v>
      </c>
    </row>
    <row r="154" spans="1:4" x14ac:dyDescent="0.3">
      <c r="A154" s="3">
        <v>31301</v>
      </c>
      <c r="B154" s="3" t="s">
        <v>210</v>
      </c>
      <c r="C154" s="12">
        <v>6.3077471924849018</v>
      </c>
      <c r="D154" s="12">
        <v>17.288032521253289</v>
      </c>
    </row>
    <row r="155" spans="1:4" x14ac:dyDescent="0.3">
      <c r="A155" s="3">
        <v>31302</v>
      </c>
      <c r="B155" s="3" t="s">
        <v>212</v>
      </c>
      <c r="C155" s="12">
        <v>1.8035431302750287</v>
      </c>
      <c r="D155" s="12">
        <v>0.96285259402535095</v>
      </c>
    </row>
    <row r="156" spans="1:4" x14ac:dyDescent="0.3">
      <c r="A156" s="3">
        <v>31303</v>
      </c>
      <c r="B156" s="3" t="s">
        <v>213</v>
      </c>
      <c r="C156" s="12">
        <v>4.0471572961767812</v>
      </c>
      <c r="D156" s="12">
        <v>0.65394314390926167</v>
      </c>
    </row>
    <row r="157" spans="1:4" x14ac:dyDescent="0.3">
      <c r="A157" s="5">
        <v>31304</v>
      </c>
      <c r="B157" s="5" t="s">
        <v>473</v>
      </c>
      <c r="C157" s="12">
        <v>0</v>
      </c>
      <c r="D157" s="12">
        <v>3.5259270983298743</v>
      </c>
    </row>
    <row r="158" spans="1:4" x14ac:dyDescent="0.3">
      <c r="A158" s="3">
        <v>31401</v>
      </c>
      <c r="B158" s="3" t="s">
        <v>172</v>
      </c>
      <c r="C158" s="12">
        <v>22.875439421575216</v>
      </c>
      <c r="D158" s="12">
        <v>40.725045773867784</v>
      </c>
    </row>
    <row r="159" spans="1:4" x14ac:dyDescent="0.3">
      <c r="A159" s="3">
        <v>31402</v>
      </c>
      <c r="B159" s="3" t="s">
        <v>174</v>
      </c>
      <c r="C159" s="12">
        <v>2.2788965305401945</v>
      </c>
      <c r="D159" s="12">
        <v>6.5747289414788472</v>
      </c>
    </row>
    <row r="160" spans="1:4" x14ac:dyDescent="0.3">
      <c r="A160" s="3">
        <v>31403</v>
      </c>
      <c r="B160" s="3" t="s">
        <v>175</v>
      </c>
      <c r="C160" s="12">
        <v>6.7195615813869143</v>
      </c>
      <c r="D160" s="12">
        <v>12.317290131142801</v>
      </c>
    </row>
    <row r="161" spans="1:4" x14ac:dyDescent="0.3">
      <c r="A161" s="3">
        <v>31404</v>
      </c>
      <c r="B161" s="3" t="s">
        <v>176</v>
      </c>
      <c r="C161" s="12">
        <v>15.269690214622148</v>
      </c>
      <c r="D161" s="12">
        <v>1.4853908141122916</v>
      </c>
    </row>
    <row r="162" spans="1:4" x14ac:dyDescent="0.3">
      <c r="A162" s="3">
        <v>31405</v>
      </c>
      <c r="B162" s="3" t="s">
        <v>177</v>
      </c>
      <c r="C162" s="12">
        <v>3.3328231053520385</v>
      </c>
      <c r="D162" s="12">
        <v>1.991270824336113</v>
      </c>
    </row>
    <row r="163" spans="1:4" x14ac:dyDescent="0.3">
      <c r="A163" s="3">
        <v>31501</v>
      </c>
      <c r="B163" s="3" t="s">
        <v>206</v>
      </c>
      <c r="C163" s="12">
        <v>1.4968695619152932</v>
      </c>
      <c r="D163" s="12">
        <v>3.8647732992708064</v>
      </c>
    </row>
    <row r="164" spans="1:4" x14ac:dyDescent="0.3">
      <c r="A164" s="3">
        <v>31601</v>
      </c>
      <c r="B164" s="3" t="s">
        <v>208</v>
      </c>
      <c r="C164" s="12">
        <v>2.2097561584838257</v>
      </c>
      <c r="D164" s="12">
        <v>8.4516170959974772</v>
      </c>
    </row>
    <row r="165" spans="1:4" x14ac:dyDescent="0.3">
      <c r="A165" s="3">
        <v>31602</v>
      </c>
      <c r="B165" s="3" t="s">
        <v>216</v>
      </c>
      <c r="C165" s="12">
        <v>7.5407029975854254</v>
      </c>
      <c r="D165" s="12">
        <v>17.877557147875258</v>
      </c>
    </row>
    <row r="166" spans="1:4" x14ac:dyDescent="0.3">
      <c r="A166" s="3">
        <v>40101</v>
      </c>
      <c r="B166" s="3" t="s">
        <v>217</v>
      </c>
      <c r="C166" s="12">
        <v>20.005835515464163</v>
      </c>
      <c r="D166" s="12">
        <v>36.977698451209122</v>
      </c>
    </row>
    <row r="167" spans="1:4" x14ac:dyDescent="0.3">
      <c r="A167" s="3">
        <v>40102</v>
      </c>
      <c r="B167" s="3" t="s">
        <v>219</v>
      </c>
      <c r="C167" s="12">
        <v>5.2487511728591469</v>
      </c>
      <c r="D167" s="12">
        <v>7.6242529813450668</v>
      </c>
    </row>
    <row r="168" spans="1:4" x14ac:dyDescent="0.3">
      <c r="A168" s="3">
        <v>40103</v>
      </c>
      <c r="B168" s="3" t="s">
        <v>220</v>
      </c>
      <c r="C168" s="12">
        <v>7.4646197842431025E-2</v>
      </c>
      <c r="D168" s="12">
        <v>1.6880571367877961</v>
      </c>
    </row>
    <row r="169" spans="1:4" x14ac:dyDescent="0.3">
      <c r="A169" s="3">
        <v>40104</v>
      </c>
      <c r="B169" s="3" t="s">
        <v>267</v>
      </c>
      <c r="C169" s="12">
        <v>1.3319454817242244</v>
      </c>
      <c r="D169" s="12">
        <v>11.116381150700583</v>
      </c>
    </row>
    <row r="170" spans="1:4" x14ac:dyDescent="0.3">
      <c r="A170" s="3">
        <v>40201</v>
      </c>
      <c r="B170" s="3" t="s">
        <v>221</v>
      </c>
      <c r="C170" s="12">
        <v>2.9066407155129705</v>
      </c>
      <c r="D170" s="12">
        <v>11.101758430615021</v>
      </c>
    </row>
    <row r="171" spans="1:4" x14ac:dyDescent="0.3">
      <c r="A171" s="3">
        <v>40202</v>
      </c>
      <c r="B171" s="3" t="s">
        <v>223</v>
      </c>
      <c r="C171" s="12">
        <v>1.2454782239160573</v>
      </c>
      <c r="D171" s="12">
        <v>0.93601467963103002</v>
      </c>
    </row>
    <row r="172" spans="1:4" x14ac:dyDescent="0.3">
      <c r="A172" s="3">
        <v>40301</v>
      </c>
      <c r="B172" s="3" t="s">
        <v>237</v>
      </c>
      <c r="C172" s="12">
        <v>0.62819934956531087</v>
      </c>
      <c r="D172" s="12">
        <v>1.5547395052857473</v>
      </c>
    </row>
    <row r="173" spans="1:4" x14ac:dyDescent="0.3">
      <c r="A173" s="3">
        <v>40302</v>
      </c>
      <c r="B173" s="3" t="s">
        <v>239</v>
      </c>
      <c r="C173" s="12">
        <v>0</v>
      </c>
      <c r="D173" s="12">
        <v>1.7972916385437441</v>
      </c>
    </row>
    <row r="174" spans="1:4" x14ac:dyDescent="0.3">
      <c r="A174" s="3">
        <v>40401</v>
      </c>
      <c r="B174" s="3" t="s">
        <v>240</v>
      </c>
      <c r="C174" s="12">
        <v>0.91738883160322438</v>
      </c>
      <c r="D174" s="12">
        <v>8.0725522898789084</v>
      </c>
    </row>
    <row r="175" spans="1:4" x14ac:dyDescent="0.3">
      <c r="A175" s="3">
        <v>40402</v>
      </c>
      <c r="B175" s="3" t="s">
        <v>242</v>
      </c>
      <c r="C175" s="12">
        <v>1.3919160783473588</v>
      </c>
      <c r="D175" s="12">
        <v>7.7010946631602462</v>
      </c>
    </row>
    <row r="176" spans="1:4" x14ac:dyDescent="0.3">
      <c r="A176" s="3">
        <v>40501</v>
      </c>
      <c r="B176" s="3" t="s">
        <v>243</v>
      </c>
      <c r="C176" s="12">
        <v>0.90429777950492141</v>
      </c>
      <c r="D176" s="12">
        <v>21.373467869497862</v>
      </c>
    </row>
    <row r="177" spans="1:4" x14ac:dyDescent="0.3">
      <c r="A177" s="3">
        <v>40502</v>
      </c>
      <c r="B177" s="3" t="s">
        <v>245</v>
      </c>
      <c r="C177" s="12">
        <v>0</v>
      </c>
      <c r="D177" s="12">
        <v>30.15746663556131</v>
      </c>
    </row>
    <row r="178" spans="1:4" x14ac:dyDescent="0.3">
      <c r="A178" s="3">
        <v>40503</v>
      </c>
      <c r="B178" s="3" t="s">
        <v>246</v>
      </c>
      <c r="C178" s="12">
        <v>2.3152316015042654E-2</v>
      </c>
      <c r="D178" s="12">
        <v>29.020509750008525</v>
      </c>
    </row>
    <row r="179" spans="1:4" x14ac:dyDescent="0.3">
      <c r="A179" s="3">
        <v>40504</v>
      </c>
      <c r="B179" s="3" t="s">
        <v>247</v>
      </c>
      <c r="C179" s="12">
        <v>4.5817597736601354E-3</v>
      </c>
      <c r="D179" s="12">
        <v>2.5870308437826499</v>
      </c>
    </row>
    <row r="180" spans="1:4" x14ac:dyDescent="0.3">
      <c r="A180" s="3">
        <v>40505</v>
      </c>
      <c r="B180" s="3" t="s">
        <v>248</v>
      </c>
      <c r="C180" s="12">
        <v>10.818008647901294</v>
      </c>
      <c r="D180" s="12">
        <v>24.563230628036667</v>
      </c>
    </row>
    <row r="181" spans="1:4" x14ac:dyDescent="0.3">
      <c r="A181" s="3">
        <v>40601</v>
      </c>
      <c r="B181" s="3" t="s">
        <v>227</v>
      </c>
      <c r="C181" s="12">
        <v>18.804135651412377</v>
      </c>
      <c r="D181" s="12">
        <v>32.663597367080754</v>
      </c>
    </row>
    <row r="182" spans="1:4" x14ac:dyDescent="0.3">
      <c r="A182" s="3">
        <v>40602</v>
      </c>
      <c r="B182" s="3" t="s">
        <v>229</v>
      </c>
      <c r="C182" s="12">
        <v>4.5388688884423196</v>
      </c>
      <c r="D182" s="12">
        <v>3.5950484740947322</v>
      </c>
    </row>
    <row r="183" spans="1:4" x14ac:dyDescent="0.3">
      <c r="A183" s="3">
        <v>40603</v>
      </c>
      <c r="B183" s="3" t="s">
        <v>230</v>
      </c>
      <c r="C183" s="12">
        <v>39.622317480088626</v>
      </c>
      <c r="D183" s="12">
        <v>59.194223026036767</v>
      </c>
    </row>
    <row r="184" spans="1:4" x14ac:dyDescent="0.3">
      <c r="A184" s="3">
        <v>40701</v>
      </c>
      <c r="B184" s="3" t="s">
        <v>224</v>
      </c>
      <c r="C184" s="12">
        <v>14.544604962383724</v>
      </c>
      <c r="D184" s="12">
        <v>23.273721534636088</v>
      </c>
    </row>
    <row r="185" spans="1:4" x14ac:dyDescent="0.3">
      <c r="A185" s="3">
        <v>40702</v>
      </c>
      <c r="B185" s="3" t="s">
        <v>226</v>
      </c>
      <c r="C185" s="12">
        <v>2.0281532080734626</v>
      </c>
      <c r="D185" s="12">
        <v>6.2130823628603933</v>
      </c>
    </row>
    <row r="186" spans="1:4" x14ac:dyDescent="0.3">
      <c r="A186" s="3">
        <v>40801</v>
      </c>
      <c r="B186" s="3" t="s">
        <v>254</v>
      </c>
      <c r="C186" s="12">
        <v>1.382923726707876</v>
      </c>
      <c r="D186" s="12">
        <v>6.2243982718176474</v>
      </c>
    </row>
    <row r="187" spans="1:4" x14ac:dyDescent="0.3">
      <c r="A187" s="3">
        <v>40802</v>
      </c>
      <c r="B187" s="3" t="s">
        <v>256</v>
      </c>
      <c r="C187" s="12">
        <v>0.65613708397798176</v>
      </c>
      <c r="D187" s="12">
        <v>0.54059726082436832</v>
      </c>
    </row>
    <row r="188" spans="1:4" x14ac:dyDescent="0.3">
      <c r="A188" s="3">
        <v>40901</v>
      </c>
      <c r="B188" s="3" t="s">
        <v>261</v>
      </c>
      <c r="C188" s="12">
        <v>6.5919052130308966</v>
      </c>
      <c r="D188" s="12">
        <v>10.385609163014971</v>
      </c>
    </row>
    <row r="189" spans="1:4" x14ac:dyDescent="0.3">
      <c r="A189" s="3">
        <v>40902</v>
      </c>
      <c r="B189" s="3" t="s">
        <v>263</v>
      </c>
      <c r="C189" s="12">
        <v>1.3854887806956071</v>
      </c>
      <c r="D189" s="12">
        <v>59.011235692431597</v>
      </c>
    </row>
    <row r="190" spans="1:4" x14ac:dyDescent="0.3">
      <c r="A190" s="3">
        <v>40903</v>
      </c>
      <c r="B190" s="3" t="s">
        <v>264</v>
      </c>
      <c r="C190" s="12">
        <v>0</v>
      </c>
      <c r="D190" s="12">
        <v>0.47248391702735415</v>
      </c>
    </row>
    <row r="191" spans="1:4" x14ac:dyDescent="0.3">
      <c r="A191" s="3">
        <v>41001</v>
      </c>
      <c r="B191" s="3" t="s">
        <v>249</v>
      </c>
      <c r="C191" s="12">
        <v>2.3155133744178888</v>
      </c>
      <c r="D191" s="12">
        <v>1.7770518317519917</v>
      </c>
    </row>
    <row r="192" spans="1:4" x14ac:dyDescent="0.3">
      <c r="A192" s="3">
        <v>41101</v>
      </c>
      <c r="B192" s="3" t="s">
        <v>231</v>
      </c>
      <c r="C192" s="12">
        <v>0.19688553761270158</v>
      </c>
      <c r="D192" s="12">
        <v>1.5609279403420637</v>
      </c>
    </row>
    <row r="193" spans="1:4" x14ac:dyDescent="0.3">
      <c r="A193" s="3">
        <v>41201</v>
      </c>
      <c r="B193" s="3" t="s">
        <v>251</v>
      </c>
      <c r="C193" s="12">
        <v>0.66673755268246748</v>
      </c>
      <c r="D193" s="12">
        <v>6.8980221546163509</v>
      </c>
    </row>
    <row r="194" spans="1:4" x14ac:dyDescent="0.3">
      <c r="A194" s="3">
        <v>41202</v>
      </c>
      <c r="B194" s="3" t="s">
        <v>253</v>
      </c>
      <c r="C194" s="12">
        <v>0.45301214757402858</v>
      </c>
      <c r="D194" s="12">
        <v>3.7993388089016853</v>
      </c>
    </row>
    <row r="195" spans="1:4" x14ac:dyDescent="0.3">
      <c r="A195" s="3">
        <v>41301</v>
      </c>
      <c r="B195" s="3" t="s">
        <v>235</v>
      </c>
      <c r="C195" s="12">
        <v>1.2250504981859445</v>
      </c>
      <c r="D195" s="12">
        <v>1.097280511628884</v>
      </c>
    </row>
    <row r="196" spans="1:4" x14ac:dyDescent="0.3">
      <c r="A196" s="3">
        <v>41401</v>
      </c>
      <c r="B196" s="3" t="s">
        <v>233</v>
      </c>
      <c r="C196" s="12">
        <v>2.588467833437353</v>
      </c>
      <c r="D196" s="12">
        <v>6.1838018278492131</v>
      </c>
    </row>
    <row r="197" spans="1:4" x14ac:dyDescent="0.3">
      <c r="A197" s="3">
        <v>41501</v>
      </c>
      <c r="B197" s="3" t="s">
        <v>257</v>
      </c>
      <c r="C197" s="12">
        <v>12.079112291308748</v>
      </c>
      <c r="D197" s="12">
        <v>68.73642807677227</v>
      </c>
    </row>
    <row r="198" spans="1:4" x14ac:dyDescent="0.3">
      <c r="A198" s="3">
        <v>41502</v>
      </c>
      <c r="B198" s="3" t="s">
        <v>259</v>
      </c>
      <c r="C198" s="12">
        <v>0.74324785484707023</v>
      </c>
      <c r="D198" s="12">
        <v>20.995696425446486</v>
      </c>
    </row>
    <row r="199" spans="1:4" x14ac:dyDescent="0.3">
      <c r="A199" s="3">
        <v>41503</v>
      </c>
      <c r="B199" s="3" t="s">
        <v>260</v>
      </c>
      <c r="C199" s="12">
        <v>20.241315593665067</v>
      </c>
      <c r="D199" s="12">
        <v>56.941450573080438</v>
      </c>
    </row>
    <row r="200" spans="1:4" x14ac:dyDescent="0.3">
      <c r="A200" s="3">
        <v>41601</v>
      </c>
      <c r="B200" s="3" t="s">
        <v>265</v>
      </c>
      <c r="C200" s="12">
        <v>0.27560155340375936</v>
      </c>
      <c r="D200" s="12">
        <v>2.6163788495502933</v>
      </c>
    </row>
    <row r="201" spans="1:4" x14ac:dyDescent="0.3">
      <c r="A201" s="3">
        <v>50101</v>
      </c>
      <c r="B201" s="3" t="s">
        <v>268</v>
      </c>
      <c r="C201" s="12">
        <v>28.556026136146993</v>
      </c>
      <c r="D201" s="12">
        <v>40.481119661196743</v>
      </c>
    </row>
    <row r="202" spans="1:4" x14ac:dyDescent="0.3">
      <c r="A202" s="3">
        <v>50102</v>
      </c>
      <c r="B202" s="3" t="s">
        <v>271</v>
      </c>
      <c r="C202" s="12">
        <v>3.0196796923189253</v>
      </c>
      <c r="D202" s="12">
        <v>3.115004930305572</v>
      </c>
    </row>
    <row r="203" spans="1:4" x14ac:dyDescent="0.3">
      <c r="A203" s="3">
        <v>50103</v>
      </c>
      <c r="B203" s="3" t="s">
        <v>272</v>
      </c>
      <c r="C203" s="12">
        <v>1.4518521529558042</v>
      </c>
      <c r="D203" s="12">
        <v>2.932876888420298</v>
      </c>
    </row>
    <row r="204" spans="1:4" x14ac:dyDescent="0.3">
      <c r="A204" s="3">
        <v>50104</v>
      </c>
      <c r="B204" s="3" t="s">
        <v>273</v>
      </c>
      <c r="C204" s="12">
        <v>12.062510921855182</v>
      </c>
      <c r="D204" s="12">
        <v>2.3673693207992788</v>
      </c>
    </row>
    <row r="205" spans="1:4" x14ac:dyDescent="0.3">
      <c r="A205" s="3">
        <v>50201</v>
      </c>
      <c r="B205" s="3" t="s">
        <v>274</v>
      </c>
      <c r="C205" s="12">
        <v>3.9762598752692826</v>
      </c>
      <c r="D205" s="12">
        <v>7.6977627754031364</v>
      </c>
    </row>
    <row r="206" spans="1:4" x14ac:dyDescent="0.3">
      <c r="A206" s="3">
        <v>50202</v>
      </c>
      <c r="B206" s="3" t="s">
        <v>276</v>
      </c>
      <c r="C206" s="12">
        <v>8.4731405087664644</v>
      </c>
      <c r="D206" s="12">
        <v>2.2450146959225346</v>
      </c>
    </row>
    <row r="207" spans="1:4" x14ac:dyDescent="0.3">
      <c r="A207" s="3">
        <v>50203</v>
      </c>
      <c r="B207" s="3" t="s">
        <v>277</v>
      </c>
      <c r="C207" s="12">
        <v>18.93402390457133</v>
      </c>
      <c r="D207" s="12">
        <v>18.895748753877353</v>
      </c>
    </row>
    <row r="208" spans="1:4" x14ac:dyDescent="0.3">
      <c r="A208" s="3">
        <v>50204</v>
      </c>
      <c r="B208" s="3" t="s">
        <v>324</v>
      </c>
      <c r="C208" s="12">
        <v>9.5481371429167208</v>
      </c>
      <c r="D208" s="12">
        <v>2.029594090947473</v>
      </c>
    </row>
    <row r="209" spans="1:4" x14ac:dyDescent="0.3">
      <c r="A209" s="3">
        <v>50301</v>
      </c>
      <c r="B209" s="3" t="s">
        <v>278</v>
      </c>
      <c r="C209" s="12">
        <v>1.3035762339283177</v>
      </c>
      <c r="D209" s="12">
        <v>4.3196625036046612</v>
      </c>
    </row>
    <row r="210" spans="1:4" x14ac:dyDescent="0.3">
      <c r="A210" s="3">
        <v>50302</v>
      </c>
      <c r="B210" s="3" t="s">
        <v>280</v>
      </c>
      <c r="C210" s="12">
        <v>2.8943567884676074</v>
      </c>
      <c r="D210" s="12">
        <v>1.6178247800038383</v>
      </c>
    </row>
    <row r="211" spans="1:4" x14ac:dyDescent="0.3">
      <c r="A211" s="3">
        <v>50303</v>
      </c>
      <c r="B211" s="3" t="s">
        <v>281</v>
      </c>
      <c r="C211" s="12">
        <v>0.91519599794712381</v>
      </c>
      <c r="D211" s="12">
        <v>5.5897456301448143</v>
      </c>
    </row>
    <row r="212" spans="1:4" x14ac:dyDescent="0.3">
      <c r="A212" s="3">
        <v>50401</v>
      </c>
      <c r="B212" s="3" t="s">
        <v>282</v>
      </c>
      <c r="C212" s="12">
        <v>1.0308170786022701</v>
      </c>
      <c r="D212" s="12">
        <v>17.553032245133611</v>
      </c>
    </row>
    <row r="213" spans="1:4" x14ac:dyDescent="0.3">
      <c r="A213" s="3">
        <v>50402</v>
      </c>
      <c r="B213" s="3" t="s">
        <v>284</v>
      </c>
      <c r="C213" s="12">
        <v>3.6918262693045993</v>
      </c>
      <c r="D213" s="12">
        <v>0.96502851750701557</v>
      </c>
    </row>
    <row r="214" spans="1:4" x14ac:dyDescent="0.3">
      <c r="A214" s="3">
        <v>50403</v>
      </c>
      <c r="B214" s="3" t="s">
        <v>285</v>
      </c>
      <c r="C214" s="12">
        <v>0.40200112982960456</v>
      </c>
      <c r="D214" s="12">
        <v>0.79082626211427676</v>
      </c>
    </row>
    <row r="215" spans="1:4" x14ac:dyDescent="0.3">
      <c r="A215" s="3">
        <v>50404</v>
      </c>
      <c r="B215" s="3" t="s">
        <v>286</v>
      </c>
      <c r="C215" s="12">
        <v>0.8905336953338242</v>
      </c>
      <c r="D215" s="12">
        <v>1.6687776786562141</v>
      </c>
    </row>
    <row r="216" spans="1:4" x14ac:dyDescent="0.3">
      <c r="A216" s="3">
        <v>50405</v>
      </c>
      <c r="B216" s="3" t="s">
        <v>325</v>
      </c>
      <c r="C216" s="12">
        <v>0</v>
      </c>
      <c r="D216" s="12">
        <v>0.40129444600125974</v>
      </c>
    </row>
    <row r="217" spans="1:4" x14ac:dyDescent="0.3">
      <c r="A217" s="3">
        <v>50501</v>
      </c>
      <c r="B217" s="3" t="s">
        <v>287</v>
      </c>
      <c r="C217" s="12">
        <v>2.2206260735615651</v>
      </c>
      <c r="D217" s="12">
        <v>2.3740296792149018</v>
      </c>
    </row>
    <row r="218" spans="1:4" x14ac:dyDescent="0.3">
      <c r="A218" s="3">
        <v>50502</v>
      </c>
      <c r="B218" s="3" t="s">
        <v>289</v>
      </c>
      <c r="C218" s="12">
        <v>2.5641051628321909</v>
      </c>
      <c r="D218" s="12">
        <v>5.1389246051678601</v>
      </c>
    </row>
    <row r="219" spans="1:4" x14ac:dyDescent="0.3">
      <c r="A219" s="3">
        <v>50601</v>
      </c>
      <c r="B219" s="3" t="s">
        <v>290</v>
      </c>
      <c r="C219" s="12">
        <v>3.1383009908577368</v>
      </c>
      <c r="D219" s="12">
        <v>5.8459828111588532</v>
      </c>
    </row>
    <row r="220" spans="1:4" x14ac:dyDescent="0.3">
      <c r="A220" s="3">
        <v>50602</v>
      </c>
      <c r="B220" s="3" t="s">
        <v>292</v>
      </c>
      <c r="C220" s="12">
        <v>0.63938187877476682</v>
      </c>
      <c r="D220" s="12">
        <v>0.91747522832344297</v>
      </c>
    </row>
    <row r="221" spans="1:4" x14ac:dyDescent="0.3">
      <c r="A221" s="3">
        <v>50701</v>
      </c>
      <c r="B221" s="3" t="s">
        <v>303</v>
      </c>
      <c r="C221" s="12">
        <v>1.1574272065456932</v>
      </c>
      <c r="D221" s="12">
        <v>0.86263156799829366</v>
      </c>
    </row>
    <row r="222" spans="1:4" x14ac:dyDescent="0.3">
      <c r="A222" s="3">
        <v>50702</v>
      </c>
      <c r="B222" s="3" t="s">
        <v>305</v>
      </c>
      <c r="C222" s="12">
        <v>0.55882173412572644</v>
      </c>
      <c r="D222" s="12">
        <v>1.4541025514296615</v>
      </c>
    </row>
    <row r="223" spans="1:4" x14ac:dyDescent="0.3">
      <c r="A223" s="3">
        <v>50801</v>
      </c>
      <c r="B223" s="3" t="s">
        <v>293</v>
      </c>
      <c r="C223" s="12">
        <v>10.902527361241363</v>
      </c>
      <c r="D223" s="12">
        <v>20.473599028530082</v>
      </c>
    </row>
    <row r="224" spans="1:4" x14ac:dyDescent="0.3">
      <c r="A224" s="3">
        <v>50802</v>
      </c>
      <c r="B224" s="3" t="s">
        <v>295</v>
      </c>
      <c r="C224" s="12">
        <v>45.511078405835747</v>
      </c>
      <c r="D224" s="12">
        <v>42.823503615235452</v>
      </c>
    </row>
    <row r="225" spans="1:4" x14ac:dyDescent="0.3">
      <c r="A225" s="3">
        <v>50901</v>
      </c>
      <c r="B225" s="3" t="s">
        <v>296</v>
      </c>
      <c r="C225" s="12">
        <v>78.17194873495454</v>
      </c>
      <c r="D225" s="12">
        <v>81.604608913402956</v>
      </c>
    </row>
    <row r="226" spans="1:4" x14ac:dyDescent="0.3">
      <c r="A226" s="3">
        <v>50902</v>
      </c>
      <c r="B226" s="3" t="s">
        <v>298</v>
      </c>
      <c r="C226" s="12">
        <v>42.193452656164737</v>
      </c>
      <c r="D226" s="12">
        <v>6.8491950577151854</v>
      </c>
    </row>
    <row r="227" spans="1:4" x14ac:dyDescent="0.3">
      <c r="A227" s="3">
        <v>51001</v>
      </c>
      <c r="B227" s="3" t="s">
        <v>299</v>
      </c>
      <c r="C227" s="12">
        <v>34.51675266956596</v>
      </c>
      <c r="D227" s="12">
        <v>12.378725550457554</v>
      </c>
    </row>
    <row r="228" spans="1:4" x14ac:dyDescent="0.3">
      <c r="A228" s="3">
        <v>51002</v>
      </c>
      <c r="B228" s="3" t="s">
        <v>301</v>
      </c>
      <c r="C228" s="12">
        <v>48.187092379789107</v>
      </c>
      <c r="D228" s="12">
        <v>8.8382721819605159</v>
      </c>
    </row>
    <row r="229" spans="1:4" x14ac:dyDescent="0.3">
      <c r="A229" s="3">
        <v>51003</v>
      </c>
      <c r="B229" s="3" t="s">
        <v>302</v>
      </c>
      <c r="C229" s="12">
        <v>25.942367864746039</v>
      </c>
      <c r="D229" s="12">
        <v>3.5625761693613684</v>
      </c>
    </row>
    <row r="230" spans="1:4" x14ac:dyDescent="0.3">
      <c r="A230" s="3">
        <v>51101</v>
      </c>
      <c r="B230" s="3" t="s">
        <v>306</v>
      </c>
      <c r="C230" s="12">
        <v>2.0825521728498448</v>
      </c>
      <c r="D230" s="12">
        <v>5.4529364999891454</v>
      </c>
    </row>
    <row r="231" spans="1:4" x14ac:dyDescent="0.3">
      <c r="A231" s="3">
        <v>51102</v>
      </c>
      <c r="B231" s="3" t="s">
        <v>308</v>
      </c>
      <c r="C231" s="12">
        <v>7.1712717830590744</v>
      </c>
      <c r="D231" s="12">
        <v>8.5608654117538432</v>
      </c>
    </row>
    <row r="232" spans="1:4" x14ac:dyDescent="0.3">
      <c r="A232" s="3">
        <v>51103</v>
      </c>
      <c r="B232" s="3" t="s">
        <v>323</v>
      </c>
      <c r="C232" s="12">
        <v>1.910094772876582</v>
      </c>
      <c r="D232" s="12">
        <v>0.36597541149727586</v>
      </c>
    </row>
    <row r="233" spans="1:4" x14ac:dyDescent="0.3">
      <c r="A233" s="3">
        <v>51201</v>
      </c>
      <c r="B233" s="3" t="s">
        <v>309</v>
      </c>
      <c r="C233" s="12">
        <v>10.963344711678648</v>
      </c>
      <c r="D233" s="12">
        <v>20.592367467441317</v>
      </c>
    </row>
    <row r="234" spans="1:4" x14ac:dyDescent="0.3">
      <c r="A234" s="3">
        <v>51202</v>
      </c>
      <c r="B234" s="3" t="s">
        <v>311</v>
      </c>
      <c r="C234" s="12">
        <v>3.2790209246188349</v>
      </c>
      <c r="D234" s="12">
        <v>8.1850224489421048</v>
      </c>
    </row>
    <row r="235" spans="1:4" x14ac:dyDescent="0.3">
      <c r="A235" s="3">
        <v>51203</v>
      </c>
      <c r="B235" s="3" t="s">
        <v>312</v>
      </c>
      <c r="C235" s="12">
        <v>46.557984617977539</v>
      </c>
      <c r="D235" s="12">
        <v>55.254905097030907</v>
      </c>
    </row>
    <row r="236" spans="1:4" x14ac:dyDescent="0.3">
      <c r="A236" s="5">
        <v>51204</v>
      </c>
      <c r="B236" s="5" t="s">
        <v>488</v>
      </c>
      <c r="C236" s="12">
        <v>0</v>
      </c>
      <c r="D236" s="12">
        <v>12.063502609313879</v>
      </c>
    </row>
    <row r="237" spans="1:4" x14ac:dyDescent="0.3">
      <c r="A237" s="3">
        <v>51301</v>
      </c>
      <c r="B237" s="3" t="s">
        <v>313</v>
      </c>
      <c r="C237" s="12">
        <v>3.0928440215003783</v>
      </c>
      <c r="D237" s="12">
        <v>1.7718371985439454</v>
      </c>
    </row>
    <row r="238" spans="1:4" x14ac:dyDescent="0.3">
      <c r="A238" s="3">
        <v>51302</v>
      </c>
      <c r="B238" s="3" t="s">
        <v>315</v>
      </c>
      <c r="C238" s="12">
        <v>1.8950244341340703</v>
      </c>
      <c r="D238" s="12">
        <v>1.6854390407070097</v>
      </c>
    </row>
    <row r="239" spans="1:4" x14ac:dyDescent="0.3">
      <c r="A239" s="3">
        <v>51401</v>
      </c>
      <c r="B239" s="3" t="s">
        <v>316</v>
      </c>
      <c r="C239" s="12">
        <v>0</v>
      </c>
      <c r="D239" s="12">
        <v>4.7270913026775503</v>
      </c>
    </row>
    <row r="240" spans="1:4" x14ac:dyDescent="0.3">
      <c r="A240" s="3">
        <v>51402</v>
      </c>
      <c r="B240" s="3" t="s">
        <v>318</v>
      </c>
      <c r="C240" s="12">
        <v>0.90117050850314506</v>
      </c>
      <c r="D240" s="12">
        <v>2.7222914410702308</v>
      </c>
    </row>
    <row r="241" spans="1:4" x14ac:dyDescent="0.3">
      <c r="A241" s="3">
        <v>51501</v>
      </c>
      <c r="B241" s="3" t="s">
        <v>319</v>
      </c>
      <c r="C241" s="12">
        <v>12.078833421250803</v>
      </c>
      <c r="D241" s="12">
        <v>23.660570274348366</v>
      </c>
    </row>
    <row r="242" spans="1:4" x14ac:dyDescent="0.3">
      <c r="A242" s="3">
        <v>51601</v>
      </c>
      <c r="B242" s="3" t="s">
        <v>321</v>
      </c>
      <c r="C242" s="12">
        <v>34.380901893317308</v>
      </c>
      <c r="D242" s="12">
        <v>7.0281295260430143</v>
      </c>
    </row>
    <row r="243" spans="1:4" x14ac:dyDescent="0.3">
      <c r="A243" s="3">
        <v>60101</v>
      </c>
      <c r="B243" s="3" t="s">
        <v>326</v>
      </c>
      <c r="C243" s="12">
        <v>19.201287992837997</v>
      </c>
      <c r="D243" s="12">
        <v>41.010005394231598</v>
      </c>
    </row>
    <row r="244" spans="1:4" x14ac:dyDescent="0.3">
      <c r="A244" s="3">
        <v>60201</v>
      </c>
      <c r="B244" s="3" t="s">
        <v>328</v>
      </c>
      <c r="C244" s="12">
        <v>0.72860516562834265</v>
      </c>
      <c r="D244" s="12">
        <v>3.4192353023986208</v>
      </c>
    </row>
    <row r="245" spans="1:4" x14ac:dyDescent="0.3">
      <c r="A245" s="3">
        <v>60202</v>
      </c>
      <c r="B245" s="3" t="s">
        <v>330</v>
      </c>
      <c r="C245" s="12">
        <v>8.7473338048895535</v>
      </c>
      <c r="D245" s="12">
        <v>25.728201025529909</v>
      </c>
    </row>
    <row r="246" spans="1:4" x14ac:dyDescent="0.3">
      <c r="A246" s="3">
        <v>60301</v>
      </c>
      <c r="B246" s="3" t="s">
        <v>331</v>
      </c>
      <c r="C246" s="12">
        <v>9.5375644217391766</v>
      </c>
      <c r="D246" s="12">
        <v>25.061905740596742</v>
      </c>
    </row>
    <row r="247" spans="1:4" x14ac:dyDescent="0.3">
      <c r="A247" s="3">
        <v>60302</v>
      </c>
      <c r="B247" s="3" t="s">
        <v>333</v>
      </c>
      <c r="C247" s="12">
        <v>8.0103898203319019</v>
      </c>
      <c r="D247" s="12">
        <v>15.997057423222548</v>
      </c>
    </row>
    <row r="248" spans="1:4" x14ac:dyDescent="0.3">
      <c r="A248" s="3">
        <v>60303</v>
      </c>
      <c r="B248" s="3" t="s">
        <v>334</v>
      </c>
      <c r="C248" s="12">
        <v>12.447535045265981</v>
      </c>
      <c r="D248" s="12">
        <v>26.250235807791253</v>
      </c>
    </row>
    <row r="249" spans="1:4" x14ac:dyDescent="0.3">
      <c r="A249" s="3">
        <v>60401</v>
      </c>
      <c r="B249" s="3" t="s">
        <v>335</v>
      </c>
      <c r="C249" s="12">
        <v>1.418981293115616</v>
      </c>
      <c r="D249" s="12">
        <v>12.384934163950257</v>
      </c>
    </row>
    <row r="250" spans="1:4" x14ac:dyDescent="0.3">
      <c r="A250" s="3">
        <v>60402</v>
      </c>
      <c r="B250" s="3" t="s">
        <v>337</v>
      </c>
      <c r="C250" s="12">
        <v>0.39773169411474568</v>
      </c>
      <c r="D250" s="12">
        <v>1.4459295239975589</v>
      </c>
    </row>
    <row r="251" spans="1:4" x14ac:dyDescent="0.3">
      <c r="A251" s="3">
        <v>60501</v>
      </c>
      <c r="B251" s="3" t="s">
        <v>338</v>
      </c>
      <c r="C251" s="12">
        <v>1.2249787752589958</v>
      </c>
      <c r="D251" s="12">
        <v>15.742129938783293</v>
      </c>
    </row>
    <row r="252" spans="1:4" x14ac:dyDescent="0.3">
      <c r="A252" s="3">
        <v>60502</v>
      </c>
      <c r="B252" s="3" t="s">
        <v>340</v>
      </c>
      <c r="C252" s="12">
        <v>2.339811963401301</v>
      </c>
      <c r="D252" s="12">
        <v>7.3719606399320323</v>
      </c>
    </row>
    <row r="253" spans="1:4" x14ac:dyDescent="0.3">
      <c r="A253" s="3">
        <v>60601</v>
      </c>
      <c r="B253" s="3" t="s">
        <v>341</v>
      </c>
      <c r="C253" s="12">
        <v>2.9715034282501493</v>
      </c>
      <c r="D253" s="12">
        <v>5.590094307668247</v>
      </c>
    </row>
    <row r="254" spans="1:4" x14ac:dyDescent="0.3">
      <c r="A254" s="3">
        <v>70101</v>
      </c>
      <c r="B254" s="3" t="s">
        <v>343</v>
      </c>
      <c r="C254" s="12">
        <v>38.060935698922165</v>
      </c>
      <c r="D254" s="12">
        <v>45.8807344696691</v>
      </c>
    </row>
    <row r="255" spans="1:4" x14ac:dyDescent="0.3">
      <c r="A255" s="3">
        <v>70102</v>
      </c>
      <c r="B255" s="3" t="s">
        <v>346</v>
      </c>
      <c r="C255" s="12">
        <v>28.267379506148576</v>
      </c>
      <c r="D255" s="12">
        <v>56.22813604017292</v>
      </c>
    </row>
    <row r="256" spans="1:4" x14ac:dyDescent="0.3">
      <c r="A256" s="3">
        <v>70103</v>
      </c>
      <c r="B256" s="3" t="s">
        <v>348</v>
      </c>
      <c r="C256" s="12">
        <v>51.717912623829179</v>
      </c>
      <c r="D256" s="12">
        <v>81.109698190368249</v>
      </c>
    </row>
    <row r="257" spans="1:4" x14ac:dyDescent="0.3">
      <c r="A257" s="3">
        <v>70104</v>
      </c>
      <c r="B257" s="3" t="s">
        <v>349</v>
      </c>
      <c r="C257" s="12">
        <v>40.129375446470242</v>
      </c>
      <c r="D257" s="12">
        <v>42.825910338834554</v>
      </c>
    </row>
    <row r="258" spans="1:4" x14ac:dyDescent="0.3">
      <c r="A258" s="3">
        <v>70105</v>
      </c>
      <c r="B258" s="3" t="s">
        <v>350</v>
      </c>
      <c r="C258" s="12">
        <v>8.5943859677572441</v>
      </c>
      <c r="D258" s="12">
        <v>29.540774686520823</v>
      </c>
    </row>
    <row r="259" spans="1:4" x14ac:dyDescent="0.3">
      <c r="A259" s="3">
        <v>70201</v>
      </c>
      <c r="B259" s="3" t="s">
        <v>351</v>
      </c>
      <c r="C259" s="12">
        <v>52.256532457020846</v>
      </c>
      <c r="D259" s="12">
        <v>56.291810519607964</v>
      </c>
    </row>
    <row r="260" spans="1:4" x14ac:dyDescent="0.3">
      <c r="A260" s="3">
        <v>70202</v>
      </c>
      <c r="B260" s="3" t="s">
        <v>407</v>
      </c>
      <c r="C260" s="12">
        <v>10.238576421165368</v>
      </c>
      <c r="D260" s="12">
        <v>22.790557766968515</v>
      </c>
    </row>
    <row r="261" spans="1:4" x14ac:dyDescent="0.3">
      <c r="A261" s="3">
        <v>70301</v>
      </c>
      <c r="B261" s="3" t="s">
        <v>353</v>
      </c>
      <c r="C261" s="12">
        <v>11.612005360771965</v>
      </c>
      <c r="D261" s="12">
        <v>21.968300460620238</v>
      </c>
    </row>
    <row r="262" spans="1:4" x14ac:dyDescent="0.3">
      <c r="A262" s="3">
        <v>70302</v>
      </c>
      <c r="B262" s="3" t="s">
        <v>355</v>
      </c>
      <c r="C262" s="12">
        <v>7.9689990432199407</v>
      </c>
      <c r="D262" s="12">
        <v>9.6300917626799833</v>
      </c>
    </row>
    <row r="263" spans="1:4" x14ac:dyDescent="0.3">
      <c r="A263" s="3">
        <v>70303</v>
      </c>
      <c r="B263" s="3" t="s">
        <v>356</v>
      </c>
      <c r="C263" s="12">
        <v>6.6950280879946442</v>
      </c>
      <c r="D263" s="12">
        <v>26.172933066590577</v>
      </c>
    </row>
    <row r="264" spans="1:4" x14ac:dyDescent="0.3">
      <c r="A264" s="3">
        <v>70401</v>
      </c>
      <c r="B264" s="3" t="s">
        <v>357</v>
      </c>
      <c r="C264" s="12">
        <v>2.7223849354449721</v>
      </c>
      <c r="D264" s="12">
        <v>18.967258382608975</v>
      </c>
    </row>
    <row r="265" spans="1:4" x14ac:dyDescent="0.3">
      <c r="A265" s="3">
        <v>70402</v>
      </c>
      <c r="B265" s="3" t="s">
        <v>359</v>
      </c>
      <c r="C265" s="12">
        <v>11.659555321913087</v>
      </c>
      <c r="D265" s="12">
        <v>16.780504029562959</v>
      </c>
    </row>
    <row r="266" spans="1:4" x14ac:dyDescent="0.3">
      <c r="A266" s="3">
        <v>70403</v>
      </c>
      <c r="B266" s="3" t="s">
        <v>360</v>
      </c>
      <c r="C266" s="12">
        <v>8.3200259512440944</v>
      </c>
      <c r="D266" s="12">
        <v>23.68726749878569</v>
      </c>
    </row>
    <row r="267" spans="1:4" x14ac:dyDescent="0.3">
      <c r="A267" s="3">
        <v>70404</v>
      </c>
      <c r="B267" s="3" t="s">
        <v>411</v>
      </c>
      <c r="C267" s="12">
        <v>11.01995406523322</v>
      </c>
      <c r="D267" s="12">
        <v>17.233004430588277</v>
      </c>
    </row>
    <row r="268" spans="1:4" x14ac:dyDescent="0.3">
      <c r="A268" s="3">
        <v>70501</v>
      </c>
      <c r="B268" s="3" t="s">
        <v>361</v>
      </c>
      <c r="C268" s="12">
        <v>25.935039935692938</v>
      </c>
      <c r="D268" s="12">
        <v>13.406989612454195</v>
      </c>
    </row>
    <row r="269" spans="1:4" x14ac:dyDescent="0.3">
      <c r="A269" s="3">
        <v>70502</v>
      </c>
      <c r="B269" s="3" t="s">
        <v>363</v>
      </c>
      <c r="C269" s="12">
        <v>13.751189798172193</v>
      </c>
      <c r="D269" s="12">
        <v>32.919934757916501</v>
      </c>
    </row>
    <row r="270" spans="1:4" x14ac:dyDescent="0.3">
      <c r="A270" s="3">
        <v>70503</v>
      </c>
      <c r="B270" s="3" t="s">
        <v>364</v>
      </c>
      <c r="C270" s="12">
        <v>7.0970095390441852</v>
      </c>
      <c r="D270" s="12">
        <v>19.525946598419935</v>
      </c>
    </row>
    <row r="271" spans="1:4" x14ac:dyDescent="0.3">
      <c r="A271" s="3">
        <v>70601</v>
      </c>
      <c r="B271" s="3" t="s">
        <v>365</v>
      </c>
      <c r="C271" s="12">
        <v>14.838506022224662</v>
      </c>
      <c r="D271" s="12">
        <v>31.059648044150357</v>
      </c>
    </row>
    <row r="272" spans="1:4" x14ac:dyDescent="0.3">
      <c r="A272" s="3">
        <v>70602</v>
      </c>
      <c r="B272" s="3" t="s">
        <v>367</v>
      </c>
      <c r="C272" s="12">
        <v>7.4734112545850131</v>
      </c>
      <c r="D272" s="12">
        <v>11.174598574393682</v>
      </c>
    </row>
    <row r="273" spans="1:4" x14ac:dyDescent="0.3">
      <c r="A273" s="3">
        <v>70603</v>
      </c>
      <c r="B273" s="3" t="s">
        <v>415</v>
      </c>
      <c r="C273" s="12">
        <v>16.677650223915141</v>
      </c>
      <c r="D273" s="12">
        <v>72.212616548362746</v>
      </c>
    </row>
    <row r="274" spans="1:4" x14ac:dyDescent="0.3">
      <c r="A274" s="3">
        <v>70701</v>
      </c>
      <c r="B274" s="3" t="s">
        <v>368</v>
      </c>
      <c r="C274" s="12">
        <v>0.50811867356206419</v>
      </c>
      <c r="D274" s="12">
        <v>3.3964530453700976</v>
      </c>
    </row>
    <row r="275" spans="1:4" x14ac:dyDescent="0.3">
      <c r="A275" s="3">
        <v>70702</v>
      </c>
      <c r="B275" s="3" t="s">
        <v>370</v>
      </c>
      <c r="C275" s="12">
        <v>5.4621275302057457</v>
      </c>
      <c r="D275" s="12">
        <v>7.1679951037123013</v>
      </c>
    </row>
    <row r="276" spans="1:4" x14ac:dyDescent="0.3">
      <c r="A276" s="3">
        <v>70703</v>
      </c>
      <c r="B276" s="3" t="s">
        <v>371</v>
      </c>
      <c r="C276" s="12">
        <v>6.2958459821782169</v>
      </c>
      <c r="D276" s="12">
        <v>20.079501073810491</v>
      </c>
    </row>
    <row r="277" spans="1:4" x14ac:dyDescent="0.3">
      <c r="A277" s="3">
        <v>70704</v>
      </c>
      <c r="B277" s="3" t="s">
        <v>372</v>
      </c>
      <c r="C277" s="12">
        <v>4.1594546709792413</v>
      </c>
      <c r="D277" s="12">
        <v>4.7865388808255158</v>
      </c>
    </row>
    <row r="278" spans="1:4" x14ac:dyDescent="0.3">
      <c r="A278" s="3">
        <v>70705</v>
      </c>
      <c r="B278" s="3" t="s">
        <v>373</v>
      </c>
      <c r="C278" s="12">
        <v>1.2431789485787279</v>
      </c>
      <c r="D278" s="12">
        <v>0.91878956554129354</v>
      </c>
    </row>
    <row r="279" spans="1:4" x14ac:dyDescent="0.3">
      <c r="A279" s="3">
        <v>70706</v>
      </c>
      <c r="B279" s="3" t="s">
        <v>374</v>
      </c>
      <c r="C279" s="12">
        <v>23.771060184225576</v>
      </c>
      <c r="D279" s="12">
        <v>25.625364312353554</v>
      </c>
    </row>
    <row r="280" spans="1:4" x14ac:dyDescent="0.3">
      <c r="A280" s="3">
        <v>70707</v>
      </c>
      <c r="B280" s="3" t="s">
        <v>375</v>
      </c>
      <c r="C280" s="12">
        <v>4.8251217338955197</v>
      </c>
      <c r="D280" s="12">
        <v>8.0423129304560508</v>
      </c>
    </row>
    <row r="281" spans="1:4" x14ac:dyDescent="0.3">
      <c r="A281" s="3">
        <v>70801</v>
      </c>
      <c r="B281" s="3" t="s">
        <v>376</v>
      </c>
      <c r="C281" s="12">
        <v>16.983954052511862</v>
      </c>
      <c r="D281" s="12">
        <v>26.542185300186734</v>
      </c>
    </row>
    <row r="282" spans="1:4" x14ac:dyDescent="0.3">
      <c r="A282" s="3">
        <v>70802</v>
      </c>
      <c r="B282" s="3" t="s">
        <v>378</v>
      </c>
      <c r="C282" s="12">
        <v>6.1069807143447736</v>
      </c>
      <c r="D282" s="12">
        <v>7.8173186580296976</v>
      </c>
    </row>
    <row r="283" spans="1:4" x14ac:dyDescent="0.3">
      <c r="A283" s="3">
        <v>70803</v>
      </c>
      <c r="B283" s="3" t="s">
        <v>379</v>
      </c>
      <c r="C283" s="12">
        <v>18.765273341644001</v>
      </c>
      <c r="D283" s="12">
        <v>10.959206390582988</v>
      </c>
    </row>
    <row r="284" spans="1:4" x14ac:dyDescent="0.3">
      <c r="A284" s="3">
        <v>70804</v>
      </c>
      <c r="B284" s="3" t="s">
        <v>380</v>
      </c>
      <c r="C284" s="12">
        <v>3.6452402208651593</v>
      </c>
      <c r="D284" s="12">
        <v>2.065078553707516</v>
      </c>
    </row>
    <row r="285" spans="1:4" x14ac:dyDescent="0.3">
      <c r="A285" s="3">
        <v>70805</v>
      </c>
      <c r="B285" s="3" t="s">
        <v>381</v>
      </c>
      <c r="C285" s="12">
        <v>1.5177308247481021</v>
      </c>
      <c r="D285" s="12">
        <v>5.2296682631382563</v>
      </c>
    </row>
    <row r="286" spans="1:4" x14ac:dyDescent="0.3">
      <c r="A286" s="3">
        <v>70901</v>
      </c>
      <c r="B286" s="3" t="s">
        <v>382</v>
      </c>
      <c r="C286" s="12">
        <v>7.5514262775758176</v>
      </c>
      <c r="D286" s="12">
        <v>35.843140392583557</v>
      </c>
    </row>
    <row r="287" spans="1:4" x14ac:dyDescent="0.3">
      <c r="A287" s="3">
        <v>70902</v>
      </c>
      <c r="B287" s="3" t="s">
        <v>384</v>
      </c>
      <c r="C287" s="12">
        <v>6.6977650069601413</v>
      </c>
      <c r="D287" s="12">
        <v>18.998551881980756</v>
      </c>
    </row>
    <row r="288" spans="1:4" x14ac:dyDescent="0.3">
      <c r="A288" s="3">
        <v>70903</v>
      </c>
      <c r="B288" s="3" t="s">
        <v>385</v>
      </c>
      <c r="C288" s="12">
        <v>9.2943245464823221</v>
      </c>
      <c r="D288" s="12">
        <v>18.970023597635517</v>
      </c>
    </row>
    <row r="289" spans="1:4" x14ac:dyDescent="0.3">
      <c r="A289" s="3">
        <v>70904</v>
      </c>
      <c r="B289" s="3" t="s">
        <v>386</v>
      </c>
      <c r="C289" s="12">
        <v>33.832287667682969</v>
      </c>
      <c r="D289" s="12">
        <v>6.5952342680878342</v>
      </c>
    </row>
    <row r="290" spans="1:4" x14ac:dyDescent="0.3">
      <c r="A290" s="3">
        <v>71001</v>
      </c>
      <c r="B290" s="3" t="s">
        <v>387</v>
      </c>
      <c r="C290" s="12">
        <v>32.502009824064096</v>
      </c>
      <c r="D290" s="12">
        <v>40.169958479243803</v>
      </c>
    </row>
    <row r="291" spans="1:4" x14ac:dyDescent="0.3">
      <c r="A291" s="3">
        <v>71002</v>
      </c>
      <c r="B291" s="3" t="s">
        <v>389</v>
      </c>
      <c r="C291" s="12">
        <v>4.1061849529352115</v>
      </c>
      <c r="D291" s="12">
        <v>21.896090969645353</v>
      </c>
    </row>
    <row r="292" spans="1:4" x14ac:dyDescent="0.3">
      <c r="A292" s="3">
        <v>71003</v>
      </c>
      <c r="B292" s="3" t="s">
        <v>390</v>
      </c>
      <c r="C292" s="12">
        <v>9.3225038376354163</v>
      </c>
      <c r="D292" s="12">
        <v>17.479578435651735</v>
      </c>
    </row>
    <row r="293" spans="1:4" x14ac:dyDescent="0.3">
      <c r="A293" s="3">
        <v>71004</v>
      </c>
      <c r="B293" s="3" t="s">
        <v>412</v>
      </c>
      <c r="C293" s="12">
        <v>16.257040844380484</v>
      </c>
      <c r="D293" s="12">
        <v>19.722261194070821</v>
      </c>
    </row>
    <row r="294" spans="1:4" x14ac:dyDescent="0.3">
      <c r="A294" s="3">
        <v>71005</v>
      </c>
      <c r="B294" s="3" t="s">
        <v>413</v>
      </c>
      <c r="C294" s="12">
        <v>11.940885419888685</v>
      </c>
      <c r="D294" s="12">
        <v>24.054736869956706</v>
      </c>
    </row>
    <row r="295" spans="1:4" x14ac:dyDescent="0.3">
      <c r="A295" s="3">
        <v>71101</v>
      </c>
      <c r="B295" s="3" t="s">
        <v>391</v>
      </c>
      <c r="C295" s="12">
        <v>14.179359003713502</v>
      </c>
      <c r="D295" s="12">
        <v>25.879976373079675</v>
      </c>
    </row>
    <row r="296" spans="1:4" x14ac:dyDescent="0.3">
      <c r="A296" s="3">
        <v>71102</v>
      </c>
      <c r="B296" s="3" t="s">
        <v>393</v>
      </c>
      <c r="C296" s="12">
        <v>9.8561158303928842</v>
      </c>
      <c r="D296" s="12">
        <v>15.867653477050521</v>
      </c>
    </row>
    <row r="297" spans="1:4" x14ac:dyDescent="0.3">
      <c r="A297" s="3">
        <v>71103</v>
      </c>
      <c r="B297" s="3" t="s">
        <v>409</v>
      </c>
      <c r="C297" s="12">
        <v>11.394629543479716</v>
      </c>
      <c r="D297" s="12">
        <v>33.853714046728776</v>
      </c>
    </row>
    <row r="298" spans="1:4" x14ac:dyDescent="0.3">
      <c r="A298" s="3">
        <v>71104</v>
      </c>
      <c r="B298" s="3" t="s">
        <v>394</v>
      </c>
      <c r="C298" s="12">
        <v>10.746164711110028</v>
      </c>
      <c r="D298" s="12">
        <v>22.647525580673548</v>
      </c>
    </row>
    <row r="299" spans="1:4" x14ac:dyDescent="0.3">
      <c r="A299" s="3">
        <v>71105</v>
      </c>
      <c r="B299" s="3" t="s">
        <v>408</v>
      </c>
      <c r="C299" s="12">
        <v>1.9222343741839116</v>
      </c>
      <c r="D299" s="12">
        <v>2.1127527486865332</v>
      </c>
    </row>
    <row r="300" spans="1:4" x14ac:dyDescent="0.3">
      <c r="A300" s="3">
        <v>71106</v>
      </c>
      <c r="B300" s="3" t="s">
        <v>414</v>
      </c>
      <c r="C300" s="12">
        <v>24.21476967026582</v>
      </c>
      <c r="D300" s="12">
        <v>39.276377948366907</v>
      </c>
    </row>
    <row r="301" spans="1:4" x14ac:dyDescent="0.3">
      <c r="A301" s="3">
        <v>71201</v>
      </c>
      <c r="B301" s="3" t="s">
        <v>395</v>
      </c>
      <c r="C301" s="12">
        <v>5.0278674171740887</v>
      </c>
      <c r="D301" s="12">
        <v>6.2370630895464432</v>
      </c>
    </row>
    <row r="302" spans="1:4" x14ac:dyDescent="0.3">
      <c r="A302" s="3">
        <v>71301</v>
      </c>
      <c r="B302" s="3" t="s">
        <v>397</v>
      </c>
      <c r="C302" s="12">
        <v>8.1752474622911002</v>
      </c>
      <c r="D302" s="12">
        <v>15.528437964094042</v>
      </c>
    </row>
    <row r="303" spans="1:4" x14ac:dyDescent="0.3">
      <c r="A303" s="3">
        <v>71302</v>
      </c>
      <c r="B303" s="3" t="s">
        <v>399</v>
      </c>
      <c r="C303" s="12">
        <v>10.045874340944799</v>
      </c>
      <c r="D303" s="12">
        <v>19.574782752652521</v>
      </c>
    </row>
    <row r="304" spans="1:4" x14ac:dyDescent="0.3">
      <c r="A304" s="3">
        <v>71401</v>
      </c>
      <c r="B304" s="3" t="s">
        <v>400</v>
      </c>
      <c r="C304" s="12">
        <v>16.500481191729264</v>
      </c>
      <c r="D304" s="12">
        <v>22.26323717058936</v>
      </c>
    </row>
    <row r="305" spans="1:4" x14ac:dyDescent="0.3">
      <c r="A305" s="3">
        <v>71402</v>
      </c>
      <c r="B305" s="3" t="s">
        <v>402</v>
      </c>
      <c r="C305" s="12">
        <v>27.847162488032904</v>
      </c>
      <c r="D305" s="12">
        <v>39.541355851822793</v>
      </c>
    </row>
    <row r="306" spans="1:4" x14ac:dyDescent="0.3">
      <c r="A306" s="3">
        <v>71403</v>
      </c>
      <c r="B306" s="3" t="s">
        <v>410</v>
      </c>
      <c r="C306" s="12">
        <v>17.133935386855544</v>
      </c>
      <c r="D306" s="12">
        <v>26.384199339791934</v>
      </c>
    </row>
    <row r="307" spans="1:4" x14ac:dyDescent="0.3">
      <c r="A307" s="3">
        <v>71501</v>
      </c>
      <c r="B307" s="3" t="s">
        <v>403</v>
      </c>
      <c r="C307" s="12">
        <v>7.1527231722905826</v>
      </c>
      <c r="D307" s="12">
        <v>10.763313692234641</v>
      </c>
    </row>
    <row r="308" spans="1:4" x14ac:dyDescent="0.3">
      <c r="A308" s="3">
        <v>71502</v>
      </c>
      <c r="B308" s="3" t="s">
        <v>405</v>
      </c>
      <c r="C308" s="12">
        <v>5.0702735526746912</v>
      </c>
      <c r="D308" s="12">
        <v>3.7248538187565603</v>
      </c>
    </row>
    <row r="309" spans="1:4" x14ac:dyDescent="0.3">
      <c r="A309" s="3">
        <v>71503</v>
      </c>
      <c r="B309" s="3" t="s">
        <v>406</v>
      </c>
      <c r="C309" s="12">
        <v>7.0279241795581449</v>
      </c>
      <c r="D309" s="12">
        <v>15.561976068985803</v>
      </c>
    </row>
    <row r="310" spans="1:4" x14ac:dyDescent="0.3">
      <c r="A310" s="3">
        <v>80101</v>
      </c>
      <c r="B310" s="3" t="s">
        <v>416</v>
      </c>
      <c r="C310" s="12">
        <v>15.107762572925328</v>
      </c>
      <c r="D310" s="12">
        <v>28.711970687535636</v>
      </c>
    </row>
    <row r="311" spans="1:4" x14ac:dyDescent="0.3">
      <c r="A311" s="3">
        <v>80102</v>
      </c>
      <c r="B311" s="3" t="s">
        <v>418</v>
      </c>
      <c r="C311" s="12">
        <v>3.7219619524841234</v>
      </c>
      <c r="D311" s="12">
        <v>4.4963762033760029</v>
      </c>
    </row>
    <row r="312" spans="1:4" x14ac:dyDescent="0.3">
      <c r="A312" s="3">
        <v>80201</v>
      </c>
      <c r="B312" s="3" t="s">
        <v>419</v>
      </c>
      <c r="C312" s="12">
        <v>5.9180163426048287</v>
      </c>
      <c r="D312" s="12">
        <v>19.552269422631284</v>
      </c>
    </row>
    <row r="313" spans="1:4" x14ac:dyDescent="0.3">
      <c r="A313" s="3">
        <v>80202</v>
      </c>
      <c r="B313" s="3" t="s">
        <v>421</v>
      </c>
      <c r="C313" s="12">
        <v>7.6884167654754876</v>
      </c>
      <c r="D313" s="12">
        <v>11.808701971191075</v>
      </c>
    </row>
    <row r="314" spans="1:4" x14ac:dyDescent="0.3">
      <c r="A314" s="3">
        <v>80301</v>
      </c>
      <c r="B314" s="3" t="s">
        <v>422</v>
      </c>
      <c r="C314" s="12">
        <v>1.2409552864355082</v>
      </c>
      <c r="D314" s="12">
        <v>3.5430057786059872</v>
      </c>
    </row>
    <row r="315" spans="1:4" x14ac:dyDescent="0.3">
      <c r="A315" s="3">
        <v>80302</v>
      </c>
      <c r="B315" s="3" t="s">
        <v>426</v>
      </c>
      <c r="C315" s="12">
        <v>1.6995667262621466</v>
      </c>
      <c r="D315" s="12">
        <v>3.4261185082872907</v>
      </c>
    </row>
    <row r="316" spans="1:4" x14ac:dyDescent="0.3">
      <c r="A316" s="3">
        <v>80303</v>
      </c>
      <c r="B316" s="3" t="s">
        <v>427</v>
      </c>
      <c r="C316" s="12">
        <v>12.4233782758164</v>
      </c>
      <c r="D316" s="12">
        <v>8.0587322160900996</v>
      </c>
    </row>
    <row r="317" spans="1:4" x14ac:dyDescent="0.3">
      <c r="A317" s="3">
        <v>80304</v>
      </c>
      <c r="B317" s="3" t="s">
        <v>424</v>
      </c>
      <c r="C317" s="12">
        <v>7.2412950071888558</v>
      </c>
      <c r="D317" s="12">
        <v>9.043398597404158</v>
      </c>
    </row>
    <row r="318" spans="1:4" x14ac:dyDescent="0.3">
      <c r="A318" s="3">
        <v>80401</v>
      </c>
      <c r="B318" s="3" t="s">
        <v>428</v>
      </c>
      <c r="C318" s="12">
        <v>4.3509753969190177</v>
      </c>
      <c r="D318" s="12">
        <v>32.503701108607849</v>
      </c>
    </row>
    <row r="319" spans="1:4" x14ac:dyDescent="0.3">
      <c r="A319" s="3">
        <v>80402</v>
      </c>
      <c r="B319" s="3" t="s">
        <v>443</v>
      </c>
      <c r="C319" s="12">
        <v>1.4052855730674356</v>
      </c>
      <c r="D319" s="12">
        <v>8.4019086837379877</v>
      </c>
    </row>
    <row r="320" spans="1:4" x14ac:dyDescent="0.3">
      <c r="A320" s="3">
        <v>80501</v>
      </c>
      <c r="B320" s="3" t="s">
        <v>430</v>
      </c>
      <c r="C320" s="12">
        <v>2.0010285858177217</v>
      </c>
      <c r="D320" s="12">
        <v>4.038576032525258</v>
      </c>
    </row>
    <row r="321" spans="1:4" x14ac:dyDescent="0.3">
      <c r="A321" s="3">
        <v>80601</v>
      </c>
      <c r="B321" s="3" t="s">
        <v>432</v>
      </c>
      <c r="C321" s="12">
        <v>1.7307879191187894</v>
      </c>
      <c r="D321" s="12">
        <v>1.5434453116747104</v>
      </c>
    </row>
    <row r="322" spans="1:4" x14ac:dyDescent="0.3">
      <c r="A322" s="3">
        <v>80602</v>
      </c>
      <c r="B322" s="3" t="s">
        <v>434</v>
      </c>
      <c r="C322" s="12">
        <v>2.5922511323785216</v>
      </c>
      <c r="D322" s="12">
        <v>4.5880357564777459</v>
      </c>
    </row>
    <row r="323" spans="1:4" x14ac:dyDescent="0.3">
      <c r="A323" s="3">
        <v>80701</v>
      </c>
      <c r="B323" s="3" t="s">
        <v>435</v>
      </c>
      <c r="C323" s="12">
        <v>4.28530234124527</v>
      </c>
      <c r="D323" s="12">
        <v>11.150640707709659</v>
      </c>
    </row>
    <row r="324" spans="1:4" x14ac:dyDescent="0.3">
      <c r="A324" s="3">
        <v>80702</v>
      </c>
      <c r="B324" s="3" t="s">
        <v>437</v>
      </c>
      <c r="C324" s="12">
        <v>2.079136056494121</v>
      </c>
      <c r="D324" s="12">
        <v>8.7719966160204805</v>
      </c>
    </row>
    <row r="325" spans="1:4" x14ac:dyDescent="0.3">
      <c r="A325" s="3">
        <v>80703</v>
      </c>
      <c r="B325" s="3" t="s">
        <v>438</v>
      </c>
      <c r="C325" s="12">
        <v>0.74146562736173138</v>
      </c>
      <c r="D325" s="12">
        <v>4.1382937525719301</v>
      </c>
    </row>
    <row r="326" spans="1:4" x14ac:dyDescent="0.3">
      <c r="A326" s="3">
        <v>80801</v>
      </c>
      <c r="B326" s="3" t="s">
        <v>439</v>
      </c>
      <c r="C326" s="12">
        <v>2.5032792707311411</v>
      </c>
      <c r="D326" s="12">
        <v>8.1597391082010127</v>
      </c>
    </row>
    <row r="327" spans="1:4" x14ac:dyDescent="0.3">
      <c r="A327" s="3">
        <v>80802</v>
      </c>
      <c r="B327" s="3" t="s">
        <v>441</v>
      </c>
      <c r="C327" s="12">
        <v>3.4295700246770493</v>
      </c>
      <c r="D327" s="12">
        <v>31.439206001255364</v>
      </c>
    </row>
    <row r="328" spans="1:4" x14ac:dyDescent="0.3">
      <c r="A328" s="3">
        <v>80803</v>
      </c>
      <c r="B328" s="3" t="s">
        <v>442</v>
      </c>
      <c r="C328" s="12">
        <v>1.5883065181630283</v>
      </c>
      <c r="D328" s="12">
        <v>5.6593750378018344</v>
      </c>
    </row>
    <row r="329" spans="1:4" x14ac:dyDescent="0.3">
      <c r="A329" s="5">
        <v>80901</v>
      </c>
      <c r="B329" s="5" t="s">
        <v>475</v>
      </c>
      <c r="C329" s="12">
        <v>0</v>
      </c>
      <c r="D329" s="12">
        <v>0</v>
      </c>
    </row>
    <row r="330" spans="1:4" x14ac:dyDescent="0.3">
      <c r="A330" s="3">
        <v>90101</v>
      </c>
      <c r="B330" s="3" t="s">
        <v>444</v>
      </c>
      <c r="C330" s="12">
        <v>4.6406193829128641</v>
      </c>
      <c r="D330" s="12">
        <v>20.798912736811552</v>
      </c>
    </row>
    <row r="331" spans="1:4" x14ac:dyDescent="0.3">
      <c r="A331" s="3">
        <v>90102</v>
      </c>
      <c r="B331" s="3" t="s">
        <v>447</v>
      </c>
      <c r="C331" s="12">
        <v>0.91282500958829271</v>
      </c>
      <c r="D331" s="12">
        <v>3.8595184683108128</v>
      </c>
    </row>
    <row r="332" spans="1:4" x14ac:dyDescent="0.3">
      <c r="A332" s="3">
        <v>90103</v>
      </c>
      <c r="B332" s="3" t="s">
        <v>448</v>
      </c>
      <c r="C332" s="12">
        <v>6.4810358879000846E-3</v>
      </c>
      <c r="D332" s="12">
        <v>2.8384577965565754</v>
      </c>
    </row>
    <row r="333" spans="1:4" x14ac:dyDescent="0.3">
      <c r="A333" s="3">
        <v>90104</v>
      </c>
      <c r="B333" s="3" t="s">
        <v>449</v>
      </c>
      <c r="C333" s="12">
        <v>0.20924957060776028</v>
      </c>
      <c r="D333" s="12">
        <v>1.047825371153051</v>
      </c>
    </row>
    <row r="334" spans="1:4" x14ac:dyDescent="0.3">
      <c r="A334" s="3">
        <v>90201</v>
      </c>
      <c r="B334" s="3" t="s">
        <v>450</v>
      </c>
      <c r="C334" s="12">
        <v>0.43208301885136308</v>
      </c>
      <c r="D334" s="12">
        <v>2.1235780805062756</v>
      </c>
    </row>
    <row r="335" spans="1:4" x14ac:dyDescent="0.3">
      <c r="A335" s="3">
        <v>90202</v>
      </c>
      <c r="B335" s="3" t="s">
        <v>452</v>
      </c>
      <c r="C335" s="12">
        <v>0.12264310695088526</v>
      </c>
      <c r="D335" s="12">
        <v>0.9456692879533497</v>
      </c>
    </row>
    <row r="336" spans="1:4" x14ac:dyDescent="0.3">
      <c r="A336" s="3">
        <v>90203</v>
      </c>
      <c r="B336" s="3" t="s">
        <v>453</v>
      </c>
      <c r="C336" s="12">
        <v>0.11196671578019435</v>
      </c>
      <c r="D336" s="12">
        <v>1.2998150005446962</v>
      </c>
    </row>
    <row r="337" spans="1:4" x14ac:dyDescent="0.3">
      <c r="A337" s="3">
        <v>90301</v>
      </c>
      <c r="B337" s="3" t="s">
        <v>454</v>
      </c>
      <c r="C337" s="12">
        <v>0.24350025978430881</v>
      </c>
      <c r="D337" s="12">
        <v>0.32185440819073663</v>
      </c>
    </row>
    <row r="338" spans="1:4" x14ac:dyDescent="0.3">
      <c r="A338" s="3">
        <v>90302</v>
      </c>
      <c r="B338" s="3" t="s">
        <v>456</v>
      </c>
      <c r="C338" s="12">
        <v>2.2026290088083024E-2</v>
      </c>
      <c r="D338" s="12">
        <v>0.30961990678619777</v>
      </c>
    </row>
    <row r="339" spans="1:4" x14ac:dyDescent="0.3">
      <c r="A339" s="3">
        <v>90303</v>
      </c>
      <c r="B339" s="3" t="s">
        <v>457</v>
      </c>
      <c r="C339" s="12">
        <v>0.55686302360586426</v>
      </c>
      <c r="D339" s="12">
        <v>4.1609709275239828</v>
      </c>
    </row>
    <row r="340" spans="1:4" x14ac:dyDescent="0.3">
      <c r="A340" s="3">
        <v>90401</v>
      </c>
      <c r="B340" s="3" t="s">
        <v>458</v>
      </c>
      <c r="C340" s="12">
        <v>8.1148265190106421E-3</v>
      </c>
      <c r="D340" s="12">
        <v>0.58331583758466488</v>
      </c>
    </row>
    <row r="341" spans="1:4" x14ac:dyDescent="0.3">
      <c r="A341" s="3">
        <v>90402</v>
      </c>
      <c r="B341" s="3" t="s">
        <v>460</v>
      </c>
      <c r="C341" s="12">
        <v>0.39040818131433713</v>
      </c>
      <c r="D341" s="12">
        <v>4.2965806389107366E-4</v>
      </c>
    </row>
    <row r="342" spans="1:4" x14ac:dyDescent="0.3">
      <c r="A342" s="3">
        <v>90501</v>
      </c>
      <c r="B342" s="3" t="s">
        <v>461</v>
      </c>
      <c r="C342" s="12">
        <v>0.4727874783424027</v>
      </c>
      <c r="D342" s="12">
        <v>1.1445536707153392</v>
      </c>
    </row>
    <row r="343" spans="1:4" x14ac:dyDescent="0.3">
      <c r="A343" s="3">
        <v>90502</v>
      </c>
      <c r="B343" s="3" t="s">
        <v>463</v>
      </c>
      <c r="C343" s="12">
        <v>0.29573737011911627</v>
      </c>
      <c r="D343" s="12">
        <v>1.2798516830947502</v>
      </c>
    </row>
    <row r="344" spans="1:4" x14ac:dyDescent="0.3">
      <c r="A344" s="3">
        <v>90503</v>
      </c>
      <c r="B344" s="3" t="s">
        <v>464</v>
      </c>
      <c r="C344" s="12">
        <v>0.84751252223527218</v>
      </c>
      <c r="D344" s="12">
        <v>4.7753938585275574E-2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7AD4-44EA-49E1-9286-C9F98E16641E}">
  <dimension ref="A1:D344"/>
  <sheetViews>
    <sheetView topLeftCell="A16" workbookViewId="0">
      <selection activeCell="H24" sqref="H24"/>
    </sheetView>
  </sheetViews>
  <sheetFormatPr baseColWidth="10" defaultColWidth="8.88671875" defaultRowHeight="14.4" x14ac:dyDescent="0.3"/>
  <cols>
    <col min="1" max="1" width="9" style="1" bestFit="1" customWidth="1"/>
    <col min="2" max="2" width="26.21875" style="1" customWidth="1"/>
    <col min="3" max="4" width="22.88671875" style="1" customWidth="1"/>
  </cols>
  <sheetData>
    <row r="1" spans="1:4" x14ac:dyDescent="0.3">
      <c r="A1" s="2" t="s">
        <v>493</v>
      </c>
      <c r="B1" s="2" t="s">
        <v>1</v>
      </c>
      <c r="C1" s="2" t="s">
        <v>490</v>
      </c>
      <c r="D1" s="9" t="s">
        <v>492</v>
      </c>
    </row>
    <row r="2" spans="1:4" x14ac:dyDescent="0.3">
      <c r="A2" s="3">
        <v>10101</v>
      </c>
      <c r="B2" s="3" t="s">
        <v>4</v>
      </c>
      <c r="C2" s="11">
        <v>125819323.01666667</v>
      </c>
      <c r="D2" s="11">
        <v>193520980.67666671</v>
      </c>
    </row>
    <row r="3" spans="1:4" x14ac:dyDescent="0.3">
      <c r="A3" s="3">
        <v>10102</v>
      </c>
      <c r="B3" s="3" t="s">
        <v>7</v>
      </c>
      <c r="C3" s="11">
        <v>549103.72666666668</v>
      </c>
      <c r="D3" s="11">
        <v>1497165.0033333332</v>
      </c>
    </row>
    <row r="4" spans="1:4" x14ac:dyDescent="0.3">
      <c r="A4" s="3">
        <v>10103</v>
      </c>
      <c r="B4" s="3" t="s">
        <v>8</v>
      </c>
      <c r="C4" s="11">
        <v>114746.79333333333</v>
      </c>
      <c r="D4" s="11">
        <v>246903.05666666667</v>
      </c>
    </row>
    <row r="5" spans="1:4" x14ac:dyDescent="0.3">
      <c r="A5" s="3">
        <v>10201</v>
      </c>
      <c r="B5" s="3" t="s">
        <v>9</v>
      </c>
      <c r="C5" s="11">
        <v>526457.03</v>
      </c>
      <c r="D5" s="11">
        <v>427173.1766666667</v>
      </c>
    </row>
    <row r="6" spans="1:4" x14ac:dyDescent="0.3">
      <c r="A6" s="3">
        <v>10202</v>
      </c>
      <c r="B6" s="3" t="s">
        <v>11</v>
      </c>
      <c r="C6" s="11">
        <v>128379.29</v>
      </c>
      <c r="D6" s="11">
        <v>200032.76333333334</v>
      </c>
    </row>
    <row r="7" spans="1:4" x14ac:dyDescent="0.3">
      <c r="A7" s="3">
        <v>10301</v>
      </c>
      <c r="B7" s="3" t="s">
        <v>12</v>
      </c>
      <c r="C7" s="11">
        <v>237881.51666666669</v>
      </c>
      <c r="D7" s="11">
        <v>1278108.0199999998</v>
      </c>
    </row>
    <row r="8" spans="1:4" x14ac:dyDescent="0.3">
      <c r="A8" s="3">
        <v>10302</v>
      </c>
      <c r="B8" s="3" t="s">
        <v>14</v>
      </c>
      <c r="C8" s="11">
        <v>268126.37333333335</v>
      </c>
      <c r="D8" s="11">
        <v>221626.87666666668</v>
      </c>
    </row>
    <row r="9" spans="1:4" x14ac:dyDescent="0.3">
      <c r="A9" s="3">
        <v>10303</v>
      </c>
      <c r="B9" s="3" t="s">
        <v>15</v>
      </c>
      <c r="C9" s="11">
        <v>602595.04333333333</v>
      </c>
      <c r="D9" s="11">
        <v>768021.91</v>
      </c>
    </row>
    <row r="10" spans="1:4" x14ac:dyDescent="0.3">
      <c r="A10" s="3">
        <v>10304</v>
      </c>
      <c r="B10" s="3" t="s">
        <v>16</v>
      </c>
      <c r="C10" s="11">
        <v>131275.80333333334</v>
      </c>
      <c r="D10" s="11">
        <v>160854.92666666667</v>
      </c>
    </row>
    <row r="11" spans="1:4" x14ac:dyDescent="0.3">
      <c r="A11" s="3">
        <v>10401</v>
      </c>
      <c r="B11" s="3" t="s">
        <v>17</v>
      </c>
      <c r="C11" s="11">
        <v>1129960.7466666668</v>
      </c>
      <c r="D11" s="11">
        <v>1950717.3133333332</v>
      </c>
    </row>
    <row r="12" spans="1:4" x14ac:dyDescent="0.3">
      <c r="A12" s="3">
        <v>10402</v>
      </c>
      <c r="B12" s="3" t="s">
        <v>19</v>
      </c>
      <c r="C12" s="11">
        <v>105710.88</v>
      </c>
      <c r="D12" s="11">
        <v>464744.02999999997</v>
      </c>
    </row>
    <row r="13" spans="1:4" x14ac:dyDescent="0.3">
      <c r="A13" s="3">
        <v>10403</v>
      </c>
      <c r="B13" s="3" t="s">
        <v>20</v>
      </c>
      <c r="C13" s="11">
        <v>260705.31999999998</v>
      </c>
      <c r="D13" s="11">
        <v>649868.05333333334</v>
      </c>
    </row>
    <row r="14" spans="1:4" x14ac:dyDescent="0.3">
      <c r="A14" s="3">
        <v>10404</v>
      </c>
      <c r="B14" s="3" t="s">
        <v>21</v>
      </c>
      <c r="C14" s="11">
        <v>37534.159999999996</v>
      </c>
      <c r="D14" s="11">
        <v>295329.34666666668</v>
      </c>
    </row>
    <row r="15" spans="1:4" x14ac:dyDescent="0.3">
      <c r="A15" s="3">
        <v>10405</v>
      </c>
      <c r="B15" s="3" t="s">
        <v>22</v>
      </c>
      <c r="C15" s="11">
        <v>81512.19666666667</v>
      </c>
      <c r="D15" s="11">
        <v>425492</v>
      </c>
    </row>
    <row r="16" spans="1:4" x14ac:dyDescent="0.3">
      <c r="A16" s="3">
        <v>10501</v>
      </c>
      <c r="B16" s="3" t="s">
        <v>23</v>
      </c>
      <c r="C16" s="11">
        <v>2835694.7333333339</v>
      </c>
      <c r="D16" s="11">
        <v>6354867.2533333329</v>
      </c>
    </row>
    <row r="17" spans="1:4" x14ac:dyDescent="0.3">
      <c r="A17" s="3">
        <v>10502</v>
      </c>
      <c r="B17" s="3" t="s">
        <v>25</v>
      </c>
      <c r="C17" s="11">
        <v>633016.77333333332</v>
      </c>
      <c r="D17" s="11">
        <v>276113.34333333332</v>
      </c>
    </row>
    <row r="18" spans="1:4" x14ac:dyDescent="0.3">
      <c r="A18" s="3">
        <v>10601</v>
      </c>
      <c r="B18" s="3" t="s">
        <v>26</v>
      </c>
      <c r="C18" s="11">
        <v>821301.42333333322</v>
      </c>
      <c r="D18" s="11">
        <v>824955.11</v>
      </c>
    </row>
    <row r="19" spans="1:4" x14ac:dyDescent="0.3">
      <c r="A19" s="3">
        <v>10602</v>
      </c>
      <c r="B19" s="3" t="s">
        <v>28</v>
      </c>
      <c r="C19" s="11">
        <v>151913.37666666668</v>
      </c>
      <c r="D19" s="11">
        <v>484559.58333333331</v>
      </c>
    </row>
    <row r="20" spans="1:4" x14ac:dyDescent="0.3">
      <c r="A20" s="3">
        <v>10701</v>
      </c>
      <c r="B20" s="3" t="s">
        <v>29</v>
      </c>
      <c r="C20" s="11">
        <v>1382616.6933333334</v>
      </c>
      <c r="D20" s="11">
        <v>2330263.2333333334</v>
      </c>
    </row>
    <row r="21" spans="1:4" x14ac:dyDescent="0.3">
      <c r="A21" s="3">
        <v>10702</v>
      </c>
      <c r="B21" s="3" t="s">
        <v>31</v>
      </c>
      <c r="C21" s="11">
        <v>3703705.2433333336</v>
      </c>
      <c r="D21" s="11">
        <v>3489817.1733333343</v>
      </c>
    </row>
    <row r="22" spans="1:4" x14ac:dyDescent="0.3">
      <c r="A22" s="3">
        <v>10703</v>
      </c>
      <c r="B22" s="3" t="s">
        <v>32</v>
      </c>
      <c r="C22" s="11">
        <v>446082.54333333339</v>
      </c>
      <c r="D22" s="11">
        <v>264435.28666666668</v>
      </c>
    </row>
    <row r="23" spans="1:4" x14ac:dyDescent="0.3">
      <c r="A23" s="3">
        <v>10704</v>
      </c>
      <c r="B23" s="3" t="s">
        <v>43</v>
      </c>
      <c r="C23" s="11">
        <v>81998.19</v>
      </c>
      <c r="D23" s="11">
        <v>1210028.0166666668</v>
      </c>
    </row>
    <row r="24" spans="1:4" x14ac:dyDescent="0.3">
      <c r="A24" s="3">
        <v>10801</v>
      </c>
      <c r="B24" s="3" t="s">
        <v>33</v>
      </c>
      <c r="C24" s="11">
        <v>484569.49666666664</v>
      </c>
      <c r="D24" s="11">
        <v>867244.91333333321</v>
      </c>
    </row>
    <row r="25" spans="1:4" x14ac:dyDescent="0.3">
      <c r="A25" s="3">
        <v>10901</v>
      </c>
      <c r="B25" s="3" t="s">
        <v>35</v>
      </c>
      <c r="C25" s="11">
        <v>182223.87</v>
      </c>
      <c r="D25" s="11">
        <v>286573.27666666667</v>
      </c>
    </row>
    <row r="26" spans="1:4" x14ac:dyDescent="0.3">
      <c r="A26" s="3">
        <v>10902</v>
      </c>
      <c r="B26" s="3" t="s">
        <v>37</v>
      </c>
      <c r="C26" s="11">
        <v>730577.02999999991</v>
      </c>
      <c r="D26" s="11">
        <v>1055467.7300000002</v>
      </c>
    </row>
    <row r="27" spans="1:4" x14ac:dyDescent="0.3">
      <c r="A27" s="3">
        <v>10903</v>
      </c>
      <c r="B27" s="3" t="s">
        <v>38</v>
      </c>
      <c r="C27" s="11">
        <v>193327.76666666663</v>
      </c>
      <c r="D27" s="11">
        <v>343804.21333333332</v>
      </c>
    </row>
    <row r="28" spans="1:4" x14ac:dyDescent="0.3">
      <c r="A28" s="3">
        <v>11001</v>
      </c>
      <c r="B28" s="3" t="s">
        <v>39</v>
      </c>
      <c r="C28" s="11">
        <v>1998356.8466666667</v>
      </c>
      <c r="D28" s="11">
        <v>1172988.4066666665</v>
      </c>
    </row>
    <row r="29" spans="1:4" x14ac:dyDescent="0.3">
      <c r="A29" s="3">
        <v>11002</v>
      </c>
      <c r="B29" s="3" t="s">
        <v>41</v>
      </c>
      <c r="C29" s="11">
        <v>2713825.7666666666</v>
      </c>
      <c r="D29" s="11">
        <v>74501.069999999992</v>
      </c>
    </row>
    <row r="30" spans="1:4" x14ac:dyDescent="0.3">
      <c r="A30" s="3">
        <v>11003</v>
      </c>
      <c r="B30" s="3" t="s">
        <v>42</v>
      </c>
      <c r="C30" s="11">
        <v>388889.64666666667</v>
      </c>
      <c r="D30" s="11">
        <v>764537.18333333323</v>
      </c>
    </row>
    <row r="31" spans="1:4" x14ac:dyDescent="0.3">
      <c r="A31" s="3">
        <v>20101</v>
      </c>
      <c r="B31" s="3" t="s">
        <v>44</v>
      </c>
      <c r="C31" s="11">
        <v>560258790.57666671</v>
      </c>
      <c r="D31" s="11">
        <v>790270499.39666653</v>
      </c>
    </row>
    <row r="32" spans="1:4" x14ac:dyDescent="0.3">
      <c r="A32" s="3">
        <v>20102</v>
      </c>
      <c r="B32" s="3" t="s">
        <v>47</v>
      </c>
      <c r="C32" s="11">
        <v>1769055.6966666665</v>
      </c>
      <c r="D32" s="11">
        <v>14373953.663333334</v>
      </c>
    </row>
    <row r="33" spans="1:4" x14ac:dyDescent="0.3">
      <c r="A33" s="3">
        <v>20103</v>
      </c>
      <c r="B33" s="3" t="s">
        <v>48</v>
      </c>
      <c r="C33" s="11">
        <v>1090536.4833333334</v>
      </c>
      <c r="D33" s="11">
        <v>9461389.9333333336</v>
      </c>
    </row>
    <row r="34" spans="1:4" x14ac:dyDescent="0.3">
      <c r="A34" s="3">
        <v>20104</v>
      </c>
      <c r="B34" s="3" t="s">
        <v>49</v>
      </c>
      <c r="C34" s="11">
        <v>3864751.7666666671</v>
      </c>
      <c r="D34" s="11">
        <v>39743191.789999999</v>
      </c>
    </row>
    <row r="35" spans="1:4" x14ac:dyDescent="0.3">
      <c r="A35" s="3">
        <v>20105</v>
      </c>
      <c r="B35" s="3" t="s">
        <v>50</v>
      </c>
      <c r="C35" s="11">
        <v>158872742.07000005</v>
      </c>
      <c r="D35" s="11">
        <v>397805325.88999993</v>
      </c>
    </row>
    <row r="36" spans="1:4" x14ac:dyDescent="0.3">
      <c r="A36" s="3">
        <v>20201</v>
      </c>
      <c r="B36" s="3" t="s">
        <v>73</v>
      </c>
      <c r="C36" s="11">
        <v>723504.19333333336</v>
      </c>
      <c r="D36" s="11">
        <v>1656086.75</v>
      </c>
    </row>
    <row r="37" spans="1:4" x14ac:dyDescent="0.3">
      <c r="A37" s="3">
        <v>20202</v>
      </c>
      <c r="B37" s="3" t="s">
        <v>75</v>
      </c>
      <c r="C37" s="11">
        <v>64500.353333333325</v>
      </c>
      <c r="D37" s="11">
        <v>240808.72999999998</v>
      </c>
    </row>
    <row r="38" spans="1:4" x14ac:dyDescent="0.3">
      <c r="A38" s="3">
        <v>20203</v>
      </c>
      <c r="B38" s="3" t="s">
        <v>151</v>
      </c>
      <c r="C38" s="11">
        <v>0</v>
      </c>
      <c r="D38" s="11">
        <v>205302.89666666664</v>
      </c>
    </row>
    <row r="39" spans="1:4" x14ac:dyDescent="0.3">
      <c r="A39" s="3">
        <v>20204</v>
      </c>
      <c r="B39" s="3" t="s">
        <v>145</v>
      </c>
      <c r="C39" s="11">
        <v>869930.46</v>
      </c>
      <c r="D39" s="11">
        <v>1579718.1600000001</v>
      </c>
    </row>
    <row r="40" spans="1:4" x14ac:dyDescent="0.3">
      <c r="A40" s="3">
        <v>20205</v>
      </c>
      <c r="B40" s="3" t="s">
        <v>146</v>
      </c>
      <c r="C40" s="11">
        <v>21253.253333333334</v>
      </c>
      <c r="D40" s="11">
        <v>865479.82333333325</v>
      </c>
    </row>
    <row r="41" spans="1:4" x14ac:dyDescent="0.3">
      <c r="A41" s="3">
        <v>20206</v>
      </c>
      <c r="B41" s="3" t="s">
        <v>150</v>
      </c>
      <c r="C41" s="11">
        <v>425486</v>
      </c>
      <c r="D41" s="11">
        <v>851162.02999999991</v>
      </c>
    </row>
    <row r="42" spans="1:4" x14ac:dyDescent="0.3">
      <c r="A42" s="3">
        <v>20301</v>
      </c>
      <c r="B42" s="3" t="s">
        <v>91</v>
      </c>
      <c r="C42" s="11">
        <v>153656.42333333334</v>
      </c>
      <c r="D42" s="11">
        <v>407264.29666666663</v>
      </c>
    </row>
    <row r="43" spans="1:4" x14ac:dyDescent="0.3">
      <c r="A43" s="3">
        <v>20302</v>
      </c>
      <c r="B43" s="3" t="s">
        <v>93</v>
      </c>
      <c r="C43" s="11">
        <v>942.93666666666661</v>
      </c>
      <c r="D43" s="11">
        <v>210741.79333333333</v>
      </c>
    </row>
    <row r="44" spans="1:4" x14ac:dyDescent="0.3">
      <c r="A44" s="3">
        <v>20303</v>
      </c>
      <c r="B44" s="3" t="s">
        <v>94</v>
      </c>
      <c r="C44" s="11">
        <v>7778.2566666666671</v>
      </c>
      <c r="D44" s="11">
        <v>201965.08666666667</v>
      </c>
    </row>
    <row r="45" spans="1:4" x14ac:dyDescent="0.3">
      <c r="A45" s="3">
        <v>20304</v>
      </c>
      <c r="B45" s="3" t="s">
        <v>95</v>
      </c>
      <c r="C45" s="11">
        <v>59422.459999999992</v>
      </c>
      <c r="D45" s="11">
        <v>40835.916666666664</v>
      </c>
    </row>
    <row r="46" spans="1:4" x14ac:dyDescent="0.3">
      <c r="A46" s="3">
        <v>20305</v>
      </c>
      <c r="B46" s="3" t="s">
        <v>96</v>
      </c>
      <c r="C46" s="11">
        <v>7.6466666666666656</v>
      </c>
      <c r="D46" s="11">
        <v>85.666666666666671</v>
      </c>
    </row>
    <row r="47" spans="1:4" x14ac:dyDescent="0.3">
      <c r="A47" s="3">
        <v>20306</v>
      </c>
      <c r="B47" s="3" t="s">
        <v>97</v>
      </c>
      <c r="C47" s="11">
        <v>34.933333333333337</v>
      </c>
      <c r="D47" s="11">
        <v>29743.833333333332</v>
      </c>
    </row>
    <row r="48" spans="1:4" x14ac:dyDescent="0.3">
      <c r="A48" s="3">
        <v>20307</v>
      </c>
      <c r="B48" s="3" t="s">
        <v>98</v>
      </c>
      <c r="C48" s="11">
        <v>51601.91333333333</v>
      </c>
      <c r="D48" s="11">
        <v>152323.67333333334</v>
      </c>
    </row>
    <row r="49" spans="1:4" x14ac:dyDescent="0.3">
      <c r="A49" s="3">
        <v>20308</v>
      </c>
      <c r="B49" s="3" t="s">
        <v>99</v>
      </c>
      <c r="C49" s="11">
        <v>52770.443333333336</v>
      </c>
      <c r="D49" s="11">
        <v>1069688.57</v>
      </c>
    </row>
    <row r="50" spans="1:4" x14ac:dyDescent="0.3">
      <c r="A50" s="3">
        <v>20401</v>
      </c>
      <c r="B50" s="3" t="s">
        <v>100</v>
      </c>
      <c r="C50" s="11">
        <v>12395.730000000001</v>
      </c>
      <c r="D50" s="11">
        <v>66679.463333333333</v>
      </c>
    </row>
    <row r="51" spans="1:4" x14ac:dyDescent="0.3">
      <c r="A51" s="3">
        <v>20402</v>
      </c>
      <c r="B51" s="3" t="s">
        <v>102</v>
      </c>
      <c r="C51" s="11">
        <v>593408.89</v>
      </c>
      <c r="D51" s="11">
        <v>1310646.3166666667</v>
      </c>
    </row>
    <row r="52" spans="1:4" x14ac:dyDescent="0.3">
      <c r="A52" s="3">
        <v>20403</v>
      </c>
      <c r="B52" s="3" t="s">
        <v>103</v>
      </c>
      <c r="C52" s="11">
        <v>1015.9933333333332</v>
      </c>
      <c r="D52" s="11">
        <v>60687.556666666664</v>
      </c>
    </row>
    <row r="53" spans="1:4" x14ac:dyDescent="0.3">
      <c r="A53" s="3">
        <v>20404</v>
      </c>
      <c r="B53" s="3" t="s">
        <v>148</v>
      </c>
      <c r="C53" s="11">
        <v>63266.446666666678</v>
      </c>
      <c r="D53" s="11">
        <v>96045.60000000002</v>
      </c>
    </row>
    <row r="54" spans="1:4" x14ac:dyDescent="0.3">
      <c r="A54" s="3">
        <v>20405</v>
      </c>
      <c r="B54" s="3" t="s">
        <v>147</v>
      </c>
      <c r="C54" s="11">
        <v>29329.919999999998</v>
      </c>
      <c r="D54" s="11">
        <v>964133.54</v>
      </c>
    </row>
    <row r="55" spans="1:4" x14ac:dyDescent="0.3">
      <c r="A55" s="3">
        <v>20501</v>
      </c>
      <c r="B55" s="3" t="s">
        <v>87</v>
      </c>
      <c r="C55" s="11">
        <v>92509.466666666674</v>
      </c>
      <c r="D55" s="11">
        <v>119911.60333333333</v>
      </c>
    </row>
    <row r="56" spans="1:4" x14ac:dyDescent="0.3">
      <c r="A56" s="3">
        <v>20502</v>
      </c>
      <c r="B56" s="3" t="s">
        <v>89</v>
      </c>
      <c r="C56" s="11">
        <v>480840.44</v>
      </c>
      <c r="D56" s="11">
        <v>454449.60333333333</v>
      </c>
    </row>
    <row r="57" spans="1:4" x14ac:dyDescent="0.3">
      <c r="A57" s="3">
        <v>20503</v>
      </c>
      <c r="B57" s="3" t="s">
        <v>90</v>
      </c>
      <c r="C57" s="11">
        <v>967318.69666666666</v>
      </c>
      <c r="D57" s="11">
        <v>5521494.9366666665</v>
      </c>
    </row>
    <row r="58" spans="1:4" x14ac:dyDescent="0.3">
      <c r="A58" s="3">
        <v>20601</v>
      </c>
      <c r="B58" s="3" t="s">
        <v>76</v>
      </c>
      <c r="C58" s="11">
        <v>1182386.5866666667</v>
      </c>
      <c r="D58" s="11">
        <v>10432778.029999999</v>
      </c>
    </row>
    <row r="59" spans="1:4" x14ac:dyDescent="0.3">
      <c r="A59" s="3">
        <v>20602</v>
      </c>
      <c r="B59" s="3" t="s">
        <v>78</v>
      </c>
      <c r="C59" s="11">
        <v>569267.64</v>
      </c>
      <c r="D59" s="11">
        <v>2515578.8433333337</v>
      </c>
    </row>
    <row r="60" spans="1:4" x14ac:dyDescent="0.3">
      <c r="A60" s="3">
        <v>20603</v>
      </c>
      <c r="B60" s="3" t="s">
        <v>79</v>
      </c>
      <c r="C60" s="11">
        <v>483628.77333333326</v>
      </c>
      <c r="D60" s="11">
        <v>144332.59666666665</v>
      </c>
    </row>
    <row r="61" spans="1:4" x14ac:dyDescent="0.3">
      <c r="A61" s="3">
        <v>20604</v>
      </c>
      <c r="B61" s="3" t="s">
        <v>81</v>
      </c>
      <c r="C61" s="11">
        <v>6.6533333333333333</v>
      </c>
      <c r="D61" s="11">
        <v>14631.269999999999</v>
      </c>
    </row>
    <row r="62" spans="1:4" x14ac:dyDescent="0.3">
      <c r="A62" s="3">
        <v>20605</v>
      </c>
      <c r="B62" s="3" t="s">
        <v>82</v>
      </c>
      <c r="C62" s="11">
        <v>1231613.46</v>
      </c>
      <c r="D62" s="11">
        <v>3014109.5833333335</v>
      </c>
    </row>
    <row r="63" spans="1:4" x14ac:dyDescent="0.3">
      <c r="A63" s="3">
        <v>20606</v>
      </c>
      <c r="B63" s="3" t="s">
        <v>80</v>
      </c>
      <c r="C63" s="11">
        <v>947531.70666666667</v>
      </c>
      <c r="D63" s="11">
        <v>5352999.6833333327</v>
      </c>
    </row>
    <row r="64" spans="1:4" x14ac:dyDescent="0.3">
      <c r="A64" s="3">
        <v>20607</v>
      </c>
      <c r="B64" s="3" t="s">
        <v>140</v>
      </c>
      <c r="C64" s="11">
        <v>287402.45</v>
      </c>
      <c r="D64" s="11">
        <v>4434826.0266666664</v>
      </c>
    </row>
    <row r="65" spans="1:4" x14ac:dyDescent="0.3">
      <c r="A65" s="3">
        <v>20608</v>
      </c>
      <c r="B65" s="3" t="s">
        <v>141</v>
      </c>
      <c r="C65" s="11">
        <v>359070.97666666663</v>
      </c>
      <c r="D65" s="11">
        <v>1438317.0766666669</v>
      </c>
    </row>
    <row r="66" spans="1:4" x14ac:dyDescent="0.3">
      <c r="A66" s="3">
        <v>20701</v>
      </c>
      <c r="B66" s="3" t="s">
        <v>104</v>
      </c>
      <c r="C66" s="11">
        <v>461682.09</v>
      </c>
      <c r="D66" s="11">
        <v>4289743.6500000004</v>
      </c>
    </row>
    <row r="67" spans="1:4" x14ac:dyDescent="0.3">
      <c r="A67" s="3">
        <v>20702</v>
      </c>
      <c r="B67" s="3" t="s">
        <v>106</v>
      </c>
      <c r="C67" s="11">
        <v>14242535.026666665</v>
      </c>
      <c r="D67" s="11">
        <v>46720084.863333337</v>
      </c>
    </row>
    <row r="68" spans="1:4" x14ac:dyDescent="0.3">
      <c r="A68" s="3">
        <v>20801</v>
      </c>
      <c r="B68" s="3" t="s">
        <v>51</v>
      </c>
      <c r="C68" s="11">
        <v>79808.09</v>
      </c>
      <c r="D68" s="11">
        <v>276601.77666666667</v>
      </c>
    </row>
    <row r="69" spans="1:4" x14ac:dyDescent="0.3">
      <c r="A69" s="3">
        <v>20802</v>
      </c>
      <c r="B69" s="3" t="s">
        <v>53</v>
      </c>
      <c r="C69" s="11">
        <v>4532791.7966666669</v>
      </c>
      <c r="D69" s="11">
        <v>429994.83333333331</v>
      </c>
    </row>
    <row r="70" spans="1:4" x14ac:dyDescent="0.3">
      <c r="A70" s="3">
        <v>20803</v>
      </c>
      <c r="B70" s="3" t="s">
        <v>54</v>
      </c>
      <c r="C70" s="11">
        <v>544477.91333333333</v>
      </c>
      <c r="D70" s="11">
        <v>2125084.7633333332</v>
      </c>
    </row>
    <row r="71" spans="1:4" x14ac:dyDescent="0.3">
      <c r="A71" s="3">
        <v>20804</v>
      </c>
      <c r="B71" s="3" t="s">
        <v>55</v>
      </c>
      <c r="C71" s="11">
        <v>83379.963333333333</v>
      </c>
      <c r="D71" s="11">
        <v>883308.40666666662</v>
      </c>
    </row>
    <row r="72" spans="1:4" x14ac:dyDescent="0.3">
      <c r="A72" s="3">
        <v>20805</v>
      </c>
      <c r="B72" s="3" t="s">
        <v>142</v>
      </c>
      <c r="C72" s="11">
        <v>152451.78333333333</v>
      </c>
      <c r="D72" s="11">
        <v>316614.6166666667</v>
      </c>
    </row>
    <row r="73" spans="1:4" x14ac:dyDescent="0.3">
      <c r="A73" s="3">
        <v>20806</v>
      </c>
      <c r="B73" s="3" t="s">
        <v>143</v>
      </c>
      <c r="C73" s="11">
        <v>75125.82666666666</v>
      </c>
      <c r="D73" s="11">
        <v>662143.8933333332</v>
      </c>
    </row>
    <row r="74" spans="1:4" x14ac:dyDescent="0.3">
      <c r="A74" s="3">
        <v>20807</v>
      </c>
      <c r="B74" s="3" t="s">
        <v>144</v>
      </c>
      <c r="C74" s="11">
        <v>12115.663333333332</v>
      </c>
      <c r="D74" s="11">
        <v>1106234.7166666666</v>
      </c>
    </row>
    <row r="75" spans="1:4" x14ac:dyDescent="0.3">
      <c r="A75" s="3">
        <v>20901</v>
      </c>
      <c r="B75" s="3" t="s">
        <v>107</v>
      </c>
      <c r="C75" s="11">
        <v>61818.746666666666</v>
      </c>
      <c r="D75" s="11">
        <v>292615.46666666673</v>
      </c>
    </row>
    <row r="76" spans="1:4" x14ac:dyDescent="0.3">
      <c r="A76" s="3">
        <v>20902</v>
      </c>
      <c r="B76" s="3" t="s">
        <v>109</v>
      </c>
      <c r="C76" s="11">
        <v>144216.87</v>
      </c>
      <c r="D76" s="11">
        <v>367166.22333333333</v>
      </c>
    </row>
    <row r="77" spans="1:4" x14ac:dyDescent="0.3">
      <c r="A77" s="3">
        <v>20903</v>
      </c>
      <c r="B77" s="3" t="s">
        <v>110</v>
      </c>
      <c r="C77" s="11">
        <v>78831.32666666666</v>
      </c>
      <c r="D77" s="11">
        <v>341366.83333333331</v>
      </c>
    </row>
    <row r="78" spans="1:4" x14ac:dyDescent="0.3">
      <c r="A78" s="3">
        <v>20904</v>
      </c>
      <c r="B78" s="3" t="s">
        <v>111</v>
      </c>
      <c r="C78" s="11">
        <v>196071.85</v>
      </c>
      <c r="D78" s="11">
        <v>161285.69666666668</v>
      </c>
    </row>
    <row r="79" spans="1:4" x14ac:dyDescent="0.3">
      <c r="A79" s="3">
        <v>20905</v>
      </c>
      <c r="B79" s="3" t="s">
        <v>112</v>
      </c>
      <c r="C79" s="11">
        <v>533227.92666666664</v>
      </c>
      <c r="D79" s="11">
        <v>1570627.9433333334</v>
      </c>
    </row>
    <row r="80" spans="1:4" x14ac:dyDescent="0.3">
      <c r="A80" s="3">
        <v>21001</v>
      </c>
      <c r="B80" s="3" t="s">
        <v>66</v>
      </c>
      <c r="C80" s="11">
        <v>241905.76</v>
      </c>
      <c r="D80" s="11">
        <v>1933853.3466666667</v>
      </c>
    </row>
    <row r="81" spans="1:4" x14ac:dyDescent="0.3">
      <c r="A81" s="3">
        <v>21002</v>
      </c>
      <c r="B81" s="3" t="s">
        <v>68</v>
      </c>
      <c r="C81" s="11">
        <v>1363823.4733333334</v>
      </c>
      <c r="D81" s="11">
        <v>1788685.8533333333</v>
      </c>
    </row>
    <row r="82" spans="1:4" x14ac:dyDescent="0.3">
      <c r="A82" s="3">
        <v>21003</v>
      </c>
      <c r="B82" s="3" t="s">
        <v>69</v>
      </c>
      <c r="C82" s="11">
        <v>571395.40333333332</v>
      </c>
      <c r="D82" s="11">
        <v>1182236.5</v>
      </c>
    </row>
    <row r="83" spans="1:4" x14ac:dyDescent="0.3">
      <c r="A83" s="3">
        <v>21004</v>
      </c>
      <c r="B83" s="3" t="s">
        <v>70</v>
      </c>
      <c r="C83" s="11">
        <v>4360715.5466666669</v>
      </c>
      <c r="D83" s="11">
        <v>6844272.2233333327</v>
      </c>
    </row>
    <row r="84" spans="1:4" x14ac:dyDescent="0.3">
      <c r="A84" s="3">
        <v>21005</v>
      </c>
      <c r="B84" s="3" t="s">
        <v>71</v>
      </c>
      <c r="C84" s="11">
        <v>218552.81999999998</v>
      </c>
      <c r="D84" s="11">
        <v>775813.5033333333</v>
      </c>
    </row>
    <row r="85" spans="1:4" x14ac:dyDescent="0.3">
      <c r="A85" s="3">
        <v>21006</v>
      </c>
      <c r="B85" s="3" t="s">
        <v>72</v>
      </c>
      <c r="C85" s="11">
        <v>25084.22</v>
      </c>
      <c r="D85" s="11">
        <v>382072.63666666672</v>
      </c>
    </row>
    <row r="86" spans="1:4" x14ac:dyDescent="0.3">
      <c r="A86" s="3">
        <v>21101</v>
      </c>
      <c r="B86" s="3" t="s">
        <v>113</v>
      </c>
      <c r="C86" s="11">
        <v>411505.62000000005</v>
      </c>
      <c r="D86" s="11">
        <v>1015822.2033333335</v>
      </c>
    </row>
    <row r="87" spans="1:4" x14ac:dyDescent="0.3">
      <c r="A87" s="3">
        <v>21102</v>
      </c>
      <c r="B87" s="3" t="s">
        <v>115</v>
      </c>
      <c r="C87" s="11">
        <v>1038875.4633333334</v>
      </c>
      <c r="D87" s="11">
        <v>4167537.8433333337</v>
      </c>
    </row>
    <row r="88" spans="1:4" x14ac:dyDescent="0.3">
      <c r="A88" s="3">
        <v>21103</v>
      </c>
      <c r="B88" s="3" t="s">
        <v>116</v>
      </c>
      <c r="C88" s="11">
        <v>744711.75666666671</v>
      </c>
      <c r="D88" s="11">
        <v>785754.11333333328</v>
      </c>
    </row>
    <row r="89" spans="1:4" x14ac:dyDescent="0.3">
      <c r="A89" s="3">
        <v>21104</v>
      </c>
      <c r="B89" s="3" t="s">
        <v>117</v>
      </c>
      <c r="C89" s="11">
        <v>1032102.6333333334</v>
      </c>
      <c r="D89" s="11">
        <v>1077259.1166666665</v>
      </c>
    </row>
    <row r="90" spans="1:4" x14ac:dyDescent="0.3">
      <c r="A90" s="3">
        <v>21105</v>
      </c>
      <c r="B90" s="3" t="s">
        <v>118</v>
      </c>
      <c r="C90" s="11">
        <v>430423.14666666667</v>
      </c>
      <c r="D90" s="11">
        <v>862757.22000000009</v>
      </c>
    </row>
    <row r="91" spans="1:4" x14ac:dyDescent="0.3">
      <c r="A91" s="3">
        <v>21201</v>
      </c>
      <c r="B91" s="3" t="s">
        <v>119</v>
      </c>
      <c r="C91" s="11">
        <v>614641.88</v>
      </c>
      <c r="D91" s="11">
        <v>2488190.2399999998</v>
      </c>
    </row>
    <row r="92" spans="1:4" x14ac:dyDescent="0.3">
      <c r="A92" s="3">
        <v>21202</v>
      </c>
      <c r="B92" s="3" t="s">
        <v>121</v>
      </c>
      <c r="C92" s="11">
        <v>389614.38666666666</v>
      </c>
      <c r="D92" s="11">
        <v>5787484.5333333341</v>
      </c>
    </row>
    <row r="93" spans="1:4" x14ac:dyDescent="0.3">
      <c r="A93" s="3">
        <v>21203</v>
      </c>
      <c r="B93" s="3" t="s">
        <v>122</v>
      </c>
      <c r="C93" s="11">
        <v>122288.25</v>
      </c>
      <c r="D93" s="11">
        <v>663798.06333333335</v>
      </c>
    </row>
    <row r="94" spans="1:4" x14ac:dyDescent="0.3">
      <c r="A94" s="3">
        <v>21204</v>
      </c>
      <c r="B94" s="3" t="s">
        <v>123</v>
      </c>
      <c r="C94" s="11">
        <v>28207.886666666669</v>
      </c>
      <c r="D94" s="11">
        <v>23607.110000000004</v>
      </c>
    </row>
    <row r="95" spans="1:4" x14ac:dyDescent="0.3">
      <c r="A95" s="3">
        <v>21301</v>
      </c>
      <c r="B95" s="3" t="s">
        <v>58</v>
      </c>
      <c r="C95" s="11">
        <v>140178.87333333332</v>
      </c>
      <c r="D95" s="11">
        <v>4208010.3166666664</v>
      </c>
    </row>
    <row r="96" spans="1:4" x14ac:dyDescent="0.3">
      <c r="A96" s="3">
        <v>21302</v>
      </c>
      <c r="B96" s="3" t="s">
        <v>60</v>
      </c>
      <c r="C96" s="11">
        <v>2733.0366666666682</v>
      </c>
      <c r="D96" s="11">
        <v>22683.693333333333</v>
      </c>
    </row>
    <row r="97" spans="1:4" x14ac:dyDescent="0.3">
      <c r="A97" s="3">
        <v>21303</v>
      </c>
      <c r="B97" s="3" t="s">
        <v>61</v>
      </c>
      <c r="C97" s="11">
        <v>36074.933333333334</v>
      </c>
      <c r="D97" s="11">
        <v>358846.3066666667</v>
      </c>
    </row>
    <row r="98" spans="1:4" x14ac:dyDescent="0.3">
      <c r="A98" s="3">
        <v>21304</v>
      </c>
      <c r="B98" s="3" t="s">
        <v>62</v>
      </c>
      <c r="C98" s="11">
        <v>187294.29333333333</v>
      </c>
      <c r="D98" s="11">
        <v>8914637.9533333331</v>
      </c>
    </row>
    <row r="99" spans="1:4" x14ac:dyDescent="0.3">
      <c r="A99" s="3">
        <v>21305</v>
      </c>
      <c r="B99" s="3" t="s">
        <v>63</v>
      </c>
      <c r="C99" s="11">
        <v>650272.43000000005</v>
      </c>
      <c r="D99" s="11">
        <v>3974202.5933333333</v>
      </c>
    </row>
    <row r="100" spans="1:4" x14ac:dyDescent="0.3">
      <c r="A100" s="3">
        <v>21306</v>
      </c>
      <c r="B100" s="3" t="s">
        <v>64</v>
      </c>
      <c r="C100" s="11">
        <v>199325.43999999997</v>
      </c>
      <c r="D100" s="11">
        <v>387457.23</v>
      </c>
    </row>
    <row r="101" spans="1:4" x14ac:dyDescent="0.3">
      <c r="A101" s="3">
        <v>21307</v>
      </c>
      <c r="B101" s="3" t="s">
        <v>65</v>
      </c>
      <c r="C101" s="11">
        <v>133008.23333333331</v>
      </c>
      <c r="D101" s="11">
        <v>404878.60000000009</v>
      </c>
    </row>
    <row r="102" spans="1:4" x14ac:dyDescent="0.3">
      <c r="A102" s="3">
        <v>21401</v>
      </c>
      <c r="B102" s="3" t="s">
        <v>124</v>
      </c>
      <c r="C102" s="11">
        <v>1983484.8166666664</v>
      </c>
      <c r="D102" s="11">
        <v>3087212.0866666664</v>
      </c>
    </row>
    <row r="103" spans="1:4" x14ac:dyDescent="0.3">
      <c r="A103" s="3">
        <v>21402</v>
      </c>
      <c r="B103" s="3" t="s">
        <v>126</v>
      </c>
      <c r="C103" s="11">
        <v>150650.25999999998</v>
      </c>
      <c r="D103" s="11">
        <v>499878.54000000004</v>
      </c>
    </row>
    <row r="104" spans="1:4" x14ac:dyDescent="0.3">
      <c r="A104" s="3">
        <v>21501</v>
      </c>
      <c r="B104" s="3" t="s">
        <v>127</v>
      </c>
      <c r="C104" s="11">
        <v>617325.49</v>
      </c>
      <c r="D104" s="11">
        <v>1211696.3433333333</v>
      </c>
    </row>
    <row r="105" spans="1:4" x14ac:dyDescent="0.3">
      <c r="A105" s="3">
        <v>21502</v>
      </c>
      <c r="B105" s="3" t="s">
        <v>129</v>
      </c>
      <c r="C105" s="11">
        <v>493720.3133333333</v>
      </c>
      <c r="D105" s="11">
        <v>1148753.5599999998</v>
      </c>
    </row>
    <row r="106" spans="1:4" x14ac:dyDescent="0.3">
      <c r="A106" s="3">
        <v>21601</v>
      </c>
      <c r="B106" s="3" t="s">
        <v>130</v>
      </c>
      <c r="C106" s="11">
        <v>314161.2</v>
      </c>
      <c r="D106" s="11">
        <v>89634.516666666677</v>
      </c>
    </row>
    <row r="107" spans="1:4" x14ac:dyDescent="0.3">
      <c r="A107" s="3">
        <v>21602</v>
      </c>
      <c r="B107" s="3" t="s">
        <v>132</v>
      </c>
      <c r="C107" s="11">
        <v>212810.83666666667</v>
      </c>
      <c r="D107" s="11">
        <v>788312.16666666663</v>
      </c>
    </row>
    <row r="108" spans="1:4" x14ac:dyDescent="0.3">
      <c r="A108" s="3">
        <v>21701</v>
      </c>
      <c r="B108" s="3" t="s">
        <v>83</v>
      </c>
      <c r="C108" s="11">
        <v>1365491.2933333332</v>
      </c>
      <c r="D108" s="11">
        <v>1570707.8966666667</v>
      </c>
    </row>
    <row r="109" spans="1:4" x14ac:dyDescent="0.3">
      <c r="A109" s="3">
        <v>21702</v>
      </c>
      <c r="B109" s="3" t="s">
        <v>85</v>
      </c>
      <c r="C109" s="11">
        <v>11080.32</v>
      </c>
      <c r="D109" s="11">
        <v>119097.39666666667</v>
      </c>
    </row>
    <row r="110" spans="1:4" x14ac:dyDescent="0.3">
      <c r="A110" s="3">
        <v>21703</v>
      </c>
      <c r="B110" s="3" t="s">
        <v>86</v>
      </c>
      <c r="C110" s="11">
        <v>569.5</v>
      </c>
      <c r="D110" s="11">
        <v>20909.433333333334</v>
      </c>
    </row>
    <row r="111" spans="1:4" x14ac:dyDescent="0.3">
      <c r="A111" s="3">
        <v>21801</v>
      </c>
      <c r="B111" s="3" t="s">
        <v>133</v>
      </c>
      <c r="C111" s="11">
        <v>352685.45999999996</v>
      </c>
      <c r="D111" s="11">
        <v>25459.103333333333</v>
      </c>
    </row>
    <row r="112" spans="1:4" x14ac:dyDescent="0.3">
      <c r="A112" s="3">
        <v>21802</v>
      </c>
      <c r="B112" s="3" t="s">
        <v>135</v>
      </c>
      <c r="C112" s="11">
        <v>189225.51333333334</v>
      </c>
      <c r="D112" s="11">
        <v>639851.62</v>
      </c>
    </row>
    <row r="113" spans="1:4" x14ac:dyDescent="0.3">
      <c r="A113" s="3">
        <v>21803</v>
      </c>
      <c r="B113" s="3" t="s">
        <v>136</v>
      </c>
      <c r="C113" s="11">
        <v>74496.843333333338</v>
      </c>
      <c r="D113" s="11">
        <v>132858.15666666665</v>
      </c>
    </row>
    <row r="114" spans="1:4" x14ac:dyDescent="0.3">
      <c r="A114" s="3">
        <v>21901</v>
      </c>
      <c r="B114" s="3" t="s">
        <v>137</v>
      </c>
      <c r="C114" s="11">
        <v>44856.25</v>
      </c>
      <c r="D114" s="11">
        <v>75431.843333333338</v>
      </c>
    </row>
    <row r="115" spans="1:4" x14ac:dyDescent="0.3">
      <c r="A115" s="3">
        <v>21902</v>
      </c>
      <c r="B115" s="3" t="s">
        <v>139</v>
      </c>
      <c r="C115" s="11">
        <v>0</v>
      </c>
      <c r="D115" s="11">
        <v>433.33333333333331</v>
      </c>
    </row>
    <row r="116" spans="1:4" x14ac:dyDescent="0.3">
      <c r="A116" s="3">
        <v>22001</v>
      </c>
      <c r="B116" s="3" t="s">
        <v>56</v>
      </c>
      <c r="C116" s="11">
        <v>4307875.9666666668</v>
      </c>
      <c r="D116" s="11">
        <v>8172900.9633333338</v>
      </c>
    </row>
    <row r="117" spans="1:4" x14ac:dyDescent="0.3">
      <c r="A117" s="3">
        <v>22002</v>
      </c>
      <c r="B117" s="3" t="s">
        <v>149</v>
      </c>
      <c r="C117" s="11">
        <v>547053.53333333333</v>
      </c>
      <c r="D117" s="11">
        <v>509800.9266666667</v>
      </c>
    </row>
    <row r="118" spans="1:4" x14ac:dyDescent="0.3">
      <c r="A118" s="3">
        <v>30101</v>
      </c>
      <c r="B118" s="3" t="s">
        <v>152</v>
      </c>
      <c r="C118" s="11">
        <v>324571700.40333325</v>
      </c>
      <c r="D118" s="11">
        <v>591564459.21000004</v>
      </c>
    </row>
    <row r="119" spans="1:4" x14ac:dyDescent="0.3">
      <c r="A119" s="3">
        <v>30201</v>
      </c>
      <c r="B119" s="3" t="s">
        <v>161</v>
      </c>
      <c r="C119" s="11">
        <v>2145109.7666666671</v>
      </c>
      <c r="D119" s="11">
        <v>6396307.5500000007</v>
      </c>
    </row>
    <row r="120" spans="1:4" x14ac:dyDescent="0.3">
      <c r="A120" s="3">
        <v>30202</v>
      </c>
      <c r="B120" s="3" t="s">
        <v>163</v>
      </c>
      <c r="C120" s="11">
        <v>347034.59000000008</v>
      </c>
      <c r="D120" s="11">
        <v>635551.69333333336</v>
      </c>
    </row>
    <row r="121" spans="1:4" x14ac:dyDescent="0.3">
      <c r="A121" s="3">
        <v>30203</v>
      </c>
      <c r="B121" s="3" t="s">
        <v>164</v>
      </c>
      <c r="C121" s="11">
        <v>301734.44</v>
      </c>
      <c r="D121" s="11">
        <v>553277.1</v>
      </c>
    </row>
    <row r="122" spans="1:4" x14ac:dyDescent="0.3">
      <c r="A122" s="3">
        <v>30301</v>
      </c>
      <c r="B122" s="3" t="s">
        <v>165</v>
      </c>
      <c r="C122" s="11">
        <v>1122367.67</v>
      </c>
      <c r="D122" s="11">
        <v>2446526.1233333331</v>
      </c>
    </row>
    <row r="123" spans="1:4" x14ac:dyDescent="0.3">
      <c r="A123" s="3">
        <v>30302</v>
      </c>
      <c r="B123" s="3" t="s">
        <v>167</v>
      </c>
      <c r="C123" s="11">
        <v>117982.82</v>
      </c>
      <c r="D123" s="11">
        <v>721735.40333333332</v>
      </c>
    </row>
    <row r="124" spans="1:4" x14ac:dyDescent="0.3">
      <c r="A124" s="3">
        <v>30303</v>
      </c>
      <c r="B124" s="3" t="s">
        <v>215</v>
      </c>
      <c r="C124" s="11">
        <v>139319.56000000003</v>
      </c>
      <c r="D124" s="11">
        <v>4425371.8466666667</v>
      </c>
    </row>
    <row r="125" spans="1:4" x14ac:dyDescent="0.3">
      <c r="A125" s="3">
        <v>30401</v>
      </c>
      <c r="B125" s="3" t="s">
        <v>178</v>
      </c>
      <c r="C125" s="11">
        <v>831076.4733333335</v>
      </c>
      <c r="D125" s="11">
        <v>1295682.6966666668</v>
      </c>
    </row>
    <row r="126" spans="1:4" x14ac:dyDescent="0.3">
      <c r="A126" s="3">
        <v>30402</v>
      </c>
      <c r="B126" s="3" t="s">
        <v>180</v>
      </c>
      <c r="C126" s="11">
        <v>309949.54000000004</v>
      </c>
      <c r="D126" s="11">
        <v>228272.03000000003</v>
      </c>
    </row>
    <row r="127" spans="1:4" x14ac:dyDescent="0.3">
      <c r="A127" s="3">
        <v>30403</v>
      </c>
      <c r="B127" s="3" t="s">
        <v>181</v>
      </c>
      <c r="C127" s="11">
        <v>1298995.0333333332</v>
      </c>
      <c r="D127" s="11">
        <v>2948872.7066666665</v>
      </c>
    </row>
    <row r="128" spans="1:4" x14ac:dyDescent="0.3">
      <c r="A128" s="3">
        <v>30404</v>
      </c>
      <c r="B128" s="3" t="s">
        <v>182</v>
      </c>
      <c r="C128" s="11">
        <v>155292.17000000001</v>
      </c>
      <c r="D128" s="11">
        <v>65543.503333333341</v>
      </c>
    </row>
    <row r="129" spans="1:4" x14ac:dyDescent="0.3">
      <c r="A129" s="3">
        <v>30501</v>
      </c>
      <c r="B129" s="3" t="s">
        <v>200</v>
      </c>
      <c r="C129" s="11">
        <v>392168.76333333337</v>
      </c>
      <c r="D129" s="11">
        <v>1084062.1333333335</v>
      </c>
    </row>
    <row r="130" spans="1:4" x14ac:dyDescent="0.3">
      <c r="A130" s="3">
        <v>30502</v>
      </c>
      <c r="B130" s="3" t="s">
        <v>202</v>
      </c>
      <c r="C130" s="11">
        <v>207323.18000000002</v>
      </c>
      <c r="D130" s="11">
        <v>298682.05</v>
      </c>
    </row>
    <row r="131" spans="1:4" x14ac:dyDescent="0.3">
      <c r="A131" s="3">
        <v>30601</v>
      </c>
      <c r="B131" s="3" t="s">
        <v>203</v>
      </c>
      <c r="C131" s="11">
        <v>195193.40333333332</v>
      </c>
      <c r="D131" s="11">
        <v>515945.68333333329</v>
      </c>
    </row>
    <row r="132" spans="1:4" x14ac:dyDescent="0.3">
      <c r="A132" s="3">
        <v>30602</v>
      </c>
      <c r="B132" s="3" t="s">
        <v>205</v>
      </c>
      <c r="C132" s="11">
        <v>227877.65666666665</v>
      </c>
      <c r="D132" s="11">
        <v>390906.26333333342</v>
      </c>
    </row>
    <row r="133" spans="1:4" x14ac:dyDescent="0.3">
      <c r="A133" s="3">
        <v>30701</v>
      </c>
      <c r="B133" s="3" t="s">
        <v>188</v>
      </c>
      <c r="C133" s="11">
        <v>3102698.8866666667</v>
      </c>
      <c r="D133" s="11">
        <v>3146467.8033333328</v>
      </c>
    </row>
    <row r="134" spans="1:4" x14ac:dyDescent="0.3">
      <c r="A134" s="3">
        <v>30702</v>
      </c>
      <c r="B134" s="3" t="s">
        <v>190</v>
      </c>
      <c r="C134" s="11">
        <v>1094746.0766666667</v>
      </c>
      <c r="D134" s="11">
        <v>3809280.01</v>
      </c>
    </row>
    <row r="135" spans="1:4" x14ac:dyDescent="0.3">
      <c r="A135" s="3">
        <v>30703</v>
      </c>
      <c r="B135" s="3" t="s">
        <v>191</v>
      </c>
      <c r="C135" s="11">
        <v>209884.19666666668</v>
      </c>
      <c r="D135" s="11">
        <v>675612.01333333331</v>
      </c>
    </row>
    <row r="136" spans="1:4" x14ac:dyDescent="0.3">
      <c r="A136" s="3">
        <v>30801</v>
      </c>
      <c r="B136" s="3" t="s">
        <v>183</v>
      </c>
      <c r="C136" s="11">
        <v>4431525.8533333335</v>
      </c>
      <c r="D136" s="11">
        <v>6805396.6133333333</v>
      </c>
    </row>
    <row r="137" spans="1:4" x14ac:dyDescent="0.3">
      <c r="A137" s="3">
        <v>30802</v>
      </c>
      <c r="B137" s="3" t="s">
        <v>185</v>
      </c>
      <c r="C137" s="11">
        <v>494385.50333333341</v>
      </c>
      <c r="D137" s="11">
        <v>411133.3133333333</v>
      </c>
    </row>
    <row r="138" spans="1:4" x14ac:dyDescent="0.3">
      <c r="A138" s="3">
        <v>30803</v>
      </c>
      <c r="B138" s="3" t="s">
        <v>187</v>
      </c>
      <c r="C138" s="11">
        <v>1141436.2433333334</v>
      </c>
      <c r="D138" s="11">
        <v>1780634.7433333334</v>
      </c>
    </row>
    <row r="139" spans="1:4" x14ac:dyDescent="0.3">
      <c r="A139" s="3">
        <v>30901</v>
      </c>
      <c r="B139" s="3" t="s">
        <v>155</v>
      </c>
      <c r="C139" s="11">
        <v>51381469.403333329</v>
      </c>
      <c r="D139" s="11">
        <v>97821938.310000002</v>
      </c>
    </row>
    <row r="140" spans="1:4" x14ac:dyDescent="0.3">
      <c r="A140" s="3">
        <v>30902</v>
      </c>
      <c r="B140" s="3" t="s">
        <v>157</v>
      </c>
      <c r="C140" s="11">
        <v>2157206.6533333338</v>
      </c>
      <c r="D140" s="11">
        <v>7878554.6266666679</v>
      </c>
    </row>
    <row r="141" spans="1:4" x14ac:dyDescent="0.3">
      <c r="A141" s="3">
        <v>30903</v>
      </c>
      <c r="B141" s="3" t="s">
        <v>158</v>
      </c>
      <c r="C141" s="11">
        <v>15193420.670000002</v>
      </c>
      <c r="D141" s="11">
        <v>34564977.189999998</v>
      </c>
    </row>
    <row r="142" spans="1:4" x14ac:dyDescent="0.3">
      <c r="A142" s="3">
        <v>30904</v>
      </c>
      <c r="B142" s="3" t="s">
        <v>159</v>
      </c>
      <c r="C142" s="11">
        <v>5194326.2366666663</v>
      </c>
      <c r="D142" s="11">
        <v>17968586.673333332</v>
      </c>
    </row>
    <row r="143" spans="1:4" x14ac:dyDescent="0.3">
      <c r="A143" s="3">
        <v>30905</v>
      </c>
      <c r="B143" s="3" t="s">
        <v>160</v>
      </c>
      <c r="C143" s="11">
        <v>13733020.166666666</v>
      </c>
      <c r="D143" s="11">
        <v>41183317.586666666</v>
      </c>
    </row>
    <row r="144" spans="1:4" x14ac:dyDescent="0.3">
      <c r="A144" s="3">
        <v>31001</v>
      </c>
      <c r="B144" s="3" t="s">
        <v>168</v>
      </c>
      <c r="C144" s="11">
        <v>39359572.873333327</v>
      </c>
      <c r="D144" s="11">
        <v>87128429.86999999</v>
      </c>
    </row>
    <row r="145" spans="1:4" x14ac:dyDescent="0.3">
      <c r="A145" s="3">
        <v>31002</v>
      </c>
      <c r="B145" s="3" t="s">
        <v>170</v>
      </c>
      <c r="C145" s="11">
        <v>995191.76000000013</v>
      </c>
      <c r="D145" s="11">
        <v>2280440.9133333336</v>
      </c>
    </row>
    <row r="146" spans="1:4" x14ac:dyDescent="0.3">
      <c r="A146" s="3">
        <v>31003</v>
      </c>
      <c r="B146" s="3" t="s">
        <v>171</v>
      </c>
      <c r="C146" s="11">
        <v>7121822.8499999987</v>
      </c>
      <c r="D146" s="11">
        <v>21620418.710000001</v>
      </c>
    </row>
    <row r="147" spans="1:4" x14ac:dyDescent="0.3">
      <c r="A147" s="3">
        <v>31101</v>
      </c>
      <c r="B147" s="3" t="s">
        <v>192</v>
      </c>
      <c r="C147" s="11">
        <v>485458.80333333329</v>
      </c>
      <c r="D147" s="11">
        <v>942800.7533333333</v>
      </c>
    </row>
    <row r="148" spans="1:4" x14ac:dyDescent="0.3">
      <c r="A148" s="3">
        <v>31201</v>
      </c>
      <c r="B148" s="3" t="s">
        <v>194</v>
      </c>
      <c r="C148" s="11">
        <v>571126.26666666672</v>
      </c>
      <c r="D148" s="11">
        <v>1393127.8066666666</v>
      </c>
    </row>
    <row r="149" spans="1:4" x14ac:dyDescent="0.3">
      <c r="A149" s="3">
        <v>31202</v>
      </c>
      <c r="B149" s="3" t="s">
        <v>196</v>
      </c>
      <c r="C149" s="11">
        <v>233220.82333333333</v>
      </c>
      <c r="D149" s="11">
        <v>321758.64333333325</v>
      </c>
    </row>
    <row r="150" spans="1:4" x14ac:dyDescent="0.3">
      <c r="A150" s="3">
        <v>31203</v>
      </c>
      <c r="B150" s="3" t="s">
        <v>197</v>
      </c>
      <c r="C150" s="11">
        <v>237935.19333333336</v>
      </c>
      <c r="D150" s="11">
        <v>255017.61000000002</v>
      </c>
    </row>
    <row r="151" spans="1:4" x14ac:dyDescent="0.3">
      <c r="A151" s="3">
        <v>31204</v>
      </c>
      <c r="B151" s="3" t="s">
        <v>198</v>
      </c>
      <c r="C151" s="11">
        <v>1754732.6833333333</v>
      </c>
      <c r="D151" s="11">
        <v>4652565.29</v>
      </c>
    </row>
    <row r="152" spans="1:4" x14ac:dyDescent="0.3">
      <c r="A152" s="3">
        <v>31205</v>
      </c>
      <c r="B152" s="3" t="s">
        <v>199</v>
      </c>
      <c r="C152" s="11">
        <v>3384461.94</v>
      </c>
      <c r="D152" s="11">
        <v>12268933.459999999</v>
      </c>
    </row>
    <row r="153" spans="1:4" x14ac:dyDescent="0.3">
      <c r="A153" s="3">
        <v>31206</v>
      </c>
      <c r="B153" s="3" t="s">
        <v>214</v>
      </c>
      <c r="C153" s="11">
        <v>3618561.4433333334</v>
      </c>
      <c r="D153" s="11">
        <v>15167151.556666667</v>
      </c>
    </row>
    <row r="154" spans="1:4" x14ac:dyDescent="0.3">
      <c r="A154" s="3">
        <v>31301</v>
      </c>
      <c r="B154" s="3" t="s">
        <v>210</v>
      </c>
      <c r="C154" s="11">
        <v>2298696.4000000004</v>
      </c>
      <c r="D154" s="11">
        <v>3894165.3133333339</v>
      </c>
    </row>
    <row r="155" spans="1:4" x14ac:dyDescent="0.3">
      <c r="A155" s="3">
        <v>31302</v>
      </c>
      <c r="B155" s="3" t="s">
        <v>212</v>
      </c>
      <c r="C155" s="11">
        <v>109015.90333333332</v>
      </c>
      <c r="D155" s="11">
        <v>50561.079999999994</v>
      </c>
    </row>
    <row r="156" spans="1:4" x14ac:dyDescent="0.3">
      <c r="A156" s="3">
        <v>31303</v>
      </c>
      <c r="B156" s="3" t="s">
        <v>213</v>
      </c>
      <c r="C156" s="11">
        <v>268894.72666666663</v>
      </c>
      <c r="D156" s="11">
        <v>21614.473333333332</v>
      </c>
    </row>
    <row r="157" spans="1:4" x14ac:dyDescent="0.3">
      <c r="A157" s="5">
        <v>31304</v>
      </c>
      <c r="B157" s="5" t="s">
        <v>473</v>
      </c>
      <c r="C157" s="11">
        <v>0</v>
      </c>
      <c r="D157" s="11">
        <v>255458.10000000056</v>
      </c>
    </row>
    <row r="158" spans="1:4" x14ac:dyDescent="0.3">
      <c r="A158" s="3">
        <v>31401</v>
      </c>
      <c r="B158" s="3" t="s">
        <v>172</v>
      </c>
      <c r="C158" s="11">
        <v>9466962.3900000006</v>
      </c>
      <c r="D158" s="11">
        <v>18908712.026666667</v>
      </c>
    </row>
    <row r="159" spans="1:4" x14ac:dyDescent="0.3">
      <c r="A159" s="3">
        <v>31402</v>
      </c>
      <c r="B159" s="3" t="s">
        <v>174</v>
      </c>
      <c r="C159" s="11">
        <v>170757.41666666666</v>
      </c>
      <c r="D159" s="11">
        <v>545411.21666666667</v>
      </c>
    </row>
    <row r="160" spans="1:4" x14ac:dyDescent="0.3">
      <c r="A160" s="3">
        <v>31403</v>
      </c>
      <c r="B160" s="3" t="s">
        <v>175</v>
      </c>
      <c r="C160" s="11">
        <v>1126639.6500000001</v>
      </c>
      <c r="D160" s="11">
        <v>1815067.4733333334</v>
      </c>
    </row>
    <row r="161" spans="1:4" x14ac:dyDescent="0.3">
      <c r="A161" s="3">
        <v>31404</v>
      </c>
      <c r="B161" s="3" t="s">
        <v>176</v>
      </c>
      <c r="C161" s="11">
        <v>240175.58</v>
      </c>
      <c r="D161" s="11">
        <v>18709.953333333331</v>
      </c>
    </row>
    <row r="162" spans="1:4" x14ac:dyDescent="0.3">
      <c r="A162" s="3">
        <v>31405</v>
      </c>
      <c r="B162" s="3" t="s">
        <v>177</v>
      </c>
      <c r="C162" s="11">
        <v>83960.03</v>
      </c>
      <c r="D162" s="11">
        <v>53565.59</v>
      </c>
    </row>
    <row r="163" spans="1:4" x14ac:dyDescent="0.3">
      <c r="A163" s="3">
        <v>31501</v>
      </c>
      <c r="B163" s="3" t="s">
        <v>206</v>
      </c>
      <c r="C163" s="11">
        <v>170280.70333333334</v>
      </c>
      <c r="D163" s="11">
        <v>278781.18666666665</v>
      </c>
    </row>
    <row r="164" spans="1:4" x14ac:dyDescent="0.3">
      <c r="A164" s="3">
        <v>31601</v>
      </c>
      <c r="B164" s="3" t="s">
        <v>208</v>
      </c>
      <c r="C164" s="11">
        <v>574879.45000000007</v>
      </c>
      <c r="D164" s="11">
        <v>1867351.4233333331</v>
      </c>
    </row>
    <row r="165" spans="1:4" x14ac:dyDescent="0.3">
      <c r="A165" s="3">
        <v>31602</v>
      </c>
      <c r="B165" s="3" t="s">
        <v>216</v>
      </c>
      <c r="C165" s="11">
        <v>1502618.9933333334</v>
      </c>
      <c r="D165" s="11">
        <v>4322555.8066666666</v>
      </c>
    </row>
    <row r="166" spans="1:4" x14ac:dyDescent="0.3">
      <c r="A166" s="3">
        <v>40101</v>
      </c>
      <c r="B166" s="3" t="s">
        <v>217</v>
      </c>
      <c r="C166" s="11">
        <v>104100409.70333333</v>
      </c>
      <c r="D166" s="11">
        <v>192423400.36666667</v>
      </c>
    </row>
    <row r="167" spans="1:4" x14ac:dyDescent="0.3">
      <c r="A167" s="3">
        <v>40102</v>
      </c>
      <c r="B167" s="3" t="s">
        <v>219</v>
      </c>
      <c r="C167" s="11">
        <v>2454522.1666666665</v>
      </c>
      <c r="D167" s="11">
        <v>2361484.3233333332</v>
      </c>
    </row>
    <row r="168" spans="1:4" x14ac:dyDescent="0.3">
      <c r="A168" s="3">
        <v>40103</v>
      </c>
      <c r="B168" s="3" t="s">
        <v>220</v>
      </c>
      <c r="C168" s="11">
        <v>8676.4833333333336</v>
      </c>
      <c r="D168" s="11">
        <v>185431.58333333334</v>
      </c>
    </row>
    <row r="169" spans="1:4" x14ac:dyDescent="0.3">
      <c r="A169" s="3">
        <v>40104</v>
      </c>
      <c r="B169" s="3" t="s">
        <v>267</v>
      </c>
      <c r="C169" s="11">
        <v>393324.97333333333</v>
      </c>
      <c r="D169" s="11">
        <v>1988632.1333333335</v>
      </c>
    </row>
    <row r="170" spans="1:4" x14ac:dyDescent="0.3">
      <c r="A170" s="3">
        <v>40201</v>
      </c>
      <c r="B170" s="3" t="s">
        <v>221</v>
      </c>
      <c r="C170" s="11">
        <v>1649845.1933333334</v>
      </c>
      <c r="D170" s="11">
        <v>4470132.9833333334</v>
      </c>
    </row>
    <row r="171" spans="1:4" x14ac:dyDescent="0.3">
      <c r="A171" s="3">
        <v>40202</v>
      </c>
      <c r="B171" s="3" t="s">
        <v>223</v>
      </c>
      <c r="C171" s="11">
        <v>86782.31</v>
      </c>
      <c r="D171" s="11">
        <v>47373.973333333328</v>
      </c>
    </row>
    <row r="172" spans="1:4" x14ac:dyDescent="0.3">
      <c r="A172" s="3">
        <v>40301</v>
      </c>
      <c r="B172" s="3" t="s">
        <v>237</v>
      </c>
      <c r="C172" s="11">
        <v>116781.47000000002</v>
      </c>
      <c r="D172" s="11">
        <v>180251.75333333333</v>
      </c>
    </row>
    <row r="173" spans="1:4" x14ac:dyDescent="0.3">
      <c r="A173" s="3">
        <v>40302</v>
      </c>
      <c r="B173" s="3" t="s">
        <v>239</v>
      </c>
      <c r="C173" s="11">
        <v>0</v>
      </c>
      <c r="D173" s="11">
        <v>41900.403333333328</v>
      </c>
    </row>
    <row r="174" spans="1:4" x14ac:dyDescent="0.3">
      <c r="A174" s="3">
        <v>40401</v>
      </c>
      <c r="B174" s="3" t="s">
        <v>240</v>
      </c>
      <c r="C174" s="11">
        <v>104384.2</v>
      </c>
      <c r="D174" s="11">
        <v>454746.74000000005</v>
      </c>
    </row>
    <row r="175" spans="1:4" x14ac:dyDescent="0.3">
      <c r="A175" s="3">
        <v>40402</v>
      </c>
      <c r="B175" s="3" t="s">
        <v>242</v>
      </c>
      <c r="C175" s="11">
        <v>125413.52999999998</v>
      </c>
      <c r="D175" s="11">
        <v>537731.19666666666</v>
      </c>
    </row>
    <row r="176" spans="1:4" x14ac:dyDescent="0.3">
      <c r="A176" s="3">
        <v>40501</v>
      </c>
      <c r="B176" s="3" t="s">
        <v>243</v>
      </c>
      <c r="C176" s="11">
        <v>31376.486666666668</v>
      </c>
      <c r="D176" s="11">
        <v>337338.38666666666</v>
      </c>
    </row>
    <row r="177" spans="1:4" x14ac:dyDescent="0.3">
      <c r="A177" s="3">
        <v>40502</v>
      </c>
      <c r="B177" s="3" t="s">
        <v>245</v>
      </c>
      <c r="C177" s="11">
        <v>0</v>
      </c>
      <c r="D177" s="11">
        <v>2256881</v>
      </c>
    </row>
    <row r="178" spans="1:4" x14ac:dyDescent="0.3">
      <c r="A178" s="3">
        <v>40503</v>
      </c>
      <c r="B178" s="3" t="s">
        <v>246</v>
      </c>
      <c r="C178" s="11">
        <v>433.33333333333331</v>
      </c>
      <c r="D178" s="11">
        <v>995254.78333333333</v>
      </c>
    </row>
    <row r="179" spans="1:4" x14ac:dyDescent="0.3">
      <c r="A179" s="3">
        <v>40504</v>
      </c>
      <c r="B179" s="3" t="s">
        <v>247</v>
      </c>
      <c r="C179" s="11">
        <v>21.87</v>
      </c>
      <c r="D179" s="11">
        <v>16881.666666666668</v>
      </c>
    </row>
    <row r="180" spans="1:4" x14ac:dyDescent="0.3">
      <c r="A180" s="3">
        <v>40505</v>
      </c>
      <c r="B180" s="3" t="s">
        <v>248</v>
      </c>
      <c r="C180" s="11">
        <v>245316.83</v>
      </c>
      <c r="D180" s="11">
        <v>1088863.6666666667</v>
      </c>
    </row>
    <row r="181" spans="1:4" x14ac:dyDescent="0.3">
      <c r="A181" s="3">
        <v>40601</v>
      </c>
      <c r="B181" s="3" t="s">
        <v>227</v>
      </c>
      <c r="C181" s="11">
        <v>3019060.0399999991</v>
      </c>
      <c r="D181" s="11">
        <v>4555311.78</v>
      </c>
    </row>
    <row r="182" spans="1:4" x14ac:dyDescent="0.3">
      <c r="A182" s="3">
        <v>40602</v>
      </c>
      <c r="B182" s="3" t="s">
        <v>229</v>
      </c>
      <c r="C182" s="11">
        <v>549755.43999999994</v>
      </c>
      <c r="D182" s="11">
        <v>274861.44</v>
      </c>
    </row>
    <row r="183" spans="1:4" x14ac:dyDescent="0.3">
      <c r="A183" s="3">
        <v>40603</v>
      </c>
      <c r="B183" s="3" t="s">
        <v>230</v>
      </c>
      <c r="C183" s="11">
        <v>4616870.42</v>
      </c>
      <c r="D183" s="11">
        <v>5860119.3733333321</v>
      </c>
    </row>
    <row r="184" spans="1:4" x14ac:dyDescent="0.3">
      <c r="A184" s="3">
        <v>40701</v>
      </c>
      <c r="B184" s="3" t="s">
        <v>224</v>
      </c>
      <c r="C184" s="11">
        <v>6936763.0300000012</v>
      </c>
      <c r="D184" s="11">
        <v>9265448.589999998</v>
      </c>
    </row>
    <row r="185" spans="1:4" x14ac:dyDescent="0.3">
      <c r="A185" s="3">
        <v>40702</v>
      </c>
      <c r="B185" s="3" t="s">
        <v>226</v>
      </c>
      <c r="C185" s="11">
        <v>180596.14333333331</v>
      </c>
      <c r="D185" s="11">
        <v>395212.37000000005</v>
      </c>
    </row>
    <row r="186" spans="1:4" x14ac:dyDescent="0.3">
      <c r="A186" s="3">
        <v>40801</v>
      </c>
      <c r="B186" s="3" t="s">
        <v>254</v>
      </c>
      <c r="C186" s="11">
        <v>262430.39333333337</v>
      </c>
      <c r="D186" s="11">
        <v>1059077.9500000011</v>
      </c>
    </row>
    <row r="187" spans="1:4" x14ac:dyDescent="0.3">
      <c r="A187" s="3">
        <v>40802</v>
      </c>
      <c r="B187" s="3" t="s">
        <v>256</v>
      </c>
      <c r="C187" s="11">
        <v>42157.15</v>
      </c>
      <c r="D187" s="11">
        <v>19999.333333333332</v>
      </c>
    </row>
    <row r="188" spans="1:4" x14ac:dyDescent="0.3">
      <c r="A188" s="3">
        <v>40901</v>
      </c>
      <c r="B188" s="3" t="s">
        <v>261</v>
      </c>
      <c r="C188" s="11">
        <v>703647.7300000001</v>
      </c>
      <c r="D188" s="11">
        <v>1150153.0633333332</v>
      </c>
    </row>
    <row r="189" spans="1:4" x14ac:dyDescent="0.3">
      <c r="A189" s="3">
        <v>40902</v>
      </c>
      <c r="B189" s="3" t="s">
        <v>263</v>
      </c>
      <c r="C189" s="11">
        <v>18357.203333333335</v>
      </c>
      <c r="D189" s="11">
        <v>1608400.6133333333</v>
      </c>
    </row>
    <row r="190" spans="1:4" x14ac:dyDescent="0.3">
      <c r="A190" s="3">
        <v>40903</v>
      </c>
      <c r="B190" s="3" t="s">
        <v>264</v>
      </c>
      <c r="C190" s="11">
        <v>0</v>
      </c>
      <c r="D190" s="11">
        <v>12919.180000000168</v>
      </c>
    </row>
    <row r="191" spans="1:4" x14ac:dyDescent="0.3">
      <c r="A191" s="3">
        <v>41001</v>
      </c>
      <c r="B191" s="3" t="s">
        <v>249</v>
      </c>
      <c r="C191" s="11">
        <v>395119.58</v>
      </c>
      <c r="D191" s="11">
        <v>227274.68333333335</v>
      </c>
    </row>
    <row r="192" spans="1:4" x14ac:dyDescent="0.3">
      <c r="A192" s="3">
        <v>41101</v>
      </c>
      <c r="B192" s="3" t="s">
        <v>231</v>
      </c>
      <c r="C192" s="11">
        <v>22824.77</v>
      </c>
      <c r="D192" s="11">
        <v>103371.50666666667</v>
      </c>
    </row>
    <row r="193" spans="1:4" x14ac:dyDescent="0.3">
      <c r="A193" s="3">
        <v>41201</v>
      </c>
      <c r="B193" s="3" t="s">
        <v>251</v>
      </c>
      <c r="C193" s="11">
        <v>66229.599999999991</v>
      </c>
      <c r="D193" s="11">
        <v>478327.21666666662</v>
      </c>
    </row>
    <row r="194" spans="1:4" x14ac:dyDescent="0.3">
      <c r="A194" s="3">
        <v>41202</v>
      </c>
      <c r="B194" s="3" t="s">
        <v>253</v>
      </c>
      <c r="C194" s="11">
        <v>15045.373333333331</v>
      </c>
      <c r="D194" s="11">
        <v>98532.800000000003</v>
      </c>
    </row>
    <row r="195" spans="1:4" x14ac:dyDescent="0.3">
      <c r="A195" s="3">
        <v>41301</v>
      </c>
      <c r="B195" s="3" t="s">
        <v>235</v>
      </c>
      <c r="C195" s="11">
        <v>132401.43333333332</v>
      </c>
      <c r="D195" s="11">
        <v>75951.636666666673</v>
      </c>
    </row>
    <row r="196" spans="1:4" x14ac:dyDescent="0.3">
      <c r="A196" s="3">
        <v>41401</v>
      </c>
      <c r="B196" s="3" t="s">
        <v>233</v>
      </c>
      <c r="C196" s="11">
        <v>513588.77</v>
      </c>
      <c r="D196" s="11">
        <v>1083725.43</v>
      </c>
    </row>
    <row r="197" spans="1:4" x14ac:dyDescent="0.3">
      <c r="A197" s="3">
        <v>41501</v>
      </c>
      <c r="B197" s="3" t="s">
        <v>257</v>
      </c>
      <c r="C197" s="11">
        <v>113777.7</v>
      </c>
      <c r="D197" s="11">
        <v>1383978.1866666668</v>
      </c>
    </row>
    <row r="198" spans="1:4" x14ac:dyDescent="0.3">
      <c r="A198" s="3">
        <v>41502</v>
      </c>
      <c r="B198" s="3" t="s">
        <v>259</v>
      </c>
      <c r="C198" s="11">
        <v>6204.7933333333322</v>
      </c>
      <c r="D198" s="11">
        <v>238999.10666666666</v>
      </c>
    </row>
    <row r="199" spans="1:4" x14ac:dyDescent="0.3">
      <c r="A199" s="3">
        <v>41503</v>
      </c>
      <c r="B199" s="3" t="s">
        <v>260</v>
      </c>
      <c r="C199" s="11">
        <v>193400.87666666668</v>
      </c>
      <c r="D199" s="11">
        <v>1374258.0966666667</v>
      </c>
    </row>
    <row r="200" spans="1:4" x14ac:dyDescent="0.3">
      <c r="A200" s="3">
        <v>41601</v>
      </c>
      <c r="B200" s="3" t="s">
        <v>265</v>
      </c>
      <c r="C200" s="11">
        <v>34380.866666666669</v>
      </c>
      <c r="D200" s="11">
        <v>182961.25333333333</v>
      </c>
    </row>
    <row r="201" spans="1:4" x14ac:dyDescent="0.3">
      <c r="A201" s="3">
        <v>50101</v>
      </c>
      <c r="B201" s="3" t="s">
        <v>268</v>
      </c>
      <c r="C201" s="11">
        <v>86015303.170000002</v>
      </c>
      <c r="D201" s="11">
        <v>137283358.16999999</v>
      </c>
    </row>
    <row r="202" spans="1:4" x14ac:dyDescent="0.3">
      <c r="A202" s="3">
        <v>50102</v>
      </c>
      <c r="B202" s="3" t="s">
        <v>271</v>
      </c>
      <c r="C202" s="11">
        <v>1063907.4966666668</v>
      </c>
      <c r="D202" s="11">
        <v>922707.94333333336</v>
      </c>
    </row>
    <row r="203" spans="1:4" x14ac:dyDescent="0.3">
      <c r="A203" s="3">
        <v>50103</v>
      </c>
      <c r="B203" s="3" t="s">
        <v>272</v>
      </c>
      <c r="C203" s="11">
        <v>178809.55999999997</v>
      </c>
      <c r="D203" s="11">
        <v>286236.55333333329</v>
      </c>
    </row>
    <row r="204" spans="1:4" x14ac:dyDescent="0.3">
      <c r="A204" s="3">
        <v>50104</v>
      </c>
      <c r="B204" s="3" t="s">
        <v>273</v>
      </c>
      <c r="C204" s="11">
        <v>426448.76666666666</v>
      </c>
      <c r="D204" s="11">
        <v>70573.009999999995</v>
      </c>
    </row>
    <row r="205" spans="1:4" x14ac:dyDescent="0.3">
      <c r="A205" s="3">
        <v>50201</v>
      </c>
      <c r="B205" s="3" t="s">
        <v>274</v>
      </c>
      <c r="C205" s="11">
        <v>1206868.6766666668</v>
      </c>
      <c r="D205" s="11">
        <v>1937584.7033333334</v>
      </c>
    </row>
    <row r="206" spans="1:4" x14ac:dyDescent="0.3">
      <c r="A206" s="3">
        <v>50202</v>
      </c>
      <c r="B206" s="3" t="s">
        <v>276</v>
      </c>
      <c r="C206" s="11">
        <v>2019494.6533333333</v>
      </c>
      <c r="D206" s="11">
        <v>390818.29000000004</v>
      </c>
    </row>
    <row r="207" spans="1:4" x14ac:dyDescent="0.3">
      <c r="A207" s="3">
        <v>50203</v>
      </c>
      <c r="B207" s="3" t="s">
        <v>277</v>
      </c>
      <c r="C207" s="11">
        <v>12767577.403333334</v>
      </c>
      <c r="D207" s="11">
        <v>10104170.523333333</v>
      </c>
    </row>
    <row r="208" spans="1:4" x14ac:dyDescent="0.3">
      <c r="A208" s="3">
        <v>50204</v>
      </c>
      <c r="B208" s="3" t="s">
        <v>324</v>
      </c>
      <c r="C208" s="11">
        <v>1045979.5333333333</v>
      </c>
      <c r="D208" s="11">
        <v>175269.67666666667</v>
      </c>
    </row>
    <row r="209" spans="1:4" x14ac:dyDescent="0.3">
      <c r="A209" s="3">
        <v>50301</v>
      </c>
      <c r="B209" s="3" t="s">
        <v>278</v>
      </c>
      <c r="C209" s="11">
        <v>744673.93</v>
      </c>
      <c r="D209" s="11">
        <v>1615858.9266666665</v>
      </c>
    </row>
    <row r="210" spans="1:4" x14ac:dyDescent="0.3">
      <c r="A210" s="3">
        <v>50302</v>
      </c>
      <c r="B210" s="3" t="s">
        <v>280</v>
      </c>
      <c r="C210" s="11">
        <v>438796.26333333337</v>
      </c>
      <c r="D210" s="11">
        <v>171935.93666666668</v>
      </c>
    </row>
    <row r="211" spans="1:4" x14ac:dyDescent="0.3">
      <c r="A211" s="3">
        <v>50303</v>
      </c>
      <c r="B211" s="3" t="s">
        <v>281</v>
      </c>
      <c r="C211" s="11">
        <v>186034.22</v>
      </c>
      <c r="D211" s="11">
        <v>739303.84333333338</v>
      </c>
    </row>
    <row r="212" spans="1:4" x14ac:dyDescent="0.3">
      <c r="A212" s="3">
        <v>50401</v>
      </c>
      <c r="B212" s="3" t="s">
        <v>282</v>
      </c>
      <c r="C212" s="11">
        <v>491145.02333333337</v>
      </c>
      <c r="D212" s="11">
        <v>4012439.0633333339</v>
      </c>
    </row>
    <row r="213" spans="1:4" x14ac:dyDescent="0.3">
      <c r="A213" s="3">
        <v>50402</v>
      </c>
      <c r="B213" s="3" t="s">
        <v>284</v>
      </c>
      <c r="C213" s="11">
        <v>1374387.5199999998</v>
      </c>
      <c r="D213" s="11">
        <v>218086.87666666668</v>
      </c>
    </row>
    <row r="214" spans="1:4" x14ac:dyDescent="0.3">
      <c r="A214" s="3">
        <v>50403</v>
      </c>
      <c r="B214" s="3" t="s">
        <v>285</v>
      </c>
      <c r="C214" s="11">
        <v>135055.99666666667</v>
      </c>
      <c r="D214" s="11">
        <v>221448.61333333331</v>
      </c>
    </row>
    <row r="215" spans="1:4" x14ac:dyDescent="0.3">
      <c r="A215" s="3">
        <v>50404</v>
      </c>
      <c r="B215" s="3" t="s">
        <v>286</v>
      </c>
      <c r="C215" s="11">
        <v>226187.52333333332</v>
      </c>
      <c r="D215" s="11">
        <v>288605.99</v>
      </c>
    </row>
    <row r="216" spans="1:4" x14ac:dyDescent="0.3">
      <c r="A216" s="3">
        <v>50405</v>
      </c>
      <c r="B216" s="3" t="s">
        <v>325</v>
      </c>
      <c r="C216" s="11">
        <v>0</v>
      </c>
      <c r="D216" s="11">
        <v>73698.863333333327</v>
      </c>
    </row>
    <row r="217" spans="1:4" x14ac:dyDescent="0.3">
      <c r="A217" s="3">
        <v>50501</v>
      </c>
      <c r="B217" s="3" t="s">
        <v>287</v>
      </c>
      <c r="C217" s="11">
        <v>971715.61333333375</v>
      </c>
      <c r="D217" s="11">
        <v>770033.60000000009</v>
      </c>
    </row>
    <row r="218" spans="1:4" x14ac:dyDescent="0.3">
      <c r="A218" s="3">
        <v>50502</v>
      </c>
      <c r="B218" s="3" t="s">
        <v>289</v>
      </c>
      <c r="C218" s="11">
        <v>433009.43</v>
      </c>
      <c r="D218" s="11">
        <v>621289.19333333336</v>
      </c>
    </row>
    <row r="219" spans="1:4" x14ac:dyDescent="0.3">
      <c r="A219" s="3">
        <v>50601</v>
      </c>
      <c r="B219" s="3" t="s">
        <v>290</v>
      </c>
      <c r="C219" s="11">
        <v>1185333.8800000001</v>
      </c>
      <c r="D219" s="11">
        <v>2083309.8399999999</v>
      </c>
    </row>
    <row r="220" spans="1:4" x14ac:dyDescent="0.3">
      <c r="A220" s="3">
        <v>50602</v>
      </c>
      <c r="B220" s="3" t="s">
        <v>292</v>
      </c>
      <c r="C220" s="11">
        <v>111075.86999999998</v>
      </c>
      <c r="D220" s="11">
        <v>104007.18</v>
      </c>
    </row>
    <row r="221" spans="1:4" x14ac:dyDescent="0.3">
      <c r="A221" s="3">
        <v>50701</v>
      </c>
      <c r="B221" s="3" t="s">
        <v>303</v>
      </c>
      <c r="C221" s="11">
        <v>340989.43333333335</v>
      </c>
      <c r="D221" s="11">
        <v>180043.51</v>
      </c>
    </row>
    <row r="222" spans="1:4" x14ac:dyDescent="0.3">
      <c r="A222" s="3">
        <v>50702</v>
      </c>
      <c r="B222" s="3" t="s">
        <v>305</v>
      </c>
      <c r="C222" s="11">
        <v>78851.466666666674</v>
      </c>
      <c r="D222" s="11">
        <v>135503.33333333334</v>
      </c>
    </row>
    <row r="223" spans="1:4" x14ac:dyDescent="0.3">
      <c r="A223" s="3">
        <v>50801</v>
      </c>
      <c r="B223" s="3" t="s">
        <v>293</v>
      </c>
      <c r="C223" s="11">
        <v>6985219.7299999995</v>
      </c>
      <c r="D223" s="11">
        <v>12172874.380000001</v>
      </c>
    </row>
    <row r="224" spans="1:4" x14ac:dyDescent="0.3">
      <c r="A224" s="3">
        <v>50802</v>
      </c>
      <c r="B224" s="3" t="s">
        <v>295</v>
      </c>
      <c r="C224" s="11">
        <v>11868393.930000002</v>
      </c>
      <c r="D224" s="11">
        <v>8877278.2433333322</v>
      </c>
    </row>
    <row r="225" spans="1:4" x14ac:dyDescent="0.3">
      <c r="A225" s="3">
        <v>50901</v>
      </c>
      <c r="B225" s="3" t="s">
        <v>296</v>
      </c>
      <c r="C225" s="11">
        <v>52245293.136666678</v>
      </c>
      <c r="D225" s="11">
        <v>60832042.109999992</v>
      </c>
    </row>
    <row r="226" spans="1:4" x14ac:dyDescent="0.3">
      <c r="A226" s="3">
        <v>50902</v>
      </c>
      <c r="B226" s="3" t="s">
        <v>298</v>
      </c>
      <c r="C226" s="11">
        <v>896441.47666666668</v>
      </c>
      <c r="D226" s="11">
        <v>82193.383333333331</v>
      </c>
    </row>
    <row r="227" spans="1:4" x14ac:dyDescent="0.3">
      <c r="A227" s="3">
        <v>51001</v>
      </c>
      <c r="B227" s="3" t="s">
        <v>299</v>
      </c>
      <c r="C227" s="11">
        <v>2039820.1933333334</v>
      </c>
      <c r="D227" s="11">
        <v>502408.16333333333</v>
      </c>
    </row>
    <row r="228" spans="1:4" x14ac:dyDescent="0.3">
      <c r="A228" s="3">
        <v>51002</v>
      </c>
      <c r="B228" s="3" t="s">
        <v>301</v>
      </c>
      <c r="C228" s="11">
        <v>1007255.3500000001</v>
      </c>
      <c r="D228" s="11">
        <v>120652.88333333335</v>
      </c>
    </row>
    <row r="229" spans="1:4" x14ac:dyDescent="0.3">
      <c r="A229" s="3">
        <v>51003</v>
      </c>
      <c r="B229" s="3" t="s">
        <v>302</v>
      </c>
      <c r="C229" s="11">
        <v>897835.2666666666</v>
      </c>
      <c r="D229" s="11">
        <v>89004.64</v>
      </c>
    </row>
    <row r="230" spans="1:4" x14ac:dyDescent="0.3">
      <c r="A230" s="3">
        <v>51101</v>
      </c>
      <c r="B230" s="3" t="s">
        <v>306</v>
      </c>
      <c r="C230" s="11">
        <v>753398.18666666653</v>
      </c>
      <c r="D230" s="11">
        <v>1333688.9166666667</v>
      </c>
    </row>
    <row r="231" spans="1:4" x14ac:dyDescent="0.3">
      <c r="A231" s="3">
        <v>51102</v>
      </c>
      <c r="B231" s="3" t="s">
        <v>308</v>
      </c>
      <c r="C231" s="11">
        <v>1277649.1599999999</v>
      </c>
      <c r="D231" s="11">
        <v>1191974.8633333333</v>
      </c>
    </row>
    <row r="232" spans="1:4" x14ac:dyDescent="0.3">
      <c r="A232" s="3">
        <v>51103</v>
      </c>
      <c r="B232" s="3" t="s">
        <v>323</v>
      </c>
      <c r="C232" s="11">
        <v>504186.2</v>
      </c>
      <c r="D232" s="11">
        <v>61279.880000000005</v>
      </c>
    </row>
    <row r="233" spans="1:4" x14ac:dyDescent="0.3">
      <c r="A233" s="3">
        <v>51201</v>
      </c>
      <c r="B233" s="3" t="s">
        <v>309</v>
      </c>
      <c r="C233" s="11">
        <v>3449694.3800000004</v>
      </c>
      <c r="D233" s="11">
        <v>8118666.830000001</v>
      </c>
    </row>
    <row r="234" spans="1:4" x14ac:dyDescent="0.3">
      <c r="A234" s="3">
        <v>51202</v>
      </c>
      <c r="B234" s="3" t="s">
        <v>311</v>
      </c>
      <c r="C234" s="11">
        <v>660452.66666666663</v>
      </c>
      <c r="D234" s="11">
        <v>1141205.4133333333</v>
      </c>
    </row>
    <row r="235" spans="1:4" x14ac:dyDescent="0.3">
      <c r="A235" s="3">
        <v>51203</v>
      </c>
      <c r="B235" s="3" t="s">
        <v>312</v>
      </c>
      <c r="C235" s="11">
        <v>7825023.5766666653</v>
      </c>
      <c r="D235" s="11">
        <v>14157127.033333331</v>
      </c>
    </row>
    <row r="236" spans="1:4" x14ac:dyDescent="0.3">
      <c r="A236" s="5">
        <v>51204</v>
      </c>
      <c r="B236" s="5" t="s">
        <v>488</v>
      </c>
      <c r="C236" s="11">
        <v>0</v>
      </c>
      <c r="D236" s="11">
        <v>815301.29</v>
      </c>
    </row>
    <row r="237" spans="1:4" x14ac:dyDescent="0.3">
      <c r="A237" s="3">
        <v>51301</v>
      </c>
      <c r="B237" s="3" t="s">
        <v>313</v>
      </c>
      <c r="C237" s="11">
        <v>242956.56666666668</v>
      </c>
      <c r="D237" s="11">
        <v>79354.009999999995</v>
      </c>
    </row>
    <row r="238" spans="1:4" x14ac:dyDescent="0.3">
      <c r="A238" s="3">
        <v>51302</v>
      </c>
      <c r="B238" s="3" t="s">
        <v>315</v>
      </c>
      <c r="C238" s="11">
        <v>172127.62333333332</v>
      </c>
      <c r="D238" s="11">
        <v>111431.96333333333</v>
      </c>
    </row>
    <row r="239" spans="1:4" x14ac:dyDescent="0.3">
      <c r="A239" s="3">
        <v>51401</v>
      </c>
      <c r="B239" s="3" t="s">
        <v>316</v>
      </c>
      <c r="C239" s="11">
        <v>1091292.7133333334</v>
      </c>
      <c r="D239" s="11">
        <v>217228.80666666667</v>
      </c>
    </row>
    <row r="240" spans="1:4" x14ac:dyDescent="0.3">
      <c r="A240" s="3">
        <v>51402</v>
      </c>
      <c r="B240" s="3" t="s">
        <v>318</v>
      </c>
      <c r="C240" s="11">
        <v>29985.209999999995</v>
      </c>
      <c r="D240" s="11">
        <v>50180.219999999994</v>
      </c>
    </row>
    <row r="241" spans="1:4" x14ac:dyDescent="0.3">
      <c r="A241" s="3">
        <v>51501</v>
      </c>
      <c r="B241" s="3" t="s">
        <v>319</v>
      </c>
      <c r="C241" s="11">
        <v>7424333.1600000001</v>
      </c>
      <c r="D241" s="11">
        <v>14685111.5</v>
      </c>
    </row>
    <row r="242" spans="1:4" x14ac:dyDescent="0.3">
      <c r="A242" s="3">
        <v>51601</v>
      </c>
      <c r="B242" s="3" t="s">
        <v>321</v>
      </c>
      <c r="C242" s="11">
        <v>1310349.5066666671</v>
      </c>
      <c r="D242" s="11">
        <v>134273.79</v>
      </c>
    </row>
    <row r="243" spans="1:4" x14ac:dyDescent="0.3">
      <c r="A243" s="3">
        <v>60101</v>
      </c>
      <c r="B243" s="3" t="s">
        <v>326</v>
      </c>
      <c r="C243" s="11">
        <v>90271922.526666656</v>
      </c>
      <c r="D243" s="11">
        <v>181625781.88</v>
      </c>
    </row>
    <row r="244" spans="1:4" x14ac:dyDescent="0.3">
      <c r="A244" s="3">
        <v>60201</v>
      </c>
      <c r="B244" s="3" t="s">
        <v>328</v>
      </c>
      <c r="C244" s="11">
        <v>366828.14333333331</v>
      </c>
      <c r="D244" s="11">
        <v>841293.13666666672</v>
      </c>
    </row>
    <row r="245" spans="1:4" x14ac:dyDescent="0.3">
      <c r="A245" s="3">
        <v>60202</v>
      </c>
      <c r="B245" s="3" t="s">
        <v>330</v>
      </c>
      <c r="C245" s="11">
        <v>7994183.4799999995</v>
      </c>
      <c r="D245" s="11">
        <v>15204817.779999999</v>
      </c>
    </row>
    <row r="246" spans="1:4" x14ac:dyDescent="0.3">
      <c r="A246" s="3">
        <v>60301</v>
      </c>
      <c r="B246" s="3" t="s">
        <v>331</v>
      </c>
      <c r="C246" s="11">
        <v>22130989.476666667</v>
      </c>
      <c r="D246" s="11">
        <v>39243845.770000003</v>
      </c>
    </row>
    <row r="247" spans="1:4" x14ac:dyDescent="0.3">
      <c r="A247" s="3">
        <v>60302</v>
      </c>
      <c r="B247" s="3" t="s">
        <v>333</v>
      </c>
      <c r="C247" s="11">
        <v>2039480.656666667</v>
      </c>
      <c r="D247" s="11">
        <v>3722314.3899999992</v>
      </c>
    </row>
    <row r="248" spans="1:4" x14ac:dyDescent="0.3">
      <c r="A248" s="3">
        <v>60303</v>
      </c>
      <c r="B248" s="3" t="s">
        <v>334</v>
      </c>
      <c r="C248" s="11">
        <v>8530793.4300000016</v>
      </c>
      <c r="D248" s="11">
        <v>18050972.503333334</v>
      </c>
    </row>
    <row r="249" spans="1:4" x14ac:dyDescent="0.3">
      <c r="A249" s="3">
        <v>60401</v>
      </c>
      <c r="B249" s="3" t="s">
        <v>335</v>
      </c>
      <c r="C249" s="11">
        <v>455640.17333333334</v>
      </c>
      <c r="D249" s="11">
        <v>2657815.4733333332</v>
      </c>
    </row>
    <row r="250" spans="1:4" x14ac:dyDescent="0.3">
      <c r="A250" s="3">
        <v>60402</v>
      </c>
      <c r="B250" s="3" t="s">
        <v>337</v>
      </c>
      <c r="C250" s="11">
        <v>54302.893333333333</v>
      </c>
      <c r="D250" s="11">
        <v>102453.90333333334</v>
      </c>
    </row>
    <row r="251" spans="1:4" x14ac:dyDescent="0.3">
      <c r="A251" s="3">
        <v>60501</v>
      </c>
      <c r="B251" s="3" t="s">
        <v>338</v>
      </c>
      <c r="C251" s="11">
        <v>682953.67666666664</v>
      </c>
      <c r="D251" s="11">
        <v>5671386.1400000006</v>
      </c>
    </row>
    <row r="252" spans="1:4" x14ac:dyDescent="0.3">
      <c r="A252" s="3">
        <v>60502</v>
      </c>
      <c r="B252" s="3" t="s">
        <v>340</v>
      </c>
      <c r="C252" s="11">
        <v>663067.11666666658</v>
      </c>
      <c r="D252" s="11">
        <v>1149453.7966666666</v>
      </c>
    </row>
    <row r="253" spans="1:4" x14ac:dyDescent="0.3">
      <c r="A253" s="3">
        <v>60601</v>
      </c>
      <c r="B253" s="3" t="s">
        <v>341</v>
      </c>
      <c r="C253" s="11">
        <v>1546804.3266666669</v>
      </c>
      <c r="D253" s="11">
        <v>1656368.7066666668</v>
      </c>
    </row>
    <row r="254" spans="1:4" x14ac:dyDescent="0.3">
      <c r="A254" s="3">
        <v>70101</v>
      </c>
      <c r="B254" s="3" t="s">
        <v>343</v>
      </c>
      <c r="C254" s="11">
        <v>799203941.38666666</v>
      </c>
      <c r="D254" s="11">
        <v>1138907683.98</v>
      </c>
    </row>
    <row r="255" spans="1:4" x14ac:dyDescent="0.3">
      <c r="A255" s="3">
        <v>70102</v>
      </c>
      <c r="B255" s="3" t="s">
        <v>346</v>
      </c>
      <c r="C255" s="11">
        <v>16810210.579999998</v>
      </c>
      <c r="D255" s="11">
        <v>54805404.596666664</v>
      </c>
    </row>
    <row r="256" spans="1:4" x14ac:dyDescent="0.3">
      <c r="A256" s="3">
        <v>70103</v>
      </c>
      <c r="B256" s="3" t="s">
        <v>348</v>
      </c>
      <c r="C256" s="11">
        <v>14324614.369999999</v>
      </c>
      <c r="D256" s="11">
        <v>60764630.50666666</v>
      </c>
    </row>
    <row r="257" spans="1:4" x14ac:dyDescent="0.3">
      <c r="A257" s="3">
        <v>70104</v>
      </c>
      <c r="B257" s="3" t="s">
        <v>349</v>
      </c>
      <c r="C257" s="11">
        <v>30987806.183333337</v>
      </c>
      <c r="D257" s="11">
        <v>61795080.030000009</v>
      </c>
    </row>
    <row r="258" spans="1:4" x14ac:dyDescent="0.3">
      <c r="A258" s="3">
        <v>70105</v>
      </c>
      <c r="B258" s="3" t="s">
        <v>350</v>
      </c>
      <c r="C258" s="11">
        <v>4255729.66</v>
      </c>
      <c r="D258" s="11">
        <v>19235181.383333337</v>
      </c>
    </row>
    <row r="259" spans="1:4" x14ac:dyDescent="0.3">
      <c r="A259" s="3">
        <v>70201</v>
      </c>
      <c r="B259" s="3" t="s">
        <v>351</v>
      </c>
      <c r="C259" s="11">
        <v>58354556.326666661</v>
      </c>
      <c r="D259" s="11">
        <v>114726851.27999999</v>
      </c>
    </row>
    <row r="260" spans="1:4" x14ac:dyDescent="0.3">
      <c r="A260" s="3">
        <v>70202</v>
      </c>
      <c r="B260" s="3" t="s">
        <v>407</v>
      </c>
      <c r="C260" s="11">
        <v>1590179.9900000002</v>
      </c>
      <c r="D260" s="11">
        <v>3404280.063333333</v>
      </c>
    </row>
    <row r="261" spans="1:4" x14ac:dyDescent="0.3">
      <c r="A261" s="3">
        <v>70301</v>
      </c>
      <c r="B261" s="3" t="s">
        <v>353</v>
      </c>
      <c r="C261" s="11">
        <v>6552026.1533333324</v>
      </c>
      <c r="D261" s="11">
        <v>13621143.613333335</v>
      </c>
    </row>
    <row r="262" spans="1:4" x14ac:dyDescent="0.3">
      <c r="A262" s="3">
        <v>70302</v>
      </c>
      <c r="B262" s="3" t="s">
        <v>355</v>
      </c>
      <c r="C262" s="11">
        <v>1080986.7966666666</v>
      </c>
      <c r="D262" s="11">
        <v>1115258.3766666667</v>
      </c>
    </row>
    <row r="263" spans="1:4" x14ac:dyDescent="0.3">
      <c r="A263" s="3">
        <v>70303</v>
      </c>
      <c r="B263" s="3" t="s">
        <v>356</v>
      </c>
      <c r="C263" s="11">
        <v>437136.19666666671</v>
      </c>
      <c r="D263" s="11">
        <v>2010781.263333333</v>
      </c>
    </row>
    <row r="264" spans="1:4" x14ac:dyDescent="0.3">
      <c r="A264" s="3">
        <v>70401</v>
      </c>
      <c r="B264" s="3" t="s">
        <v>357</v>
      </c>
      <c r="C264" s="11">
        <v>445860.05000000005</v>
      </c>
      <c r="D264" s="11">
        <v>2785374.0366666666</v>
      </c>
    </row>
    <row r="265" spans="1:4" x14ac:dyDescent="0.3">
      <c r="A265" s="3">
        <v>70402</v>
      </c>
      <c r="B265" s="3" t="s">
        <v>359</v>
      </c>
      <c r="C265" s="11">
        <v>2596289.0766666667</v>
      </c>
      <c r="D265" s="11">
        <v>3743612.3433333337</v>
      </c>
    </row>
    <row r="266" spans="1:4" x14ac:dyDescent="0.3">
      <c r="A266" s="3">
        <v>70403</v>
      </c>
      <c r="B266" s="3" t="s">
        <v>360</v>
      </c>
      <c r="C266" s="11">
        <v>3428989.4433333334</v>
      </c>
      <c r="D266" s="11">
        <v>14500516.996666668</v>
      </c>
    </row>
    <row r="267" spans="1:4" x14ac:dyDescent="0.3">
      <c r="A267" s="3">
        <v>70404</v>
      </c>
      <c r="B267" s="3" t="s">
        <v>411</v>
      </c>
      <c r="C267" s="11">
        <v>1345308.9366666665</v>
      </c>
      <c r="D267" s="11">
        <v>1768129.63</v>
      </c>
    </row>
    <row r="268" spans="1:4" x14ac:dyDescent="0.3">
      <c r="A268" s="3">
        <v>70501</v>
      </c>
      <c r="B268" s="3" t="s">
        <v>361</v>
      </c>
      <c r="C268" s="11">
        <v>6900349.71</v>
      </c>
      <c r="D268" s="11">
        <v>4137592.5733333328</v>
      </c>
    </row>
    <row r="269" spans="1:4" x14ac:dyDescent="0.3">
      <c r="A269" s="3">
        <v>70502</v>
      </c>
      <c r="B269" s="3" t="s">
        <v>363</v>
      </c>
      <c r="C269" s="11">
        <v>5384911.6766666668</v>
      </c>
      <c r="D269" s="11">
        <v>17170718.356666666</v>
      </c>
    </row>
    <row r="270" spans="1:4" x14ac:dyDescent="0.3">
      <c r="A270" s="3">
        <v>70503</v>
      </c>
      <c r="B270" s="3" t="s">
        <v>364</v>
      </c>
      <c r="C270" s="11">
        <v>1375005.9366666665</v>
      </c>
      <c r="D270" s="11">
        <v>3506569.2566666664</v>
      </c>
    </row>
    <row r="271" spans="1:4" x14ac:dyDescent="0.3">
      <c r="A271" s="3">
        <v>70601</v>
      </c>
      <c r="B271" s="3" t="s">
        <v>365</v>
      </c>
      <c r="C271" s="11">
        <v>3360932.31</v>
      </c>
      <c r="D271" s="11">
        <v>7445197.2699999996</v>
      </c>
    </row>
    <row r="272" spans="1:4" x14ac:dyDescent="0.3">
      <c r="A272" s="3">
        <v>70602</v>
      </c>
      <c r="B272" s="3" t="s">
        <v>367</v>
      </c>
      <c r="C272" s="11">
        <v>1478988.5866666667</v>
      </c>
      <c r="D272" s="11">
        <v>2233239.6300000004</v>
      </c>
    </row>
    <row r="273" spans="1:4" x14ac:dyDescent="0.3">
      <c r="A273" s="3">
        <v>70603</v>
      </c>
      <c r="B273" s="3" t="s">
        <v>415</v>
      </c>
      <c r="C273" s="11">
        <v>1455345.2166666668</v>
      </c>
      <c r="D273" s="11">
        <v>14571773.853333334</v>
      </c>
    </row>
    <row r="274" spans="1:4" x14ac:dyDescent="0.3">
      <c r="A274" s="3">
        <v>70701</v>
      </c>
      <c r="B274" s="3" t="s">
        <v>368</v>
      </c>
      <c r="C274" s="11">
        <v>32965.449999999997</v>
      </c>
      <c r="D274" s="11">
        <v>174303.53333333333</v>
      </c>
    </row>
    <row r="275" spans="1:4" x14ac:dyDescent="0.3">
      <c r="A275" s="3">
        <v>70702</v>
      </c>
      <c r="B275" s="3" t="s">
        <v>370</v>
      </c>
      <c r="C275" s="11">
        <v>1703066.343333333</v>
      </c>
      <c r="D275" s="11">
        <v>2395126.8099999987</v>
      </c>
    </row>
    <row r="276" spans="1:4" x14ac:dyDescent="0.3">
      <c r="A276" s="3">
        <v>70703</v>
      </c>
      <c r="B276" s="3" t="s">
        <v>371</v>
      </c>
      <c r="C276" s="11">
        <v>1786552.21</v>
      </c>
      <c r="D276" s="11">
        <v>6136465.3833333338</v>
      </c>
    </row>
    <row r="277" spans="1:4" x14ac:dyDescent="0.3">
      <c r="A277" s="3">
        <v>70704</v>
      </c>
      <c r="B277" s="3" t="s">
        <v>372</v>
      </c>
      <c r="C277" s="11">
        <v>179174.93333333335</v>
      </c>
      <c r="D277" s="11">
        <v>234642.10666666669</v>
      </c>
    </row>
    <row r="278" spans="1:4" x14ac:dyDescent="0.3">
      <c r="A278" s="3">
        <v>70705</v>
      </c>
      <c r="B278" s="3" t="s">
        <v>373</v>
      </c>
      <c r="C278" s="11">
        <v>177726.36000000002</v>
      </c>
      <c r="D278" s="11">
        <v>105288.24333333354</v>
      </c>
    </row>
    <row r="279" spans="1:4" x14ac:dyDescent="0.3">
      <c r="A279" s="3">
        <v>70706</v>
      </c>
      <c r="B279" s="3" t="s">
        <v>374</v>
      </c>
      <c r="C279" s="11">
        <v>11154215.539999999</v>
      </c>
      <c r="D279" s="11">
        <v>10772646.939999999</v>
      </c>
    </row>
    <row r="280" spans="1:4" x14ac:dyDescent="0.3">
      <c r="A280" s="3">
        <v>70707</v>
      </c>
      <c r="B280" s="3" t="s">
        <v>375</v>
      </c>
      <c r="C280" s="11">
        <v>245536.71333333329</v>
      </c>
      <c r="D280" s="11">
        <v>411030.85333333333</v>
      </c>
    </row>
    <row r="281" spans="1:4" x14ac:dyDescent="0.3">
      <c r="A281" s="3">
        <v>70801</v>
      </c>
      <c r="B281" s="3" t="s">
        <v>376</v>
      </c>
      <c r="C281" s="11">
        <v>4068918.8333333321</v>
      </c>
      <c r="D281" s="11">
        <v>5745034.0233333334</v>
      </c>
    </row>
    <row r="282" spans="1:4" x14ac:dyDescent="0.3">
      <c r="A282" s="3">
        <v>70802</v>
      </c>
      <c r="B282" s="3" t="s">
        <v>378</v>
      </c>
      <c r="C282" s="11">
        <v>165765.30000000002</v>
      </c>
      <c r="D282" s="11">
        <v>167239.81999999998</v>
      </c>
    </row>
    <row r="283" spans="1:4" x14ac:dyDescent="0.3">
      <c r="A283" s="3">
        <v>70803</v>
      </c>
      <c r="B283" s="3" t="s">
        <v>379</v>
      </c>
      <c r="C283" s="11">
        <v>944518.65666666662</v>
      </c>
      <c r="D283" s="11">
        <v>314605.91666666669</v>
      </c>
    </row>
    <row r="284" spans="1:4" x14ac:dyDescent="0.3">
      <c r="A284" s="3">
        <v>70804</v>
      </c>
      <c r="B284" s="3" t="s">
        <v>380</v>
      </c>
      <c r="C284" s="11">
        <v>115712.75333333334</v>
      </c>
      <c r="D284" s="11">
        <v>46552.893333333333</v>
      </c>
    </row>
    <row r="285" spans="1:4" x14ac:dyDescent="0.3">
      <c r="A285" s="3">
        <v>70805</v>
      </c>
      <c r="B285" s="3" t="s">
        <v>381</v>
      </c>
      <c r="C285" s="11">
        <v>47861.946666666678</v>
      </c>
      <c r="D285" s="11">
        <v>105817.67</v>
      </c>
    </row>
    <row r="286" spans="1:4" x14ac:dyDescent="0.3">
      <c r="A286" s="3">
        <v>70901</v>
      </c>
      <c r="B286" s="3" t="s">
        <v>382</v>
      </c>
      <c r="C286" s="11">
        <v>942235</v>
      </c>
      <c r="D286" s="11">
        <v>5405605.1399999997</v>
      </c>
    </row>
    <row r="287" spans="1:4" x14ac:dyDescent="0.3">
      <c r="A287" s="3">
        <v>70902</v>
      </c>
      <c r="B287" s="3" t="s">
        <v>384</v>
      </c>
      <c r="C287" s="11">
        <v>681902.67333333334</v>
      </c>
      <c r="D287" s="11">
        <v>1993281.5866666667</v>
      </c>
    </row>
    <row r="288" spans="1:4" x14ac:dyDescent="0.3">
      <c r="A288" s="3">
        <v>70903</v>
      </c>
      <c r="B288" s="3" t="s">
        <v>385</v>
      </c>
      <c r="C288" s="11">
        <v>944104.96666666667</v>
      </c>
      <c r="D288" s="11">
        <v>2201368.6599999997</v>
      </c>
    </row>
    <row r="289" spans="1:4" x14ac:dyDescent="0.3">
      <c r="A289" s="3">
        <v>70904</v>
      </c>
      <c r="B289" s="3" t="s">
        <v>386</v>
      </c>
      <c r="C289" s="11">
        <v>1248527.6266666667</v>
      </c>
      <c r="D289" s="11">
        <v>195359.26333333334</v>
      </c>
    </row>
    <row r="290" spans="1:4" x14ac:dyDescent="0.3">
      <c r="A290" s="3">
        <v>71001</v>
      </c>
      <c r="B290" s="3" t="s">
        <v>387</v>
      </c>
      <c r="C290" s="11">
        <v>44682498.836666673</v>
      </c>
      <c r="D290" s="11">
        <v>67943291.660000011</v>
      </c>
    </row>
    <row r="291" spans="1:4" x14ac:dyDescent="0.3">
      <c r="A291" s="3">
        <v>71002</v>
      </c>
      <c r="B291" s="3" t="s">
        <v>389</v>
      </c>
      <c r="C291" s="11">
        <v>846854.61333333328</v>
      </c>
      <c r="D291" s="11">
        <v>3680545.1366666667</v>
      </c>
    </row>
    <row r="292" spans="1:4" x14ac:dyDescent="0.3">
      <c r="A292" s="3">
        <v>71003</v>
      </c>
      <c r="B292" s="3" t="s">
        <v>390</v>
      </c>
      <c r="C292" s="11">
        <v>2383139.6</v>
      </c>
      <c r="D292" s="11">
        <v>4550713.0699999994</v>
      </c>
    </row>
    <row r="293" spans="1:4" x14ac:dyDescent="0.3">
      <c r="A293" s="3">
        <v>71004</v>
      </c>
      <c r="B293" s="3" t="s">
        <v>412</v>
      </c>
      <c r="C293" s="11">
        <v>2692319.4566666665</v>
      </c>
      <c r="D293" s="11">
        <v>3431532.9733333332</v>
      </c>
    </row>
    <row r="294" spans="1:4" x14ac:dyDescent="0.3">
      <c r="A294" s="3">
        <v>71005</v>
      </c>
      <c r="B294" s="3" t="s">
        <v>413</v>
      </c>
      <c r="C294" s="11">
        <v>2381548.9666666668</v>
      </c>
      <c r="D294" s="11">
        <v>5590708.3166666664</v>
      </c>
    </row>
    <row r="295" spans="1:4" x14ac:dyDescent="0.3">
      <c r="A295" s="3">
        <v>71101</v>
      </c>
      <c r="B295" s="3" t="s">
        <v>391</v>
      </c>
      <c r="C295" s="11">
        <v>2921336.7966666664</v>
      </c>
      <c r="D295" s="11">
        <v>6065285.6133333333</v>
      </c>
    </row>
    <row r="296" spans="1:4" x14ac:dyDescent="0.3">
      <c r="A296" s="3">
        <v>71102</v>
      </c>
      <c r="B296" s="3" t="s">
        <v>393</v>
      </c>
      <c r="C296" s="11">
        <v>1504798.4733333334</v>
      </c>
      <c r="D296" s="11">
        <v>2373466.2499999995</v>
      </c>
    </row>
    <row r="297" spans="1:4" x14ac:dyDescent="0.3">
      <c r="A297" s="3">
        <v>71103</v>
      </c>
      <c r="B297" s="3" t="s">
        <v>409</v>
      </c>
      <c r="C297" s="11">
        <v>876021.33000000007</v>
      </c>
      <c r="D297" s="11">
        <v>3541786.6799999997</v>
      </c>
    </row>
    <row r="298" spans="1:4" x14ac:dyDescent="0.3">
      <c r="A298" s="3">
        <v>71104</v>
      </c>
      <c r="B298" s="3" t="s">
        <v>394</v>
      </c>
      <c r="C298" s="11">
        <v>5544270.1733333329</v>
      </c>
      <c r="D298" s="11">
        <v>12827499.913333332</v>
      </c>
    </row>
    <row r="299" spans="1:4" x14ac:dyDescent="0.3">
      <c r="A299" s="3">
        <v>71105</v>
      </c>
      <c r="B299" s="3" t="s">
        <v>408</v>
      </c>
      <c r="C299" s="11">
        <v>151331.27333333335</v>
      </c>
      <c r="D299" s="11">
        <v>129240.22666666668</v>
      </c>
    </row>
    <row r="300" spans="1:4" x14ac:dyDescent="0.3">
      <c r="A300" s="3">
        <v>71106</v>
      </c>
      <c r="B300" s="3" t="s">
        <v>414</v>
      </c>
      <c r="C300" s="11">
        <v>6709291.5766666671</v>
      </c>
      <c r="D300" s="11">
        <v>13653153.966666667</v>
      </c>
    </row>
    <row r="301" spans="1:4" x14ac:dyDescent="0.3">
      <c r="A301" s="3">
        <v>71201</v>
      </c>
      <c r="B301" s="3" t="s">
        <v>395</v>
      </c>
      <c r="C301" s="11">
        <v>832525.04333333333</v>
      </c>
      <c r="D301" s="11">
        <v>889341.37</v>
      </c>
    </row>
    <row r="302" spans="1:4" x14ac:dyDescent="0.3">
      <c r="A302" s="3">
        <v>71301</v>
      </c>
      <c r="B302" s="3" t="s">
        <v>397</v>
      </c>
      <c r="C302" s="11">
        <v>1576536.8366666667</v>
      </c>
      <c r="D302" s="11">
        <v>2703888.5700000003</v>
      </c>
    </row>
    <row r="303" spans="1:4" x14ac:dyDescent="0.3">
      <c r="A303" s="3">
        <v>71302</v>
      </c>
      <c r="B303" s="3" t="s">
        <v>399</v>
      </c>
      <c r="C303" s="11">
        <v>719085.87999999989</v>
      </c>
      <c r="D303" s="11">
        <v>1661836.5266666666</v>
      </c>
    </row>
    <row r="304" spans="1:4" x14ac:dyDescent="0.3">
      <c r="A304" s="3">
        <v>71401</v>
      </c>
      <c r="B304" s="3" t="s">
        <v>400</v>
      </c>
      <c r="C304" s="11">
        <v>3478067.8566666669</v>
      </c>
      <c r="D304" s="11">
        <v>5247167.3666666672</v>
      </c>
    </row>
    <row r="305" spans="1:4" x14ac:dyDescent="0.3">
      <c r="A305" s="3">
        <v>71402</v>
      </c>
      <c r="B305" s="3" t="s">
        <v>402</v>
      </c>
      <c r="C305" s="11">
        <v>5728758.3233333332</v>
      </c>
      <c r="D305" s="11">
        <v>10067114.409999998</v>
      </c>
    </row>
    <row r="306" spans="1:4" x14ac:dyDescent="0.3">
      <c r="A306" s="3">
        <v>71403</v>
      </c>
      <c r="B306" s="3" t="s">
        <v>410</v>
      </c>
      <c r="C306" s="11">
        <v>1219163.8633333333</v>
      </c>
      <c r="D306" s="11">
        <v>2100057.4666666668</v>
      </c>
    </row>
    <row r="307" spans="1:4" x14ac:dyDescent="0.3">
      <c r="A307" s="3">
        <v>71501</v>
      </c>
      <c r="B307" s="3" t="s">
        <v>403</v>
      </c>
      <c r="C307" s="11">
        <v>1592990.4000000001</v>
      </c>
      <c r="D307" s="11">
        <v>3016900.83</v>
      </c>
    </row>
    <row r="308" spans="1:4" x14ac:dyDescent="0.3">
      <c r="A308" s="3">
        <v>71502</v>
      </c>
      <c r="B308" s="3" t="s">
        <v>405</v>
      </c>
      <c r="C308" s="11">
        <v>391718.53</v>
      </c>
      <c r="D308" s="11">
        <v>251153.99333333332</v>
      </c>
    </row>
    <row r="309" spans="1:4" x14ac:dyDescent="0.3">
      <c r="A309" s="3">
        <v>71503</v>
      </c>
      <c r="B309" s="3" t="s">
        <v>406</v>
      </c>
      <c r="C309" s="11">
        <v>795275.47000000009</v>
      </c>
      <c r="D309" s="11">
        <v>2418953.7033333331</v>
      </c>
    </row>
    <row r="310" spans="1:4" x14ac:dyDescent="0.3">
      <c r="A310" s="3">
        <v>80101</v>
      </c>
      <c r="B310" s="3" t="s">
        <v>416</v>
      </c>
      <c r="C310" s="11">
        <v>31120578.826666664</v>
      </c>
      <c r="D310" s="11">
        <v>56489360.960000001</v>
      </c>
    </row>
    <row r="311" spans="1:4" x14ac:dyDescent="0.3">
      <c r="A311" s="3">
        <v>80102</v>
      </c>
      <c r="B311" s="3" t="s">
        <v>418</v>
      </c>
      <c r="C311" s="11">
        <v>232873.29</v>
      </c>
      <c r="D311" s="11">
        <v>326869.94666666671</v>
      </c>
    </row>
    <row r="312" spans="1:4" x14ac:dyDescent="0.3">
      <c r="A312" s="3">
        <v>80201</v>
      </c>
      <c r="B312" s="3" t="s">
        <v>419</v>
      </c>
      <c r="C312" s="11">
        <v>10618552.939999999</v>
      </c>
      <c r="D312" s="11">
        <v>28468181.866666663</v>
      </c>
    </row>
    <row r="313" spans="1:4" x14ac:dyDescent="0.3">
      <c r="A313" s="3">
        <v>80202</v>
      </c>
      <c r="B313" s="3" t="s">
        <v>421</v>
      </c>
      <c r="C313" s="11">
        <v>7354210.7800000012</v>
      </c>
      <c r="D313" s="11">
        <v>7366729.7799999984</v>
      </c>
    </row>
    <row r="314" spans="1:4" x14ac:dyDescent="0.3">
      <c r="A314" s="3">
        <v>80301</v>
      </c>
      <c r="B314" s="3" t="s">
        <v>422</v>
      </c>
      <c r="C314" s="11">
        <v>310560.75666666665</v>
      </c>
      <c r="D314" s="11">
        <v>640161.66999999993</v>
      </c>
    </row>
    <row r="315" spans="1:4" x14ac:dyDescent="0.3">
      <c r="A315" s="3">
        <v>80302</v>
      </c>
      <c r="B315" s="3" t="s">
        <v>426</v>
      </c>
      <c r="C315" s="11">
        <v>1332005.1866666668</v>
      </c>
      <c r="D315" s="11">
        <v>1907480.3099999998</v>
      </c>
    </row>
    <row r="316" spans="1:4" x14ac:dyDescent="0.3">
      <c r="A316" s="3">
        <v>80303</v>
      </c>
      <c r="B316" s="3" t="s">
        <v>427</v>
      </c>
      <c r="C316" s="11">
        <v>2840428.7966666669</v>
      </c>
      <c r="D316" s="11">
        <v>1093034.8933333333</v>
      </c>
    </row>
    <row r="317" spans="1:4" x14ac:dyDescent="0.3">
      <c r="A317" s="3">
        <v>80304</v>
      </c>
      <c r="B317" s="3" t="s">
        <v>424</v>
      </c>
      <c r="C317" s="11">
        <v>2369008.4766666666</v>
      </c>
      <c r="D317" s="11">
        <v>2511058.3499999996</v>
      </c>
    </row>
    <row r="318" spans="1:4" x14ac:dyDescent="0.3">
      <c r="A318" s="3">
        <v>80401</v>
      </c>
      <c r="B318" s="3" t="s">
        <v>428</v>
      </c>
      <c r="C318" s="11">
        <v>2360890.5366666666</v>
      </c>
      <c r="D318" s="11">
        <v>11683179.553333333</v>
      </c>
    </row>
    <row r="319" spans="1:4" x14ac:dyDescent="0.3">
      <c r="A319" s="3">
        <v>80402</v>
      </c>
      <c r="B319" s="3" t="s">
        <v>443</v>
      </c>
      <c r="C319" s="11">
        <v>193630.33333333334</v>
      </c>
      <c r="D319" s="11">
        <v>767779.38666666672</v>
      </c>
    </row>
    <row r="320" spans="1:4" x14ac:dyDescent="0.3">
      <c r="A320" s="3">
        <v>80501</v>
      </c>
      <c r="B320" s="3" t="s">
        <v>430</v>
      </c>
      <c r="C320" s="11">
        <v>913588.82</v>
      </c>
      <c r="D320" s="11">
        <v>1169160.7733333334</v>
      </c>
    </row>
    <row r="321" spans="1:4" x14ac:dyDescent="0.3">
      <c r="A321" s="3">
        <v>80601</v>
      </c>
      <c r="B321" s="3" t="s">
        <v>432</v>
      </c>
      <c r="C321" s="11">
        <v>153169.24</v>
      </c>
      <c r="D321" s="11">
        <v>78949.61</v>
      </c>
    </row>
    <row r="322" spans="1:4" x14ac:dyDescent="0.3">
      <c r="A322" s="3">
        <v>80602</v>
      </c>
      <c r="B322" s="3" t="s">
        <v>434</v>
      </c>
      <c r="C322" s="11">
        <v>631369.08333333337</v>
      </c>
      <c r="D322" s="11">
        <v>791050.33666666655</v>
      </c>
    </row>
    <row r="323" spans="1:4" x14ac:dyDescent="0.3">
      <c r="A323" s="3">
        <v>80701</v>
      </c>
      <c r="B323" s="3" t="s">
        <v>435</v>
      </c>
      <c r="C323" s="11">
        <v>540315.6333333333</v>
      </c>
      <c r="D323" s="11">
        <v>1142133.72</v>
      </c>
    </row>
    <row r="324" spans="1:4" x14ac:dyDescent="0.3">
      <c r="A324" s="3">
        <v>80702</v>
      </c>
      <c r="B324" s="3" t="s">
        <v>437</v>
      </c>
      <c r="C324" s="11">
        <v>277159.52</v>
      </c>
      <c r="D324" s="11">
        <v>626840.02666666673</v>
      </c>
    </row>
    <row r="325" spans="1:4" x14ac:dyDescent="0.3">
      <c r="A325" s="3">
        <v>80703</v>
      </c>
      <c r="B325" s="3" t="s">
        <v>438</v>
      </c>
      <c r="C325" s="11">
        <v>17007.84</v>
      </c>
      <c r="D325" s="11">
        <v>53652.233333333337</v>
      </c>
    </row>
    <row r="326" spans="1:4" x14ac:dyDescent="0.3">
      <c r="A326" s="3">
        <v>80801</v>
      </c>
      <c r="B326" s="3" t="s">
        <v>439</v>
      </c>
      <c r="C326" s="11">
        <v>567161.79</v>
      </c>
      <c r="D326" s="11">
        <v>1329950.1333333333</v>
      </c>
    </row>
    <row r="327" spans="1:4" x14ac:dyDescent="0.3">
      <c r="A327" s="3">
        <v>80802</v>
      </c>
      <c r="B327" s="3" t="s">
        <v>441</v>
      </c>
      <c r="C327" s="11">
        <v>414659.57</v>
      </c>
      <c r="D327" s="11">
        <v>3598781.1199999996</v>
      </c>
    </row>
    <row r="328" spans="1:4" x14ac:dyDescent="0.3">
      <c r="A328" s="3">
        <v>80803</v>
      </c>
      <c r="B328" s="3" t="s">
        <v>442</v>
      </c>
      <c r="C328" s="11">
        <v>132781.73333333334</v>
      </c>
      <c r="D328" s="11">
        <v>324453.24333333335</v>
      </c>
    </row>
    <row r="329" spans="1:4" x14ac:dyDescent="0.3">
      <c r="A329" s="5">
        <v>80901</v>
      </c>
      <c r="B329" s="5" t="s">
        <v>475</v>
      </c>
      <c r="C329" s="11">
        <v>0</v>
      </c>
      <c r="D329" s="11">
        <v>0</v>
      </c>
    </row>
    <row r="330" spans="1:4" x14ac:dyDescent="0.3">
      <c r="A330" s="3">
        <v>90101</v>
      </c>
      <c r="B330" s="3" t="s">
        <v>444</v>
      </c>
      <c r="C330" s="11">
        <v>11471860.039999999</v>
      </c>
      <c r="D330" s="11">
        <v>34198123.743333332</v>
      </c>
    </row>
    <row r="331" spans="1:4" x14ac:dyDescent="0.3">
      <c r="A331" s="3">
        <v>90102</v>
      </c>
      <c r="B331" s="3" t="s">
        <v>447</v>
      </c>
      <c r="C331" s="11">
        <v>364568.94666666671</v>
      </c>
      <c r="D331" s="11">
        <v>898042.48666666669</v>
      </c>
    </row>
    <row r="332" spans="1:4" x14ac:dyDescent="0.3">
      <c r="A332" s="3">
        <v>90103</v>
      </c>
      <c r="B332" s="3" t="s">
        <v>448</v>
      </c>
      <c r="C332" s="11">
        <v>836.02666666666664</v>
      </c>
      <c r="D332" s="11">
        <v>178661.19999999998</v>
      </c>
    </row>
    <row r="333" spans="1:4" x14ac:dyDescent="0.3">
      <c r="A333" s="3">
        <v>90104</v>
      </c>
      <c r="B333" s="3" t="s">
        <v>449</v>
      </c>
      <c r="C333" s="11">
        <v>52287.23</v>
      </c>
      <c r="D333" s="11">
        <v>116501.06333333334</v>
      </c>
    </row>
    <row r="334" spans="1:4" x14ac:dyDescent="0.3">
      <c r="A334" s="3">
        <v>90201</v>
      </c>
      <c r="B334" s="3" t="s">
        <v>450</v>
      </c>
      <c r="C334" s="11">
        <v>187144.31666666665</v>
      </c>
      <c r="D334" s="11">
        <v>380990.60000000003</v>
      </c>
    </row>
    <row r="335" spans="1:4" x14ac:dyDescent="0.3">
      <c r="A335" s="3">
        <v>90202</v>
      </c>
      <c r="B335" s="3" t="s">
        <v>452</v>
      </c>
      <c r="C335" s="11">
        <v>14536.606666666668</v>
      </c>
      <c r="D335" s="11">
        <v>80366.656666666662</v>
      </c>
    </row>
    <row r="336" spans="1:4" x14ac:dyDescent="0.3">
      <c r="A336" s="3">
        <v>90203</v>
      </c>
      <c r="B336" s="3" t="s">
        <v>453</v>
      </c>
      <c r="C336" s="11">
        <v>38094.346666666672</v>
      </c>
      <c r="D336" s="11">
        <v>213349.82666666666</v>
      </c>
    </row>
    <row r="337" spans="1:4" x14ac:dyDescent="0.3">
      <c r="A337" s="3">
        <v>90301</v>
      </c>
      <c r="B337" s="3" t="s">
        <v>454</v>
      </c>
      <c r="C337" s="11">
        <v>101022.33</v>
      </c>
      <c r="D337" s="11">
        <v>74158.706666666665</v>
      </c>
    </row>
    <row r="338" spans="1:4" x14ac:dyDescent="0.3">
      <c r="A338" s="3">
        <v>90302</v>
      </c>
      <c r="B338" s="3" t="s">
        <v>456</v>
      </c>
      <c r="C338" s="11">
        <v>8345.27</v>
      </c>
      <c r="D338" s="11">
        <v>66890.176666666681</v>
      </c>
    </row>
    <row r="339" spans="1:4" x14ac:dyDescent="0.3">
      <c r="A339" s="3">
        <v>90303</v>
      </c>
      <c r="B339" s="3" t="s">
        <v>457</v>
      </c>
      <c r="C339" s="11">
        <v>135989.57666666666</v>
      </c>
      <c r="D339" s="11">
        <v>1009112.9133333332</v>
      </c>
    </row>
    <row r="340" spans="1:4" x14ac:dyDescent="0.3">
      <c r="A340" s="3">
        <v>90401</v>
      </c>
      <c r="B340" s="3" t="s">
        <v>458</v>
      </c>
      <c r="C340" s="11">
        <v>1842.4666666666665</v>
      </c>
      <c r="D340" s="11">
        <v>39549.07</v>
      </c>
    </row>
    <row r="341" spans="1:4" x14ac:dyDescent="0.3">
      <c r="A341" s="3">
        <v>90402</v>
      </c>
      <c r="B341" s="3" t="s">
        <v>460</v>
      </c>
      <c r="C341" s="11">
        <v>38478.743333333332</v>
      </c>
      <c r="D341" s="11">
        <v>20</v>
      </c>
    </row>
    <row r="342" spans="1:4" x14ac:dyDescent="0.3">
      <c r="A342" s="3">
        <v>90501</v>
      </c>
      <c r="B342" s="3" t="s">
        <v>461</v>
      </c>
      <c r="C342" s="11">
        <v>37886.956666666665</v>
      </c>
      <c r="D342" s="11">
        <v>67385.5</v>
      </c>
    </row>
    <row r="343" spans="1:4" x14ac:dyDescent="0.3">
      <c r="A343" s="3">
        <v>90502</v>
      </c>
      <c r="B343" s="3" t="s">
        <v>463</v>
      </c>
      <c r="C343" s="11">
        <v>32170.316666666666</v>
      </c>
      <c r="D343" s="11">
        <v>102201.81000000001</v>
      </c>
    </row>
    <row r="344" spans="1:4" x14ac:dyDescent="0.3">
      <c r="A344" s="3">
        <v>90503</v>
      </c>
      <c r="B344" s="3" t="s">
        <v>464</v>
      </c>
      <c r="C344" s="11">
        <v>46995.243333333339</v>
      </c>
      <c r="D344" s="11">
        <v>2911.1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59BA-96FC-4D2A-A647-60965E7DCCC2}">
  <dimension ref="A1:D12"/>
  <sheetViews>
    <sheetView workbookViewId="0">
      <selection activeCell="F9" sqref="F9"/>
    </sheetView>
  </sheetViews>
  <sheetFormatPr baseColWidth="10" defaultColWidth="8.88671875" defaultRowHeight="14.4" x14ac:dyDescent="0.3"/>
  <cols>
    <col min="1" max="4" width="8.88671875" style="6"/>
  </cols>
  <sheetData>
    <row r="1" spans="1:4" x14ac:dyDescent="0.3">
      <c r="A1" s="4" t="s">
        <v>476</v>
      </c>
      <c r="B1" s="4" t="s">
        <v>2</v>
      </c>
      <c r="C1" s="9" t="s">
        <v>471</v>
      </c>
      <c r="D1" s="9" t="s">
        <v>472</v>
      </c>
    </row>
    <row r="2" spans="1:4" x14ac:dyDescent="0.3">
      <c r="A2" s="5">
        <v>1</v>
      </c>
      <c r="B2" s="5" t="s">
        <v>5</v>
      </c>
      <c r="C2" s="14">
        <v>13.594527695959197</v>
      </c>
      <c r="D2" s="14">
        <v>24.606286461455678</v>
      </c>
    </row>
    <row r="3" spans="1:4" x14ac:dyDescent="0.3">
      <c r="A3" s="5">
        <v>2</v>
      </c>
      <c r="B3" s="5" t="s">
        <v>45</v>
      </c>
      <c r="C3" s="14">
        <v>22.112692401703924</v>
      </c>
      <c r="D3" s="14">
        <v>35.821891569940519</v>
      </c>
    </row>
    <row r="4" spans="1:4" x14ac:dyDescent="0.3">
      <c r="A4" s="5">
        <v>3</v>
      </c>
      <c r="B4" s="5" t="s">
        <v>153</v>
      </c>
      <c r="C4" s="14">
        <v>21.989426461495501</v>
      </c>
      <c r="D4" s="14">
        <v>37.533824524374204</v>
      </c>
    </row>
    <row r="5" spans="1:4" x14ac:dyDescent="0.3">
      <c r="A5" s="5">
        <v>4</v>
      </c>
      <c r="B5" s="5" t="s">
        <v>218</v>
      </c>
      <c r="C5" s="14">
        <v>13.385696011987823</v>
      </c>
      <c r="D5" s="14">
        <v>27.845759190170764</v>
      </c>
    </row>
    <row r="6" spans="1:4" x14ac:dyDescent="0.3">
      <c r="A6" s="5">
        <v>5</v>
      </c>
      <c r="B6" s="5" t="s">
        <v>269</v>
      </c>
      <c r="C6" s="14">
        <v>16.429889137644256</v>
      </c>
      <c r="D6" s="14">
        <v>24.661591810896564</v>
      </c>
    </row>
    <row r="7" spans="1:4" x14ac:dyDescent="0.3">
      <c r="A7" s="5">
        <v>6</v>
      </c>
      <c r="B7" s="5" t="s">
        <v>327</v>
      </c>
      <c r="C7" s="14">
        <v>12.032074874876143</v>
      </c>
      <c r="D7" s="14">
        <v>30.50014220520616</v>
      </c>
    </row>
    <row r="8" spans="1:4" x14ac:dyDescent="0.3">
      <c r="A8" s="5">
        <v>7</v>
      </c>
      <c r="B8" s="5" t="s">
        <v>344</v>
      </c>
      <c r="C8" s="14">
        <v>31.17822322271477</v>
      </c>
      <c r="D8" s="14">
        <v>41.32883814152278</v>
      </c>
    </row>
    <row r="9" spans="1:4" x14ac:dyDescent="0.3">
      <c r="A9" s="5">
        <v>8</v>
      </c>
      <c r="B9" s="5" t="s">
        <v>417</v>
      </c>
      <c r="C9" s="14">
        <v>7.2153258671188505</v>
      </c>
      <c r="D9" s="14">
        <v>17.703930741701338</v>
      </c>
    </row>
    <row r="10" spans="1:4" x14ac:dyDescent="0.3">
      <c r="A10" s="5">
        <v>9</v>
      </c>
      <c r="B10" s="5" t="s">
        <v>445</v>
      </c>
      <c r="C10" s="14">
        <v>2.1794397622486472</v>
      </c>
      <c r="D10" s="14">
        <v>10.747293619752581</v>
      </c>
    </row>
    <row r="11" spans="1:4" x14ac:dyDescent="0.3">
      <c r="A11" s="5">
        <v>10</v>
      </c>
      <c r="B11" s="5" t="s">
        <v>332</v>
      </c>
      <c r="C11" s="14">
        <v>10.029994766348443</v>
      </c>
      <c r="D11" s="14">
        <v>24.542191247623542</v>
      </c>
    </row>
    <row r="12" spans="1:4" x14ac:dyDescent="0.3">
      <c r="A12" s="5">
        <v>11</v>
      </c>
      <c r="B12" s="5" t="s">
        <v>477</v>
      </c>
      <c r="C12" s="14">
        <v>20.162042885132713</v>
      </c>
      <c r="D12" s="14">
        <v>34.035126746058424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3903-895C-46E8-86EA-456AF25C22F6}">
  <dimension ref="A1:D12"/>
  <sheetViews>
    <sheetView workbookViewId="0">
      <selection activeCell="H21" sqref="H21"/>
    </sheetView>
  </sheetViews>
  <sheetFormatPr baseColWidth="10" defaultColWidth="8.88671875" defaultRowHeight="14.4" x14ac:dyDescent="0.3"/>
  <cols>
    <col min="1" max="2" width="8.88671875" style="6"/>
    <col min="3" max="4" width="23" style="6" customWidth="1"/>
    <col min="5" max="16384" width="8.88671875" style="6"/>
  </cols>
  <sheetData>
    <row r="1" spans="1:4" s="8" customFormat="1" x14ac:dyDescent="0.3">
      <c r="A1" s="4" t="s">
        <v>476</v>
      </c>
      <c r="B1" s="4" t="s">
        <v>2</v>
      </c>
      <c r="C1" s="2" t="s">
        <v>490</v>
      </c>
      <c r="D1" s="9" t="s">
        <v>492</v>
      </c>
    </row>
    <row r="2" spans="1:4" x14ac:dyDescent="0.3">
      <c r="A2" s="5">
        <v>1</v>
      </c>
      <c r="B2" s="5" t="s">
        <v>5</v>
      </c>
      <c r="C2" s="10">
        <v>146741411.29666671</v>
      </c>
      <c r="D2" s="10">
        <v>221907172.94666672</v>
      </c>
    </row>
    <row r="3" spans="1:4" x14ac:dyDescent="0.3">
      <c r="A3" s="5">
        <v>2</v>
      </c>
      <c r="B3" s="5" t="s">
        <v>45</v>
      </c>
      <c r="C3" s="10">
        <v>780394517.65333354</v>
      </c>
      <c r="D3" s="10">
        <v>1420792862.4000003</v>
      </c>
    </row>
    <row r="4" spans="1:4" x14ac:dyDescent="0.3">
      <c r="A4" s="5">
        <v>3</v>
      </c>
      <c r="B4" s="5" t="s">
        <v>153</v>
      </c>
      <c r="C4" s="10">
        <v>504272211.23999995</v>
      </c>
      <c r="D4" s="10">
        <v>1007679693.1333336</v>
      </c>
    </row>
    <row r="5" spans="1:4" x14ac:dyDescent="0.3">
      <c r="A5" s="5">
        <v>4</v>
      </c>
      <c r="B5" s="5" t="s">
        <v>218</v>
      </c>
      <c r="C5" s="10">
        <v>127139899.86333333</v>
      </c>
      <c r="D5" s="10">
        <v>236835188.56999996</v>
      </c>
    </row>
    <row r="6" spans="1:4" x14ac:dyDescent="0.3">
      <c r="A6" s="5">
        <v>5</v>
      </c>
      <c r="B6" s="5" t="s">
        <v>269</v>
      </c>
      <c r="C6" s="10">
        <v>212123353.46333334</v>
      </c>
      <c r="D6" s="10">
        <v>287179561.95999998</v>
      </c>
    </row>
    <row r="7" spans="1:4" x14ac:dyDescent="0.3">
      <c r="A7" s="5">
        <v>6</v>
      </c>
      <c r="B7" s="5" t="s">
        <v>327</v>
      </c>
      <c r="C7" s="10">
        <v>134736965.90000001</v>
      </c>
      <c r="D7" s="10">
        <v>269926503.47999996</v>
      </c>
    </row>
    <row r="8" spans="1:4" x14ac:dyDescent="0.3">
      <c r="A8" s="5">
        <v>7</v>
      </c>
      <c r="B8" s="5" t="s">
        <v>344</v>
      </c>
      <c r="C8" s="10">
        <v>1072835487.1933333</v>
      </c>
      <c r="D8" s="10">
        <v>1730797025.9266679</v>
      </c>
    </row>
    <row r="9" spans="1:4" x14ac:dyDescent="0.3">
      <c r="A9" s="5">
        <v>8</v>
      </c>
      <c r="B9" s="5" t="s">
        <v>417</v>
      </c>
      <c r="C9" s="10">
        <v>62379953.153333336</v>
      </c>
      <c r="D9" s="10">
        <v>120368807.91333334</v>
      </c>
    </row>
    <row r="10" spans="1:4" x14ac:dyDescent="0.3">
      <c r="A10" s="5">
        <v>9</v>
      </c>
      <c r="B10" s="5" t="s">
        <v>445</v>
      </c>
      <c r="C10" s="10">
        <v>12532058.416666666</v>
      </c>
      <c r="D10" s="10">
        <v>37428264.853333332</v>
      </c>
    </row>
    <row r="11" spans="1:4" x14ac:dyDescent="0.3">
      <c r="A11" s="5">
        <v>10</v>
      </c>
      <c r="B11" s="5" t="s">
        <v>332</v>
      </c>
      <c r="C11" s="10">
        <v>32701263.563333333</v>
      </c>
      <c r="D11" s="10">
        <v>61017132.663333334</v>
      </c>
    </row>
    <row r="12" spans="1:4" x14ac:dyDescent="0.3">
      <c r="A12" s="5">
        <v>11</v>
      </c>
      <c r="B12" s="5" t="s">
        <v>477</v>
      </c>
      <c r="C12" s="10">
        <v>3053155858.1800003</v>
      </c>
      <c r="D12" s="10">
        <v>5332915081.1833324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B50F-BDEA-4D17-B108-9AC2D98CA297}">
  <dimension ref="A1:J2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10" ht="48" x14ac:dyDescent="0.3">
      <c r="A1" s="15" t="s">
        <v>494</v>
      </c>
      <c r="B1" s="15" t="s">
        <v>495</v>
      </c>
      <c r="C1" s="16" t="s">
        <v>496</v>
      </c>
      <c r="D1" s="16" t="s">
        <v>497</v>
      </c>
      <c r="E1" s="17" t="s">
        <v>498</v>
      </c>
      <c r="F1" s="17" t="s">
        <v>499</v>
      </c>
      <c r="G1" s="18" t="s">
        <v>500</v>
      </c>
      <c r="H1" s="18" t="s">
        <v>501</v>
      </c>
      <c r="I1" s="19" t="s">
        <v>502</v>
      </c>
      <c r="J1" s="19" t="s">
        <v>503</v>
      </c>
    </row>
    <row r="2" spans="1:10" x14ac:dyDescent="0.3">
      <c r="A2" s="13">
        <v>17</v>
      </c>
      <c r="B2" s="13" t="s">
        <v>504</v>
      </c>
      <c r="C2" s="13">
        <v>100</v>
      </c>
      <c r="D2" s="13">
        <v>15</v>
      </c>
      <c r="E2" s="13">
        <v>15</v>
      </c>
      <c r="F2" s="13">
        <v>10</v>
      </c>
      <c r="G2" s="13">
        <v>10</v>
      </c>
      <c r="H2" s="13">
        <v>5</v>
      </c>
      <c r="I2" s="13">
        <v>5</v>
      </c>
      <c r="J2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D8A0-A23D-4488-B264-DADCC90984D9}">
  <dimension ref="A1:C5"/>
  <sheetViews>
    <sheetView workbookViewId="0">
      <selection activeCell="J26" sqref="J26"/>
    </sheetView>
  </sheetViews>
  <sheetFormatPr baseColWidth="10" defaultColWidth="8.88671875" defaultRowHeight="14.4" x14ac:dyDescent="0.3"/>
  <cols>
    <col min="1" max="1" width="23.109375" customWidth="1"/>
  </cols>
  <sheetData>
    <row r="1" spans="1:3" ht="16.8" customHeight="1" x14ac:dyDescent="0.3">
      <c r="A1" s="20" t="s">
        <v>505</v>
      </c>
      <c r="B1" s="21">
        <v>2012</v>
      </c>
      <c r="C1" s="21">
        <v>2024</v>
      </c>
    </row>
    <row r="2" spans="1:3" ht="16.8" customHeight="1" x14ac:dyDescent="0.3">
      <c r="A2" s="22" t="s">
        <v>506</v>
      </c>
      <c r="B2" s="23">
        <v>49</v>
      </c>
      <c r="C2" s="23">
        <v>118</v>
      </c>
    </row>
    <row r="3" spans="1:3" ht="16.8" customHeight="1" x14ac:dyDescent="0.3">
      <c r="A3" s="22" t="s">
        <v>507</v>
      </c>
      <c r="B3" s="23">
        <v>31</v>
      </c>
      <c r="C3" s="23">
        <v>31</v>
      </c>
    </row>
    <row r="4" spans="1:3" ht="16.8" customHeight="1" x14ac:dyDescent="0.3">
      <c r="A4" s="22" t="s">
        <v>508</v>
      </c>
      <c r="B4" s="23">
        <v>63</v>
      </c>
      <c r="C4" s="23">
        <v>67</v>
      </c>
    </row>
    <row r="5" spans="1:3" ht="16.8" customHeight="1" x14ac:dyDescent="0.3">
      <c r="A5" s="22" t="s">
        <v>509</v>
      </c>
      <c r="B5" s="23">
        <v>200</v>
      </c>
      <c r="C5" s="23">
        <v>127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AEBE-B4EB-4914-9CCF-97369A1D38FF}">
  <dimension ref="A1"/>
  <sheetViews>
    <sheetView workbookViewId="0">
      <selection activeCell="A11" sqref="A11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originales-procesados</vt:lpstr>
      <vt:lpstr>Datos ordenados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Karina</cp:lastModifiedBy>
  <dcterms:created xsi:type="dcterms:W3CDTF">2026-01-28T15:58:14Z</dcterms:created>
  <dcterms:modified xsi:type="dcterms:W3CDTF">2026-05-25T05:32:55Z</dcterms:modified>
</cp:coreProperties>
</file>