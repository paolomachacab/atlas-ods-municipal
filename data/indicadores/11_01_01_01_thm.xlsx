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FE8D969C-53CD-47A4-BA60-6141F8346971}" xr6:coauthVersionLast="47" xr6:coauthVersionMax="47" xr10:uidLastSave="{00000000-0000-0000-0000-000000000000}"/>
  <bookViews>
    <workbookView xWindow="-108" yWindow="-108" windowWidth="23256" windowHeight="12456" firstSheet="1" activeTab="2" xr2:uid="{1F0CCE29-C528-4204-AA1E-F32404105712}"/>
  </bookViews>
  <sheets>
    <sheet name="Datos procesados" sheetId="1" r:id="rId1"/>
    <sheet name="DatosINE" sheetId="9" r:id="rId2"/>
    <sheet name="Indicador_MUN" sheetId="2" r:id="rId3"/>
    <sheet name="Absoluto_MUN" sheetId="3" r:id="rId4"/>
    <sheet name="Indicador_DEP" sheetId="4" r:id="rId5"/>
    <sheet name="Absoluto_DEP" sheetId="5" r:id="rId6"/>
    <sheet name="Umbral" sheetId="6" r:id="rId7"/>
  </sheets>
  <definedNames>
    <definedName name="_xlnm._FilterDatabase" localSheetId="1" hidden="1">DatosINE!$A$4:$AA$1402</definedName>
    <definedName name="_xlnm._FilterDatabase" localSheetId="2" hidden="1">Indicador_MUN!$A$1:$B$1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340" i="9" l="1"/>
  <c r="AE1340" i="9"/>
  <c r="AF1250" i="9"/>
  <c r="AE1250" i="9"/>
  <c r="AF1034" i="9"/>
  <c r="AE1034" i="9"/>
  <c r="AF980" i="9"/>
  <c r="AE980" i="9"/>
  <c r="AF803" i="9"/>
  <c r="AE803" i="9"/>
  <c r="AF647" i="9"/>
  <c r="AE647" i="9"/>
  <c r="AF452" i="9"/>
  <c r="AE452" i="9"/>
  <c r="AF128" i="9"/>
  <c r="AE128" i="9"/>
  <c r="AF8" i="9"/>
  <c r="AE8" i="9"/>
  <c r="O1405" i="9"/>
  <c r="P1405" i="9"/>
  <c r="P1406" i="9" s="1"/>
  <c r="Q1405" i="9"/>
  <c r="R1405" i="9"/>
  <c r="R1406" i="9" s="1"/>
  <c r="L1405" i="9"/>
  <c r="L1406" i="9" s="1"/>
  <c r="M1405" i="9"/>
  <c r="M1406" i="9" s="1"/>
  <c r="N1405" i="9"/>
  <c r="K1405" i="9"/>
  <c r="AD1340" i="9"/>
  <c r="AD1250" i="9"/>
  <c r="AD1034" i="9"/>
  <c r="AD980" i="9"/>
  <c r="AD803" i="9"/>
  <c r="AD647" i="9"/>
  <c r="AD452" i="9"/>
  <c r="AD128" i="9"/>
  <c r="AD8" i="9"/>
  <c r="AC1340" i="9"/>
  <c r="AC1250" i="9"/>
  <c r="AC1034" i="9"/>
  <c r="AC980" i="9"/>
  <c r="AC803" i="9"/>
  <c r="AC647" i="9"/>
  <c r="AC452" i="9"/>
  <c r="AC128" i="9"/>
  <c r="AC8" i="9"/>
  <c r="AF5" i="9"/>
  <c r="AE5" i="9"/>
  <c r="AD5" i="9"/>
  <c r="AC5" i="9"/>
  <c r="AM1400" i="9"/>
  <c r="AL1400" i="9"/>
  <c r="AM1397" i="9"/>
  <c r="AL1397" i="9"/>
  <c r="AM1394" i="9"/>
  <c r="AL1394" i="9"/>
  <c r="AM1388" i="9"/>
  <c r="AL1388" i="9"/>
  <c r="AM1385" i="9"/>
  <c r="AL1385" i="9"/>
  <c r="AM1379" i="9"/>
  <c r="AL1379" i="9"/>
  <c r="AM1376" i="9"/>
  <c r="AL1376" i="9"/>
  <c r="AM1373" i="9"/>
  <c r="AL1373" i="9"/>
  <c r="AM1367" i="9"/>
  <c r="AL1367" i="9"/>
  <c r="AM1364" i="9"/>
  <c r="AL1364" i="9"/>
  <c r="AM1361" i="9"/>
  <c r="AL1361" i="9"/>
  <c r="AM1355" i="9"/>
  <c r="AL1355" i="9"/>
  <c r="AM1352" i="9"/>
  <c r="AL1352" i="9"/>
  <c r="AM1349" i="9"/>
  <c r="AL1349" i="9"/>
  <c r="AM1346" i="9"/>
  <c r="AL1346" i="9"/>
  <c r="AM1337" i="9"/>
  <c r="AL1337" i="9"/>
  <c r="AM1331" i="9"/>
  <c r="AL1331" i="9"/>
  <c r="AM1328" i="9"/>
  <c r="AL1328" i="9"/>
  <c r="AM1325" i="9"/>
  <c r="AL1325" i="9"/>
  <c r="AM1319" i="9"/>
  <c r="AL1319" i="9"/>
  <c r="AM1316" i="9"/>
  <c r="AL1316" i="9"/>
  <c r="AM1313" i="9"/>
  <c r="AL1313" i="9"/>
  <c r="AM1307" i="9"/>
  <c r="AL1307" i="9"/>
  <c r="AM1304" i="9"/>
  <c r="AL1304" i="9"/>
  <c r="AM1298" i="9"/>
  <c r="AL1298" i="9"/>
  <c r="AM1292" i="9"/>
  <c r="AL1292" i="9"/>
  <c r="AM1289" i="9"/>
  <c r="AL1289" i="9"/>
  <c r="AM1283" i="9"/>
  <c r="AL1283" i="9"/>
  <c r="AM1280" i="9"/>
  <c r="AL1280" i="9"/>
  <c r="AM1277" i="9"/>
  <c r="AL1277" i="9"/>
  <c r="AM1274" i="9"/>
  <c r="AL1274" i="9"/>
  <c r="AM1268" i="9"/>
  <c r="AL1268" i="9"/>
  <c r="AM1265" i="9"/>
  <c r="AL1265" i="9"/>
  <c r="AM1259" i="9"/>
  <c r="AL1259" i="9"/>
  <c r="AM1256" i="9"/>
  <c r="AL1256" i="9"/>
  <c r="AM1247" i="9"/>
  <c r="AL1247" i="9"/>
  <c r="AM1244" i="9"/>
  <c r="AL1244" i="9"/>
  <c r="AM1241" i="9"/>
  <c r="AL1241" i="9"/>
  <c r="AM1235" i="9"/>
  <c r="AL1235" i="9"/>
  <c r="AM1232" i="9"/>
  <c r="AL1232" i="9"/>
  <c r="AM1229" i="9"/>
  <c r="AL1229" i="9"/>
  <c r="AM1223" i="9"/>
  <c r="AL1223" i="9"/>
  <c r="AM1220" i="9"/>
  <c r="AL1220" i="9"/>
  <c r="AM1214" i="9"/>
  <c r="AL1214" i="9"/>
  <c r="AM1208" i="9"/>
  <c r="AL1208" i="9"/>
  <c r="AM1205" i="9"/>
  <c r="AL1205" i="9"/>
  <c r="AM1202" i="9"/>
  <c r="AL1202" i="9"/>
  <c r="AM1199" i="9"/>
  <c r="AL1199" i="9"/>
  <c r="AM1196" i="9"/>
  <c r="AL1196" i="9"/>
  <c r="AM1193" i="9"/>
  <c r="AL1193" i="9"/>
  <c r="AM1187" i="9"/>
  <c r="AL1187" i="9"/>
  <c r="AM1184" i="9"/>
  <c r="AL1184" i="9"/>
  <c r="AM1181" i="9"/>
  <c r="AL1181" i="9"/>
  <c r="AM1178" i="9"/>
  <c r="AL1178" i="9"/>
  <c r="AM1175" i="9"/>
  <c r="AL1175" i="9"/>
  <c r="AM1169" i="9"/>
  <c r="AL1169" i="9"/>
  <c r="AM1166" i="9"/>
  <c r="AL1166" i="9"/>
  <c r="AM1163" i="9"/>
  <c r="AL1163" i="9"/>
  <c r="AM1160" i="9"/>
  <c r="AL1160" i="9"/>
  <c r="AM1154" i="9"/>
  <c r="AL1154" i="9"/>
  <c r="AM1151" i="9"/>
  <c r="AL1151" i="9"/>
  <c r="AM1148" i="9"/>
  <c r="AL1148" i="9"/>
  <c r="AM1145" i="9"/>
  <c r="AL1145" i="9"/>
  <c r="AM1142" i="9"/>
  <c r="AL1142" i="9"/>
  <c r="AM1136" i="9"/>
  <c r="AL1136" i="9"/>
  <c r="AM1133" i="9"/>
  <c r="AL1133" i="9"/>
  <c r="AM1130" i="9"/>
  <c r="AL1130" i="9"/>
  <c r="AM1127" i="9"/>
  <c r="AL1127" i="9"/>
  <c r="AM1124" i="9"/>
  <c r="AL1124" i="9"/>
  <c r="AM1121" i="9"/>
  <c r="AL1121" i="9"/>
  <c r="AM1118" i="9"/>
  <c r="AL1118" i="9"/>
  <c r="AM1112" i="9"/>
  <c r="AL1112" i="9"/>
  <c r="AM1109" i="9"/>
  <c r="AL1109" i="9"/>
  <c r="AM1106" i="9"/>
  <c r="AL1106" i="9"/>
  <c r="AM1100" i="9"/>
  <c r="AL1100" i="9"/>
  <c r="AM1097" i="9"/>
  <c r="AL1097" i="9"/>
  <c r="AM1094" i="9"/>
  <c r="AL1094" i="9"/>
  <c r="AM1088" i="9"/>
  <c r="AL1088" i="9"/>
  <c r="AM1085" i="9"/>
  <c r="AL1085" i="9"/>
  <c r="AM1082" i="9"/>
  <c r="AL1082" i="9"/>
  <c r="AM1079" i="9"/>
  <c r="AL1079" i="9"/>
  <c r="AM1073" i="9"/>
  <c r="AL1073" i="9"/>
  <c r="AM1070" i="9"/>
  <c r="AL1070" i="9"/>
  <c r="AM1067" i="9"/>
  <c r="AL1067" i="9"/>
  <c r="AM1061" i="9"/>
  <c r="AL1061" i="9"/>
  <c r="AM1058" i="9"/>
  <c r="AL1058" i="9"/>
  <c r="AM1052" i="9"/>
  <c r="AL1052" i="9"/>
  <c r="AM1049" i="9"/>
  <c r="AL1049" i="9"/>
  <c r="AM1046" i="9"/>
  <c r="AL1046" i="9"/>
  <c r="AM1043" i="9"/>
  <c r="AL1043" i="9"/>
  <c r="AM1040" i="9"/>
  <c r="AL1040" i="9"/>
  <c r="AM1031" i="9"/>
  <c r="AL1031" i="9"/>
  <c r="AM1025" i="9"/>
  <c r="AL1025" i="9"/>
  <c r="AM1022" i="9"/>
  <c r="AL1022" i="9"/>
  <c r="AM1016" i="9"/>
  <c r="AL1016" i="9"/>
  <c r="AM1013" i="9"/>
  <c r="AL1013" i="9"/>
  <c r="AM1007" i="9"/>
  <c r="AL1007" i="9"/>
  <c r="AM1004" i="9"/>
  <c r="AL1004" i="9"/>
  <c r="AM1001" i="9"/>
  <c r="AL1001" i="9"/>
  <c r="AM995" i="9"/>
  <c r="AL995" i="9"/>
  <c r="AM992" i="9"/>
  <c r="AL992" i="9"/>
  <c r="AM986" i="9"/>
  <c r="AL986" i="9"/>
  <c r="AM977" i="9"/>
  <c r="AL977" i="9"/>
  <c r="AM971" i="9"/>
  <c r="AL971" i="9"/>
  <c r="AM965" i="9"/>
  <c r="AL965" i="9"/>
  <c r="AM962" i="9"/>
  <c r="AL962" i="9"/>
  <c r="AM956" i="9"/>
  <c r="AL956" i="9"/>
  <c r="AM953" i="9"/>
  <c r="AL953" i="9"/>
  <c r="AM947" i="9"/>
  <c r="AL947" i="9"/>
  <c r="AM944" i="9"/>
  <c r="AL944" i="9"/>
  <c r="AM941" i="9"/>
  <c r="AL941" i="9"/>
  <c r="AM938" i="9"/>
  <c r="AL938" i="9"/>
  <c r="AM932" i="9"/>
  <c r="AL932" i="9"/>
  <c r="AM929" i="9"/>
  <c r="AL929" i="9"/>
  <c r="AM926" i="9"/>
  <c r="AL926" i="9"/>
  <c r="AM920" i="9"/>
  <c r="AL920" i="9"/>
  <c r="AM917" i="9"/>
  <c r="AL917" i="9"/>
  <c r="AM914" i="9"/>
  <c r="AL914" i="9"/>
  <c r="AM908" i="9"/>
  <c r="AL908" i="9"/>
  <c r="AM905" i="9"/>
  <c r="AL905" i="9"/>
  <c r="AM899" i="9"/>
  <c r="AL899" i="9"/>
  <c r="AM896" i="9"/>
  <c r="AL896" i="9"/>
  <c r="AM890" i="9"/>
  <c r="AL890" i="9"/>
  <c r="AM887" i="9"/>
  <c r="AL887" i="9"/>
  <c r="AM881" i="9"/>
  <c r="AL881" i="9"/>
  <c r="AM878" i="9"/>
  <c r="AL878" i="9"/>
  <c r="AM872" i="9"/>
  <c r="AL872" i="9"/>
  <c r="AM869" i="9"/>
  <c r="AL869" i="9"/>
  <c r="AM863" i="9"/>
  <c r="AL863" i="9"/>
  <c r="AM860" i="9"/>
  <c r="AL860" i="9"/>
  <c r="AM857" i="9"/>
  <c r="AL857" i="9"/>
  <c r="AM854" i="9"/>
  <c r="AL854" i="9"/>
  <c r="AM851" i="9"/>
  <c r="AL851" i="9"/>
  <c r="AM845" i="9"/>
  <c r="AL845" i="9"/>
  <c r="AM842" i="9"/>
  <c r="AL842" i="9"/>
  <c r="AM839" i="9"/>
  <c r="AL839" i="9"/>
  <c r="AM833" i="9"/>
  <c r="AL833" i="9"/>
  <c r="AM830" i="9"/>
  <c r="AL830" i="9"/>
  <c r="AM827" i="9"/>
  <c r="AL827" i="9"/>
  <c r="AM824" i="9"/>
  <c r="AL824" i="9"/>
  <c r="AM818" i="9"/>
  <c r="AL818" i="9"/>
  <c r="AM815" i="9"/>
  <c r="AL815" i="9"/>
  <c r="AM812" i="9"/>
  <c r="AL812" i="9"/>
  <c r="AM809" i="9"/>
  <c r="AL809" i="9"/>
  <c r="AM800" i="9"/>
  <c r="AL800" i="9"/>
  <c r="AM794" i="9"/>
  <c r="AL794" i="9"/>
  <c r="AM791" i="9"/>
  <c r="AL791" i="9"/>
  <c r="AM788" i="9"/>
  <c r="AL788" i="9"/>
  <c r="AM782" i="9"/>
  <c r="AL782" i="9"/>
  <c r="AM776" i="9"/>
  <c r="AL776" i="9"/>
  <c r="AM770" i="9"/>
  <c r="AL770" i="9"/>
  <c r="AM767" i="9"/>
  <c r="AL767" i="9"/>
  <c r="AM761" i="9"/>
  <c r="AL761" i="9"/>
  <c r="AM755" i="9"/>
  <c r="AL755" i="9"/>
  <c r="AM749" i="9"/>
  <c r="AL749" i="9"/>
  <c r="AM746" i="9"/>
  <c r="AL746" i="9"/>
  <c r="AM743" i="9"/>
  <c r="AL743" i="9"/>
  <c r="AM737" i="9"/>
  <c r="AL737" i="9"/>
  <c r="AM734" i="9"/>
  <c r="AL734" i="9"/>
  <c r="AM728" i="9"/>
  <c r="AL728" i="9"/>
  <c r="AM725" i="9"/>
  <c r="AL725" i="9"/>
  <c r="AM719" i="9"/>
  <c r="AL719" i="9"/>
  <c r="AM716" i="9"/>
  <c r="AL716" i="9"/>
  <c r="AM713" i="9"/>
  <c r="AL713" i="9"/>
  <c r="AM707" i="9"/>
  <c r="AL707" i="9"/>
  <c r="AM704" i="9"/>
  <c r="AL704" i="9"/>
  <c r="AM701" i="9"/>
  <c r="AL701" i="9"/>
  <c r="AM698" i="9"/>
  <c r="AL698" i="9"/>
  <c r="AM695" i="9"/>
  <c r="AL695" i="9"/>
  <c r="AM689" i="9"/>
  <c r="AL689" i="9"/>
  <c r="AM686" i="9"/>
  <c r="AL686" i="9"/>
  <c r="AM680" i="9"/>
  <c r="AL680" i="9"/>
  <c r="AM677" i="9"/>
  <c r="AL677" i="9"/>
  <c r="AM671" i="9"/>
  <c r="AL671" i="9"/>
  <c r="AM668" i="9"/>
  <c r="AL668" i="9"/>
  <c r="AM662" i="9"/>
  <c r="AL662" i="9"/>
  <c r="AM659" i="9"/>
  <c r="AL659" i="9"/>
  <c r="AM656" i="9"/>
  <c r="AL656" i="9"/>
  <c r="AM653" i="9"/>
  <c r="AL653" i="9"/>
  <c r="AM644" i="9"/>
  <c r="AL644" i="9"/>
  <c r="AM641" i="9"/>
  <c r="AL641" i="9"/>
  <c r="AM635" i="9"/>
  <c r="AL635" i="9"/>
  <c r="AM629" i="9"/>
  <c r="AL629" i="9"/>
  <c r="AM626" i="9"/>
  <c r="AL626" i="9"/>
  <c r="AM623" i="9"/>
  <c r="AL623" i="9"/>
  <c r="AM620" i="9"/>
  <c r="AL620" i="9"/>
  <c r="AM617" i="9"/>
  <c r="AL617" i="9"/>
  <c r="AM611" i="9"/>
  <c r="AL611" i="9"/>
  <c r="AM608" i="9"/>
  <c r="AL608" i="9"/>
  <c r="AM605" i="9"/>
  <c r="AL605" i="9"/>
  <c r="AM602" i="9"/>
  <c r="AL602" i="9"/>
  <c r="AM596" i="9"/>
  <c r="AL596" i="9"/>
  <c r="AM593" i="9"/>
  <c r="AL593" i="9"/>
  <c r="AM590" i="9"/>
  <c r="AL590" i="9"/>
  <c r="AM587" i="9"/>
  <c r="AL587" i="9"/>
  <c r="AM584" i="9"/>
  <c r="AL584" i="9"/>
  <c r="AM581" i="9"/>
  <c r="AL581" i="9"/>
  <c r="AM575" i="9"/>
  <c r="AL575" i="9"/>
  <c r="AM569" i="9"/>
  <c r="AL569" i="9"/>
  <c r="AM566" i="9"/>
  <c r="AL566" i="9"/>
  <c r="AM563" i="9"/>
  <c r="AL563" i="9"/>
  <c r="AM557" i="9"/>
  <c r="AL557" i="9"/>
  <c r="AM554" i="9"/>
  <c r="AL554" i="9"/>
  <c r="AM551" i="9"/>
  <c r="AL551" i="9"/>
  <c r="AM548" i="9"/>
  <c r="AL548" i="9"/>
  <c r="AM545" i="9"/>
  <c r="AL545" i="9"/>
  <c r="AM539" i="9"/>
  <c r="AL539" i="9"/>
  <c r="AM536" i="9"/>
  <c r="AL536" i="9"/>
  <c r="AM533" i="9"/>
  <c r="AL533" i="9"/>
  <c r="AM527" i="9"/>
  <c r="AL527" i="9"/>
  <c r="AM524" i="9"/>
  <c r="AL524" i="9"/>
  <c r="AM521" i="9"/>
  <c r="AL521" i="9"/>
  <c r="AM515" i="9"/>
  <c r="AL515" i="9"/>
  <c r="AM512" i="9"/>
  <c r="AL512" i="9"/>
  <c r="AM506" i="9"/>
  <c r="AL506" i="9"/>
  <c r="AM503" i="9"/>
  <c r="AL503" i="9"/>
  <c r="AM497" i="9"/>
  <c r="AL497" i="9"/>
  <c r="AM494" i="9"/>
  <c r="AL494" i="9"/>
  <c r="AM491" i="9"/>
  <c r="AL491" i="9"/>
  <c r="AM488" i="9"/>
  <c r="AL488" i="9"/>
  <c r="AM482" i="9"/>
  <c r="AL482" i="9"/>
  <c r="AM479" i="9"/>
  <c r="AL479" i="9"/>
  <c r="AM476" i="9"/>
  <c r="AL476" i="9"/>
  <c r="AM470" i="9"/>
  <c r="AL470" i="9"/>
  <c r="AM467" i="9"/>
  <c r="AL467" i="9"/>
  <c r="AM464" i="9"/>
  <c r="AL464" i="9"/>
  <c r="AM458" i="9"/>
  <c r="AL458" i="9"/>
  <c r="AM449" i="9"/>
  <c r="AL449" i="9"/>
  <c r="AM446" i="9"/>
  <c r="AL446" i="9"/>
  <c r="AM440" i="9"/>
  <c r="AL440" i="9"/>
  <c r="AM437" i="9"/>
  <c r="AL437" i="9"/>
  <c r="AM431" i="9"/>
  <c r="AL431" i="9"/>
  <c r="AM428" i="9"/>
  <c r="AL428" i="9"/>
  <c r="AM425" i="9"/>
  <c r="AL425" i="9"/>
  <c r="AM419" i="9"/>
  <c r="AL419" i="9"/>
  <c r="AM416" i="9"/>
  <c r="AL416" i="9"/>
  <c r="AM413" i="9"/>
  <c r="AL413" i="9"/>
  <c r="AM407" i="9"/>
  <c r="AL407" i="9"/>
  <c r="AM404" i="9"/>
  <c r="AL404" i="9"/>
  <c r="AM398" i="9"/>
  <c r="AL398" i="9"/>
  <c r="AM395" i="9"/>
  <c r="AL395" i="9"/>
  <c r="AM389" i="9"/>
  <c r="AL389" i="9"/>
  <c r="AM386" i="9"/>
  <c r="AL386" i="9"/>
  <c r="AM380" i="9"/>
  <c r="AL380" i="9"/>
  <c r="AM377" i="9"/>
  <c r="AL377" i="9"/>
  <c r="AM374" i="9"/>
  <c r="AL374" i="9"/>
  <c r="AM371" i="9"/>
  <c r="AL371" i="9"/>
  <c r="AM368" i="9"/>
  <c r="AL368" i="9"/>
  <c r="AM365" i="9"/>
  <c r="AL365" i="9"/>
  <c r="AM362" i="9"/>
  <c r="AL362" i="9"/>
  <c r="AM356" i="9"/>
  <c r="AL356" i="9"/>
  <c r="AM353" i="9"/>
  <c r="AL353" i="9"/>
  <c r="AM350" i="9"/>
  <c r="AL350" i="9"/>
  <c r="AM347" i="9"/>
  <c r="AL347" i="9"/>
  <c r="AM341" i="9"/>
  <c r="AL341" i="9"/>
  <c r="AM338" i="9"/>
  <c r="AL338" i="9"/>
  <c r="AM335" i="9"/>
  <c r="AL335" i="9"/>
  <c r="AM332" i="9"/>
  <c r="AL332" i="9"/>
  <c r="AM329" i="9"/>
  <c r="AL329" i="9"/>
  <c r="AM323" i="9"/>
  <c r="AL323" i="9"/>
  <c r="AM320" i="9"/>
  <c r="AL320" i="9"/>
  <c r="AM317" i="9"/>
  <c r="AL317" i="9"/>
  <c r="AM314" i="9"/>
  <c r="AL314" i="9"/>
  <c r="AM311" i="9"/>
  <c r="AL311" i="9"/>
  <c r="AM308" i="9"/>
  <c r="AL308" i="9"/>
  <c r="AM302" i="9"/>
  <c r="AL302" i="9"/>
  <c r="AM299" i="9"/>
  <c r="AL299" i="9"/>
  <c r="AM296" i="9"/>
  <c r="AL296" i="9"/>
  <c r="AM293" i="9"/>
  <c r="AL293" i="9"/>
  <c r="AM290" i="9"/>
  <c r="AL290" i="9"/>
  <c r="AM284" i="9"/>
  <c r="AL284" i="9"/>
  <c r="AM281" i="9"/>
  <c r="AL281" i="9"/>
  <c r="AM278" i="9"/>
  <c r="AL278" i="9"/>
  <c r="AM275" i="9"/>
  <c r="AL275" i="9"/>
  <c r="AM272" i="9"/>
  <c r="AL272" i="9"/>
  <c r="AM269" i="9"/>
  <c r="AL269" i="9"/>
  <c r="AM266" i="9"/>
  <c r="AL266" i="9"/>
  <c r="AM260" i="9"/>
  <c r="AL260" i="9"/>
  <c r="AM257" i="9"/>
  <c r="AL257" i="9"/>
  <c r="AM251" i="9"/>
  <c r="AL251" i="9"/>
  <c r="AM248" i="9"/>
  <c r="AL248" i="9"/>
  <c r="AM245" i="9"/>
  <c r="AL245" i="9"/>
  <c r="AM242" i="9"/>
  <c r="AL242" i="9"/>
  <c r="AM239" i="9"/>
  <c r="AL239" i="9"/>
  <c r="AM236" i="9"/>
  <c r="AL236" i="9"/>
  <c r="AM233" i="9"/>
  <c r="AL233" i="9"/>
  <c r="AM230" i="9"/>
  <c r="AL230" i="9"/>
  <c r="AM224" i="9"/>
  <c r="AL224" i="9"/>
  <c r="AM221" i="9"/>
  <c r="AL221" i="9"/>
  <c r="AM218" i="9"/>
  <c r="AL218" i="9"/>
  <c r="AM212" i="9"/>
  <c r="AL212" i="9"/>
  <c r="AM209" i="9"/>
  <c r="AL209" i="9"/>
  <c r="AM206" i="9"/>
  <c r="AL206" i="9"/>
  <c r="AM203" i="9"/>
  <c r="AL203" i="9"/>
  <c r="AM200" i="9"/>
  <c r="AL200" i="9"/>
  <c r="AM194" i="9"/>
  <c r="AL194" i="9"/>
  <c r="AM191" i="9"/>
  <c r="AL191" i="9"/>
  <c r="AM188" i="9"/>
  <c r="AL188" i="9"/>
  <c r="AM185" i="9"/>
  <c r="AL185" i="9"/>
  <c r="AM182" i="9"/>
  <c r="AL182" i="9"/>
  <c r="AM179" i="9"/>
  <c r="AL179" i="9"/>
  <c r="AM176" i="9"/>
  <c r="AL176" i="9"/>
  <c r="AM173" i="9"/>
  <c r="AL173" i="9"/>
  <c r="AM167" i="9"/>
  <c r="AL167" i="9"/>
  <c r="AM164" i="9"/>
  <c r="AL164" i="9"/>
  <c r="AM161" i="9"/>
  <c r="AL161" i="9"/>
  <c r="AM158" i="9"/>
  <c r="AL158" i="9"/>
  <c r="AM155" i="9"/>
  <c r="AL155" i="9"/>
  <c r="AM152" i="9"/>
  <c r="AL152" i="9"/>
  <c r="AM146" i="9"/>
  <c r="AL146" i="9"/>
  <c r="AM143" i="9"/>
  <c r="AL143" i="9"/>
  <c r="AM140" i="9"/>
  <c r="AL140" i="9"/>
  <c r="AM137" i="9"/>
  <c r="AL137" i="9"/>
  <c r="AM134" i="9"/>
  <c r="AL134" i="9"/>
  <c r="AM125" i="9"/>
  <c r="AL125" i="9"/>
  <c r="AM122" i="9"/>
  <c r="AL122" i="9"/>
  <c r="AM119" i="9"/>
  <c r="AL119" i="9"/>
  <c r="AM113" i="9"/>
  <c r="AL113" i="9"/>
  <c r="AM110" i="9"/>
  <c r="AL110" i="9"/>
  <c r="AM107" i="9"/>
  <c r="AL107" i="9"/>
  <c r="AM101" i="9"/>
  <c r="AL101" i="9"/>
  <c r="AM95" i="9"/>
  <c r="AL95" i="9"/>
  <c r="AM92" i="9"/>
  <c r="AL92" i="9"/>
  <c r="AM89" i="9"/>
  <c r="AL89" i="9"/>
  <c r="AM86" i="9"/>
  <c r="AL86" i="9"/>
  <c r="AM80" i="9"/>
  <c r="AL80" i="9"/>
  <c r="AM77" i="9"/>
  <c r="AL77" i="9"/>
  <c r="AM71" i="9"/>
  <c r="AL71" i="9"/>
  <c r="AM68" i="9"/>
  <c r="AL68" i="9"/>
  <c r="AM62" i="9"/>
  <c r="AL62" i="9"/>
  <c r="AM59" i="9"/>
  <c r="AL59" i="9"/>
  <c r="AM56" i="9"/>
  <c r="AL56" i="9"/>
  <c r="AM53" i="9"/>
  <c r="AL53" i="9"/>
  <c r="AM50" i="9"/>
  <c r="AL50" i="9"/>
  <c r="AM44" i="9"/>
  <c r="AL44" i="9"/>
  <c r="AM41" i="9"/>
  <c r="AL41" i="9"/>
  <c r="AM38" i="9"/>
  <c r="AL38" i="9"/>
  <c r="AM35" i="9"/>
  <c r="AL35" i="9"/>
  <c r="AM29" i="9"/>
  <c r="AL29" i="9"/>
  <c r="AM26" i="9"/>
  <c r="AL26" i="9"/>
  <c r="AM20" i="9"/>
  <c r="AL20" i="9"/>
  <c r="AM17" i="9"/>
  <c r="AL17" i="9"/>
  <c r="AM14" i="9"/>
  <c r="AL14" i="9"/>
  <c r="AK1400" i="9"/>
  <c r="AJ1400" i="9"/>
  <c r="AK1397" i="9"/>
  <c r="AJ1397" i="9"/>
  <c r="AK1394" i="9"/>
  <c r="AJ1394" i="9"/>
  <c r="AK1388" i="9"/>
  <c r="AJ1388" i="9"/>
  <c r="AK1385" i="9"/>
  <c r="AJ1385" i="9"/>
  <c r="AK1379" i="9"/>
  <c r="AJ1379" i="9"/>
  <c r="AK1376" i="9"/>
  <c r="AJ1376" i="9"/>
  <c r="AK1373" i="9"/>
  <c r="AJ1373" i="9"/>
  <c r="AK1367" i="9"/>
  <c r="AJ1367" i="9"/>
  <c r="AK1364" i="9"/>
  <c r="AJ1364" i="9"/>
  <c r="AK1361" i="9"/>
  <c r="AJ1361" i="9"/>
  <c r="AK1355" i="9"/>
  <c r="AJ1355" i="9"/>
  <c r="AK1352" i="9"/>
  <c r="AJ1352" i="9"/>
  <c r="AK1349" i="9"/>
  <c r="AJ1349" i="9"/>
  <c r="AK1346" i="9"/>
  <c r="AJ1346" i="9"/>
  <c r="AK1337" i="9"/>
  <c r="AJ1337" i="9"/>
  <c r="AK1331" i="9"/>
  <c r="AJ1331" i="9"/>
  <c r="AK1328" i="9"/>
  <c r="AJ1328" i="9"/>
  <c r="AK1325" i="9"/>
  <c r="AJ1325" i="9"/>
  <c r="AK1319" i="9"/>
  <c r="AJ1319" i="9"/>
  <c r="AK1316" i="9"/>
  <c r="AJ1316" i="9"/>
  <c r="AK1313" i="9"/>
  <c r="AJ1313" i="9"/>
  <c r="AK1307" i="9"/>
  <c r="AJ1307" i="9"/>
  <c r="AK1304" i="9"/>
  <c r="AJ1304" i="9"/>
  <c r="AK1298" i="9"/>
  <c r="AJ1298" i="9"/>
  <c r="AK1292" i="9"/>
  <c r="AJ1292" i="9"/>
  <c r="AK1289" i="9"/>
  <c r="AJ1289" i="9"/>
  <c r="AK1283" i="9"/>
  <c r="AJ1283" i="9"/>
  <c r="AK1280" i="9"/>
  <c r="AJ1280" i="9"/>
  <c r="AK1277" i="9"/>
  <c r="AJ1277" i="9"/>
  <c r="AK1274" i="9"/>
  <c r="AJ1274" i="9"/>
  <c r="AK1268" i="9"/>
  <c r="AJ1268" i="9"/>
  <c r="AK1265" i="9"/>
  <c r="AJ1265" i="9"/>
  <c r="AK1259" i="9"/>
  <c r="AJ1259" i="9"/>
  <c r="AK1256" i="9"/>
  <c r="AJ1256" i="9"/>
  <c r="AK1247" i="9"/>
  <c r="AJ1247" i="9"/>
  <c r="AK1244" i="9"/>
  <c r="AJ1244" i="9"/>
  <c r="AK1241" i="9"/>
  <c r="AJ1241" i="9"/>
  <c r="AK1235" i="9"/>
  <c r="AJ1235" i="9"/>
  <c r="AK1232" i="9"/>
  <c r="AJ1232" i="9"/>
  <c r="AK1229" i="9"/>
  <c r="AJ1229" i="9"/>
  <c r="AK1223" i="9"/>
  <c r="AJ1223" i="9"/>
  <c r="AK1220" i="9"/>
  <c r="AJ1220" i="9"/>
  <c r="AK1214" i="9"/>
  <c r="AJ1214" i="9"/>
  <c r="AK1208" i="9"/>
  <c r="AJ1208" i="9"/>
  <c r="AK1205" i="9"/>
  <c r="AJ1205" i="9"/>
  <c r="AK1202" i="9"/>
  <c r="AJ1202" i="9"/>
  <c r="AK1199" i="9"/>
  <c r="AJ1199" i="9"/>
  <c r="AK1196" i="9"/>
  <c r="AJ1196" i="9"/>
  <c r="AK1193" i="9"/>
  <c r="AJ1193" i="9"/>
  <c r="AK1187" i="9"/>
  <c r="AJ1187" i="9"/>
  <c r="AK1184" i="9"/>
  <c r="AJ1184" i="9"/>
  <c r="AK1181" i="9"/>
  <c r="AJ1181" i="9"/>
  <c r="AK1178" i="9"/>
  <c r="AJ1178" i="9"/>
  <c r="AK1175" i="9"/>
  <c r="AJ1175" i="9"/>
  <c r="AK1169" i="9"/>
  <c r="AJ1169" i="9"/>
  <c r="AK1166" i="9"/>
  <c r="AJ1166" i="9"/>
  <c r="AK1163" i="9"/>
  <c r="AJ1163" i="9"/>
  <c r="AK1160" i="9"/>
  <c r="AJ1160" i="9"/>
  <c r="AK1154" i="9"/>
  <c r="AJ1154" i="9"/>
  <c r="AK1151" i="9"/>
  <c r="AJ1151" i="9"/>
  <c r="AK1148" i="9"/>
  <c r="AJ1148" i="9"/>
  <c r="AK1145" i="9"/>
  <c r="AJ1145" i="9"/>
  <c r="AK1142" i="9"/>
  <c r="AJ1142" i="9"/>
  <c r="AK1136" i="9"/>
  <c r="AJ1136" i="9"/>
  <c r="AK1133" i="9"/>
  <c r="AJ1133" i="9"/>
  <c r="AK1130" i="9"/>
  <c r="AJ1130" i="9"/>
  <c r="AK1127" i="9"/>
  <c r="AJ1127" i="9"/>
  <c r="AK1124" i="9"/>
  <c r="AJ1124" i="9"/>
  <c r="AK1121" i="9"/>
  <c r="AJ1121" i="9"/>
  <c r="AK1118" i="9"/>
  <c r="AJ1118" i="9"/>
  <c r="AK1112" i="9"/>
  <c r="AJ1112" i="9"/>
  <c r="AK1109" i="9"/>
  <c r="AJ1109" i="9"/>
  <c r="AK1106" i="9"/>
  <c r="AJ1106" i="9"/>
  <c r="AK1100" i="9"/>
  <c r="AJ1100" i="9"/>
  <c r="AK1097" i="9"/>
  <c r="AJ1097" i="9"/>
  <c r="AK1094" i="9"/>
  <c r="AJ1094" i="9"/>
  <c r="AK1088" i="9"/>
  <c r="AJ1088" i="9"/>
  <c r="AK1085" i="9"/>
  <c r="AJ1085" i="9"/>
  <c r="AK1082" i="9"/>
  <c r="AJ1082" i="9"/>
  <c r="AK1079" i="9"/>
  <c r="AJ1079" i="9"/>
  <c r="AK1073" i="9"/>
  <c r="AJ1073" i="9"/>
  <c r="AK1070" i="9"/>
  <c r="AJ1070" i="9"/>
  <c r="AK1067" i="9"/>
  <c r="AJ1067" i="9"/>
  <c r="AK1061" i="9"/>
  <c r="AJ1061" i="9"/>
  <c r="AK1058" i="9"/>
  <c r="AJ1058" i="9"/>
  <c r="AK1052" i="9"/>
  <c r="AJ1052" i="9"/>
  <c r="AK1049" i="9"/>
  <c r="AJ1049" i="9"/>
  <c r="AK1046" i="9"/>
  <c r="AJ1046" i="9"/>
  <c r="AK1043" i="9"/>
  <c r="AJ1043" i="9"/>
  <c r="AK1040" i="9"/>
  <c r="AJ1040" i="9"/>
  <c r="AK1031" i="9"/>
  <c r="AJ1031" i="9"/>
  <c r="AK1025" i="9"/>
  <c r="AJ1025" i="9"/>
  <c r="AK1022" i="9"/>
  <c r="AJ1022" i="9"/>
  <c r="AK1016" i="9"/>
  <c r="AJ1016" i="9"/>
  <c r="AK1013" i="9"/>
  <c r="AJ1013" i="9"/>
  <c r="AK1007" i="9"/>
  <c r="AJ1007" i="9"/>
  <c r="AK1004" i="9"/>
  <c r="AJ1004" i="9"/>
  <c r="AK1001" i="9"/>
  <c r="AJ1001" i="9"/>
  <c r="AK995" i="9"/>
  <c r="AJ995" i="9"/>
  <c r="AK992" i="9"/>
  <c r="AJ992" i="9"/>
  <c r="AK986" i="9"/>
  <c r="AJ986" i="9"/>
  <c r="AK977" i="9"/>
  <c r="AJ977" i="9"/>
  <c r="AK971" i="9"/>
  <c r="AJ971" i="9"/>
  <c r="AK965" i="9"/>
  <c r="AJ965" i="9"/>
  <c r="AK962" i="9"/>
  <c r="AJ962" i="9"/>
  <c r="AK956" i="9"/>
  <c r="AJ956" i="9"/>
  <c r="AK953" i="9"/>
  <c r="AJ953" i="9"/>
  <c r="AK947" i="9"/>
  <c r="AJ947" i="9"/>
  <c r="AK944" i="9"/>
  <c r="AJ944" i="9"/>
  <c r="AK941" i="9"/>
  <c r="AJ941" i="9"/>
  <c r="AK938" i="9"/>
  <c r="AJ938" i="9"/>
  <c r="AK932" i="9"/>
  <c r="AJ932" i="9"/>
  <c r="AK929" i="9"/>
  <c r="AJ929" i="9"/>
  <c r="AK926" i="9"/>
  <c r="AJ926" i="9"/>
  <c r="AK920" i="9"/>
  <c r="AJ920" i="9"/>
  <c r="AK917" i="9"/>
  <c r="AJ917" i="9"/>
  <c r="AK914" i="9"/>
  <c r="AJ914" i="9"/>
  <c r="AK908" i="9"/>
  <c r="AJ908" i="9"/>
  <c r="AK905" i="9"/>
  <c r="AJ905" i="9"/>
  <c r="AK899" i="9"/>
  <c r="AJ899" i="9"/>
  <c r="AK896" i="9"/>
  <c r="AJ896" i="9"/>
  <c r="AK890" i="9"/>
  <c r="AJ890" i="9"/>
  <c r="AK887" i="9"/>
  <c r="AJ887" i="9"/>
  <c r="AK881" i="9"/>
  <c r="AJ881" i="9"/>
  <c r="AK878" i="9"/>
  <c r="AJ878" i="9"/>
  <c r="AK872" i="9"/>
  <c r="AJ872" i="9"/>
  <c r="AK869" i="9"/>
  <c r="AJ869" i="9"/>
  <c r="AK863" i="9"/>
  <c r="AJ863" i="9"/>
  <c r="AK860" i="9"/>
  <c r="AJ860" i="9"/>
  <c r="AK857" i="9"/>
  <c r="AJ857" i="9"/>
  <c r="AK854" i="9"/>
  <c r="AJ854" i="9"/>
  <c r="AK851" i="9"/>
  <c r="AJ851" i="9"/>
  <c r="AK845" i="9"/>
  <c r="AJ845" i="9"/>
  <c r="AK842" i="9"/>
  <c r="AJ842" i="9"/>
  <c r="AK839" i="9"/>
  <c r="AJ839" i="9"/>
  <c r="AK833" i="9"/>
  <c r="AJ833" i="9"/>
  <c r="AK830" i="9"/>
  <c r="AJ830" i="9"/>
  <c r="AK827" i="9"/>
  <c r="AJ827" i="9"/>
  <c r="AK824" i="9"/>
  <c r="AJ824" i="9"/>
  <c r="AK818" i="9"/>
  <c r="AJ818" i="9"/>
  <c r="AK815" i="9"/>
  <c r="AJ815" i="9"/>
  <c r="AK812" i="9"/>
  <c r="AJ812" i="9"/>
  <c r="AK809" i="9"/>
  <c r="AJ809" i="9"/>
  <c r="AK800" i="9"/>
  <c r="AJ800" i="9"/>
  <c r="AK794" i="9"/>
  <c r="AJ794" i="9"/>
  <c r="AK791" i="9"/>
  <c r="AJ791" i="9"/>
  <c r="AK788" i="9"/>
  <c r="AJ788" i="9"/>
  <c r="AK782" i="9"/>
  <c r="AJ782" i="9"/>
  <c r="AK776" i="9"/>
  <c r="AJ776" i="9"/>
  <c r="AK770" i="9"/>
  <c r="AJ770" i="9"/>
  <c r="AK767" i="9"/>
  <c r="AJ767" i="9"/>
  <c r="AK761" i="9"/>
  <c r="AJ761" i="9"/>
  <c r="AK755" i="9"/>
  <c r="AJ755" i="9"/>
  <c r="AK749" i="9"/>
  <c r="AJ749" i="9"/>
  <c r="AK746" i="9"/>
  <c r="AJ746" i="9"/>
  <c r="AK743" i="9"/>
  <c r="AJ743" i="9"/>
  <c r="AK737" i="9"/>
  <c r="AJ737" i="9"/>
  <c r="AK734" i="9"/>
  <c r="AJ734" i="9"/>
  <c r="AK728" i="9"/>
  <c r="AJ728" i="9"/>
  <c r="AK725" i="9"/>
  <c r="AJ725" i="9"/>
  <c r="AK719" i="9"/>
  <c r="AJ719" i="9"/>
  <c r="AK716" i="9"/>
  <c r="AJ716" i="9"/>
  <c r="AK713" i="9"/>
  <c r="AJ713" i="9"/>
  <c r="AK707" i="9"/>
  <c r="AJ707" i="9"/>
  <c r="AK704" i="9"/>
  <c r="AJ704" i="9"/>
  <c r="AK701" i="9"/>
  <c r="AJ701" i="9"/>
  <c r="AK698" i="9"/>
  <c r="AJ698" i="9"/>
  <c r="AK695" i="9"/>
  <c r="AJ695" i="9"/>
  <c r="AK689" i="9"/>
  <c r="AJ689" i="9"/>
  <c r="AK686" i="9"/>
  <c r="AJ686" i="9"/>
  <c r="AK680" i="9"/>
  <c r="AJ680" i="9"/>
  <c r="AK677" i="9"/>
  <c r="AJ677" i="9"/>
  <c r="AK671" i="9"/>
  <c r="AJ671" i="9"/>
  <c r="AK668" i="9"/>
  <c r="AJ668" i="9"/>
  <c r="AK662" i="9"/>
  <c r="AJ662" i="9"/>
  <c r="AK659" i="9"/>
  <c r="AJ659" i="9"/>
  <c r="AK656" i="9"/>
  <c r="AJ656" i="9"/>
  <c r="AK653" i="9"/>
  <c r="AJ653" i="9"/>
  <c r="AK644" i="9"/>
  <c r="AJ644" i="9"/>
  <c r="AK641" i="9"/>
  <c r="AJ641" i="9"/>
  <c r="AK635" i="9"/>
  <c r="AJ635" i="9"/>
  <c r="AK629" i="9"/>
  <c r="AJ629" i="9"/>
  <c r="AK626" i="9"/>
  <c r="AJ626" i="9"/>
  <c r="AK623" i="9"/>
  <c r="AJ623" i="9"/>
  <c r="AK620" i="9"/>
  <c r="AJ620" i="9"/>
  <c r="AK617" i="9"/>
  <c r="AJ617" i="9"/>
  <c r="AK611" i="9"/>
  <c r="AJ611" i="9"/>
  <c r="AK608" i="9"/>
  <c r="AJ608" i="9"/>
  <c r="AK605" i="9"/>
  <c r="AJ605" i="9"/>
  <c r="AK602" i="9"/>
  <c r="AJ602" i="9"/>
  <c r="AK596" i="9"/>
  <c r="AJ596" i="9"/>
  <c r="AK593" i="9"/>
  <c r="AJ593" i="9"/>
  <c r="AK590" i="9"/>
  <c r="AJ590" i="9"/>
  <c r="AK587" i="9"/>
  <c r="AJ587" i="9"/>
  <c r="AK584" i="9"/>
  <c r="AJ584" i="9"/>
  <c r="AK581" i="9"/>
  <c r="AJ581" i="9"/>
  <c r="AK575" i="9"/>
  <c r="AJ575" i="9"/>
  <c r="AK569" i="9"/>
  <c r="AJ569" i="9"/>
  <c r="AK566" i="9"/>
  <c r="AJ566" i="9"/>
  <c r="AK563" i="9"/>
  <c r="AJ563" i="9"/>
  <c r="AK557" i="9"/>
  <c r="AJ557" i="9"/>
  <c r="AK554" i="9"/>
  <c r="AJ554" i="9"/>
  <c r="AK551" i="9"/>
  <c r="AJ551" i="9"/>
  <c r="AK548" i="9"/>
  <c r="AJ548" i="9"/>
  <c r="AK545" i="9"/>
  <c r="AJ545" i="9"/>
  <c r="AK539" i="9"/>
  <c r="AJ539" i="9"/>
  <c r="AK536" i="9"/>
  <c r="AJ536" i="9"/>
  <c r="AK533" i="9"/>
  <c r="AJ533" i="9"/>
  <c r="AK527" i="9"/>
  <c r="AJ527" i="9"/>
  <c r="AK524" i="9"/>
  <c r="AJ524" i="9"/>
  <c r="AK521" i="9"/>
  <c r="AJ521" i="9"/>
  <c r="AK515" i="9"/>
  <c r="AJ515" i="9"/>
  <c r="AK512" i="9"/>
  <c r="AJ512" i="9"/>
  <c r="AK506" i="9"/>
  <c r="AJ506" i="9"/>
  <c r="AK503" i="9"/>
  <c r="AJ503" i="9"/>
  <c r="AK497" i="9"/>
  <c r="AJ497" i="9"/>
  <c r="AK494" i="9"/>
  <c r="AJ494" i="9"/>
  <c r="AK491" i="9"/>
  <c r="AJ491" i="9"/>
  <c r="AK488" i="9"/>
  <c r="AJ488" i="9"/>
  <c r="AK482" i="9"/>
  <c r="AJ482" i="9"/>
  <c r="AK479" i="9"/>
  <c r="AJ479" i="9"/>
  <c r="AK476" i="9"/>
  <c r="AJ476" i="9"/>
  <c r="AK470" i="9"/>
  <c r="AJ470" i="9"/>
  <c r="AK467" i="9"/>
  <c r="AJ467" i="9"/>
  <c r="AK464" i="9"/>
  <c r="AJ464" i="9"/>
  <c r="AK458" i="9"/>
  <c r="AJ458" i="9"/>
  <c r="AK449" i="9"/>
  <c r="AJ449" i="9"/>
  <c r="AK446" i="9"/>
  <c r="AJ446" i="9"/>
  <c r="AK440" i="9"/>
  <c r="AJ440" i="9"/>
  <c r="AK437" i="9"/>
  <c r="AJ437" i="9"/>
  <c r="AK431" i="9"/>
  <c r="AJ431" i="9"/>
  <c r="AK428" i="9"/>
  <c r="AJ428" i="9"/>
  <c r="AK425" i="9"/>
  <c r="AJ425" i="9"/>
  <c r="AK419" i="9"/>
  <c r="AJ419" i="9"/>
  <c r="AK416" i="9"/>
  <c r="AJ416" i="9"/>
  <c r="AK413" i="9"/>
  <c r="AJ413" i="9"/>
  <c r="AK407" i="9"/>
  <c r="AJ407" i="9"/>
  <c r="AK404" i="9"/>
  <c r="AJ404" i="9"/>
  <c r="AK398" i="9"/>
  <c r="AJ398" i="9"/>
  <c r="AK395" i="9"/>
  <c r="AJ395" i="9"/>
  <c r="AK389" i="9"/>
  <c r="AJ389" i="9"/>
  <c r="AK386" i="9"/>
  <c r="AJ386" i="9"/>
  <c r="AK380" i="9"/>
  <c r="AJ380" i="9"/>
  <c r="AK377" i="9"/>
  <c r="AJ377" i="9"/>
  <c r="AK374" i="9"/>
  <c r="AJ374" i="9"/>
  <c r="AK371" i="9"/>
  <c r="AJ371" i="9"/>
  <c r="AK368" i="9"/>
  <c r="AJ368" i="9"/>
  <c r="AK365" i="9"/>
  <c r="AJ365" i="9"/>
  <c r="AK362" i="9"/>
  <c r="AJ362" i="9"/>
  <c r="AK356" i="9"/>
  <c r="AJ356" i="9"/>
  <c r="AK353" i="9"/>
  <c r="AJ353" i="9"/>
  <c r="AK350" i="9"/>
  <c r="AJ350" i="9"/>
  <c r="AK347" i="9"/>
  <c r="AJ347" i="9"/>
  <c r="AK341" i="9"/>
  <c r="AJ341" i="9"/>
  <c r="AK338" i="9"/>
  <c r="AJ338" i="9"/>
  <c r="AK335" i="9"/>
  <c r="AJ335" i="9"/>
  <c r="AK332" i="9"/>
  <c r="AJ332" i="9"/>
  <c r="AK329" i="9"/>
  <c r="AJ329" i="9"/>
  <c r="AK323" i="9"/>
  <c r="AJ323" i="9"/>
  <c r="AK320" i="9"/>
  <c r="AJ320" i="9"/>
  <c r="AK317" i="9"/>
  <c r="AJ317" i="9"/>
  <c r="AK314" i="9"/>
  <c r="AJ314" i="9"/>
  <c r="AK311" i="9"/>
  <c r="AJ311" i="9"/>
  <c r="AK308" i="9"/>
  <c r="AJ308" i="9"/>
  <c r="AK302" i="9"/>
  <c r="AJ302" i="9"/>
  <c r="AK299" i="9"/>
  <c r="AJ299" i="9"/>
  <c r="AK296" i="9"/>
  <c r="AJ296" i="9"/>
  <c r="AK293" i="9"/>
  <c r="AJ293" i="9"/>
  <c r="AK290" i="9"/>
  <c r="AJ290" i="9"/>
  <c r="AK284" i="9"/>
  <c r="AJ284" i="9"/>
  <c r="AK281" i="9"/>
  <c r="AJ281" i="9"/>
  <c r="AK278" i="9"/>
  <c r="AJ278" i="9"/>
  <c r="AK275" i="9"/>
  <c r="AJ275" i="9"/>
  <c r="AK272" i="9"/>
  <c r="AJ272" i="9"/>
  <c r="AK269" i="9"/>
  <c r="AJ269" i="9"/>
  <c r="AK266" i="9"/>
  <c r="AJ266" i="9"/>
  <c r="AK260" i="9"/>
  <c r="AJ260" i="9"/>
  <c r="AK257" i="9"/>
  <c r="AJ257" i="9"/>
  <c r="AK251" i="9"/>
  <c r="AJ251" i="9"/>
  <c r="AK248" i="9"/>
  <c r="AJ248" i="9"/>
  <c r="AK245" i="9"/>
  <c r="AJ245" i="9"/>
  <c r="AK242" i="9"/>
  <c r="AJ242" i="9"/>
  <c r="AK239" i="9"/>
  <c r="AJ239" i="9"/>
  <c r="AK236" i="9"/>
  <c r="AJ236" i="9"/>
  <c r="AK233" i="9"/>
  <c r="AJ233" i="9"/>
  <c r="AK230" i="9"/>
  <c r="AJ230" i="9"/>
  <c r="AK224" i="9"/>
  <c r="AJ224" i="9"/>
  <c r="AK221" i="9"/>
  <c r="AJ221" i="9"/>
  <c r="AK218" i="9"/>
  <c r="AJ218" i="9"/>
  <c r="AK212" i="9"/>
  <c r="AJ212" i="9"/>
  <c r="AK209" i="9"/>
  <c r="AJ209" i="9"/>
  <c r="AK206" i="9"/>
  <c r="AJ206" i="9"/>
  <c r="AK203" i="9"/>
  <c r="AJ203" i="9"/>
  <c r="AK200" i="9"/>
  <c r="AJ200" i="9"/>
  <c r="AK194" i="9"/>
  <c r="AJ194" i="9"/>
  <c r="AK191" i="9"/>
  <c r="AJ191" i="9"/>
  <c r="AK188" i="9"/>
  <c r="AJ188" i="9"/>
  <c r="AK185" i="9"/>
  <c r="AJ185" i="9"/>
  <c r="AK182" i="9"/>
  <c r="AJ182" i="9"/>
  <c r="AK179" i="9"/>
  <c r="AJ179" i="9"/>
  <c r="AK176" i="9"/>
  <c r="AJ176" i="9"/>
  <c r="AK173" i="9"/>
  <c r="AJ173" i="9"/>
  <c r="AK167" i="9"/>
  <c r="AJ167" i="9"/>
  <c r="AK164" i="9"/>
  <c r="AJ164" i="9"/>
  <c r="AK161" i="9"/>
  <c r="AJ161" i="9"/>
  <c r="AK158" i="9"/>
  <c r="AJ158" i="9"/>
  <c r="AK155" i="9"/>
  <c r="AJ155" i="9"/>
  <c r="AK152" i="9"/>
  <c r="AJ152" i="9"/>
  <c r="AK146" i="9"/>
  <c r="AJ146" i="9"/>
  <c r="AK143" i="9"/>
  <c r="AJ143" i="9"/>
  <c r="AK140" i="9"/>
  <c r="AJ140" i="9"/>
  <c r="AK137" i="9"/>
  <c r="AJ137" i="9"/>
  <c r="AK134" i="9"/>
  <c r="AJ134" i="9"/>
  <c r="AK125" i="9"/>
  <c r="AJ125" i="9"/>
  <c r="AK122" i="9"/>
  <c r="AJ122" i="9"/>
  <c r="AK119" i="9"/>
  <c r="AJ119" i="9"/>
  <c r="AK113" i="9"/>
  <c r="AJ113" i="9"/>
  <c r="AK110" i="9"/>
  <c r="AJ110" i="9"/>
  <c r="AK107" i="9"/>
  <c r="AJ107" i="9"/>
  <c r="AK101" i="9"/>
  <c r="AJ101" i="9"/>
  <c r="AK95" i="9"/>
  <c r="AJ95" i="9"/>
  <c r="AK92" i="9"/>
  <c r="AJ92" i="9"/>
  <c r="AK89" i="9"/>
  <c r="AJ89" i="9"/>
  <c r="AK86" i="9"/>
  <c r="AJ86" i="9"/>
  <c r="AK80" i="9"/>
  <c r="AJ80" i="9"/>
  <c r="AK77" i="9"/>
  <c r="AJ77" i="9"/>
  <c r="AK71" i="9"/>
  <c r="AJ71" i="9"/>
  <c r="AK68" i="9"/>
  <c r="AJ68" i="9"/>
  <c r="AK62" i="9"/>
  <c r="AJ62" i="9"/>
  <c r="AK59" i="9"/>
  <c r="AJ59" i="9"/>
  <c r="AK56" i="9"/>
  <c r="AJ56" i="9"/>
  <c r="AK53" i="9"/>
  <c r="AJ53" i="9"/>
  <c r="AK50" i="9"/>
  <c r="AJ50" i="9"/>
  <c r="AK44" i="9"/>
  <c r="AJ44" i="9"/>
  <c r="AK41" i="9"/>
  <c r="AJ41" i="9"/>
  <c r="AK38" i="9"/>
  <c r="AJ38" i="9"/>
  <c r="AK35" i="9"/>
  <c r="AJ35" i="9"/>
  <c r="AK29" i="9"/>
  <c r="AJ29" i="9"/>
  <c r="AK26" i="9"/>
  <c r="AJ26" i="9"/>
  <c r="AK20" i="9"/>
  <c r="AJ20" i="9"/>
  <c r="AK17" i="9"/>
  <c r="AJ17" i="9"/>
  <c r="AK14" i="9"/>
  <c r="AJ14" i="9"/>
  <c r="AI1400" i="9"/>
  <c r="AH1400" i="9"/>
  <c r="AI1397" i="9"/>
  <c r="AH1397" i="9"/>
  <c r="AI1394" i="9"/>
  <c r="AH1394" i="9"/>
  <c r="AI1388" i="9"/>
  <c r="AH1388" i="9"/>
  <c r="AI1385" i="9"/>
  <c r="AH1385" i="9"/>
  <c r="AI1379" i="9"/>
  <c r="AH1379" i="9"/>
  <c r="AI1376" i="9"/>
  <c r="AH1376" i="9"/>
  <c r="AI1373" i="9"/>
  <c r="AH1373" i="9"/>
  <c r="AI1367" i="9"/>
  <c r="AH1367" i="9"/>
  <c r="AI1364" i="9"/>
  <c r="AH1364" i="9"/>
  <c r="AI1361" i="9"/>
  <c r="AH1361" i="9"/>
  <c r="AI1355" i="9"/>
  <c r="AH1355" i="9"/>
  <c r="AI1352" i="9"/>
  <c r="AH1352" i="9"/>
  <c r="AI1349" i="9"/>
  <c r="AH1349" i="9"/>
  <c r="AI1346" i="9"/>
  <c r="AH1346" i="9"/>
  <c r="AI1337" i="9"/>
  <c r="AH1337" i="9"/>
  <c r="AI1331" i="9"/>
  <c r="AH1331" i="9"/>
  <c r="AI1328" i="9"/>
  <c r="AH1328" i="9"/>
  <c r="AI1325" i="9"/>
  <c r="AH1325" i="9"/>
  <c r="AI1319" i="9"/>
  <c r="AH1319" i="9"/>
  <c r="AI1316" i="9"/>
  <c r="AH1316" i="9"/>
  <c r="AI1313" i="9"/>
  <c r="AH1313" i="9"/>
  <c r="AI1307" i="9"/>
  <c r="AH1307" i="9"/>
  <c r="AI1304" i="9"/>
  <c r="AH1304" i="9"/>
  <c r="AI1298" i="9"/>
  <c r="AH1298" i="9"/>
  <c r="AI1292" i="9"/>
  <c r="AH1292" i="9"/>
  <c r="AI1289" i="9"/>
  <c r="AH1289" i="9"/>
  <c r="AI1283" i="9"/>
  <c r="AH1283" i="9"/>
  <c r="AI1280" i="9"/>
  <c r="AH1280" i="9"/>
  <c r="AI1277" i="9"/>
  <c r="AH1277" i="9"/>
  <c r="AI1274" i="9"/>
  <c r="AH1274" i="9"/>
  <c r="AI1268" i="9"/>
  <c r="AH1268" i="9"/>
  <c r="AI1265" i="9"/>
  <c r="AH1265" i="9"/>
  <c r="AI1259" i="9"/>
  <c r="AH1259" i="9"/>
  <c r="AI1256" i="9"/>
  <c r="AH1256" i="9"/>
  <c r="AI1247" i="9"/>
  <c r="AH1247" i="9"/>
  <c r="AI1244" i="9"/>
  <c r="AH1244" i="9"/>
  <c r="AI1241" i="9"/>
  <c r="AH1241" i="9"/>
  <c r="AI1235" i="9"/>
  <c r="AH1235" i="9"/>
  <c r="AI1232" i="9"/>
  <c r="AH1232" i="9"/>
  <c r="AI1229" i="9"/>
  <c r="AH1229" i="9"/>
  <c r="AI1223" i="9"/>
  <c r="AH1223" i="9"/>
  <c r="AI1220" i="9"/>
  <c r="AH1220" i="9"/>
  <c r="AI1214" i="9"/>
  <c r="AH1214" i="9"/>
  <c r="AI1208" i="9"/>
  <c r="AH1208" i="9"/>
  <c r="AI1205" i="9"/>
  <c r="AH1205" i="9"/>
  <c r="AI1202" i="9"/>
  <c r="AH1202" i="9"/>
  <c r="AI1199" i="9"/>
  <c r="AH1199" i="9"/>
  <c r="AI1196" i="9"/>
  <c r="AH1196" i="9"/>
  <c r="AI1193" i="9"/>
  <c r="AH1193" i="9"/>
  <c r="AI1187" i="9"/>
  <c r="AH1187" i="9"/>
  <c r="AI1184" i="9"/>
  <c r="AH1184" i="9"/>
  <c r="AI1181" i="9"/>
  <c r="AH1181" i="9"/>
  <c r="AI1178" i="9"/>
  <c r="AH1178" i="9"/>
  <c r="AI1175" i="9"/>
  <c r="AH1175" i="9"/>
  <c r="AI1169" i="9"/>
  <c r="AH1169" i="9"/>
  <c r="AI1166" i="9"/>
  <c r="AH1166" i="9"/>
  <c r="AI1163" i="9"/>
  <c r="AH1163" i="9"/>
  <c r="AI1160" i="9"/>
  <c r="AH1160" i="9"/>
  <c r="AI1154" i="9"/>
  <c r="AH1154" i="9"/>
  <c r="AI1151" i="9"/>
  <c r="AH1151" i="9"/>
  <c r="AI1148" i="9"/>
  <c r="AH1148" i="9"/>
  <c r="AI1145" i="9"/>
  <c r="AH1145" i="9"/>
  <c r="AI1142" i="9"/>
  <c r="AH1142" i="9"/>
  <c r="AI1136" i="9"/>
  <c r="AH1136" i="9"/>
  <c r="AI1133" i="9"/>
  <c r="AH1133" i="9"/>
  <c r="AI1130" i="9"/>
  <c r="AH1130" i="9"/>
  <c r="AI1127" i="9"/>
  <c r="AH1127" i="9"/>
  <c r="AI1124" i="9"/>
  <c r="AH1124" i="9"/>
  <c r="AI1121" i="9"/>
  <c r="AH1121" i="9"/>
  <c r="AI1118" i="9"/>
  <c r="AH1118" i="9"/>
  <c r="AI1112" i="9"/>
  <c r="AH1112" i="9"/>
  <c r="AI1109" i="9"/>
  <c r="AH1109" i="9"/>
  <c r="AI1106" i="9"/>
  <c r="AH1106" i="9"/>
  <c r="AI1100" i="9"/>
  <c r="AH1100" i="9"/>
  <c r="AI1097" i="9"/>
  <c r="AH1097" i="9"/>
  <c r="AI1094" i="9"/>
  <c r="AH1094" i="9"/>
  <c r="AI1088" i="9"/>
  <c r="AH1088" i="9"/>
  <c r="AI1085" i="9"/>
  <c r="AH1085" i="9"/>
  <c r="AI1082" i="9"/>
  <c r="AH1082" i="9"/>
  <c r="AI1079" i="9"/>
  <c r="AH1079" i="9"/>
  <c r="AI1073" i="9"/>
  <c r="AH1073" i="9"/>
  <c r="AI1070" i="9"/>
  <c r="AH1070" i="9"/>
  <c r="AI1067" i="9"/>
  <c r="AH1067" i="9"/>
  <c r="AI1061" i="9"/>
  <c r="AH1061" i="9"/>
  <c r="AI1058" i="9"/>
  <c r="AH1058" i="9"/>
  <c r="AI1052" i="9"/>
  <c r="AH1052" i="9"/>
  <c r="AI1049" i="9"/>
  <c r="AH1049" i="9"/>
  <c r="AI1046" i="9"/>
  <c r="AH1046" i="9"/>
  <c r="AI1043" i="9"/>
  <c r="AH1043" i="9"/>
  <c r="AI1040" i="9"/>
  <c r="AH1040" i="9"/>
  <c r="AI1031" i="9"/>
  <c r="AH1031" i="9"/>
  <c r="AI1025" i="9"/>
  <c r="AH1025" i="9"/>
  <c r="AI1022" i="9"/>
  <c r="AH1022" i="9"/>
  <c r="AI1016" i="9"/>
  <c r="AH1016" i="9"/>
  <c r="AI1013" i="9"/>
  <c r="AH1013" i="9"/>
  <c r="AI1007" i="9"/>
  <c r="AH1007" i="9"/>
  <c r="AI1004" i="9"/>
  <c r="AH1004" i="9"/>
  <c r="AI1001" i="9"/>
  <c r="AH1001" i="9"/>
  <c r="AI995" i="9"/>
  <c r="AH995" i="9"/>
  <c r="AI992" i="9"/>
  <c r="AH992" i="9"/>
  <c r="AI986" i="9"/>
  <c r="AH986" i="9"/>
  <c r="AI977" i="9"/>
  <c r="AH977" i="9"/>
  <c r="AI971" i="9"/>
  <c r="AH971" i="9"/>
  <c r="AI965" i="9"/>
  <c r="AH965" i="9"/>
  <c r="AI962" i="9"/>
  <c r="AH962" i="9"/>
  <c r="AI956" i="9"/>
  <c r="AH956" i="9"/>
  <c r="AI953" i="9"/>
  <c r="AH953" i="9"/>
  <c r="AI947" i="9"/>
  <c r="AH947" i="9"/>
  <c r="AI944" i="9"/>
  <c r="AH944" i="9"/>
  <c r="AI941" i="9"/>
  <c r="AH941" i="9"/>
  <c r="AI938" i="9"/>
  <c r="AH938" i="9"/>
  <c r="AI932" i="9"/>
  <c r="AH932" i="9"/>
  <c r="AI929" i="9"/>
  <c r="AH929" i="9"/>
  <c r="AI926" i="9"/>
  <c r="AH926" i="9"/>
  <c r="AI920" i="9"/>
  <c r="AH920" i="9"/>
  <c r="AI917" i="9"/>
  <c r="AH917" i="9"/>
  <c r="AI914" i="9"/>
  <c r="AH914" i="9"/>
  <c r="AI908" i="9"/>
  <c r="AH908" i="9"/>
  <c r="AI905" i="9"/>
  <c r="AH905" i="9"/>
  <c r="AI899" i="9"/>
  <c r="AH899" i="9"/>
  <c r="AI896" i="9"/>
  <c r="AH896" i="9"/>
  <c r="AI890" i="9"/>
  <c r="AH890" i="9"/>
  <c r="AI887" i="9"/>
  <c r="AH887" i="9"/>
  <c r="AI881" i="9"/>
  <c r="AH881" i="9"/>
  <c r="AI878" i="9"/>
  <c r="AH878" i="9"/>
  <c r="AI872" i="9"/>
  <c r="AH872" i="9"/>
  <c r="AI869" i="9"/>
  <c r="AH869" i="9"/>
  <c r="AI863" i="9"/>
  <c r="AH863" i="9"/>
  <c r="AI860" i="9"/>
  <c r="AH860" i="9"/>
  <c r="AI857" i="9"/>
  <c r="AH857" i="9"/>
  <c r="AI854" i="9"/>
  <c r="AH854" i="9"/>
  <c r="AI851" i="9"/>
  <c r="AH851" i="9"/>
  <c r="AI845" i="9"/>
  <c r="AH845" i="9"/>
  <c r="AI842" i="9"/>
  <c r="AH842" i="9"/>
  <c r="AI839" i="9"/>
  <c r="AH839" i="9"/>
  <c r="AI833" i="9"/>
  <c r="AH833" i="9"/>
  <c r="AI830" i="9"/>
  <c r="AH830" i="9"/>
  <c r="AI827" i="9"/>
  <c r="AH827" i="9"/>
  <c r="AI824" i="9"/>
  <c r="AH824" i="9"/>
  <c r="AI818" i="9"/>
  <c r="AH818" i="9"/>
  <c r="AI815" i="9"/>
  <c r="AH815" i="9"/>
  <c r="AI812" i="9"/>
  <c r="AH812" i="9"/>
  <c r="AI809" i="9"/>
  <c r="AH809" i="9"/>
  <c r="AI800" i="9"/>
  <c r="AH800" i="9"/>
  <c r="AI794" i="9"/>
  <c r="AH794" i="9"/>
  <c r="AI791" i="9"/>
  <c r="AH791" i="9"/>
  <c r="AI788" i="9"/>
  <c r="AH788" i="9"/>
  <c r="AI782" i="9"/>
  <c r="AH782" i="9"/>
  <c r="AI776" i="9"/>
  <c r="AH776" i="9"/>
  <c r="AI770" i="9"/>
  <c r="AH770" i="9"/>
  <c r="AI767" i="9"/>
  <c r="AH767" i="9"/>
  <c r="AI761" i="9"/>
  <c r="AH761" i="9"/>
  <c r="AI755" i="9"/>
  <c r="AH755" i="9"/>
  <c r="AI749" i="9"/>
  <c r="AH749" i="9"/>
  <c r="AI746" i="9"/>
  <c r="AH746" i="9"/>
  <c r="AI743" i="9"/>
  <c r="AH743" i="9"/>
  <c r="AI737" i="9"/>
  <c r="AH737" i="9"/>
  <c r="AI734" i="9"/>
  <c r="AH734" i="9"/>
  <c r="AI728" i="9"/>
  <c r="AH728" i="9"/>
  <c r="AI725" i="9"/>
  <c r="AH725" i="9"/>
  <c r="AI719" i="9"/>
  <c r="AH719" i="9"/>
  <c r="AI716" i="9"/>
  <c r="AH716" i="9"/>
  <c r="AI713" i="9"/>
  <c r="AH713" i="9"/>
  <c r="AI707" i="9"/>
  <c r="AH707" i="9"/>
  <c r="AI704" i="9"/>
  <c r="AH704" i="9"/>
  <c r="AI701" i="9"/>
  <c r="AH701" i="9"/>
  <c r="AI698" i="9"/>
  <c r="AH698" i="9"/>
  <c r="AI695" i="9"/>
  <c r="AH695" i="9"/>
  <c r="AI689" i="9"/>
  <c r="AH689" i="9"/>
  <c r="AI686" i="9"/>
  <c r="AH686" i="9"/>
  <c r="AI680" i="9"/>
  <c r="AH680" i="9"/>
  <c r="AI677" i="9"/>
  <c r="AH677" i="9"/>
  <c r="AI671" i="9"/>
  <c r="AH671" i="9"/>
  <c r="AI668" i="9"/>
  <c r="AH668" i="9"/>
  <c r="AI662" i="9"/>
  <c r="AH662" i="9"/>
  <c r="AI659" i="9"/>
  <c r="AH659" i="9"/>
  <c r="AI656" i="9"/>
  <c r="AH656" i="9"/>
  <c r="AI653" i="9"/>
  <c r="AH653" i="9"/>
  <c r="AI644" i="9"/>
  <c r="AH644" i="9"/>
  <c r="AI641" i="9"/>
  <c r="AH641" i="9"/>
  <c r="AI635" i="9"/>
  <c r="AH635" i="9"/>
  <c r="AI629" i="9"/>
  <c r="AH629" i="9"/>
  <c r="AI626" i="9"/>
  <c r="AH626" i="9"/>
  <c r="AI623" i="9"/>
  <c r="AH623" i="9"/>
  <c r="AI620" i="9"/>
  <c r="AH620" i="9"/>
  <c r="AI617" i="9"/>
  <c r="AH617" i="9"/>
  <c r="AI611" i="9"/>
  <c r="AH611" i="9"/>
  <c r="AI608" i="9"/>
  <c r="AH608" i="9"/>
  <c r="AI605" i="9"/>
  <c r="AH605" i="9"/>
  <c r="AI602" i="9"/>
  <c r="AH602" i="9"/>
  <c r="AI596" i="9"/>
  <c r="AH596" i="9"/>
  <c r="AI593" i="9"/>
  <c r="AH593" i="9"/>
  <c r="AI590" i="9"/>
  <c r="AH590" i="9"/>
  <c r="AI587" i="9"/>
  <c r="AH587" i="9"/>
  <c r="AI584" i="9"/>
  <c r="AH584" i="9"/>
  <c r="AI581" i="9"/>
  <c r="AH581" i="9"/>
  <c r="AI575" i="9"/>
  <c r="AH575" i="9"/>
  <c r="AI569" i="9"/>
  <c r="AH569" i="9"/>
  <c r="AI566" i="9"/>
  <c r="AH566" i="9"/>
  <c r="AI563" i="9"/>
  <c r="AH563" i="9"/>
  <c r="AI557" i="9"/>
  <c r="AH557" i="9"/>
  <c r="AI554" i="9"/>
  <c r="AH554" i="9"/>
  <c r="AI551" i="9"/>
  <c r="AH551" i="9"/>
  <c r="AI548" i="9"/>
  <c r="AH548" i="9"/>
  <c r="AI545" i="9"/>
  <c r="AH545" i="9"/>
  <c r="AI539" i="9"/>
  <c r="AH539" i="9"/>
  <c r="AI536" i="9"/>
  <c r="AH536" i="9"/>
  <c r="AI533" i="9"/>
  <c r="AH533" i="9"/>
  <c r="AI527" i="9"/>
  <c r="AH527" i="9"/>
  <c r="AI524" i="9"/>
  <c r="AH524" i="9"/>
  <c r="AI521" i="9"/>
  <c r="AH521" i="9"/>
  <c r="AI515" i="9"/>
  <c r="AH515" i="9"/>
  <c r="AI512" i="9"/>
  <c r="AH512" i="9"/>
  <c r="AI506" i="9"/>
  <c r="AH506" i="9"/>
  <c r="AI503" i="9"/>
  <c r="AH503" i="9"/>
  <c r="AI497" i="9"/>
  <c r="AH497" i="9"/>
  <c r="AI494" i="9"/>
  <c r="AH494" i="9"/>
  <c r="AI491" i="9"/>
  <c r="AH491" i="9"/>
  <c r="AI488" i="9"/>
  <c r="AH488" i="9"/>
  <c r="AI482" i="9"/>
  <c r="AH482" i="9"/>
  <c r="AI479" i="9"/>
  <c r="AH479" i="9"/>
  <c r="AI476" i="9"/>
  <c r="AH476" i="9"/>
  <c r="AI470" i="9"/>
  <c r="AH470" i="9"/>
  <c r="AI467" i="9"/>
  <c r="AH467" i="9"/>
  <c r="AI464" i="9"/>
  <c r="AH464" i="9"/>
  <c r="AI458" i="9"/>
  <c r="AH458" i="9"/>
  <c r="AI449" i="9"/>
  <c r="AH449" i="9"/>
  <c r="AI446" i="9"/>
  <c r="AH446" i="9"/>
  <c r="AI440" i="9"/>
  <c r="AH440" i="9"/>
  <c r="AI437" i="9"/>
  <c r="AH437" i="9"/>
  <c r="AI431" i="9"/>
  <c r="AH431" i="9"/>
  <c r="AI428" i="9"/>
  <c r="AH428" i="9"/>
  <c r="AI425" i="9"/>
  <c r="AH425" i="9"/>
  <c r="AI419" i="9"/>
  <c r="AH419" i="9"/>
  <c r="AI416" i="9"/>
  <c r="AH416" i="9"/>
  <c r="AI413" i="9"/>
  <c r="AH413" i="9"/>
  <c r="AI407" i="9"/>
  <c r="AH407" i="9"/>
  <c r="AI404" i="9"/>
  <c r="AH404" i="9"/>
  <c r="AI398" i="9"/>
  <c r="AH398" i="9"/>
  <c r="AI395" i="9"/>
  <c r="AH395" i="9"/>
  <c r="AI389" i="9"/>
  <c r="AH389" i="9"/>
  <c r="AI386" i="9"/>
  <c r="AH386" i="9"/>
  <c r="AI380" i="9"/>
  <c r="AH380" i="9"/>
  <c r="AI377" i="9"/>
  <c r="AH377" i="9"/>
  <c r="AI374" i="9"/>
  <c r="AH374" i="9"/>
  <c r="AI371" i="9"/>
  <c r="AH371" i="9"/>
  <c r="AI368" i="9"/>
  <c r="AH368" i="9"/>
  <c r="AI365" i="9"/>
  <c r="AH365" i="9"/>
  <c r="AI362" i="9"/>
  <c r="AH362" i="9"/>
  <c r="AI356" i="9"/>
  <c r="AH356" i="9"/>
  <c r="AI353" i="9"/>
  <c r="AH353" i="9"/>
  <c r="AI350" i="9"/>
  <c r="AH350" i="9"/>
  <c r="AI347" i="9"/>
  <c r="AH347" i="9"/>
  <c r="AI341" i="9"/>
  <c r="AH341" i="9"/>
  <c r="AI338" i="9"/>
  <c r="AH338" i="9"/>
  <c r="AI335" i="9"/>
  <c r="AH335" i="9"/>
  <c r="AI332" i="9"/>
  <c r="AH332" i="9"/>
  <c r="AI329" i="9"/>
  <c r="AH329" i="9"/>
  <c r="AI323" i="9"/>
  <c r="AH323" i="9"/>
  <c r="AI320" i="9"/>
  <c r="AH320" i="9"/>
  <c r="AI317" i="9"/>
  <c r="AH317" i="9"/>
  <c r="AI314" i="9"/>
  <c r="AH314" i="9"/>
  <c r="AI311" i="9"/>
  <c r="AH311" i="9"/>
  <c r="AI308" i="9"/>
  <c r="AH308" i="9"/>
  <c r="AI302" i="9"/>
  <c r="AH302" i="9"/>
  <c r="AI299" i="9"/>
  <c r="AH299" i="9"/>
  <c r="AI296" i="9"/>
  <c r="AH296" i="9"/>
  <c r="AI293" i="9"/>
  <c r="AH293" i="9"/>
  <c r="AI290" i="9"/>
  <c r="AH290" i="9"/>
  <c r="AI284" i="9"/>
  <c r="AH284" i="9"/>
  <c r="AI281" i="9"/>
  <c r="AH281" i="9"/>
  <c r="AI278" i="9"/>
  <c r="AH278" i="9"/>
  <c r="AI275" i="9"/>
  <c r="AH275" i="9"/>
  <c r="AI272" i="9"/>
  <c r="AH272" i="9"/>
  <c r="AI269" i="9"/>
  <c r="AH269" i="9"/>
  <c r="AI266" i="9"/>
  <c r="AH266" i="9"/>
  <c r="AI260" i="9"/>
  <c r="AH260" i="9"/>
  <c r="AI257" i="9"/>
  <c r="AH257" i="9"/>
  <c r="AI251" i="9"/>
  <c r="AH251" i="9"/>
  <c r="AI248" i="9"/>
  <c r="AH248" i="9"/>
  <c r="AI245" i="9"/>
  <c r="AH245" i="9"/>
  <c r="AI242" i="9"/>
  <c r="AH242" i="9"/>
  <c r="AI239" i="9"/>
  <c r="AH239" i="9"/>
  <c r="AI236" i="9"/>
  <c r="AH236" i="9"/>
  <c r="AI233" i="9"/>
  <c r="AH233" i="9"/>
  <c r="AI230" i="9"/>
  <c r="AH230" i="9"/>
  <c r="AI224" i="9"/>
  <c r="AH224" i="9"/>
  <c r="AI221" i="9"/>
  <c r="AH221" i="9"/>
  <c r="AI218" i="9"/>
  <c r="AH218" i="9"/>
  <c r="AI212" i="9"/>
  <c r="AH212" i="9"/>
  <c r="AI209" i="9"/>
  <c r="AH209" i="9"/>
  <c r="AI206" i="9"/>
  <c r="AH206" i="9"/>
  <c r="AI203" i="9"/>
  <c r="AH203" i="9"/>
  <c r="AI200" i="9"/>
  <c r="AH200" i="9"/>
  <c r="AI194" i="9"/>
  <c r="AH194" i="9"/>
  <c r="AI191" i="9"/>
  <c r="AH191" i="9"/>
  <c r="AI188" i="9"/>
  <c r="AH188" i="9"/>
  <c r="AI185" i="9"/>
  <c r="AH185" i="9"/>
  <c r="AI182" i="9"/>
  <c r="AH182" i="9"/>
  <c r="AI179" i="9"/>
  <c r="AH179" i="9"/>
  <c r="AI176" i="9"/>
  <c r="AH176" i="9"/>
  <c r="AI173" i="9"/>
  <c r="AH173" i="9"/>
  <c r="AI167" i="9"/>
  <c r="AH167" i="9"/>
  <c r="AI164" i="9"/>
  <c r="AH164" i="9"/>
  <c r="AI161" i="9"/>
  <c r="AH161" i="9"/>
  <c r="AI158" i="9"/>
  <c r="AH158" i="9"/>
  <c r="AI155" i="9"/>
  <c r="AH155" i="9"/>
  <c r="AI152" i="9"/>
  <c r="AH152" i="9"/>
  <c r="AI146" i="9"/>
  <c r="AH146" i="9"/>
  <c r="AI143" i="9"/>
  <c r="AH143" i="9"/>
  <c r="AI140" i="9"/>
  <c r="AH140" i="9"/>
  <c r="AI137" i="9"/>
  <c r="AH137" i="9"/>
  <c r="AI134" i="9"/>
  <c r="AH134" i="9"/>
  <c r="AI125" i="9"/>
  <c r="AH125" i="9"/>
  <c r="AI122" i="9"/>
  <c r="AH122" i="9"/>
  <c r="AI119" i="9"/>
  <c r="AH119" i="9"/>
  <c r="AI113" i="9"/>
  <c r="AH113" i="9"/>
  <c r="AI110" i="9"/>
  <c r="AH110" i="9"/>
  <c r="AI107" i="9"/>
  <c r="AH107" i="9"/>
  <c r="AI101" i="9"/>
  <c r="AH101" i="9"/>
  <c r="AI95" i="9"/>
  <c r="AH95" i="9"/>
  <c r="AI92" i="9"/>
  <c r="AH92" i="9"/>
  <c r="AI89" i="9"/>
  <c r="AH89" i="9"/>
  <c r="AI86" i="9"/>
  <c r="AH86" i="9"/>
  <c r="AI80" i="9"/>
  <c r="AH80" i="9"/>
  <c r="AI77" i="9"/>
  <c r="AH77" i="9"/>
  <c r="AI71" i="9"/>
  <c r="AH71" i="9"/>
  <c r="AI68" i="9"/>
  <c r="AH68" i="9"/>
  <c r="AI62" i="9"/>
  <c r="AH62" i="9"/>
  <c r="AI59" i="9"/>
  <c r="AH59" i="9"/>
  <c r="AI56" i="9"/>
  <c r="AH56" i="9"/>
  <c r="AI53" i="9"/>
  <c r="AH53" i="9"/>
  <c r="AI50" i="9"/>
  <c r="AH50" i="9"/>
  <c r="AI44" i="9"/>
  <c r="AH44" i="9"/>
  <c r="AI41" i="9"/>
  <c r="AH41" i="9"/>
  <c r="AI38" i="9"/>
  <c r="AH38" i="9"/>
  <c r="AI35" i="9"/>
  <c r="AH35" i="9"/>
  <c r="AI29" i="9"/>
  <c r="AH29" i="9"/>
  <c r="AI26" i="9"/>
  <c r="AH26" i="9"/>
  <c r="AI20" i="9"/>
  <c r="AH20" i="9"/>
  <c r="AI17" i="9"/>
  <c r="AH17" i="9"/>
  <c r="AI14" i="9"/>
  <c r="AH14" i="9"/>
  <c r="AG1400" i="9"/>
  <c r="AF1400" i="9"/>
  <c r="AG1397" i="9"/>
  <c r="AF1397" i="9"/>
  <c r="AG1394" i="9"/>
  <c r="AF1394" i="9"/>
  <c r="AG1388" i="9"/>
  <c r="AF1388" i="9"/>
  <c r="AG1385" i="9"/>
  <c r="AF1385" i="9"/>
  <c r="AG1379" i="9"/>
  <c r="AF1379" i="9"/>
  <c r="AG1376" i="9"/>
  <c r="AF1376" i="9"/>
  <c r="AG1373" i="9"/>
  <c r="AF1373" i="9"/>
  <c r="AG1367" i="9"/>
  <c r="AF1367" i="9"/>
  <c r="AG1364" i="9"/>
  <c r="AF1364" i="9"/>
  <c r="AG1361" i="9"/>
  <c r="AF1361" i="9"/>
  <c r="AG1355" i="9"/>
  <c r="AF1355" i="9"/>
  <c r="AG1352" i="9"/>
  <c r="AF1352" i="9"/>
  <c r="AG1349" i="9"/>
  <c r="AF1349" i="9"/>
  <c r="AG1346" i="9"/>
  <c r="AF1346" i="9"/>
  <c r="AG1337" i="9"/>
  <c r="AF1337" i="9"/>
  <c r="AG1331" i="9"/>
  <c r="AF1331" i="9"/>
  <c r="AG1328" i="9"/>
  <c r="AF1328" i="9"/>
  <c r="AG1325" i="9"/>
  <c r="AF1325" i="9"/>
  <c r="AG1319" i="9"/>
  <c r="AF1319" i="9"/>
  <c r="AG1316" i="9"/>
  <c r="AF1316" i="9"/>
  <c r="AG1313" i="9"/>
  <c r="AF1313" i="9"/>
  <c r="AG1307" i="9"/>
  <c r="AF1307" i="9"/>
  <c r="AG1304" i="9"/>
  <c r="AF1304" i="9"/>
  <c r="AG1298" i="9"/>
  <c r="AF1298" i="9"/>
  <c r="AG1292" i="9"/>
  <c r="AF1292" i="9"/>
  <c r="AG1289" i="9"/>
  <c r="AF1289" i="9"/>
  <c r="AG1283" i="9"/>
  <c r="AF1283" i="9"/>
  <c r="AG1280" i="9"/>
  <c r="AF1280" i="9"/>
  <c r="AG1277" i="9"/>
  <c r="AF1277" i="9"/>
  <c r="AG1274" i="9"/>
  <c r="AF1274" i="9"/>
  <c r="AG1268" i="9"/>
  <c r="AF1268" i="9"/>
  <c r="AG1265" i="9"/>
  <c r="AF1265" i="9"/>
  <c r="AG1259" i="9"/>
  <c r="AF1259" i="9"/>
  <c r="AG1256" i="9"/>
  <c r="AF1256" i="9"/>
  <c r="AG1247" i="9"/>
  <c r="AF1247" i="9"/>
  <c r="AG1244" i="9"/>
  <c r="AF1244" i="9"/>
  <c r="AG1241" i="9"/>
  <c r="AF1241" i="9"/>
  <c r="AG1235" i="9"/>
  <c r="AF1235" i="9"/>
  <c r="AG1232" i="9"/>
  <c r="AF1232" i="9"/>
  <c r="AG1229" i="9"/>
  <c r="AF1229" i="9"/>
  <c r="AG1223" i="9"/>
  <c r="AF1223" i="9"/>
  <c r="AG1220" i="9"/>
  <c r="AF1220" i="9"/>
  <c r="AG1214" i="9"/>
  <c r="AF1214" i="9"/>
  <c r="AG1208" i="9"/>
  <c r="AF1208" i="9"/>
  <c r="AG1205" i="9"/>
  <c r="AF1205" i="9"/>
  <c r="AG1202" i="9"/>
  <c r="AF1202" i="9"/>
  <c r="AG1199" i="9"/>
  <c r="AF1199" i="9"/>
  <c r="AG1196" i="9"/>
  <c r="AF1196" i="9"/>
  <c r="AG1193" i="9"/>
  <c r="AF1193" i="9"/>
  <c r="AG1187" i="9"/>
  <c r="AF1187" i="9"/>
  <c r="AG1184" i="9"/>
  <c r="AF1184" i="9"/>
  <c r="AG1181" i="9"/>
  <c r="AF1181" i="9"/>
  <c r="AG1178" i="9"/>
  <c r="AF1178" i="9"/>
  <c r="AG1175" i="9"/>
  <c r="AF1175" i="9"/>
  <c r="AG1169" i="9"/>
  <c r="AF1169" i="9"/>
  <c r="AG1166" i="9"/>
  <c r="AF1166" i="9"/>
  <c r="AG1163" i="9"/>
  <c r="AF1163" i="9"/>
  <c r="AG1160" i="9"/>
  <c r="AF1160" i="9"/>
  <c r="AG1154" i="9"/>
  <c r="AF1154" i="9"/>
  <c r="AG1151" i="9"/>
  <c r="AF1151" i="9"/>
  <c r="AG1148" i="9"/>
  <c r="AF1148" i="9"/>
  <c r="AG1145" i="9"/>
  <c r="AF1145" i="9"/>
  <c r="AG1142" i="9"/>
  <c r="AF1142" i="9"/>
  <c r="AG1136" i="9"/>
  <c r="AF1136" i="9"/>
  <c r="AG1133" i="9"/>
  <c r="AF1133" i="9"/>
  <c r="AG1130" i="9"/>
  <c r="AF1130" i="9"/>
  <c r="AG1127" i="9"/>
  <c r="AF1127" i="9"/>
  <c r="AG1124" i="9"/>
  <c r="AF1124" i="9"/>
  <c r="AG1121" i="9"/>
  <c r="AF1121" i="9"/>
  <c r="AG1118" i="9"/>
  <c r="AF1118" i="9"/>
  <c r="AG1112" i="9"/>
  <c r="AF1112" i="9"/>
  <c r="AG1109" i="9"/>
  <c r="AF1109" i="9"/>
  <c r="AG1106" i="9"/>
  <c r="AF1106" i="9"/>
  <c r="AG1100" i="9"/>
  <c r="AF1100" i="9"/>
  <c r="AG1097" i="9"/>
  <c r="AF1097" i="9"/>
  <c r="AG1094" i="9"/>
  <c r="AF1094" i="9"/>
  <c r="AG1088" i="9"/>
  <c r="AF1088" i="9"/>
  <c r="AG1085" i="9"/>
  <c r="AF1085" i="9"/>
  <c r="AG1082" i="9"/>
  <c r="AF1082" i="9"/>
  <c r="AG1079" i="9"/>
  <c r="AF1079" i="9"/>
  <c r="AG1073" i="9"/>
  <c r="AF1073" i="9"/>
  <c r="AG1070" i="9"/>
  <c r="AF1070" i="9"/>
  <c r="AG1067" i="9"/>
  <c r="AF1067" i="9"/>
  <c r="AG1061" i="9"/>
  <c r="AF1061" i="9"/>
  <c r="AG1058" i="9"/>
  <c r="AF1058" i="9"/>
  <c r="AG1052" i="9"/>
  <c r="AF1052" i="9"/>
  <c r="AG1049" i="9"/>
  <c r="AF1049" i="9"/>
  <c r="AG1046" i="9"/>
  <c r="AF1046" i="9"/>
  <c r="AG1043" i="9"/>
  <c r="AF1043" i="9"/>
  <c r="AG1040" i="9"/>
  <c r="AF1040" i="9"/>
  <c r="AG1031" i="9"/>
  <c r="AF1031" i="9"/>
  <c r="AG1025" i="9"/>
  <c r="AF1025" i="9"/>
  <c r="AG1022" i="9"/>
  <c r="AF1022" i="9"/>
  <c r="AG1016" i="9"/>
  <c r="AF1016" i="9"/>
  <c r="AG1013" i="9"/>
  <c r="AF1013" i="9"/>
  <c r="AG1007" i="9"/>
  <c r="AF1007" i="9"/>
  <c r="AG1004" i="9"/>
  <c r="AF1004" i="9"/>
  <c r="AG1001" i="9"/>
  <c r="AF1001" i="9"/>
  <c r="AG995" i="9"/>
  <c r="AF995" i="9"/>
  <c r="AG992" i="9"/>
  <c r="AF992" i="9"/>
  <c r="AG986" i="9"/>
  <c r="AF986" i="9"/>
  <c r="AG977" i="9"/>
  <c r="AF977" i="9"/>
  <c r="AG971" i="9"/>
  <c r="AF971" i="9"/>
  <c r="AG965" i="9"/>
  <c r="AF965" i="9"/>
  <c r="AG962" i="9"/>
  <c r="AF962" i="9"/>
  <c r="AG956" i="9"/>
  <c r="AF956" i="9"/>
  <c r="AG953" i="9"/>
  <c r="AF953" i="9"/>
  <c r="AG947" i="9"/>
  <c r="AF947" i="9"/>
  <c r="AG944" i="9"/>
  <c r="AF944" i="9"/>
  <c r="AG941" i="9"/>
  <c r="AF941" i="9"/>
  <c r="AG938" i="9"/>
  <c r="AF938" i="9"/>
  <c r="AG932" i="9"/>
  <c r="AF932" i="9"/>
  <c r="AG929" i="9"/>
  <c r="AF929" i="9"/>
  <c r="AG926" i="9"/>
  <c r="AF926" i="9"/>
  <c r="AG920" i="9"/>
  <c r="AF920" i="9"/>
  <c r="AG917" i="9"/>
  <c r="AF917" i="9"/>
  <c r="AG914" i="9"/>
  <c r="AF914" i="9"/>
  <c r="AG908" i="9"/>
  <c r="AF908" i="9"/>
  <c r="AG905" i="9"/>
  <c r="AF905" i="9"/>
  <c r="AG899" i="9"/>
  <c r="AF899" i="9"/>
  <c r="AG896" i="9"/>
  <c r="AF896" i="9"/>
  <c r="AG890" i="9"/>
  <c r="AF890" i="9"/>
  <c r="AG887" i="9"/>
  <c r="AF887" i="9"/>
  <c r="AG881" i="9"/>
  <c r="AF881" i="9"/>
  <c r="AG878" i="9"/>
  <c r="AF878" i="9"/>
  <c r="AG872" i="9"/>
  <c r="AF872" i="9"/>
  <c r="AG869" i="9"/>
  <c r="AF869" i="9"/>
  <c r="AG863" i="9"/>
  <c r="AF863" i="9"/>
  <c r="AG860" i="9"/>
  <c r="AF860" i="9"/>
  <c r="AG857" i="9"/>
  <c r="AF857" i="9"/>
  <c r="AG854" i="9"/>
  <c r="AF854" i="9"/>
  <c r="AG851" i="9"/>
  <c r="AF851" i="9"/>
  <c r="AG845" i="9"/>
  <c r="AF845" i="9"/>
  <c r="AG842" i="9"/>
  <c r="AF842" i="9"/>
  <c r="AG839" i="9"/>
  <c r="AF839" i="9"/>
  <c r="AG833" i="9"/>
  <c r="AF833" i="9"/>
  <c r="AG830" i="9"/>
  <c r="AF830" i="9"/>
  <c r="AG827" i="9"/>
  <c r="AF827" i="9"/>
  <c r="AG824" i="9"/>
  <c r="AF824" i="9"/>
  <c r="AG818" i="9"/>
  <c r="AF818" i="9"/>
  <c r="AG815" i="9"/>
  <c r="AF815" i="9"/>
  <c r="AG812" i="9"/>
  <c r="AF812" i="9"/>
  <c r="AG809" i="9"/>
  <c r="AF809" i="9"/>
  <c r="AG800" i="9"/>
  <c r="AF800" i="9"/>
  <c r="AG794" i="9"/>
  <c r="AF794" i="9"/>
  <c r="AG791" i="9"/>
  <c r="AF791" i="9"/>
  <c r="AG788" i="9"/>
  <c r="AF788" i="9"/>
  <c r="AG782" i="9"/>
  <c r="AF782" i="9"/>
  <c r="AG776" i="9"/>
  <c r="AF776" i="9"/>
  <c r="AG770" i="9"/>
  <c r="AF770" i="9"/>
  <c r="AG767" i="9"/>
  <c r="AF767" i="9"/>
  <c r="AG761" i="9"/>
  <c r="AF761" i="9"/>
  <c r="AG755" i="9"/>
  <c r="AF755" i="9"/>
  <c r="AG749" i="9"/>
  <c r="AF749" i="9"/>
  <c r="AG746" i="9"/>
  <c r="AF746" i="9"/>
  <c r="AG743" i="9"/>
  <c r="AF743" i="9"/>
  <c r="AG737" i="9"/>
  <c r="AF737" i="9"/>
  <c r="AG734" i="9"/>
  <c r="AF734" i="9"/>
  <c r="AG728" i="9"/>
  <c r="AF728" i="9"/>
  <c r="AG725" i="9"/>
  <c r="AF725" i="9"/>
  <c r="AG719" i="9"/>
  <c r="AF719" i="9"/>
  <c r="AG716" i="9"/>
  <c r="AF716" i="9"/>
  <c r="AG713" i="9"/>
  <c r="AF713" i="9"/>
  <c r="AG707" i="9"/>
  <c r="AF707" i="9"/>
  <c r="AG704" i="9"/>
  <c r="AF704" i="9"/>
  <c r="AG701" i="9"/>
  <c r="AF701" i="9"/>
  <c r="AG698" i="9"/>
  <c r="AF698" i="9"/>
  <c r="AG695" i="9"/>
  <c r="AF695" i="9"/>
  <c r="AG689" i="9"/>
  <c r="AF689" i="9"/>
  <c r="AG686" i="9"/>
  <c r="AF686" i="9"/>
  <c r="AG680" i="9"/>
  <c r="AF680" i="9"/>
  <c r="AG677" i="9"/>
  <c r="AF677" i="9"/>
  <c r="AG671" i="9"/>
  <c r="AF671" i="9"/>
  <c r="AG668" i="9"/>
  <c r="AF668" i="9"/>
  <c r="AG662" i="9"/>
  <c r="AF662" i="9"/>
  <c r="AG659" i="9"/>
  <c r="AF659" i="9"/>
  <c r="AG656" i="9"/>
  <c r="AF656" i="9"/>
  <c r="AG653" i="9"/>
  <c r="AF653" i="9"/>
  <c r="AG644" i="9"/>
  <c r="AF644" i="9"/>
  <c r="AG641" i="9"/>
  <c r="AF641" i="9"/>
  <c r="AG635" i="9"/>
  <c r="AF635" i="9"/>
  <c r="AG629" i="9"/>
  <c r="AF629" i="9"/>
  <c r="AG626" i="9"/>
  <c r="AF626" i="9"/>
  <c r="AG623" i="9"/>
  <c r="AF623" i="9"/>
  <c r="AG620" i="9"/>
  <c r="AF620" i="9"/>
  <c r="AG617" i="9"/>
  <c r="AF617" i="9"/>
  <c r="AG611" i="9"/>
  <c r="AF611" i="9"/>
  <c r="AG608" i="9"/>
  <c r="AF608" i="9"/>
  <c r="AG605" i="9"/>
  <c r="AF605" i="9"/>
  <c r="AG602" i="9"/>
  <c r="AF602" i="9"/>
  <c r="AG596" i="9"/>
  <c r="AF596" i="9"/>
  <c r="AG593" i="9"/>
  <c r="AF593" i="9"/>
  <c r="AG590" i="9"/>
  <c r="AF590" i="9"/>
  <c r="AG587" i="9"/>
  <c r="AF587" i="9"/>
  <c r="AG584" i="9"/>
  <c r="AF584" i="9"/>
  <c r="AG581" i="9"/>
  <c r="AF581" i="9"/>
  <c r="AG575" i="9"/>
  <c r="AF575" i="9"/>
  <c r="AG569" i="9"/>
  <c r="AF569" i="9"/>
  <c r="AG566" i="9"/>
  <c r="AF566" i="9"/>
  <c r="AG563" i="9"/>
  <c r="AF563" i="9"/>
  <c r="AG557" i="9"/>
  <c r="AF557" i="9"/>
  <c r="AG554" i="9"/>
  <c r="AF554" i="9"/>
  <c r="AG551" i="9"/>
  <c r="AF551" i="9"/>
  <c r="AG548" i="9"/>
  <c r="AF548" i="9"/>
  <c r="AG545" i="9"/>
  <c r="AF545" i="9"/>
  <c r="AG539" i="9"/>
  <c r="AF539" i="9"/>
  <c r="AG536" i="9"/>
  <c r="AF536" i="9"/>
  <c r="AG533" i="9"/>
  <c r="AF533" i="9"/>
  <c r="AG527" i="9"/>
  <c r="AF527" i="9"/>
  <c r="AG524" i="9"/>
  <c r="AF524" i="9"/>
  <c r="AG521" i="9"/>
  <c r="AF521" i="9"/>
  <c r="AG515" i="9"/>
  <c r="AF515" i="9"/>
  <c r="AG512" i="9"/>
  <c r="AF512" i="9"/>
  <c r="AG506" i="9"/>
  <c r="AF506" i="9"/>
  <c r="AG503" i="9"/>
  <c r="AF503" i="9"/>
  <c r="AG497" i="9"/>
  <c r="AF497" i="9"/>
  <c r="AG494" i="9"/>
  <c r="AF494" i="9"/>
  <c r="AG491" i="9"/>
  <c r="AF491" i="9"/>
  <c r="AG488" i="9"/>
  <c r="AF488" i="9"/>
  <c r="AG482" i="9"/>
  <c r="AF482" i="9"/>
  <c r="AG479" i="9"/>
  <c r="AF479" i="9"/>
  <c r="AG476" i="9"/>
  <c r="AF476" i="9"/>
  <c r="AG470" i="9"/>
  <c r="AF470" i="9"/>
  <c r="AG467" i="9"/>
  <c r="AF467" i="9"/>
  <c r="AG464" i="9"/>
  <c r="AF464" i="9"/>
  <c r="AG458" i="9"/>
  <c r="AF458" i="9"/>
  <c r="AG449" i="9"/>
  <c r="AF449" i="9"/>
  <c r="AG446" i="9"/>
  <c r="AF446" i="9"/>
  <c r="AG440" i="9"/>
  <c r="AF440" i="9"/>
  <c r="AG437" i="9"/>
  <c r="AF437" i="9"/>
  <c r="AG431" i="9"/>
  <c r="AF431" i="9"/>
  <c r="AG428" i="9"/>
  <c r="AF428" i="9"/>
  <c r="AG425" i="9"/>
  <c r="AF425" i="9"/>
  <c r="AG419" i="9"/>
  <c r="AF419" i="9"/>
  <c r="AG416" i="9"/>
  <c r="AF416" i="9"/>
  <c r="AG413" i="9"/>
  <c r="AF413" i="9"/>
  <c r="AG407" i="9"/>
  <c r="AF407" i="9"/>
  <c r="AG404" i="9"/>
  <c r="AF404" i="9"/>
  <c r="AG398" i="9"/>
  <c r="AF398" i="9"/>
  <c r="AG395" i="9"/>
  <c r="AF395" i="9"/>
  <c r="AG389" i="9"/>
  <c r="AF389" i="9"/>
  <c r="AG386" i="9"/>
  <c r="AF386" i="9"/>
  <c r="AG380" i="9"/>
  <c r="AF380" i="9"/>
  <c r="AG377" i="9"/>
  <c r="AF377" i="9"/>
  <c r="AG374" i="9"/>
  <c r="AF374" i="9"/>
  <c r="AG371" i="9"/>
  <c r="AF371" i="9"/>
  <c r="AG368" i="9"/>
  <c r="AF368" i="9"/>
  <c r="AG365" i="9"/>
  <c r="AF365" i="9"/>
  <c r="AG362" i="9"/>
  <c r="AF362" i="9"/>
  <c r="AG356" i="9"/>
  <c r="AF356" i="9"/>
  <c r="AG353" i="9"/>
  <c r="AF353" i="9"/>
  <c r="AG350" i="9"/>
  <c r="AF350" i="9"/>
  <c r="AG347" i="9"/>
  <c r="AF347" i="9"/>
  <c r="AG341" i="9"/>
  <c r="AF341" i="9"/>
  <c r="AG338" i="9"/>
  <c r="AF338" i="9"/>
  <c r="AG335" i="9"/>
  <c r="AF335" i="9"/>
  <c r="AG332" i="9"/>
  <c r="AF332" i="9"/>
  <c r="AG329" i="9"/>
  <c r="AF329" i="9"/>
  <c r="AG323" i="9"/>
  <c r="AF323" i="9"/>
  <c r="AG320" i="9"/>
  <c r="AF320" i="9"/>
  <c r="AG317" i="9"/>
  <c r="AF317" i="9"/>
  <c r="AG314" i="9"/>
  <c r="AF314" i="9"/>
  <c r="AG311" i="9"/>
  <c r="AF311" i="9"/>
  <c r="AG308" i="9"/>
  <c r="AF308" i="9"/>
  <c r="AG302" i="9"/>
  <c r="AF302" i="9"/>
  <c r="AG299" i="9"/>
  <c r="AF299" i="9"/>
  <c r="AG296" i="9"/>
  <c r="AF296" i="9"/>
  <c r="AG293" i="9"/>
  <c r="AF293" i="9"/>
  <c r="AG290" i="9"/>
  <c r="AF290" i="9"/>
  <c r="AG284" i="9"/>
  <c r="AF284" i="9"/>
  <c r="AG281" i="9"/>
  <c r="AF281" i="9"/>
  <c r="AG278" i="9"/>
  <c r="AF278" i="9"/>
  <c r="AG275" i="9"/>
  <c r="AF275" i="9"/>
  <c r="AG272" i="9"/>
  <c r="AF272" i="9"/>
  <c r="AG269" i="9"/>
  <c r="AF269" i="9"/>
  <c r="AG266" i="9"/>
  <c r="AF266" i="9"/>
  <c r="AG260" i="9"/>
  <c r="AF260" i="9"/>
  <c r="AG257" i="9"/>
  <c r="AF257" i="9"/>
  <c r="AG251" i="9"/>
  <c r="AF251" i="9"/>
  <c r="AG248" i="9"/>
  <c r="AF248" i="9"/>
  <c r="AG245" i="9"/>
  <c r="AF245" i="9"/>
  <c r="AG242" i="9"/>
  <c r="AF242" i="9"/>
  <c r="AG239" i="9"/>
  <c r="AF239" i="9"/>
  <c r="AG236" i="9"/>
  <c r="AF236" i="9"/>
  <c r="AG233" i="9"/>
  <c r="AF233" i="9"/>
  <c r="AG230" i="9"/>
  <c r="AF230" i="9"/>
  <c r="AG224" i="9"/>
  <c r="AF224" i="9"/>
  <c r="AG221" i="9"/>
  <c r="AF221" i="9"/>
  <c r="AG218" i="9"/>
  <c r="AF218" i="9"/>
  <c r="AG212" i="9"/>
  <c r="AF212" i="9"/>
  <c r="AG209" i="9"/>
  <c r="AF209" i="9"/>
  <c r="AG206" i="9"/>
  <c r="AF206" i="9"/>
  <c r="AG203" i="9"/>
  <c r="AF203" i="9"/>
  <c r="AG200" i="9"/>
  <c r="AF200" i="9"/>
  <c r="AG194" i="9"/>
  <c r="AF194" i="9"/>
  <c r="AG191" i="9"/>
  <c r="AF191" i="9"/>
  <c r="AG188" i="9"/>
  <c r="AF188" i="9"/>
  <c r="AG185" i="9"/>
  <c r="AF185" i="9"/>
  <c r="AG182" i="9"/>
  <c r="AF182" i="9"/>
  <c r="AG179" i="9"/>
  <c r="AF179" i="9"/>
  <c r="AG176" i="9"/>
  <c r="AF176" i="9"/>
  <c r="AG173" i="9"/>
  <c r="AF173" i="9"/>
  <c r="AG167" i="9"/>
  <c r="AF167" i="9"/>
  <c r="AG164" i="9"/>
  <c r="AF164" i="9"/>
  <c r="AG161" i="9"/>
  <c r="AF161" i="9"/>
  <c r="AG158" i="9"/>
  <c r="AF158" i="9"/>
  <c r="AG155" i="9"/>
  <c r="AF155" i="9"/>
  <c r="AG152" i="9"/>
  <c r="AF152" i="9"/>
  <c r="AG146" i="9"/>
  <c r="AF146" i="9"/>
  <c r="AG143" i="9"/>
  <c r="AF143" i="9"/>
  <c r="AG140" i="9"/>
  <c r="AF140" i="9"/>
  <c r="AG137" i="9"/>
  <c r="AF137" i="9"/>
  <c r="AG134" i="9"/>
  <c r="AF134" i="9"/>
  <c r="AG125" i="9"/>
  <c r="AF125" i="9"/>
  <c r="AG122" i="9"/>
  <c r="AF122" i="9"/>
  <c r="AG119" i="9"/>
  <c r="AF119" i="9"/>
  <c r="AG113" i="9"/>
  <c r="AF113" i="9"/>
  <c r="AG110" i="9"/>
  <c r="AF110" i="9"/>
  <c r="AG107" i="9"/>
  <c r="AF107" i="9"/>
  <c r="AG101" i="9"/>
  <c r="AF101" i="9"/>
  <c r="AG95" i="9"/>
  <c r="AF95" i="9"/>
  <c r="AG92" i="9"/>
  <c r="AF92" i="9"/>
  <c r="AG89" i="9"/>
  <c r="AF89" i="9"/>
  <c r="AG86" i="9"/>
  <c r="AF86" i="9"/>
  <c r="AG80" i="9"/>
  <c r="AF80" i="9"/>
  <c r="AG77" i="9"/>
  <c r="AF77" i="9"/>
  <c r="AG71" i="9"/>
  <c r="AF71" i="9"/>
  <c r="AG68" i="9"/>
  <c r="AF68" i="9"/>
  <c r="AG62" i="9"/>
  <c r="AF62" i="9"/>
  <c r="AG59" i="9"/>
  <c r="AF59" i="9"/>
  <c r="AG56" i="9"/>
  <c r="AF56" i="9"/>
  <c r="AG53" i="9"/>
  <c r="AF53" i="9"/>
  <c r="AG50" i="9"/>
  <c r="AF50" i="9"/>
  <c r="AG44" i="9"/>
  <c r="AF44" i="9"/>
  <c r="AG41" i="9"/>
  <c r="AF41" i="9"/>
  <c r="AG38" i="9"/>
  <c r="AF38" i="9"/>
  <c r="AG35" i="9"/>
  <c r="AF35" i="9"/>
  <c r="AG29" i="9"/>
  <c r="AF29" i="9"/>
  <c r="AG26" i="9"/>
  <c r="AF26" i="9"/>
  <c r="AG20" i="9"/>
  <c r="AF20" i="9"/>
  <c r="AG17" i="9"/>
  <c r="AF17" i="9"/>
  <c r="AG14" i="9"/>
  <c r="AF14" i="9"/>
  <c r="AE1400" i="9"/>
  <c r="AD1400" i="9"/>
  <c r="AE1397" i="9"/>
  <c r="AD1397" i="9"/>
  <c r="AE1394" i="9"/>
  <c r="AD1394" i="9"/>
  <c r="AE1388" i="9"/>
  <c r="AD1388" i="9"/>
  <c r="AE1385" i="9"/>
  <c r="AD1385" i="9"/>
  <c r="AE1379" i="9"/>
  <c r="AD1379" i="9"/>
  <c r="AE1376" i="9"/>
  <c r="AD1376" i="9"/>
  <c r="AE1373" i="9"/>
  <c r="AD1373" i="9"/>
  <c r="AE1367" i="9"/>
  <c r="AD1367" i="9"/>
  <c r="AE1364" i="9"/>
  <c r="AD1364" i="9"/>
  <c r="AE1361" i="9"/>
  <c r="AD1361" i="9"/>
  <c r="AE1355" i="9"/>
  <c r="AD1355" i="9"/>
  <c r="AE1352" i="9"/>
  <c r="AD1352" i="9"/>
  <c r="AE1349" i="9"/>
  <c r="AD1349" i="9"/>
  <c r="AE1346" i="9"/>
  <c r="AD1346" i="9"/>
  <c r="AE1337" i="9"/>
  <c r="AD1337" i="9"/>
  <c r="AE1331" i="9"/>
  <c r="AD1331" i="9"/>
  <c r="AE1328" i="9"/>
  <c r="AD1328" i="9"/>
  <c r="AE1325" i="9"/>
  <c r="AD1325" i="9"/>
  <c r="AE1319" i="9"/>
  <c r="AD1319" i="9"/>
  <c r="AE1316" i="9"/>
  <c r="AD1316" i="9"/>
  <c r="AE1313" i="9"/>
  <c r="AD1313" i="9"/>
  <c r="AE1307" i="9"/>
  <c r="AD1307" i="9"/>
  <c r="AE1304" i="9"/>
  <c r="AD1304" i="9"/>
  <c r="AE1298" i="9"/>
  <c r="AD1298" i="9"/>
  <c r="AE1292" i="9"/>
  <c r="AD1292" i="9"/>
  <c r="AE1289" i="9"/>
  <c r="AD1289" i="9"/>
  <c r="AE1283" i="9"/>
  <c r="AD1283" i="9"/>
  <c r="AE1280" i="9"/>
  <c r="AD1280" i="9"/>
  <c r="AE1277" i="9"/>
  <c r="AD1277" i="9"/>
  <c r="AE1274" i="9"/>
  <c r="AD1274" i="9"/>
  <c r="AE1268" i="9"/>
  <c r="AD1268" i="9"/>
  <c r="AE1265" i="9"/>
  <c r="AD1265" i="9"/>
  <c r="AE1259" i="9"/>
  <c r="AD1259" i="9"/>
  <c r="AE1256" i="9"/>
  <c r="AD1256" i="9"/>
  <c r="AE1247" i="9"/>
  <c r="AD1247" i="9"/>
  <c r="AE1244" i="9"/>
  <c r="AD1244" i="9"/>
  <c r="AE1241" i="9"/>
  <c r="AD1241" i="9"/>
  <c r="AE1235" i="9"/>
  <c r="AD1235" i="9"/>
  <c r="AE1232" i="9"/>
  <c r="AD1232" i="9"/>
  <c r="AE1229" i="9"/>
  <c r="AD1229" i="9"/>
  <c r="AE1223" i="9"/>
  <c r="AD1223" i="9"/>
  <c r="AE1220" i="9"/>
  <c r="AD1220" i="9"/>
  <c r="AE1214" i="9"/>
  <c r="AD1214" i="9"/>
  <c r="AE1208" i="9"/>
  <c r="AD1208" i="9"/>
  <c r="AE1205" i="9"/>
  <c r="AD1205" i="9"/>
  <c r="AE1202" i="9"/>
  <c r="AD1202" i="9"/>
  <c r="AE1199" i="9"/>
  <c r="AD1199" i="9"/>
  <c r="AE1196" i="9"/>
  <c r="AD1196" i="9"/>
  <c r="AE1193" i="9"/>
  <c r="AD1193" i="9"/>
  <c r="AE1187" i="9"/>
  <c r="AD1187" i="9"/>
  <c r="AE1184" i="9"/>
  <c r="AD1184" i="9"/>
  <c r="AE1181" i="9"/>
  <c r="AD1181" i="9"/>
  <c r="AE1178" i="9"/>
  <c r="AD1178" i="9"/>
  <c r="AE1175" i="9"/>
  <c r="AD1175" i="9"/>
  <c r="AE1169" i="9"/>
  <c r="AD1169" i="9"/>
  <c r="AE1166" i="9"/>
  <c r="AD1166" i="9"/>
  <c r="AE1163" i="9"/>
  <c r="AD1163" i="9"/>
  <c r="AE1160" i="9"/>
  <c r="AD1160" i="9"/>
  <c r="AE1154" i="9"/>
  <c r="AD1154" i="9"/>
  <c r="AE1151" i="9"/>
  <c r="AD1151" i="9"/>
  <c r="AE1148" i="9"/>
  <c r="AD1148" i="9"/>
  <c r="AE1145" i="9"/>
  <c r="AD1145" i="9"/>
  <c r="AE1142" i="9"/>
  <c r="AD1142" i="9"/>
  <c r="AE1136" i="9"/>
  <c r="AD1136" i="9"/>
  <c r="AE1133" i="9"/>
  <c r="AD1133" i="9"/>
  <c r="AE1130" i="9"/>
  <c r="AD1130" i="9"/>
  <c r="AE1127" i="9"/>
  <c r="AD1127" i="9"/>
  <c r="AE1124" i="9"/>
  <c r="AD1124" i="9"/>
  <c r="AE1121" i="9"/>
  <c r="AD1121" i="9"/>
  <c r="AE1118" i="9"/>
  <c r="AD1118" i="9"/>
  <c r="AE1112" i="9"/>
  <c r="AD1112" i="9"/>
  <c r="AE1109" i="9"/>
  <c r="AD1109" i="9"/>
  <c r="AE1106" i="9"/>
  <c r="AD1106" i="9"/>
  <c r="AE1100" i="9"/>
  <c r="AD1100" i="9"/>
  <c r="AE1097" i="9"/>
  <c r="AD1097" i="9"/>
  <c r="AE1094" i="9"/>
  <c r="AD1094" i="9"/>
  <c r="AE1088" i="9"/>
  <c r="AD1088" i="9"/>
  <c r="AE1085" i="9"/>
  <c r="AD1085" i="9"/>
  <c r="AE1082" i="9"/>
  <c r="AD1082" i="9"/>
  <c r="AE1079" i="9"/>
  <c r="AD1079" i="9"/>
  <c r="AE1073" i="9"/>
  <c r="AD1073" i="9"/>
  <c r="AE1070" i="9"/>
  <c r="AD1070" i="9"/>
  <c r="AE1067" i="9"/>
  <c r="AD1067" i="9"/>
  <c r="AE1061" i="9"/>
  <c r="AD1061" i="9"/>
  <c r="AE1058" i="9"/>
  <c r="AD1058" i="9"/>
  <c r="AE1052" i="9"/>
  <c r="AD1052" i="9"/>
  <c r="AE1049" i="9"/>
  <c r="AD1049" i="9"/>
  <c r="AE1046" i="9"/>
  <c r="AD1046" i="9"/>
  <c r="AE1043" i="9"/>
  <c r="AD1043" i="9"/>
  <c r="AE1040" i="9"/>
  <c r="AD1040" i="9"/>
  <c r="AE1031" i="9"/>
  <c r="AD1031" i="9"/>
  <c r="AE1025" i="9"/>
  <c r="AD1025" i="9"/>
  <c r="AE1022" i="9"/>
  <c r="AD1022" i="9"/>
  <c r="AE1016" i="9"/>
  <c r="AD1016" i="9"/>
  <c r="AE1013" i="9"/>
  <c r="AD1013" i="9"/>
  <c r="AE1007" i="9"/>
  <c r="AD1007" i="9"/>
  <c r="AE1004" i="9"/>
  <c r="AD1004" i="9"/>
  <c r="AE1001" i="9"/>
  <c r="AD1001" i="9"/>
  <c r="AE995" i="9"/>
  <c r="AD995" i="9"/>
  <c r="AE992" i="9"/>
  <c r="AD992" i="9"/>
  <c r="AE986" i="9"/>
  <c r="AD986" i="9"/>
  <c r="AE977" i="9"/>
  <c r="AD977" i="9"/>
  <c r="AE971" i="9"/>
  <c r="AD971" i="9"/>
  <c r="AE965" i="9"/>
  <c r="AD965" i="9"/>
  <c r="AE962" i="9"/>
  <c r="AD962" i="9"/>
  <c r="AE956" i="9"/>
  <c r="AD956" i="9"/>
  <c r="AE953" i="9"/>
  <c r="AD953" i="9"/>
  <c r="AE947" i="9"/>
  <c r="AD947" i="9"/>
  <c r="AE944" i="9"/>
  <c r="AD944" i="9"/>
  <c r="AE941" i="9"/>
  <c r="AD941" i="9"/>
  <c r="AE938" i="9"/>
  <c r="AD938" i="9"/>
  <c r="AE932" i="9"/>
  <c r="AD932" i="9"/>
  <c r="AE929" i="9"/>
  <c r="AD929" i="9"/>
  <c r="AE926" i="9"/>
  <c r="AD926" i="9"/>
  <c r="AE920" i="9"/>
  <c r="AD920" i="9"/>
  <c r="AE917" i="9"/>
  <c r="AD917" i="9"/>
  <c r="AE914" i="9"/>
  <c r="AD914" i="9"/>
  <c r="AE908" i="9"/>
  <c r="AD908" i="9"/>
  <c r="AE905" i="9"/>
  <c r="AD905" i="9"/>
  <c r="AE899" i="9"/>
  <c r="AD899" i="9"/>
  <c r="AE896" i="9"/>
  <c r="AD896" i="9"/>
  <c r="AE890" i="9"/>
  <c r="AD890" i="9"/>
  <c r="AE887" i="9"/>
  <c r="AD887" i="9"/>
  <c r="AE881" i="9"/>
  <c r="AD881" i="9"/>
  <c r="AE878" i="9"/>
  <c r="AD878" i="9"/>
  <c r="AE872" i="9"/>
  <c r="AD872" i="9"/>
  <c r="AE869" i="9"/>
  <c r="AD869" i="9"/>
  <c r="AE863" i="9"/>
  <c r="AD863" i="9"/>
  <c r="AE860" i="9"/>
  <c r="AD860" i="9"/>
  <c r="AE857" i="9"/>
  <c r="AD857" i="9"/>
  <c r="AE854" i="9"/>
  <c r="AD854" i="9"/>
  <c r="AE851" i="9"/>
  <c r="AD851" i="9"/>
  <c r="AE845" i="9"/>
  <c r="AD845" i="9"/>
  <c r="AE842" i="9"/>
  <c r="AD842" i="9"/>
  <c r="AE839" i="9"/>
  <c r="AD839" i="9"/>
  <c r="AE833" i="9"/>
  <c r="AD833" i="9"/>
  <c r="AE830" i="9"/>
  <c r="AD830" i="9"/>
  <c r="AE827" i="9"/>
  <c r="AD827" i="9"/>
  <c r="AE824" i="9"/>
  <c r="AD824" i="9"/>
  <c r="AE818" i="9"/>
  <c r="AD818" i="9"/>
  <c r="AE815" i="9"/>
  <c r="AD815" i="9"/>
  <c r="AE812" i="9"/>
  <c r="AD812" i="9"/>
  <c r="AE809" i="9"/>
  <c r="AD809" i="9"/>
  <c r="AE800" i="9"/>
  <c r="AD800" i="9"/>
  <c r="AE794" i="9"/>
  <c r="AD794" i="9"/>
  <c r="AE791" i="9"/>
  <c r="AD791" i="9"/>
  <c r="AE788" i="9"/>
  <c r="AD788" i="9"/>
  <c r="AE782" i="9"/>
  <c r="AD782" i="9"/>
  <c r="AE776" i="9"/>
  <c r="AD776" i="9"/>
  <c r="AE770" i="9"/>
  <c r="AD770" i="9"/>
  <c r="AE767" i="9"/>
  <c r="AD767" i="9"/>
  <c r="AE761" i="9"/>
  <c r="AD761" i="9"/>
  <c r="AE755" i="9"/>
  <c r="AD755" i="9"/>
  <c r="AE749" i="9"/>
  <c r="AD749" i="9"/>
  <c r="AE746" i="9"/>
  <c r="AD746" i="9"/>
  <c r="AE743" i="9"/>
  <c r="AD743" i="9"/>
  <c r="AE737" i="9"/>
  <c r="AD737" i="9"/>
  <c r="AE734" i="9"/>
  <c r="AD734" i="9"/>
  <c r="AE728" i="9"/>
  <c r="AD728" i="9"/>
  <c r="AE725" i="9"/>
  <c r="AD725" i="9"/>
  <c r="AE719" i="9"/>
  <c r="AD719" i="9"/>
  <c r="AE716" i="9"/>
  <c r="AD716" i="9"/>
  <c r="AE713" i="9"/>
  <c r="AD713" i="9"/>
  <c r="AE707" i="9"/>
  <c r="AD707" i="9"/>
  <c r="AE704" i="9"/>
  <c r="AD704" i="9"/>
  <c r="AE701" i="9"/>
  <c r="AD701" i="9"/>
  <c r="AE698" i="9"/>
  <c r="AD698" i="9"/>
  <c r="AE695" i="9"/>
  <c r="AD695" i="9"/>
  <c r="AE689" i="9"/>
  <c r="AD689" i="9"/>
  <c r="AE686" i="9"/>
  <c r="AD686" i="9"/>
  <c r="AE680" i="9"/>
  <c r="AD680" i="9"/>
  <c r="AE677" i="9"/>
  <c r="AD677" i="9"/>
  <c r="AE671" i="9"/>
  <c r="AD671" i="9"/>
  <c r="AE668" i="9"/>
  <c r="AD668" i="9"/>
  <c r="AE662" i="9"/>
  <c r="AD662" i="9"/>
  <c r="AE659" i="9"/>
  <c r="AD659" i="9"/>
  <c r="AE656" i="9"/>
  <c r="AD656" i="9"/>
  <c r="AE653" i="9"/>
  <c r="AD653" i="9"/>
  <c r="AE644" i="9"/>
  <c r="AD644" i="9"/>
  <c r="AE641" i="9"/>
  <c r="AD641" i="9"/>
  <c r="AE635" i="9"/>
  <c r="AD635" i="9"/>
  <c r="AE629" i="9"/>
  <c r="AD629" i="9"/>
  <c r="AE626" i="9"/>
  <c r="AD626" i="9"/>
  <c r="AE623" i="9"/>
  <c r="AD623" i="9"/>
  <c r="AE620" i="9"/>
  <c r="AD620" i="9"/>
  <c r="AE617" i="9"/>
  <c r="AD617" i="9"/>
  <c r="AE611" i="9"/>
  <c r="AD611" i="9"/>
  <c r="AE608" i="9"/>
  <c r="AD608" i="9"/>
  <c r="AE605" i="9"/>
  <c r="AD605" i="9"/>
  <c r="AE602" i="9"/>
  <c r="AD602" i="9"/>
  <c r="AE596" i="9"/>
  <c r="AD596" i="9"/>
  <c r="AE593" i="9"/>
  <c r="AD593" i="9"/>
  <c r="AE590" i="9"/>
  <c r="AD590" i="9"/>
  <c r="AE587" i="9"/>
  <c r="AD587" i="9"/>
  <c r="AE584" i="9"/>
  <c r="AD584" i="9"/>
  <c r="AE581" i="9"/>
  <c r="AD581" i="9"/>
  <c r="AE575" i="9"/>
  <c r="AD575" i="9"/>
  <c r="AE569" i="9"/>
  <c r="AD569" i="9"/>
  <c r="AE566" i="9"/>
  <c r="AD566" i="9"/>
  <c r="AE563" i="9"/>
  <c r="AD563" i="9"/>
  <c r="AE557" i="9"/>
  <c r="AD557" i="9"/>
  <c r="AE554" i="9"/>
  <c r="AD554" i="9"/>
  <c r="AE551" i="9"/>
  <c r="AD551" i="9"/>
  <c r="AE548" i="9"/>
  <c r="AD548" i="9"/>
  <c r="AE545" i="9"/>
  <c r="AD545" i="9"/>
  <c r="AE539" i="9"/>
  <c r="AD539" i="9"/>
  <c r="AE536" i="9"/>
  <c r="AD536" i="9"/>
  <c r="AE533" i="9"/>
  <c r="AD533" i="9"/>
  <c r="AE527" i="9"/>
  <c r="AD527" i="9"/>
  <c r="AE524" i="9"/>
  <c r="AD524" i="9"/>
  <c r="AE521" i="9"/>
  <c r="AD521" i="9"/>
  <c r="AE515" i="9"/>
  <c r="AD515" i="9"/>
  <c r="AE512" i="9"/>
  <c r="AD512" i="9"/>
  <c r="AE506" i="9"/>
  <c r="AD506" i="9"/>
  <c r="AE503" i="9"/>
  <c r="AD503" i="9"/>
  <c r="AE497" i="9"/>
  <c r="AD497" i="9"/>
  <c r="AE494" i="9"/>
  <c r="AD494" i="9"/>
  <c r="AE491" i="9"/>
  <c r="AD491" i="9"/>
  <c r="AE488" i="9"/>
  <c r="AD488" i="9"/>
  <c r="AE482" i="9"/>
  <c r="AD482" i="9"/>
  <c r="AE479" i="9"/>
  <c r="AD479" i="9"/>
  <c r="AE476" i="9"/>
  <c r="AD476" i="9"/>
  <c r="AE470" i="9"/>
  <c r="AD470" i="9"/>
  <c r="AE467" i="9"/>
  <c r="AD467" i="9"/>
  <c r="AE464" i="9"/>
  <c r="AD464" i="9"/>
  <c r="AE458" i="9"/>
  <c r="AD458" i="9"/>
  <c r="AE449" i="9"/>
  <c r="AD449" i="9"/>
  <c r="AE446" i="9"/>
  <c r="AD446" i="9"/>
  <c r="AE440" i="9"/>
  <c r="AD440" i="9"/>
  <c r="AE437" i="9"/>
  <c r="AD437" i="9"/>
  <c r="AE431" i="9"/>
  <c r="AD431" i="9"/>
  <c r="AE428" i="9"/>
  <c r="AD428" i="9"/>
  <c r="AE425" i="9"/>
  <c r="AD425" i="9"/>
  <c r="AE419" i="9"/>
  <c r="AD419" i="9"/>
  <c r="AE416" i="9"/>
  <c r="AD416" i="9"/>
  <c r="AE413" i="9"/>
  <c r="AD413" i="9"/>
  <c r="AE407" i="9"/>
  <c r="AD407" i="9"/>
  <c r="AE404" i="9"/>
  <c r="AD404" i="9"/>
  <c r="AE398" i="9"/>
  <c r="AD398" i="9"/>
  <c r="AE395" i="9"/>
  <c r="AD395" i="9"/>
  <c r="AE389" i="9"/>
  <c r="AD389" i="9"/>
  <c r="AE386" i="9"/>
  <c r="AD386" i="9"/>
  <c r="AE380" i="9"/>
  <c r="AD380" i="9"/>
  <c r="AE377" i="9"/>
  <c r="AD377" i="9"/>
  <c r="AE374" i="9"/>
  <c r="AD374" i="9"/>
  <c r="AE371" i="9"/>
  <c r="AD371" i="9"/>
  <c r="AE368" i="9"/>
  <c r="AD368" i="9"/>
  <c r="AE365" i="9"/>
  <c r="AD365" i="9"/>
  <c r="AE362" i="9"/>
  <c r="AD362" i="9"/>
  <c r="AE356" i="9"/>
  <c r="AD356" i="9"/>
  <c r="AE353" i="9"/>
  <c r="AD353" i="9"/>
  <c r="AE350" i="9"/>
  <c r="AD350" i="9"/>
  <c r="AE347" i="9"/>
  <c r="AD347" i="9"/>
  <c r="AE341" i="9"/>
  <c r="AD341" i="9"/>
  <c r="AE338" i="9"/>
  <c r="AD338" i="9"/>
  <c r="AE335" i="9"/>
  <c r="AD335" i="9"/>
  <c r="AE332" i="9"/>
  <c r="AD332" i="9"/>
  <c r="AE329" i="9"/>
  <c r="AD329" i="9"/>
  <c r="AE323" i="9"/>
  <c r="AD323" i="9"/>
  <c r="AE320" i="9"/>
  <c r="AD320" i="9"/>
  <c r="AE317" i="9"/>
  <c r="AD317" i="9"/>
  <c r="AE314" i="9"/>
  <c r="AD314" i="9"/>
  <c r="AE311" i="9"/>
  <c r="AD311" i="9"/>
  <c r="AE308" i="9"/>
  <c r="AD308" i="9"/>
  <c r="AE302" i="9"/>
  <c r="AD302" i="9"/>
  <c r="AE299" i="9"/>
  <c r="AD299" i="9"/>
  <c r="AE296" i="9"/>
  <c r="AD296" i="9"/>
  <c r="AE293" i="9"/>
  <c r="AD293" i="9"/>
  <c r="AE290" i="9"/>
  <c r="AD290" i="9"/>
  <c r="AE284" i="9"/>
  <c r="AD284" i="9"/>
  <c r="AE281" i="9"/>
  <c r="AD281" i="9"/>
  <c r="AE278" i="9"/>
  <c r="AD278" i="9"/>
  <c r="AE275" i="9"/>
  <c r="AD275" i="9"/>
  <c r="AE272" i="9"/>
  <c r="AD272" i="9"/>
  <c r="AE269" i="9"/>
  <c r="AD269" i="9"/>
  <c r="AE266" i="9"/>
  <c r="AD266" i="9"/>
  <c r="AE260" i="9"/>
  <c r="AD260" i="9"/>
  <c r="AE257" i="9"/>
  <c r="AD257" i="9"/>
  <c r="AE251" i="9"/>
  <c r="AD251" i="9"/>
  <c r="AE248" i="9"/>
  <c r="AD248" i="9"/>
  <c r="AE245" i="9"/>
  <c r="AD245" i="9"/>
  <c r="AE242" i="9"/>
  <c r="AD242" i="9"/>
  <c r="AE239" i="9"/>
  <c r="AD239" i="9"/>
  <c r="AE236" i="9"/>
  <c r="AD236" i="9"/>
  <c r="AE233" i="9"/>
  <c r="AD233" i="9"/>
  <c r="AE230" i="9"/>
  <c r="AD230" i="9"/>
  <c r="AE224" i="9"/>
  <c r="AD224" i="9"/>
  <c r="AE221" i="9"/>
  <c r="AD221" i="9"/>
  <c r="AE218" i="9"/>
  <c r="AD218" i="9"/>
  <c r="AE212" i="9"/>
  <c r="AD212" i="9"/>
  <c r="AE209" i="9"/>
  <c r="AD209" i="9"/>
  <c r="AE206" i="9"/>
  <c r="AD206" i="9"/>
  <c r="AE203" i="9"/>
  <c r="AD203" i="9"/>
  <c r="AE200" i="9"/>
  <c r="AD200" i="9"/>
  <c r="AE194" i="9"/>
  <c r="AD194" i="9"/>
  <c r="AE191" i="9"/>
  <c r="AD191" i="9"/>
  <c r="AE188" i="9"/>
  <c r="AD188" i="9"/>
  <c r="AE185" i="9"/>
  <c r="AD185" i="9"/>
  <c r="AE182" i="9"/>
  <c r="AD182" i="9"/>
  <c r="AE179" i="9"/>
  <c r="AD179" i="9"/>
  <c r="AE176" i="9"/>
  <c r="AD176" i="9"/>
  <c r="AE173" i="9"/>
  <c r="AD173" i="9"/>
  <c r="AE167" i="9"/>
  <c r="AD167" i="9"/>
  <c r="AE164" i="9"/>
  <c r="AD164" i="9"/>
  <c r="AE161" i="9"/>
  <c r="AD161" i="9"/>
  <c r="AE158" i="9"/>
  <c r="AD158" i="9"/>
  <c r="AE155" i="9"/>
  <c r="AD155" i="9"/>
  <c r="AE152" i="9"/>
  <c r="AD152" i="9"/>
  <c r="AE146" i="9"/>
  <c r="AD146" i="9"/>
  <c r="AE143" i="9"/>
  <c r="AD143" i="9"/>
  <c r="AE140" i="9"/>
  <c r="AD140" i="9"/>
  <c r="AE137" i="9"/>
  <c r="AD137" i="9"/>
  <c r="AE134" i="9"/>
  <c r="AD134" i="9"/>
  <c r="AE125" i="9"/>
  <c r="AD125" i="9"/>
  <c r="AE122" i="9"/>
  <c r="AD122" i="9"/>
  <c r="AE119" i="9"/>
  <c r="AD119" i="9"/>
  <c r="AE113" i="9"/>
  <c r="AD113" i="9"/>
  <c r="AE110" i="9"/>
  <c r="AD110" i="9"/>
  <c r="AE107" i="9"/>
  <c r="AD107" i="9"/>
  <c r="AE101" i="9"/>
  <c r="AD101" i="9"/>
  <c r="AE95" i="9"/>
  <c r="AD95" i="9"/>
  <c r="AE92" i="9"/>
  <c r="AD92" i="9"/>
  <c r="AE89" i="9"/>
  <c r="AD89" i="9"/>
  <c r="AE86" i="9"/>
  <c r="AD86" i="9"/>
  <c r="AE80" i="9"/>
  <c r="AD80" i="9"/>
  <c r="AE77" i="9"/>
  <c r="AD77" i="9"/>
  <c r="AE71" i="9"/>
  <c r="AD71" i="9"/>
  <c r="AE68" i="9"/>
  <c r="AD68" i="9"/>
  <c r="AE62" i="9"/>
  <c r="AD62" i="9"/>
  <c r="AE59" i="9"/>
  <c r="AD59" i="9"/>
  <c r="AE56" i="9"/>
  <c r="AD56" i="9"/>
  <c r="AE53" i="9"/>
  <c r="AD53" i="9"/>
  <c r="AE50" i="9"/>
  <c r="AD50" i="9"/>
  <c r="AE44" i="9"/>
  <c r="AD44" i="9"/>
  <c r="AE41" i="9"/>
  <c r="AD41" i="9"/>
  <c r="AE38" i="9"/>
  <c r="AD38" i="9"/>
  <c r="AE35" i="9"/>
  <c r="AD35" i="9"/>
  <c r="AE29" i="9"/>
  <c r="AD29" i="9"/>
  <c r="AE26" i="9"/>
  <c r="AD26" i="9"/>
  <c r="AE20" i="9"/>
  <c r="AD20" i="9"/>
  <c r="AE17" i="9"/>
  <c r="AD17" i="9"/>
  <c r="AE14" i="9"/>
  <c r="AD14" i="9"/>
  <c r="AC1400" i="9"/>
  <c r="AB1400" i="9"/>
  <c r="AC1397" i="9"/>
  <c r="AB1397" i="9"/>
  <c r="AC1394" i="9"/>
  <c r="AB1394" i="9"/>
  <c r="AC1388" i="9"/>
  <c r="AB1388" i="9"/>
  <c r="AC1385" i="9"/>
  <c r="AB1385" i="9"/>
  <c r="AC1379" i="9"/>
  <c r="AB1379" i="9"/>
  <c r="AC1376" i="9"/>
  <c r="AB1376" i="9"/>
  <c r="AC1373" i="9"/>
  <c r="AB1373" i="9"/>
  <c r="AC1367" i="9"/>
  <c r="AB1367" i="9"/>
  <c r="AC1364" i="9"/>
  <c r="AB1364" i="9"/>
  <c r="AC1361" i="9"/>
  <c r="AB1361" i="9"/>
  <c r="AC1355" i="9"/>
  <c r="AB1355" i="9"/>
  <c r="AC1352" i="9"/>
  <c r="AB1352" i="9"/>
  <c r="AC1349" i="9"/>
  <c r="AB1349" i="9"/>
  <c r="AC1346" i="9"/>
  <c r="AB1346" i="9"/>
  <c r="AC1337" i="9"/>
  <c r="AB1337" i="9"/>
  <c r="AC1331" i="9"/>
  <c r="AB1331" i="9"/>
  <c r="AC1328" i="9"/>
  <c r="AB1328" i="9"/>
  <c r="AC1325" i="9"/>
  <c r="AB1325" i="9"/>
  <c r="AC1319" i="9"/>
  <c r="AB1319" i="9"/>
  <c r="AC1316" i="9"/>
  <c r="AB1316" i="9"/>
  <c r="AC1313" i="9"/>
  <c r="AB1313" i="9"/>
  <c r="AC1307" i="9"/>
  <c r="AB1307" i="9"/>
  <c r="AC1304" i="9"/>
  <c r="AB1304" i="9"/>
  <c r="AC1298" i="9"/>
  <c r="AB1298" i="9"/>
  <c r="AC1292" i="9"/>
  <c r="AB1292" i="9"/>
  <c r="AC1289" i="9"/>
  <c r="AB1289" i="9"/>
  <c r="AC1283" i="9"/>
  <c r="AB1283" i="9"/>
  <c r="AC1280" i="9"/>
  <c r="AB1280" i="9"/>
  <c r="AC1277" i="9"/>
  <c r="AB1277" i="9"/>
  <c r="AC1274" i="9"/>
  <c r="AB1274" i="9"/>
  <c r="AC1268" i="9"/>
  <c r="AB1268" i="9"/>
  <c r="AC1265" i="9"/>
  <c r="AB1265" i="9"/>
  <c r="AC1259" i="9"/>
  <c r="AB1259" i="9"/>
  <c r="AC1256" i="9"/>
  <c r="AB1256" i="9"/>
  <c r="AC1247" i="9"/>
  <c r="AB1247" i="9"/>
  <c r="AC1244" i="9"/>
  <c r="AB1244" i="9"/>
  <c r="AC1241" i="9"/>
  <c r="AB1241" i="9"/>
  <c r="AC1235" i="9"/>
  <c r="AB1235" i="9"/>
  <c r="AC1232" i="9"/>
  <c r="AB1232" i="9"/>
  <c r="AC1229" i="9"/>
  <c r="AB1229" i="9"/>
  <c r="AC1223" i="9"/>
  <c r="AB1223" i="9"/>
  <c r="AC1220" i="9"/>
  <c r="AB1220" i="9"/>
  <c r="AC1214" i="9"/>
  <c r="AB1214" i="9"/>
  <c r="AC1208" i="9"/>
  <c r="AB1208" i="9"/>
  <c r="AC1205" i="9"/>
  <c r="AB1205" i="9"/>
  <c r="AC1202" i="9"/>
  <c r="AB1202" i="9"/>
  <c r="AC1199" i="9"/>
  <c r="AB1199" i="9"/>
  <c r="AC1196" i="9"/>
  <c r="AB1196" i="9"/>
  <c r="AC1193" i="9"/>
  <c r="AB1193" i="9"/>
  <c r="AC1187" i="9"/>
  <c r="AB1187" i="9"/>
  <c r="AC1184" i="9"/>
  <c r="AB1184" i="9"/>
  <c r="AC1181" i="9"/>
  <c r="AB1181" i="9"/>
  <c r="AC1178" i="9"/>
  <c r="AB1178" i="9"/>
  <c r="AC1175" i="9"/>
  <c r="AB1175" i="9"/>
  <c r="AC1169" i="9"/>
  <c r="AB1169" i="9"/>
  <c r="AC1166" i="9"/>
  <c r="AB1166" i="9"/>
  <c r="AC1163" i="9"/>
  <c r="AB1163" i="9"/>
  <c r="AC1160" i="9"/>
  <c r="AB1160" i="9"/>
  <c r="AC1154" i="9"/>
  <c r="AB1154" i="9"/>
  <c r="AC1151" i="9"/>
  <c r="AB1151" i="9"/>
  <c r="AC1148" i="9"/>
  <c r="AB1148" i="9"/>
  <c r="AC1145" i="9"/>
  <c r="AB1145" i="9"/>
  <c r="AC1142" i="9"/>
  <c r="AB1142" i="9"/>
  <c r="AC1136" i="9"/>
  <c r="AB1136" i="9"/>
  <c r="AC1133" i="9"/>
  <c r="AB1133" i="9"/>
  <c r="AC1130" i="9"/>
  <c r="AB1130" i="9"/>
  <c r="AC1127" i="9"/>
  <c r="AB1127" i="9"/>
  <c r="AC1124" i="9"/>
  <c r="AB1124" i="9"/>
  <c r="AC1121" i="9"/>
  <c r="AB1121" i="9"/>
  <c r="AC1118" i="9"/>
  <c r="AB1118" i="9"/>
  <c r="AC1112" i="9"/>
  <c r="AB1112" i="9"/>
  <c r="AC1109" i="9"/>
  <c r="AB1109" i="9"/>
  <c r="AC1106" i="9"/>
  <c r="AB1106" i="9"/>
  <c r="AC1100" i="9"/>
  <c r="AB1100" i="9"/>
  <c r="AC1097" i="9"/>
  <c r="AB1097" i="9"/>
  <c r="AC1094" i="9"/>
  <c r="AB1094" i="9"/>
  <c r="AC1088" i="9"/>
  <c r="AB1088" i="9"/>
  <c r="AC1085" i="9"/>
  <c r="AB1085" i="9"/>
  <c r="AC1082" i="9"/>
  <c r="AB1082" i="9"/>
  <c r="AC1079" i="9"/>
  <c r="AB1079" i="9"/>
  <c r="AC1073" i="9"/>
  <c r="AB1073" i="9"/>
  <c r="AC1070" i="9"/>
  <c r="AB1070" i="9"/>
  <c r="AC1067" i="9"/>
  <c r="AB1067" i="9"/>
  <c r="AC1061" i="9"/>
  <c r="AB1061" i="9"/>
  <c r="AC1058" i="9"/>
  <c r="AB1058" i="9"/>
  <c r="AC1052" i="9"/>
  <c r="AB1052" i="9"/>
  <c r="AC1049" i="9"/>
  <c r="AB1049" i="9"/>
  <c r="AC1046" i="9"/>
  <c r="AB1046" i="9"/>
  <c r="AC1043" i="9"/>
  <c r="AB1043" i="9"/>
  <c r="AC1040" i="9"/>
  <c r="AB1040" i="9"/>
  <c r="AC1031" i="9"/>
  <c r="AB1031" i="9"/>
  <c r="AC1025" i="9"/>
  <c r="AB1025" i="9"/>
  <c r="AC1022" i="9"/>
  <c r="AB1022" i="9"/>
  <c r="AC1016" i="9"/>
  <c r="AB1016" i="9"/>
  <c r="AC1013" i="9"/>
  <c r="AB1013" i="9"/>
  <c r="AC1007" i="9"/>
  <c r="AB1007" i="9"/>
  <c r="AC1004" i="9"/>
  <c r="AB1004" i="9"/>
  <c r="AC1001" i="9"/>
  <c r="AB1001" i="9"/>
  <c r="AC995" i="9"/>
  <c r="AB995" i="9"/>
  <c r="AC992" i="9"/>
  <c r="AB992" i="9"/>
  <c r="AC986" i="9"/>
  <c r="AB986" i="9"/>
  <c r="AC977" i="9"/>
  <c r="AB977" i="9"/>
  <c r="AC971" i="9"/>
  <c r="AB971" i="9"/>
  <c r="AC965" i="9"/>
  <c r="AB965" i="9"/>
  <c r="AC962" i="9"/>
  <c r="AB962" i="9"/>
  <c r="AC956" i="9"/>
  <c r="AB956" i="9"/>
  <c r="AC953" i="9"/>
  <c r="AB953" i="9"/>
  <c r="AC947" i="9"/>
  <c r="AB947" i="9"/>
  <c r="AC944" i="9"/>
  <c r="AB944" i="9"/>
  <c r="AC941" i="9"/>
  <c r="AB941" i="9"/>
  <c r="AC938" i="9"/>
  <c r="AB938" i="9"/>
  <c r="AC932" i="9"/>
  <c r="AB932" i="9"/>
  <c r="AC929" i="9"/>
  <c r="AB929" i="9"/>
  <c r="AC926" i="9"/>
  <c r="AB926" i="9"/>
  <c r="AC920" i="9"/>
  <c r="AB920" i="9"/>
  <c r="AC917" i="9"/>
  <c r="AB917" i="9"/>
  <c r="AC914" i="9"/>
  <c r="AB914" i="9"/>
  <c r="AC908" i="9"/>
  <c r="AB908" i="9"/>
  <c r="AC905" i="9"/>
  <c r="AB905" i="9"/>
  <c r="AC899" i="9"/>
  <c r="AB899" i="9"/>
  <c r="AC896" i="9"/>
  <c r="AB896" i="9"/>
  <c r="AC890" i="9"/>
  <c r="AB890" i="9"/>
  <c r="AC887" i="9"/>
  <c r="AB887" i="9"/>
  <c r="AC881" i="9"/>
  <c r="AB881" i="9"/>
  <c r="AC878" i="9"/>
  <c r="AB878" i="9"/>
  <c r="AC872" i="9"/>
  <c r="AB872" i="9"/>
  <c r="AC869" i="9"/>
  <c r="AB869" i="9"/>
  <c r="AC863" i="9"/>
  <c r="AB863" i="9"/>
  <c r="AC860" i="9"/>
  <c r="AB860" i="9"/>
  <c r="AC857" i="9"/>
  <c r="AB857" i="9"/>
  <c r="AC854" i="9"/>
  <c r="AB854" i="9"/>
  <c r="AC851" i="9"/>
  <c r="AB851" i="9"/>
  <c r="AC845" i="9"/>
  <c r="AB845" i="9"/>
  <c r="AC842" i="9"/>
  <c r="AB842" i="9"/>
  <c r="AC839" i="9"/>
  <c r="AB839" i="9"/>
  <c r="AC833" i="9"/>
  <c r="AB833" i="9"/>
  <c r="AC830" i="9"/>
  <c r="AB830" i="9"/>
  <c r="AC827" i="9"/>
  <c r="AB827" i="9"/>
  <c r="AC824" i="9"/>
  <c r="AB824" i="9"/>
  <c r="AC818" i="9"/>
  <c r="AB818" i="9"/>
  <c r="AC815" i="9"/>
  <c r="AB815" i="9"/>
  <c r="AC812" i="9"/>
  <c r="AB812" i="9"/>
  <c r="AC809" i="9"/>
  <c r="AB809" i="9"/>
  <c r="AC800" i="9"/>
  <c r="AB800" i="9"/>
  <c r="AC794" i="9"/>
  <c r="AB794" i="9"/>
  <c r="AC791" i="9"/>
  <c r="AB791" i="9"/>
  <c r="AC788" i="9"/>
  <c r="AB788" i="9"/>
  <c r="AC782" i="9"/>
  <c r="AB782" i="9"/>
  <c r="AC776" i="9"/>
  <c r="AB776" i="9"/>
  <c r="AC770" i="9"/>
  <c r="AB770" i="9"/>
  <c r="AC767" i="9"/>
  <c r="AB767" i="9"/>
  <c r="AC761" i="9"/>
  <c r="AB761" i="9"/>
  <c r="AC755" i="9"/>
  <c r="AB755" i="9"/>
  <c r="AC749" i="9"/>
  <c r="AB749" i="9"/>
  <c r="AC746" i="9"/>
  <c r="AB746" i="9"/>
  <c r="AC743" i="9"/>
  <c r="AB743" i="9"/>
  <c r="AC737" i="9"/>
  <c r="AB737" i="9"/>
  <c r="AC734" i="9"/>
  <c r="AB734" i="9"/>
  <c r="AC728" i="9"/>
  <c r="AB728" i="9"/>
  <c r="AC725" i="9"/>
  <c r="AB725" i="9"/>
  <c r="AC719" i="9"/>
  <c r="AB719" i="9"/>
  <c r="AC716" i="9"/>
  <c r="AB716" i="9"/>
  <c r="AC713" i="9"/>
  <c r="AB713" i="9"/>
  <c r="AC707" i="9"/>
  <c r="AB707" i="9"/>
  <c r="AC704" i="9"/>
  <c r="AB704" i="9"/>
  <c r="AC701" i="9"/>
  <c r="AB701" i="9"/>
  <c r="AC698" i="9"/>
  <c r="AB698" i="9"/>
  <c r="AC695" i="9"/>
  <c r="AB695" i="9"/>
  <c r="AC689" i="9"/>
  <c r="AB689" i="9"/>
  <c r="AC686" i="9"/>
  <c r="AB686" i="9"/>
  <c r="AC680" i="9"/>
  <c r="AB680" i="9"/>
  <c r="AC677" i="9"/>
  <c r="AB677" i="9"/>
  <c r="AC671" i="9"/>
  <c r="AB671" i="9"/>
  <c r="AC668" i="9"/>
  <c r="AB668" i="9"/>
  <c r="AC662" i="9"/>
  <c r="AB662" i="9"/>
  <c r="AC659" i="9"/>
  <c r="AB659" i="9"/>
  <c r="AC656" i="9"/>
  <c r="AB656" i="9"/>
  <c r="AC653" i="9"/>
  <c r="AB653" i="9"/>
  <c r="AC644" i="9"/>
  <c r="AB644" i="9"/>
  <c r="AC641" i="9"/>
  <c r="AB641" i="9"/>
  <c r="AC635" i="9"/>
  <c r="AB635" i="9"/>
  <c r="AC629" i="9"/>
  <c r="AB629" i="9"/>
  <c r="AC626" i="9"/>
  <c r="AB626" i="9"/>
  <c r="AC623" i="9"/>
  <c r="AB623" i="9"/>
  <c r="AC620" i="9"/>
  <c r="AB620" i="9"/>
  <c r="AC617" i="9"/>
  <c r="AB617" i="9"/>
  <c r="AC611" i="9"/>
  <c r="AB611" i="9"/>
  <c r="AC608" i="9"/>
  <c r="AB608" i="9"/>
  <c r="AC605" i="9"/>
  <c r="AB605" i="9"/>
  <c r="AC602" i="9"/>
  <c r="AB602" i="9"/>
  <c r="AC596" i="9"/>
  <c r="AB596" i="9"/>
  <c r="AC593" i="9"/>
  <c r="AB593" i="9"/>
  <c r="AC590" i="9"/>
  <c r="AB590" i="9"/>
  <c r="AC587" i="9"/>
  <c r="AB587" i="9"/>
  <c r="AC584" i="9"/>
  <c r="AB584" i="9"/>
  <c r="AC581" i="9"/>
  <c r="AB581" i="9"/>
  <c r="AC575" i="9"/>
  <c r="AB575" i="9"/>
  <c r="AC569" i="9"/>
  <c r="AB569" i="9"/>
  <c r="AC566" i="9"/>
  <c r="AB566" i="9"/>
  <c r="AC563" i="9"/>
  <c r="AB563" i="9"/>
  <c r="AC557" i="9"/>
  <c r="AB557" i="9"/>
  <c r="AC554" i="9"/>
  <c r="AB554" i="9"/>
  <c r="AC551" i="9"/>
  <c r="AB551" i="9"/>
  <c r="AC548" i="9"/>
  <c r="AB548" i="9"/>
  <c r="AC545" i="9"/>
  <c r="AB545" i="9"/>
  <c r="AC539" i="9"/>
  <c r="AB539" i="9"/>
  <c r="AC536" i="9"/>
  <c r="AB536" i="9"/>
  <c r="AC533" i="9"/>
  <c r="AB533" i="9"/>
  <c r="AC527" i="9"/>
  <c r="AB527" i="9"/>
  <c r="AC524" i="9"/>
  <c r="AB524" i="9"/>
  <c r="AC521" i="9"/>
  <c r="AB521" i="9"/>
  <c r="AC515" i="9"/>
  <c r="AB515" i="9"/>
  <c r="AC512" i="9"/>
  <c r="AB512" i="9"/>
  <c r="AC506" i="9"/>
  <c r="AB506" i="9"/>
  <c r="AC503" i="9"/>
  <c r="AB503" i="9"/>
  <c r="AC497" i="9"/>
  <c r="AB497" i="9"/>
  <c r="AC494" i="9"/>
  <c r="AB494" i="9"/>
  <c r="AC491" i="9"/>
  <c r="AB491" i="9"/>
  <c r="AC488" i="9"/>
  <c r="AB488" i="9"/>
  <c r="AC482" i="9"/>
  <c r="AB482" i="9"/>
  <c r="AC479" i="9"/>
  <c r="AB479" i="9"/>
  <c r="AC476" i="9"/>
  <c r="AB476" i="9"/>
  <c r="AC470" i="9"/>
  <c r="AB470" i="9"/>
  <c r="AC467" i="9"/>
  <c r="AB467" i="9"/>
  <c r="AC464" i="9"/>
  <c r="AB464" i="9"/>
  <c r="AC458" i="9"/>
  <c r="AB458" i="9"/>
  <c r="AC449" i="9"/>
  <c r="AB449" i="9"/>
  <c r="AC446" i="9"/>
  <c r="AB446" i="9"/>
  <c r="AC440" i="9"/>
  <c r="AB440" i="9"/>
  <c r="AC437" i="9"/>
  <c r="AB437" i="9"/>
  <c r="AC431" i="9"/>
  <c r="AB431" i="9"/>
  <c r="AC428" i="9"/>
  <c r="AB428" i="9"/>
  <c r="AC425" i="9"/>
  <c r="AB425" i="9"/>
  <c r="AC419" i="9"/>
  <c r="AB419" i="9"/>
  <c r="AC416" i="9"/>
  <c r="AB416" i="9"/>
  <c r="AC413" i="9"/>
  <c r="AB413" i="9"/>
  <c r="AC407" i="9"/>
  <c r="AB407" i="9"/>
  <c r="AC404" i="9"/>
  <c r="AB404" i="9"/>
  <c r="AC398" i="9"/>
  <c r="AB398" i="9"/>
  <c r="AC395" i="9"/>
  <c r="AB395" i="9"/>
  <c r="AC389" i="9"/>
  <c r="AB389" i="9"/>
  <c r="AC386" i="9"/>
  <c r="AB386" i="9"/>
  <c r="AC380" i="9"/>
  <c r="AB380" i="9"/>
  <c r="AC377" i="9"/>
  <c r="AB377" i="9"/>
  <c r="AC374" i="9"/>
  <c r="AB374" i="9"/>
  <c r="AC371" i="9"/>
  <c r="AB371" i="9"/>
  <c r="AC368" i="9"/>
  <c r="AB368" i="9"/>
  <c r="AC365" i="9"/>
  <c r="AB365" i="9"/>
  <c r="AC362" i="9"/>
  <c r="AB362" i="9"/>
  <c r="AC356" i="9"/>
  <c r="AB356" i="9"/>
  <c r="AC353" i="9"/>
  <c r="AB353" i="9"/>
  <c r="AC350" i="9"/>
  <c r="AB350" i="9"/>
  <c r="AC347" i="9"/>
  <c r="AB347" i="9"/>
  <c r="AC341" i="9"/>
  <c r="AB341" i="9"/>
  <c r="AC338" i="9"/>
  <c r="AB338" i="9"/>
  <c r="AC335" i="9"/>
  <c r="AB335" i="9"/>
  <c r="AC332" i="9"/>
  <c r="AB332" i="9"/>
  <c r="AC329" i="9"/>
  <c r="AB329" i="9"/>
  <c r="AC323" i="9"/>
  <c r="AB323" i="9"/>
  <c r="AC320" i="9"/>
  <c r="AB320" i="9"/>
  <c r="AC317" i="9"/>
  <c r="AB317" i="9"/>
  <c r="AC314" i="9"/>
  <c r="AB314" i="9"/>
  <c r="AC311" i="9"/>
  <c r="AB311" i="9"/>
  <c r="AC308" i="9"/>
  <c r="AB308" i="9"/>
  <c r="AC302" i="9"/>
  <c r="AB302" i="9"/>
  <c r="AC299" i="9"/>
  <c r="AB299" i="9"/>
  <c r="AC296" i="9"/>
  <c r="AB296" i="9"/>
  <c r="AC293" i="9"/>
  <c r="AB293" i="9"/>
  <c r="AC290" i="9"/>
  <c r="AB290" i="9"/>
  <c r="AC284" i="9"/>
  <c r="AB284" i="9"/>
  <c r="AC281" i="9"/>
  <c r="AB281" i="9"/>
  <c r="AC278" i="9"/>
  <c r="AB278" i="9"/>
  <c r="AC275" i="9"/>
  <c r="AB275" i="9"/>
  <c r="AC272" i="9"/>
  <c r="AB272" i="9"/>
  <c r="AC269" i="9"/>
  <c r="AB269" i="9"/>
  <c r="AC266" i="9"/>
  <c r="AB266" i="9"/>
  <c r="AC260" i="9"/>
  <c r="AB260" i="9"/>
  <c r="AC257" i="9"/>
  <c r="AB257" i="9"/>
  <c r="AC251" i="9"/>
  <c r="AB251" i="9"/>
  <c r="AC248" i="9"/>
  <c r="AB248" i="9"/>
  <c r="AC245" i="9"/>
  <c r="AB245" i="9"/>
  <c r="AC242" i="9"/>
  <c r="AB242" i="9"/>
  <c r="AC239" i="9"/>
  <c r="AB239" i="9"/>
  <c r="AC236" i="9"/>
  <c r="AB236" i="9"/>
  <c r="AC233" i="9"/>
  <c r="AB233" i="9"/>
  <c r="AC230" i="9"/>
  <c r="AB230" i="9"/>
  <c r="AC224" i="9"/>
  <c r="AB224" i="9"/>
  <c r="AC221" i="9"/>
  <c r="AB221" i="9"/>
  <c r="AC218" i="9"/>
  <c r="AB218" i="9"/>
  <c r="AC212" i="9"/>
  <c r="AB212" i="9"/>
  <c r="AC209" i="9"/>
  <c r="AB209" i="9"/>
  <c r="AC206" i="9"/>
  <c r="AB206" i="9"/>
  <c r="AC203" i="9"/>
  <c r="AB203" i="9"/>
  <c r="AC200" i="9"/>
  <c r="AB200" i="9"/>
  <c r="AC194" i="9"/>
  <c r="AB194" i="9"/>
  <c r="AC191" i="9"/>
  <c r="AB191" i="9"/>
  <c r="AC188" i="9"/>
  <c r="AB188" i="9"/>
  <c r="AC185" i="9"/>
  <c r="AB185" i="9"/>
  <c r="AC182" i="9"/>
  <c r="AB182" i="9"/>
  <c r="AC179" i="9"/>
  <c r="AB179" i="9"/>
  <c r="AC176" i="9"/>
  <c r="AB176" i="9"/>
  <c r="AC173" i="9"/>
  <c r="AB173" i="9"/>
  <c r="AC167" i="9"/>
  <c r="AB167" i="9"/>
  <c r="AC164" i="9"/>
  <c r="AB164" i="9"/>
  <c r="AC161" i="9"/>
  <c r="AB161" i="9"/>
  <c r="AC158" i="9"/>
  <c r="AB158" i="9"/>
  <c r="AC155" i="9"/>
  <c r="AB155" i="9"/>
  <c r="AC152" i="9"/>
  <c r="AB152" i="9"/>
  <c r="AC146" i="9"/>
  <c r="AB146" i="9"/>
  <c r="AC143" i="9"/>
  <c r="AB143" i="9"/>
  <c r="AC140" i="9"/>
  <c r="AB140" i="9"/>
  <c r="AC137" i="9"/>
  <c r="AB137" i="9"/>
  <c r="AC134" i="9"/>
  <c r="AB134" i="9"/>
  <c r="AC125" i="9"/>
  <c r="AB125" i="9"/>
  <c r="AC122" i="9"/>
  <c r="AB122" i="9"/>
  <c r="AC119" i="9"/>
  <c r="AB119" i="9"/>
  <c r="AC113" i="9"/>
  <c r="AB113" i="9"/>
  <c r="AC110" i="9"/>
  <c r="AB110" i="9"/>
  <c r="AC107" i="9"/>
  <c r="AB107" i="9"/>
  <c r="AC101" i="9"/>
  <c r="AB101" i="9"/>
  <c r="AC95" i="9"/>
  <c r="AB95" i="9"/>
  <c r="AC92" i="9"/>
  <c r="AB92" i="9"/>
  <c r="AC89" i="9"/>
  <c r="AB89" i="9"/>
  <c r="AC86" i="9"/>
  <c r="AB86" i="9"/>
  <c r="AC80" i="9"/>
  <c r="AB80" i="9"/>
  <c r="AC77" i="9"/>
  <c r="AB77" i="9"/>
  <c r="AC71" i="9"/>
  <c r="AB71" i="9"/>
  <c r="AC68" i="9"/>
  <c r="AB68" i="9"/>
  <c r="AC62" i="9"/>
  <c r="AB62" i="9"/>
  <c r="AC59" i="9"/>
  <c r="AB59" i="9"/>
  <c r="AC56" i="9"/>
  <c r="AB56" i="9"/>
  <c r="AC53" i="9"/>
  <c r="AB53" i="9"/>
  <c r="AC50" i="9"/>
  <c r="AB50" i="9"/>
  <c r="AC44" i="9"/>
  <c r="AB44" i="9"/>
  <c r="AC41" i="9"/>
  <c r="AB41" i="9"/>
  <c r="AC38" i="9"/>
  <c r="AB38" i="9"/>
  <c r="AC35" i="9"/>
  <c r="AB35" i="9"/>
  <c r="AC29" i="9"/>
  <c r="AB29" i="9"/>
  <c r="AC26" i="9"/>
  <c r="AB26" i="9"/>
  <c r="AC20" i="9"/>
  <c r="AB20" i="9"/>
  <c r="AC17" i="9"/>
  <c r="AB17" i="9"/>
  <c r="AC14" i="9"/>
  <c r="AB14" i="9"/>
  <c r="T6" i="1"/>
  <c r="T7" i="1"/>
  <c r="T10" i="1"/>
  <c r="R3" i="1"/>
  <c r="S11" i="1"/>
  <c r="T11" i="1" s="1"/>
  <c r="S10" i="1"/>
  <c r="S9" i="1"/>
  <c r="T9" i="1" s="1"/>
  <c r="S8" i="1"/>
  <c r="T8" i="1" s="1"/>
  <c r="S7" i="1"/>
  <c r="S6" i="1"/>
  <c r="S5" i="1"/>
  <c r="T5" i="1" s="1"/>
  <c r="S4" i="1"/>
  <c r="T4" i="1" s="1"/>
  <c r="S3" i="1"/>
  <c r="R11" i="1"/>
  <c r="R10" i="1"/>
  <c r="R9" i="1"/>
  <c r="R8" i="1"/>
  <c r="R7" i="1"/>
  <c r="R6" i="1"/>
  <c r="R5" i="1"/>
  <c r="R4" i="1"/>
  <c r="S2" i="1"/>
  <c r="T2" i="1" s="1"/>
  <c r="R2" i="1"/>
  <c r="R12" i="1" s="1"/>
  <c r="Q7" i="1"/>
  <c r="Q8" i="1"/>
  <c r="Q9" i="1"/>
  <c r="P2" i="1"/>
  <c r="Q2" i="1" s="1"/>
  <c r="P3" i="1"/>
  <c r="Q3" i="1" s="1"/>
  <c r="P4" i="1"/>
  <c r="Q4" i="1" s="1"/>
  <c r="P5" i="1"/>
  <c r="Q5" i="1" s="1"/>
  <c r="P6" i="1"/>
  <c r="Q6" i="1" s="1"/>
  <c r="P7" i="1"/>
  <c r="P8" i="1"/>
  <c r="P9" i="1"/>
  <c r="P10" i="1"/>
  <c r="P11" i="1"/>
  <c r="Q11" i="1" s="1"/>
  <c r="O11" i="1"/>
  <c r="O10" i="1"/>
  <c r="Q10" i="1" s="1"/>
  <c r="O9" i="1"/>
  <c r="O8" i="1"/>
  <c r="O7" i="1"/>
  <c r="O6" i="1"/>
  <c r="O5" i="1"/>
  <c r="O4" i="1"/>
  <c r="O3" i="1"/>
  <c r="O2" i="1"/>
  <c r="O12" i="1" s="1"/>
  <c r="R1408" i="9" l="1"/>
  <c r="N1406" i="9"/>
  <c r="N1408" i="9" s="1"/>
  <c r="Q1406" i="9"/>
  <c r="R1409" i="9" s="1"/>
  <c r="N1409" i="9"/>
  <c r="P12" i="1"/>
  <c r="Q12" i="1" s="1"/>
  <c r="S12" i="1"/>
  <c r="T12" i="1" s="1"/>
  <c r="T3" i="1"/>
</calcChain>
</file>

<file path=xl/sharedStrings.xml><?xml version="1.0" encoding="utf-8"?>
<sst xmlns="http://schemas.openxmlformats.org/spreadsheetml/2006/main" count="8753" uniqueCount="534">
  <si>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</si>
  <si>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</si>
  <si>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</si>
  <si>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</si>
  <si>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</si>
  <si>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</si>
  <si>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</si>
  <si>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</si>
  <si>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</si>
  <si>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</si>
  <si>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</si>
  <si>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</si>
  <si>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</si>
  <si>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</si>
  <si>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Villa Zudáñez</t>
  </si>
  <si>
    <t>Presto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</si>
  <si>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</si>
  <si>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</si>
  <si>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</si>
  <si>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</si>
  <si>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</si>
  <si>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</si>
  <si>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</si>
  <si>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</si>
  <si>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</si>
  <si>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</si>
  <si>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</si>
  <si>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</si>
  <si>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</si>
  <si>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</si>
  <si>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</si>
  <si>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</si>
  <si>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</si>
  <si>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</si>
  <si>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</si>
  <si>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</si>
  <si>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</si>
  <si>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</si>
  <si>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</si>
  <si>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</si>
  <si>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</si>
  <si>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</si>
  <si>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</si>
  <si>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</si>
  <si>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</si>
  <si>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</si>
  <si>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</si>
  <si>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</si>
  <si>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</si>
  <si>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</si>
  <si>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</si>
  <si>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</si>
  <si>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</si>
  <si>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</si>
  <si>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</si>
  <si>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</si>
  <si>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Chua Cocani</t>
  </si>
  <si>
    <t>Huarina</t>
  </si>
  <si>
    <t>Santiago de Huata</t>
  </si>
  <si>
    <t>Huatajata</t>
  </si>
  <si>
    <t>Pacajes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</si>
  <si>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</si>
  <si>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</si>
  <si>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</si>
  <si>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</si>
  <si>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</si>
  <si>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</si>
  <si>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</si>
  <si>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</si>
  <si>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</si>
  <si>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</si>
  <si>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</si>
  <si>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</si>
  <si>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</si>
  <si>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</si>
  <si>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</si>
  <si>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</si>
  <si>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</si>
  <si>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</si>
  <si>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</si>
  <si>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</si>
  <si>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</si>
  <si>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</si>
  <si>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</si>
  <si>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</si>
  <si>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</si>
  <si>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</si>
  <si>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</si>
  <si>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</si>
  <si>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</si>
  <si>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</si>
  <si>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</si>
  <si>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</si>
  <si>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</si>
  <si>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</si>
  <si>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</si>
  <si>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</si>
  <si>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</si>
  <si>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</si>
  <si>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</si>
  <si>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</si>
  <si>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</si>
  <si>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</si>
  <si>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</si>
  <si>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</si>
  <si>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</si>
  <si>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</si>
  <si>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</si>
  <si>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</si>
  <si>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</si>
  <si>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</si>
  <si>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</si>
  <si>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</si>
  <si>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</si>
  <si>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</si>
  <si>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</si>
  <si>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</si>
  <si>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</si>
  <si>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</si>
  <si>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</si>
  <si>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</si>
  <si>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</si>
  <si>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</si>
  <si>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</si>
  <si>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</si>
  <si>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</si>
  <si>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</si>
  <si>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</si>
  <si>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</si>
  <si>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</si>
  <si>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</si>
  <si>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</si>
  <si>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</si>
  <si>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</si>
  <si>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</si>
  <si>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</si>
  <si>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</si>
  <si>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</si>
  <si>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</si>
  <si>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</si>
  <si>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</si>
  <si>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</si>
  <si>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</si>
  <si>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</si>
  <si>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</si>
  <si>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</si>
  <si>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</si>
  <si>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</si>
  <si>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</si>
  <si>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</si>
  <si>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</si>
  <si>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</si>
  <si>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</si>
  <si>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</si>
  <si>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</si>
  <si>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</si>
  <si>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</si>
  <si>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</si>
  <si>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</si>
  <si>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</si>
  <si>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</si>
  <si>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</si>
  <si>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</si>
  <si>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</si>
  <si>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</si>
  <si>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</si>
  <si>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</si>
  <si>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</si>
  <si>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</si>
  <si>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</si>
  <si>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</si>
  <si>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</si>
  <si>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</si>
  <si>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</si>
  <si>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</si>
  <si>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</si>
  <si>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</si>
  <si>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</si>
  <si>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</si>
  <si>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</si>
  <si>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</si>
  <si>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</si>
  <si>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</si>
  <si>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</si>
  <si>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</si>
  <si>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</si>
  <si>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</si>
  <si>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</si>
  <si>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</si>
  <si>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</si>
  <si>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</si>
  <si>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</si>
  <si>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</si>
  <si>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</si>
  <si>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</si>
  <si>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</si>
  <si>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</si>
  <si>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</si>
  <si>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</si>
  <si>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</si>
  <si>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</si>
  <si>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</si>
  <si>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</si>
  <si>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</si>
  <si>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</si>
  <si>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</si>
  <si>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</si>
  <si>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</si>
  <si>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</si>
  <si>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</si>
  <si>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</si>
  <si>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</si>
  <si>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</si>
  <si>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</si>
  <si>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</si>
  <si>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</si>
  <si>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</si>
  <si>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</si>
  <si>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</si>
  <si>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</si>
  <si>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</si>
  <si>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</si>
  <si>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</si>
  <si>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</si>
  <si>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</si>
  <si>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</si>
  <si>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</si>
  <si>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</si>
  <si>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</si>
  <si>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</si>
  <si>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</si>
  <si>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</si>
  <si>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</si>
  <si>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</si>
  <si>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</si>
  <si>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</si>
  <si>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</si>
  <si>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</si>
  <si>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</si>
  <si>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</si>
  <si>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</si>
  <si>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</si>
  <si>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</si>
  <si>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</si>
  <si>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</si>
  <si>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</si>
  <si>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</si>
  <si>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</si>
  <si>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</si>
  <si>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</si>
  <si>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</si>
  <si>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</si>
  <si>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</si>
  <si>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</si>
  <si>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</si>
  <si>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</si>
  <si>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</si>
  <si>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</si>
  <si>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</si>
  <si>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</si>
  <si>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</si>
  <si>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</si>
  <si>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</si>
  <si>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</si>
  <si>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</si>
  <si>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</si>
  <si>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</si>
  <si>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</si>
  <si>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</si>
  <si>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</si>
  <si>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</si>
  <si>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</si>
  <si>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</si>
  <si>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</si>
  <si>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</si>
  <si>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</si>
  <si>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</si>
  <si>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</si>
  <si>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</si>
  <si>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</si>
  <si>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</si>
  <si>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</si>
  <si>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</si>
  <si>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</si>
  <si>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</si>
  <si>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</si>
  <si>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</si>
  <si>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</si>
  <si>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</si>
  <si>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</si>
  <si>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</si>
  <si>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</si>
  <si>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</si>
  <si>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</si>
  <si>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</si>
  <si>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</si>
  <si>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</si>
  <si>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</si>
  <si>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</si>
  <si>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</si>
  <si>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</si>
  <si>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</si>
  <si>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</si>
  <si>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</si>
  <si>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</si>
  <si>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</si>
  <si>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</si>
  <si>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</si>
  <si>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</si>
  <si>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</si>
  <si>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</si>
  <si>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</si>
  <si>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</si>
  <si>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</si>
  <si>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</si>
  <si>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</si>
  <si>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</si>
  <si>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</si>
  <si>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</si>
  <si>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</si>
  <si>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</si>
  <si>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</si>
  <si>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</si>
  <si>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</si>
  <si>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</si>
  <si>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</si>
  <si>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</si>
  <si>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</si>
  <si>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</si>
  <si>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</si>
  <si>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</si>
  <si>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</si>
  <si>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</si>
  <si>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</si>
  <si>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</si>
  <si>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</si>
  <si>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</si>
  <si>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</si>
  <si>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</si>
  <si>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</si>
  <si>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</si>
  <si>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</si>
  <si>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</si>
  <si>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</si>
  <si>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</si>
  <si>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</si>
  <si>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</si>
  <si>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</si>
  <si>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</si>
  <si>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</si>
  <si>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</si>
  <si>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</si>
  <si>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</si>
  <si>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</si>
  <si>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</si>
  <si>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</si>
  <si>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</si>
  <si>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</si>
  <si>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</si>
  <si>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</si>
  <si>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</si>
  <si>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</si>
  <si>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</si>
  <si>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</si>
  <si>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</si>
  <si>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</si>
  <si>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</si>
  <si>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</si>
  <si>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</si>
  <si>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</si>
  <si>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</si>
  <si>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</si>
  <si>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</si>
  <si>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</si>
  <si>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</si>
  <si>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</si>
  <si>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</si>
  <si>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</si>
  <si>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</si>
  <si>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</si>
  <si>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</si>
  <si>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</si>
  <si>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</si>
  <si>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</si>
  <si>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</si>
  <si>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</si>
  <si>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</si>
  <si>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</si>
  <si>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</si>
  <si>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</si>
  <si>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</si>
  <si>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</si>
  <si>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</si>
  <si>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</si>
  <si>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</si>
  <si>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</si>
  <si>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</si>
  <si>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</si>
  <si>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</si>
  <si>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</si>
  <si>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</si>
  <si>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</si>
  <si>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</si>
  <si>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</si>
  <si>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</si>
  <si>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</si>
  <si>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</si>
  <si>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</si>
  <si>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</si>
  <si>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</si>
  <si>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</si>
  <si>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</si>
  <si>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</si>
  <si>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</si>
  <si>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</si>
  <si>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</si>
  <si>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</si>
  <si>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</si>
  <si>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</si>
  <si>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</si>
  <si>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</si>
  <si>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</si>
  <si>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</si>
  <si>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</si>
  <si>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</si>
  <si>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</si>
  <si>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</si>
  <si>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</si>
  <si>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</si>
  <si>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</si>
  <si>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</si>
  <si>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</si>
  <si>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</si>
  <si>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</si>
  <si>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</si>
  <si>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</si>
  <si>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</si>
  <si>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</si>
  <si>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</si>
  <si>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</si>
  <si>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</si>
  <si>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</si>
  <si>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</si>
  <si>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</si>
  <si>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</si>
  <si>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</si>
  <si>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</si>
  <si>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</si>
  <si>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</si>
  <si>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</si>
  <si>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</si>
  <si>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</si>
  <si>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</si>
  <si>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</si>
  <si>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</si>
  <si>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</si>
  <si>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</si>
  <si>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</si>
  <si>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</si>
  <si>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</si>
  <si>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</si>
  <si>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</si>
  <si>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</si>
  <si>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</si>
  <si>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</si>
  <si>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</si>
  <si>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</si>
  <si>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</si>
  <si>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</si>
  <si>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</si>
  <si>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</si>
  <si>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</si>
  <si>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</si>
  <si>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</si>
  <si>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</si>
  <si>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Codigo_MUN</t>
  </si>
  <si>
    <t>Mojocoya</t>
  </si>
  <si>
    <t>Huacareta</t>
  </si>
  <si>
    <t>Huacaya (Autonomía Guaraní Chaqueño de Huacaya)</t>
  </si>
  <si>
    <t>Waldo Ballivián</t>
  </si>
  <si>
    <t>Sicasica</t>
  </si>
  <si>
    <t>Charazani</t>
  </si>
  <si>
    <t>Santiváñez</t>
  </si>
  <si>
    <t>Bolívar</t>
  </si>
  <si>
    <t>Salinas de Garci Mendoza (Autonomía Indígena Originario Campesina de Salinas)</t>
  </si>
  <si>
    <t>Uru Chipaya (Nación Originaria Uru Chipaya)</t>
  </si>
  <si>
    <t>Vitichi</t>
  </si>
  <si>
    <t>TIOC-Jatun Ayllu Yura</t>
  </si>
  <si>
    <t>Charagua (Autonomía Guaraní Charagua Iyambae)</t>
  </si>
  <si>
    <t>Gutiérrez (Autonomía Indígena Kereimba Iyaambae)</t>
  </si>
  <si>
    <t>Pampagrande</t>
  </si>
  <si>
    <t>Puerto Suárez</t>
  </si>
  <si>
    <t>TIOC-Territorio Indígena Multiétnico</t>
  </si>
  <si>
    <t>Total de viviendas 2012</t>
  </si>
  <si>
    <t>Viviendas con hacinamiento 2012</t>
  </si>
  <si>
    <t>Tasa de hacinamiento 2012 (%)</t>
  </si>
  <si>
    <t>Total de viviendas 2024</t>
  </si>
  <si>
    <t>Viviendas con hacinamiento 2024</t>
  </si>
  <si>
    <t>Tasa de hacinamiento 2024 (%)</t>
  </si>
  <si>
    <t>Tasa_de_hacinamiento_2012_%</t>
  </si>
  <si>
    <t>Tasa_de_hacinamiento_2024_%</t>
  </si>
  <si>
    <t>Viviendas_con_hacinamiento_2012</t>
  </si>
  <si>
    <t>Viviendas_con_hacinamiento_2024</t>
  </si>
  <si>
    <t>Tasa de hacinamiento</t>
  </si>
  <si>
    <t>DEPTO</t>
  </si>
  <si>
    <t>Bolivia</t>
  </si>
  <si>
    <t>N°</t>
  </si>
  <si>
    <t>NIVEL</t>
  </si>
  <si>
    <t>DEPARTAMENTO</t>
  </si>
  <si>
    <t>PROVINCIA</t>
  </si>
  <si>
    <t>MUNICIPIO/TIOC</t>
  </si>
  <si>
    <t>ÁREA</t>
  </si>
  <si>
    <t>NÚMERO DE VIVIENDAS</t>
  </si>
  <si>
    <t>DISTRIBUCIÓN PORCENTUAL</t>
  </si>
  <si>
    <t>Total</t>
  </si>
  <si>
    <t>Sin hacinamiento</t>
  </si>
  <si>
    <t>Hacinamiento medio</t>
  </si>
  <si>
    <t>Con hacinamiento alto</t>
  </si>
  <si>
    <t>País</t>
  </si>
  <si>
    <t>Urbana</t>
  </si>
  <si>
    <t>Rural</t>
  </si>
  <si>
    <t>Municipio/TIOC</t>
  </si>
  <si>
    <t>Sud Cinti</t>
  </si>
  <si>
    <t>Sur Yungas</t>
  </si>
  <si>
    <t>Charcas</t>
  </si>
  <si>
    <t>Nor Lípez</t>
  </si>
  <si>
    <t>Sur Lípez</t>
  </si>
  <si>
    <t>General Bernardino Bilbao</t>
  </si>
  <si>
    <t>Avilez</t>
  </si>
  <si>
    <t>Valle Grande</t>
  </si>
  <si>
    <t>Obispo Santisteban</t>
  </si>
  <si>
    <t>Ñuflo de Chávez</t>
  </si>
  <si>
    <t>Ángel Sandoval</t>
  </si>
  <si>
    <t>Territorio Indígena Multiétnico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</si>
</sst>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5D8CAF"/>
        <bgColor indexed="64"/>
      </patternFill>
    </fill>
    <fill>
      <patternFill patternType="solid">
        <fgColor rgb="FF729CB7"/>
        <bgColor indexed="64"/>
      </patternFill>
    </fill>
    <fill>
      <patternFill patternType="solid">
        <fgColor rgb="FF9CC2D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8ECE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62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0" fillId="0" borderId="1" xfId="0" applyNumberFormat="1" applyBorder="1"/>
    <xf numFmtId="0" fontId="6" fillId="8" borderId="1" xfId="0" applyFont="1" applyFill="1" applyBorder="1" applyAlignment="1">
      <alignment horizontal="center" vertical="center" wrapText="1"/>
    </xf>
    <xf numFmtId="165" fontId="6" fillId="8" borderId="1" xfId="0" applyNumberFormat="1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2" xfId="0" applyFont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indent="3"/>
    </xf>
    <xf numFmtId="0" fontId="7" fillId="0" borderId="1" xfId="0" applyFont="1" applyBorder="1"/>
    <xf numFmtId="1" fontId="7" fillId="2" borderId="1" xfId="0" applyNumberFormat="1" applyFont="1" applyFill="1" applyBorder="1" applyAlignment="1">
      <alignment horizontal="left" indent="3"/>
    </xf>
    <xf numFmtId="165" fontId="7" fillId="2" borderId="1" xfId="0" applyNumberFormat="1" applyFont="1" applyFill="1" applyBorder="1" applyAlignment="1">
      <alignment horizontal="left" indent="3"/>
    </xf>
    <xf numFmtId="0" fontId="8" fillId="9" borderId="2" xfId="0" applyFont="1" applyFill="1" applyBorder="1" applyAlignment="1">
      <alignment horizontal="right" vertical="center"/>
    </xf>
    <xf numFmtId="0" fontId="8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 indent="1"/>
    </xf>
    <xf numFmtId="3" fontId="8" fillId="9" borderId="2" xfId="0" applyNumberFormat="1" applyFont="1" applyFill="1" applyBorder="1" applyAlignment="1">
      <alignment horizontal="right" vertical="center"/>
    </xf>
    <xf numFmtId="165" fontId="8" fillId="9" borderId="2" xfId="0" applyNumberFormat="1" applyFont="1" applyFill="1" applyBorder="1" applyAlignment="1">
      <alignment horizontal="right" vertical="center"/>
    </xf>
    <xf numFmtId="165" fontId="0" fillId="0" borderId="0" xfId="0" applyNumberFormat="1"/>
    <xf numFmtId="0" fontId="8" fillId="2" borderId="3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 indent="2"/>
    </xf>
    <xf numFmtId="3" fontId="8" fillId="2" borderId="3" xfId="0" applyNumberFormat="1" applyFont="1" applyFill="1" applyBorder="1" applyAlignment="1">
      <alignment horizontal="right" vertical="center"/>
    </xf>
    <xf numFmtId="165" fontId="8" fillId="2" borderId="3" xfId="0" applyNumberFormat="1" applyFont="1" applyFill="1" applyBorder="1" applyAlignment="1">
      <alignment horizontal="right" vertical="center"/>
    </xf>
    <xf numFmtId="0" fontId="8" fillId="10" borderId="3" xfId="0" applyFont="1" applyFill="1" applyBorder="1" applyAlignment="1">
      <alignment horizontal="right" vertical="center"/>
    </xf>
    <xf numFmtId="0" fontId="8" fillId="1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horizontal="left" vertical="center" indent="2"/>
    </xf>
    <xf numFmtId="3" fontId="8" fillId="10" borderId="3" xfId="0" applyNumberFormat="1" applyFont="1" applyFill="1" applyBorder="1" applyAlignment="1">
      <alignment horizontal="right" vertical="center"/>
    </xf>
    <xf numFmtId="165" fontId="8" fillId="10" borderId="3" xfId="0" applyNumberFormat="1" applyFont="1" applyFill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7" fillId="0" borderId="3" xfId="0" applyFont="1" applyBorder="1" applyAlignment="1">
      <alignment vertical="center"/>
    </xf>
    <xf numFmtId="0" fontId="7" fillId="11" borderId="3" xfId="0" applyFont="1" applyFill="1" applyBorder="1" applyAlignment="1">
      <alignment horizontal="left" vertical="center" indent="3"/>
    </xf>
    <xf numFmtId="3" fontId="7" fillId="11" borderId="3" xfId="0" applyNumberFormat="1" applyFont="1" applyFill="1" applyBorder="1" applyAlignment="1">
      <alignment horizontal="right" vertical="center"/>
    </xf>
    <xf numFmtId="165" fontId="7" fillId="11" borderId="3" xfId="0" applyNumberFormat="1" applyFont="1" applyFill="1" applyBorder="1" applyAlignment="1">
      <alignment horizontal="right" vertical="center"/>
    </xf>
    <xf numFmtId="0" fontId="7" fillId="12" borderId="3" xfId="0" applyFont="1" applyFill="1" applyBorder="1" applyAlignment="1">
      <alignment horizontal="right" vertical="center"/>
    </xf>
    <xf numFmtId="0" fontId="7" fillId="12" borderId="3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 indent="3"/>
    </xf>
    <xf numFmtId="3" fontId="7" fillId="12" borderId="3" xfId="0" applyNumberFormat="1" applyFont="1" applyFill="1" applyBorder="1" applyAlignment="1">
      <alignment horizontal="right" vertical="center"/>
    </xf>
    <xf numFmtId="165" fontId="7" fillId="12" borderId="3" xfId="0" applyNumberFormat="1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left" vertical="center" indent="4"/>
    </xf>
    <xf numFmtId="0" fontId="8" fillId="2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vertical="center"/>
    </xf>
    <xf numFmtId="1" fontId="7" fillId="12" borderId="3" xfId="0" applyNumberFormat="1" applyFont="1" applyFill="1" applyBorder="1" applyAlignment="1">
      <alignment vertical="center"/>
    </xf>
    <xf numFmtId="1" fontId="7" fillId="12" borderId="3" xfId="0" applyNumberFormat="1" applyFont="1" applyFill="1" applyBorder="1" applyAlignment="1">
      <alignment horizontal="left" vertical="center" indent="3"/>
    </xf>
    <xf numFmtId="0" fontId="7" fillId="0" borderId="4" xfId="0" applyFont="1" applyBorder="1" applyAlignment="1">
      <alignment horizontal="right" vertical="center"/>
    </xf>
    <xf numFmtId="0" fontId="7" fillId="0" borderId="4" xfId="0" applyFont="1" applyBorder="1" applyAlignment="1">
      <alignment vertical="center"/>
    </xf>
    <xf numFmtId="0" fontId="7" fillId="11" borderId="4" xfId="0" applyFont="1" applyFill="1" applyBorder="1" applyAlignment="1">
      <alignment horizontal="left" vertical="center" indent="4"/>
    </xf>
    <xf numFmtId="3" fontId="7" fillId="11" borderId="4" xfId="0" applyNumberFormat="1" applyFont="1" applyFill="1" applyBorder="1" applyAlignment="1">
      <alignment horizontal="right" vertical="center"/>
    </xf>
    <xf numFmtId="165" fontId="7" fillId="11" borderId="4" xfId="0" applyNumberFormat="1" applyFont="1" applyFill="1" applyBorder="1" applyAlignment="1">
      <alignment horizontal="right" vertical="center"/>
    </xf>
    <xf numFmtId="3" fontId="0" fillId="0" borderId="0" xfId="0" applyNumberFormat="1"/>
    <xf numFmtId="0" fontId="6" fillId="8" borderId="1" xfId="0" applyFont="1" applyFill="1" applyBorder="1" applyAlignment="1">
      <alignment horizontal="center" vertical="center" wrapText="1"/>
    </xf>
    <xf numFmtId="165" fontId="6" fillId="8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/>
    <xf numFmtId="164" fontId="0" fillId="0" borderId="0" xfId="0" applyNumberFormat="1"/>
  </cellXfs>
  <cellStyles count="2">
    <cellStyle name="Normal" xfId="0" builtinId="0"/>
    <cellStyle name="Normal 5" xfId="1" xr:uid="{FE9A07AF-313A-4EEC-93A6-04B13174B0E0}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E8B2F-7E33-4DCD-83B2-863AC140C0CE}">
  <dimension ref="A1:T344"/>
  <sheetViews>
    <sheetView workbookViewId="0">
      <selection activeCell="S20" sqref="S20"/>
    </sheetView>
  </sheetViews>
  <sheetFormatPr baseColWidth="10" defaultRowHeight="14.4" x14ac:dyDescent="0.3"/>
  <cols>
    <col min="4" max="4" width="21.332031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475</v>
      </c>
      <c r="F1" s="3" t="s">
        <v>493</v>
      </c>
      <c r="G1" s="3" t="s">
        <v>494</v>
      </c>
      <c r="H1" s="3" t="s">
        <v>495</v>
      </c>
      <c r="I1" s="3" t="s">
        <v>496</v>
      </c>
      <c r="J1" s="3" t="s">
        <v>497</v>
      </c>
      <c r="K1" s="3" t="s">
        <v>498</v>
      </c>
      <c r="N1" s="1" t="s">
        <v>504</v>
      </c>
      <c r="O1" s="3" t="s">
        <v>493</v>
      </c>
      <c r="P1" s="3" t="s">
        <v>494</v>
      </c>
      <c r="Q1" s="3" t="s">
        <v>495</v>
      </c>
      <c r="R1" s="3" t="s">
        <v>496</v>
      </c>
      <c r="S1" s="3" t="s">
        <v>497</v>
      </c>
      <c r="T1" s="3" t="s">
        <v>498</v>
      </c>
    </row>
    <row r="2" spans="1:20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3">
        <v>69789</v>
      </c>
      <c r="G2" s="4">
        <v>22742</v>
      </c>
      <c r="H2" s="3">
        <v>32.586795806884766</v>
      </c>
      <c r="I2" s="3">
        <v>92224</v>
      </c>
      <c r="J2" s="5">
        <v>18802</v>
      </c>
      <c r="K2" s="5">
        <v>20.387317657470703</v>
      </c>
      <c r="N2" s="11" t="s">
        <v>4</v>
      </c>
      <c r="O2" s="1">
        <f>SUM(F2:F30)</f>
        <v>150084</v>
      </c>
      <c r="P2" s="1">
        <f>SUM(G2:G30)</f>
        <v>63358</v>
      </c>
      <c r="Q2" s="1">
        <f>P2/O2*100</f>
        <v>42.215026251965568</v>
      </c>
      <c r="R2" s="1">
        <f>SUM(I2:I30)</f>
        <v>184174</v>
      </c>
      <c r="S2" s="1">
        <f>SUM(J2:J30)</f>
        <v>50683</v>
      </c>
      <c r="T2" s="1">
        <f>S2/R2*100</f>
        <v>27.519085212896499</v>
      </c>
    </row>
    <row r="3" spans="1:20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3">
        <v>2644</v>
      </c>
      <c r="G3" s="4">
        <v>879</v>
      </c>
      <c r="H3" s="3">
        <v>33.245082855224609</v>
      </c>
      <c r="I3" s="3">
        <v>3040</v>
      </c>
      <c r="J3" s="5">
        <v>681</v>
      </c>
      <c r="K3" s="5">
        <v>22.401315689086914</v>
      </c>
      <c r="N3" s="11" t="s">
        <v>46</v>
      </c>
      <c r="O3" s="1">
        <f>SUM(F31:F117)</f>
        <v>852163</v>
      </c>
      <c r="P3" s="1">
        <f>SUM(G31:G117)</f>
        <v>269534</v>
      </c>
      <c r="Q3" s="1">
        <f t="shared" ref="Q3:Q12" si="0">P3/O3*100</f>
        <v>31.62939484582175</v>
      </c>
      <c r="R3" s="1">
        <f>SUM(I31:I117)</f>
        <v>1065700</v>
      </c>
      <c r="S3" s="1">
        <f>SUM(J31:J117)</f>
        <v>234080</v>
      </c>
      <c r="T3" s="1">
        <f t="shared" ref="T3:T12" si="1">S3/R3*100</f>
        <v>21.964905695786808</v>
      </c>
    </row>
    <row r="4" spans="1:20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3">
        <v>4894</v>
      </c>
      <c r="G4" s="4">
        <v>2491</v>
      </c>
      <c r="H4" s="3">
        <v>50.899059295654297</v>
      </c>
      <c r="I4" s="3">
        <v>4626</v>
      </c>
      <c r="J4" s="5">
        <v>1638</v>
      </c>
      <c r="K4" s="5">
        <v>35.408561706542969</v>
      </c>
      <c r="N4" s="11" t="s">
        <v>157</v>
      </c>
      <c r="O4" s="1">
        <f>SUM(F118:F165)</f>
        <v>524144</v>
      </c>
      <c r="P4" s="1">
        <f>SUM(G118:G165)</f>
        <v>164730</v>
      </c>
      <c r="Q4" s="1">
        <f t="shared" si="0"/>
        <v>31.428386092371564</v>
      </c>
      <c r="R4" s="1">
        <f>SUM(I118:I165)</f>
        <v>672810</v>
      </c>
      <c r="S4" s="1">
        <f>SUM(J118:J165)</f>
        <v>139804</v>
      </c>
      <c r="T4" s="1">
        <f t="shared" si="1"/>
        <v>20.779120405463651</v>
      </c>
    </row>
    <row r="5" spans="1:20" x14ac:dyDescent="0.3">
      <c r="A5" s="1" t="s">
        <v>4</v>
      </c>
      <c r="B5" s="1" t="s">
        <v>9</v>
      </c>
      <c r="C5" s="1" t="s">
        <v>9</v>
      </c>
      <c r="D5" s="1" t="s">
        <v>10</v>
      </c>
      <c r="E5" s="2">
        <v>10201</v>
      </c>
      <c r="F5" s="3">
        <v>2538</v>
      </c>
      <c r="G5" s="4">
        <v>1522</v>
      </c>
      <c r="H5" s="3">
        <v>59.968479156494141</v>
      </c>
      <c r="I5" s="3">
        <v>2428</v>
      </c>
      <c r="J5" s="5">
        <v>926</v>
      </c>
      <c r="K5" s="5">
        <v>38.138385772705078</v>
      </c>
      <c r="N5" s="11" t="s">
        <v>217</v>
      </c>
      <c r="O5" s="1">
        <f>SUM(F166:F200)</f>
        <v>151957</v>
      </c>
      <c r="P5" s="1">
        <f>SUM(G166:G200)</f>
        <v>55020</v>
      </c>
      <c r="Q5" s="1">
        <f t="shared" si="0"/>
        <v>36.207611363741059</v>
      </c>
      <c r="R5" s="1">
        <f>SUM(I166:I200)</f>
        <v>190106</v>
      </c>
      <c r="S5" s="1">
        <f>SUM(J166:J200)</f>
        <v>52406</v>
      </c>
      <c r="T5" s="1">
        <f t="shared" si="1"/>
        <v>27.566725931848545</v>
      </c>
    </row>
    <row r="6" spans="1:20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3">
        <v>3417</v>
      </c>
      <c r="G6" s="4">
        <v>1967</v>
      </c>
      <c r="H6" s="3">
        <v>57.565116882324219</v>
      </c>
      <c r="I6" s="3">
        <v>4578</v>
      </c>
      <c r="J6" s="5">
        <v>2111</v>
      </c>
      <c r="K6" s="5">
        <v>46.111839294433594</v>
      </c>
      <c r="N6" s="11" t="s">
        <v>267</v>
      </c>
      <c r="O6" s="1">
        <f>SUM(F201:F242)</f>
        <v>257555</v>
      </c>
      <c r="P6" s="1">
        <f>SUM(G201:G242)</f>
        <v>102965</v>
      </c>
      <c r="Q6" s="1">
        <f t="shared" si="0"/>
        <v>39.977868804721325</v>
      </c>
      <c r="R6" s="1">
        <f>SUM(I201:I242)</f>
        <v>301598</v>
      </c>
      <c r="S6" s="1">
        <f>SUM(J201:J242)</f>
        <v>79615</v>
      </c>
      <c r="T6" s="1">
        <f t="shared" si="1"/>
        <v>26.397721470301526</v>
      </c>
    </row>
    <row r="7" spans="1:20" x14ac:dyDescent="0.3">
      <c r="A7" s="1" t="s">
        <v>4</v>
      </c>
      <c r="B7" s="1" t="s">
        <v>13</v>
      </c>
      <c r="C7" s="1" t="s">
        <v>13</v>
      </c>
      <c r="D7" s="1" t="s">
        <v>14</v>
      </c>
      <c r="E7" s="2">
        <v>10301</v>
      </c>
      <c r="F7" s="3">
        <v>2586</v>
      </c>
      <c r="G7" s="4">
        <v>1451</v>
      </c>
      <c r="H7" s="3">
        <v>56.109821319580078</v>
      </c>
      <c r="I7" s="3">
        <v>3174</v>
      </c>
      <c r="J7" s="5">
        <v>1705</v>
      </c>
      <c r="K7" s="5">
        <v>53.717704772949219</v>
      </c>
      <c r="N7" s="11" t="s">
        <v>332</v>
      </c>
      <c r="O7" s="1">
        <f>SUM(F243:F253)</f>
        <v>126169</v>
      </c>
      <c r="P7" s="1">
        <f>SUM(G243:G253)</f>
        <v>47308</v>
      </c>
      <c r="Q7" s="1">
        <f t="shared" si="0"/>
        <v>37.495739841006902</v>
      </c>
      <c r="R7" s="1">
        <f>SUM(I243:I253)</f>
        <v>159797</v>
      </c>
      <c r="S7" s="1">
        <f>SUM(J243:J253)</f>
        <v>40233</v>
      </c>
      <c r="T7" s="1">
        <f t="shared" si="1"/>
        <v>25.177569040720414</v>
      </c>
    </row>
    <row r="8" spans="1:20" x14ac:dyDescent="0.3">
      <c r="A8" s="1" t="s">
        <v>4</v>
      </c>
      <c r="B8" s="1" t="s">
        <v>13</v>
      </c>
      <c r="C8" s="1" t="s">
        <v>15</v>
      </c>
      <c r="D8" s="1" t="s">
        <v>15</v>
      </c>
      <c r="E8" s="2">
        <v>10302</v>
      </c>
      <c r="F8" s="3">
        <v>2717</v>
      </c>
      <c r="G8" s="4">
        <v>1618</v>
      </c>
      <c r="H8" s="3">
        <v>59.550975799560547</v>
      </c>
      <c r="I8" s="3">
        <v>3240</v>
      </c>
      <c r="J8" s="5">
        <v>1608</v>
      </c>
      <c r="K8" s="5">
        <v>49.629631042480469</v>
      </c>
      <c r="N8" s="11" t="s">
        <v>349</v>
      </c>
      <c r="O8" s="1">
        <f>SUM(F254:F309)</f>
        <v>644534</v>
      </c>
      <c r="P8" s="1">
        <f>SUM(G254:G309)</f>
        <v>271314</v>
      </c>
      <c r="Q8" s="1">
        <f t="shared" si="0"/>
        <v>42.094598578197584</v>
      </c>
      <c r="R8" s="1">
        <f>SUM(I254:I309)</f>
        <v>873073</v>
      </c>
      <c r="S8" s="1">
        <f>SUM(J254:J309)</f>
        <v>260320</v>
      </c>
      <c r="T8" s="1">
        <f t="shared" si="1"/>
        <v>29.816521642520154</v>
      </c>
    </row>
    <row r="9" spans="1:20" x14ac:dyDescent="0.3">
      <c r="A9" s="1" t="s">
        <v>4</v>
      </c>
      <c r="B9" s="1" t="s">
        <v>13</v>
      </c>
      <c r="C9" s="1" t="s">
        <v>476</v>
      </c>
      <c r="D9" s="1" t="s">
        <v>16</v>
      </c>
      <c r="E9" s="2">
        <v>10303</v>
      </c>
      <c r="F9" s="3">
        <v>1981</v>
      </c>
      <c r="G9" s="4">
        <v>1102</v>
      </c>
      <c r="H9" s="3">
        <v>55.628471374511719</v>
      </c>
      <c r="I9" s="3">
        <v>2541</v>
      </c>
      <c r="J9" s="5">
        <v>1089</v>
      </c>
      <c r="K9" s="5">
        <v>42.857143402099609</v>
      </c>
      <c r="N9" s="11" t="s">
        <v>418</v>
      </c>
      <c r="O9" s="1">
        <f>SUM(F310:F329)</f>
        <v>97896</v>
      </c>
      <c r="P9" s="1">
        <f>SUM(G310:G329)</f>
        <v>47181</v>
      </c>
      <c r="Q9" s="1">
        <f t="shared" si="0"/>
        <v>48.195023290022064</v>
      </c>
      <c r="R9" s="1">
        <f>SUM(I310:I329)</f>
        <v>125613</v>
      </c>
      <c r="S9" s="1">
        <f>SUM(J310:J329)</f>
        <v>45506</v>
      </c>
      <c r="T9" s="1">
        <f t="shared" si="1"/>
        <v>36.227142095165313</v>
      </c>
    </row>
    <row r="10" spans="1:20" x14ac:dyDescent="0.3">
      <c r="A10" s="1" t="s">
        <v>4</v>
      </c>
      <c r="B10" s="1" t="s">
        <v>13</v>
      </c>
      <c r="C10" s="1" t="s">
        <v>17</v>
      </c>
      <c r="D10" s="1" t="s">
        <v>17</v>
      </c>
      <c r="E10" s="2">
        <v>10304</v>
      </c>
      <c r="F10" s="3">
        <v>1829</v>
      </c>
      <c r="G10" s="4">
        <v>957</v>
      </c>
      <c r="H10" s="3">
        <v>52.323673248291016</v>
      </c>
      <c r="I10" s="3">
        <v>2623</v>
      </c>
      <c r="J10" s="5">
        <v>999</v>
      </c>
      <c r="K10" s="5">
        <v>38.086162567138672</v>
      </c>
      <c r="N10" s="11" t="s">
        <v>444</v>
      </c>
      <c r="O10" s="1">
        <f>SUM(F330:F344)</f>
        <v>25354</v>
      </c>
      <c r="P10" s="1">
        <f>SUM(G330:G344)</f>
        <v>12658</v>
      </c>
      <c r="Q10" s="1">
        <f t="shared" si="0"/>
        <v>49.925061134337781</v>
      </c>
      <c r="R10" s="1">
        <f>SUM(I330:I344)</f>
        <v>34706</v>
      </c>
      <c r="S10" s="1">
        <f>SUM(J330:J344)</f>
        <v>12493</v>
      </c>
      <c r="T10" s="1">
        <f t="shared" si="1"/>
        <v>35.996657638448681</v>
      </c>
    </row>
    <row r="11" spans="1:20" x14ac:dyDescent="0.3">
      <c r="A11" s="1" t="s">
        <v>4</v>
      </c>
      <c r="B11" s="1" t="s">
        <v>18</v>
      </c>
      <c r="C11" s="1" t="s">
        <v>19</v>
      </c>
      <c r="D11" s="1" t="s">
        <v>19</v>
      </c>
      <c r="E11" s="2">
        <v>10401</v>
      </c>
      <c r="F11" s="3">
        <v>2808</v>
      </c>
      <c r="G11" s="4">
        <v>1357</v>
      </c>
      <c r="H11" s="3">
        <v>48.326210021972656</v>
      </c>
      <c r="I11" s="3">
        <v>3178</v>
      </c>
      <c r="J11" s="5">
        <v>871</v>
      </c>
      <c r="K11" s="5">
        <v>27.407175064086914</v>
      </c>
      <c r="N11" s="11" t="s">
        <v>336</v>
      </c>
      <c r="O11" s="1">
        <f>SUM(F246:F248)</f>
        <v>36405</v>
      </c>
      <c r="P11" s="1">
        <f>SUM(G246:G248)</f>
        <v>14626</v>
      </c>
      <c r="Q11" s="1">
        <f t="shared" si="0"/>
        <v>40.175800027468753</v>
      </c>
      <c r="R11" s="1">
        <f>SUM(I246:I248)</f>
        <v>45854</v>
      </c>
      <c r="S11" s="1">
        <f>SUM(J246:J248)</f>
        <v>12928</v>
      </c>
      <c r="T11" s="1">
        <f t="shared" si="1"/>
        <v>28.193832599118945</v>
      </c>
    </row>
    <row r="12" spans="1:20" x14ac:dyDescent="0.3">
      <c r="A12" s="1" t="s">
        <v>4</v>
      </c>
      <c r="B12" s="1" t="s">
        <v>18</v>
      </c>
      <c r="C12" s="1" t="s">
        <v>18</v>
      </c>
      <c r="D12" s="1" t="s">
        <v>20</v>
      </c>
      <c r="E12" s="2">
        <v>10402</v>
      </c>
      <c r="F12" s="3">
        <v>2111</v>
      </c>
      <c r="G12" s="4">
        <v>1116</v>
      </c>
      <c r="H12" s="3">
        <v>52.865940093994141</v>
      </c>
      <c r="I12" s="3">
        <v>2240</v>
      </c>
      <c r="J12" s="5">
        <v>835</v>
      </c>
      <c r="K12" s="5">
        <v>37.276786804199219</v>
      </c>
      <c r="N12" s="11" t="s">
        <v>505</v>
      </c>
      <c r="O12" s="1">
        <f>SUM(O2:O10)</f>
        <v>2829856</v>
      </c>
      <c r="P12" s="1">
        <f>SUM(P2:P10)</f>
        <v>1034068</v>
      </c>
      <c r="Q12" s="1">
        <f t="shared" si="0"/>
        <v>36.541364648943272</v>
      </c>
      <c r="R12" s="1">
        <f>SUM(R2:R10)</f>
        <v>3607577</v>
      </c>
      <c r="S12" s="1">
        <f>SUM(S2:S10)</f>
        <v>915140</v>
      </c>
      <c r="T12" s="1">
        <f t="shared" si="1"/>
        <v>25.367164720254067</v>
      </c>
    </row>
    <row r="13" spans="1:20" x14ac:dyDescent="0.3">
      <c r="A13" s="1" t="s">
        <v>4</v>
      </c>
      <c r="B13" s="1" t="s">
        <v>18</v>
      </c>
      <c r="C13" s="1" t="s">
        <v>21</v>
      </c>
      <c r="D13" s="1" t="s">
        <v>22</v>
      </c>
      <c r="E13" s="2">
        <v>10403</v>
      </c>
      <c r="F13" s="3">
        <v>2009</v>
      </c>
      <c r="G13" s="4">
        <v>960</v>
      </c>
      <c r="H13" s="3">
        <v>47.784969329833984</v>
      </c>
      <c r="I13" s="3">
        <v>2082</v>
      </c>
      <c r="J13" s="5">
        <v>691</v>
      </c>
      <c r="K13" s="5">
        <v>33.189239501953125</v>
      </c>
    </row>
    <row r="14" spans="1:20" x14ac:dyDescent="0.3">
      <c r="A14" s="1" t="s">
        <v>4</v>
      </c>
      <c r="B14" s="1" t="s">
        <v>18</v>
      </c>
      <c r="C14" s="1" t="s">
        <v>23</v>
      </c>
      <c r="D14" s="1" t="s">
        <v>23</v>
      </c>
      <c r="E14" s="2">
        <v>10404</v>
      </c>
      <c r="F14" s="3">
        <v>1072</v>
      </c>
      <c r="G14" s="4">
        <v>613</v>
      </c>
      <c r="H14" s="3">
        <v>57.182834625244141</v>
      </c>
      <c r="I14" s="3">
        <v>1185</v>
      </c>
      <c r="J14" s="5">
        <v>349</v>
      </c>
      <c r="K14" s="5">
        <v>29.45147705078125</v>
      </c>
    </row>
    <row r="15" spans="1:20" x14ac:dyDescent="0.3">
      <c r="A15" s="1" t="s">
        <v>4</v>
      </c>
      <c r="B15" s="1" t="s">
        <v>18</v>
      </c>
      <c r="C15" s="1" t="s">
        <v>24</v>
      </c>
      <c r="D15" s="1" t="s">
        <v>24</v>
      </c>
      <c r="E15" s="2">
        <v>10405</v>
      </c>
      <c r="F15" s="3">
        <v>1212</v>
      </c>
      <c r="G15" s="4">
        <v>576</v>
      </c>
      <c r="H15" s="3">
        <v>47.524753570556641</v>
      </c>
      <c r="I15" s="3">
        <v>1436</v>
      </c>
      <c r="J15" s="5">
        <v>676</v>
      </c>
      <c r="K15" s="5">
        <v>47.075210571289063</v>
      </c>
    </row>
    <row r="16" spans="1:20" x14ac:dyDescent="0.3">
      <c r="A16" s="1" t="s">
        <v>4</v>
      </c>
      <c r="B16" s="1" t="s">
        <v>25</v>
      </c>
      <c r="C16" s="1" t="s">
        <v>26</v>
      </c>
      <c r="D16" s="1" t="s">
        <v>26</v>
      </c>
      <c r="E16" s="2">
        <v>10501</v>
      </c>
      <c r="F16" s="3">
        <v>6079</v>
      </c>
      <c r="G16" s="4">
        <v>2849</v>
      </c>
      <c r="H16" s="3">
        <v>46.866260528564453</v>
      </c>
      <c r="I16" s="3">
        <v>7721</v>
      </c>
      <c r="J16" s="5">
        <v>2190</v>
      </c>
      <c r="K16" s="5">
        <v>28.364200592041016</v>
      </c>
    </row>
    <row r="17" spans="1:11" x14ac:dyDescent="0.3">
      <c r="A17" s="1" t="s">
        <v>4</v>
      </c>
      <c r="B17" s="1" t="s">
        <v>25</v>
      </c>
      <c r="C17" s="1" t="s">
        <v>477</v>
      </c>
      <c r="D17" s="1" t="s">
        <v>27</v>
      </c>
      <c r="E17" s="2">
        <v>10502</v>
      </c>
      <c r="F17" s="3">
        <v>2079</v>
      </c>
      <c r="G17" s="4">
        <v>1020</v>
      </c>
      <c r="H17" s="3">
        <v>49.062049865722656</v>
      </c>
      <c r="I17" s="3">
        <v>2285</v>
      </c>
      <c r="J17" s="5">
        <v>713</v>
      </c>
      <c r="K17" s="5">
        <v>31.203500747680664</v>
      </c>
    </row>
    <row r="18" spans="1:11" x14ac:dyDescent="0.3">
      <c r="A18" s="1" t="s">
        <v>4</v>
      </c>
      <c r="B18" s="1" t="s">
        <v>28</v>
      </c>
      <c r="C18" s="1" t="s">
        <v>29</v>
      </c>
      <c r="D18" s="1" t="s">
        <v>29</v>
      </c>
      <c r="E18" s="2">
        <v>10601</v>
      </c>
      <c r="F18" s="3">
        <v>4384</v>
      </c>
      <c r="G18" s="4">
        <v>2100</v>
      </c>
      <c r="H18" s="3">
        <v>47.901458740234375</v>
      </c>
      <c r="I18" s="3">
        <v>4257</v>
      </c>
      <c r="J18" s="5">
        <v>1172</v>
      </c>
      <c r="K18" s="5">
        <v>27.531126022338867</v>
      </c>
    </row>
    <row r="19" spans="1:11" x14ac:dyDescent="0.3">
      <c r="A19" s="1" t="s">
        <v>4</v>
      </c>
      <c r="B19" s="1" t="s">
        <v>28</v>
      </c>
      <c r="C19" s="1" t="s">
        <v>28</v>
      </c>
      <c r="D19" s="1" t="s">
        <v>28</v>
      </c>
      <c r="E19" s="2">
        <v>10602</v>
      </c>
      <c r="F19" s="3">
        <v>2948</v>
      </c>
      <c r="G19" s="4">
        <v>1215</v>
      </c>
      <c r="H19" s="3">
        <v>41.214382171630859</v>
      </c>
      <c r="I19" s="3">
        <v>3038</v>
      </c>
      <c r="J19" s="5">
        <v>820</v>
      </c>
      <c r="K19" s="5">
        <v>26.99144172668457</v>
      </c>
    </row>
    <row r="20" spans="1:11" x14ac:dyDescent="0.3">
      <c r="A20" s="1" t="s">
        <v>4</v>
      </c>
      <c r="B20" s="1" t="s">
        <v>30</v>
      </c>
      <c r="C20" s="1" t="s">
        <v>31</v>
      </c>
      <c r="D20" s="1" t="s">
        <v>31</v>
      </c>
      <c r="E20" s="2">
        <v>10701</v>
      </c>
      <c r="F20" s="3">
        <v>4319</v>
      </c>
      <c r="G20" s="4">
        <v>1761</v>
      </c>
      <c r="H20" s="3">
        <v>40.773326873779297</v>
      </c>
      <c r="I20" s="3">
        <v>5024</v>
      </c>
      <c r="J20" s="5">
        <v>1261</v>
      </c>
      <c r="K20" s="5">
        <v>25.099521636962891</v>
      </c>
    </row>
    <row r="21" spans="1:11" x14ac:dyDescent="0.3">
      <c r="A21" s="1" t="s">
        <v>4</v>
      </c>
      <c r="B21" s="1" t="s">
        <v>30</v>
      </c>
      <c r="C21" s="1" t="s">
        <v>32</v>
      </c>
      <c r="D21" s="1" t="s">
        <v>32</v>
      </c>
      <c r="E21" s="2">
        <v>10702</v>
      </c>
      <c r="F21" s="3">
        <v>7992</v>
      </c>
      <c r="G21" s="4">
        <v>4181</v>
      </c>
      <c r="H21" s="3">
        <v>52.314815521240234</v>
      </c>
      <c r="I21" s="3">
        <v>8564</v>
      </c>
      <c r="J21" s="5">
        <v>2723</v>
      </c>
      <c r="K21" s="5">
        <v>31.795888900756836</v>
      </c>
    </row>
    <row r="22" spans="1:11" x14ac:dyDescent="0.3">
      <c r="A22" s="1" t="s">
        <v>4</v>
      </c>
      <c r="B22" s="1" t="s">
        <v>30</v>
      </c>
      <c r="C22" s="1" t="s">
        <v>33</v>
      </c>
      <c r="D22" s="1" t="s">
        <v>33</v>
      </c>
      <c r="E22" s="2">
        <v>10703</v>
      </c>
      <c r="F22" s="3">
        <v>2769</v>
      </c>
      <c r="G22" s="4">
        <v>1761</v>
      </c>
      <c r="H22" s="3">
        <v>63.596965789794922</v>
      </c>
      <c r="I22" s="3">
        <v>4044</v>
      </c>
      <c r="J22" s="5">
        <v>1903</v>
      </c>
      <c r="K22" s="5">
        <v>47.057369232177734</v>
      </c>
    </row>
    <row r="23" spans="1:11" x14ac:dyDescent="0.3">
      <c r="A23" s="1" t="s">
        <v>4</v>
      </c>
      <c r="B23" s="1" t="s">
        <v>30</v>
      </c>
      <c r="C23" s="1" t="s">
        <v>34</v>
      </c>
      <c r="D23" s="1" t="s">
        <v>34</v>
      </c>
      <c r="E23" s="2">
        <v>10704</v>
      </c>
      <c r="F23" s="3">
        <v>3469</v>
      </c>
      <c r="G23" s="4">
        <v>2207</v>
      </c>
      <c r="H23" s="3">
        <v>63.620639801025391</v>
      </c>
      <c r="I23" s="3">
        <v>3974</v>
      </c>
      <c r="J23" s="5">
        <v>1552</v>
      </c>
      <c r="K23" s="5">
        <v>39.053848266601563</v>
      </c>
    </row>
    <row r="24" spans="1:11" x14ac:dyDescent="0.3">
      <c r="A24" s="1" t="s">
        <v>4</v>
      </c>
      <c r="B24" s="1" t="s">
        <v>35</v>
      </c>
      <c r="C24" s="1" t="s">
        <v>36</v>
      </c>
      <c r="D24" s="1" t="s">
        <v>36</v>
      </c>
      <c r="E24" s="2">
        <v>10801</v>
      </c>
      <c r="F24" s="3">
        <v>3196</v>
      </c>
      <c r="G24" s="4">
        <v>1461</v>
      </c>
      <c r="H24" s="3">
        <v>45.713390350341797</v>
      </c>
      <c r="I24" s="3">
        <v>3176</v>
      </c>
      <c r="J24" s="5">
        <v>805</v>
      </c>
      <c r="K24" s="5">
        <v>25.346347808837891</v>
      </c>
    </row>
    <row r="25" spans="1:11" x14ac:dyDescent="0.3">
      <c r="A25" s="1" t="s">
        <v>4</v>
      </c>
      <c r="B25" s="1" t="s">
        <v>37</v>
      </c>
      <c r="C25" s="1" t="s">
        <v>38</v>
      </c>
      <c r="D25" s="1" t="s">
        <v>38</v>
      </c>
      <c r="E25" s="2">
        <v>10901</v>
      </c>
      <c r="F25" s="3">
        <v>959</v>
      </c>
      <c r="G25" s="4">
        <v>425</v>
      </c>
      <c r="H25" s="3">
        <v>44.316997528076172</v>
      </c>
      <c r="I25" s="3">
        <v>1364</v>
      </c>
      <c r="J25" s="5">
        <v>567</v>
      </c>
      <c r="K25" s="5">
        <v>41.568916320800781</v>
      </c>
    </row>
    <row r="26" spans="1:11" x14ac:dyDescent="0.3">
      <c r="A26" s="1" t="s">
        <v>4</v>
      </c>
      <c r="B26" s="1" t="s">
        <v>37</v>
      </c>
      <c r="C26" s="1" t="s">
        <v>39</v>
      </c>
      <c r="D26" s="1" t="s">
        <v>39</v>
      </c>
      <c r="E26" s="2">
        <v>10902</v>
      </c>
      <c r="F26" s="3">
        <v>4337</v>
      </c>
      <c r="G26" s="4">
        <v>2275</v>
      </c>
      <c r="H26" s="3">
        <v>52.455615997314453</v>
      </c>
      <c r="I26" s="3">
        <v>4633</v>
      </c>
      <c r="J26" s="5">
        <v>1502</v>
      </c>
      <c r="K26" s="5">
        <v>32.419597625732422</v>
      </c>
    </row>
    <row r="27" spans="1:11" x14ac:dyDescent="0.3">
      <c r="A27" s="1" t="s">
        <v>4</v>
      </c>
      <c r="B27" s="1" t="s">
        <v>37</v>
      </c>
      <c r="C27" s="1" t="s">
        <v>40</v>
      </c>
      <c r="D27" s="1" t="s">
        <v>40</v>
      </c>
      <c r="E27" s="2">
        <v>10903</v>
      </c>
      <c r="F27" s="3">
        <v>1060</v>
      </c>
      <c r="G27" s="4">
        <v>484</v>
      </c>
      <c r="H27" s="3">
        <v>45.660377502441406</v>
      </c>
      <c r="I27" s="3">
        <v>1277</v>
      </c>
      <c r="J27" s="5">
        <v>513</v>
      </c>
      <c r="K27" s="5">
        <v>40.172279357910156</v>
      </c>
    </row>
    <row r="28" spans="1:11" x14ac:dyDescent="0.3">
      <c r="A28" s="1" t="s">
        <v>4</v>
      </c>
      <c r="B28" s="1" t="s">
        <v>41</v>
      </c>
      <c r="C28" s="1" t="s">
        <v>42</v>
      </c>
      <c r="D28" s="1" t="s">
        <v>42</v>
      </c>
      <c r="E28" s="2">
        <v>11001</v>
      </c>
      <c r="F28" s="3">
        <v>2532</v>
      </c>
      <c r="G28" s="4">
        <v>1179</v>
      </c>
      <c r="H28" s="3">
        <v>46.563980102539063</v>
      </c>
      <c r="I28" s="3">
        <v>3134</v>
      </c>
      <c r="J28" s="5">
        <v>1136</v>
      </c>
      <c r="K28" s="5">
        <v>36.247608184814453</v>
      </c>
    </row>
    <row r="29" spans="1:11" x14ac:dyDescent="0.3">
      <c r="A29" s="1" t="s">
        <v>4</v>
      </c>
      <c r="B29" s="1" t="s">
        <v>41</v>
      </c>
      <c r="C29" s="1" t="s">
        <v>478</v>
      </c>
      <c r="D29" s="1" t="s">
        <v>43</v>
      </c>
      <c r="E29" s="2">
        <v>11002</v>
      </c>
      <c r="F29" s="3">
        <v>603</v>
      </c>
      <c r="G29" s="4">
        <v>317</v>
      </c>
      <c r="H29" s="3">
        <v>52.570480346679688</v>
      </c>
      <c r="I29" s="3">
        <v>815</v>
      </c>
      <c r="J29" s="5">
        <v>259</v>
      </c>
      <c r="K29" s="5">
        <v>31.779140472412109</v>
      </c>
    </row>
    <row r="30" spans="1:11" x14ac:dyDescent="0.3">
      <c r="A30" s="1" t="s">
        <v>4</v>
      </c>
      <c r="B30" s="1" t="s">
        <v>41</v>
      </c>
      <c r="C30" s="1" t="s">
        <v>44</v>
      </c>
      <c r="D30" s="1" t="s">
        <v>45</v>
      </c>
      <c r="E30" s="2">
        <v>11003</v>
      </c>
      <c r="F30" s="3">
        <v>1751</v>
      </c>
      <c r="G30" s="4">
        <v>772</v>
      </c>
      <c r="H30" s="3">
        <v>44.089092254638672</v>
      </c>
      <c r="I30" s="3">
        <v>2273</v>
      </c>
      <c r="J30" s="5">
        <v>586</v>
      </c>
      <c r="K30" s="5">
        <v>25.780906677246094</v>
      </c>
    </row>
    <row r="31" spans="1:11" x14ac:dyDescent="0.3">
      <c r="A31" s="1" t="s">
        <v>46</v>
      </c>
      <c r="B31" s="1" t="s">
        <v>47</v>
      </c>
      <c r="C31" s="1" t="s">
        <v>48</v>
      </c>
      <c r="D31" s="1" t="s">
        <v>48</v>
      </c>
      <c r="E31" s="2">
        <v>20101</v>
      </c>
      <c r="F31" s="3">
        <v>226280</v>
      </c>
      <c r="G31" s="4">
        <v>57708</v>
      </c>
      <c r="H31" s="3">
        <v>25.50291633605957</v>
      </c>
      <c r="I31" s="3">
        <v>250278</v>
      </c>
      <c r="J31" s="5">
        <v>37574</v>
      </c>
      <c r="K31" s="5">
        <v>15.012906074523926</v>
      </c>
    </row>
    <row r="32" spans="1:11" x14ac:dyDescent="0.3">
      <c r="A32" s="1" t="s">
        <v>46</v>
      </c>
      <c r="B32" s="1" t="s">
        <v>47</v>
      </c>
      <c r="C32" s="1" t="s">
        <v>49</v>
      </c>
      <c r="D32" s="1" t="s">
        <v>49</v>
      </c>
      <c r="E32" s="2">
        <v>20102</v>
      </c>
      <c r="F32" s="3">
        <v>4852</v>
      </c>
      <c r="G32" s="4">
        <v>2033</v>
      </c>
      <c r="H32" s="3">
        <v>41.900245666503906</v>
      </c>
      <c r="I32" s="3">
        <v>7554</v>
      </c>
      <c r="J32" s="5">
        <v>2343</v>
      </c>
      <c r="K32" s="5">
        <v>31.016679763793945</v>
      </c>
    </row>
    <row r="33" spans="1:11" x14ac:dyDescent="0.3">
      <c r="A33" s="1" t="s">
        <v>46</v>
      </c>
      <c r="B33" s="1" t="s">
        <v>47</v>
      </c>
      <c r="C33" s="1" t="s">
        <v>50</v>
      </c>
      <c r="D33" s="1" t="s">
        <v>50</v>
      </c>
      <c r="E33" s="2">
        <v>20103</v>
      </c>
      <c r="F33" s="3">
        <v>4835</v>
      </c>
      <c r="G33" s="4">
        <v>1542</v>
      </c>
      <c r="H33" s="3">
        <v>31.892450332641602</v>
      </c>
      <c r="I33" s="3">
        <v>6825</v>
      </c>
      <c r="J33" s="5">
        <v>1594</v>
      </c>
      <c r="K33" s="5">
        <v>23.355310440063477</v>
      </c>
    </row>
    <row r="34" spans="1:11" x14ac:dyDescent="0.3">
      <c r="A34" s="1" t="s">
        <v>46</v>
      </c>
      <c r="B34" s="1" t="s">
        <v>47</v>
      </c>
      <c r="C34" s="1" t="s">
        <v>51</v>
      </c>
      <c r="D34" s="1" t="s">
        <v>51</v>
      </c>
      <c r="E34" s="2">
        <v>20104</v>
      </c>
      <c r="F34" s="3">
        <v>7081</v>
      </c>
      <c r="G34" s="4">
        <v>2255</v>
      </c>
      <c r="H34" s="3">
        <v>31.845785140991211</v>
      </c>
      <c r="I34" s="3">
        <v>16232</v>
      </c>
      <c r="J34" s="5">
        <v>3652</v>
      </c>
      <c r="K34" s="5">
        <v>22.498767852783203</v>
      </c>
    </row>
    <row r="35" spans="1:11" x14ac:dyDescent="0.3">
      <c r="A35" s="1" t="s">
        <v>46</v>
      </c>
      <c r="B35" s="1" t="s">
        <v>47</v>
      </c>
      <c r="C35" s="1" t="s">
        <v>52</v>
      </c>
      <c r="D35" s="1" t="s">
        <v>52</v>
      </c>
      <c r="E35" s="2">
        <v>20105</v>
      </c>
      <c r="F35" s="3">
        <v>256721</v>
      </c>
      <c r="G35" s="4">
        <v>84601</v>
      </c>
      <c r="H35" s="3">
        <v>32.954452514648438</v>
      </c>
      <c r="I35" s="3">
        <v>297256</v>
      </c>
      <c r="J35" s="5">
        <v>61492</v>
      </c>
      <c r="K35" s="5">
        <v>20.686546325683594</v>
      </c>
    </row>
    <row r="36" spans="1:11" x14ac:dyDescent="0.3">
      <c r="A36" s="1" t="s">
        <v>46</v>
      </c>
      <c r="B36" s="1" t="s">
        <v>53</v>
      </c>
      <c r="C36" s="1" t="s">
        <v>54</v>
      </c>
      <c r="D36" s="1" t="s">
        <v>54</v>
      </c>
      <c r="E36" s="2">
        <v>20201</v>
      </c>
      <c r="F36" s="3">
        <v>16227</v>
      </c>
      <c r="G36" s="4">
        <v>4694</v>
      </c>
      <c r="H36" s="3">
        <v>28.927097320556641</v>
      </c>
      <c r="I36" s="3">
        <v>18206</v>
      </c>
      <c r="J36" s="5">
        <v>3792</v>
      </c>
      <c r="K36" s="5">
        <v>20.828298568725586</v>
      </c>
    </row>
    <row r="37" spans="1:11" x14ac:dyDescent="0.3">
      <c r="A37" s="1" t="s">
        <v>46</v>
      </c>
      <c r="B37" s="1" t="s">
        <v>53</v>
      </c>
      <c r="C37" s="1" t="s">
        <v>55</v>
      </c>
      <c r="D37" s="1" t="s">
        <v>55</v>
      </c>
      <c r="E37" s="2">
        <v>20202</v>
      </c>
      <c r="F37" s="3">
        <v>5026</v>
      </c>
      <c r="G37" s="4">
        <v>1400</v>
      </c>
      <c r="H37" s="3">
        <v>27.855154037475586</v>
      </c>
      <c r="I37" s="3">
        <v>6683</v>
      </c>
      <c r="J37" s="5">
        <v>1661</v>
      </c>
      <c r="K37" s="5">
        <v>24.854106903076172</v>
      </c>
    </row>
    <row r="38" spans="1:11" x14ac:dyDescent="0.3">
      <c r="A38" s="1" t="s">
        <v>46</v>
      </c>
      <c r="B38" s="1" t="s">
        <v>53</v>
      </c>
      <c r="C38" s="1" t="s">
        <v>56</v>
      </c>
      <c r="D38" s="1" t="s">
        <v>56</v>
      </c>
      <c r="E38" s="2">
        <v>20203</v>
      </c>
      <c r="F38" s="3">
        <v>2031</v>
      </c>
      <c r="G38" s="4">
        <v>475</v>
      </c>
      <c r="H38" s="3">
        <v>23.387493133544922</v>
      </c>
      <c r="I38" s="3">
        <v>2625</v>
      </c>
      <c r="J38" s="5">
        <v>620</v>
      </c>
      <c r="K38" s="5">
        <v>23.619047164916992</v>
      </c>
    </row>
    <row r="39" spans="1:11" x14ac:dyDescent="0.3">
      <c r="A39" s="1" t="s">
        <v>46</v>
      </c>
      <c r="B39" s="1" t="s">
        <v>53</v>
      </c>
      <c r="C39" s="1" t="s">
        <v>57</v>
      </c>
      <c r="D39" s="1" t="s">
        <v>57</v>
      </c>
      <c r="E39" s="2">
        <v>20204</v>
      </c>
      <c r="F39" s="3">
        <v>3296</v>
      </c>
      <c r="G39" s="4">
        <v>717</v>
      </c>
      <c r="H39" s="3">
        <v>21.753641128540039</v>
      </c>
      <c r="I39" s="3">
        <v>3926</v>
      </c>
      <c r="J39" s="5">
        <v>624</v>
      </c>
      <c r="K39" s="5">
        <v>15.894040107727051</v>
      </c>
    </row>
    <row r="40" spans="1:11" x14ac:dyDescent="0.3">
      <c r="A40" s="1" t="s">
        <v>46</v>
      </c>
      <c r="B40" s="1" t="s">
        <v>53</v>
      </c>
      <c r="C40" s="1" t="s">
        <v>58</v>
      </c>
      <c r="D40" s="1" t="s">
        <v>58</v>
      </c>
      <c r="E40" s="2">
        <v>20205</v>
      </c>
      <c r="F40" s="3">
        <v>3797</v>
      </c>
      <c r="G40" s="4">
        <v>711</v>
      </c>
      <c r="H40" s="3">
        <v>18.725309371948242</v>
      </c>
      <c r="I40" s="3">
        <v>4433</v>
      </c>
      <c r="J40" s="5">
        <v>606</v>
      </c>
      <c r="K40" s="5">
        <v>13.670200347900391</v>
      </c>
    </row>
    <row r="41" spans="1:11" x14ac:dyDescent="0.3">
      <c r="A41" s="1" t="s">
        <v>46</v>
      </c>
      <c r="B41" s="1" t="s">
        <v>53</v>
      </c>
      <c r="C41" s="1" t="s">
        <v>59</v>
      </c>
      <c r="D41" s="1" t="s">
        <v>59</v>
      </c>
      <c r="E41" s="2">
        <v>20206</v>
      </c>
      <c r="F41" s="3">
        <v>1662</v>
      </c>
      <c r="G41" s="4">
        <v>333</v>
      </c>
      <c r="H41" s="3">
        <v>20.036100387573242</v>
      </c>
      <c r="I41" s="3">
        <v>2499</v>
      </c>
      <c r="J41" s="5">
        <v>311</v>
      </c>
      <c r="K41" s="5">
        <v>12.444977760314941</v>
      </c>
    </row>
    <row r="42" spans="1:11" x14ac:dyDescent="0.3">
      <c r="A42" s="1" t="s">
        <v>46</v>
      </c>
      <c r="B42" s="1" t="s">
        <v>60</v>
      </c>
      <c r="C42" s="1" t="s">
        <v>61</v>
      </c>
      <c r="D42" s="1" t="s">
        <v>61</v>
      </c>
      <c r="E42" s="2">
        <v>20301</v>
      </c>
      <c r="F42" s="3">
        <v>3739</v>
      </c>
      <c r="G42" s="4">
        <v>1213</v>
      </c>
      <c r="H42" s="3">
        <v>32.441829681396484</v>
      </c>
      <c r="I42" s="3">
        <v>5223</v>
      </c>
      <c r="J42" s="5">
        <v>1463</v>
      </c>
      <c r="K42" s="5">
        <v>28.010721206665039</v>
      </c>
    </row>
    <row r="43" spans="1:11" x14ac:dyDescent="0.3">
      <c r="A43" s="1" t="s">
        <v>46</v>
      </c>
      <c r="B43" s="1" t="s">
        <v>60</v>
      </c>
      <c r="C43" s="1" t="s">
        <v>62</v>
      </c>
      <c r="D43" s="1" t="s">
        <v>62</v>
      </c>
      <c r="E43" s="2">
        <v>20302</v>
      </c>
      <c r="F43" s="3">
        <v>4269</v>
      </c>
      <c r="G43" s="4">
        <v>1904</v>
      </c>
      <c r="H43" s="3">
        <v>44.600608825683594</v>
      </c>
      <c r="I43" s="3">
        <v>5206</v>
      </c>
      <c r="J43" s="5">
        <v>1876</v>
      </c>
      <c r="K43" s="5">
        <v>36.035343170166016</v>
      </c>
    </row>
    <row r="44" spans="1:11" x14ac:dyDescent="0.3">
      <c r="A44" s="1" t="s">
        <v>46</v>
      </c>
      <c r="B44" s="1" t="s">
        <v>60</v>
      </c>
      <c r="C44" s="1" t="s">
        <v>63</v>
      </c>
      <c r="D44" s="1" t="s">
        <v>63</v>
      </c>
      <c r="E44" s="2">
        <v>20303</v>
      </c>
      <c r="F44" s="3">
        <v>3532</v>
      </c>
      <c r="G44" s="4">
        <v>1225</v>
      </c>
      <c r="H44" s="3">
        <v>34.682899475097656</v>
      </c>
      <c r="I44" s="3">
        <v>5082</v>
      </c>
      <c r="J44" s="5">
        <v>1432</v>
      </c>
      <c r="K44" s="5">
        <v>28.177883148193359</v>
      </c>
    </row>
    <row r="45" spans="1:11" x14ac:dyDescent="0.3">
      <c r="A45" s="1" t="s">
        <v>46</v>
      </c>
      <c r="B45" s="1" t="s">
        <v>60</v>
      </c>
      <c r="C45" s="1" t="s">
        <v>64</v>
      </c>
      <c r="D45" s="1" t="s">
        <v>64</v>
      </c>
      <c r="E45" s="2">
        <v>20304</v>
      </c>
      <c r="F45" s="3">
        <v>1311</v>
      </c>
      <c r="G45" s="4">
        <v>442</v>
      </c>
      <c r="H45" s="3">
        <v>33.7147216796875</v>
      </c>
      <c r="I45" s="3">
        <v>1923</v>
      </c>
      <c r="J45" s="5">
        <v>568</v>
      </c>
      <c r="K45" s="5">
        <v>29.537181854248047</v>
      </c>
    </row>
    <row r="46" spans="1:11" x14ac:dyDescent="0.3">
      <c r="A46" s="1" t="s">
        <v>46</v>
      </c>
      <c r="B46" s="1" t="s">
        <v>60</v>
      </c>
      <c r="C46" s="1" t="s">
        <v>65</v>
      </c>
      <c r="D46" s="1" t="s">
        <v>65</v>
      </c>
      <c r="E46" s="2">
        <v>20305</v>
      </c>
      <c r="F46" s="3">
        <v>1158</v>
      </c>
      <c r="G46" s="4">
        <v>367</v>
      </c>
      <c r="H46" s="3">
        <v>31.692573547363281</v>
      </c>
      <c r="I46" s="3">
        <v>1723</v>
      </c>
      <c r="J46" s="5">
        <v>401</v>
      </c>
      <c r="K46" s="5">
        <v>23.273361206054688</v>
      </c>
    </row>
    <row r="47" spans="1:11" x14ac:dyDescent="0.3">
      <c r="A47" s="1" t="s">
        <v>46</v>
      </c>
      <c r="B47" s="1" t="s">
        <v>60</v>
      </c>
      <c r="C47" s="1" t="s">
        <v>479</v>
      </c>
      <c r="D47" s="1" t="s">
        <v>66</v>
      </c>
      <c r="E47" s="2">
        <v>20306</v>
      </c>
      <c r="F47" s="3">
        <v>1069</v>
      </c>
      <c r="G47" s="4">
        <v>725</v>
      </c>
      <c r="H47" s="3">
        <v>67.820396423339844</v>
      </c>
      <c r="I47" s="3">
        <v>1453</v>
      </c>
      <c r="J47" s="5">
        <v>718</v>
      </c>
      <c r="K47" s="5">
        <v>49.415004730224609</v>
      </c>
    </row>
    <row r="48" spans="1:11" x14ac:dyDescent="0.3">
      <c r="A48" s="1" t="s">
        <v>46</v>
      </c>
      <c r="B48" s="1" t="s">
        <v>60</v>
      </c>
      <c r="C48" s="1" t="s">
        <v>67</v>
      </c>
      <c r="D48" s="1" t="s">
        <v>67</v>
      </c>
      <c r="E48" s="2">
        <v>20307</v>
      </c>
      <c r="F48" s="3">
        <v>289</v>
      </c>
      <c r="G48" s="4">
        <v>69</v>
      </c>
      <c r="H48" s="3">
        <v>23.875432968139648</v>
      </c>
      <c r="I48" s="3">
        <v>1196</v>
      </c>
      <c r="J48" s="5">
        <v>475</v>
      </c>
      <c r="K48" s="5">
        <v>39.715717315673828</v>
      </c>
    </row>
    <row r="49" spans="1:11" x14ac:dyDescent="0.3">
      <c r="A49" s="1" t="s">
        <v>46</v>
      </c>
      <c r="B49" s="1" t="s">
        <v>60</v>
      </c>
      <c r="C49" s="1" t="s">
        <v>68</v>
      </c>
      <c r="D49" s="1" t="s">
        <v>68</v>
      </c>
      <c r="E49" s="2">
        <v>20308</v>
      </c>
      <c r="F49" s="3">
        <v>2789</v>
      </c>
      <c r="G49" s="4">
        <v>885</v>
      </c>
      <c r="H49" s="3">
        <v>31.731803894042969</v>
      </c>
      <c r="I49" s="3">
        <v>3526</v>
      </c>
      <c r="J49" s="5">
        <v>869</v>
      </c>
      <c r="K49" s="5">
        <v>24.645490646362305</v>
      </c>
    </row>
    <row r="50" spans="1:11" x14ac:dyDescent="0.3">
      <c r="A50" s="1" t="s">
        <v>46</v>
      </c>
      <c r="B50" s="1" t="s">
        <v>69</v>
      </c>
      <c r="C50" s="1" t="s">
        <v>70</v>
      </c>
      <c r="D50" s="1" t="s">
        <v>70</v>
      </c>
      <c r="E50" s="2">
        <v>20401</v>
      </c>
      <c r="F50" s="3">
        <v>5007</v>
      </c>
      <c r="G50" s="4">
        <v>1080</v>
      </c>
      <c r="H50" s="3">
        <v>21.569801330566406</v>
      </c>
      <c r="I50" s="3">
        <v>6566</v>
      </c>
      <c r="J50" s="5">
        <v>1220</v>
      </c>
      <c r="K50" s="5">
        <v>18.58056640625</v>
      </c>
    </row>
    <row r="51" spans="1:11" x14ac:dyDescent="0.3">
      <c r="A51" s="1" t="s">
        <v>46</v>
      </c>
      <c r="B51" s="1" t="s">
        <v>69</v>
      </c>
      <c r="C51" s="1" t="s">
        <v>71</v>
      </c>
      <c r="D51" s="1" t="s">
        <v>71</v>
      </c>
      <c r="E51" s="2">
        <v>20402</v>
      </c>
      <c r="F51" s="3">
        <v>6606</v>
      </c>
      <c r="G51" s="4">
        <v>1584</v>
      </c>
      <c r="H51" s="3">
        <v>23.978200912475586</v>
      </c>
      <c r="I51" s="3">
        <v>7956</v>
      </c>
      <c r="J51" s="5">
        <v>1562</v>
      </c>
      <c r="K51" s="5">
        <v>19.63298225402832</v>
      </c>
    </row>
    <row r="52" spans="1:11" x14ac:dyDescent="0.3">
      <c r="A52" s="1" t="s">
        <v>46</v>
      </c>
      <c r="B52" s="1" t="s">
        <v>69</v>
      </c>
      <c r="C52" s="1" t="s">
        <v>72</v>
      </c>
      <c r="D52" s="1" t="s">
        <v>73</v>
      </c>
      <c r="E52" s="2">
        <v>20403</v>
      </c>
      <c r="F52" s="3">
        <v>5347</v>
      </c>
      <c r="G52" s="4">
        <v>1502</v>
      </c>
      <c r="H52" s="3">
        <v>28.090518951416016</v>
      </c>
      <c r="I52" s="3">
        <v>7028</v>
      </c>
      <c r="J52" s="5">
        <v>1507</v>
      </c>
      <c r="K52" s="5">
        <v>21.442800521850586</v>
      </c>
    </row>
    <row r="53" spans="1:11" x14ac:dyDescent="0.3">
      <c r="A53" s="1" t="s">
        <v>46</v>
      </c>
      <c r="B53" s="1" t="s">
        <v>69</v>
      </c>
      <c r="C53" s="1" t="s">
        <v>74</v>
      </c>
      <c r="D53" s="1" t="s">
        <v>74</v>
      </c>
      <c r="E53" s="2">
        <v>20404</v>
      </c>
      <c r="F53" s="3">
        <v>2107</v>
      </c>
      <c r="G53" s="4">
        <v>551</v>
      </c>
      <c r="H53" s="3">
        <v>26.150924682617188</v>
      </c>
      <c r="I53" s="3">
        <v>2522</v>
      </c>
      <c r="J53" s="5">
        <v>557</v>
      </c>
      <c r="K53" s="5">
        <v>22.08564567565918</v>
      </c>
    </row>
    <row r="54" spans="1:11" x14ac:dyDescent="0.3">
      <c r="A54" s="1" t="s">
        <v>46</v>
      </c>
      <c r="B54" s="1" t="s">
        <v>69</v>
      </c>
      <c r="C54" s="1" t="s">
        <v>75</v>
      </c>
      <c r="D54" s="1" t="s">
        <v>75</v>
      </c>
      <c r="E54" s="2">
        <v>20405</v>
      </c>
      <c r="F54" s="3">
        <v>3027</v>
      </c>
      <c r="G54" s="4">
        <v>743</v>
      </c>
      <c r="H54" s="3">
        <v>24.545755386352539</v>
      </c>
      <c r="I54" s="3">
        <v>4096</v>
      </c>
      <c r="J54" s="5">
        <v>756</v>
      </c>
      <c r="K54" s="5">
        <v>18.45703125</v>
      </c>
    </row>
    <row r="55" spans="1:11" x14ac:dyDescent="0.3">
      <c r="A55" s="1" t="s">
        <v>46</v>
      </c>
      <c r="B55" s="1" t="s">
        <v>76</v>
      </c>
      <c r="C55" s="1" t="s">
        <v>77</v>
      </c>
      <c r="D55" s="1" t="s">
        <v>77</v>
      </c>
      <c r="E55" s="2">
        <v>20501</v>
      </c>
      <c r="F55" s="3">
        <v>3936</v>
      </c>
      <c r="G55" s="4">
        <v>1287</v>
      </c>
      <c r="H55" s="3">
        <v>32.698169708251953</v>
      </c>
      <c r="I55" s="3">
        <v>6345</v>
      </c>
      <c r="J55" s="5">
        <v>1902</v>
      </c>
      <c r="K55" s="5">
        <v>29.976358413696289</v>
      </c>
    </row>
    <row r="56" spans="1:11" x14ac:dyDescent="0.3">
      <c r="A56" s="1" t="s">
        <v>46</v>
      </c>
      <c r="B56" s="1" t="s">
        <v>76</v>
      </c>
      <c r="C56" s="1" t="s">
        <v>78</v>
      </c>
      <c r="D56" s="1" t="s">
        <v>78</v>
      </c>
      <c r="E56" s="2">
        <v>20502</v>
      </c>
      <c r="F56" s="3">
        <v>2747</v>
      </c>
      <c r="G56" s="4">
        <v>1001</v>
      </c>
      <c r="H56" s="3">
        <v>36.439750671386719</v>
      </c>
      <c r="I56" s="3">
        <v>3453</v>
      </c>
      <c r="J56" s="5">
        <v>921</v>
      </c>
      <c r="K56" s="5">
        <v>26.672458648681641</v>
      </c>
    </row>
    <row r="57" spans="1:11" x14ac:dyDescent="0.3">
      <c r="A57" s="1" t="s">
        <v>46</v>
      </c>
      <c r="B57" s="1" t="s">
        <v>76</v>
      </c>
      <c r="C57" s="1" t="s">
        <v>79</v>
      </c>
      <c r="D57" s="1" t="s">
        <v>79</v>
      </c>
      <c r="E57" s="2">
        <v>20503</v>
      </c>
      <c r="F57" s="3">
        <v>1938</v>
      </c>
      <c r="G57" s="4">
        <v>718</v>
      </c>
      <c r="H57" s="3">
        <v>37.048503875732422</v>
      </c>
      <c r="I57" s="3">
        <v>2484</v>
      </c>
      <c r="J57" s="5">
        <v>756</v>
      </c>
      <c r="K57" s="5">
        <v>30.434782028198242</v>
      </c>
    </row>
    <row r="58" spans="1:11" x14ac:dyDescent="0.3">
      <c r="A58" s="1" t="s">
        <v>46</v>
      </c>
      <c r="B58" s="1" t="s">
        <v>80</v>
      </c>
      <c r="C58" s="1" t="s">
        <v>81</v>
      </c>
      <c r="D58" s="1" t="s">
        <v>81</v>
      </c>
      <c r="E58" s="2">
        <v>20601</v>
      </c>
      <c r="F58" s="3">
        <v>8775</v>
      </c>
      <c r="G58" s="4">
        <v>2676</v>
      </c>
      <c r="H58" s="3">
        <v>30.495725631713867</v>
      </c>
      <c r="I58" s="3">
        <v>11385</v>
      </c>
      <c r="J58" s="5">
        <v>3010</v>
      </c>
      <c r="K58" s="5">
        <v>26.438295364379883</v>
      </c>
    </row>
    <row r="59" spans="1:11" x14ac:dyDescent="0.3">
      <c r="A59" s="1" t="s">
        <v>46</v>
      </c>
      <c r="B59" s="1" t="s">
        <v>80</v>
      </c>
      <c r="C59" s="1" t="s">
        <v>82</v>
      </c>
      <c r="D59" s="1" t="s">
        <v>82</v>
      </c>
      <c r="E59" s="2">
        <v>20602</v>
      </c>
      <c r="F59" s="3">
        <v>4680</v>
      </c>
      <c r="G59" s="4">
        <v>1907</v>
      </c>
      <c r="H59" s="3">
        <v>40.74786376953125</v>
      </c>
      <c r="I59" s="3">
        <v>6219</v>
      </c>
      <c r="J59" s="5">
        <v>1505</v>
      </c>
      <c r="K59" s="5">
        <v>24.200031280517578</v>
      </c>
    </row>
    <row r="60" spans="1:11" x14ac:dyDescent="0.3">
      <c r="A60" s="1" t="s">
        <v>46</v>
      </c>
      <c r="B60" s="1" t="s">
        <v>80</v>
      </c>
      <c r="C60" s="1" t="s">
        <v>83</v>
      </c>
      <c r="D60" s="1" t="s">
        <v>83</v>
      </c>
      <c r="E60" s="2">
        <v>20603</v>
      </c>
      <c r="F60" s="3">
        <v>2980</v>
      </c>
      <c r="G60" s="4">
        <v>930</v>
      </c>
      <c r="H60" s="3">
        <v>31.208053588867188</v>
      </c>
      <c r="I60" s="3">
        <v>4138</v>
      </c>
      <c r="J60" s="5">
        <v>919</v>
      </c>
      <c r="K60" s="5">
        <v>22.208797454833984</v>
      </c>
    </row>
    <row r="61" spans="1:11" x14ac:dyDescent="0.3">
      <c r="A61" s="1" t="s">
        <v>46</v>
      </c>
      <c r="B61" s="1" t="s">
        <v>80</v>
      </c>
      <c r="C61" s="1" t="s">
        <v>84</v>
      </c>
      <c r="D61" s="1" t="s">
        <v>84</v>
      </c>
      <c r="E61" s="2">
        <v>20604</v>
      </c>
      <c r="F61" s="3">
        <v>1027</v>
      </c>
      <c r="G61" s="4">
        <v>283</v>
      </c>
      <c r="H61" s="3">
        <v>27.555988311767578</v>
      </c>
      <c r="I61" s="3">
        <v>1389</v>
      </c>
      <c r="J61" s="5">
        <v>540</v>
      </c>
      <c r="K61" s="5">
        <v>38.876888275146484</v>
      </c>
    </row>
    <row r="62" spans="1:11" x14ac:dyDescent="0.3">
      <c r="A62" s="1" t="s">
        <v>46</v>
      </c>
      <c r="B62" s="1" t="s">
        <v>80</v>
      </c>
      <c r="C62" s="1" t="s">
        <v>85</v>
      </c>
      <c r="D62" s="1" t="s">
        <v>85</v>
      </c>
      <c r="E62" s="2">
        <v>20605</v>
      </c>
      <c r="F62" s="3">
        <v>994</v>
      </c>
      <c r="G62" s="4">
        <v>434</v>
      </c>
      <c r="H62" s="3">
        <v>43.661972045898438</v>
      </c>
      <c r="I62" s="3">
        <v>1420</v>
      </c>
      <c r="J62" s="5">
        <v>363</v>
      </c>
      <c r="K62" s="5">
        <v>25.563381195068359</v>
      </c>
    </row>
    <row r="63" spans="1:11" x14ac:dyDescent="0.3">
      <c r="A63" s="1" t="s">
        <v>46</v>
      </c>
      <c r="B63" s="1" t="s">
        <v>80</v>
      </c>
      <c r="C63" s="1" t="s">
        <v>86</v>
      </c>
      <c r="D63" s="1" t="s">
        <v>86</v>
      </c>
      <c r="E63" s="2">
        <v>20606</v>
      </c>
      <c r="F63" s="3">
        <v>3456</v>
      </c>
      <c r="G63" s="4">
        <v>1272</v>
      </c>
      <c r="H63" s="3">
        <v>36.805557250976563</v>
      </c>
      <c r="I63" s="3">
        <v>3215</v>
      </c>
      <c r="J63" s="5">
        <v>753</v>
      </c>
      <c r="K63" s="5">
        <v>23.42146110534668</v>
      </c>
    </row>
    <row r="64" spans="1:11" x14ac:dyDescent="0.3">
      <c r="A64" s="1" t="s">
        <v>46</v>
      </c>
      <c r="B64" s="1" t="s">
        <v>80</v>
      </c>
      <c r="C64" s="1" t="s">
        <v>87</v>
      </c>
      <c r="D64" s="1" t="s">
        <v>87</v>
      </c>
      <c r="E64" s="2">
        <v>20607</v>
      </c>
      <c r="F64" s="3">
        <v>4050</v>
      </c>
      <c r="G64" s="4">
        <v>1812</v>
      </c>
      <c r="H64" s="3">
        <v>44.740741729736328</v>
      </c>
      <c r="I64" s="3">
        <v>6870</v>
      </c>
      <c r="J64" s="5">
        <v>2128</v>
      </c>
      <c r="K64" s="5">
        <v>30.975254058837891</v>
      </c>
    </row>
    <row r="65" spans="1:11" x14ac:dyDescent="0.3">
      <c r="A65" s="1" t="s">
        <v>46</v>
      </c>
      <c r="B65" s="1" t="s">
        <v>80</v>
      </c>
      <c r="C65" s="1" t="s">
        <v>88</v>
      </c>
      <c r="D65" s="1" t="s">
        <v>88</v>
      </c>
      <c r="E65" s="2">
        <v>20608</v>
      </c>
      <c r="F65" s="3">
        <v>3487</v>
      </c>
      <c r="G65" s="4">
        <v>1068</v>
      </c>
      <c r="H65" s="3">
        <v>30.628047943115234</v>
      </c>
      <c r="I65" s="3">
        <v>4566</v>
      </c>
      <c r="J65" s="5">
        <v>1355</v>
      </c>
      <c r="K65" s="5">
        <v>29.675865173339844</v>
      </c>
    </row>
    <row r="66" spans="1:11" x14ac:dyDescent="0.3">
      <c r="A66" s="1" t="s">
        <v>46</v>
      </c>
      <c r="B66" s="1" t="s">
        <v>89</v>
      </c>
      <c r="C66" s="1" t="s">
        <v>90</v>
      </c>
      <c r="D66" s="1" t="s">
        <v>90</v>
      </c>
      <c r="E66" s="2">
        <v>20701</v>
      </c>
      <c r="F66" s="3">
        <v>4624</v>
      </c>
      <c r="G66" s="4">
        <v>2376</v>
      </c>
      <c r="H66" s="3">
        <v>51.384082794189453</v>
      </c>
      <c r="I66" s="3">
        <v>6133</v>
      </c>
      <c r="J66" s="5">
        <v>2120</v>
      </c>
      <c r="K66" s="5">
        <v>34.567096710205078</v>
      </c>
    </row>
    <row r="67" spans="1:11" x14ac:dyDescent="0.3">
      <c r="A67" s="1" t="s">
        <v>46</v>
      </c>
      <c r="B67" s="1" t="s">
        <v>89</v>
      </c>
      <c r="C67" s="1" t="s">
        <v>91</v>
      </c>
      <c r="D67" s="1" t="s">
        <v>91</v>
      </c>
      <c r="E67" s="2">
        <v>20702</v>
      </c>
      <c r="F67" s="3">
        <v>2229</v>
      </c>
      <c r="G67" s="4">
        <v>774</v>
      </c>
      <c r="H67" s="3">
        <v>34.724090576171875</v>
      </c>
      <c r="I67" s="3">
        <v>3036</v>
      </c>
      <c r="J67" s="5">
        <v>926</v>
      </c>
      <c r="K67" s="5">
        <v>30.50065803527832</v>
      </c>
    </row>
    <row r="68" spans="1:11" x14ac:dyDescent="0.3">
      <c r="A68" s="1" t="s">
        <v>46</v>
      </c>
      <c r="B68" s="1" t="s">
        <v>92</v>
      </c>
      <c r="C68" s="1" t="s">
        <v>93</v>
      </c>
      <c r="D68" s="1" t="s">
        <v>93</v>
      </c>
      <c r="E68" s="2">
        <v>20801</v>
      </c>
      <c r="F68" s="3">
        <v>26239</v>
      </c>
      <c r="G68" s="4">
        <v>8318</v>
      </c>
      <c r="H68" s="3">
        <v>31.700902938842773</v>
      </c>
      <c r="I68" s="3">
        <v>41808</v>
      </c>
      <c r="J68" s="5">
        <v>8637</v>
      </c>
      <c r="K68" s="5">
        <v>20.658725738525391</v>
      </c>
    </row>
    <row r="69" spans="1:11" x14ac:dyDescent="0.3">
      <c r="A69" s="1" t="s">
        <v>46</v>
      </c>
      <c r="B69" s="1" t="s">
        <v>92</v>
      </c>
      <c r="C69" s="1" t="s">
        <v>94</v>
      </c>
      <c r="D69" s="1" t="s">
        <v>95</v>
      </c>
      <c r="E69" s="2">
        <v>20802</v>
      </c>
      <c r="F69" s="3">
        <v>2729</v>
      </c>
      <c r="G69" s="4">
        <v>640</v>
      </c>
      <c r="H69" s="3">
        <v>23.451814651489258</v>
      </c>
      <c r="I69" s="3">
        <v>3205</v>
      </c>
      <c r="J69" s="5">
        <v>701</v>
      </c>
      <c r="K69" s="5">
        <v>21.872074127197266</v>
      </c>
    </row>
    <row r="70" spans="1:11" x14ac:dyDescent="0.3">
      <c r="A70" s="1" t="s">
        <v>46</v>
      </c>
      <c r="B70" s="1" t="s">
        <v>92</v>
      </c>
      <c r="C70" s="1" t="s">
        <v>96</v>
      </c>
      <c r="D70" s="1" t="s">
        <v>96</v>
      </c>
      <c r="E70" s="2">
        <v>20803</v>
      </c>
      <c r="F70" s="3">
        <v>3594</v>
      </c>
      <c r="G70" s="4">
        <v>1330</v>
      </c>
      <c r="H70" s="3">
        <v>37.006122589111328</v>
      </c>
      <c r="I70" s="3">
        <v>4630</v>
      </c>
      <c r="J70" s="5">
        <v>1341</v>
      </c>
      <c r="K70" s="5">
        <v>28.963283538818359</v>
      </c>
    </row>
    <row r="71" spans="1:11" x14ac:dyDescent="0.3">
      <c r="A71" s="1" t="s">
        <v>46</v>
      </c>
      <c r="B71" s="1" t="s">
        <v>92</v>
      </c>
      <c r="C71" s="1" t="s">
        <v>97</v>
      </c>
      <c r="D71" s="1" t="s">
        <v>97</v>
      </c>
      <c r="E71" s="2">
        <v>20804</v>
      </c>
      <c r="F71" s="3">
        <v>2249</v>
      </c>
      <c r="G71" s="4">
        <v>636</v>
      </c>
      <c r="H71" s="3">
        <v>28.27923583984375</v>
      </c>
      <c r="I71" s="3">
        <v>2670</v>
      </c>
      <c r="J71" s="5">
        <v>676</v>
      </c>
      <c r="K71" s="5">
        <v>25.318351745605469</v>
      </c>
    </row>
    <row r="72" spans="1:11" x14ac:dyDescent="0.3">
      <c r="A72" s="1" t="s">
        <v>46</v>
      </c>
      <c r="B72" s="1" t="s">
        <v>92</v>
      </c>
      <c r="C72" s="1" t="s">
        <v>98</v>
      </c>
      <c r="D72" s="1" t="s">
        <v>98</v>
      </c>
      <c r="E72" s="2">
        <v>20805</v>
      </c>
      <c r="F72" s="3">
        <v>2391</v>
      </c>
      <c r="G72" s="4">
        <v>681</v>
      </c>
      <c r="H72" s="3">
        <v>28.481807708740234</v>
      </c>
      <c r="I72" s="3">
        <v>3106</v>
      </c>
      <c r="J72" s="5">
        <v>871</v>
      </c>
      <c r="K72" s="5">
        <v>28.042497634887695</v>
      </c>
    </row>
    <row r="73" spans="1:11" x14ac:dyDescent="0.3">
      <c r="A73" s="1" t="s">
        <v>46</v>
      </c>
      <c r="B73" s="1" t="s">
        <v>92</v>
      </c>
      <c r="C73" s="1" t="s">
        <v>99</v>
      </c>
      <c r="D73" s="1" t="s">
        <v>99</v>
      </c>
      <c r="E73" s="2">
        <v>20806</v>
      </c>
      <c r="F73" s="3">
        <v>4967</v>
      </c>
      <c r="G73" s="4">
        <v>1881</v>
      </c>
      <c r="H73" s="3">
        <v>37.869941711425781</v>
      </c>
      <c r="I73" s="3">
        <v>5862</v>
      </c>
      <c r="J73" s="5">
        <v>1881</v>
      </c>
      <c r="K73" s="5">
        <v>32.088024139404297</v>
      </c>
    </row>
    <row r="74" spans="1:11" x14ac:dyDescent="0.3">
      <c r="A74" s="1" t="s">
        <v>46</v>
      </c>
      <c r="B74" s="1" t="s">
        <v>92</v>
      </c>
      <c r="C74" s="1" t="s">
        <v>100</v>
      </c>
      <c r="D74" s="1" t="s">
        <v>100</v>
      </c>
      <c r="E74" s="2">
        <v>20807</v>
      </c>
      <c r="F74" s="3">
        <v>1819</v>
      </c>
      <c r="G74" s="4">
        <v>779</v>
      </c>
      <c r="H74" s="3">
        <v>42.825729370117188</v>
      </c>
      <c r="I74" s="3">
        <v>2551</v>
      </c>
      <c r="J74" s="5">
        <v>768</v>
      </c>
      <c r="K74" s="5">
        <v>30.105840682983398</v>
      </c>
    </row>
    <row r="75" spans="1:11" x14ac:dyDescent="0.3">
      <c r="A75" s="1" t="s">
        <v>46</v>
      </c>
      <c r="B75" s="1" t="s">
        <v>101</v>
      </c>
      <c r="C75" s="1" t="s">
        <v>102</v>
      </c>
      <c r="D75" s="1" t="s">
        <v>102</v>
      </c>
      <c r="E75" s="2">
        <v>20901</v>
      </c>
      <c r="F75" s="3">
        <v>3913</v>
      </c>
      <c r="G75" s="4">
        <v>1110</v>
      </c>
      <c r="H75" s="3">
        <v>28.366981506347656</v>
      </c>
      <c r="I75" s="3">
        <v>4411</v>
      </c>
      <c r="J75" s="5">
        <v>905</v>
      </c>
      <c r="K75" s="5">
        <v>20.516889572143555</v>
      </c>
    </row>
    <row r="76" spans="1:11" x14ac:dyDescent="0.3">
      <c r="A76" s="1" t="s">
        <v>46</v>
      </c>
      <c r="B76" s="1" t="s">
        <v>101</v>
      </c>
      <c r="C76" s="1" t="s">
        <v>103</v>
      </c>
      <c r="D76" s="1" t="s">
        <v>103</v>
      </c>
      <c r="E76" s="2">
        <v>20902</v>
      </c>
      <c r="F76" s="3">
        <v>4622</v>
      </c>
      <c r="G76" s="4">
        <v>1288</v>
      </c>
      <c r="H76" s="3">
        <v>27.866724014282227</v>
      </c>
      <c r="I76" s="3">
        <v>6611</v>
      </c>
      <c r="J76" s="5">
        <v>1536</v>
      </c>
      <c r="K76" s="5">
        <v>23.234003067016602</v>
      </c>
    </row>
    <row r="77" spans="1:11" x14ac:dyDescent="0.3">
      <c r="A77" s="1" t="s">
        <v>46</v>
      </c>
      <c r="B77" s="1" t="s">
        <v>101</v>
      </c>
      <c r="C77" s="1" t="s">
        <v>104</v>
      </c>
      <c r="D77" s="1" t="s">
        <v>104</v>
      </c>
      <c r="E77" s="2">
        <v>20903</v>
      </c>
      <c r="F77" s="3">
        <v>2306</v>
      </c>
      <c r="G77" s="4">
        <v>952</v>
      </c>
      <c r="H77" s="3">
        <v>41.283607482910156</v>
      </c>
      <c r="I77" s="3">
        <v>4114</v>
      </c>
      <c r="J77" s="5">
        <v>1547</v>
      </c>
      <c r="K77" s="5">
        <v>37.603305816650391</v>
      </c>
    </row>
    <row r="78" spans="1:11" x14ac:dyDescent="0.3">
      <c r="A78" s="1" t="s">
        <v>46</v>
      </c>
      <c r="B78" s="1" t="s">
        <v>101</v>
      </c>
      <c r="C78" s="1" t="s">
        <v>105</v>
      </c>
      <c r="D78" s="1" t="s">
        <v>105</v>
      </c>
      <c r="E78" s="2">
        <v>20904</v>
      </c>
      <c r="F78" s="3">
        <v>1234</v>
      </c>
      <c r="G78" s="4">
        <v>687</v>
      </c>
      <c r="H78" s="3">
        <v>55.672611236572266</v>
      </c>
      <c r="I78" s="3">
        <v>1774</v>
      </c>
      <c r="J78" s="5">
        <v>681</v>
      </c>
      <c r="K78" s="5">
        <v>38.387825012207031</v>
      </c>
    </row>
    <row r="79" spans="1:11" x14ac:dyDescent="0.3">
      <c r="A79" s="1" t="s">
        <v>46</v>
      </c>
      <c r="B79" s="1" t="s">
        <v>101</v>
      </c>
      <c r="C79" s="1" t="s">
        <v>106</v>
      </c>
      <c r="D79" s="1" t="s">
        <v>106</v>
      </c>
      <c r="E79" s="2">
        <v>20905</v>
      </c>
      <c r="F79" s="3">
        <v>3069</v>
      </c>
      <c r="G79" s="4">
        <v>1527</v>
      </c>
      <c r="H79" s="3">
        <v>49.755619049072266</v>
      </c>
      <c r="I79" s="3">
        <v>4868</v>
      </c>
      <c r="J79" s="5">
        <v>1602</v>
      </c>
      <c r="K79" s="5">
        <v>32.908790588378906</v>
      </c>
    </row>
    <row r="80" spans="1:11" x14ac:dyDescent="0.3">
      <c r="A80" s="1" t="s">
        <v>46</v>
      </c>
      <c r="B80" s="1" t="s">
        <v>107</v>
      </c>
      <c r="C80" s="1" t="s">
        <v>107</v>
      </c>
      <c r="D80" s="1" t="s">
        <v>107</v>
      </c>
      <c r="E80" s="2">
        <v>21001</v>
      </c>
      <c r="F80" s="3">
        <v>4894</v>
      </c>
      <c r="G80" s="4">
        <v>1921</v>
      </c>
      <c r="H80" s="3">
        <v>39.252143859863281</v>
      </c>
      <c r="I80" s="3">
        <v>7111</v>
      </c>
      <c r="J80" s="5">
        <v>2144</v>
      </c>
      <c r="K80" s="5">
        <v>30.150470733642578</v>
      </c>
    </row>
    <row r="81" spans="1:11" x14ac:dyDescent="0.3">
      <c r="A81" s="1" t="s">
        <v>46</v>
      </c>
      <c r="B81" s="1" t="s">
        <v>107</v>
      </c>
      <c r="C81" s="1" t="s">
        <v>108</v>
      </c>
      <c r="D81" s="1" t="s">
        <v>108</v>
      </c>
      <c r="E81" s="2">
        <v>21002</v>
      </c>
      <c r="F81" s="3">
        <v>3386</v>
      </c>
      <c r="G81" s="4">
        <v>849</v>
      </c>
      <c r="H81" s="3">
        <v>25.073833465576172</v>
      </c>
      <c r="I81" s="3">
        <v>4408</v>
      </c>
      <c r="J81" s="5">
        <v>934</v>
      </c>
      <c r="K81" s="5">
        <v>21.188747406005859</v>
      </c>
    </row>
    <row r="82" spans="1:11" x14ac:dyDescent="0.3">
      <c r="A82" s="1" t="s">
        <v>46</v>
      </c>
      <c r="B82" s="1" t="s">
        <v>107</v>
      </c>
      <c r="C82" s="1" t="s">
        <v>109</v>
      </c>
      <c r="D82" s="1" t="s">
        <v>109</v>
      </c>
      <c r="E82" s="2">
        <v>21003</v>
      </c>
      <c r="F82" s="3">
        <v>3019</v>
      </c>
      <c r="G82" s="4">
        <v>1282</v>
      </c>
      <c r="H82" s="3">
        <v>42.464393615722656</v>
      </c>
      <c r="I82" s="3">
        <v>5788</v>
      </c>
      <c r="J82" s="5">
        <v>1653</v>
      </c>
      <c r="K82" s="5">
        <v>28.559087753295898</v>
      </c>
    </row>
    <row r="83" spans="1:11" x14ac:dyDescent="0.3">
      <c r="A83" s="1" t="s">
        <v>46</v>
      </c>
      <c r="B83" s="1" t="s">
        <v>107</v>
      </c>
      <c r="C83" s="1" t="s">
        <v>110</v>
      </c>
      <c r="D83" s="1" t="s">
        <v>110</v>
      </c>
      <c r="E83" s="2">
        <v>21004</v>
      </c>
      <c r="F83" s="3">
        <v>5830</v>
      </c>
      <c r="G83" s="4">
        <v>2713</v>
      </c>
      <c r="H83" s="3">
        <v>46.535163879394531</v>
      </c>
      <c r="I83" s="3">
        <v>7831</v>
      </c>
      <c r="J83" s="5">
        <v>2871</v>
      </c>
      <c r="K83" s="5">
        <v>36.661983489990234</v>
      </c>
    </row>
    <row r="84" spans="1:11" x14ac:dyDescent="0.3">
      <c r="A84" s="1" t="s">
        <v>46</v>
      </c>
      <c r="B84" s="1" t="s">
        <v>107</v>
      </c>
      <c r="C84" s="1" t="s">
        <v>111</v>
      </c>
      <c r="D84" s="1" t="s">
        <v>111</v>
      </c>
      <c r="E84" s="2">
        <v>21005</v>
      </c>
      <c r="F84" s="3">
        <v>1695</v>
      </c>
      <c r="G84" s="4">
        <v>1120</v>
      </c>
      <c r="H84" s="3">
        <v>66.076698303222656</v>
      </c>
      <c r="I84" s="3">
        <v>3444</v>
      </c>
      <c r="J84" s="5">
        <v>1260</v>
      </c>
      <c r="K84" s="5">
        <v>36.585365295410156</v>
      </c>
    </row>
    <row r="85" spans="1:11" x14ac:dyDescent="0.3">
      <c r="A85" s="1" t="s">
        <v>46</v>
      </c>
      <c r="B85" s="1" t="s">
        <v>107</v>
      </c>
      <c r="C85" s="1" t="s">
        <v>112</v>
      </c>
      <c r="D85" s="1" t="s">
        <v>112</v>
      </c>
      <c r="E85" s="2">
        <v>21006</v>
      </c>
      <c r="F85" s="3">
        <v>1021</v>
      </c>
      <c r="G85" s="4">
        <v>709</v>
      </c>
      <c r="H85" s="3">
        <v>69.441726684570313</v>
      </c>
      <c r="I85" s="3">
        <v>1870</v>
      </c>
      <c r="J85" s="5">
        <v>980</v>
      </c>
      <c r="K85" s="5">
        <v>52.406417846679688</v>
      </c>
    </row>
    <row r="86" spans="1:11" x14ac:dyDescent="0.3">
      <c r="A86" s="1" t="s">
        <v>46</v>
      </c>
      <c r="B86" s="1" t="s">
        <v>113</v>
      </c>
      <c r="C86" s="1" t="s">
        <v>114</v>
      </c>
      <c r="D86" s="1" t="s">
        <v>115</v>
      </c>
      <c r="E86" s="2">
        <v>21101</v>
      </c>
      <c r="F86" s="3">
        <v>6079</v>
      </c>
      <c r="G86" s="4">
        <v>2069</v>
      </c>
      <c r="H86" s="3">
        <v>34.035202026367188</v>
      </c>
      <c r="I86" s="3">
        <v>7173</v>
      </c>
      <c r="J86" s="5">
        <v>1681</v>
      </c>
      <c r="K86" s="5">
        <v>23.435104370117188</v>
      </c>
    </row>
    <row r="87" spans="1:11" x14ac:dyDescent="0.3">
      <c r="A87" s="1" t="s">
        <v>46</v>
      </c>
      <c r="B87" s="1" t="s">
        <v>113</v>
      </c>
      <c r="C87" s="1" t="s">
        <v>116</v>
      </c>
      <c r="D87" s="1" t="s">
        <v>117</v>
      </c>
      <c r="E87" s="2">
        <v>21102</v>
      </c>
      <c r="F87" s="3">
        <v>6499</v>
      </c>
      <c r="G87" s="4">
        <v>1937</v>
      </c>
      <c r="H87" s="3">
        <v>29.804584503173828</v>
      </c>
      <c r="I87" s="3">
        <v>9397</v>
      </c>
      <c r="J87" s="5">
        <v>2200</v>
      </c>
      <c r="K87" s="5">
        <v>23.411727905273438</v>
      </c>
    </row>
    <row r="88" spans="1:11" x14ac:dyDescent="0.3">
      <c r="A88" s="1" t="s">
        <v>46</v>
      </c>
      <c r="B88" s="1" t="s">
        <v>113</v>
      </c>
      <c r="C88" s="1" t="s">
        <v>118</v>
      </c>
      <c r="D88" s="1" t="s">
        <v>118</v>
      </c>
      <c r="E88" s="2">
        <v>21103</v>
      </c>
      <c r="F88" s="3">
        <v>2308</v>
      </c>
      <c r="G88" s="4">
        <v>781</v>
      </c>
      <c r="H88" s="3">
        <v>33.838821411132813</v>
      </c>
      <c r="I88" s="3">
        <v>2988</v>
      </c>
      <c r="J88" s="5">
        <v>734</v>
      </c>
      <c r="K88" s="5">
        <v>24.564926147460938</v>
      </c>
    </row>
    <row r="89" spans="1:11" x14ac:dyDescent="0.3">
      <c r="A89" s="1" t="s">
        <v>46</v>
      </c>
      <c r="B89" s="1" t="s">
        <v>113</v>
      </c>
      <c r="C89" s="1" t="s">
        <v>119</v>
      </c>
      <c r="D89" s="1" t="s">
        <v>119</v>
      </c>
      <c r="E89" s="2">
        <v>21104</v>
      </c>
      <c r="F89" s="3">
        <v>9245</v>
      </c>
      <c r="G89" s="4">
        <v>2740</v>
      </c>
      <c r="H89" s="3">
        <v>29.637641906738281</v>
      </c>
      <c r="I89" s="3">
        <v>11553</v>
      </c>
      <c r="J89" s="5">
        <v>2393</v>
      </c>
      <c r="K89" s="5">
        <v>20.713233947753906</v>
      </c>
    </row>
    <row r="90" spans="1:11" x14ac:dyDescent="0.3">
      <c r="A90" s="1" t="s">
        <v>46</v>
      </c>
      <c r="B90" s="1" t="s">
        <v>113</v>
      </c>
      <c r="C90" s="1" t="s">
        <v>120</v>
      </c>
      <c r="D90" s="1" t="s">
        <v>120</v>
      </c>
      <c r="E90" s="2">
        <v>21105</v>
      </c>
      <c r="F90" s="3">
        <v>13638</v>
      </c>
      <c r="G90" s="4">
        <v>5504</v>
      </c>
      <c r="H90" s="3">
        <v>40.357822418212891</v>
      </c>
      <c r="I90" s="3">
        <v>18308</v>
      </c>
      <c r="J90" s="5">
        <v>4872</v>
      </c>
      <c r="K90" s="5">
        <v>26.611316680908203</v>
      </c>
    </row>
    <row r="91" spans="1:11" x14ac:dyDescent="0.3">
      <c r="A91" s="1" t="s">
        <v>46</v>
      </c>
      <c r="B91" s="1" t="s">
        <v>121</v>
      </c>
      <c r="C91" s="1" t="s">
        <v>122</v>
      </c>
      <c r="D91" s="1" t="s">
        <v>122</v>
      </c>
      <c r="E91" s="2">
        <v>21201</v>
      </c>
      <c r="F91" s="3">
        <v>10556</v>
      </c>
      <c r="G91" s="4">
        <v>2982</v>
      </c>
      <c r="H91" s="3">
        <v>28.249336242675781</v>
      </c>
      <c r="I91" s="3">
        <v>21274</v>
      </c>
      <c r="J91" s="5">
        <v>4505</v>
      </c>
      <c r="K91" s="5">
        <v>21.176082611083984</v>
      </c>
    </row>
    <row r="92" spans="1:11" x14ac:dyDescent="0.3">
      <c r="A92" s="1" t="s">
        <v>46</v>
      </c>
      <c r="B92" s="1" t="s">
        <v>121</v>
      </c>
      <c r="C92" s="1" t="s">
        <v>123</v>
      </c>
      <c r="D92" s="1" t="s">
        <v>123</v>
      </c>
      <c r="E92" s="2">
        <v>21202</v>
      </c>
      <c r="F92" s="3">
        <v>7760</v>
      </c>
      <c r="G92" s="4">
        <v>3125</v>
      </c>
      <c r="H92" s="3">
        <v>40.270618438720703</v>
      </c>
      <c r="I92" s="3">
        <v>13564</v>
      </c>
      <c r="J92" s="5">
        <v>4010</v>
      </c>
      <c r="K92" s="5">
        <v>29.56355094909668</v>
      </c>
    </row>
    <row r="93" spans="1:11" x14ac:dyDescent="0.3">
      <c r="A93" s="1" t="s">
        <v>46</v>
      </c>
      <c r="B93" s="1" t="s">
        <v>121</v>
      </c>
      <c r="C93" s="1" t="s">
        <v>124</v>
      </c>
      <c r="D93" s="1" t="s">
        <v>124</v>
      </c>
      <c r="E93" s="2">
        <v>21203</v>
      </c>
      <c r="F93" s="3">
        <v>6061</v>
      </c>
      <c r="G93" s="4">
        <v>1810</v>
      </c>
      <c r="H93" s="3">
        <v>29.863058090209961</v>
      </c>
      <c r="I93" s="3">
        <v>8449</v>
      </c>
      <c r="J93" s="5">
        <v>1651</v>
      </c>
      <c r="K93" s="5">
        <v>19.540773391723633</v>
      </c>
    </row>
    <row r="94" spans="1:11" x14ac:dyDescent="0.3">
      <c r="A94" s="1" t="s">
        <v>46</v>
      </c>
      <c r="B94" s="1" t="s">
        <v>121</v>
      </c>
      <c r="C94" s="1" t="s">
        <v>125</v>
      </c>
      <c r="D94" s="1" t="s">
        <v>125</v>
      </c>
      <c r="E94" s="2">
        <v>21204</v>
      </c>
      <c r="F94" s="3">
        <v>2905</v>
      </c>
      <c r="G94" s="4">
        <v>883</v>
      </c>
      <c r="H94" s="3">
        <v>30.395868301391602</v>
      </c>
      <c r="I94" s="3">
        <v>3154</v>
      </c>
      <c r="J94" s="5">
        <v>754</v>
      </c>
      <c r="K94" s="5">
        <v>23.906150817871094</v>
      </c>
    </row>
    <row r="95" spans="1:11" x14ac:dyDescent="0.3">
      <c r="A95" s="1" t="s">
        <v>46</v>
      </c>
      <c r="B95" s="1" t="s">
        <v>126</v>
      </c>
      <c r="C95" s="1" t="s">
        <v>480</v>
      </c>
      <c r="D95" s="1" t="s">
        <v>127</v>
      </c>
      <c r="E95" s="2">
        <v>21301</v>
      </c>
      <c r="F95" s="3">
        <v>9418</v>
      </c>
      <c r="G95" s="4">
        <v>4165</v>
      </c>
      <c r="H95" s="3">
        <v>44.223827362060547</v>
      </c>
      <c r="I95" s="3">
        <v>12543</v>
      </c>
      <c r="J95" s="5">
        <v>3851</v>
      </c>
      <c r="K95" s="5">
        <v>30.702383041381836</v>
      </c>
    </row>
    <row r="96" spans="1:11" x14ac:dyDescent="0.3">
      <c r="A96" s="1" t="s">
        <v>46</v>
      </c>
      <c r="B96" s="1" t="s">
        <v>126</v>
      </c>
      <c r="C96" s="1" t="s">
        <v>128</v>
      </c>
      <c r="D96" s="1" t="s">
        <v>128</v>
      </c>
      <c r="E96" s="2">
        <v>21302</v>
      </c>
      <c r="F96" s="3">
        <v>3246</v>
      </c>
      <c r="G96" s="4">
        <v>1057</v>
      </c>
      <c r="H96" s="3">
        <v>32.563156127929688</v>
      </c>
      <c r="I96" s="3">
        <v>3879</v>
      </c>
      <c r="J96" s="5">
        <v>885</v>
      </c>
      <c r="K96" s="5">
        <v>22.815158843994141</v>
      </c>
    </row>
    <row r="97" spans="1:11" x14ac:dyDescent="0.3">
      <c r="A97" s="1" t="s">
        <v>46</v>
      </c>
      <c r="B97" s="1" t="s">
        <v>126</v>
      </c>
      <c r="C97" s="1" t="s">
        <v>129</v>
      </c>
      <c r="D97" s="1" t="s">
        <v>129</v>
      </c>
      <c r="E97" s="2">
        <v>21303</v>
      </c>
      <c r="F97" s="3">
        <v>2823</v>
      </c>
      <c r="G97" s="4">
        <v>865</v>
      </c>
      <c r="H97" s="3">
        <v>30.64116096496582</v>
      </c>
      <c r="I97" s="3">
        <v>4770</v>
      </c>
      <c r="J97" s="5">
        <v>1102</v>
      </c>
      <c r="K97" s="5">
        <v>23.102725982666016</v>
      </c>
    </row>
    <row r="98" spans="1:11" x14ac:dyDescent="0.3">
      <c r="A98" s="1" t="s">
        <v>46</v>
      </c>
      <c r="B98" s="1" t="s">
        <v>126</v>
      </c>
      <c r="C98" s="1" t="s">
        <v>130</v>
      </c>
      <c r="D98" s="1" t="s">
        <v>130</v>
      </c>
      <c r="E98" s="2">
        <v>21304</v>
      </c>
      <c r="F98" s="3">
        <v>3827</v>
      </c>
      <c r="G98" s="4">
        <v>1444</v>
      </c>
      <c r="H98" s="3">
        <v>37.731903076171875</v>
      </c>
      <c r="I98" s="3">
        <v>5429</v>
      </c>
      <c r="J98" s="5">
        <v>1641</v>
      </c>
      <c r="K98" s="5">
        <v>30.226560592651367</v>
      </c>
    </row>
    <row r="99" spans="1:11" x14ac:dyDescent="0.3">
      <c r="A99" s="1" t="s">
        <v>46</v>
      </c>
      <c r="B99" s="1" t="s">
        <v>126</v>
      </c>
      <c r="C99" s="1" t="s">
        <v>131</v>
      </c>
      <c r="D99" s="1" t="s">
        <v>131</v>
      </c>
      <c r="E99" s="2">
        <v>21305</v>
      </c>
      <c r="F99" s="3">
        <v>7489</v>
      </c>
      <c r="G99" s="4">
        <v>2482</v>
      </c>
      <c r="H99" s="3">
        <v>33.141941070556641</v>
      </c>
      <c r="I99" s="3">
        <v>9293</v>
      </c>
      <c r="J99" s="5">
        <v>2264</v>
      </c>
      <c r="K99" s="5">
        <v>24.362422943115234</v>
      </c>
    </row>
    <row r="100" spans="1:11" x14ac:dyDescent="0.3">
      <c r="A100" s="1" t="s">
        <v>46</v>
      </c>
      <c r="B100" s="1" t="s">
        <v>126</v>
      </c>
      <c r="C100" s="1" t="s">
        <v>132</v>
      </c>
      <c r="D100" s="1" t="s">
        <v>132</v>
      </c>
      <c r="E100" s="2">
        <v>21306</v>
      </c>
      <c r="F100" s="3">
        <v>3199</v>
      </c>
      <c r="G100" s="4">
        <v>1135</v>
      </c>
      <c r="H100" s="3">
        <v>35.479839324951172</v>
      </c>
      <c r="I100" s="3">
        <v>4406</v>
      </c>
      <c r="J100" s="5">
        <v>1267</v>
      </c>
      <c r="K100" s="5">
        <v>28.756240844726563</v>
      </c>
    </row>
    <row r="101" spans="1:11" x14ac:dyDescent="0.3">
      <c r="A101" s="1" t="s">
        <v>46</v>
      </c>
      <c r="B101" s="1" t="s">
        <v>126</v>
      </c>
      <c r="C101" s="1" t="s">
        <v>133</v>
      </c>
      <c r="D101" s="1" t="s">
        <v>133</v>
      </c>
      <c r="E101" s="2">
        <v>21307</v>
      </c>
      <c r="F101" s="3">
        <v>1272</v>
      </c>
      <c r="G101" s="4">
        <v>601</v>
      </c>
      <c r="H101" s="3">
        <v>47.248428344726563</v>
      </c>
      <c r="I101" s="3">
        <v>1648</v>
      </c>
      <c r="J101" s="5">
        <v>595</v>
      </c>
      <c r="K101" s="5">
        <v>36.1043701171875</v>
      </c>
    </row>
    <row r="102" spans="1:11" x14ac:dyDescent="0.3">
      <c r="A102" s="1" t="s">
        <v>46</v>
      </c>
      <c r="B102" s="1" t="s">
        <v>134</v>
      </c>
      <c r="C102" s="1" t="s">
        <v>135</v>
      </c>
      <c r="D102" s="1" t="s">
        <v>135</v>
      </c>
      <c r="E102" s="2">
        <v>21401</v>
      </c>
      <c r="F102" s="3">
        <v>6994</v>
      </c>
      <c r="G102" s="4">
        <v>2209</v>
      </c>
      <c r="H102" s="3">
        <v>31.58421516418457</v>
      </c>
      <c r="I102" s="3">
        <v>10318</v>
      </c>
      <c r="J102" s="5">
        <v>2763</v>
      </c>
      <c r="K102" s="5">
        <v>26.778446197509766</v>
      </c>
    </row>
    <row r="103" spans="1:11" x14ac:dyDescent="0.3">
      <c r="A103" s="1" t="s">
        <v>46</v>
      </c>
      <c r="B103" s="1" t="s">
        <v>134</v>
      </c>
      <c r="C103" s="1" t="s">
        <v>136</v>
      </c>
      <c r="D103" s="1" t="s">
        <v>136</v>
      </c>
      <c r="E103" s="2">
        <v>21402</v>
      </c>
      <c r="F103" s="3">
        <v>5380</v>
      </c>
      <c r="G103" s="4">
        <v>2060</v>
      </c>
      <c r="H103" s="3">
        <v>38.289962768554688</v>
      </c>
      <c r="I103" s="3">
        <v>8872</v>
      </c>
      <c r="J103" s="5">
        <v>2136</v>
      </c>
      <c r="K103" s="5">
        <v>24.07574462890625</v>
      </c>
    </row>
    <row r="104" spans="1:11" x14ac:dyDescent="0.3">
      <c r="A104" s="1" t="s">
        <v>46</v>
      </c>
      <c r="B104" s="1" t="s">
        <v>137</v>
      </c>
      <c r="C104" s="1" t="s">
        <v>138</v>
      </c>
      <c r="D104" s="1" t="s">
        <v>138</v>
      </c>
      <c r="E104" s="2">
        <v>21501</v>
      </c>
      <c r="F104" s="3">
        <v>2268</v>
      </c>
      <c r="G104" s="4">
        <v>1061</v>
      </c>
      <c r="H104" s="3">
        <v>46.781303405761719</v>
      </c>
      <c r="I104" s="3">
        <v>3284</v>
      </c>
      <c r="J104" s="5">
        <v>1192</v>
      </c>
      <c r="K104" s="5">
        <v>36.297199249267578</v>
      </c>
    </row>
    <row r="105" spans="1:11" x14ac:dyDescent="0.3">
      <c r="A105" s="1" t="s">
        <v>46</v>
      </c>
      <c r="B105" s="1" t="s">
        <v>137</v>
      </c>
      <c r="C105" s="1" t="s">
        <v>139</v>
      </c>
      <c r="D105" s="1" t="s">
        <v>139</v>
      </c>
      <c r="E105" s="2">
        <v>21502</v>
      </c>
      <c r="F105" s="3">
        <v>2004</v>
      </c>
      <c r="G105" s="4">
        <v>1037</v>
      </c>
      <c r="H105" s="3">
        <v>51.746505737304688</v>
      </c>
      <c r="I105" s="3">
        <v>2840</v>
      </c>
      <c r="J105" s="5">
        <v>955</v>
      </c>
      <c r="K105" s="5">
        <v>33.626762390136719</v>
      </c>
    </row>
    <row r="106" spans="1:11" x14ac:dyDescent="0.3">
      <c r="A106" s="1" t="s">
        <v>46</v>
      </c>
      <c r="B106" s="1" t="s">
        <v>140</v>
      </c>
      <c r="C106" s="1" t="s">
        <v>481</v>
      </c>
      <c r="D106" s="1" t="s">
        <v>141</v>
      </c>
      <c r="E106" s="2">
        <v>21601</v>
      </c>
      <c r="F106" s="3">
        <v>3549</v>
      </c>
      <c r="G106" s="4">
        <v>1850</v>
      </c>
      <c r="H106" s="3">
        <v>52.127361297607422</v>
      </c>
      <c r="I106" s="3">
        <v>5003</v>
      </c>
      <c r="J106" s="5">
        <v>1978</v>
      </c>
      <c r="K106" s="5">
        <v>39.536277770996094</v>
      </c>
    </row>
    <row r="107" spans="1:11" x14ac:dyDescent="0.3">
      <c r="A107" s="1" t="s">
        <v>46</v>
      </c>
      <c r="B107" s="1" t="s">
        <v>140</v>
      </c>
      <c r="C107" s="1" t="s">
        <v>142</v>
      </c>
      <c r="D107" s="1" t="s">
        <v>142</v>
      </c>
      <c r="E107" s="2">
        <v>21602</v>
      </c>
      <c r="F107" s="3">
        <v>982</v>
      </c>
      <c r="G107" s="4">
        <v>480</v>
      </c>
      <c r="H107" s="3">
        <v>48.879837036132813</v>
      </c>
      <c r="I107" s="3">
        <v>1645</v>
      </c>
      <c r="J107" s="5">
        <v>862</v>
      </c>
      <c r="K107" s="5">
        <v>52.401214599609375</v>
      </c>
    </row>
    <row r="108" spans="1:11" x14ac:dyDescent="0.3">
      <c r="A108" s="1" t="s">
        <v>46</v>
      </c>
      <c r="B108" s="1" t="s">
        <v>143</v>
      </c>
      <c r="C108" s="1" t="s">
        <v>144</v>
      </c>
      <c r="D108" s="1" t="s">
        <v>144</v>
      </c>
      <c r="E108" s="2">
        <v>21701</v>
      </c>
      <c r="F108" s="3">
        <v>5138</v>
      </c>
      <c r="G108" s="4">
        <v>1311</v>
      </c>
      <c r="H108" s="3">
        <v>25.515764236450195</v>
      </c>
      <c r="I108" s="3">
        <v>6788</v>
      </c>
      <c r="J108" s="5">
        <v>1338</v>
      </c>
      <c r="K108" s="5">
        <v>19.71125602722168</v>
      </c>
    </row>
    <row r="109" spans="1:11" x14ac:dyDescent="0.3">
      <c r="A109" s="1" t="s">
        <v>46</v>
      </c>
      <c r="B109" s="1" t="s">
        <v>143</v>
      </c>
      <c r="C109" s="1" t="s">
        <v>145</v>
      </c>
      <c r="D109" s="1" t="s">
        <v>145</v>
      </c>
      <c r="E109" s="2">
        <v>21702</v>
      </c>
      <c r="F109" s="3">
        <v>2465</v>
      </c>
      <c r="G109" s="4">
        <v>493</v>
      </c>
      <c r="H109" s="3">
        <v>20</v>
      </c>
      <c r="I109" s="3">
        <v>3615</v>
      </c>
      <c r="J109" s="5">
        <v>701</v>
      </c>
      <c r="K109" s="5">
        <v>19.391424179077148</v>
      </c>
    </row>
    <row r="110" spans="1:11" x14ac:dyDescent="0.3">
      <c r="A110" s="1" t="s">
        <v>46</v>
      </c>
      <c r="B110" s="1" t="s">
        <v>143</v>
      </c>
      <c r="C110" s="1" t="s">
        <v>146</v>
      </c>
      <c r="D110" s="1" t="s">
        <v>146</v>
      </c>
      <c r="E110" s="2">
        <v>21703</v>
      </c>
      <c r="F110" s="3">
        <v>1295</v>
      </c>
      <c r="G110" s="4">
        <v>768</v>
      </c>
      <c r="H110" s="3">
        <v>59.305019378662109</v>
      </c>
      <c r="I110" s="3">
        <v>1472</v>
      </c>
      <c r="J110" s="5">
        <v>878</v>
      </c>
      <c r="K110" s="5">
        <v>59.646739959716797</v>
      </c>
    </row>
    <row r="111" spans="1:11" x14ac:dyDescent="0.3">
      <c r="A111" s="1" t="s">
        <v>46</v>
      </c>
      <c r="B111" s="1" t="s">
        <v>147</v>
      </c>
      <c r="C111" s="1" t="s">
        <v>148</v>
      </c>
      <c r="D111" s="1" t="s">
        <v>148</v>
      </c>
      <c r="E111" s="2">
        <v>21801</v>
      </c>
      <c r="F111" s="3">
        <v>2822</v>
      </c>
      <c r="G111" s="4">
        <v>1200</v>
      </c>
      <c r="H111" s="3">
        <v>42.523033142089844</v>
      </c>
      <c r="I111" s="3">
        <v>3447</v>
      </c>
      <c r="J111" s="5">
        <v>1121</v>
      </c>
      <c r="K111" s="5">
        <v>32.521034240722656</v>
      </c>
    </row>
    <row r="112" spans="1:11" x14ac:dyDescent="0.3">
      <c r="A112" s="1" t="s">
        <v>46</v>
      </c>
      <c r="B112" s="1" t="s">
        <v>149</v>
      </c>
      <c r="C112" s="1" t="s">
        <v>150</v>
      </c>
      <c r="D112" s="1" t="s">
        <v>150</v>
      </c>
      <c r="E112" s="2">
        <v>21802</v>
      </c>
      <c r="F112" s="3">
        <v>2426</v>
      </c>
      <c r="G112" s="4">
        <v>949</v>
      </c>
      <c r="H112" s="3">
        <v>39.117889404296875</v>
      </c>
      <c r="I112" s="3">
        <v>2865</v>
      </c>
      <c r="J112" s="5">
        <v>798</v>
      </c>
      <c r="K112" s="5">
        <v>27.853403091430664</v>
      </c>
    </row>
    <row r="113" spans="1:11" x14ac:dyDescent="0.3">
      <c r="A113" s="1" t="s">
        <v>46</v>
      </c>
      <c r="B113" s="1" t="s">
        <v>149</v>
      </c>
      <c r="C113" s="1" t="s">
        <v>151</v>
      </c>
      <c r="D113" s="1" t="s">
        <v>151</v>
      </c>
      <c r="E113" s="2">
        <v>21803</v>
      </c>
      <c r="F113" s="3">
        <v>769</v>
      </c>
      <c r="G113" s="4">
        <v>263</v>
      </c>
      <c r="H113" s="3">
        <v>34.200260162353516</v>
      </c>
      <c r="I113" s="3">
        <v>877</v>
      </c>
      <c r="J113" s="5">
        <v>251</v>
      </c>
      <c r="K113" s="5">
        <v>28.620296478271484</v>
      </c>
    </row>
    <row r="114" spans="1:11" x14ac:dyDescent="0.3">
      <c r="A114" s="1" t="s">
        <v>46</v>
      </c>
      <c r="B114" s="1" t="s">
        <v>152</v>
      </c>
      <c r="C114" s="1" t="s">
        <v>153</v>
      </c>
      <c r="D114" s="1" t="s">
        <v>153</v>
      </c>
      <c r="E114" s="2">
        <v>21901</v>
      </c>
      <c r="F114" s="3">
        <v>1824</v>
      </c>
      <c r="G114" s="4">
        <v>580</v>
      </c>
      <c r="H114" s="3">
        <v>31.798246383666992</v>
      </c>
      <c r="I114" s="3">
        <v>2944</v>
      </c>
      <c r="J114" s="5">
        <v>790</v>
      </c>
      <c r="K114" s="5">
        <v>26.834239959716797</v>
      </c>
    </row>
    <row r="115" spans="1:11" x14ac:dyDescent="0.3">
      <c r="A115" s="1" t="s">
        <v>46</v>
      </c>
      <c r="B115" s="1" t="s">
        <v>152</v>
      </c>
      <c r="C115" s="1" t="s">
        <v>154</v>
      </c>
      <c r="D115" s="1" t="s">
        <v>154</v>
      </c>
      <c r="E115" s="2">
        <v>21902</v>
      </c>
      <c r="F115" s="3">
        <v>736</v>
      </c>
      <c r="G115" s="4">
        <v>469</v>
      </c>
      <c r="H115" s="3">
        <v>63.722827911376953</v>
      </c>
      <c r="I115" s="3">
        <v>1686</v>
      </c>
      <c r="J115" s="5">
        <v>821</v>
      </c>
      <c r="K115" s="5">
        <v>48.695137023925781</v>
      </c>
    </row>
    <row r="116" spans="1:11" x14ac:dyDescent="0.3">
      <c r="A116" s="1" t="s">
        <v>46</v>
      </c>
      <c r="B116" s="1" t="s">
        <v>155</v>
      </c>
      <c r="C116" s="1" t="s">
        <v>155</v>
      </c>
      <c r="D116" s="1" t="s">
        <v>155</v>
      </c>
      <c r="E116" s="2">
        <v>22001</v>
      </c>
      <c r="F116" s="3">
        <v>17018</v>
      </c>
      <c r="G116" s="4">
        <v>6137</v>
      </c>
      <c r="H116" s="3">
        <v>36.061817169189453</v>
      </c>
      <c r="I116" s="3">
        <v>21003</v>
      </c>
      <c r="J116" s="5">
        <v>6189</v>
      </c>
      <c r="K116" s="5">
        <v>29.467218399047852</v>
      </c>
    </row>
    <row r="117" spans="1:11" x14ac:dyDescent="0.3">
      <c r="A117" s="1" t="s">
        <v>46</v>
      </c>
      <c r="B117" s="1" t="s">
        <v>155</v>
      </c>
      <c r="C117" s="1" t="s">
        <v>156</v>
      </c>
      <c r="D117" s="1" t="s">
        <v>156</v>
      </c>
      <c r="E117" s="2">
        <v>22002</v>
      </c>
      <c r="F117" s="3">
        <v>4210</v>
      </c>
      <c r="G117" s="4">
        <v>1367</v>
      </c>
      <c r="H117" s="3">
        <v>32.470310211181641</v>
      </c>
      <c r="I117" s="3">
        <v>4481</v>
      </c>
      <c r="J117" s="5">
        <v>1043</v>
      </c>
      <c r="K117" s="5">
        <v>23.276054382324219</v>
      </c>
    </row>
    <row r="118" spans="1:11" x14ac:dyDescent="0.3">
      <c r="A118" s="1" t="s">
        <v>157</v>
      </c>
      <c r="B118" s="1" t="s">
        <v>158</v>
      </c>
      <c r="C118" s="1" t="s">
        <v>157</v>
      </c>
      <c r="D118" s="1" t="s">
        <v>157</v>
      </c>
      <c r="E118" s="2">
        <v>30101</v>
      </c>
      <c r="F118" s="3">
        <v>177186</v>
      </c>
      <c r="G118" s="4">
        <v>48684</v>
      </c>
      <c r="H118" s="3">
        <v>27.476211547851563</v>
      </c>
      <c r="I118" s="3">
        <v>211714</v>
      </c>
      <c r="J118" s="5">
        <v>35153</v>
      </c>
      <c r="K118" s="5">
        <v>16.60400390625</v>
      </c>
    </row>
    <row r="119" spans="1:11" x14ac:dyDescent="0.3">
      <c r="A119" s="1" t="s">
        <v>157</v>
      </c>
      <c r="B119" s="1" t="s">
        <v>159</v>
      </c>
      <c r="C119" s="1" t="s">
        <v>160</v>
      </c>
      <c r="D119" s="1" t="s">
        <v>160</v>
      </c>
      <c r="E119" s="2">
        <v>30201</v>
      </c>
      <c r="F119" s="3">
        <v>6498</v>
      </c>
      <c r="G119" s="4">
        <v>2656</v>
      </c>
      <c r="H119" s="3">
        <v>40.874114990234375</v>
      </c>
      <c r="I119" s="3">
        <v>7084</v>
      </c>
      <c r="J119" s="5">
        <v>2041</v>
      </c>
      <c r="K119" s="5">
        <v>28.811405181884766</v>
      </c>
    </row>
    <row r="120" spans="1:11" x14ac:dyDescent="0.3">
      <c r="A120" s="1" t="s">
        <v>157</v>
      </c>
      <c r="B120" s="1" t="s">
        <v>159</v>
      </c>
      <c r="C120" s="1" t="s">
        <v>161</v>
      </c>
      <c r="D120" s="1" t="s">
        <v>161</v>
      </c>
      <c r="E120" s="2">
        <v>30202</v>
      </c>
      <c r="F120" s="3">
        <v>1537</v>
      </c>
      <c r="G120" s="4">
        <v>794</v>
      </c>
      <c r="H120" s="3">
        <v>51.659076690673828</v>
      </c>
      <c r="I120" s="3">
        <v>1749</v>
      </c>
      <c r="J120" s="5">
        <v>612</v>
      </c>
      <c r="K120" s="5">
        <v>34.991424560546875</v>
      </c>
    </row>
    <row r="121" spans="1:11" x14ac:dyDescent="0.3">
      <c r="A121" s="1" t="s">
        <v>157</v>
      </c>
      <c r="B121" s="1" t="s">
        <v>159</v>
      </c>
      <c r="C121" s="1" t="s">
        <v>162</v>
      </c>
      <c r="D121" s="1" t="s">
        <v>162</v>
      </c>
      <c r="E121" s="2">
        <v>30203</v>
      </c>
      <c r="F121" s="3">
        <v>1434</v>
      </c>
      <c r="G121" s="4">
        <v>664</v>
      </c>
      <c r="H121" s="3">
        <v>46.304042816162109</v>
      </c>
      <c r="I121" s="3">
        <v>1914</v>
      </c>
      <c r="J121" s="5">
        <v>677</v>
      </c>
      <c r="K121" s="5">
        <v>35.370952606201172</v>
      </c>
    </row>
    <row r="122" spans="1:11" x14ac:dyDescent="0.3">
      <c r="A122" s="1" t="s">
        <v>157</v>
      </c>
      <c r="B122" s="1" t="s">
        <v>163</v>
      </c>
      <c r="C122" s="1" t="s">
        <v>163</v>
      </c>
      <c r="D122" s="1" t="s">
        <v>164</v>
      </c>
      <c r="E122" s="2">
        <v>30301</v>
      </c>
      <c r="F122" s="3">
        <v>7346</v>
      </c>
      <c r="G122" s="4">
        <v>3129</v>
      </c>
      <c r="H122" s="3">
        <v>42.594608306884766</v>
      </c>
      <c r="I122" s="3">
        <v>8408</v>
      </c>
      <c r="J122" s="5">
        <v>2453</v>
      </c>
      <c r="K122" s="5">
        <v>29.174594879150391</v>
      </c>
    </row>
    <row r="123" spans="1:11" x14ac:dyDescent="0.3">
      <c r="A123" s="1" t="s">
        <v>157</v>
      </c>
      <c r="B123" s="1" t="s">
        <v>163</v>
      </c>
      <c r="C123" s="1" t="s">
        <v>165</v>
      </c>
      <c r="D123" s="1" t="s">
        <v>165</v>
      </c>
      <c r="E123" s="2">
        <v>30302</v>
      </c>
      <c r="F123" s="3">
        <v>3934</v>
      </c>
      <c r="G123" s="4">
        <v>1545</v>
      </c>
      <c r="H123" s="3">
        <v>39.273006439208984</v>
      </c>
      <c r="I123" s="3">
        <v>5073</v>
      </c>
      <c r="J123" s="5">
        <v>1650</v>
      </c>
      <c r="K123" s="5">
        <v>32.525131225585938</v>
      </c>
    </row>
    <row r="124" spans="1:11" x14ac:dyDescent="0.3">
      <c r="A124" s="1" t="s">
        <v>157</v>
      </c>
      <c r="B124" s="1" t="s">
        <v>163</v>
      </c>
      <c r="C124" s="1" t="s">
        <v>166</v>
      </c>
      <c r="D124" s="1" t="s">
        <v>166</v>
      </c>
      <c r="E124" s="2">
        <v>30303</v>
      </c>
      <c r="F124" s="3">
        <v>4919</v>
      </c>
      <c r="G124" s="4">
        <v>2402</v>
      </c>
      <c r="H124" s="3">
        <v>48.831062316894531</v>
      </c>
      <c r="I124" s="3">
        <v>7444</v>
      </c>
      <c r="J124" s="5">
        <v>2269</v>
      </c>
      <c r="K124" s="5">
        <v>30.480924606323242</v>
      </c>
    </row>
    <row r="125" spans="1:11" x14ac:dyDescent="0.3">
      <c r="A125" s="1" t="s">
        <v>157</v>
      </c>
      <c r="B125" s="1" t="s">
        <v>167</v>
      </c>
      <c r="C125" s="1" t="s">
        <v>168</v>
      </c>
      <c r="D125" s="1" t="s">
        <v>168</v>
      </c>
      <c r="E125" s="2">
        <v>30401</v>
      </c>
      <c r="F125" s="3">
        <v>2591</v>
      </c>
      <c r="G125" s="4">
        <v>617</v>
      </c>
      <c r="H125" s="3">
        <v>23.813199996948242</v>
      </c>
      <c r="I125" s="3">
        <v>4011</v>
      </c>
      <c r="J125" s="5">
        <v>761</v>
      </c>
      <c r="K125" s="5">
        <v>18.972824096679688</v>
      </c>
    </row>
    <row r="126" spans="1:11" x14ac:dyDescent="0.3">
      <c r="A126" s="1" t="s">
        <v>157</v>
      </c>
      <c r="B126" s="1" t="s">
        <v>167</v>
      </c>
      <c r="C126" s="1" t="s">
        <v>169</v>
      </c>
      <c r="D126" s="1" t="s">
        <v>170</v>
      </c>
      <c r="E126" s="2">
        <v>30402</v>
      </c>
      <c r="F126" s="3">
        <v>2636</v>
      </c>
      <c r="G126" s="4">
        <v>713</v>
      </c>
      <c r="H126" s="3">
        <v>27.048559188842773</v>
      </c>
      <c r="I126" s="3">
        <v>3347</v>
      </c>
      <c r="J126" s="5">
        <v>604</v>
      </c>
      <c r="K126" s="5">
        <v>18.046010971069336</v>
      </c>
    </row>
    <row r="127" spans="1:11" x14ac:dyDescent="0.3">
      <c r="A127" s="1" t="s">
        <v>157</v>
      </c>
      <c r="B127" s="1" t="s">
        <v>167</v>
      </c>
      <c r="C127" s="1" t="s">
        <v>171</v>
      </c>
      <c r="D127" s="1" t="s">
        <v>171</v>
      </c>
      <c r="E127" s="2">
        <v>30403</v>
      </c>
      <c r="F127" s="3">
        <v>5518</v>
      </c>
      <c r="G127" s="4">
        <v>1618</v>
      </c>
      <c r="H127" s="3">
        <v>29.32221794128418</v>
      </c>
      <c r="I127" s="3">
        <v>10801</v>
      </c>
      <c r="J127" s="5">
        <v>2617</v>
      </c>
      <c r="K127" s="5">
        <v>24.229238510131836</v>
      </c>
    </row>
    <row r="128" spans="1:11" x14ac:dyDescent="0.3">
      <c r="A128" s="1" t="s">
        <v>157</v>
      </c>
      <c r="B128" s="1" t="s">
        <v>167</v>
      </c>
      <c r="C128" s="1" t="s">
        <v>172</v>
      </c>
      <c r="D128" s="1" t="s">
        <v>172</v>
      </c>
      <c r="E128" s="2">
        <v>30404</v>
      </c>
      <c r="F128" s="3">
        <v>1472</v>
      </c>
      <c r="G128" s="4">
        <v>454</v>
      </c>
      <c r="H128" s="3">
        <v>30.842391967773438</v>
      </c>
      <c r="I128" s="3">
        <v>1849</v>
      </c>
      <c r="J128" s="5">
        <v>511</v>
      </c>
      <c r="K128" s="5">
        <v>27.636560440063477</v>
      </c>
    </row>
    <row r="129" spans="1:11" x14ac:dyDescent="0.3">
      <c r="A129" s="1" t="s">
        <v>157</v>
      </c>
      <c r="B129" s="1" t="s">
        <v>173</v>
      </c>
      <c r="C129" s="1" t="s">
        <v>173</v>
      </c>
      <c r="D129" s="1" t="s">
        <v>173</v>
      </c>
      <c r="E129" s="2">
        <v>30501</v>
      </c>
      <c r="F129" s="3">
        <v>3143</v>
      </c>
      <c r="G129" s="4">
        <v>733</v>
      </c>
      <c r="H129" s="3">
        <v>23.321666717529297</v>
      </c>
      <c r="I129" s="3">
        <v>4219</v>
      </c>
      <c r="J129" s="5">
        <v>718</v>
      </c>
      <c r="K129" s="5">
        <v>17.018251419067383</v>
      </c>
    </row>
    <row r="130" spans="1:11" x14ac:dyDescent="0.3">
      <c r="A130" s="1" t="s">
        <v>157</v>
      </c>
      <c r="B130" s="1" t="s">
        <v>173</v>
      </c>
      <c r="C130" s="1" t="s">
        <v>174</v>
      </c>
      <c r="D130" s="1" t="s">
        <v>174</v>
      </c>
      <c r="E130" s="2">
        <v>30502</v>
      </c>
      <c r="F130" s="3">
        <v>3201</v>
      </c>
      <c r="G130" s="4">
        <v>784</v>
      </c>
      <c r="H130" s="3">
        <v>24.492345809936523</v>
      </c>
      <c r="I130" s="3">
        <v>3590</v>
      </c>
      <c r="J130" s="5">
        <v>586</v>
      </c>
      <c r="K130" s="5">
        <v>16.3231201171875</v>
      </c>
    </row>
    <row r="131" spans="1:11" x14ac:dyDescent="0.3">
      <c r="A131" s="1" t="s">
        <v>157</v>
      </c>
      <c r="B131" s="1" t="s">
        <v>175</v>
      </c>
      <c r="C131" s="1" t="s">
        <v>175</v>
      </c>
      <c r="D131" s="1" t="s">
        <v>176</v>
      </c>
      <c r="E131" s="2">
        <v>30601</v>
      </c>
      <c r="F131" s="3">
        <v>3303</v>
      </c>
      <c r="G131" s="4">
        <v>1320</v>
      </c>
      <c r="H131" s="3">
        <v>39.963668823242188</v>
      </c>
      <c r="I131" s="3">
        <v>3885</v>
      </c>
      <c r="J131" s="5">
        <v>1200</v>
      </c>
      <c r="K131" s="5">
        <v>30.888031005859375</v>
      </c>
    </row>
    <row r="132" spans="1:11" x14ac:dyDescent="0.3">
      <c r="A132" s="1" t="s">
        <v>157</v>
      </c>
      <c r="B132" s="1" t="s">
        <v>175</v>
      </c>
      <c r="C132" s="1" t="s">
        <v>177</v>
      </c>
      <c r="D132" s="1" t="s">
        <v>177</v>
      </c>
      <c r="E132" s="2">
        <v>30602</v>
      </c>
      <c r="F132" s="3">
        <v>3337</v>
      </c>
      <c r="G132" s="4">
        <v>1227</v>
      </c>
      <c r="H132" s="3">
        <v>36.769554138183594</v>
      </c>
      <c r="I132" s="3">
        <v>4192</v>
      </c>
      <c r="J132" s="5">
        <v>1160</v>
      </c>
      <c r="K132" s="5">
        <v>27.671754837036133</v>
      </c>
    </row>
    <row r="133" spans="1:11" x14ac:dyDescent="0.3">
      <c r="A133" s="1" t="s">
        <v>157</v>
      </c>
      <c r="B133" s="1" t="s">
        <v>178</v>
      </c>
      <c r="C133" s="1" t="s">
        <v>178</v>
      </c>
      <c r="D133" s="1" t="s">
        <v>178</v>
      </c>
      <c r="E133" s="2">
        <v>30701</v>
      </c>
      <c r="F133" s="3">
        <v>5923</v>
      </c>
      <c r="G133" s="4">
        <v>1858</v>
      </c>
      <c r="H133" s="3">
        <v>31.369237899780273</v>
      </c>
      <c r="I133" s="3">
        <v>6963</v>
      </c>
      <c r="J133" s="5">
        <v>1254</v>
      </c>
      <c r="K133" s="5">
        <v>18.009479522705078</v>
      </c>
    </row>
    <row r="134" spans="1:11" x14ac:dyDescent="0.3">
      <c r="A134" s="1" t="s">
        <v>157</v>
      </c>
      <c r="B134" s="1" t="s">
        <v>178</v>
      </c>
      <c r="C134" s="1" t="s">
        <v>482</v>
      </c>
      <c r="D134" s="1" t="s">
        <v>179</v>
      </c>
      <c r="E134" s="2">
        <v>30702</v>
      </c>
      <c r="F134" s="3">
        <v>2398</v>
      </c>
      <c r="G134" s="4">
        <v>483</v>
      </c>
      <c r="H134" s="3">
        <v>20.14178466796875</v>
      </c>
      <c r="I134" s="3">
        <v>2999</v>
      </c>
      <c r="J134" s="5">
        <v>501</v>
      </c>
      <c r="K134" s="5">
        <v>16.705568313598633</v>
      </c>
    </row>
    <row r="135" spans="1:11" x14ac:dyDescent="0.3">
      <c r="A135" s="1" t="s">
        <v>157</v>
      </c>
      <c r="B135" s="1" t="s">
        <v>178</v>
      </c>
      <c r="C135" s="1" t="s">
        <v>180</v>
      </c>
      <c r="D135" s="1" t="s">
        <v>180</v>
      </c>
      <c r="E135" s="2">
        <v>30703</v>
      </c>
      <c r="F135" s="3">
        <v>1083</v>
      </c>
      <c r="G135" s="4">
        <v>489</v>
      </c>
      <c r="H135" s="3">
        <v>45.152355194091797</v>
      </c>
      <c r="I135" s="3">
        <v>1315</v>
      </c>
      <c r="J135" s="5">
        <v>418</v>
      </c>
      <c r="K135" s="5">
        <v>31.787073135375977</v>
      </c>
    </row>
    <row r="136" spans="1:11" x14ac:dyDescent="0.3">
      <c r="A136" s="1" t="s">
        <v>157</v>
      </c>
      <c r="B136" s="1" t="s">
        <v>181</v>
      </c>
      <c r="C136" s="1" t="s">
        <v>182</v>
      </c>
      <c r="D136" s="1" t="s">
        <v>182</v>
      </c>
      <c r="E136" s="2">
        <v>30801</v>
      </c>
      <c r="F136" s="3">
        <v>5952</v>
      </c>
      <c r="G136" s="4">
        <v>1670</v>
      </c>
      <c r="H136" s="3">
        <v>28.057796478271484</v>
      </c>
      <c r="I136" s="3">
        <v>6316</v>
      </c>
      <c r="J136" s="5">
        <v>1211</v>
      </c>
      <c r="K136" s="5">
        <v>19.173526763916016</v>
      </c>
    </row>
    <row r="137" spans="1:11" x14ac:dyDescent="0.3">
      <c r="A137" s="1" t="s">
        <v>157</v>
      </c>
      <c r="B137" s="1" t="s">
        <v>181</v>
      </c>
      <c r="C137" s="1" t="s">
        <v>183</v>
      </c>
      <c r="D137" s="1" t="s">
        <v>183</v>
      </c>
      <c r="E137" s="2">
        <v>30802</v>
      </c>
      <c r="F137" s="3">
        <v>2060</v>
      </c>
      <c r="G137" s="4">
        <v>550</v>
      </c>
      <c r="H137" s="3">
        <v>26.699029922485352</v>
      </c>
      <c r="I137" s="3">
        <v>2561</v>
      </c>
      <c r="J137" s="5">
        <v>581</v>
      </c>
      <c r="K137" s="5">
        <v>22.686450958251953</v>
      </c>
    </row>
    <row r="138" spans="1:11" x14ac:dyDescent="0.3">
      <c r="A138" s="1" t="s">
        <v>157</v>
      </c>
      <c r="B138" s="1" t="s">
        <v>181</v>
      </c>
      <c r="C138" s="1" t="s">
        <v>184</v>
      </c>
      <c r="D138" s="1" t="s">
        <v>184</v>
      </c>
      <c r="E138" s="2">
        <v>30803</v>
      </c>
      <c r="F138" s="3">
        <v>1470</v>
      </c>
      <c r="G138" s="4">
        <v>400</v>
      </c>
      <c r="H138" s="3">
        <v>27.210884094238281</v>
      </c>
      <c r="I138" s="3">
        <v>2504</v>
      </c>
      <c r="J138" s="5">
        <v>607</v>
      </c>
      <c r="K138" s="5">
        <v>24.241214752197266</v>
      </c>
    </row>
    <row r="139" spans="1:11" x14ac:dyDescent="0.3">
      <c r="A139" s="1" t="s">
        <v>157</v>
      </c>
      <c r="B139" s="1" t="s">
        <v>185</v>
      </c>
      <c r="C139" s="1" t="s">
        <v>185</v>
      </c>
      <c r="D139" s="1" t="s">
        <v>185</v>
      </c>
      <c r="E139" s="2">
        <v>30901</v>
      </c>
      <c r="F139" s="3">
        <v>35909</v>
      </c>
      <c r="G139" s="4">
        <v>12000</v>
      </c>
      <c r="H139" s="3">
        <v>33.417804718017578</v>
      </c>
      <c r="I139" s="3">
        <v>49071</v>
      </c>
      <c r="J139" s="5">
        <v>10535</v>
      </c>
      <c r="K139" s="5">
        <v>21.468891143798828</v>
      </c>
    </row>
    <row r="140" spans="1:11" x14ac:dyDescent="0.3">
      <c r="A140" s="1" t="s">
        <v>157</v>
      </c>
      <c r="B140" s="1" t="s">
        <v>185</v>
      </c>
      <c r="C140" s="1" t="s">
        <v>186</v>
      </c>
      <c r="D140" s="1" t="s">
        <v>186</v>
      </c>
      <c r="E140" s="2">
        <v>30902</v>
      </c>
      <c r="F140" s="3">
        <v>11593</v>
      </c>
      <c r="G140" s="4">
        <v>4330</v>
      </c>
      <c r="H140" s="3">
        <v>37.350124359130859</v>
      </c>
      <c r="I140" s="3">
        <v>17784</v>
      </c>
      <c r="J140" s="5">
        <v>4482</v>
      </c>
      <c r="K140" s="5">
        <v>25.202428817749023</v>
      </c>
    </row>
    <row r="141" spans="1:11" x14ac:dyDescent="0.3">
      <c r="A141" s="1" t="s">
        <v>157</v>
      </c>
      <c r="B141" s="1" t="s">
        <v>185</v>
      </c>
      <c r="C141" s="1" t="s">
        <v>187</v>
      </c>
      <c r="D141" s="1" t="s">
        <v>187</v>
      </c>
      <c r="E141" s="2">
        <v>30903</v>
      </c>
      <c r="F141" s="3">
        <v>13847</v>
      </c>
      <c r="G141" s="4">
        <v>4689</v>
      </c>
      <c r="H141" s="3">
        <v>33.862930297851563</v>
      </c>
      <c r="I141" s="3">
        <v>17891</v>
      </c>
      <c r="J141" s="5">
        <v>3562</v>
      </c>
      <c r="K141" s="5">
        <v>19.909452438354492</v>
      </c>
    </row>
    <row r="142" spans="1:11" x14ac:dyDescent="0.3">
      <c r="A142" s="1" t="s">
        <v>157</v>
      </c>
      <c r="B142" s="1" t="s">
        <v>185</v>
      </c>
      <c r="C142" s="1" t="s">
        <v>188</v>
      </c>
      <c r="D142" s="1" t="s">
        <v>188</v>
      </c>
      <c r="E142" s="2">
        <v>30904</v>
      </c>
      <c r="F142" s="3">
        <v>14303</v>
      </c>
      <c r="G142" s="4">
        <v>5182</v>
      </c>
      <c r="H142" s="3">
        <v>36.230159759521484</v>
      </c>
      <c r="I142" s="3">
        <v>17022</v>
      </c>
      <c r="J142" s="5">
        <v>3999</v>
      </c>
      <c r="K142" s="5">
        <v>23.493125915527344</v>
      </c>
    </row>
    <row r="143" spans="1:11" x14ac:dyDescent="0.3">
      <c r="A143" s="1" t="s">
        <v>157</v>
      </c>
      <c r="B143" s="1" t="s">
        <v>185</v>
      </c>
      <c r="C143" s="1" t="s">
        <v>189</v>
      </c>
      <c r="D143" s="1" t="s">
        <v>189</v>
      </c>
      <c r="E143" s="2">
        <v>30905</v>
      </c>
      <c r="F143" s="3">
        <v>13501</v>
      </c>
      <c r="G143" s="4">
        <v>4103</v>
      </c>
      <c r="H143" s="3">
        <v>30.390340805053711</v>
      </c>
      <c r="I143" s="3">
        <v>19150</v>
      </c>
      <c r="J143" s="5">
        <v>3549</v>
      </c>
      <c r="K143" s="5">
        <v>18.532636642456055</v>
      </c>
    </row>
    <row r="144" spans="1:11" x14ac:dyDescent="0.3">
      <c r="A144" s="1" t="s">
        <v>157</v>
      </c>
      <c r="B144" s="1" t="s">
        <v>190</v>
      </c>
      <c r="C144" s="1" t="s">
        <v>191</v>
      </c>
      <c r="D144" s="1" t="s">
        <v>191</v>
      </c>
      <c r="E144" s="2">
        <v>31001</v>
      </c>
      <c r="F144" s="3">
        <v>47511</v>
      </c>
      <c r="G144" s="4">
        <v>14018</v>
      </c>
      <c r="H144" s="3">
        <v>29.504745483398438</v>
      </c>
      <c r="I144" s="3">
        <v>69147</v>
      </c>
      <c r="J144" s="5">
        <v>13105</v>
      </c>
      <c r="K144" s="5">
        <v>18.952377319335938</v>
      </c>
    </row>
    <row r="145" spans="1:11" x14ac:dyDescent="0.3">
      <c r="A145" s="1" t="s">
        <v>157</v>
      </c>
      <c r="B145" s="1" t="s">
        <v>190</v>
      </c>
      <c r="C145" s="1" t="s">
        <v>192</v>
      </c>
      <c r="D145" s="1" t="s">
        <v>192</v>
      </c>
      <c r="E145" s="2">
        <v>31002</v>
      </c>
      <c r="F145" s="3">
        <v>6019</v>
      </c>
      <c r="G145" s="4">
        <v>2164</v>
      </c>
      <c r="H145" s="3">
        <v>35.952816009521484</v>
      </c>
      <c r="I145" s="3">
        <v>8447</v>
      </c>
      <c r="J145" s="5">
        <v>1809</v>
      </c>
      <c r="K145" s="5">
        <v>21.415887832641602</v>
      </c>
    </row>
    <row r="146" spans="1:11" x14ac:dyDescent="0.3">
      <c r="A146" s="1" t="s">
        <v>157</v>
      </c>
      <c r="B146" s="1" t="s">
        <v>190</v>
      </c>
      <c r="C146" s="1" t="s">
        <v>193</v>
      </c>
      <c r="D146" s="1" t="s">
        <v>193</v>
      </c>
      <c r="E146" s="2">
        <v>31003</v>
      </c>
      <c r="F146" s="3">
        <v>26722</v>
      </c>
      <c r="G146" s="4">
        <v>8896</v>
      </c>
      <c r="H146" s="3">
        <v>33.290920257568359</v>
      </c>
      <c r="I146" s="3">
        <v>41721</v>
      </c>
      <c r="J146" s="5">
        <v>9128</v>
      </c>
      <c r="K146" s="5">
        <v>21.878669738769531</v>
      </c>
    </row>
    <row r="147" spans="1:11" x14ac:dyDescent="0.3">
      <c r="A147" s="1" t="s">
        <v>157</v>
      </c>
      <c r="B147" s="1" t="s">
        <v>194</v>
      </c>
      <c r="C147" s="1" t="s">
        <v>194</v>
      </c>
      <c r="D147" s="1" t="s">
        <v>194</v>
      </c>
      <c r="E147" s="2">
        <v>31101</v>
      </c>
      <c r="F147" s="3">
        <v>8111</v>
      </c>
      <c r="G147" s="4">
        <v>3358</v>
      </c>
      <c r="H147" s="3">
        <v>41.400566101074219</v>
      </c>
      <c r="I147" s="3">
        <v>9588</v>
      </c>
      <c r="J147" s="5">
        <v>2835</v>
      </c>
      <c r="K147" s="5">
        <v>29.568210601806641</v>
      </c>
    </row>
    <row r="148" spans="1:11" x14ac:dyDescent="0.3">
      <c r="A148" s="1" t="s">
        <v>157</v>
      </c>
      <c r="B148" s="1" t="s">
        <v>195</v>
      </c>
      <c r="C148" s="1" t="s">
        <v>196</v>
      </c>
      <c r="D148" s="1" t="s">
        <v>196</v>
      </c>
      <c r="E148" s="2">
        <v>31201</v>
      </c>
      <c r="F148" s="3">
        <v>4727</v>
      </c>
      <c r="G148" s="4">
        <v>1870</v>
      </c>
      <c r="H148" s="3">
        <v>39.559974670410156</v>
      </c>
      <c r="I148" s="3">
        <v>5327</v>
      </c>
      <c r="J148" s="5">
        <v>1619</v>
      </c>
      <c r="K148" s="5">
        <v>30.392341613769531</v>
      </c>
    </row>
    <row r="149" spans="1:11" x14ac:dyDescent="0.3">
      <c r="A149" s="1" t="s">
        <v>157</v>
      </c>
      <c r="B149" s="1" t="s">
        <v>195</v>
      </c>
      <c r="C149" s="1" t="s">
        <v>197</v>
      </c>
      <c r="D149" s="1" t="s">
        <v>197</v>
      </c>
      <c r="E149" s="2">
        <v>31202</v>
      </c>
      <c r="F149" s="3">
        <v>3001</v>
      </c>
      <c r="G149" s="4">
        <v>1342</v>
      </c>
      <c r="H149" s="3">
        <v>44.718425750732422</v>
      </c>
      <c r="I149" s="3">
        <v>3683</v>
      </c>
      <c r="J149" s="5">
        <v>1302</v>
      </c>
      <c r="K149" s="5">
        <v>35.351615905761719</v>
      </c>
    </row>
    <row r="150" spans="1:11" x14ac:dyDescent="0.3">
      <c r="A150" s="1" t="s">
        <v>157</v>
      </c>
      <c r="B150" s="1" t="s">
        <v>195</v>
      </c>
      <c r="C150" s="1" t="s">
        <v>198</v>
      </c>
      <c r="D150" s="1" t="s">
        <v>198</v>
      </c>
      <c r="E150" s="2">
        <v>31203</v>
      </c>
      <c r="F150" s="3">
        <v>3537</v>
      </c>
      <c r="G150" s="4">
        <v>1193</v>
      </c>
      <c r="H150" s="3">
        <v>33.729148864746094</v>
      </c>
      <c r="I150" s="3">
        <v>4812</v>
      </c>
      <c r="J150" s="5">
        <v>1092</v>
      </c>
      <c r="K150" s="5">
        <v>22.693265914916992</v>
      </c>
    </row>
    <row r="151" spans="1:11" x14ac:dyDescent="0.3">
      <c r="A151" s="1" t="s">
        <v>157</v>
      </c>
      <c r="B151" s="1" t="s">
        <v>195</v>
      </c>
      <c r="C151" s="1" t="s">
        <v>199</v>
      </c>
      <c r="D151" s="1" t="s">
        <v>199</v>
      </c>
      <c r="E151" s="2">
        <v>31204</v>
      </c>
      <c r="F151" s="3">
        <v>7261</v>
      </c>
      <c r="G151" s="4">
        <v>2443</v>
      </c>
      <c r="H151" s="3">
        <v>33.645503997802734</v>
      </c>
      <c r="I151" s="3">
        <v>10508</v>
      </c>
      <c r="J151" s="5">
        <v>2484</v>
      </c>
      <c r="K151" s="5">
        <v>23.639131546020508</v>
      </c>
    </row>
    <row r="152" spans="1:11" x14ac:dyDescent="0.3">
      <c r="A152" s="1" t="s">
        <v>157</v>
      </c>
      <c r="B152" s="1" t="s">
        <v>195</v>
      </c>
      <c r="C152" s="1" t="s">
        <v>200</v>
      </c>
      <c r="D152" s="1" t="s">
        <v>200</v>
      </c>
      <c r="E152" s="2">
        <v>31205</v>
      </c>
      <c r="F152" s="3">
        <v>16948</v>
      </c>
      <c r="G152" s="4">
        <v>5648</v>
      </c>
      <c r="H152" s="3">
        <v>33.325466156005859</v>
      </c>
      <c r="I152" s="3">
        <v>25412</v>
      </c>
      <c r="J152" s="5">
        <v>6308</v>
      </c>
      <c r="K152" s="5">
        <v>24.822917938232422</v>
      </c>
    </row>
    <row r="153" spans="1:11" x14ac:dyDescent="0.3">
      <c r="A153" s="1" t="s">
        <v>157</v>
      </c>
      <c r="B153" s="1" t="s">
        <v>195</v>
      </c>
      <c r="C153" s="1" t="s">
        <v>201</v>
      </c>
      <c r="D153" s="1" t="s">
        <v>201</v>
      </c>
      <c r="E153" s="2">
        <v>31206</v>
      </c>
      <c r="F153" s="3">
        <v>12473</v>
      </c>
      <c r="G153" s="4">
        <v>3225</v>
      </c>
      <c r="H153" s="3">
        <v>25.85584831237793</v>
      </c>
      <c r="I153" s="3">
        <v>18138</v>
      </c>
      <c r="J153" s="5">
        <v>3896</v>
      </c>
      <c r="K153" s="5">
        <v>21.479766845703125</v>
      </c>
    </row>
    <row r="154" spans="1:11" x14ac:dyDescent="0.3">
      <c r="A154" s="1" t="s">
        <v>157</v>
      </c>
      <c r="B154" s="1" t="s">
        <v>202</v>
      </c>
      <c r="C154" s="1" t="s">
        <v>202</v>
      </c>
      <c r="D154" s="1" t="s">
        <v>202</v>
      </c>
      <c r="E154" s="2">
        <v>31301</v>
      </c>
      <c r="F154" s="3">
        <v>7911</v>
      </c>
      <c r="G154" s="4">
        <v>3276</v>
      </c>
      <c r="H154" s="3">
        <v>41.410694122314453</v>
      </c>
      <c r="I154" s="3">
        <v>6834</v>
      </c>
      <c r="J154" s="5">
        <v>1689</v>
      </c>
      <c r="K154" s="5">
        <v>24.714662551879883</v>
      </c>
    </row>
    <row r="155" spans="1:11" x14ac:dyDescent="0.3">
      <c r="A155" s="1" t="s">
        <v>157</v>
      </c>
      <c r="B155" s="1" t="s">
        <v>202</v>
      </c>
      <c r="C155" s="1" t="s">
        <v>203</v>
      </c>
      <c r="D155" s="1" t="s">
        <v>203</v>
      </c>
      <c r="E155" s="2">
        <v>31302</v>
      </c>
      <c r="F155" s="3">
        <v>1540</v>
      </c>
      <c r="G155" s="4">
        <v>697</v>
      </c>
      <c r="H155" s="3">
        <v>45.259738922119141</v>
      </c>
      <c r="I155" s="3">
        <v>1863</v>
      </c>
      <c r="J155" s="5">
        <v>589</v>
      </c>
      <c r="K155" s="5">
        <v>31.615673065185547</v>
      </c>
    </row>
    <row r="156" spans="1:11" x14ac:dyDescent="0.3">
      <c r="A156" s="1" t="s">
        <v>157</v>
      </c>
      <c r="B156" s="1" t="s">
        <v>202</v>
      </c>
      <c r="C156" s="1" t="s">
        <v>204</v>
      </c>
      <c r="D156" s="1" t="s">
        <v>204</v>
      </c>
      <c r="E156" s="2">
        <v>31303</v>
      </c>
      <c r="F156" s="3">
        <v>1122</v>
      </c>
      <c r="G156" s="4">
        <v>433</v>
      </c>
      <c r="H156" s="3">
        <v>38.591800689697266</v>
      </c>
      <c r="I156" s="3">
        <v>1274</v>
      </c>
      <c r="J156" s="5">
        <v>361</v>
      </c>
      <c r="K156" s="5">
        <v>28.335948944091797</v>
      </c>
    </row>
    <row r="157" spans="1:11" x14ac:dyDescent="0.3">
      <c r="A157" s="1" t="s">
        <v>157</v>
      </c>
      <c r="B157" s="1" t="s">
        <v>202</v>
      </c>
      <c r="C157" s="1" t="s">
        <v>205</v>
      </c>
      <c r="D157" s="1" t="s">
        <v>206</v>
      </c>
      <c r="E157" s="2">
        <v>31304</v>
      </c>
      <c r="F157" s="3">
        <v>7911</v>
      </c>
      <c r="G157" s="4">
        <v>3276</v>
      </c>
      <c r="H157" s="3">
        <v>41.410694122314453</v>
      </c>
      <c r="I157" s="3">
        <v>2636</v>
      </c>
      <c r="J157" s="5">
        <v>970</v>
      </c>
      <c r="K157" s="5">
        <v>36.798179626464844</v>
      </c>
    </row>
    <row r="158" spans="1:11" x14ac:dyDescent="0.3">
      <c r="A158" s="1" t="s">
        <v>157</v>
      </c>
      <c r="B158" s="1" t="s">
        <v>207</v>
      </c>
      <c r="C158" s="1" t="s">
        <v>207</v>
      </c>
      <c r="D158" s="1" t="s">
        <v>208</v>
      </c>
      <c r="E158" s="2">
        <v>31401</v>
      </c>
      <c r="F158" s="3">
        <v>8773</v>
      </c>
      <c r="G158" s="4">
        <v>2007</v>
      </c>
      <c r="H158" s="3">
        <v>22.877008438110352</v>
      </c>
      <c r="I158" s="3">
        <v>11292</v>
      </c>
      <c r="J158" s="5">
        <v>2179</v>
      </c>
      <c r="K158" s="5">
        <v>19.296846389770508</v>
      </c>
    </row>
    <row r="159" spans="1:11" x14ac:dyDescent="0.3">
      <c r="A159" s="1" t="s">
        <v>157</v>
      </c>
      <c r="B159" s="1" t="s">
        <v>207</v>
      </c>
      <c r="C159" s="1" t="s">
        <v>209</v>
      </c>
      <c r="D159" s="1" t="s">
        <v>209</v>
      </c>
      <c r="E159" s="2">
        <v>31402</v>
      </c>
      <c r="F159" s="3">
        <v>3037</v>
      </c>
      <c r="G159" s="4">
        <v>718</v>
      </c>
      <c r="H159" s="3">
        <v>23.641752243041992</v>
      </c>
      <c r="I159" s="3">
        <v>3238</v>
      </c>
      <c r="J159" s="5">
        <v>607</v>
      </c>
      <c r="K159" s="5">
        <v>18.746139526367188</v>
      </c>
    </row>
    <row r="160" spans="1:11" x14ac:dyDescent="0.3">
      <c r="A160" s="1" t="s">
        <v>157</v>
      </c>
      <c r="B160" s="1" t="s">
        <v>207</v>
      </c>
      <c r="C160" s="1" t="s">
        <v>210</v>
      </c>
      <c r="D160" s="1" t="s">
        <v>211</v>
      </c>
      <c r="E160" s="2">
        <v>31403</v>
      </c>
      <c r="F160" s="3">
        <v>3920</v>
      </c>
      <c r="G160" s="4">
        <v>1053</v>
      </c>
      <c r="H160" s="3">
        <v>26.862245559692383</v>
      </c>
      <c r="I160" s="3">
        <v>4306</v>
      </c>
      <c r="J160" s="5">
        <v>757</v>
      </c>
      <c r="K160" s="5">
        <v>17.580120086669922</v>
      </c>
    </row>
    <row r="161" spans="1:11" x14ac:dyDescent="0.3">
      <c r="A161" s="1" t="s">
        <v>157</v>
      </c>
      <c r="B161" s="1" t="s">
        <v>207</v>
      </c>
      <c r="C161" s="1" t="s">
        <v>212</v>
      </c>
      <c r="D161" s="1" t="s">
        <v>212</v>
      </c>
      <c r="E161" s="2">
        <v>31404</v>
      </c>
      <c r="F161" s="3">
        <v>359</v>
      </c>
      <c r="G161" s="4">
        <v>115</v>
      </c>
      <c r="H161" s="3">
        <v>32.033424377441406</v>
      </c>
      <c r="I161" s="3">
        <v>485</v>
      </c>
      <c r="J161" s="5">
        <v>82</v>
      </c>
      <c r="K161" s="5">
        <v>16.907217025756836</v>
      </c>
    </row>
    <row r="162" spans="1:11" x14ac:dyDescent="0.3">
      <c r="A162" s="1" t="s">
        <v>157</v>
      </c>
      <c r="B162" s="1" t="s">
        <v>207</v>
      </c>
      <c r="C162" s="1" t="s">
        <v>213</v>
      </c>
      <c r="D162" s="1" t="s">
        <v>213</v>
      </c>
      <c r="E162" s="2">
        <v>31405</v>
      </c>
      <c r="F162" s="3">
        <v>701</v>
      </c>
      <c r="G162" s="4">
        <v>313</v>
      </c>
      <c r="H162" s="3">
        <v>44.650497436523438</v>
      </c>
      <c r="I162" s="3">
        <v>1052</v>
      </c>
      <c r="J162" s="5">
        <v>324</v>
      </c>
      <c r="K162" s="5">
        <v>30.798479080200195</v>
      </c>
    </row>
    <row r="163" spans="1:11" x14ac:dyDescent="0.3">
      <c r="A163" s="1" t="s">
        <v>157</v>
      </c>
      <c r="B163" s="1" t="s">
        <v>214</v>
      </c>
      <c r="C163" s="1" t="s">
        <v>483</v>
      </c>
      <c r="D163" s="1" t="s">
        <v>214</v>
      </c>
      <c r="E163" s="2">
        <v>31501</v>
      </c>
      <c r="F163" s="3">
        <v>2366</v>
      </c>
      <c r="G163" s="4">
        <v>928</v>
      </c>
      <c r="H163" s="3">
        <v>39.222316741943359</v>
      </c>
      <c r="I163" s="3">
        <v>3156</v>
      </c>
      <c r="J163" s="5">
        <v>907</v>
      </c>
      <c r="K163" s="5">
        <v>28.738910675048828</v>
      </c>
    </row>
    <row r="164" spans="1:11" x14ac:dyDescent="0.3">
      <c r="A164" s="1" t="s">
        <v>157</v>
      </c>
      <c r="B164" s="1" t="s">
        <v>215</v>
      </c>
      <c r="C164" s="1" t="s">
        <v>215</v>
      </c>
      <c r="D164" s="1" t="s">
        <v>215</v>
      </c>
      <c r="E164" s="2">
        <v>31601</v>
      </c>
      <c r="F164" s="3">
        <v>6493</v>
      </c>
      <c r="G164" s="4">
        <v>2236</v>
      </c>
      <c r="H164" s="3">
        <v>34.437084197998047</v>
      </c>
      <c r="I164" s="3">
        <v>6640</v>
      </c>
      <c r="J164" s="5">
        <v>1466</v>
      </c>
      <c r="K164" s="5">
        <v>22.078313827514648</v>
      </c>
    </row>
    <row r="165" spans="1:11" x14ac:dyDescent="0.3">
      <c r="A165" s="1" t="s">
        <v>157</v>
      </c>
      <c r="B165" s="1" t="s">
        <v>215</v>
      </c>
      <c r="C165" s="1" t="s">
        <v>216</v>
      </c>
      <c r="D165" s="1" t="s">
        <v>216</v>
      </c>
      <c r="E165" s="2">
        <v>31602</v>
      </c>
      <c r="F165" s="3">
        <v>7607</v>
      </c>
      <c r="G165" s="4">
        <v>2427</v>
      </c>
      <c r="H165" s="3">
        <v>31.904825210571289</v>
      </c>
      <c r="I165" s="3">
        <v>10395</v>
      </c>
      <c r="J165" s="5">
        <v>2584</v>
      </c>
      <c r="K165" s="5">
        <v>24.858104705810547</v>
      </c>
    </row>
    <row r="166" spans="1:11" x14ac:dyDescent="0.3">
      <c r="A166" s="1" t="s">
        <v>217</v>
      </c>
      <c r="B166" s="1" t="s">
        <v>158</v>
      </c>
      <c r="C166" s="1" t="s">
        <v>217</v>
      </c>
      <c r="D166" s="1" t="s">
        <v>217</v>
      </c>
      <c r="E166" s="2">
        <v>40101</v>
      </c>
      <c r="F166" s="3">
        <v>76679</v>
      </c>
      <c r="G166" s="4">
        <v>25705</v>
      </c>
      <c r="H166" s="3">
        <v>33.522869110107422</v>
      </c>
      <c r="I166" s="3">
        <v>95867</v>
      </c>
      <c r="J166" s="5">
        <v>20687</v>
      </c>
      <c r="K166" s="5">
        <v>21.578853607177734</v>
      </c>
    </row>
    <row r="167" spans="1:11" x14ac:dyDescent="0.3">
      <c r="A167" s="1" t="s">
        <v>217</v>
      </c>
      <c r="B167" s="1" t="s">
        <v>158</v>
      </c>
      <c r="C167" s="1" t="s">
        <v>218</v>
      </c>
      <c r="D167" s="1" t="s">
        <v>218</v>
      </c>
      <c r="E167" s="2">
        <v>40102</v>
      </c>
      <c r="F167" s="3">
        <v>6690</v>
      </c>
      <c r="G167" s="4">
        <v>3106</v>
      </c>
      <c r="H167" s="3">
        <v>46.427505493164063</v>
      </c>
      <c r="I167" s="3">
        <v>7926</v>
      </c>
      <c r="J167" s="5">
        <v>2536</v>
      </c>
      <c r="K167" s="5">
        <v>31.995962142944336</v>
      </c>
    </row>
    <row r="168" spans="1:11" x14ac:dyDescent="0.3">
      <c r="A168" s="1" t="s">
        <v>217</v>
      </c>
      <c r="B168" s="1" t="s">
        <v>158</v>
      </c>
      <c r="C168" s="1" t="s">
        <v>219</v>
      </c>
      <c r="D168" s="1" t="s">
        <v>219</v>
      </c>
      <c r="E168" s="2">
        <v>40103</v>
      </c>
      <c r="F168" s="3">
        <v>3260</v>
      </c>
      <c r="G168" s="4">
        <v>1292</v>
      </c>
      <c r="H168" s="3">
        <v>39.631900787353516</v>
      </c>
      <c r="I168" s="3">
        <v>3771</v>
      </c>
      <c r="J168" s="5">
        <v>1390</v>
      </c>
      <c r="K168" s="5">
        <v>36.860248565673828</v>
      </c>
    </row>
    <row r="169" spans="1:11" x14ac:dyDescent="0.3">
      <c r="A169" s="1" t="s">
        <v>217</v>
      </c>
      <c r="B169" s="1" t="s">
        <v>158</v>
      </c>
      <c r="C169" s="1" t="s">
        <v>220</v>
      </c>
      <c r="D169" s="1" t="s">
        <v>221</v>
      </c>
      <c r="E169" s="2">
        <v>40104</v>
      </c>
      <c r="F169" s="3">
        <v>3460</v>
      </c>
      <c r="G169" s="4">
        <v>1701</v>
      </c>
      <c r="H169" s="3">
        <v>49.161849975585938</v>
      </c>
      <c r="I169" s="3">
        <v>5440</v>
      </c>
      <c r="J169" s="5">
        <v>1881</v>
      </c>
      <c r="K169" s="5">
        <v>34.577205657958984</v>
      </c>
    </row>
    <row r="170" spans="1:11" x14ac:dyDescent="0.3">
      <c r="A170" s="1" t="s">
        <v>217</v>
      </c>
      <c r="B170" s="1" t="s">
        <v>222</v>
      </c>
      <c r="C170" s="1" t="s">
        <v>223</v>
      </c>
      <c r="D170" s="1" t="s">
        <v>223</v>
      </c>
      <c r="E170" s="2">
        <v>40201</v>
      </c>
      <c r="F170" s="3">
        <v>9665</v>
      </c>
      <c r="G170" s="4">
        <v>3199</v>
      </c>
      <c r="H170" s="3">
        <v>33.098808288574219</v>
      </c>
      <c r="I170" s="3">
        <v>13476</v>
      </c>
      <c r="J170" s="5">
        <v>3926</v>
      </c>
      <c r="K170" s="5">
        <v>29.133274078369141</v>
      </c>
    </row>
    <row r="171" spans="1:11" x14ac:dyDescent="0.3">
      <c r="A171" s="1" t="s">
        <v>217</v>
      </c>
      <c r="B171" s="1" t="s">
        <v>222</v>
      </c>
      <c r="C171" s="1" t="s">
        <v>224</v>
      </c>
      <c r="D171" s="1" t="s">
        <v>224</v>
      </c>
      <c r="E171" s="2">
        <v>40202</v>
      </c>
      <c r="F171" s="3">
        <v>1551</v>
      </c>
      <c r="G171" s="4">
        <v>505</v>
      </c>
      <c r="H171" s="3">
        <v>32.559638977050781</v>
      </c>
      <c r="I171" s="3">
        <v>2309</v>
      </c>
      <c r="J171" s="5">
        <v>564</v>
      </c>
      <c r="K171" s="5">
        <v>24.426158905029297</v>
      </c>
    </row>
    <row r="172" spans="1:11" x14ac:dyDescent="0.3">
      <c r="A172" s="1" t="s">
        <v>217</v>
      </c>
      <c r="B172" s="1" t="s">
        <v>225</v>
      </c>
      <c r="C172" s="1" t="s">
        <v>226</v>
      </c>
      <c r="D172" s="1" t="s">
        <v>226</v>
      </c>
      <c r="E172" s="2">
        <v>40301</v>
      </c>
      <c r="F172" s="3">
        <v>3168</v>
      </c>
      <c r="G172" s="4">
        <v>1122</v>
      </c>
      <c r="H172" s="3">
        <v>35.416667938232422</v>
      </c>
      <c r="I172" s="3">
        <v>4631</v>
      </c>
      <c r="J172" s="5">
        <v>2173</v>
      </c>
      <c r="K172" s="5">
        <v>46.92291259765625</v>
      </c>
    </row>
    <row r="173" spans="1:11" x14ac:dyDescent="0.3">
      <c r="A173" s="1" t="s">
        <v>217</v>
      </c>
      <c r="B173" s="1" t="s">
        <v>225</v>
      </c>
      <c r="C173" s="1" t="s">
        <v>227</v>
      </c>
      <c r="D173" s="1" t="s">
        <v>227</v>
      </c>
      <c r="E173" s="2">
        <v>40302</v>
      </c>
      <c r="F173" s="3">
        <v>516</v>
      </c>
      <c r="G173" s="4">
        <v>276</v>
      </c>
      <c r="H173" s="3">
        <v>53.488372802734375</v>
      </c>
      <c r="I173" s="3">
        <v>668</v>
      </c>
      <c r="J173" s="5">
        <v>357</v>
      </c>
      <c r="K173" s="5">
        <v>53.443115234375</v>
      </c>
    </row>
    <row r="174" spans="1:11" x14ac:dyDescent="0.3">
      <c r="A174" s="1" t="s">
        <v>217</v>
      </c>
      <c r="B174" s="1" t="s">
        <v>228</v>
      </c>
      <c r="C174" s="1" t="s">
        <v>229</v>
      </c>
      <c r="D174" s="1" t="s">
        <v>229</v>
      </c>
      <c r="E174" s="2">
        <v>40401</v>
      </c>
      <c r="F174" s="3">
        <v>1349</v>
      </c>
      <c r="G174" s="4">
        <v>460</v>
      </c>
      <c r="H174" s="3">
        <v>34.099334716796875</v>
      </c>
      <c r="I174" s="3">
        <v>1976</v>
      </c>
      <c r="J174" s="5">
        <v>795</v>
      </c>
      <c r="K174" s="5">
        <v>40.232791900634766</v>
      </c>
    </row>
    <row r="175" spans="1:11" x14ac:dyDescent="0.3">
      <c r="A175" s="1" t="s">
        <v>217</v>
      </c>
      <c r="B175" s="1" t="s">
        <v>228</v>
      </c>
      <c r="C175" s="1" t="s">
        <v>230</v>
      </c>
      <c r="D175" s="1" t="s">
        <v>230</v>
      </c>
      <c r="E175" s="2">
        <v>40402</v>
      </c>
      <c r="F175" s="3">
        <v>1550</v>
      </c>
      <c r="G175" s="4">
        <v>735</v>
      </c>
      <c r="H175" s="3">
        <v>47.419353485107422</v>
      </c>
      <c r="I175" s="3">
        <v>1754</v>
      </c>
      <c r="J175" s="5">
        <v>745</v>
      </c>
      <c r="K175" s="5">
        <v>42.474346160888672</v>
      </c>
    </row>
    <row r="176" spans="1:11" x14ac:dyDescent="0.3">
      <c r="A176" s="1" t="s">
        <v>217</v>
      </c>
      <c r="B176" s="1" t="s">
        <v>231</v>
      </c>
      <c r="C176" s="1" t="s">
        <v>232</v>
      </c>
      <c r="D176" s="1" t="s">
        <v>232</v>
      </c>
      <c r="E176" s="2">
        <v>40501</v>
      </c>
      <c r="F176" s="3">
        <v>349</v>
      </c>
      <c r="G176" s="4">
        <v>44</v>
      </c>
      <c r="H176" s="3">
        <v>12.607449531555176</v>
      </c>
      <c r="I176" s="3">
        <v>1186</v>
      </c>
      <c r="J176" s="5">
        <v>424</v>
      </c>
      <c r="K176" s="5">
        <v>35.750423431396484</v>
      </c>
    </row>
    <row r="177" spans="1:11" x14ac:dyDescent="0.3">
      <c r="A177" s="1" t="s">
        <v>217</v>
      </c>
      <c r="B177" s="1" t="s">
        <v>231</v>
      </c>
      <c r="C177" s="1" t="s">
        <v>233</v>
      </c>
      <c r="D177" s="1" t="s">
        <v>233</v>
      </c>
      <c r="E177" s="2">
        <v>40502</v>
      </c>
      <c r="F177" s="3">
        <v>1082</v>
      </c>
      <c r="G177" s="4">
        <v>691</v>
      </c>
      <c r="H177" s="3">
        <v>63.863216400146484</v>
      </c>
      <c r="I177" s="3">
        <v>1053</v>
      </c>
      <c r="J177" s="5">
        <v>571</v>
      </c>
      <c r="K177" s="5">
        <v>54.226020812988281</v>
      </c>
    </row>
    <row r="178" spans="1:11" x14ac:dyDescent="0.3">
      <c r="A178" s="1" t="s">
        <v>217</v>
      </c>
      <c r="B178" s="1" t="s">
        <v>231</v>
      </c>
      <c r="C178" s="1" t="s">
        <v>234</v>
      </c>
      <c r="D178" s="1" t="s">
        <v>234</v>
      </c>
      <c r="E178" s="2">
        <v>40503</v>
      </c>
      <c r="F178" s="3">
        <v>584</v>
      </c>
      <c r="G178" s="4">
        <v>348</v>
      </c>
      <c r="H178" s="3">
        <v>59.589042663574219</v>
      </c>
      <c r="I178" s="3">
        <v>350</v>
      </c>
      <c r="J178" s="5">
        <v>187</v>
      </c>
      <c r="K178" s="5">
        <v>53.428569793701172</v>
      </c>
    </row>
    <row r="179" spans="1:11" x14ac:dyDescent="0.3">
      <c r="A179" s="1" t="s">
        <v>217</v>
      </c>
      <c r="B179" s="1" t="s">
        <v>231</v>
      </c>
      <c r="C179" s="1" t="s">
        <v>235</v>
      </c>
      <c r="D179" s="1" t="s">
        <v>235</v>
      </c>
      <c r="E179" s="2">
        <v>40504</v>
      </c>
      <c r="F179" s="3">
        <v>169</v>
      </c>
      <c r="G179" s="4">
        <v>89</v>
      </c>
      <c r="H179" s="3">
        <v>52.662723541259766</v>
      </c>
      <c r="I179" s="3">
        <v>173</v>
      </c>
      <c r="J179" s="5">
        <v>100</v>
      </c>
      <c r="K179" s="5">
        <v>57.803466796875</v>
      </c>
    </row>
    <row r="180" spans="1:11" x14ac:dyDescent="0.3">
      <c r="A180" s="1" t="s">
        <v>217</v>
      </c>
      <c r="B180" s="1" t="s">
        <v>231</v>
      </c>
      <c r="C180" s="1" t="s">
        <v>236</v>
      </c>
      <c r="D180" s="1" t="s">
        <v>236</v>
      </c>
      <c r="E180" s="2">
        <v>40505</v>
      </c>
      <c r="F180" s="3">
        <v>714</v>
      </c>
      <c r="G180" s="4">
        <v>423</v>
      </c>
      <c r="H180" s="3">
        <v>59.243698120117188</v>
      </c>
      <c r="I180" s="3">
        <v>872</v>
      </c>
      <c r="J180" s="5">
        <v>570</v>
      </c>
      <c r="K180" s="5">
        <v>65.366973876953125</v>
      </c>
    </row>
    <row r="181" spans="1:11" x14ac:dyDescent="0.3">
      <c r="A181" s="1" t="s">
        <v>217</v>
      </c>
      <c r="B181" s="1" t="s">
        <v>237</v>
      </c>
      <c r="C181" s="1" t="s">
        <v>237</v>
      </c>
      <c r="D181" s="1" t="s">
        <v>238</v>
      </c>
      <c r="E181" s="2">
        <v>40601</v>
      </c>
      <c r="F181" s="3">
        <v>2838</v>
      </c>
      <c r="G181" s="4">
        <v>831</v>
      </c>
      <c r="H181" s="3">
        <v>29.281183242797852</v>
      </c>
      <c r="I181" s="3">
        <v>3627</v>
      </c>
      <c r="J181" s="5">
        <v>997</v>
      </c>
      <c r="K181" s="5">
        <v>27.488283157348633</v>
      </c>
    </row>
    <row r="182" spans="1:11" x14ac:dyDescent="0.3">
      <c r="A182" s="1" t="s">
        <v>217</v>
      </c>
      <c r="B182" s="1" t="s">
        <v>237</v>
      </c>
      <c r="C182" s="1" t="s">
        <v>239</v>
      </c>
      <c r="D182" s="1" t="s">
        <v>239</v>
      </c>
      <c r="E182" s="2">
        <v>40602</v>
      </c>
      <c r="F182" s="3">
        <v>2185</v>
      </c>
      <c r="G182" s="4">
        <v>694</v>
      </c>
      <c r="H182" s="3">
        <v>31.762014389038086</v>
      </c>
      <c r="I182" s="3">
        <v>1760</v>
      </c>
      <c r="J182" s="5">
        <v>390</v>
      </c>
      <c r="K182" s="5">
        <v>22.159090042114258</v>
      </c>
    </row>
    <row r="183" spans="1:11" x14ac:dyDescent="0.3">
      <c r="A183" s="1" t="s">
        <v>217</v>
      </c>
      <c r="B183" s="1" t="s">
        <v>237</v>
      </c>
      <c r="C183" s="1" t="s">
        <v>240</v>
      </c>
      <c r="D183" s="1" t="s">
        <v>240</v>
      </c>
      <c r="E183" s="2">
        <v>40603</v>
      </c>
      <c r="F183" s="3">
        <v>1158</v>
      </c>
      <c r="G183" s="4">
        <v>407</v>
      </c>
      <c r="H183" s="3">
        <v>35.146804809570313</v>
      </c>
      <c r="I183" s="3">
        <v>1448</v>
      </c>
      <c r="J183" s="5">
        <v>381</v>
      </c>
      <c r="K183" s="5">
        <v>26.312154769897461</v>
      </c>
    </row>
    <row r="184" spans="1:11" x14ac:dyDescent="0.3">
      <c r="A184" s="1" t="s">
        <v>217</v>
      </c>
      <c r="B184" s="1" t="s">
        <v>241</v>
      </c>
      <c r="C184" s="1" t="s">
        <v>242</v>
      </c>
      <c r="D184" s="1" t="s">
        <v>243</v>
      </c>
      <c r="E184" s="2">
        <v>40701</v>
      </c>
      <c r="F184" s="3">
        <v>7188</v>
      </c>
      <c r="G184" s="4">
        <v>2726</v>
      </c>
      <c r="H184" s="3">
        <v>37.92431640625</v>
      </c>
      <c r="I184" s="3">
        <v>6412</v>
      </c>
      <c r="J184" s="5">
        <v>1440</v>
      </c>
      <c r="K184" s="5">
        <v>22.457891464233398</v>
      </c>
    </row>
    <row r="185" spans="1:11" x14ac:dyDescent="0.3">
      <c r="A185" s="1" t="s">
        <v>217</v>
      </c>
      <c r="B185" s="1" t="s">
        <v>241</v>
      </c>
      <c r="C185" s="1" t="s">
        <v>244</v>
      </c>
      <c r="D185" s="1" t="s">
        <v>244</v>
      </c>
      <c r="E185" s="2">
        <v>40702</v>
      </c>
      <c r="F185" s="3">
        <v>1556</v>
      </c>
      <c r="G185" s="4">
        <v>519</v>
      </c>
      <c r="H185" s="3">
        <v>33.354755401611328</v>
      </c>
      <c r="I185" s="3">
        <v>2171</v>
      </c>
      <c r="J185" s="5">
        <v>572</v>
      </c>
      <c r="K185" s="5">
        <v>26.347305297851563</v>
      </c>
    </row>
    <row r="186" spans="1:11" x14ac:dyDescent="0.3">
      <c r="A186" s="1" t="s">
        <v>217</v>
      </c>
      <c r="B186" s="1" t="s">
        <v>245</v>
      </c>
      <c r="C186" s="1" t="s">
        <v>484</v>
      </c>
      <c r="D186" s="1" t="s">
        <v>246</v>
      </c>
      <c r="E186" s="2">
        <v>40801</v>
      </c>
      <c r="F186" s="3">
        <v>3924</v>
      </c>
      <c r="G186" s="4">
        <v>1772</v>
      </c>
      <c r="H186" s="3">
        <v>45.158000946044922</v>
      </c>
      <c r="I186" s="3">
        <v>5938</v>
      </c>
      <c r="J186" s="5">
        <v>2140</v>
      </c>
      <c r="K186" s="5">
        <v>36.039070129394531</v>
      </c>
    </row>
    <row r="187" spans="1:11" x14ac:dyDescent="0.3">
      <c r="A187" s="1" t="s">
        <v>217</v>
      </c>
      <c r="B187" s="1" t="s">
        <v>245</v>
      </c>
      <c r="C187" s="1" t="s">
        <v>247</v>
      </c>
      <c r="D187" s="1" t="s">
        <v>247</v>
      </c>
      <c r="E187" s="2">
        <v>40802</v>
      </c>
      <c r="F187" s="3">
        <v>1040</v>
      </c>
      <c r="G187" s="4">
        <v>408</v>
      </c>
      <c r="H187" s="3">
        <v>39.230770111083984</v>
      </c>
      <c r="I187" s="3">
        <v>1267</v>
      </c>
      <c r="J187" s="5">
        <v>373</v>
      </c>
      <c r="K187" s="5">
        <v>29.439620971679688</v>
      </c>
    </row>
    <row r="188" spans="1:11" x14ac:dyDescent="0.3">
      <c r="A188" s="1" t="s">
        <v>217</v>
      </c>
      <c r="B188" s="1" t="s">
        <v>248</v>
      </c>
      <c r="C188" s="1" t="s">
        <v>248</v>
      </c>
      <c r="D188" s="1" t="s">
        <v>248</v>
      </c>
      <c r="E188" s="2">
        <v>40901</v>
      </c>
      <c r="F188" s="3">
        <v>2240</v>
      </c>
      <c r="G188" s="4">
        <v>1258</v>
      </c>
      <c r="H188" s="3">
        <v>56.160713195800781</v>
      </c>
      <c r="I188" s="3">
        <v>3837</v>
      </c>
      <c r="J188" s="5">
        <v>1970</v>
      </c>
      <c r="K188" s="5">
        <v>51.342193603515625</v>
      </c>
    </row>
    <row r="189" spans="1:11" x14ac:dyDescent="0.3">
      <c r="A189" s="1" t="s">
        <v>217</v>
      </c>
      <c r="B189" s="1" t="s">
        <v>248</v>
      </c>
      <c r="C189" s="1" t="s">
        <v>249</v>
      </c>
      <c r="D189" s="1" t="s">
        <v>249</v>
      </c>
      <c r="E189" s="2">
        <v>40902</v>
      </c>
      <c r="F189" s="3">
        <v>253</v>
      </c>
      <c r="G189" s="4">
        <v>139</v>
      </c>
      <c r="H189" s="3">
        <v>54.940711975097656</v>
      </c>
      <c r="I189" s="3">
        <v>352</v>
      </c>
      <c r="J189" s="5">
        <v>172</v>
      </c>
      <c r="K189" s="5">
        <v>48.863636016845703</v>
      </c>
    </row>
    <row r="190" spans="1:11" x14ac:dyDescent="0.3">
      <c r="A190" s="1" t="s">
        <v>217</v>
      </c>
      <c r="B190" s="1" t="s">
        <v>248</v>
      </c>
      <c r="C190" s="1" t="s">
        <v>485</v>
      </c>
      <c r="D190" s="1" t="s">
        <v>250</v>
      </c>
      <c r="E190" s="2">
        <v>40903</v>
      </c>
      <c r="F190" s="3">
        <v>585</v>
      </c>
      <c r="G190" s="4">
        <v>291</v>
      </c>
      <c r="H190" s="3">
        <v>49.74359130859375</v>
      </c>
      <c r="I190" s="3">
        <v>1091</v>
      </c>
      <c r="J190" s="5">
        <v>250</v>
      </c>
      <c r="K190" s="5">
        <v>22.914756774902344</v>
      </c>
    </row>
    <row r="191" spans="1:11" x14ac:dyDescent="0.3">
      <c r="A191" s="1" t="s">
        <v>217</v>
      </c>
      <c r="B191" s="1" t="s">
        <v>251</v>
      </c>
      <c r="C191" s="1" t="s">
        <v>252</v>
      </c>
      <c r="D191" s="1" t="s">
        <v>252</v>
      </c>
      <c r="E191" s="2">
        <v>41001</v>
      </c>
      <c r="F191" s="3">
        <v>4329</v>
      </c>
      <c r="G191" s="4">
        <v>1291</v>
      </c>
      <c r="H191" s="3">
        <v>29.82213020324707</v>
      </c>
      <c r="I191" s="3">
        <v>4699</v>
      </c>
      <c r="J191" s="5">
        <v>1650</v>
      </c>
      <c r="K191" s="5">
        <v>35.113853454589844</v>
      </c>
    </row>
    <row r="192" spans="1:11" x14ac:dyDescent="0.3">
      <c r="A192" s="1" t="s">
        <v>217</v>
      </c>
      <c r="B192" s="1" t="s">
        <v>253</v>
      </c>
      <c r="C192" s="1" t="s">
        <v>254</v>
      </c>
      <c r="D192" s="1" t="s">
        <v>254</v>
      </c>
      <c r="E192" s="2">
        <v>41101</v>
      </c>
      <c r="F192" s="3">
        <v>1898</v>
      </c>
      <c r="G192" s="4">
        <v>633</v>
      </c>
      <c r="H192" s="3">
        <v>33.350894927978516</v>
      </c>
      <c r="I192" s="3">
        <v>1930</v>
      </c>
      <c r="J192" s="5">
        <v>558</v>
      </c>
      <c r="K192" s="5">
        <v>28.911916732788086</v>
      </c>
    </row>
    <row r="193" spans="1:11" x14ac:dyDescent="0.3">
      <c r="A193" s="1" t="s">
        <v>217</v>
      </c>
      <c r="B193" s="1" t="s">
        <v>255</v>
      </c>
      <c r="C193" s="1" t="s">
        <v>256</v>
      </c>
      <c r="D193" s="1" t="s">
        <v>257</v>
      </c>
      <c r="E193" s="2">
        <v>41201</v>
      </c>
      <c r="F193" s="3">
        <v>1991</v>
      </c>
      <c r="G193" s="4">
        <v>659</v>
      </c>
      <c r="H193" s="3">
        <v>33.098945617675781</v>
      </c>
      <c r="I193" s="3">
        <v>2267</v>
      </c>
      <c r="J193" s="5">
        <v>813</v>
      </c>
      <c r="K193" s="5">
        <v>35.862373352050781</v>
      </c>
    </row>
    <row r="194" spans="1:11" x14ac:dyDescent="0.3">
      <c r="A194" s="1" t="s">
        <v>217</v>
      </c>
      <c r="B194" s="1" t="s">
        <v>255</v>
      </c>
      <c r="C194" s="1" t="s">
        <v>258</v>
      </c>
      <c r="D194" s="1" t="s">
        <v>258</v>
      </c>
      <c r="E194" s="2">
        <v>41202</v>
      </c>
      <c r="F194" s="3">
        <v>727</v>
      </c>
      <c r="G194" s="4">
        <v>262</v>
      </c>
      <c r="H194" s="3">
        <v>36.03851318359375</v>
      </c>
      <c r="I194" s="3">
        <v>1091</v>
      </c>
      <c r="J194" s="5">
        <v>363</v>
      </c>
      <c r="K194" s="5">
        <v>33.272228240966797</v>
      </c>
    </row>
    <row r="195" spans="1:11" x14ac:dyDescent="0.3">
      <c r="A195" s="1" t="s">
        <v>217</v>
      </c>
      <c r="B195" s="1" t="s">
        <v>259</v>
      </c>
      <c r="C195" s="1" t="s">
        <v>196</v>
      </c>
      <c r="D195" s="1" t="s">
        <v>196</v>
      </c>
      <c r="E195" s="2">
        <v>41301</v>
      </c>
      <c r="F195" s="3">
        <v>1886</v>
      </c>
      <c r="G195" s="4">
        <v>729</v>
      </c>
      <c r="H195" s="3">
        <v>38.653232574462891</v>
      </c>
      <c r="I195" s="3">
        <v>2590</v>
      </c>
      <c r="J195" s="5">
        <v>820</v>
      </c>
      <c r="K195" s="5">
        <v>31.660232543945313</v>
      </c>
    </row>
    <row r="196" spans="1:11" x14ac:dyDescent="0.3">
      <c r="A196" s="1" t="s">
        <v>217</v>
      </c>
      <c r="B196" s="1" t="s">
        <v>260</v>
      </c>
      <c r="C196" s="1" t="s">
        <v>261</v>
      </c>
      <c r="D196" s="1" t="s">
        <v>261</v>
      </c>
      <c r="E196" s="2">
        <v>41401</v>
      </c>
      <c r="F196" s="3">
        <v>4502</v>
      </c>
      <c r="G196" s="4">
        <v>1689</v>
      </c>
      <c r="H196" s="3">
        <v>37.516658782958984</v>
      </c>
      <c r="I196" s="3">
        <v>4612</v>
      </c>
      <c r="J196" s="5">
        <v>1538</v>
      </c>
      <c r="K196" s="5">
        <v>33.347789764404297</v>
      </c>
    </row>
    <row r="197" spans="1:11" x14ac:dyDescent="0.3">
      <c r="A197" s="1" t="s">
        <v>217</v>
      </c>
      <c r="B197" s="1" t="s">
        <v>262</v>
      </c>
      <c r="C197" s="1" t="s">
        <v>263</v>
      </c>
      <c r="D197" s="1" t="s">
        <v>263</v>
      </c>
      <c r="E197" s="2">
        <v>41501</v>
      </c>
      <c r="F197" s="3">
        <v>180</v>
      </c>
      <c r="G197" s="4">
        <v>83</v>
      </c>
      <c r="H197" s="3">
        <v>46.111110687255859</v>
      </c>
      <c r="I197" s="3">
        <v>283</v>
      </c>
      <c r="J197" s="5">
        <v>171</v>
      </c>
      <c r="K197" s="5">
        <v>60.424026489257813</v>
      </c>
    </row>
    <row r="198" spans="1:11" x14ac:dyDescent="0.3">
      <c r="A198" s="1" t="s">
        <v>217</v>
      </c>
      <c r="B198" s="1" t="s">
        <v>262</v>
      </c>
      <c r="C198" s="1" t="s">
        <v>264</v>
      </c>
      <c r="D198" s="1" t="s">
        <v>264</v>
      </c>
      <c r="E198" s="2">
        <v>41502</v>
      </c>
      <c r="F198" s="3">
        <v>192</v>
      </c>
      <c r="G198" s="4">
        <v>104</v>
      </c>
      <c r="H198" s="3">
        <v>54.166667938232422</v>
      </c>
      <c r="I198" s="3">
        <v>327</v>
      </c>
      <c r="J198" s="5">
        <v>137</v>
      </c>
      <c r="K198" s="5">
        <v>41.896022796630859</v>
      </c>
    </row>
    <row r="199" spans="1:11" x14ac:dyDescent="0.3">
      <c r="A199" s="1" t="s">
        <v>217</v>
      </c>
      <c r="B199" s="1" t="s">
        <v>262</v>
      </c>
      <c r="C199" s="1" t="s">
        <v>225</v>
      </c>
      <c r="D199" s="1" t="s">
        <v>225</v>
      </c>
      <c r="E199" s="2">
        <v>41503</v>
      </c>
      <c r="F199" s="3">
        <v>245</v>
      </c>
      <c r="G199" s="4">
        <v>149</v>
      </c>
      <c r="H199" s="3">
        <v>60.816326141357422</v>
      </c>
      <c r="I199" s="3">
        <v>252</v>
      </c>
      <c r="J199" s="5">
        <v>139</v>
      </c>
      <c r="K199" s="5">
        <v>55.158729553222656</v>
      </c>
    </row>
    <row r="200" spans="1:11" x14ac:dyDescent="0.3">
      <c r="A200" s="1" t="s">
        <v>217</v>
      </c>
      <c r="B200" s="1" t="s">
        <v>265</v>
      </c>
      <c r="C200" s="1" t="s">
        <v>266</v>
      </c>
      <c r="D200" s="1" t="s">
        <v>266</v>
      </c>
      <c r="E200" s="2">
        <v>41601</v>
      </c>
      <c r="F200" s="3">
        <v>2254</v>
      </c>
      <c r="G200" s="4">
        <v>680</v>
      </c>
      <c r="H200" s="3">
        <v>30.168588638305664</v>
      </c>
      <c r="I200" s="3">
        <v>2700</v>
      </c>
      <c r="J200" s="5">
        <v>626</v>
      </c>
      <c r="K200" s="5">
        <v>23.185184478759766</v>
      </c>
    </row>
    <row r="201" spans="1:11" x14ac:dyDescent="0.3">
      <c r="A201" s="1" t="s">
        <v>267</v>
      </c>
      <c r="B201" s="1" t="s">
        <v>268</v>
      </c>
      <c r="C201" s="1" t="s">
        <v>267</v>
      </c>
      <c r="D201" s="1" t="s">
        <v>267</v>
      </c>
      <c r="E201" s="2">
        <v>50101</v>
      </c>
      <c r="F201" s="3">
        <v>51558</v>
      </c>
      <c r="G201" s="4">
        <v>20764</v>
      </c>
      <c r="H201" s="3">
        <v>40.273090362548828</v>
      </c>
      <c r="I201" s="3">
        <v>67203</v>
      </c>
      <c r="J201" s="5">
        <v>18069</v>
      </c>
      <c r="K201" s="5">
        <v>26.887191772460938</v>
      </c>
    </row>
    <row r="202" spans="1:11" x14ac:dyDescent="0.3">
      <c r="A202" s="1" t="s">
        <v>267</v>
      </c>
      <c r="B202" s="1" t="s">
        <v>268</v>
      </c>
      <c r="C202" s="1" t="s">
        <v>269</v>
      </c>
      <c r="D202" s="1" t="s">
        <v>269</v>
      </c>
      <c r="E202" s="2">
        <v>50102</v>
      </c>
      <c r="F202" s="3">
        <v>7544</v>
      </c>
      <c r="G202" s="4">
        <v>3846</v>
      </c>
      <c r="H202" s="3">
        <v>50.980911254882813</v>
      </c>
      <c r="I202" s="3">
        <v>9736</v>
      </c>
      <c r="J202" s="5">
        <v>3877</v>
      </c>
      <c r="K202" s="5">
        <v>39.821281433105469</v>
      </c>
    </row>
    <row r="203" spans="1:11" x14ac:dyDescent="0.3">
      <c r="A203" s="1" t="s">
        <v>267</v>
      </c>
      <c r="B203" s="1" t="s">
        <v>268</v>
      </c>
      <c r="C203" s="1" t="s">
        <v>270</v>
      </c>
      <c r="D203" s="1" t="s">
        <v>271</v>
      </c>
      <c r="E203" s="2">
        <v>50103</v>
      </c>
      <c r="F203" s="3">
        <v>2911</v>
      </c>
      <c r="G203" s="4">
        <v>1024</v>
      </c>
      <c r="H203" s="3">
        <v>35.176914215087891</v>
      </c>
      <c r="I203" s="3">
        <v>4155</v>
      </c>
      <c r="J203" s="5">
        <v>1403</v>
      </c>
      <c r="K203" s="5">
        <v>33.766548156738281</v>
      </c>
    </row>
    <row r="204" spans="1:11" x14ac:dyDescent="0.3">
      <c r="A204" s="1" t="s">
        <v>267</v>
      </c>
      <c r="B204" s="1" t="s">
        <v>268</v>
      </c>
      <c r="C204" s="1" t="s">
        <v>272</v>
      </c>
      <c r="D204" s="1" t="s">
        <v>273</v>
      </c>
      <c r="E204" s="2">
        <v>50104</v>
      </c>
      <c r="F204" s="3">
        <v>1101</v>
      </c>
      <c r="G204" s="4">
        <v>382</v>
      </c>
      <c r="H204" s="3">
        <v>34.695732116699219</v>
      </c>
      <c r="I204" s="3">
        <v>1210</v>
      </c>
      <c r="J204" s="5">
        <v>424</v>
      </c>
      <c r="K204" s="5">
        <v>35.04132080078125</v>
      </c>
    </row>
    <row r="205" spans="1:11" x14ac:dyDescent="0.3">
      <c r="A205" s="1" t="s">
        <v>267</v>
      </c>
      <c r="B205" s="1" t="s">
        <v>274</v>
      </c>
      <c r="C205" s="1" t="s">
        <v>275</v>
      </c>
      <c r="D205" s="1" t="s">
        <v>275</v>
      </c>
      <c r="E205" s="2">
        <v>50201</v>
      </c>
      <c r="F205" s="3">
        <v>6620</v>
      </c>
      <c r="G205" s="4">
        <v>2641</v>
      </c>
      <c r="H205" s="3">
        <v>39.894260406494141</v>
      </c>
      <c r="I205" s="3">
        <v>8390</v>
      </c>
      <c r="J205" s="5">
        <v>2195</v>
      </c>
      <c r="K205" s="5">
        <v>26.162097930908203</v>
      </c>
    </row>
    <row r="206" spans="1:11" x14ac:dyDescent="0.3">
      <c r="A206" s="1" t="s">
        <v>267</v>
      </c>
      <c r="B206" s="1" t="s">
        <v>274</v>
      </c>
      <c r="C206" s="1" t="s">
        <v>276</v>
      </c>
      <c r="D206" s="1" t="s">
        <v>276</v>
      </c>
      <c r="E206" s="2">
        <v>50202</v>
      </c>
      <c r="F206" s="3">
        <v>4667</v>
      </c>
      <c r="G206" s="4">
        <v>2001</v>
      </c>
      <c r="H206" s="3">
        <v>42.875507354736328</v>
      </c>
      <c r="I206" s="3">
        <v>5606</v>
      </c>
      <c r="J206" s="5">
        <v>1563</v>
      </c>
      <c r="K206" s="5">
        <v>27.880842208862305</v>
      </c>
    </row>
    <row r="207" spans="1:11" x14ac:dyDescent="0.3">
      <c r="A207" s="1" t="s">
        <v>267</v>
      </c>
      <c r="B207" s="1" t="s">
        <v>274</v>
      </c>
      <c r="C207" s="1" t="s">
        <v>277</v>
      </c>
      <c r="D207" s="1" t="s">
        <v>277</v>
      </c>
      <c r="E207" s="2">
        <v>50203</v>
      </c>
      <c r="F207" s="3">
        <v>12407</v>
      </c>
      <c r="G207" s="4">
        <v>4508</v>
      </c>
      <c r="H207" s="3">
        <v>36.334327697753906</v>
      </c>
      <c r="I207" s="3">
        <v>15981</v>
      </c>
      <c r="J207" s="5">
        <v>3052</v>
      </c>
      <c r="K207" s="5">
        <v>19.097679138183594</v>
      </c>
    </row>
    <row r="208" spans="1:11" x14ac:dyDescent="0.3">
      <c r="A208" s="1" t="s">
        <v>267</v>
      </c>
      <c r="B208" s="1" t="s">
        <v>274</v>
      </c>
      <c r="C208" s="1" t="s">
        <v>278</v>
      </c>
      <c r="D208" s="1" t="s">
        <v>278</v>
      </c>
      <c r="E208" s="2">
        <v>50204</v>
      </c>
      <c r="F208" s="3">
        <v>2269</v>
      </c>
      <c r="G208" s="4">
        <v>1080</v>
      </c>
      <c r="H208" s="3">
        <v>47.598060607910156</v>
      </c>
      <c r="I208" s="3">
        <v>3021</v>
      </c>
      <c r="J208" s="5">
        <v>937</v>
      </c>
      <c r="K208" s="5">
        <v>31.016220092773438</v>
      </c>
    </row>
    <row r="209" spans="1:11" x14ac:dyDescent="0.3">
      <c r="A209" s="1" t="s">
        <v>267</v>
      </c>
      <c r="B209" s="1" t="s">
        <v>279</v>
      </c>
      <c r="C209" s="1" t="s">
        <v>280</v>
      </c>
      <c r="D209" s="1" t="s">
        <v>281</v>
      </c>
      <c r="E209" s="2">
        <v>50301</v>
      </c>
      <c r="F209" s="3">
        <v>9694</v>
      </c>
      <c r="G209" s="4">
        <v>4164</v>
      </c>
      <c r="H209" s="3">
        <v>42.954402923583984</v>
      </c>
      <c r="I209" s="3">
        <v>10828</v>
      </c>
      <c r="J209" s="5">
        <v>3040</v>
      </c>
      <c r="K209" s="5">
        <v>28.075359344482422</v>
      </c>
    </row>
    <row r="210" spans="1:11" x14ac:dyDescent="0.3">
      <c r="A210" s="1" t="s">
        <v>267</v>
      </c>
      <c r="B210" s="1" t="s">
        <v>279</v>
      </c>
      <c r="C210" s="1" t="s">
        <v>282</v>
      </c>
      <c r="D210" s="1" t="s">
        <v>282</v>
      </c>
      <c r="E210" s="2">
        <v>50302</v>
      </c>
      <c r="F210" s="3">
        <v>3201</v>
      </c>
      <c r="G210" s="4">
        <v>1035</v>
      </c>
      <c r="H210" s="3">
        <v>32.333644866943359</v>
      </c>
      <c r="I210" s="3">
        <v>3429</v>
      </c>
      <c r="J210" s="5">
        <v>836</v>
      </c>
      <c r="K210" s="5">
        <v>24.380285263061523</v>
      </c>
    </row>
    <row r="211" spans="1:11" x14ac:dyDescent="0.3">
      <c r="A211" s="1" t="s">
        <v>267</v>
      </c>
      <c r="B211" s="1" t="s">
        <v>279</v>
      </c>
      <c r="C211" s="1" t="s">
        <v>283</v>
      </c>
      <c r="D211" s="1" t="s">
        <v>283</v>
      </c>
      <c r="E211" s="2">
        <v>50303</v>
      </c>
      <c r="F211" s="3">
        <v>3897</v>
      </c>
      <c r="G211" s="4">
        <v>1503</v>
      </c>
      <c r="H211" s="3">
        <v>38.568130493164063</v>
      </c>
      <c r="I211" s="3">
        <v>5158</v>
      </c>
      <c r="J211" s="5">
        <v>1755</v>
      </c>
      <c r="K211" s="5">
        <v>34.024814605712891</v>
      </c>
    </row>
    <row r="212" spans="1:11" x14ac:dyDescent="0.3">
      <c r="A212" s="1" t="s">
        <v>267</v>
      </c>
      <c r="B212" s="1" t="s">
        <v>276</v>
      </c>
      <c r="C212" s="1" t="s">
        <v>284</v>
      </c>
      <c r="D212" s="1" t="s">
        <v>284</v>
      </c>
      <c r="E212" s="2">
        <v>50401</v>
      </c>
      <c r="F212" s="3">
        <v>10622</v>
      </c>
      <c r="G212" s="4">
        <v>4567</v>
      </c>
      <c r="H212" s="3">
        <v>42.995670318603516</v>
      </c>
      <c r="I212" s="3">
        <v>6429</v>
      </c>
      <c r="J212" s="5">
        <v>1704</v>
      </c>
      <c r="K212" s="5">
        <v>26.504899978637695</v>
      </c>
    </row>
    <row r="213" spans="1:11" x14ac:dyDescent="0.3">
      <c r="A213" s="1" t="s">
        <v>267</v>
      </c>
      <c r="B213" s="1" t="s">
        <v>276</v>
      </c>
      <c r="C213" s="1" t="s">
        <v>285</v>
      </c>
      <c r="D213" s="1" t="s">
        <v>285</v>
      </c>
      <c r="E213" s="2">
        <v>50402</v>
      </c>
      <c r="F213" s="3">
        <v>6564</v>
      </c>
      <c r="G213" s="4">
        <v>2726</v>
      </c>
      <c r="H213" s="3">
        <v>41.529556274414063</v>
      </c>
      <c r="I213" s="3">
        <v>6802</v>
      </c>
      <c r="J213" s="5">
        <v>1692</v>
      </c>
      <c r="K213" s="5">
        <v>24.875036239624023</v>
      </c>
    </row>
    <row r="214" spans="1:11" x14ac:dyDescent="0.3">
      <c r="A214" s="1" t="s">
        <v>267</v>
      </c>
      <c r="B214" s="1" t="s">
        <v>276</v>
      </c>
      <c r="C214" s="1" t="s">
        <v>286</v>
      </c>
      <c r="D214" s="1" t="s">
        <v>286</v>
      </c>
      <c r="E214" s="2">
        <v>50403</v>
      </c>
      <c r="F214" s="3">
        <v>8435</v>
      </c>
      <c r="G214" s="4">
        <v>3345</v>
      </c>
      <c r="H214" s="3">
        <v>39.656192779541016</v>
      </c>
      <c r="I214" s="3">
        <v>12457</v>
      </c>
      <c r="J214" s="5">
        <v>3650</v>
      </c>
      <c r="K214" s="5">
        <v>29.30079460144043</v>
      </c>
    </row>
    <row r="215" spans="1:11" x14ac:dyDescent="0.3">
      <c r="A215" s="1" t="s">
        <v>267</v>
      </c>
      <c r="B215" s="1" t="s">
        <v>276</v>
      </c>
      <c r="C215" s="1" t="s">
        <v>287</v>
      </c>
      <c r="D215" s="1" t="s">
        <v>287</v>
      </c>
      <c r="E215" s="2">
        <v>50404</v>
      </c>
      <c r="F215" s="3">
        <v>5093</v>
      </c>
      <c r="G215" s="4">
        <v>2110</v>
      </c>
      <c r="H215" s="3">
        <v>41.429412841796875</v>
      </c>
      <c r="I215" s="3">
        <v>6088</v>
      </c>
      <c r="J215" s="5">
        <v>1515</v>
      </c>
      <c r="K215" s="5">
        <v>24.885019302368164</v>
      </c>
    </row>
    <row r="216" spans="1:11" x14ac:dyDescent="0.3">
      <c r="A216" s="1" t="s">
        <v>267</v>
      </c>
      <c r="B216" s="1" t="s">
        <v>276</v>
      </c>
      <c r="C216" s="1" t="s">
        <v>288</v>
      </c>
      <c r="D216" s="1" t="s">
        <v>288</v>
      </c>
      <c r="E216" s="2">
        <v>50405</v>
      </c>
      <c r="F216" s="3">
        <v>10622</v>
      </c>
      <c r="G216" s="4">
        <v>4567</v>
      </c>
      <c r="H216" s="3">
        <v>42.995670318603516</v>
      </c>
      <c r="I216" s="3">
        <v>8287</v>
      </c>
      <c r="J216" s="5">
        <v>2335</v>
      </c>
      <c r="K216" s="5">
        <v>28.176662445068359</v>
      </c>
    </row>
    <row r="217" spans="1:11" x14ac:dyDescent="0.3">
      <c r="A217" s="1" t="s">
        <v>267</v>
      </c>
      <c r="B217" s="1" t="s">
        <v>289</v>
      </c>
      <c r="C217" s="1" t="s">
        <v>290</v>
      </c>
      <c r="D217" s="1" t="s">
        <v>290</v>
      </c>
      <c r="E217" s="2">
        <v>50501</v>
      </c>
      <c r="F217" s="3">
        <v>8277</v>
      </c>
      <c r="G217" s="4">
        <v>4165</v>
      </c>
      <c r="H217" s="3">
        <v>50.320163726806641</v>
      </c>
      <c r="I217" s="3">
        <v>11262</v>
      </c>
      <c r="J217" s="5">
        <v>3427</v>
      </c>
      <c r="K217" s="5">
        <v>30.429763793945313</v>
      </c>
    </row>
    <row r="218" spans="1:11" x14ac:dyDescent="0.3">
      <c r="A218" s="1" t="s">
        <v>267</v>
      </c>
      <c r="B218" s="1" t="s">
        <v>289</v>
      </c>
      <c r="C218" s="1" t="s">
        <v>291</v>
      </c>
      <c r="D218" s="1" t="s">
        <v>291</v>
      </c>
      <c r="E218" s="2">
        <v>50502</v>
      </c>
      <c r="F218" s="3">
        <v>3509</v>
      </c>
      <c r="G218" s="4">
        <v>1386</v>
      </c>
      <c r="H218" s="3">
        <v>39.498432159423828</v>
      </c>
      <c r="I218" s="3">
        <v>4163</v>
      </c>
      <c r="J218" s="5">
        <v>1101</v>
      </c>
      <c r="K218" s="5">
        <v>26.447273254394531</v>
      </c>
    </row>
    <row r="219" spans="1:11" x14ac:dyDescent="0.3">
      <c r="A219" s="1" t="s">
        <v>267</v>
      </c>
      <c r="B219" s="1" t="s">
        <v>292</v>
      </c>
      <c r="C219" s="1" t="s">
        <v>293</v>
      </c>
      <c r="D219" s="1" t="s">
        <v>293</v>
      </c>
      <c r="E219" s="2">
        <v>50601</v>
      </c>
      <c r="F219" s="3">
        <v>9435</v>
      </c>
      <c r="G219" s="4">
        <v>3675</v>
      </c>
      <c r="H219" s="3">
        <v>38.950714111328125</v>
      </c>
      <c r="I219" s="3">
        <v>11059</v>
      </c>
      <c r="J219" s="5">
        <v>2574</v>
      </c>
      <c r="K219" s="5">
        <v>23.27515983581543</v>
      </c>
    </row>
    <row r="220" spans="1:11" x14ac:dyDescent="0.3">
      <c r="A220" s="1" t="s">
        <v>267</v>
      </c>
      <c r="B220" s="1" t="s">
        <v>292</v>
      </c>
      <c r="C220" s="1" t="s">
        <v>486</v>
      </c>
      <c r="D220" s="1" t="s">
        <v>294</v>
      </c>
      <c r="E220" s="2">
        <v>50602</v>
      </c>
      <c r="F220" s="3">
        <v>3115</v>
      </c>
      <c r="G220" s="4">
        <v>1075</v>
      </c>
      <c r="H220" s="3">
        <v>34.510433197021484</v>
      </c>
      <c r="I220" s="3">
        <v>3765</v>
      </c>
      <c r="J220" s="5">
        <v>705</v>
      </c>
      <c r="K220" s="5">
        <v>18.725099563598633</v>
      </c>
    </row>
    <row r="221" spans="1:11" x14ac:dyDescent="0.3">
      <c r="A221" s="1" t="s">
        <v>267</v>
      </c>
      <c r="B221" s="1" t="s">
        <v>295</v>
      </c>
      <c r="C221" s="1" t="s">
        <v>296</v>
      </c>
      <c r="D221" s="1" t="s">
        <v>297</v>
      </c>
      <c r="E221" s="2">
        <v>50701</v>
      </c>
      <c r="F221" s="3">
        <v>5618</v>
      </c>
      <c r="G221" s="4">
        <v>2648</v>
      </c>
      <c r="H221" s="3">
        <v>47.134212493896484</v>
      </c>
      <c r="I221" s="3">
        <v>6731</v>
      </c>
      <c r="J221" s="5">
        <v>1741</v>
      </c>
      <c r="K221" s="5">
        <v>25.865398406982422</v>
      </c>
    </row>
    <row r="222" spans="1:11" x14ac:dyDescent="0.3">
      <c r="A222" s="1" t="s">
        <v>267</v>
      </c>
      <c r="B222" s="1" t="s">
        <v>295</v>
      </c>
      <c r="C222" s="1" t="s">
        <v>298</v>
      </c>
      <c r="D222" s="1" t="s">
        <v>298</v>
      </c>
      <c r="E222" s="2">
        <v>50702</v>
      </c>
      <c r="F222" s="3">
        <v>2741</v>
      </c>
      <c r="G222" s="4">
        <v>1073</v>
      </c>
      <c r="H222" s="3">
        <v>39.146297454833984</v>
      </c>
      <c r="I222" s="3">
        <v>3490</v>
      </c>
      <c r="J222" s="5">
        <v>902</v>
      </c>
      <c r="K222" s="5">
        <v>25.845272064208984</v>
      </c>
    </row>
    <row r="223" spans="1:11" x14ac:dyDescent="0.3">
      <c r="A223" s="1" t="s">
        <v>267</v>
      </c>
      <c r="B223" s="1" t="s">
        <v>299</v>
      </c>
      <c r="C223" s="1" t="s">
        <v>300</v>
      </c>
      <c r="D223" s="1" t="s">
        <v>300</v>
      </c>
      <c r="E223" s="2">
        <v>50801</v>
      </c>
      <c r="F223" s="3">
        <v>13252</v>
      </c>
      <c r="G223" s="4">
        <v>4367</v>
      </c>
      <c r="H223" s="3">
        <v>32.953517913818359</v>
      </c>
      <c r="I223" s="3">
        <v>15742</v>
      </c>
      <c r="J223" s="5">
        <v>3286</v>
      </c>
      <c r="K223" s="5">
        <v>20.874094009399414</v>
      </c>
    </row>
    <row r="224" spans="1:11" x14ac:dyDescent="0.3">
      <c r="A224" s="1" t="s">
        <v>267</v>
      </c>
      <c r="B224" s="1" t="s">
        <v>299</v>
      </c>
      <c r="C224" s="1" t="s">
        <v>301</v>
      </c>
      <c r="D224" s="1" t="s">
        <v>301</v>
      </c>
      <c r="E224" s="2">
        <v>50802</v>
      </c>
      <c r="F224" s="3">
        <v>3576</v>
      </c>
      <c r="G224" s="4">
        <v>1381</v>
      </c>
      <c r="H224" s="3">
        <v>38.618568420410156</v>
      </c>
      <c r="I224" s="3">
        <v>3743</v>
      </c>
      <c r="J224" s="5">
        <v>964</v>
      </c>
      <c r="K224" s="5">
        <v>25.754741668701172</v>
      </c>
    </row>
    <row r="225" spans="1:11" x14ac:dyDescent="0.3">
      <c r="A225" s="1" t="s">
        <v>267</v>
      </c>
      <c r="B225" s="1" t="s">
        <v>302</v>
      </c>
      <c r="C225" s="1" t="s">
        <v>303</v>
      </c>
      <c r="D225" s="1" t="s">
        <v>304</v>
      </c>
      <c r="E225" s="2">
        <v>50901</v>
      </c>
      <c r="F225" s="3">
        <v>3301</v>
      </c>
      <c r="G225" s="4">
        <v>1205</v>
      </c>
      <c r="H225" s="3">
        <v>36.50408935546875</v>
      </c>
      <c r="I225" s="3">
        <v>4134</v>
      </c>
      <c r="J225" s="5">
        <v>867</v>
      </c>
      <c r="K225" s="5">
        <v>20.972423553466797</v>
      </c>
    </row>
    <row r="226" spans="1:11" x14ac:dyDescent="0.3">
      <c r="A226" s="1" t="s">
        <v>267</v>
      </c>
      <c r="B226" s="1" t="s">
        <v>302</v>
      </c>
      <c r="C226" s="1" t="s">
        <v>305</v>
      </c>
      <c r="D226" s="1" t="s">
        <v>306</v>
      </c>
      <c r="E226" s="2">
        <v>50902</v>
      </c>
      <c r="F226" s="3">
        <v>367</v>
      </c>
      <c r="G226" s="4">
        <v>116</v>
      </c>
      <c r="H226" s="3">
        <v>31.607629776000977</v>
      </c>
      <c r="I226" s="3">
        <v>650</v>
      </c>
      <c r="J226" s="5">
        <v>105</v>
      </c>
      <c r="K226" s="5">
        <v>16.153846740722656</v>
      </c>
    </row>
    <row r="227" spans="1:11" x14ac:dyDescent="0.3">
      <c r="A227" s="1" t="s">
        <v>267</v>
      </c>
      <c r="B227" s="1" t="s">
        <v>307</v>
      </c>
      <c r="C227" s="1" t="s">
        <v>308</v>
      </c>
      <c r="D227" s="1" t="s">
        <v>309</v>
      </c>
      <c r="E227" s="2">
        <v>51001</v>
      </c>
      <c r="F227" s="3">
        <v>870</v>
      </c>
      <c r="G227" s="4">
        <v>414</v>
      </c>
      <c r="H227" s="3">
        <v>47.586208343505859</v>
      </c>
      <c r="I227" s="3">
        <v>1101</v>
      </c>
      <c r="J227" s="5">
        <v>311</v>
      </c>
      <c r="K227" s="5">
        <v>28.247047424316406</v>
      </c>
    </row>
    <row r="228" spans="1:11" x14ac:dyDescent="0.3">
      <c r="A228" s="1" t="s">
        <v>267</v>
      </c>
      <c r="B228" s="1" t="s">
        <v>307</v>
      </c>
      <c r="C228" s="1" t="s">
        <v>310</v>
      </c>
      <c r="D228" s="1" t="s">
        <v>310</v>
      </c>
      <c r="E228" s="2">
        <v>51002</v>
      </c>
      <c r="F228" s="3">
        <v>358</v>
      </c>
      <c r="G228" s="4">
        <v>179</v>
      </c>
      <c r="H228" s="3">
        <v>50</v>
      </c>
      <c r="I228" s="3">
        <v>324</v>
      </c>
      <c r="J228" s="5">
        <v>121</v>
      </c>
      <c r="K228" s="5">
        <v>37.345680236816406</v>
      </c>
    </row>
    <row r="229" spans="1:11" x14ac:dyDescent="0.3">
      <c r="A229" s="1" t="s">
        <v>267</v>
      </c>
      <c r="B229" s="1" t="s">
        <v>307</v>
      </c>
      <c r="C229" s="1" t="s">
        <v>311</v>
      </c>
      <c r="D229" s="1" t="s">
        <v>311</v>
      </c>
      <c r="E229" s="2">
        <v>51003</v>
      </c>
      <c r="F229" s="3">
        <v>697</v>
      </c>
      <c r="G229" s="4">
        <v>291</v>
      </c>
      <c r="H229" s="3">
        <v>41.750358581542969</v>
      </c>
      <c r="I229" s="3">
        <v>689</v>
      </c>
      <c r="J229" s="5">
        <v>193</v>
      </c>
      <c r="K229" s="5">
        <v>28.011611938476563</v>
      </c>
    </row>
    <row r="230" spans="1:11" x14ac:dyDescent="0.3">
      <c r="A230" s="1" t="s">
        <v>267</v>
      </c>
      <c r="B230" s="1" t="s">
        <v>312</v>
      </c>
      <c r="C230" s="1" t="s">
        <v>313</v>
      </c>
      <c r="D230" s="1" t="s">
        <v>314</v>
      </c>
      <c r="E230" s="2">
        <v>51101</v>
      </c>
      <c r="F230" s="3">
        <v>7068</v>
      </c>
      <c r="G230" s="4">
        <v>2347</v>
      </c>
      <c r="H230" s="3">
        <v>33.205997467041016</v>
      </c>
      <c r="I230" s="3">
        <v>6143</v>
      </c>
      <c r="J230" s="5">
        <v>1333</v>
      </c>
      <c r="K230" s="5">
        <v>21.699495315551758</v>
      </c>
    </row>
    <row r="231" spans="1:11" x14ac:dyDescent="0.3">
      <c r="A231" s="1" t="s">
        <v>267</v>
      </c>
      <c r="B231" s="1" t="s">
        <v>312</v>
      </c>
      <c r="C231" s="1" t="s">
        <v>315</v>
      </c>
      <c r="D231" s="1" t="s">
        <v>315</v>
      </c>
      <c r="E231" s="2">
        <v>51102</v>
      </c>
      <c r="F231" s="3">
        <v>3523</v>
      </c>
      <c r="G231" s="4">
        <v>1365</v>
      </c>
      <c r="H231" s="3">
        <v>38.745388031005859</v>
      </c>
      <c r="I231" s="3">
        <v>4599</v>
      </c>
      <c r="J231" s="5">
        <v>1077</v>
      </c>
      <c r="K231" s="5">
        <v>23.418134689331055</v>
      </c>
    </row>
    <row r="232" spans="1:11" x14ac:dyDescent="0.3">
      <c r="A232" s="1" t="s">
        <v>267</v>
      </c>
      <c r="B232" s="1" t="s">
        <v>312</v>
      </c>
      <c r="C232" s="1" t="s">
        <v>316</v>
      </c>
      <c r="D232" s="1" t="s">
        <v>316</v>
      </c>
      <c r="E232" s="2">
        <v>51103</v>
      </c>
      <c r="F232" s="3">
        <v>3822</v>
      </c>
      <c r="G232" s="4">
        <v>2075</v>
      </c>
      <c r="H232" s="3">
        <v>54.290946960449219</v>
      </c>
      <c r="I232" s="3">
        <v>4157</v>
      </c>
      <c r="J232" s="5">
        <v>1550</v>
      </c>
      <c r="K232" s="5">
        <v>37.286502838134766</v>
      </c>
    </row>
    <row r="233" spans="1:11" x14ac:dyDescent="0.3">
      <c r="A233" s="1" t="s">
        <v>267</v>
      </c>
      <c r="B233" s="1" t="s">
        <v>317</v>
      </c>
      <c r="C233" s="1" t="s">
        <v>318</v>
      </c>
      <c r="D233" s="1" t="s">
        <v>318</v>
      </c>
      <c r="E233" s="2">
        <v>51201</v>
      </c>
      <c r="F233" s="3">
        <v>9582</v>
      </c>
      <c r="G233" s="4">
        <v>3241</v>
      </c>
      <c r="H233" s="3">
        <v>33.823837280273438</v>
      </c>
      <c r="I233" s="3">
        <v>13069</v>
      </c>
      <c r="J233" s="5">
        <v>2988</v>
      </c>
      <c r="K233" s="5">
        <v>22.863264083862305</v>
      </c>
    </row>
    <row r="234" spans="1:11" x14ac:dyDescent="0.3">
      <c r="A234" s="1" t="s">
        <v>267</v>
      </c>
      <c r="B234" s="1" t="s">
        <v>317</v>
      </c>
      <c r="C234" s="1" t="s">
        <v>319</v>
      </c>
      <c r="D234" s="1" t="s">
        <v>319</v>
      </c>
      <c r="E234" s="2">
        <v>51202</v>
      </c>
      <c r="F234" s="3">
        <v>5190</v>
      </c>
      <c r="G234" s="4">
        <v>1689</v>
      </c>
      <c r="H234" s="3">
        <v>32.543354034423828</v>
      </c>
      <c r="I234" s="3">
        <v>3293</v>
      </c>
      <c r="J234" s="5">
        <v>764</v>
      </c>
      <c r="K234" s="5">
        <v>23.200729370117188</v>
      </c>
    </row>
    <row r="235" spans="1:11" x14ac:dyDescent="0.3">
      <c r="A235" s="1" t="s">
        <v>267</v>
      </c>
      <c r="B235" s="1" t="s">
        <v>317</v>
      </c>
      <c r="C235" s="1" t="s">
        <v>320</v>
      </c>
      <c r="D235" s="1" t="s">
        <v>320</v>
      </c>
      <c r="E235" s="2">
        <v>51203</v>
      </c>
      <c r="F235" s="3">
        <v>3156</v>
      </c>
      <c r="G235" s="4">
        <v>1549</v>
      </c>
      <c r="H235" s="3">
        <v>49.08111572265625</v>
      </c>
      <c r="I235" s="3">
        <v>5272</v>
      </c>
      <c r="J235" s="5">
        <v>1844</v>
      </c>
      <c r="K235" s="5">
        <v>34.977237701416016</v>
      </c>
    </row>
    <row r="236" spans="1:11" x14ac:dyDescent="0.3">
      <c r="A236" s="1" t="s">
        <v>267</v>
      </c>
      <c r="B236" s="1" t="s">
        <v>319</v>
      </c>
      <c r="C236" s="1" t="s">
        <v>487</v>
      </c>
      <c r="D236" s="1" t="s">
        <v>321</v>
      </c>
      <c r="E236" s="2">
        <v>51204</v>
      </c>
      <c r="F236" s="3">
        <v>5190</v>
      </c>
      <c r="G236" s="4">
        <v>1689</v>
      </c>
      <c r="H236" s="3">
        <v>32.543354034423828</v>
      </c>
      <c r="I236" s="3">
        <v>2579</v>
      </c>
      <c r="J236" s="5">
        <v>488</v>
      </c>
      <c r="K236" s="5">
        <v>18.922061920166016</v>
      </c>
    </row>
    <row r="237" spans="1:11" x14ac:dyDescent="0.3">
      <c r="A237" s="1" t="s">
        <v>267</v>
      </c>
      <c r="B237" s="1" t="s">
        <v>322</v>
      </c>
      <c r="C237" s="1" t="s">
        <v>323</v>
      </c>
      <c r="D237" s="1" t="s">
        <v>323</v>
      </c>
      <c r="E237" s="2">
        <v>51301</v>
      </c>
      <c r="F237" s="3">
        <v>1297</v>
      </c>
      <c r="G237" s="4">
        <v>552</v>
      </c>
      <c r="H237" s="3">
        <v>42.55975341796875</v>
      </c>
      <c r="I237" s="3">
        <v>1453</v>
      </c>
      <c r="J237" s="5">
        <v>386</v>
      </c>
      <c r="K237" s="5">
        <v>26.565725326538086</v>
      </c>
    </row>
    <row r="238" spans="1:11" x14ac:dyDescent="0.3">
      <c r="A238" s="1" t="s">
        <v>267</v>
      </c>
      <c r="B238" s="1" t="s">
        <v>322</v>
      </c>
      <c r="C238" s="1" t="s">
        <v>324</v>
      </c>
      <c r="D238" s="1" t="s">
        <v>324</v>
      </c>
      <c r="E238" s="2">
        <v>51302</v>
      </c>
      <c r="F238" s="3">
        <v>1718</v>
      </c>
      <c r="G238" s="4">
        <v>757</v>
      </c>
      <c r="H238" s="3">
        <v>44.062862396240234</v>
      </c>
      <c r="I238" s="3">
        <v>1826</v>
      </c>
      <c r="J238" s="5">
        <v>397</v>
      </c>
      <c r="K238" s="5">
        <v>21.741512298583984</v>
      </c>
    </row>
    <row r="239" spans="1:11" x14ac:dyDescent="0.3">
      <c r="A239" s="1" t="s">
        <v>267</v>
      </c>
      <c r="B239" s="1" t="s">
        <v>325</v>
      </c>
      <c r="C239" s="1" t="s">
        <v>326</v>
      </c>
      <c r="D239" s="1" t="s">
        <v>326</v>
      </c>
      <c r="E239" s="2">
        <v>51401</v>
      </c>
      <c r="F239" s="3">
        <v>1498</v>
      </c>
      <c r="G239" s="4">
        <v>522</v>
      </c>
      <c r="H239" s="3">
        <v>34.846462249755859</v>
      </c>
      <c r="I239" s="3">
        <v>1851</v>
      </c>
      <c r="J239" s="5">
        <v>371</v>
      </c>
      <c r="K239" s="5">
        <v>20.043220520019531</v>
      </c>
    </row>
    <row r="240" spans="1:11" x14ac:dyDescent="0.3">
      <c r="A240" s="1" t="s">
        <v>267</v>
      </c>
      <c r="B240" s="1" t="s">
        <v>325</v>
      </c>
      <c r="C240" s="1" t="s">
        <v>327</v>
      </c>
      <c r="D240" s="1" t="s">
        <v>327</v>
      </c>
      <c r="E240" s="2">
        <v>51402</v>
      </c>
      <c r="F240" s="3">
        <v>675</v>
      </c>
      <c r="G240" s="4">
        <v>219</v>
      </c>
      <c r="H240" s="3">
        <v>32.444442749023438</v>
      </c>
      <c r="I240" s="3">
        <v>726</v>
      </c>
      <c r="J240" s="5">
        <v>129</v>
      </c>
      <c r="K240" s="5">
        <v>17.768594741821289</v>
      </c>
    </row>
    <row r="241" spans="1:11" x14ac:dyDescent="0.3">
      <c r="A241" s="1" t="s">
        <v>267</v>
      </c>
      <c r="B241" s="1" t="s">
        <v>328</v>
      </c>
      <c r="C241" s="1" t="s">
        <v>329</v>
      </c>
      <c r="D241" s="1" t="s">
        <v>329</v>
      </c>
      <c r="E241" s="2">
        <v>51501</v>
      </c>
      <c r="F241" s="3">
        <v>12026</v>
      </c>
      <c r="G241" s="4">
        <v>4566</v>
      </c>
      <c r="H241" s="3">
        <v>37.967735290527344</v>
      </c>
      <c r="I241" s="3">
        <v>14337</v>
      </c>
      <c r="J241" s="5">
        <v>3796</v>
      </c>
      <c r="K241" s="5">
        <v>26.476947784423828</v>
      </c>
    </row>
    <row r="242" spans="1:11" x14ac:dyDescent="0.3">
      <c r="A242" s="1" t="s">
        <v>267</v>
      </c>
      <c r="B242" s="1" t="s">
        <v>330</v>
      </c>
      <c r="C242" s="1" t="s">
        <v>331</v>
      </c>
      <c r="D242" s="1" t="s">
        <v>331</v>
      </c>
      <c r="E242" s="2">
        <v>51601</v>
      </c>
      <c r="F242" s="3">
        <v>489</v>
      </c>
      <c r="G242" s="4">
        <v>156</v>
      </c>
      <c r="H242" s="3">
        <v>31.901840209960938</v>
      </c>
      <c r="I242" s="3">
        <v>660</v>
      </c>
      <c r="J242" s="5">
        <v>148</v>
      </c>
      <c r="K242" s="5">
        <v>22.42424201965332</v>
      </c>
    </row>
    <row r="243" spans="1:11" x14ac:dyDescent="0.3">
      <c r="A243" s="1" t="s">
        <v>332</v>
      </c>
      <c r="B243" s="1" t="s">
        <v>158</v>
      </c>
      <c r="C243" s="1" t="s">
        <v>332</v>
      </c>
      <c r="D243" s="1" t="s">
        <v>332</v>
      </c>
      <c r="E243" s="2">
        <v>60101</v>
      </c>
      <c r="F243" s="3">
        <v>54891</v>
      </c>
      <c r="G243" s="4">
        <v>18133</v>
      </c>
      <c r="H243" s="3">
        <v>33.034561157226563</v>
      </c>
      <c r="I243" s="3">
        <v>72559</v>
      </c>
      <c r="J243" s="5">
        <v>15727</v>
      </c>
      <c r="K243" s="5">
        <v>21.674774169921875</v>
      </c>
    </row>
    <row r="244" spans="1:11" x14ac:dyDescent="0.3">
      <c r="A244" s="1" t="s">
        <v>332</v>
      </c>
      <c r="B244" s="1" t="s">
        <v>333</v>
      </c>
      <c r="C244" s="1" t="s">
        <v>334</v>
      </c>
      <c r="D244" s="1" t="s">
        <v>334</v>
      </c>
      <c r="E244" s="2">
        <v>60201</v>
      </c>
      <c r="F244" s="3">
        <v>5087</v>
      </c>
      <c r="G244" s="4">
        <v>2243</v>
      </c>
      <c r="H244" s="3">
        <v>44.092784881591797</v>
      </c>
      <c r="I244" s="3">
        <v>5636</v>
      </c>
      <c r="J244" s="5">
        <v>1506</v>
      </c>
      <c r="K244" s="5">
        <v>26.721078872680664</v>
      </c>
    </row>
    <row r="245" spans="1:11" x14ac:dyDescent="0.3">
      <c r="A245" s="1" t="s">
        <v>332</v>
      </c>
      <c r="B245" s="1" t="s">
        <v>333</v>
      </c>
      <c r="C245" s="1" t="s">
        <v>335</v>
      </c>
      <c r="D245" s="1" t="s">
        <v>335</v>
      </c>
      <c r="E245" s="2">
        <v>60202</v>
      </c>
      <c r="F245" s="3">
        <v>9005</v>
      </c>
      <c r="G245" s="4">
        <v>3553</v>
      </c>
      <c r="H245" s="3">
        <v>39.455856323242188</v>
      </c>
      <c r="I245" s="3">
        <v>10595</v>
      </c>
      <c r="J245" s="5">
        <v>2944</v>
      </c>
      <c r="K245" s="5">
        <v>27.786691665649414</v>
      </c>
    </row>
    <row r="246" spans="1:11" x14ac:dyDescent="0.3">
      <c r="A246" s="1" t="s">
        <v>332</v>
      </c>
      <c r="B246" s="1" t="s">
        <v>336</v>
      </c>
      <c r="C246" s="1" t="s">
        <v>337</v>
      </c>
      <c r="D246" s="1" t="s">
        <v>337</v>
      </c>
      <c r="E246" s="2">
        <v>60301</v>
      </c>
      <c r="F246" s="3">
        <v>22128</v>
      </c>
      <c r="G246" s="4">
        <v>9029</v>
      </c>
      <c r="H246" s="3">
        <v>40.803508758544922</v>
      </c>
      <c r="I246" s="3">
        <v>27209</v>
      </c>
      <c r="J246" s="5">
        <v>7543</v>
      </c>
      <c r="K246" s="5">
        <v>27.722444534301758</v>
      </c>
    </row>
    <row r="247" spans="1:11" x14ac:dyDescent="0.3">
      <c r="A247" s="1" t="s">
        <v>332</v>
      </c>
      <c r="B247" s="1" t="s">
        <v>336</v>
      </c>
      <c r="C247" s="1" t="s">
        <v>338</v>
      </c>
      <c r="D247" s="1" t="s">
        <v>338</v>
      </c>
      <c r="E247" s="2">
        <v>60302</v>
      </c>
      <c r="F247" s="3">
        <v>3992</v>
      </c>
      <c r="G247" s="4">
        <v>1477</v>
      </c>
      <c r="H247" s="3">
        <v>36.998996734619141</v>
      </c>
      <c r="I247" s="3">
        <v>4683</v>
      </c>
      <c r="J247" s="5">
        <v>1332</v>
      </c>
      <c r="K247" s="5">
        <v>28.443305969238281</v>
      </c>
    </row>
    <row r="248" spans="1:11" x14ac:dyDescent="0.3">
      <c r="A248" s="1" t="s">
        <v>332</v>
      </c>
      <c r="B248" s="1" t="s">
        <v>336</v>
      </c>
      <c r="C248" s="1" t="s">
        <v>339</v>
      </c>
      <c r="D248" s="1" t="s">
        <v>339</v>
      </c>
      <c r="E248" s="2">
        <v>60303</v>
      </c>
      <c r="F248" s="3">
        <v>10285</v>
      </c>
      <c r="G248" s="4">
        <v>4120</v>
      </c>
      <c r="H248" s="3">
        <v>40.058338165283203</v>
      </c>
      <c r="I248" s="3">
        <v>13962</v>
      </c>
      <c r="J248" s="5">
        <v>4053</v>
      </c>
      <c r="K248" s="5">
        <v>29.028793334960938</v>
      </c>
    </row>
    <row r="249" spans="1:11" x14ac:dyDescent="0.3">
      <c r="A249" s="1" t="s">
        <v>332</v>
      </c>
      <c r="B249" s="1" t="s">
        <v>340</v>
      </c>
      <c r="C249" s="1" t="s">
        <v>341</v>
      </c>
      <c r="D249" s="1" t="s">
        <v>342</v>
      </c>
      <c r="E249" s="2">
        <v>60401</v>
      </c>
      <c r="F249" s="3">
        <v>4159</v>
      </c>
      <c r="G249" s="4">
        <v>1727</v>
      </c>
      <c r="H249" s="3">
        <v>41.524406433105469</v>
      </c>
      <c r="I249" s="3">
        <v>4893</v>
      </c>
      <c r="J249" s="5">
        <v>1469</v>
      </c>
      <c r="K249" s="5">
        <v>30.022481918334961</v>
      </c>
    </row>
    <row r="250" spans="1:11" x14ac:dyDescent="0.3">
      <c r="A250" s="1" t="s">
        <v>332</v>
      </c>
      <c r="B250" s="1" t="s">
        <v>340</v>
      </c>
      <c r="C250" s="1" t="s">
        <v>343</v>
      </c>
      <c r="D250" s="1" t="s">
        <v>343</v>
      </c>
      <c r="E250" s="2">
        <v>60402</v>
      </c>
      <c r="F250" s="3">
        <v>1475</v>
      </c>
      <c r="G250" s="4">
        <v>683</v>
      </c>
      <c r="H250" s="3">
        <v>46.305084228515625</v>
      </c>
      <c r="I250" s="3">
        <v>1515</v>
      </c>
      <c r="J250" s="5">
        <v>470</v>
      </c>
      <c r="K250" s="5">
        <v>31.023101806640625</v>
      </c>
    </row>
    <row r="251" spans="1:11" x14ac:dyDescent="0.3">
      <c r="A251" s="1" t="s">
        <v>332</v>
      </c>
      <c r="B251" s="1" t="s">
        <v>344</v>
      </c>
      <c r="C251" s="1" t="s">
        <v>345</v>
      </c>
      <c r="D251" s="1" t="s">
        <v>346</v>
      </c>
      <c r="E251" s="2">
        <v>60501</v>
      </c>
      <c r="F251" s="3">
        <v>6482</v>
      </c>
      <c r="G251" s="4">
        <v>2538</v>
      </c>
      <c r="H251" s="3">
        <v>39.154582977294922</v>
      </c>
      <c r="I251" s="3">
        <v>9308</v>
      </c>
      <c r="J251" s="5">
        <v>2410</v>
      </c>
      <c r="K251" s="5">
        <v>25.891706466674805</v>
      </c>
    </row>
    <row r="252" spans="1:11" x14ac:dyDescent="0.3">
      <c r="A252" s="1" t="s">
        <v>332</v>
      </c>
      <c r="B252" s="1" t="s">
        <v>344</v>
      </c>
      <c r="C252" s="1" t="s">
        <v>347</v>
      </c>
      <c r="D252" s="1" t="s">
        <v>347</v>
      </c>
      <c r="E252" s="2">
        <v>60502</v>
      </c>
      <c r="F252" s="3">
        <v>3251</v>
      </c>
      <c r="G252" s="4">
        <v>1412</v>
      </c>
      <c r="H252" s="3">
        <v>43.432788848876953</v>
      </c>
      <c r="I252" s="3">
        <v>3237</v>
      </c>
      <c r="J252" s="5">
        <v>850</v>
      </c>
      <c r="K252" s="5">
        <v>26.258882522583008</v>
      </c>
    </row>
    <row r="253" spans="1:11" x14ac:dyDescent="0.3">
      <c r="A253" s="1" t="s">
        <v>332</v>
      </c>
      <c r="B253" s="1" t="s">
        <v>348</v>
      </c>
      <c r="C253" s="1" t="s">
        <v>201</v>
      </c>
      <c r="D253" s="1" t="s">
        <v>201</v>
      </c>
      <c r="E253" s="2">
        <v>60601</v>
      </c>
      <c r="F253" s="3">
        <v>5414</v>
      </c>
      <c r="G253" s="4">
        <v>2393</v>
      </c>
      <c r="H253" s="3">
        <v>44.200222015380859</v>
      </c>
      <c r="I253" s="3">
        <v>6200</v>
      </c>
      <c r="J253" s="5">
        <v>1929</v>
      </c>
      <c r="K253" s="5">
        <v>31.112903594970703</v>
      </c>
    </row>
    <row r="254" spans="1:11" x14ac:dyDescent="0.3">
      <c r="A254" s="1" t="s">
        <v>349</v>
      </c>
      <c r="B254" s="1" t="s">
        <v>350</v>
      </c>
      <c r="C254" s="1" t="s">
        <v>351</v>
      </c>
      <c r="D254" s="1" t="s">
        <v>351</v>
      </c>
      <c r="E254" s="2">
        <v>70101</v>
      </c>
      <c r="F254" s="3">
        <v>362620</v>
      </c>
      <c r="G254" s="4">
        <v>133356</v>
      </c>
      <c r="H254" s="3">
        <v>36.775688171386719</v>
      </c>
      <c r="I254" s="3">
        <v>451209</v>
      </c>
      <c r="J254" s="5">
        <v>115872</v>
      </c>
      <c r="K254" s="5">
        <v>25.680337905883789</v>
      </c>
    </row>
    <row r="255" spans="1:11" x14ac:dyDescent="0.3">
      <c r="A255" s="1" t="s">
        <v>349</v>
      </c>
      <c r="B255" s="1" t="s">
        <v>350</v>
      </c>
      <c r="C255" s="1" t="s">
        <v>352</v>
      </c>
      <c r="D255" s="1" t="s">
        <v>352</v>
      </c>
      <c r="E255" s="2">
        <v>70102</v>
      </c>
      <c r="F255" s="3">
        <v>10238</v>
      </c>
      <c r="G255" s="4">
        <v>5510</v>
      </c>
      <c r="H255" s="3">
        <v>53.819107055664063</v>
      </c>
      <c r="I255" s="3">
        <v>27698</v>
      </c>
      <c r="J255" s="5">
        <v>10766</v>
      </c>
      <c r="K255" s="5">
        <v>38.869232177734375</v>
      </c>
    </row>
    <row r="256" spans="1:11" x14ac:dyDescent="0.3">
      <c r="A256" s="1" t="s">
        <v>349</v>
      </c>
      <c r="B256" s="1" t="s">
        <v>350</v>
      </c>
      <c r="C256" s="1" t="s">
        <v>353</v>
      </c>
      <c r="D256" s="1" t="s">
        <v>354</v>
      </c>
      <c r="E256" s="2">
        <v>70103</v>
      </c>
      <c r="F256" s="3">
        <v>3621</v>
      </c>
      <c r="G256" s="4">
        <v>1639</v>
      </c>
      <c r="H256" s="3">
        <v>45.263740539550781</v>
      </c>
      <c r="I256" s="3">
        <v>6610</v>
      </c>
      <c r="J256" s="5">
        <v>1553</v>
      </c>
      <c r="K256" s="5">
        <v>23.494705200195313</v>
      </c>
    </row>
    <row r="257" spans="1:11" x14ac:dyDescent="0.3">
      <c r="A257" s="1" t="s">
        <v>349</v>
      </c>
      <c r="B257" s="1" t="s">
        <v>350</v>
      </c>
      <c r="C257" s="1" t="s">
        <v>355</v>
      </c>
      <c r="D257" s="1" t="s">
        <v>355</v>
      </c>
      <c r="E257" s="2">
        <v>70104</v>
      </c>
      <c r="F257" s="3">
        <v>21308</v>
      </c>
      <c r="G257" s="4">
        <v>9896</v>
      </c>
      <c r="H257" s="3">
        <v>46.442649841308594</v>
      </c>
      <c r="I257" s="3">
        <v>40156</v>
      </c>
      <c r="J257" s="5">
        <v>12537</v>
      </c>
      <c r="K257" s="5">
        <v>31.220739364624023</v>
      </c>
    </row>
    <row r="258" spans="1:11" x14ac:dyDescent="0.3">
      <c r="A258" s="1" t="s">
        <v>349</v>
      </c>
      <c r="B258" s="1" t="s">
        <v>350</v>
      </c>
      <c r="C258" s="1" t="s">
        <v>356</v>
      </c>
      <c r="D258" s="1" t="s">
        <v>356</v>
      </c>
      <c r="E258" s="2">
        <v>70105</v>
      </c>
      <c r="F258" s="3">
        <v>12232</v>
      </c>
      <c r="G258" s="4">
        <v>5797</v>
      </c>
      <c r="H258" s="3">
        <v>47.392086029052734</v>
      </c>
      <c r="I258" s="3">
        <v>16564</v>
      </c>
      <c r="J258" s="5">
        <v>4876</v>
      </c>
      <c r="K258" s="5">
        <v>29.437334060668945</v>
      </c>
    </row>
    <row r="259" spans="1:11" x14ac:dyDescent="0.3">
      <c r="A259" s="1" t="s">
        <v>349</v>
      </c>
      <c r="B259" s="1" t="s">
        <v>357</v>
      </c>
      <c r="C259" s="1" t="s">
        <v>357</v>
      </c>
      <c r="D259" s="1" t="s">
        <v>357</v>
      </c>
      <c r="E259" s="2">
        <v>70201</v>
      </c>
      <c r="F259" s="3">
        <v>23211</v>
      </c>
      <c r="G259" s="4">
        <v>11916</v>
      </c>
      <c r="H259" s="3">
        <v>51.337726593017578</v>
      </c>
      <c r="I259" s="3">
        <v>40390</v>
      </c>
      <c r="J259" s="5">
        <v>14482</v>
      </c>
      <c r="K259" s="5">
        <v>35.855411529541016</v>
      </c>
    </row>
    <row r="260" spans="1:11" x14ac:dyDescent="0.3">
      <c r="A260" s="1" t="s">
        <v>349</v>
      </c>
      <c r="B260" s="1" t="s">
        <v>357</v>
      </c>
      <c r="C260" s="1" t="s">
        <v>358</v>
      </c>
      <c r="D260" s="1" t="s">
        <v>358</v>
      </c>
      <c r="E260" s="2">
        <v>70202</v>
      </c>
      <c r="F260" s="3">
        <v>2560</v>
      </c>
      <c r="G260" s="4">
        <v>1489</v>
      </c>
      <c r="H260" s="3">
        <v>58.1640625</v>
      </c>
      <c r="I260" s="3">
        <v>2882</v>
      </c>
      <c r="J260" s="5">
        <v>1138</v>
      </c>
      <c r="K260" s="5">
        <v>39.486469268798828</v>
      </c>
    </row>
    <row r="261" spans="1:11" x14ac:dyDescent="0.3">
      <c r="A261" s="1" t="s">
        <v>349</v>
      </c>
      <c r="B261" s="1" t="s">
        <v>359</v>
      </c>
      <c r="C261" s="1" t="s">
        <v>360</v>
      </c>
      <c r="D261" s="1" t="s">
        <v>360</v>
      </c>
      <c r="E261" s="2">
        <v>70301</v>
      </c>
      <c r="F261" s="3">
        <v>10820</v>
      </c>
      <c r="G261" s="4">
        <v>6127</v>
      </c>
      <c r="H261" s="3">
        <v>56.626617431640625</v>
      </c>
      <c r="I261" s="3">
        <v>17593</v>
      </c>
      <c r="J261" s="5">
        <v>7482</v>
      </c>
      <c r="K261" s="5">
        <v>42.528278350830078</v>
      </c>
    </row>
    <row r="262" spans="1:11" x14ac:dyDescent="0.3">
      <c r="A262" s="1" t="s">
        <v>349</v>
      </c>
      <c r="B262" s="1" t="s">
        <v>359</v>
      </c>
      <c r="C262" s="1" t="s">
        <v>361</v>
      </c>
      <c r="D262" s="1" t="s">
        <v>361</v>
      </c>
      <c r="E262" s="2">
        <v>70302</v>
      </c>
      <c r="F262" s="3">
        <v>2582</v>
      </c>
      <c r="G262" s="4">
        <v>1379</v>
      </c>
      <c r="H262" s="3">
        <v>53.408210754394531</v>
      </c>
      <c r="I262" s="3">
        <v>4391</v>
      </c>
      <c r="J262" s="5">
        <v>1715</v>
      </c>
      <c r="K262" s="5">
        <v>39.057163238525391</v>
      </c>
    </row>
    <row r="263" spans="1:11" x14ac:dyDescent="0.3">
      <c r="A263" s="1" t="s">
        <v>349</v>
      </c>
      <c r="B263" s="1" t="s">
        <v>359</v>
      </c>
      <c r="C263" s="1" t="s">
        <v>362</v>
      </c>
      <c r="D263" s="1" t="s">
        <v>362</v>
      </c>
      <c r="E263" s="2">
        <v>70303</v>
      </c>
      <c r="F263" s="3">
        <v>1138</v>
      </c>
      <c r="G263" s="4">
        <v>703</v>
      </c>
      <c r="H263" s="3">
        <v>61.775043487548828</v>
      </c>
      <c r="I263" s="3">
        <v>2885</v>
      </c>
      <c r="J263" s="5">
        <v>996</v>
      </c>
      <c r="K263" s="5">
        <v>34.523395538330078</v>
      </c>
    </row>
    <row r="264" spans="1:11" x14ac:dyDescent="0.3">
      <c r="A264" s="1" t="s">
        <v>349</v>
      </c>
      <c r="B264" s="1" t="s">
        <v>363</v>
      </c>
      <c r="C264" s="1" t="s">
        <v>364</v>
      </c>
      <c r="D264" s="1" t="s">
        <v>364</v>
      </c>
      <c r="E264" s="2">
        <v>70401</v>
      </c>
      <c r="F264" s="3">
        <v>3169</v>
      </c>
      <c r="G264" s="4">
        <v>1498</v>
      </c>
      <c r="H264" s="3">
        <v>47.270431518554688</v>
      </c>
      <c r="I264" s="3">
        <v>3764</v>
      </c>
      <c r="J264" s="5">
        <v>1232</v>
      </c>
      <c r="K264" s="5">
        <v>32.731136322021484</v>
      </c>
    </row>
    <row r="265" spans="1:11" x14ac:dyDescent="0.3">
      <c r="A265" s="1" t="s">
        <v>349</v>
      </c>
      <c r="B265" s="1" t="s">
        <v>363</v>
      </c>
      <c r="C265" s="1" t="s">
        <v>365</v>
      </c>
      <c r="D265" s="1" t="s">
        <v>365</v>
      </c>
      <c r="E265" s="2">
        <v>70402</v>
      </c>
      <c r="F265" s="3">
        <v>4573</v>
      </c>
      <c r="G265" s="4">
        <v>2409</v>
      </c>
      <c r="H265" s="3">
        <v>52.678768157958984</v>
      </c>
      <c r="I265" s="3">
        <v>5503</v>
      </c>
      <c r="J265" s="5">
        <v>1788</v>
      </c>
      <c r="K265" s="5">
        <v>32.491367340087891</v>
      </c>
    </row>
    <row r="266" spans="1:11" x14ac:dyDescent="0.3">
      <c r="A266" s="1" t="s">
        <v>349</v>
      </c>
      <c r="B266" s="1" t="s">
        <v>363</v>
      </c>
      <c r="C266" s="1" t="s">
        <v>366</v>
      </c>
      <c r="D266" s="1" t="s">
        <v>366</v>
      </c>
      <c r="E266" s="2">
        <v>70403</v>
      </c>
      <c r="F266" s="3">
        <v>14773</v>
      </c>
      <c r="G266" s="4">
        <v>6036</v>
      </c>
      <c r="H266" s="3">
        <v>40.858322143554688</v>
      </c>
      <c r="I266" s="3">
        <v>19983</v>
      </c>
      <c r="J266" s="5">
        <v>5263</v>
      </c>
      <c r="K266" s="5">
        <v>26.337387084960938</v>
      </c>
    </row>
    <row r="267" spans="1:11" x14ac:dyDescent="0.3">
      <c r="A267" s="1" t="s">
        <v>349</v>
      </c>
      <c r="B267" s="1" t="s">
        <v>363</v>
      </c>
      <c r="C267" s="1" t="s">
        <v>367</v>
      </c>
      <c r="D267" s="1" t="s">
        <v>367</v>
      </c>
      <c r="E267" s="2">
        <v>70404</v>
      </c>
      <c r="F267" s="3">
        <v>2055</v>
      </c>
      <c r="G267" s="4">
        <v>1061</v>
      </c>
      <c r="H267" s="3">
        <v>51.630168914794922</v>
      </c>
      <c r="I267" s="3">
        <v>2954</v>
      </c>
      <c r="J267" s="5">
        <v>1012</v>
      </c>
      <c r="K267" s="5">
        <v>34.258632659912109</v>
      </c>
    </row>
    <row r="268" spans="1:11" x14ac:dyDescent="0.3">
      <c r="A268" s="1" t="s">
        <v>349</v>
      </c>
      <c r="B268" s="1" t="s">
        <v>368</v>
      </c>
      <c r="C268" s="1" t="s">
        <v>369</v>
      </c>
      <c r="D268" s="1" t="s">
        <v>369</v>
      </c>
      <c r="E268" s="2">
        <v>70501</v>
      </c>
      <c r="F268" s="3">
        <v>4566</v>
      </c>
      <c r="G268" s="4">
        <v>2559</v>
      </c>
      <c r="H268" s="3">
        <v>56.044677734375</v>
      </c>
      <c r="I268" s="3">
        <v>11550</v>
      </c>
      <c r="J268" s="5">
        <v>4452</v>
      </c>
      <c r="K268" s="5">
        <v>38.545455932617188</v>
      </c>
    </row>
    <row r="269" spans="1:11" x14ac:dyDescent="0.3">
      <c r="A269" s="1" t="s">
        <v>349</v>
      </c>
      <c r="B269" s="1" t="s">
        <v>368</v>
      </c>
      <c r="C269" s="1" t="s">
        <v>370</v>
      </c>
      <c r="D269" s="1" t="s">
        <v>370</v>
      </c>
      <c r="E269" s="2">
        <v>70502</v>
      </c>
      <c r="F269" s="3">
        <v>7181</v>
      </c>
      <c r="G269" s="4">
        <v>4294</v>
      </c>
      <c r="H269" s="3">
        <v>59.796684265136719</v>
      </c>
      <c r="I269" s="3">
        <v>12894</v>
      </c>
      <c r="J269" s="5">
        <v>5750</v>
      </c>
      <c r="K269" s="5">
        <v>44.594383239746094</v>
      </c>
    </row>
    <row r="270" spans="1:11" x14ac:dyDescent="0.3">
      <c r="A270" s="1" t="s">
        <v>349</v>
      </c>
      <c r="B270" s="1" t="s">
        <v>368</v>
      </c>
      <c r="C270" s="1" t="s">
        <v>371</v>
      </c>
      <c r="D270" s="1" t="s">
        <v>371</v>
      </c>
      <c r="E270" s="2">
        <v>70503</v>
      </c>
      <c r="F270" s="3">
        <v>3745</v>
      </c>
      <c r="G270" s="4">
        <v>1591</v>
      </c>
      <c r="H270" s="3">
        <v>42.483310699462891</v>
      </c>
      <c r="I270" s="3">
        <v>5328</v>
      </c>
      <c r="J270" s="5">
        <v>1737</v>
      </c>
      <c r="K270" s="5">
        <v>32.601352691650391</v>
      </c>
    </row>
    <row r="271" spans="1:11" x14ac:dyDescent="0.3">
      <c r="A271" s="1" t="s">
        <v>349</v>
      </c>
      <c r="B271" s="1" t="s">
        <v>372</v>
      </c>
      <c r="C271" s="1" t="s">
        <v>373</v>
      </c>
      <c r="D271" s="1" t="s">
        <v>373</v>
      </c>
      <c r="E271" s="2">
        <v>70601</v>
      </c>
      <c r="F271" s="3">
        <v>4119</v>
      </c>
      <c r="G271" s="4">
        <v>1728</v>
      </c>
      <c r="H271" s="3">
        <v>41.951930999755859</v>
      </c>
      <c r="I271" s="3">
        <v>5410</v>
      </c>
      <c r="J271" s="5">
        <v>1733</v>
      </c>
      <c r="K271" s="5">
        <v>32.033271789550781</v>
      </c>
    </row>
    <row r="272" spans="1:11" x14ac:dyDescent="0.3">
      <c r="A272" s="1" t="s">
        <v>349</v>
      </c>
      <c r="B272" s="1" t="s">
        <v>372</v>
      </c>
      <c r="C272" s="1" t="s">
        <v>374</v>
      </c>
      <c r="D272" s="1" t="s">
        <v>374</v>
      </c>
      <c r="E272" s="2">
        <v>70602</v>
      </c>
      <c r="F272" s="3">
        <v>4978</v>
      </c>
      <c r="G272" s="4">
        <v>2385</v>
      </c>
      <c r="H272" s="3">
        <v>47.910808563232422</v>
      </c>
      <c r="I272" s="3">
        <v>5938</v>
      </c>
      <c r="J272" s="5">
        <v>1753</v>
      </c>
      <c r="K272" s="5">
        <v>29.521724700927734</v>
      </c>
    </row>
    <row r="273" spans="1:11" x14ac:dyDescent="0.3">
      <c r="A273" s="1" t="s">
        <v>349</v>
      </c>
      <c r="B273" s="1" t="s">
        <v>372</v>
      </c>
      <c r="C273" s="1" t="s">
        <v>375</v>
      </c>
      <c r="D273" s="1" t="s">
        <v>375</v>
      </c>
      <c r="E273" s="2">
        <v>70603</v>
      </c>
      <c r="F273" s="3">
        <v>1354</v>
      </c>
      <c r="G273" s="4">
        <v>759</v>
      </c>
      <c r="H273" s="3">
        <v>56.056129455566406</v>
      </c>
      <c r="I273" s="3">
        <v>1520</v>
      </c>
      <c r="J273" s="5">
        <v>615</v>
      </c>
      <c r="K273" s="5">
        <v>40.460525512695313</v>
      </c>
    </row>
    <row r="274" spans="1:11" x14ac:dyDescent="0.3">
      <c r="A274" s="1" t="s">
        <v>349</v>
      </c>
      <c r="B274" s="1" t="s">
        <v>376</v>
      </c>
      <c r="C274" s="1" t="s">
        <v>377</v>
      </c>
      <c r="D274" s="1" t="s">
        <v>377</v>
      </c>
      <c r="E274" s="2">
        <v>70701</v>
      </c>
      <c r="F274" s="3">
        <v>1071</v>
      </c>
      <c r="G274" s="4">
        <v>625</v>
      </c>
      <c r="H274" s="3">
        <v>58.356674194335938</v>
      </c>
      <c r="I274" s="3">
        <v>1552</v>
      </c>
      <c r="J274" s="5">
        <v>647</v>
      </c>
      <c r="K274" s="5">
        <v>41.688144683837891</v>
      </c>
    </row>
    <row r="275" spans="1:11" x14ac:dyDescent="0.3">
      <c r="A275" s="1" t="s">
        <v>349</v>
      </c>
      <c r="B275" s="1" t="s">
        <v>376</v>
      </c>
      <c r="C275" s="1" t="s">
        <v>488</v>
      </c>
      <c r="D275" s="1" t="s">
        <v>378</v>
      </c>
      <c r="E275" s="2">
        <v>70702</v>
      </c>
      <c r="F275" s="3">
        <v>6288</v>
      </c>
      <c r="G275" s="4">
        <v>3885</v>
      </c>
      <c r="H275" s="3">
        <v>61.784351348876953</v>
      </c>
      <c r="I275" s="3">
        <v>9400</v>
      </c>
      <c r="J275" s="5">
        <v>4254</v>
      </c>
      <c r="K275" s="5">
        <v>45.255317687988281</v>
      </c>
    </row>
    <row r="276" spans="1:11" x14ac:dyDescent="0.3">
      <c r="A276" s="1" t="s">
        <v>349</v>
      </c>
      <c r="B276" s="1" t="s">
        <v>376</v>
      </c>
      <c r="C276" s="1" t="s">
        <v>379</v>
      </c>
      <c r="D276" s="1" t="s">
        <v>379</v>
      </c>
      <c r="E276" s="2">
        <v>70703</v>
      </c>
      <c r="F276" s="3">
        <v>5626</v>
      </c>
      <c r="G276" s="4">
        <v>3191</v>
      </c>
      <c r="H276" s="3">
        <v>56.718807220458984</v>
      </c>
      <c r="I276" s="3">
        <v>8247</v>
      </c>
      <c r="J276" s="5">
        <v>3456</v>
      </c>
      <c r="K276" s="5">
        <v>41.906147003173828</v>
      </c>
    </row>
    <row r="277" spans="1:11" x14ac:dyDescent="0.3">
      <c r="A277" s="1" t="s">
        <v>349</v>
      </c>
      <c r="B277" s="1" t="s">
        <v>376</v>
      </c>
      <c r="C277" s="1" t="s">
        <v>380</v>
      </c>
      <c r="D277" s="1" t="s">
        <v>380</v>
      </c>
      <c r="E277" s="2">
        <v>70704</v>
      </c>
      <c r="F277" s="3">
        <v>1117</v>
      </c>
      <c r="G277" s="4">
        <v>556</v>
      </c>
      <c r="H277" s="3">
        <v>49.776187896728516</v>
      </c>
      <c r="I277" s="3">
        <v>1239</v>
      </c>
      <c r="J277" s="5">
        <v>533</v>
      </c>
      <c r="K277" s="5">
        <v>43.018562316894531</v>
      </c>
    </row>
    <row r="278" spans="1:11" x14ac:dyDescent="0.3">
      <c r="A278" s="1" t="s">
        <v>349</v>
      </c>
      <c r="B278" s="1" t="s">
        <v>376</v>
      </c>
      <c r="C278" s="1" t="s">
        <v>489</v>
      </c>
      <c r="D278" s="1" t="s">
        <v>381</v>
      </c>
      <c r="E278" s="2">
        <v>70705</v>
      </c>
      <c r="F278" s="3">
        <v>2390</v>
      </c>
      <c r="G278" s="4">
        <v>1516</v>
      </c>
      <c r="H278" s="3">
        <v>63.430961608886719</v>
      </c>
      <c r="I278" s="3">
        <v>3604</v>
      </c>
      <c r="J278" s="5">
        <v>1680</v>
      </c>
      <c r="K278" s="5">
        <v>46.614871978759766</v>
      </c>
    </row>
    <row r="279" spans="1:11" x14ac:dyDescent="0.3">
      <c r="A279" s="1" t="s">
        <v>349</v>
      </c>
      <c r="B279" s="1" t="s">
        <v>376</v>
      </c>
      <c r="C279" s="1" t="s">
        <v>382</v>
      </c>
      <c r="D279" s="1" t="s">
        <v>382</v>
      </c>
      <c r="E279" s="2">
        <v>70706</v>
      </c>
      <c r="F279" s="3">
        <v>8372</v>
      </c>
      <c r="G279" s="4">
        <v>2994</v>
      </c>
      <c r="H279" s="3">
        <v>35.762065887451172</v>
      </c>
      <c r="I279" s="3">
        <v>9260</v>
      </c>
      <c r="J279" s="5">
        <v>2313</v>
      </c>
      <c r="K279" s="5">
        <v>24.978401184082031</v>
      </c>
    </row>
    <row r="280" spans="1:11" x14ac:dyDescent="0.3">
      <c r="A280" s="1" t="s">
        <v>349</v>
      </c>
      <c r="B280" s="1" t="s">
        <v>376</v>
      </c>
      <c r="C280" s="1" t="s">
        <v>383</v>
      </c>
      <c r="D280" s="1" t="s">
        <v>383</v>
      </c>
      <c r="E280" s="2">
        <v>70707</v>
      </c>
      <c r="F280" s="3">
        <v>1013</v>
      </c>
      <c r="G280" s="4">
        <v>528</v>
      </c>
      <c r="H280" s="3">
        <v>52.122409820556641</v>
      </c>
      <c r="I280" s="3">
        <v>1377</v>
      </c>
      <c r="J280" s="5">
        <v>547</v>
      </c>
      <c r="K280" s="5">
        <v>39.724037170410156</v>
      </c>
    </row>
    <row r="281" spans="1:11" x14ac:dyDescent="0.3">
      <c r="A281" s="1" t="s">
        <v>349</v>
      </c>
      <c r="B281" s="1" t="s">
        <v>384</v>
      </c>
      <c r="C281" s="1" t="s">
        <v>384</v>
      </c>
      <c r="D281" s="1" t="s">
        <v>384</v>
      </c>
      <c r="E281" s="2">
        <v>70801</v>
      </c>
      <c r="F281" s="3">
        <v>5274</v>
      </c>
      <c r="G281" s="4">
        <v>1917</v>
      </c>
      <c r="H281" s="3">
        <v>36.348121643066406</v>
      </c>
      <c r="I281" s="3">
        <v>6158</v>
      </c>
      <c r="J281" s="5">
        <v>1434</v>
      </c>
      <c r="K281" s="5">
        <v>23.286781311035156</v>
      </c>
    </row>
    <row r="282" spans="1:11" x14ac:dyDescent="0.3">
      <c r="A282" s="1" t="s">
        <v>349</v>
      </c>
      <c r="B282" s="1" t="s">
        <v>384</v>
      </c>
      <c r="C282" s="1" t="s">
        <v>385</v>
      </c>
      <c r="D282" s="1" t="s">
        <v>385</v>
      </c>
      <c r="E282" s="2">
        <v>70802</v>
      </c>
      <c r="F282" s="3">
        <v>576</v>
      </c>
      <c r="G282" s="4">
        <v>239</v>
      </c>
      <c r="H282" s="3">
        <v>41.493057250976563</v>
      </c>
      <c r="I282" s="3">
        <v>792</v>
      </c>
      <c r="J282" s="5">
        <v>195</v>
      </c>
      <c r="K282" s="5">
        <v>24.621212005615234</v>
      </c>
    </row>
    <row r="283" spans="1:11" x14ac:dyDescent="0.3">
      <c r="A283" s="1" t="s">
        <v>349</v>
      </c>
      <c r="B283" s="1" t="s">
        <v>384</v>
      </c>
      <c r="C283" s="1" t="s">
        <v>386</v>
      </c>
      <c r="D283" s="1" t="s">
        <v>386</v>
      </c>
      <c r="E283" s="2">
        <v>70803</v>
      </c>
      <c r="F283" s="3">
        <v>870</v>
      </c>
      <c r="G283" s="4">
        <v>393</v>
      </c>
      <c r="H283" s="3">
        <v>45.172412872314453</v>
      </c>
      <c r="I283" s="3">
        <v>990</v>
      </c>
      <c r="J283" s="5">
        <v>286</v>
      </c>
      <c r="K283" s="5">
        <v>28.888889312744141</v>
      </c>
    </row>
    <row r="284" spans="1:11" x14ac:dyDescent="0.3">
      <c r="A284" s="1" t="s">
        <v>349</v>
      </c>
      <c r="B284" s="1" t="s">
        <v>384</v>
      </c>
      <c r="C284" s="1" t="s">
        <v>387</v>
      </c>
      <c r="D284" s="1" t="s">
        <v>387</v>
      </c>
      <c r="E284" s="2">
        <v>70804</v>
      </c>
      <c r="F284" s="3">
        <v>600</v>
      </c>
      <c r="G284" s="4">
        <v>297</v>
      </c>
      <c r="H284" s="3">
        <v>49.5</v>
      </c>
      <c r="I284" s="3">
        <v>588</v>
      </c>
      <c r="J284" s="5">
        <v>179</v>
      </c>
      <c r="K284" s="5">
        <v>30.442176818847656</v>
      </c>
    </row>
    <row r="285" spans="1:11" x14ac:dyDescent="0.3">
      <c r="A285" s="1" t="s">
        <v>349</v>
      </c>
      <c r="B285" s="1" t="s">
        <v>384</v>
      </c>
      <c r="C285" s="1" t="s">
        <v>388</v>
      </c>
      <c r="D285" s="1" t="s">
        <v>388</v>
      </c>
      <c r="E285" s="2">
        <v>70805</v>
      </c>
      <c r="F285" s="3">
        <v>635</v>
      </c>
      <c r="G285" s="4">
        <v>297</v>
      </c>
      <c r="H285" s="3">
        <v>46.771652221679688</v>
      </c>
      <c r="I285" s="3">
        <v>745</v>
      </c>
      <c r="J285" s="5">
        <v>201</v>
      </c>
      <c r="K285" s="5">
        <v>26.979866027832031</v>
      </c>
    </row>
    <row r="286" spans="1:11" x14ac:dyDescent="0.3">
      <c r="A286" s="1" t="s">
        <v>349</v>
      </c>
      <c r="B286" s="1" t="s">
        <v>389</v>
      </c>
      <c r="C286" s="1" t="s">
        <v>390</v>
      </c>
      <c r="D286" s="1" t="s">
        <v>390</v>
      </c>
      <c r="E286" s="2">
        <v>70901</v>
      </c>
      <c r="F286" s="3">
        <v>3096</v>
      </c>
      <c r="G286" s="4">
        <v>1138</v>
      </c>
      <c r="H286" s="3">
        <v>36.757106781005859</v>
      </c>
      <c r="I286" s="3">
        <v>4032</v>
      </c>
      <c r="J286" s="5">
        <v>996</v>
      </c>
      <c r="K286" s="5">
        <v>24.702381134033203</v>
      </c>
    </row>
    <row r="287" spans="1:11" x14ac:dyDescent="0.3">
      <c r="A287" s="1" t="s">
        <v>349</v>
      </c>
      <c r="B287" s="1" t="s">
        <v>389</v>
      </c>
      <c r="C287" s="1" t="s">
        <v>490</v>
      </c>
      <c r="D287" s="1" t="s">
        <v>391</v>
      </c>
      <c r="E287" s="2">
        <v>70902</v>
      </c>
      <c r="F287" s="3">
        <v>2714</v>
      </c>
      <c r="G287" s="4">
        <v>1089</v>
      </c>
      <c r="H287" s="3">
        <v>40.125274658203125</v>
      </c>
      <c r="I287" s="3">
        <v>3042</v>
      </c>
      <c r="J287" s="5">
        <v>932</v>
      </c>
      <c r="K287" s="5">
        <v>30.637739181518555</v>
      </c>
    </row>
    <row r="288" spans="1:11" x14ac:dyDescent="0.3">
      <c r="A288" s="1" t="s">
        <v>349</v>
      </c>
      <c r="B288" s="1" t="s">
        <v>389</v>
      </c>
      <c r="C288" s="1" t="s">
        <v>392</v>
      </c>
      <c r="D288" s="1" t="s">
        <v>392</v>
      </c>
      <c r="E288" s="2">
        <v>70903</v>
      </c>
      <c r="F288" s="3">
        <v>2962</v>
      </c>
      <c r="G288" s="4">
        <v>1204</v>
      </c>
      <c r="H288" s="3">
        <v>40.648212432861328</v>
      </c>
      <c r="I288" s="3">
        <v>4302</v>
      </c>
      <c r="J288" s="5">
        <v>1260</v>
      </c>
      <c r="K288" s="5">
        <v>29.288702011108398</v>
      </c>
    </row>
    <row r="289" spans="1:11" x14ac:dyDescent="0.3">
      <c r="A289" s="1" t="s">
        <v>349</v>
      </c>
      <c r="B289" s="1" t="s">
        <v>389</v>
      </c>
      <c r="C289" s="1" t="s">
        <v>393</v>
      </c>
      <c r="D289" s="1" t="s">
        <v>393</v>
      </c>
      <c r="E289" s="2">
        <v>70904</v>
      </c>
      <c r="F289" s="3">
        <v>729</v>
      </c>
      <c r="G289" s="4">
        <v>403</v>
      </c>
      <c r="H289" s="3">
        <v>55.281208038330078</v>
      </c>
      <c r="I289" s="3">
        <v>787</v>
      </c>
      <c r="J289" s="5">
        <v>368</v>
      </c>
      <c r="K289" s="5">
        <v>46.759845733642578</v>
      </c>
    </row>
    <row r="290" spans="1:11" x14ac:dyDescent="0.3">
      <c r="A290" s="1" t="s">
        <v>349</v>
      </c>
      <c r="B290" s="1" t="s">
        <v>394</v>
      </c>
      <c r="C290" s="1" t="s">
        <v>395</v>
      </c>
      <c r="D290" s="1" t="s">
        <v>395</v>
      </c>
      <c r="E290" s="2">
        <v>71001</v>
      </c>
      <c r="F290" s="3">
        <v>26341</v>
      </c>
      <c r="G290" s="4">
        <v>11322</v>
      </c>
      <c r="H290" s="3">
        <v>42.982421875</v>
      </c>
      <c r="I290" s="3">
        <v>33254</v>
      </c>
      <c r="J290" s="5">
        <v>10617</v>
      </c>
      <c r="K290" s="5">
        <v>31.926986694335938</v>
      </c>
    </row>
    <row r="291" spans="1:11" x14ac:dyDescent="0.3">
      <c r="A291" s="1" t="s">
        <v>349</v>
      </c>
      <c r="B291" s="1" t="s">
        <v>394</v>
      </c>
      <c r="C291" s="1" t="s">
        <v>396</v>
      </c>
      <c r="D291" s="1" t="s">
        <v>396</v>
      </c>
      <c r="E291" s="2">
        <v>71002</v>
      </c>
      <c r="F291" s="3">
        <v>3236</v>
      </c>
      <c r="G291" s="4">
        <v>1860</v>
      </c>
      <c r="H291" s="3">
        <v>57.478366851806641</v>
      </c>
      <c r="I291" s="3">
        <v>4339</v>
      </c>
      <c r="J291" s="5">
        <v>1924</v>
      </c>
      <c r="K291" s="5">
        <v>44.342014312744141</v>
      </c>
    </row>
    <row r="292" spans="1:11" x14ac:dyDescent="0.3">
      <c r="A292" s="1" t="s">
        <v>349</v>
      </c>
      <c r="B292" s="1" t="s">
        <v>394</v>
      </c>
      <c r="C292" s="1" t="s">
        <v>397</v>
      </c>
      <c r="D292" s="1" t="s">
        <v>397</v>
      </c>
      <c r="E292" s="2">
        <v>71003</v>
      </c>
      <c r="F292" s="3">
        <v>5325</v>
      </c>
      <c r="G292" s="4">
        <v>2928</v>
      </c>
      <c r="H292" s="3">
        <v>54.985916137695313</v>
      </c>
      <c r="I292" s="3">
        <v>6180</v>
      </c>
      <c r="J292" s="5">
        <v>2471</v>
      </c>
      <c r="K292" s="5">
        <v>39.983818054199219</v>
      </c>
    </row>
    <row r="293" spans="1:11" x14ac:dyDescent="0.3">
      <c r="A293" s="1" t="s">
        <v>349</v>
      </c>
      <c r="B293" s="1" t="s">
        <v>394</v>
      </c>
      <c r="C293" s="1" t="s">
        <v>398</v>
      </c>
      <c r="D293" s="1" t="s">
        <v>398</v>
      </c>
      <c r="E293" s="2">
        <v>71004</v>
      </c>
      <c r="F293" s="3">
        <v>3163</v>
      </c>
      <c r="G293" s="4">
        <v>1794</v>
      </c>
      <c r="H293" s="3">
        <v>56.718303680419922</v>
      </c>
      <c r="I293" s="3">
        <v>3420</v>
      </c>
      <c r="J293" s="5">
        <v>1400</v>
      </c>
      <c r="K293" s="5">
        <v>40.935672760009766</v>
      </c>
    </row>
    <row r="294" spans="1:11" x14ac:dyDescent="0.3">
      <c r="A294" s="1" t="s">
        <v>349</v>
      </c>
      <c r="B294" s="1" t="s">
        <v>394</v>
      </c>
      <c r="C294" s="1" t="s">
        <v>290</v>
      </c>
      <c r="D294" s="1" t="s">
        <v>290</v>
      </c>
      <c r="E294" s="2">
        <v>71005</v>
      </c>
      <c r="F294" s="3">
        <v>3477</v>
      </c>
      <c r="G294" s="4">
        <v>2090</v>
      </c>
      <c r="H294" s="3">
        <v>60.109291076660156</v>
      </c>
      <c r="I294" s="3">
        <v>3765</v>
      </c>
      <c r="J294" s="5">
        <v>1343</v>
      </c>
      <c r="K294" s="5">
        <v>35.670650482177734</v>
      </c>
    </row>
    <row r="295" spans="1:11" x14ac:dyDescent="0.3">
      <c r="A295" s="1" t="s">
        <v>349</v>
      </c>
      <c r="B295" s="1" t="s">
        <v>399</v>
      </c>
      <c r="C295" s="1" t="s">
        <v>342</v>
      </c>
      <c r="D295" s="1" t="s">
        <v>342</v>
      </c>
      <c r="E295" s="2">
        <v>71101</v>
      </c>
      <c r="F295" s="3">
        <v>4259</v>
      </c>
      <c r="G295" s="4">
        <v>2260</v>
      </c>
      <c r="H295" s="3">
        <v>53.064098358154297</v>
      </c>
      <c r="I295" s="3">
        <v>9356</v>
      </c>
      <c r="J295" s="5">
        <v>3169</v>
      </c>
      <c r="K295" s="5">
        <v>33.871311187744141</v>
      </c>
    </row>
    <row r="296" spans="1:11" x14ac:dyDescent="0.3">
      <c r="A296" s="1" t="s">
        <v>349</v>
      </c>
      <c r="B296" s="1" t="s">
        <v>399</v>
      </c>
      <c r="C296" s="1" t="s">
        <v>400</v>
      </c>
      <c r="D296" s="1" t="s">
        <v>400</v>
      </c>
      <c r="E296" s="2">
        <v>71102</v>
      </c>
      <c r="F296" s="3">
        <v>3185</v>
      </c>
      <c r="G296" s="4">
        <v>1575</v>
      </c>
      <c r="H296" s="3">
        <v>49.450550079345703</v>
      </c>
      <c r="I296" s="3">
        <v>3916</v>
      </c>
      <c r="J296" s="5">
        <v>1669</v>
      </c>
      <c r="K296" s="5">
        <v>42.620021820068359</v>
      </c>
    </row>
    <row r="297" spans="1:11" x14ac:dyDescent="0.3">
      <c r="A297" s="1" t="s">
        <v>349</v>
      </c>
      <c r="B297" s="1" t="s">
        <v>399</v>
      </c>
      <c r="C297" s="1" t="s">
        <v>401</v>
      </c>
      <c r="D297" s="1" t="s">
        <v>401</v>
      </c>
      <c r="E297" s="2">
        <v>71103</v>
      </c>
      <c r="F297" s="3">
        <v>1684</v>
      </c>
      <c r="G297" s="4">
        <v>871</v>
      </c>
      <c r="H297" s="3">
        <v>51.722091674804688</v>
      </c>
      <c r="I297" s="3">
        <v>2403</v>
      </c>
      <c r="J297" s="5">
        <v>936</v>
      </c>
      <c r="K297" s="5">
        <v>38.951309204101563</v>
      </c>
    </row>
    <row r="298" spans="1:11" x14ac:dyDescent="0.3">
      <c r="A298" s="1" t="s">
        <v>349</v>
      </c>
      <c r="B298" s="1" t="s">
        <v>399</v>
      </c>
      <c r="C298" s="1" t="s">
        <v>402</v>
      </c>
      <c r="D298" s="1" t="s">
        <v>402</v>
      </c>
      <c r="E298" s="2">
        <v>71104</v>
      </c>
      <c r="F298" s="1">
        <v>12766</v>
      </c>
      <c r="G298" s="1">
        <v>5934</v>
      </c>
      <c r="H298" s="1">
        <v>46.482845306396484</v>
      </c>
      <c r="I298" s="1">
        <v>14419</v>
      </c>
      <c r="J298" s="12">
        <v>3966</v>
      </c>
      <c r="K298" s="12">
        <v>27.505374908447266</v>
      </c>
    </row>
    <row r="299" spans="1:11" x14ac:dyDescent="0.3">
      <c r="A299" s="1" t="s">
        <v>349</v>
      </c>
      <c r="B299" s="1" t="s">
        <v>399</v>
      </c>
      <c r="C299" s="1" t="s">
        <v>403</v>
      </c>
      <c r="D299" s="1" t="s">
        <v>403</v>
      </c>
      <c r="E299" s="2">
        <v>71105</v>
      </c>
      <c r="F299" s="1">
        <v>1146</v>
      </c>
      <c r="G299" s="1">
        <v>821</v>
      </c>
      <c r="H299" s="1">
        <v>71.640487670898438</v>
      </c>
      <c r="I299" s="1">
        <v>1467</v>
      </c>
      <c r="J299" s="12">
        <v>765</v>
      </c>
      <c r="K299" s="12">
        <v>52.147239685058594</v>
      </c>
    </row>
    <row r="300" spans="1:11" x14ac:dyDescent="0.3">
      <c r="A300" s="1" t="s">
        <v>349</v>
      </c>
      <c r="B300" s="1" t="s">
        <v>399</v>
      </c>
      <c r="C300" s="1" t="s">
        <v>404</v>
      </c>
      <c r="D300" s="1" t="s">
        <v>404</v>
      </c>
      <c r="E300" s="2">
        <v>71106</v>
      </c>
      <c r="F300" s="3">
        <v>5057</v>
      </c>
      <c r="G300" s="4">
        <v>2584</v>
      </c>
      <c r="H300" s="3">
        <v>51.097488403320313</v>
      </c>
      <c r="I300" s="3">
        <v>6533</v>
      </c>
      <c r="J300" s="5">
        <v>2355</v>
      </c>
      <c r="K300" s="5">
        <v>36.047756195068359</v>
      </c>
    </row>
    <row r="301" spans="1:11" x14ac:dyDescent="0.3">
      <c r="A301" s="1" t="s">
        <v>349</v>
      </c>
      <c r="B301" s="1" t="s">
        <v>405</v>
      </c>
      <c r="C301" s="1" t="s">
        <v>406</v>
      </c>
      <c r="D301" s="1" t="s">
        <v>406</v>
      </c>
      <c r="E301" s="2">
        <v>71201</v>
      </c>
      <c r="F301" s="3">
        <v>3213</v>
      </c>
      <c r="G301" s="4">
        <v>1525</v>
      </c>
      <c r="H301" s="3">
        <v>47.463428497314453</v>
      </c>
      <c r="I301" s="3">
        <v>4113</v>
      </c>
      <c r="J301" s="5">
        <v>1590</v>
      </c>
      <c r="K301" s="5">
        <v>38.657913208007813</v>
      </c>
    </row>
    <row r="302" spans="1:11" x14ac:dyDescent="0.3">
      <c r="A302" s="1" t="s">
        <v>349</v>
      </c>
      <c r="B302" s="1" t="s">
        <v>407</v>
      </c>
      <c r="C302" s="1" t="s">
        <v>408</v>
      </c>
      <c r="D302" s="1" t="s">
        <v>408</v>
      </c>
      <c r="E302" s="2">
        <v>71301</v>
      </c>
      <c r="F302" s="3">
        <v>4639</v>
      </c>
      <c r="G302" s="4">
        <v>2085</v>
      </c>
      <c r="H302" s="3">
        <v>44.945030212402344</v>
      </c>
      <c r="I302" s="3">
        <v>5730</v>
      </c>
      <c r="J302" s="5">
        <v>1700</v>
      </c>
      <c r="K302" s="5">
        <v>29.668411254882813</v>
      </c>
    </row>
    <row r="303" spans="1:11" x14ac:dyDescent="0.3">
      <c r="A303" s="1" t="s">
        <v>349</v>
      </c>
      <c r="B303" s="1" t="s">
        <v>407</v>
      </c>
      <c r="C303" s="1" t="s">
        <v>409</v>
      </c>
      <c r="D303" s="1" t="s">
        <v>409</v>
      </c>
      <c r="E303" s="2">
        <v>71302</v>
      </c>
      <c r="F303" s="3">
        <v>1783</v>
      </c>
      <c r="G303" s="4">
        <v>983</v>
      </c>
      <c r="H303" s="3">
        <v>55.131801605224609</v>
      </c>
      <c r="I303" s="3">
        <v>1980</v>
      </c>
      <c r="J303" s="5">
        <v>595</v>
      </c>
      <c r="K303" s="5">
        <v>30.050504684448242</v>
      </c>
    </row>
    <row r="304" spans="1:11" x14ac:dyDescent="0.3">
      <c r="A304" s="1" t="s">
        <v>349</v>
      </c>
      <c r="B304" s="1" t="s">
        <v>410</v>
      </c>
      <c r="C304" s="1" t="s">
        <v>491</v>
      </c>
      <c r="D304" s="1" t="s">
        <v>411</v>
      </c>
      <c r="E304" s="2">
        <v>71401</v>
      </c>
      <c r="F304" s="3">
        <v>4554</v>
      </c>
      <c r="G304" s="4">
        <v>2017</v>
      </c>
      <c r="H304" s="3">
        <v>44.290733337402344</v>
      </c>
      <c r="I304" s="3">
        <v>4834</v>
      </c>
      <c r="J304" s="5">
        <v>1531</v>
      </c>
      <c r="K304" s="5">
        <v>31.671493530273438</v>
      </c>
    </row>
    <row r="305" spans="1:11" x14ac:dyDescent="0.3">
      <c r="A305" s="1" t="s">
        <v>349</v>
      </c>
      <c r="B305" s="1" t="s">
        <v>410</v>
      </c>
      <c r="C305" s="1" t="s">
        <v>412</v>
      </c>
      <c r="D305" s="1" t="s">
        <v>412</v>
      </c>
      <c r="E305" s="2">
        <v>71402</v>
      </c>
      <c r="F305" s="3">
        <v>3876</v>
      </c>
      <c r="G305" s="4">
        <v>1798</v>
      </c>
      <c r="H305" s="3">
        <v>46.388027191162109</v>
      </c>
      <c r="I305" s="3">
        <v>4827</v>
      </c>
      <c r="J305" s="5">
        <v>1645</v>
      </c>
      <c r="K305" s="5">
        <v>34.079139709472656</v>
      </c>
    </row>
    <row r="306" spans="1:11" x14ac:dyDescent="0.3">
      <c r="A306" s="1" t="s">
        <v>349</v>
      </c>
      <c r="B306" s="1" t="s">
        <v>410</v>
      </c>
      <c r="C306" s="1" t="s">
        <v>413</v>
      </c>
      <c r="D306" s="1" t="s">
        <v>413</v>
      </c>
      <c r="E306" s="2">
        <v>71403</v>
      </c>
      <c r="F306" s="3">
        <v>1491</v>
      </c>
      <c r="G306" s="4">
        <v>711</v>
      </c>
      <c r="H306" s="3">
        <v>47.686115264892578</v>
      </c>
      <c r="I306" s="3">
        <v>2428</v>
      </c>
      <c r="J306" s="5">
        <v>939</v>
      </c>
      <c r="K306" s="5">
        <v>38.673805236816406</v>
      </c>
    </row>
    <row r="307" spans="1:11" x14ac:dyDescent="0.3">
      <c r="A307" s="1" t="s">
        <v>349</v>
      </c>
      <c r="B307" s="1" t="s">
        <v>414</v>
      </c>
      <c r="C307" s="1" t="s">
        <v>415</v>
      </c>
      <c r="D307" s="1" t="s">
        <v>415</v>
      </c>
      <c r="E307" s="2">
        <v>71501</v>
      </c>
      <c r="F307" s="3">
        <v>5520</v>
      </c>
      <c r="G307" s="4">
        <v>3130</v>
      </c>
      <c r="H307" s="3">
        <v>56.702899932861328</v>
      </c>
      <c r="I307" s="3">
        <v>10728</v>
      </c>
      <c r="J307" s="5">
        <v>3327</v>
      </c>
      <c r="K307" s="5">
        <v>31.012304306030273</v>
      </c>
    </row>
    <row r="308" spans="1:11" x14ac:dyDescent="0.3">
      <c r="A308" s="1" t="s">
        <v>349</v>
      </c>
      <c r="B308" s="1" t="s">
        <v>414</v>
      </c>
      <c r="C308" s="1" t="s">
        <v>416</v>
      </c>
      <c r="D308" s="1" t="s">
        <v>417</v>
      </c>
      <c r="E308" s="2">
        <v>71502</v>
      </c>
      <c r="F308" s="3">
        <v>1182</v>
      </c>
      <c r="G308" s="4">
        <v>814</v>
      </c>
      <c r="H308" s="3">
        <v>68.866325378417969</v>
      </c>
      <c r="I308" s="3">
        <v>1629</v>
      </c>
      <c r="J308" s="5">
        <v>655</v>
      </c>
      <c r="K308" s="5">
        <v>40.208717346191406</v>
      </c>
    </row>
    <row r="309" spans="1:11" x14ac:dyDescent="0.3">
      <c r="A309" s="1" t="s">
        <v>349</v>
      </c>
      <c r="B309" s="1" t="s">
        <v>414</v>
      </c>
      <c r="C309" s="1" t="s">
        <v>347</v>
      </c>
      <c r="D309" s="1" t="s">
        <v>347</v>
      </c>
      <c r="E309" s="2">
        <v>71503</v>
      </c>
      <c r="F309" s="3">
        <v>4461</v>
      </c>
      <c r="G309" s="4">
        <v>1808</v>
      </c>
      <c r="H309" s="3">
        <v>40.529029846191406</v>
      </c>
      <c r="I309" s="3">
        <v>6415</v>
      </c>
      <c r="J309" s="5">
        <v>1690</v>
      </c>
      <c r="K309" s="5">
        <v>26.344505310058594</v>
      </c>
    </row>
    <row r="310" spans="1:11" x14ac:dyDescent="0.3">
      <c r="A310" s="1" t="s">
        <v>418</v>
      </c>
      <c r="B310" s="1" t="s">
        <v>158</v>
      </c>
      <c r="C310" s="1" t="s">
        <v>419</v>
      </c>
      <c r="D310" s="1" t="s">
        <v>419</v>
      </c>
      <c r="E310" s="2">
        <v>80101</v>
      </c>
      <c r="F310" s="3">
        <v>24716</v>
      </c>
      <c r="G310" s="4">
        <v>10831</v>
      </c>
      <c r="H310" s="3">
        <v>43.821815490722656</v>
      </c>
      <c r="I310" s="3">
        <v>32265</v>
      </c>
      <c r="J310" s="5">
        <v>10746</v>
      </c>
      <c r="K310" s="5">
        <v>33.305438995361328</v>
      </c>
    </row>
    <row r="311" spans="1:11" x14ac:dyDescent="0.3">
      <c r="A311" s="1" t="s">
        <v>418</v>
      </c>
      <c r="B311" s="1" t="s">
        <v>158</v>
      </c>
      <c r="C311" s="1" t="s">
        <v>400</v>
      </c>
      <c r="D311" s="1" t="s">
        <v>400</v>
      </c>
      <c r="E311" s="2">
        <v>80102</v>
      </c>
      <c r="F311" s="3">
        <v>1230</v>
      </c>
      <c r="G311" s="4">
        <v>666</v>
      </c>
      <c r="H311" s="3">
        <v>54.146343231201172</v>
      </c>
      <c r="I311" s="3">
        <v>2058</v>
      </c>
      <c r="J311" s="5">
        <v>894</v>
      </c>
      <c r="K311" s="5">
        <v>43.440235137939453</v>
      </c>
    </row>
    <row r="312" spans="1:11" x14ac:dyDescent="0.3">
      <c r="A312" s="1" t="s">
        <v>418</v>
      </c>
      <c r="B312" s="1" t="s">
        <v>420</v>
      </c>
      <c r="C312" s="1" t="s">
        <v>421</v>
      </c>
      <c r="D312" s="1" t="s">
        <v>421</v>
      </c>
      <c r="E312" s="2">
        <v>80201</v>
      </c>
      <c r="F312" s="3">
        <v>19586</v>
      </c>
      <c r="G312" s="4">
        <v>9612</v>
      </c>
      <c r="H312" s="3">
        <v>49.075870513916016</v>
      </c>
      <c r="I312" s="3">
        <v>27185</v>
      </c>
      <c r="J312" s="5">
        <v>10125</v>
      </c>
      <c r="K312" s="5">
        <v>37.244804382324219</v>
      </c>
    </row>
    <row r="313" spans="1:11" x14ac:dyDescent="0.3">
      <c r="A313" s="1" t="s">
        <v>418</v>
      </c>
      <c r="B313" s="1" t="s">
        <v>420</v>
      </c>
      <c r="C313" s="1" t="s">
        <v>422</v>
      </c>
      <c r="D313" s="1" t="s">
        <v>422</v>
      </c>
      <c r="E313" s="2">
        <v>80202</v>
      </c>
      <c r="F313" s="3">
        <v>9257</v>
      </c>
      <c r="G313" s="4">
        <v>4082</v>
      </c>
      <c r="H313" s="3">
        <v>44.096359252929688</v>
      </c>
      <c r="I313" s="3">
        <v>10713</v>
      </c>
      <c r="J313" s="5">
        <v>3416</v>
      </c>
      <c r="K313" s="5">
        <v>31.886493682861328</v>
      </c>
    </row>
    <row r="314" spans="1:11" x14ac:dyDescent="0.3">
      <c r="A314" s="1" t="s">
        <v>418</v>
      </c>
      <c r="B314" s="1" t="s">
        <v>423</v>
      </c>
      <c r="C314" s="1" t="s">
        <v>424</v>
      </c>
      <c r="D314" s="1" t="s">
        <v>424</v>
      </c>
      <c r="E314" s="2">
        <v>80301</v>
      </c>
      <c r="F314" s="3">
        <v>2960</v>
      </c>
      <c r="G314" s="4">
        <v>1389</v>
      </c>
      <c r="H314" s="3">
        <v>46.925674438476563</v>
      </c>
      <c r="I314" s="3">
        <v>3398</v>
      </c>
      <c r="J314" s="5">
        <v>1118</v>
      </c>
      <c r="K314" s="5">
        <v>32.901706695556641</v>
      </c>
    </row>
    <row r="315" spans="1:11" x14ac:dyDescent="0.3">
      <c r="A315" s="1" t="s">
        <v>418</v>
      </c>
      <c r="B315" s="1" t="s">
        <v>423</v>
      </c>
      <c r="C315" s="1" t="s">
        <v>425</v>
      </c>
      <c r="D315" s="1" t="s">
        <v>425</v>
      </c>
      <c r="E315" s="2">
        <v>80302</v>
      </c>
      <c r="F315" s="3">
        <v>9411</v>
      </c>
      <c r="G315" s="4">
        <v>4910</v>
      </c>
      <c r="H315" s="3">
        <v>52.172988891601563</v>
      </c>
      <c r="I315" s="3">
        <v>12963</v>
      </c>
      <c r="J315" s="5">
        <v>5180</v>
      </c>
      <c r="K315" s="5">
        <v>39.959884643554688</v>
      </c>
    </row>
    <row r="316" spans="1:11" x14ac:dyDescent="0.3">
      <c r="A316" s="1" t="s">
        <v>418</v>
      </c>
      <c r="B316" s="1" t="s">
        <v>423</v>
      </c>
      <c r="C316" s="1" t="s">
        <v>374</v>
      </c>
      <c r="D316" s="1" t="s">
        <v>374</v>
      </c>
      <c r="E316" s="2">
        <v>80303</v>
      </c>
      <c r="F316" s="3">
        <v>1976</v>
      </c>
      <c r="G316" s="4">
        <v>1058</v>
      </c>
      <c r="H316" s="3">
        <v>53.542510986328125</v>
      </c>
      <c r="I316" s="3">
        <v>2724</v>
      </c>
      <c r="J316" s="5">
        <v>1063</v>
      </c>
      <c r="K316" s="5">
        <v>39.023494720458984</v>
      </c>
    </row>
    <row r="317" spans="1:11" x14ac:dyDescent="0.3">
      <c r="A317" s="1" t="s">
        <v>418</v>
      </c>
      <c r="B317" s="1" t="s">
        <v>423</v>
      </c>
      <c r="C317" s="1" t="s">
        <v>426</v>
      </c>
      <c r="D317" s="1" t="s">
        <v>427</v>
      </c>
      <c r="E317" s="2">
        <v>80304</v>
      </c>
      <c r="F317" s="3">
        <v>4857</v>
      </c>
      <c r="G317" s="4">
        <v>2222</v>
      </c>
      <c r="H317" s="3">
        <v>45.748405456542969</v>
      </c>
      <c r="I317" s="3">
        <v>6842</v>
      </c>
      <c r="J317" s="5">
        <v>2170</v>
      </c>
      <c r="K317" s="5">
        <v>31.715871810913086</v>
      </c>
    </row>
    <row r="318" spans="1:11" x14ac:dyDescent="0.3">
      <c r="A318" s="1" t="s">
        <v>418</v>
      </c>
      <c r="B318" s="1" t="s">
        <v>428</v>
      </c>
      <c r="C318" s="1" t="s">
        <v>429</v>
      </c>
      <c r="D318" s="1" t="s">
        <v>430</v>
      </c>
      <c r="E318" s="2">
        <v>80401</v>
      </c>
      <c r="F318" s="3">
        <v>3710</v>
      </c>
      <c r="G318" s="4">
        <v>1866</v>
      </c>
      <c r="H318" s="3">
        <v>50.296497344970703</v>
      </c>
      <c r="I318" s="3">
        <v>4259</v>
      </c>
      <c r="J318" s="5">
        <v>1742</v>
      </c>
      <c r="K318" s="5">
        <v>40.901618957519531</v>
      </c>
    </row>
    <row r="319" spans="1:11" x14ac:dyDescent="0.3">
      <c r="A319" s="1" t="s">
        <v>418</v>
      </c>
      <c r="B319" s="1" t="s">
        <v>428</v>
      </c>
      <c r="C319" s="1" t="s">
        <v>431</v>
      </c>
      <c r="D319" s="1" t="s">
        <v>431</v>
      </c>
      <c r="E319" s="2">
        <v>80402</v>
      </c>
      <c r="F319" s="3">
        <v>938</v>
      </c>
      <c r="G319" s="4">
        <v>617</v>
      </c>
      <c r="H319" s="3">
        <v>65.778251647949219</v>
      </c>
      <c r="I319" s="3">
        <v>1443</v>
      </c>
      <c r="J319" s="5">
        <v>800</v>
      </c>
      <c r="K319" s="5">
        <v>55.440055847167969</v>
      </c>
    </row>
    <row r="320" spans="1:11" x14ac:dyDescent="0.3">
      <c r="A320" s="1" t="s">
        <v>418</v>
      </c>
      <c r="B320" s="1" t="s">
        <v>432</v>
      </c>
      <c r="C320" s="1" t="s">
        <v>360</v>
      </c>
      <c r="D320" s="1" t="s">
        <v>360</v>
      </c>
      <c r="E320" s="2">
        <v>80501</v>
      </c>
      <c r="F320" s="3">
        <v>4354</v>
      </c>
      <c r="G320" s="4">
        <v>2430</v>
      </c>
      <c r="H320" s="3">
        <v>55.810749053955078</v>
      </c>
      <c r="I320" s="3">
        <v>5364</v>
      </c>
      <c r="J320" s="5">
        <v>2295</v>
      </c>
      <c r="K320" s="5">
        <v>42.785236358642578</v>
      </c>
    </row>
    <row r="321" spans="1:11" x14ac:dyDescent="0.3">
      <c r="A321" s="1" t="s">
        <v>418</v>
      </c>
      <c r="B321" s="1" t="s">
        <v>433</v>
      </c>
      <c r="C321" s="1" t="s">
        <v>434</v>
      </c>
      <c r="D321" s="1" t="s">
        <v>434</v>
      </c>
      <c r="E321" s="2">
        <v>80601</v>
      </c>
      <c r="F321" s="3">
        <v>864</v>
      </c>
      <c r="G321" s="4">
        <v>450</v>
      </c>
      <c r="H321" s="3">
        <v>52.083332061767578</v>
      </c>
      <c r="I321" s="3">
        <v>1053</v>
      </c>
      <c r="J321" s="5">
        <v>505</v>
      </c>
      <c r="K321" s="5">
        <v>47.958213806152344</v>
      </c>
    </row>
    <row r="322" spans="1:11" x14ac:dyDescent="0.3">
      <c r="A322" s="1" t="s">
        <v>418</v>
      </c>
      <c r="B322" s="1" t="s">
        <v>433</v>
      </c>
      <c r="C322" s="1" t="s">
        <v>435</v>
      </c>
      <c r="D322" s="1" t="s">
        <v>435</v>
      </c>
      <c r="E322" s="2">
        <v>80602</v>
      </c>
      <c r="F322" s="3">
        <v>2996</v>
      </c>
      <c r="G322" s="4">
        <v>1510</v>
      </c>
      <c r="H322" s="3">
        <v>50.400535583496094</v>
      </c>
      <c r="I322" s="3">
        <v>5216</v>
      </c>
      <c r="J322" s="5">
        <v>1590</v>
      </c>
      <c r="K322" s="5">
        <v>30.483129501342773</v>
      </c>
    </row>
    <row r="323" spans="1:11" x14ac:dyDescent="0.3">
      <c r="A323" s="1" t="s">
        <v>418</v>
      </c>
      <c r="B323" s="1" t="s">
        <v>436</v>
      </c>
      <c r="C323" s="1" t="s">
        <v>437</v>
      </c>
      <c r="D323" s="1" t="s">
        <v>437</v>
      </c>
      <c r="E323" s="2">
        <v>80701</v>
      </c>
      <c r="F323" s="3">
        <v>1254</v>
      </c>
      <c r="G323" s="4">
        <v>672</v>
      </c>
      <c r="H323" s="3">
        <v>53.588516235351563</v>
      </c>
      <c r="I323" s="3">
        <v>1473</v>
      </c>
      <c r="J323" s="5">
        <v>602</v>
      </c>
      <c r="K323" s="5">
        <v>40.868976593017578</v>
      </c>
    </row>
    <row r="324" spans="1:11" x14ac:dyDescent="0.3">
      <c r="A324" s="1" t="s">
        <v>418</v>
      </c>
      <c r="B324" s="1" t="s">
        <v>436</v>
      </c>
      <c r="C324" s="1" t="s">
        <v>401</v>
      </c>
      <c r="D324" s="1" t="s">
        <v>401</v>
      </c>
      <c r="E324" s="2">
        <v>80702</v>
      </c>
      <c r="F324" s="3">
        <v>1160</v>
      </c>
      <c r="G324" s="4">
        <v>463</v>
      </c>
      <c r="H324" s="3">
        <v>39.913791656494141</v>
      </c>
      <c r="I324" s="3">
        <v>1469</v>
      </c>
      <c r="J324" s="5">
        <v>461</v>
      </c>
      <c r="K324" s="5">
        <v>31.381893157958984</v>
      </c>
    </row>
    <row r="325" spans="1:11" x14ac:dyDescent="0.3">
      <c r="A325" s="1" t="s">
        <v>418</v>
      </c>
      <c r="B325" s="1" t="s">
        <v>436</v>
      </c>
      <c r="C325" s="1" t="s">
        <v>438</v>
      </c>
      <c r="D325" s="1" t="s">
        <v>438</v>
      </c>
      <c r="E325" s="2">
        <v>80703</v>
      </c>
      <c r="F325" s="3">
        <v>195</v>
      </c>
      <c r="G325" s="4">
        <v>86</v>
      </c>
      <c r="H325" s="3">
        <v>44.102565765380859</v>
      </c>
      <c r="I325" s="3">
        <v>304</v>
      </c>
      <c r="J325" s="5">
        <v>124</v>
      </c>
      <c r="K325" s="5">
        <v>40.789474487304688</v>
      </c>
    </row>
    <row r="326" spans="1:11" x14ac:dyDescent="0.3">
      <c r="A326" s="1" t="s">
        <v>418</v>
      </c>
      <c r="B326" s="1" t="s">
        <v>439</v>
      </c>
      <c r="C326" s="1" t="s">
        <v>440</v>
      </c>
      <c r="D326" s="1" t="s">
        <v>440</v>
      </c>
      <c r="E326" s="2">
        <v>80801</v>
      </c>
      <c r="F326" s="3">
        <v>2226</v>
      </c>
      <c r="G326" s="4">
        <v>1169</v>
      </c>
      <c r="H326" s="3">
        <v>52.515724182128906</v>
      </c>
      <c r="I326" s="3">
        <v>2919</v>
      </c>
      <c r="J326" s="5">
        <v>1129</v>
      </c>
      <c r="K326" s="5">
        <v>38.677627563476563</v>
      </c>
    </row>
    <row r="327" spans="1:11" x14ac:dyDescent="0.3">
      <c r="A327" s="1" t="s">
        <v>418</v>
      </c>
      <c r="B327" s="1" t="s">
        <v>439</v>
      </c>
      <c r="C327" s="1" t="s">
        <v>441</v>
      </c>
      <c r="D327" s="1" t="s">
        <v>441</v>
      </c>
      <c r="E327" s="2">
        <v>80802</v>
      </c>
      <c r="F327" s="3">
        <v>1355</v>
      </c>
      <c r="G327" s="4">
        <v>576</v>
      </c>
      <c r="H327" s="3">
        <v>42.509223937988281</v>
      </c>
      <c r="I327" s="3">
        <v>2041</v>
      </c>
      <c r="J327" s="5">
        <v>630</v>
      </c>
      <c r="K327" s="5">
        <v>30.867221832275391</v>
      </c>
    </row>
    <row r="328" spans="1:11" x14ac:dyDescent="0.3">
      <c r="A328" s="1" t="s">
        <v>418</v>
      </c>
      <c r="B328" s="1" t="s">
        <v>439</v>
      </c>
      <c r="C328" s="1" t="s">
        <v>442</v>
      </c>
      <c r="D328" s="1" t="s">
        <v>442</v>
      </c>
      <c r="E328" s="2">
        <v>80803</v>
      </c>
      <c r="F328" s="3">
        <v>819</v>
      </c>
      <c r="G328" s="4">
        <v>424</v>
      </c>
      <c r="H328" s="3">
        <v>51.770450592041016</v>
      </c>
      <c r="I328" s="3">
        <v>1004</v>
      </c>
      <c r="J328" s="5">
        <v>404</v>
      </c>
      <c r="K328" s="5">
        <v>40.239044189453125</v>
      </c>
    </row>
    <row r="329" spans="1:11" x14ac:dyDescent="0.3">
      <c r="A329" s="1" t="s">
        <v>418</v>
      </c>
      <c r="B329" s="1" t="s">
        <v>432</v>
      </c>
      <c r="C329" s="1" t="s">
        <v>492</v>
      </c>
      <c r="D329" s="1" t="s">
        <v>443</v>
      </c>
      <c r="E329" s="2">
        <v>80901</v>
      </c>
      <c r="F329" s="3">
        <v>4032</v>
      </c>
      <c r="G329" s="4">
        <v>2148</v>
      </c>
      <c r="H329" s="3">
        <v>53.053623199462891</v>
      </c>
      <c r="I329" s="3">
        <v>920</v>
      </c>
      <c r="J329" s="5">
        <v>512</v>
      </c>
      <c r="K329" s="5">
        <v>55.652172088623047</v>
      </c>
    </row>
    <row r="330" spans="1:11" x14ac:dyDescent="0.3">
      <c r="A330" s="1" t="s">
        <v>444</v>
      </c>
      <c r="B330" s="1" t="s">
        <v>445</v>
      </c>
      <c r="C330" s="1" t="s">
        <v>446</v>
      </c>
      <c r="D330" s="1" t="s">
        <v>446</v>
      </c>
      <c r="E330" s="2">
        <v>90101</v>
      </c>
      <c r="F330" s="3">
        <v>12296</v>
      </c>
      <c r="G330" s="4">
        <v>4595</v>
      </c>
      <c r="H330" s="3">
        <v>37.369876861572266</v>
      </c>
      <c r="I330" s="3">
        <v>15499</v>
      </c>
      <c r="J330" s="5">
        <v>4036</v>
      </c>
      <c r="K330" s="5">
        <v>26.040390014648438</v>
      </c>
    </row>
    <row r="331" spans="1:11" x14ac:dyDescent="0.3">
      <c r="A331" s="1" t="s">
        <v>444</v>
      </c>
      <c r="B331" s="1" t="s">
        <v>445</v>
      </c>
      <c r="C331" s="1" t="s">
        <v>447</v>
      </c>
      <c r="D331" s="1" t="s">
        <v>447</v>
      </c>
      <c r="E331" s="2">
        <v>90102</v>
      </c>
      <c r="F331" s="3">
        <v>1655</v>
      </c>
      <c r="G331" s="4">
        <v>858</v>
      </c>
      <c r="H331" s="3">
        <v>51.842899322509766</v>
      </c>
      <c r="I331" s="3">
        <v>2207</v>
      </c>
      <c r="J331" s="5">
        <v>908</v>
      </c>
      <c r="K331" s="5">
        <v>41.141822814941406</v>
      </c>
    </row>
    <row r="332" spans="1:11" x14ac:dyDescent="0.3">
      <c r="A332" s="1" t="s">
        <v>444</v>
      </c>
      <c r="B332" s="1" t="s">
        <v>445</v>
      </c>
      <c r="C332" s="1" t="s">
        <v>448</v>
      </c>
      <c r="D332" s="1" t="s">
        <v>448</v>
      </c>
      <c r="E332" s="2">
        <v>90103</v>
      </c>
      <c r="F332" s="3">
        <v>545</v>
      </c>
      <c r="G332" s="4">
        <v>282</v>
      </c>
      <c r="H332" s="3">
        <v>51.743118286132813</v>
      </c>
      <c r="I332" s="3">
        <v>793</v>
      </c>
      <c r="J332" s="5">
        <v>219</v>
      </c>
      <c r="K332" s="5">
        <v>27.616645812988281</v>
      </c>
    </row>
    <row r="333" spans="1:11" x14ac:dyDescent="0.3">
      <c r="A333" s="1" t="s">
        <v>444</v>
      </c>
      <c r="B333" s="1" t="s">
        <v>445</v>
      </c>
      <c r="C333" s="1" t="s">
        <v>449</v>
      </c>
      <c r="D333" s="1" t="s">
        <v>449</v>
      </c>
      <c r="E333" s="2">
        <v>90104</v>
      </c>
      <c r="F333" s="3">
        <v>943</v>
      </c>
      <c r="G333" s="4">
        <v>430</v>
      </c>
      <c r="H333" s="3">
        <v>45.599151611328125</v>
      </c>
      <c r="I333" s="3">
        <v>1221</v>
      </c>
      <c r="J333" s="5">
        <v>306</v>
      </c>
      <c r="K333" s="5">
        <v>25.061424255371094</v>
      </c>
    </row>
    <row r="334" spans="1:11" x14ac:dyDescent="0.3">
      <c r="A334" s="1" t="s">
        <v>444</v>
      </c>
      <c r="B334" s="1" t="s">
        <v>450</v>
      </c>
      <c r="C334" s="1" t="s">
        <v>451</v>
      </c>
      <c r="D334" s="1" t="s">
        <v>451</v>
      </c>
      <c r="E334" s="2">
        <v>90201</v>
      </c>
      <c r="F334" s="3">
        <v>1382</v>
      </c>
      <c r="G334" s="4">
        <v>761</v>
      </c>
      <c r="H334" s="3">
        <v>55.06512451171875</v>
      </c>
      <c r="I334" s="3">
        <v>1982</v>
      </c>
      <c r="J334" s="5">
        <v>730</v>
      </c>
      <c r="K334" s="5">
        <v>36.83148193359375</v>
      </c>
    </row>
    <row r="335" spans="1:11" x14ac:dyDescent="0.3">
      <c r="A335" s="1" t="s">
        <v>444</v>
      </c>
      <c r="B335" s="1" t="s">
        <v>450</v>
      </c>
      <c r="C335" s="1" t="s">
        <v>290</v>
      </c>
      <c r="D335" s="1" t="s">
        <v>290</v>
      </c>
      <c r="E335" s="2">
        <v>90202</v>
      </c>
      <c r="F335" s="3">
        <v>611</v>
      </c>
      <c r="G335" s="4">
        <v>423</v>
      </c>
      <c r="H335" s="3">
        <v>69.230766296386719</v>
      </c>
      <c r="I335" s="3">
        <v>601</v>
      </c>
      <c r="J335" s="5">
        <v>359</v>
      </c>
      <c r="K335" s="5">
        <v>59.733776092529297</v>
      </c>
    </row>
    <row r="336" spans="1:11" x14ac:dyDescent="0.3">
      <c r="A336" s="1" t="s">
        <v>444</v>
      </c>
      <c r="B336" s="1" t="s">
        <v>450</v>
      </c>
      <c r="C336" s="1" t="s">
        <v>452</v>
      </c>
      <c r="D336" s="1" t="s">
        <v>452</v>
      </c>
      <c r="E336" s="2">
        <v>90203</v>
      </c>
      <c r="F336" s="3">
        <v>1427</v>
      </c>
      <c r="G336" s="4">
        <v>739</v>
      </c>
      <c r="H336" s="3">
        <v>51.786964416503906</v>
      </c>
      <c r="I336" s="3">
        <v>2497</v>
      </c>
      <c r="J336" s="5">
        <v>889</v>
      </c>
      <c r="K336" s="5">
        <v>35.60272216796875</v>
      </c>
    </row>
    <row r="337" spans="1:11" x14ac:dyDescent="0.3">
      <c r="A337" s="1" t="s">
        <v>444</v>
      </c>
      <c r="B337" s="1" t="s">
        <v>453</v>
      </c>
      <c r="C337" s="1" t="s">
        <v>454</v>
      </c>
      <c r="D337" s="1" t="s">
        <v>454</v>
      </c>
      <c r="E337" s="2">
        <v>90301</v>
      </c>
      <c r="F337" s="3">
        <v>1026</v>
      </c>
      <c r="G337" s="4">
        <v>896</v>
      </c>
      <c r="H337" s="3">
        <v>87.329437255859375</v>
      </c>
      <c r="I337" s="3">
        <v>1951</v>
      </c>
      <c r="J337" s="5">
        <v>1415</v>
      </c>
      <c r="K337" s="5">
        <v>72.526908874511719</v>
      </c>
    </row>
    <row r="338" spans="1:11" x14ac:dyDescent="0.3">
      <c r="A338" s="1" t="s">
        <v>444</v>
      </c>
      <c r="B338" s="1" t="s">
        <v>453</v>
      </c>
      <c r="C338" s="1" t="s">
        <v>345</v>
      </c>
      <c r="D338" s="1" t="s">
        <v>345</v>
      </c>
      <c r="E338" s="2">
        <v>90302</v>
      </c>
      <c r="F338" s="3">
        <v>1342</v>
      </c>
      <c r="G338" s="4">
        <v>1005</v>
      </c>
      <c r="H338" s="3">
        <v>74.888229370117188</v>
      </c>
      <c r="I338" s="3">
        <v>1845</v>
      </c>
      <c r="J338" s="5">
        <v>1173</v>
      </c>
      <c r="K338" s="5">
        <v>63.577236175537109</v>
      </c>
    </row>
    <row r="339" spans="1:11" x14ac:dyDescent="0.3">
      <c r="A339" s="1" t="s">
        <v>444</v>
      </c>
      <c r="B339" s="1" t="s">
        <v>453</v>
      </c>
      <c r="C339" s="1" t="s">
        <v>455</v>
      </c>
      <c r="D339" s="1" t="s">
        <v>455</v>
      </c>
      <c r="E339" s="2">
        <v>90303</v>
      </c>
      <c r="F339" s="3">
        <v>1653</v>
      </c>
      <c r="G339" s="4">
        <v>1221</v>
      </c>
      <c r="H339" s="3">
        <v>73.865699768066406</v>
      </c>
      <c r="I339" s="3">
        <v>2832</v>
      </c>
      <c r="J339" s="5">
        <v>1141</v>
      </c>
      <c r="K339" s="5">
        <v>40.289546966552734</v>
      </c>
    </row>
    <row r="340" spans="1:11" x14ac:dyDescent="0.3">
      <c r="A340" s="1" t="s">
        <v>444</v>
      </c>
      <c r="B340" s="1" t="s">
        <v>456</v>
      </c>
      <c r="C340" s="1" t="s">
        <v>374</v>
      </c>
      <c r="D340" s="1" t="s">
        <v>374</v>
      </c>
      <c r="E340" s="2">
        <v>90401</v>
      </c>
      <c r="F340" s="3">
        <v>609</v>
      </c>
      <c r="G340" s="4">
        <v>270</v>
      </c>
      <c r="H340" s="3">
        <v>44.334976196289063</v>
      </c>
      <c r="I340" s="3">
        <v>843</v>
      </c>
      <c r="J340" s="5">
        <v>300</v>
      </c>
      <c r="K340" s="5">
        <v>35.587188720703125</v>
      </c>
    </row>
    <row r="341" spans="1:11" x14ac:dyDescent="0.3">
      <c r="A341" s="1" t="s">
        <v>444</v>
      </c>
      <c r="B341" s="1" t="s">
        <v>456</v>
      </c>
      <c r="C341" s="1" t="s">
        <v>92</v>
      </c>
      <c r="D341" s="1" t="s">
        <v>92</v>
      </c>
      <c r="E341" s="2">
        <v>90402</v>
      </c>
      <c r="F341" s="3">
        <v>344</v>
      </c>
      <c r="G341" s="4">
        <v>249</v>
      </c>
      <c r="H341" s="3">
        <v>72.383720397949219</v>
      </c>
      <c r="I341" s="3">
        <v>647</v>
      </c>
      <c r="J341" s="5">
        <v>298</v>
      </c>
      <c r="K341" s="5">
        <v>46.058731079101563</v>
      </c>
    </row>
    <row r="342" spans="1:11" x14ac:dyDescent="0.3">
      <c r="A342" s="1" t="s">
        <v>444</v>
      </c>
      <c r="B342" s="1" t="s">
        <v>457</v>
      </c>
      <c r="C342" s="1" t="s">
        <v>458</v>
      </c>
      <c r="D342" s="1" t="s">
        <v>458</v>
      </c>
      <c r="E342" s="2">
        <v>90501</v>
      </c>
      <c r="F342" s="3">
        <v>466</v>
      </c>
      <c r="G342" s="4">
        <v>224</v>
      </c>
      <c r="H342" s="3">
        <v>48.068668365478516</v>
      </c>
      <c r="I342" s="3">
        <v>486</v>
      </c>
      <c r="J342" s="5">
        <v>146</v>
      </c>
      <c r="K342" s="5">
        <v>30.041152954101563</v>
      </c>
    </row>
    <row r="343" spans="1:11" x14ac:dyDescent="0.3">
      <c r="A343" s="1" t="s">
        <v>444</v>
      </c>
      <c r="B343" s="1" t="s">
        <v>457</v>
      </c>
      <c r="C343" s="1" t="s">
        <v>459</v>
      </c>
      <c r="D343" s="1" t="s">
        <v>460</v>
      </c>
      <c r="E343" s="2">
        <v>90502</v>
      </c>
      <c r="F343" s="3">
        <v>589</v>
      </c>
      <c r="G343" s="4">
        <v>398</v>
      </c>
      <c r="H343" s="3">
        <v>67.572158813476563</v>
      </c>
      <c r="I343" s="3">
        <v>704</v>
      </c>
      <c r="J343" s="5">
        <v>268</v>
      </c>
      <c r="K343" s="5">
        <v>38.068180084228516</v>
      </c>
    </row>
    <row r="344" spans="1:11" x14ac:dyDescent="0.3">
      <c r="A344" s="1" t="s">
        <v>444</v>
      </c>
      <c r="B344" s="1" t="s">
        <v>457</v>
      </c>
      <c r="C344" s="1" t="s">
        <v>461</v>
      </c>
      <c r="D344" s="1" t="s">
        <v>461</v>
      </c>
      <c r="E344" s="2">
        <v>90503</v>
      </c>
      <c r="F344" s="3">
        <v>466</v>
      </c>
      <c r="G344" s="4">
        <v>307</v>
      </c>
      <c r="H344" s="3">
        <v>65.879829406738281</v>
      </c>
      <c r="I344" s="3">
        <v>598</v>
      </c>
      <c r="J344" s="5">
        <v>305</v>
      </c>
      <c r="K344" s="5">
        <v>51.003345489501953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C8915-3686-43ED-83A6-CAD9C08601F3}">
  <sheetPr filterMode="1"/>
  <dimension ref="A1:AM1409"/>
  <sheetViews>
    <sheetView topLeftCell="B1" workbookViewId="0">
      <pane ySplit="1" topLeftCell="A2" activePane="bottomLeft" state="frozen"/>
      <selection pane="bottomLeft" activeCell="U1412" sqref="U1412"/>
    </sheetView>
  </sheetViews>
  <sheetFormatPr baseColWidth="10" defaultRowHeight="14.4" x14ac:dyDescent="0.3"/>
  <cols>
    <col min="14" max="14" width="12.44140625" bestFit="1" customWidth="1"/>
  </cols>
  <sheetData>
    <row r="1" spans="1:39" x14ac:dyDescent="0.3">
      <c r="A1" s="58" t="s">
        <v>506</v>
      </c>
      <c r="B1" s="58" t="s">
        <v>507</v>
      </c>
      <c r="C1" s="58" t="s">
        <v>508</v>
      </c>
      <c r="D1" s="58" t="s">
        <v>509</v>
      </c>
      <c r="E1" s="58" t="s">
        <v>510</v>
      </c>
      <c r="F1" s="58" t="s">
        <v>511</v>
      </c>
      <c r="G1" s="58" t="s">
        <v>512</v>
      </c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9" t="s">
        <v>513</v>
      </c>
      <c r="T1" s="59"/>
      <c r="U1" s="59"/>
      <c r="V1" s="59"/>
      <c r="W1" s="59"/>
      <c r="X1" s="59"/>
      <c r="Y1" s="59"/>
      <c r="Z1" s="59"/>
      <c r="AA1" s="59"/>
    </row>
    <row r="2" spans="1:39" x14ac:dyDescent="0.3">
      <c r="A2" s="58"/>
      <c r="B2" s="58"/>
      <c r="C2" s="58"/>
      <c r="D2" s="58"/>
      <c r="E2" s="58"/>
      <c r="F2" s="58"/>
      <c r="G2" s="58">
        <v>2001</v>
      </c>
      <c r="H2" s="58"/>
      <c r="I2" s="58"/>
      <c r="J2" s="58"/>
      <c r="K2" s="58">
        <v>2012</v>
      </c>
      <c r="L2" s="58"/>
      <c r="M2" s="58"/>
      <c r="N2" s="58"/>
      <c r="O2" s="58">
        <v>2024</v>
      </c>
      <c r="P2" s="58"/>
      <c r="Q2" s="58"/>
      <c r="R2" s="58"/>
      <c r="S2" s="58">
        <v>2001</v>
      </c>
      <c r="T2" s="58"/>
      <c r="U2" s="58"/>
      <c r="V2" s="58">
        <v>2012</v>
      </c>
      <c r="W2" s="58"/>
      <c r="X2" s="58"/>
      <c r="Y2" s="58">
        <v>2024</v>
      </c>
      <c r="Z2" s="58"/>
      <c r="AA2" s="58"/>
    </row>
    <row r="3" spans="1:39" ht="39.6" x14ac:dyDescent="0.3">
      <c r="A3" s="58"/>
      <c r="B3" s="58"/>
      <c r="C3" s="58"/>
      <c r="D3" s="58"/>
      <c r="E3" s="58"/>
      <c r="F3" s="58"/>
      <c r="G3" s="13" t="s">
        <v>514</v>
      </c>
      <c r="H3" s="13" t="s">
        <v>515</v>
      </c>
      <c r="I3" s="13" t="s">
        <v>516</v>
      </c>
      <c r="J3" s="13" t="s">
        <v>517</v>
      </c>
      <c r="K3" s="13" t="s">
        <v>514</v>
      </c>
      <c r="L3" s="13" t="s">
        <v>515</v>
      </c>
      <c r="M3" s="13" t="s">
        <v>516</v>
      </c>
      <c r="N3" s="13" t="s">
        <v>517</v>
      </c>
      <c r="O3" s="13" t="s">
        <v>514</v>
      </c>
      <c r="P3" s="13" t="s">
        <v>515</v>
      </c>
      <c r="Q3" s="13" t="s">
        <v>516</v>
      </c>
      <c r="R3" s="13" t="s">
        <v>517</v>
      </c>
      <c r="S3" s="14" t="s">
        <v>515</v>
      </c>
      <c r="T3" s="14" t="s">
        <v>516</v>
      </c>
      <c r="U3" s="14" t="s">
        <v>517</v>
      </c>
      <c r="V3" s="14" t="s">
        <v>515</v>
      </c>
      <c r="W3" s="14" t="s">
        <v>516</v>
      </c>
      <c r="X3" s="14" t="s">
        <v>517</v>
      </c>
      <c r="Y3" s="14" t="s">
        <v>515</v>
      </c>
      <c r="Z3" s="14" t="s">
        <v>516</v>
      </c>
      <c r="AA3" s="14" t="s">
        <v>517</v>
      </c>
    </row>
    <row r="4" spans="1:39" x14ac:dyDescent="0.3">
      <c r="A4" s="15"/>
      <c r="B4" s="16"/>
      <c r="C4" s="15"/>
      <c r="D4" s="16"/>
      <c r="E4" s="16"/>
      <c r="F4" s="17"/>
      <c r="G4" s="18"/>
      <c r="H4" s="19"/>
      <c r="I4" s="19"/>
      <c r="J4" s="19"/>
      <c r="K4" s="18"/>
      <c r="L4" s="19"/>
      <c r="M4" s="19"/>
      <c r="N4" s="19"/>
      <c r="O4" s="18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  <c r="AA4" s="20"/>
    </row>
    <row r="5" spans="1:39" hidden="1" x14ac:dyDescent="0.3">
      <c r="A5" s="21">
        <v>1</v>
      </c>
      <c r="B5" s="22" t="s">
        <v>518</v>
      </c>
      <c r="C5" s="22"/>
      <c r="D5" s="22"/>
      <c r="E5" s="22"/>
      <c r="F5" s="23" t="s">
        <v>505</v>
      </c>
      <c r="G5" s="24">
        <v>1977665</v>
      </c>
      <c r="H5" s="24">
        <v>978573</v>
      </c>
      <c r="I5" s="24">
        <v>390496</v>
      </c>
      <c r="J5" s="24">
        <v>608596</v>
      </c>
      <c r="K5" s="24">
        <v>2803982</v>
      </c>
      <c r="L5" s="24">
        <v>1779504</v>
      </c>
      <c r="M5" s="24">
        <v>472042</v>
      </c>
      <c r="N5" s="24">
        <v>552436</v>
      </c>
      <c r="O5" s="24">
        <v>3623711</v>
      </c>
      <c r="P5" s="24">
        <v>2602937</v>
      </c>
      <c r="Q5" s="24">
        <v>475919</v>
      </c>
      <c r="R5" s="24">
        <v>544855</v>
      </c>
      <c r="S5" s="25">
        <v>49.481231700000002</v>
      </c>
      <c r="T5" s="25">
        <v>19.745305699999999</v>
      </c>
      <c r="U5" s="25">
        <v>30.773462599999998</v>
      </c>
      <c r="V5" s="25">
        <v>63.4634602</v>
      </c>
      <c r="W5" s="25">
        <v>16.834701500000001</v>
      </c>
      <c r="X5" s="25">
        <v>19.701838299999999</v>
      </c>
      <c r="Y5" s="25">
        <v>71.8307006</v>
      </c>
      <c r="Z5" s="25">
        <v>13.1334701</v>
      </c>
      <c r="AA5" s="25">
        <v>15.0358293</v>
      </c>
      <c r="AC5" s="57">
        <f>M5+N5</f>
        <v>1024478</v>
      </c>
      <c r="AD5" s="57">
        <f>Q5+R5</f>
        <v>1020774</v>
      </c>
      <c r="AE5" s="26">
        <f>W5+X5</f>
        <v>36.5365398</v>
      </c>
      <c r="AF5" s="26">
        <f>Z5+AA5</f>
        <v>28.1692994</v>
      </c>
    </row>
    <row r="6" spans="1:39" hidden="1" x14ac:dyDescent="0.3">
      <c r="A6" s="27">
        <v>2</v>
      </c>
      <c r="B6" s="28" t="s">
        <v>518</v>
      </c>
      <c r="C6" s="28"/>
      <c r="D6" s="28"/>
      <c r="E6" s="28"/>
      <c r="F6" s="29" t="s">
        <v>519</v>
      </c>
      <c r="G6" s="30">
        <v>1210962</v>
      </c>
      <c r="H6" s="30">
        <v>637237</v>
      </c>
      <c r="I6" s="30">
        <v>251145</v>
      </c>
      <c r="J6" s="30">
        <v>322580</v>
      </c>
      <c r="K6" s="30">
        <v>1826480</v>
      </c>
      <c r="L6" s="30">
        <v>1198973</v>
      </c>
      <c r="M6" s="30">
        <v>312213</v>
      </c>
      <c r="N6" s="30">
        <v>315294</v>
      </c>
      <c r="O6" s="30">
        <v>2386919</v>
      </c>
      <c r="P6" s="30">
        <v>1783131</v>
      </c>
      <c r="Q6" s="30">
        <v>306338</v>
      </c>
      <c r="R6" s="30">
        <v>297450</v>
      </c>
      <c r="S6" s="31">
        <v>52.622377899999996</v>
      </c>
      <c r="T6" s="31">
        <v>20.739296499999998</v>
      </c>
      <c r="U6" s="31">
        <v>26.638325600000002</v>
      </c>
      <c r="V6" s="31">
        <v>65.643916200000007</v>
      </c>
      <c r="W6" s="31">
        <v>17.093699399999998</v>
      </c>
      <c r="X6" s="31">
        <v>17.2623845</v>
      </c>
      <c r="Y6" s="31">
        <v>74.704294500000003</v>
      </c>
      <c r="Z6" s="31">
        <v>12.8340342</v>
      </c>
      <c r="AA6" s="31">
        <v>12.461671300000001</v>
      </c>
    </row>
    <row r="7" spans="1:39" hidden="1" x14ac:dyDescent="0.3">
      <c r="A7" s="27">
        <v>3</v>
      </c>
      <c r="B7" s="28" t="s">
        <v>518</v>
      </c>
      <c r="C7" s="28"/>
      <c r="D7" s="28"/>
      <c r="E7" s="28"/>
      <c r="F7" s="29" t="s">
        <v>520</v>
      </c>
      <c r="G7" s="30">
        <v>766703</v>
      </c>
      <c r="H7" s="30">
        <v>341336</v>
      </c>
      <c r="I7" s="30">
        <v>139351</v>
      </c>
      <c r="J7" s="30">
        <v>286016</v>
      </c>
      <c r="K7" s="30">
        <v>977502</v>
      </c>
      <c r="L7" s="30">
        <v>580531</v>
      </c>
      <c r="M7" s="30">
        <v>159829</v>
      </c>
      <c r="N7" s="30">
        <v>237142</v>
      </c>
      <c r="O7" s="30">
        <v>1236792</v>
      </c>
      <c r="P7" s="30">
        <v>819806</v>
      </c>
      <c r="Q7" s="30">
        <v>169581</v>
      </c>
      <c r="R7" s="30">
        <v>247405</v>
      </c>
      <c r="S7" s="31">
        <v>44.519977099999998</v>
      </c>
      <c r="T7" s="31">
        <v>18.175356000000001</v>
      </c>
      <c r="U7" s="31">
        <v>37.304666900000001</v>
      </c>
      <c r="V7" s="31">
        <v>59.389239099999998</v>
      </c>
      <c r="W7" s="31">
        <v>16.350759400000001</v>
      </c>
      <c r="X7" s="31">
        <v>24.260001500000001</v>
      </c>
      <c r="Y7" s="31">
        <v>66.284872500000006</v>
      </c>
      <c r="Z7" s="31">
        <v>13.711359699999999</v>
      </c>
      <c r="AA7" s="31">
        <v>20.003767799999999</v>
      </c>
    </row>
    <row r="8" spans="1:39" x14ac:dyDescent="0.3">
      <c r="A8" s="21">
        <v>4</v>
      </c>
      <c r="B8" s="22" t="s">
        <v>464</v>
      </c>
      <c r="C8" s="22" t="s">
        <v>4</v>
      </c>
      <c r="D8" s="22"/>
      <c r="E8" s="22"/>
      <c r="F8" s="23" t="s">
        <v>4</v>
      </c>
      <c r="G8" s="24">
        <v>118918</v>
      </c>
      <c r="H8" s="24">
        <v>50784</v>
      </c>
      <c r="I8" s="24">
        <v>22257</v>
      </c>
      <c r="J8" s="24">
        <v>45877</v>
      </c>
      <c r="K8" s="24">
        <v>150081</v>
      </c>
      <c r="L8" s="24">
        <v>86599</v>
      </c>
      <c r="M8" s="24">
        <v>25346</v>
      </c>
      <c r="N8" s="24">
        <v>38136</v>
      </c>
      <c r="O8" s="24">
        <v>184969</v>
      </c>
      <c r="P8" s="24">
        <v>128040</v>
      </c>
      <c r="Q8" s="24">
        <v>24431</v>
      </c>
      <c r="R8" s="24">
        <v>32498</v>
      </c>
      <c r="S8" s="25">
        <v>42.7050573</v>
      </c>
      <c r="T8" s="25">
        <v>18.7162583</v>
      </c>
      <c r="U8" s="25">
        <v>38.578684500000001</v>
      </c>
      <c r="V8" s="25">
        <v>57.701507900000003</v>
      </c>
      <c r="W8" s="25">
        <v>16.888213700000001</v>
      </c>
      <c r="X8" s="25">
        <v>25.410278399999999</v>
      </c>
      <c r="Y8" s="25">
        <v>69.222410199999999</v>
      </c>
      <c r="Z8" s="25">
        <v>13.208159200000001</v>
      </c>
      <c r="AA8" s="25">
        <v>17.5694306</v>
      </c>
      <c r="AC8" s="26">
        <f>W8+X8</f>
        <v>42.298492100000004</v>
      </c>
      <c r="AD8" s="26">
        <f>Z8+AA8</f>
        <v>30.777589800000001</v>
      </c>
      <c r="AE8" s="57">
        <f>M8+N8</f>
        <v>63482</v>
      </c>
      <c r="AF8" s="57">
        <f>Q8+R8</f>
        <v>56929</v>
      </c>
    </row>
    <row r="9" spans="1:39" hidden="1" x14ac:dyDescent="0.3">
      <c r="A9" s="27">
        <v>5</v>
      </c>
      <c r="B9" s="28" t="s">
        <v>464</v>
      </c>
      <c r="C9" s="28" t="s">
        <v>4</v>
      </c>
      <c r="D9" s="28"/>
      <c r="E9" s="28"/>
      <c r="F9" s="29" t="s">
        <v>519</v>
      </c>
      <c r="G9" s="30">
        <v>50517</v>
      </c>
      <c r="H9" s="30">
        <v>27868</v>
      </c>
      <c r="I9" s="30">
        <v>9521</v>
      </c>
      <c r="J9" s="30">
        <v>13128</v>
      </c>
      <c r="K9" s="30">
        <v>74401</v>
      </c>
      <c r="L9" s="30">
        <v>49715</v>
      </c>
      <c r="M9" s="30">
        <v>11689</v>
      </c>
      <c r="N9" s="30">
        <v>12997</v>
      </c>
      <c r="O9" s="30">
        <v>102961</v>
      </c>
      <c r="P9" s="30">
        <v>78093</v>
      </c>
      <c r="Q9" s="30">
        <v>11570</v>
      </c>
      <c r="R9" s="30">
        <v>13298</v>
      </c>
      <c r="S9" s="31">
        <v>55.165587799999997</v>
      </c>
      <c r="T9" s="31">
        <v>18.847120799999999</v>
      </c>
      <c r="U9" s="31">
        <v>25.9872914</v>
      </c>
      <c r="V9" s="31">
        <v>66.820338399999997</v>
      </c>
      <c r="W9" s="31">
        <v>15.7108103</v>
      </c>
      <c r="X9" s="31">
        <v>17.4688512</v>
      </c>
      <c r="Y9" s="31">
        <v>75.847165399999994</v>
      </c>
      <c r="Z9" s="31">
        <v>11.2372646</v>
      </c>
      <c r="AA9" s="31">
        <v>12.915570000000001</v>
      </c>
    </row>
    <row r="10" spans="1:39" hidden="1" x14ac:dyDescent="0.3">
      <c r="A10" s="27">
        <v>6</v>
      </c>
      <c r="B10" s="28" t="s">
        <v>464</v>
      </c>
      <c r="C10" s="28" t="s">
        <v>4</v>
      </c>
      <c r="D10" s="28"/>
      <c r="E10" s="28"/>
      <c r="F10" s="29" t="s">
        <v>520</v>
      </c>
      <c r="G10" s="30">
        <v>68401</v>
      </c>
      <c r="H10" s="30">
        <v>22916</v>
      </c>
      <c r="I10" s="30">
        <v>12736</v>
      </c>
      <c r="J10" s="30">
        <v>32749</v>
      </c>
      <c r="K10" s="30">
        <v>75680</v>
      </c>
      <c r="L10" s="30">
        <v>36884</v>
      </c>
      <c r="M10" s="30">
        <v>13657</v>
      </c>
      <c r="N10" s="30">
        <v>25139</v>
      </c>
      <c r="O10" s="30">
        <v>82008</v>
      </c>
      <c r="P10" s="30">
        <v>49947</v>
      </c>
      <c r="Q10" s="30">
        <v>12861</v>
      </c>
      <c r="R10" s="30">
        <v>19200</v>
      </c>
      <c r="S10" s="31">
        <v>33.502434200000003</v>
      </c>
      <c r="T10" s="31">
        <v>18.6196108</v>
      </c>
      <c r="U10" s="31">
        <v>47.877955</v>
      </c>
      <c r="V10" s="31">
        <v>48.736786500000001</v>
      </c>
      <c r="W10" s="31">
        <v>18.0457188</v>
      </c>
      <c r="X10" s="31">
        <v>33.217494700000003</v>
      </c>
      <c r="Y10" s="31">
        <v>60.905033699999997</v>
      </c>
      <c r="Z10" s="31">
        <v>15.682616299999999</v>
      </c>
      <c r="AA10" s="31">
        <v>23.41235</v>
      </c>
    </row>
    <row r="11" spans="1:39" hidden="1" x14ac:dyDescent="0.3">
      <c r="A11" s="32">
        <v>7</v>
      </c>
      <c r="B11" s="33" t="s">
        <v>1</v>
      </c>
      <c r="C11" s="33" t="s">
        <v>4</v>
      </c>
      <c r="D11" s="33" t="s">
        <v>5</v>
      </c>
      <c r="E11" s="33"/>
      <c r="F11" s="34" t="s">
        <v>5</v>
      </c>
      <c r="G11" s="35">
        <v>56073</v>
      </c>
      <c r="H11" s="35">
        <v>29374</v>
      </c>
      <c r="I11" s="35">
        <v>10422</v>
      </c>
      <c r="J11" s="35">
        <v>16277</v>
      </c>
      <c r="K11" s="35">
        <v>77255</v>
      </c>
      <c r="L11" s="35">
        <v>51133</v>
      </c>
      <c r="M11" s="35">
        <v>12072</v>
      </c>
      <c r="N11" s="35">
        <v>14050</v>
      </c>
      <c r="O11" s="35">
        <v>100241</v>
      </c>
      <c r="P11" s="35">
        <v>75740</v>
      </c>
      <c r="Q11" s="35">
        <v>10995</v>
      </c>
      <c r="R11" s="35">
        <v>13506</v>
      </c>
      <c r="S11" s="36">
        <v>52.3852835</v>
      </c>
      <c r="T11" s="36">
        <v>18.586485499999998</v>
      </c>
      <c r="U11" s="36">
        <v>29.028231099999999</v>
      </c>
      <c r="V11" s="36">
        <v>66.1873018</v>
      </c>
      <c r="W11" s="36">
        <v>15.626173100000001</v>
      </c>
      <c r="X11" s="36">
        <v>18.186525100000001</v>
      </c>
      <c r="Y11" s="36">
        <v>75.557905399999996</v>
      </c>
      <c r="Z11" s="36">
        <v>10.9685658</v>
      </c>
      <c r="AA11" s="36">
        <v>13.4735288</v>
      </c>
    </row>
    <row r="12" spans="1:39" hidden="1" x14ac:dyDescent="0.3">
      <c r="A12" s="37">
        <v>8</v>
      </c>
      <c r="B12" s="38" t="s">
        <v>1</v>
      </c>
      <c r="C12" s="38" t="s">
        <v>4</v>
      </c>
      <c r="D12" s="38" t="s">
        <v>5</v>
      </c>
      <c r="E12" s="38"/>
      <c r="F12" s="39" t="s">
        <v>519</v>
      </c>
      <c r="G12" s="40">
        <v>44815</v>
      </c>
      <c r="H12" s="40">
        <v>25059</v>
      </c>
      <c r="I12" s="40">
        <v>8332</v>
      </c>
      <c r="J12" s="40">
        <v>11424</v>
      </c>
      <c r="K12" s="40">
        <v>63108</v>
      </c>
      <c r="L12" s="40">
        <v>42951</v>
      </c>
      <c r="M12" s="40">
        <v>9690</v>
      </c>
      <c r="N12" s="40">
        <v>10467</v>
      </c>
      <c r="O12" s="40">
        <v>84913</v>
      </c>
      <c r="P12" s="40">
        <v>65593</v>
      </c>
      <c r="Q12" s="40">
        <v>9030</v>
      </c>
      <c r="R12" s="40">
        <v>10290</v>
      </c>
      <c r="S12" s="41">
        <v>55.916545800000002</v>
      </c>
      <c r="T12" s="41">
        <v>18.591989300000002</v>
      </c>
      <c r="U12" s="41">
        <v>25.4914649</v>
      </c>
      <c r="V12" s="41">
        <v>68.059517</v>
      </c>
      <c r="W12" s="41">
        <v>15.354630200000001</v>
      </c>
      <c r="X12" s="41">
        <v>16.585852800000001</v>
      </c>
      <c r="Y12" s="41">
        <v>77.247300199999998</v>
      </c>
      <c r="Z12" s="41">
        <v>10.634414</v>
      </c>
      <c r="AA12" s="41">
        <v>12.118285800000001</v>
      </c>
    </row>
    <row r="13" spans="1:39" hidden="1" x14ac:dyDescent="0.3">
      <c r="A13" s="37">
        <v>9</v>
      </c>
      <c r="B13" s="38" t="s">
        <v>1</v>
      </c>
      <c r="C13" s="38" t="s">
        <v>4</v>
      </c>
      <c r="D13" s="38" t="s">
        <v>5</v>
      </c>
      <c r="E13" s="38"/>
      <c r="F13" s="39" t="s">
        <v>520</v>
      </c>
      <c r="G13" s="40">
        <v>11258</v>
      </c>
      <c r="H13" s="40">
        <v>4315</v>
      </c>
      <c r="I13" s="40">
        <v>2090</v>
      </c>
      <c r="J13" s="40">
        <v>4853</v>
      </c>
      <c r="K13" s="40">
        <v>14147</v>
      </c>
      <c r="L13" s="40">
        <v>8182</v>
      </c>
      <c r="M13" s="40">
        <v>2382</v>
      </c>
      <c r="N13" s="40">
        <v>3583</v>
      </c>
      <c r="O13" s="40">
        <v>15328</v>
      </c>
      <c r="P13" s="40">
        <v>10147</v>
      </c>
      <c r="Q13" s="40">
        <v>1965</v>
      </c>
      <c r="R13" s="40">
        <v>3216</v>
      </c>
      <c r="S13" s="41">
        <v>38.328299899999998</v>
      </c>
      <c r="T13" s="41">
        <v>18.564576299999999</v>
      </c>
      <c r="U13" s="41">
        <v>43.107123799999997</v>
      </c>
      <c r="V13" s="41">
        <v>57.835583499999998</v>
      </c>
      <c r="W13" s="41">
        <v>16.837492000000001</v>
      </c>
      <c r="X13" s="41">
        <v>25.326924399999999</v>
      </c>
      <c r="Y13" s="41">
        <v>66.199112700000001</v>
      </c>
      <c r="Z13" s="41">
        <v>12.819676400000001</v>
      </c>
      <c r="AA13" s="41">
        <v>20.981210900000001</v>
      </c>
    </row>
    <row r="14" spans="1:39" hidden="1" x14ac:dyDescent="0.3">
      <c r="A14" s="42">
        <v>10</v>
      </c>
      <c r="B14" s="43" t="s">
        <v>521</v>
      </c>
      <c r="C14" s="43" t="s">
        <v>4</v>
      </c>
      <c r="D14" s="43" t="s">
        <v>5</v>
      </c>
      <c r="E14" s="43" t="s">
        <v>6</v>
      </c>
      <c r="F14" s="44" t="s">
        <v>6</v>
      </c>
      <c r="G14" s="45">
        <v>49756</v>
      </c>
      <c r="H14" s="45">
        <v>26927</v>
      </c>
      <c r="I14" s="45">
        <v>9270</v>
      </c>
      <c r="J14" s="45">
        <v>13559</v>
      </c>
      <c r="K14" s="45">
        <v>69949</v>
      </c>
      <c r="L14" s="45">
        <v>47091</v>
      </c>
      <c r="M14" s="45">
        <v>10822</v>
      </c>
      <c r="N14" s="45">
        <v>12036</v>
      </c>
      <c r="O14" s="45">
        <v>92531</v>
      </c>
      <c r="P14" s="45">
        <v>70731</v>
      </c>
      <c r="Q14" s="45">
        <v>10002</v>
      </c>
      <c r="R14" s="45">
        <v>11798</v>
      </c>
      <c r="S14" s="46">
        <v>54.118096299999998</v>
      </c>
      <c r="T14" s="46">
        <v>18.630918900000001</v>
      </c>
      <c r="U14" s="46">
        <v>27.250984800000001</v>
      </c>
      <c r="V14" s="46">
        <v>67.321905999999998</v>
      </c>
      <c r="W14" s="46">
        <v>15.4712719</v>
      </c>
      <c r="X14" s="46">
        <v>17.2068221</v>
      </c>
      <c r="Y14" s="46">
        <v>76.440328100000002</v>
      </c>
      <c r="Z14" s="46">
        <v>10.8093504</v>
      </c>
      <c r="AA14" s="46">
        <v>12.7503215</v>
      </c>
      <c r="AB14" s="26">
        <f>SUM(W14:X14)</f>
        <v>32.678094000000002</v>
      </c>
      <c r="AC14" s="26">
        <f>SUM(Z14:AA14)</f>
        <v>23.559671899999998</v>
      </c>
      <c r="AD14" s="57">
        <f>M14+N14</f>
        <v>22858</v>
      </c>
      <c r="AE14" s="57">
        <f>Q14+R14</f>
        <v>21800</v>
      </c>
      <c r="AF14" s="26">
        <f>W14</f>
        <v>15.4712719</v>
      </c>
      <c r="AG14" s="26">
        <f>Z14</f>
        <v>10.8093504</v>
      </c>
      <c r="AH14" s="26">
        <f>M14</f>
        <v>10822</v>
      </c>
      <c r="AI14" s="26">
        <f>Q14</f>
        <v>10002</v>
      </c>
      <c r="AJ14" s="26">
        <f>X14</f>
        <v>17.2068221</v>
      </c>
      <c r="AK14" s="26">
        <f>AA14</f>
        <v>12.7503215</v>
      </c>
      <c r="AL14" s="57">
        <f>N14</f>
        <v>12036</v>
      </c>
      <c r="AM14" s="57">
        <f>R14</f>
        <v>11798</v>
      </c>
    </row>
    <row r="15" spans="1:39" hidden="1" x14ac:dyDescent="0.3">
      <c r="A15" s="37">
        <v>11</v>
      </c>
      <c r="B15" s="38" t="s">
        <v>521</v>
      </c>
      <c r="C15" s="38" t="s">
        <v>4</v>
      </c>
      <c r="D15" s="38" t="s">
        <v>5</v>
      </c>
      <c r="E15" s="38" t="s">
        <v>6</v>
      </c>
      <c r="F15" s="47" t="s">
        <v>519</v>
      </c>
      <c r="G15" s="40">
        <v>44815</v>
      </c>
      <c r="H15" s="40">
        <v>25059</v>
      </c>
      <c r="I15" s="40">
        <v>8332</v>
      </c>
      <c r="J15" s="40">
        <v>11424</v>
      </c>
      <c r="K15" s="40">
        <v>63108</v>
      </c>
      <c r="L15" s="40">
        <v>42951</v>
      </c>
      <c r="M15" s="40">
        <v>9690</v>
      </c>
      <c r="N15" s="40">
        <v>10467</v>
      </c>
      <c r="O15" s="40">
        <v>84913</v>
      </c>
      <c r="P15" s="40">
        <v>65593</v>
      </c>
      <c r="Q15" s="40">
        <v>9030</v>
      </c>
      <c r="R15" s="40">
        <v>10290</v>
      </c>
      <c r="S15" s="41">
        <v>55.916545800000002</v>
      </c>
      <c r="T15" s="41">
        <v>18.591989300000002</v>
      </c>
      <c r="U15" s="41">
        <v>25.4914649</v>
      </c>
      <c r="V15" s="41">
        <v>68.059517</v>
      </c>
      <c r="W15" s="41">
        <v>15.354630200000001</v>
      </c>
      <c r="X15" s="41">
        <v>16.585852800000001</v>
      </c>
      <c r="Y15" s="41">
        <v>77.247300199999998</v>
      </c>
      <c r="Z15" s="41">
        <v>10.634414</v>
      </c>
      <c r="AA15" s="41">
        <v>12.118285800000001</v>
      </c>
    </row>
    <row r="16" spans="1:39" hidden="1" x14ac:dyDescent="0.3">
      <c r="A16" s="37">
        <v>12</v>
      </c>
      <c r="B16" s="38" t="s">
        <v>521</v>
      </c>
      <c r="C16" s="38" t="s">
        <v>4</v>
      </c>
      <c r="D16" s="38" t="s">
        <v>5</v>
      </c>
      <c r="E16" s="38" t="s">
        <v>6</v>
      </c>
      <c r="F16" s="47" t="s">
        <v>520</v>
      </c>
      <c r="G16" s="40">
        <v>4941</v>
      </c>
      <c r="H16" s="40">
        <v>1868</v>
      </c>
      <c r="I16" s="40">
        <v>938</v>
      </c>
      <c r="J16" s="40">
        <v>2135</v>
      </c>
      <c r="K16" s="40">
        <v>6841</v>
      </c>
      <c r="L16" s="40">
        <v>4140</v>
      </c>
      <c r="M16" s="40">
        <v>1132</v>
      </c>
      <c r="N16" s="40">
        <v>1569</v>
      </c>
      <c r="O16" s="40">
        <v>7618</v>
      </c>
      <c r="P16" s="40">
        <v>5138</v>
      </c>
      <c r="Q16" s="40">
        <v>972</v>
      </c>
      <c r="R16" s="40">
        <v>1508</v>
      </c>
      <c r="S16" s="41">
        <v>37.8061121</v>
      </c>
      <c r="T16" s="41">
        <v>18.984011299999999</v>
      </c>
      <c r="U16" s="41">
        <v>43.2098765</v>
      </c>
      <c r="V16" s="41">
        <v>60.517468200000003</v>
      </c>
      <c r="W16" s="41">
        <v>16.547288399999999</v>
      </c>
      <c r="X16" s="41">
        <v>22.935243400000001</v>
      </c>
      <c r="Y16" s="41">
        <v>67.445523800000004</v>
      </c>
      <c r="Z16" s="41">
        <v>12.7592544</v>
      </c>
      <c r="AA16" s="41">
        <v>19.7952218</v>
      </c>
    </row>
    <row r="17" spans="1:39" hidden="1" x14ac:dyDescent="0.3">
      <c r="A17" s="42">
        <v>13</v>
      </c>
      <c r="B17" s="43" t="s">
        <v>521</v>
      </c>
      <c r="C17" s="43" t="s">
        <v>4</v>
      </c>
      <c r="D17" s="43" t="s">
        <v>5</v>
      </c>
      <c r="E17" s="43" t="s">
        <v>7</v>
      </c>
      <c r="F17" s="44" t="s">
        <v>7</v>
      </c>
      <c r="G17" s="45">
        <v>2204</v>
      </c>
      <c r="H17" s="45">
        <v>1007</v>
      </c>
      <c r="I17" s="45">
        <v>429</v>
      </c>
      <c r="J17" s="45">
        <v>768</v>
      </c>
      <c r="K17" s="45">
        <v>2646</v>
      </c>
      <c r="L17" s="45">
        <v>1761</v>
      </c>
      <c r="M17" s="45">
        <v>480</v>
      </c>
      <c r="N17" s="45">
        <v>405</v>
      </c>
      <c r="O17" s="45">
        <v>3056</v>
      </c>
      <c r="P17" s="45">
        <v>2247</v>
      </c>
      <c r="Q17" s="45">
        <v>357</v>
      </c>
      <c r="R17" s="45">
        <v>452</v>
      </c>
      <c r="S17" s="46">
        <v>45.689655199999997</v>
      </c>
      <c r="T17" s="46">
        <v>19.464609800000002</v>
      </c>
      <c r="U17" s="46">
        <v>34.845734999999998</v>
      </c>
      <c r="V17" s="46">
        <v>66.553287999999995</v>
      </c>
      <c r="W17" s="46">
        <v>18.140589599999998</v>
      </c>
      <c r="X17" s="46">
        <v>15.3061224</v>
      </c>
      <c r="Y17" s="46">
        <v>73.5274869</v>
      </c>
      <c r="Z17" s="46">
        <v>11.6819372</v>
      </c>
      <c r="AA17" s="46">
        <v>14.7905759</v>
      </c>
      <c r="AB17" s="26">
        <f>SUM(W17:X17)</f>
        <v>33.446711999999998</v>
      </c>
      <c r="AC17" s="26">
        <f>SUM(Z17:AA17)</f>
        <v>26.4725131</v>
      </c>
      <c r="AD17" s="57">
        <f>M17+N17</f>
        <v>885</v>
      </c>
      <c r="AE17" s="57">
        <f>Q17+R17</f>
        <v>809</v>
      </c>
      <c r="AF17" s="26">
        <f>W17</f>
        <v>18.140589599999998</v>
      </c>
      <c r="AG17" s="26">
        <f>Z17</f>
        <v>11.6819372</v>
      </c>
      <c r="AH17" s="26">
        <f>M17</f>
        <v>480</v>
      </c>
      <c r="AI17" s="26">
        <f>Q17</f>
        <v>357</v>
      </c>
      <c r="AJ17" s="26">
        <f>X17</f>
        <v>15.3061224</v>
      </c>
      <c r="AK17" s="26">
        <f>AA17</f>
        <v>14.7905759</v>
      </c>
      <c r="AL17" s="57">
        <f>N17</f>
        <v>405</v>
      </c>
      <c r="AM17" s="57">
        <f>R17</f>
        <v>452</v>
      </c>
    </row>
    <row r="18" spans="1:39" hidden="1" x14ac:dyDescent="0.3">
      <c r="A18" s="37">
        <v>14</v>
      </c>
      <c r="B18" s="38" t="s">
        <v>521</v>
      </c>
      <c r="C18" s="38" t="s">
        <v>4</v>
      </c>
      <c r="D18" s="38" t="s">
        <v>5</v>
      </c>
      <c r="E18" s="38" t="s">
        <v>7</v>
      </c>
      <c r="F18" s="47" t="s">
        <v>519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1"/>
      <c r="T18" s="41"/>
      <c r="U18" s="41"/>
      <c r="V18" s="41"/>
      <c r="W18" s="41"/>
      <c r="X18" s="41"/>
      <c r="Y18" s="41"/>
      <c r="Z18" s="41"/>
      <c r="AA18" s="41"/>
    </row>
    <row r="19" spans="1:39" hidden="1" x14ac:dyDescent="0.3">
      <c r="A19" s="37">
        <v>15</v>
      </c>
      <c r="B19" s="38" t="s">
        <v>521</v>
      </c>
      <c r="C19" s="38" t="s">
        <v>4</v>
      </c>
      <c r="D19" s="38" t="s">
        <v>5</v>
      </c>
      <c r="E19" s="38" t="s">
        <v>7</v>
      </c>
      <c r="F19" s="47" t="s">
        <v>520</v>
      </c>
      <c r="G19" s="40">
        <v>2204</v>
      </c>
      <c r="H19" s="40">
        <v>1007</v>
      </c>
      <c r="I19" s="40">
        <v>429</v>
      </c>
      <c r="J19" s="40">
        <v>768</v>
      </c>
      <c r="K19" s="40">
        <v>2646</v>
      </c>
      <c r="L19" s="40">
        <v>1761</v>
      </c>
      <c r="M19" s="40">
        <v>480</v>
      </c>
      <c r="N19" s="40">
        <v>405</v>
      </c>
      <c r="O19" s="40">
        <v>3056</v>
      </c>
      <c r="P19" s="40">
        <v>2247</v>
      </c>
      <c r="Q19" s="40">
        <v>357</v>
      </c>
      <c r="R19" s="40">
        <v>452</v>
      </c>
      <c r="S19" s="41">
        <v>45.689655199999997</v>
      </c>
      <c r="T19" s="41">
        <v>19.464609800000002</v>
      </c>
      <c r="U19" s="41">
        <v>34.845734999999998</v>
      </c>
      <c r="V19" s="41">
        <v>66.553287999999995</v>
      </c>
      <c r="W19" s="41">
        <v>18.140589599999998</v>
      </c>
      <c r="X19" s="41">
        <v>15.3061224</v>
      </c>
      <c r="Y19" s="41">
        <v>73.5274869</v>
      </c>
      <c r="Z19" s="41">
        <v>11.6819372</v>
      </c>
      <c r="AA19" s="41">
        <v>14.7905759</v>
      </c>
    </row>
    <row r="20" spans="1:39" hidden="1" x14ac:dyDescent="0.3">
      <c r="A20" s="42">
        <v>16</v>
      </c>
      <c r="B20" s="43" t="s">
        <v>521</v>
      </c>
      <c r="C20" s="43" t="s">
        <v>4</v>
      </c>
      <c r="D20" s="43" t="s">
        <v>5</v>
      </c>
      <c r="E20" s="43" t="s">
        <v>8</v>
      </c>
      <c r="F20" s="44" t="s">
        <v>8</v>
      </c>
      <c r="G20" s="45">
        <v>4113</v>
      </c>
      <c r="H20" s="45">
        <v>1440</v>
      </c>
      <c r="I20" s="45">
        <v>723</v>
      </c>
      <c r="J20" s="45">
        <v>1950</v>
      </c>
      <c r="K20" s="45">
        <v>4660</v>
      </c>
      <c r="L20" s="45">
        <v>2281</v>
      </c>
      <c r="M20" s="45">
        <v>770</v>
      </c>
      <c r="N20" s="45">
        <v>1609</v>
      </c>
      <c r="O20" s="45">
        <v>4654</v>
      </c>
      <c r="P20" s="45">
        <v>2762</v>
      </c>
      <c r="Q20" s="45">
        <v>636</v>
      </c>
      <c r="R20" s="45">
        <v>1256</v>
      </c>
      <c r="S20" s="46">
        <v>35.010940900000001</v>
      </c>
      <c r="T20" s="46">
        <v>17.5784099</v>
      </c>
      <c r="U20" s="46">
        <v>47.410649200000002</v>
      </c>
      <c r="V20" s="46">
        <v>48.9484979</v>
      </c>
      <c r="W20" s="46">
        <v>16.523605199999999</v>
      </c>
      <c r="X20" s="46">
        <v>34.527897000000003</v>
      </c>
      <c r="Y20" s="46">
        <v>59.346798499999998</v>
      </c>
      <c r="Z20" s="46">
        <v>13.6656639</v>
      </c>
      <c r="AA20" s="46">
        <v>26.9875376</v>
      </c>
      <c r="AB20" s="26">
        <f>SUM(W20:X20)</f>
        <v>51.051502200000002</v>
      </c>
      <c r="AC20" s="26">
        <f>SUM(Z20:AA20)</f>
        <v>40.653201500000002</v>
      </c>
      <c r="AD20" s="57">
        <f>M20+N20</f>
        <v>2379</v>
      </c>
      <c r="AE20" s="57">
        <f>Q20+R20</f>
        <v>1892</v>
      </c>
      <c r="AF20" s="26">
        <f>W20</f>
        <v>16.523605199999999</v>
      </c>
      <c r="AG20" s="26">
        <f>Z20</f>
        <v>13.6656639</v>
      </c>
      <c r="AH20" s="26">
        <f>M20</f>
        <v>770</v>
      </c>
      <c r="AI20" s="26">
        <f>Q20</f>
        <v>636</v>
      </c>
      <c r="AJ20" s="26">
        <f>X20</f>
        <v>34.527897000000003</v>
      </c>
      <c r="AK20" s="26">
        <f>AA20</f>
        <v>26.9875376</v>
      </c>
      <c r="AL20" s="57">
        <f>N20</f>
        <v>1609</v>
      </c>
      <c r="AM20" s="57">
        <f>R20</f>
        <v>1256</v>
      </c>
    </row>
    <row r="21" spans="1:39" hidden="1" x14ac:dyDescent="0.3">
      <c r="A21" s="37">
        <v>17</v>
      </c>
      <c r="B21" s="38" t="s">
        <v>521</v>
      </c>
      <c r="C21" s="38" t="s">
        <v>4</v>
      </c>
      <c r="D21" s="38" t="s">
        <v>5</v>
      </c>
      <c r="E21" s="38" t="s">
        <v>8</v>
      </c>
      <c r="F21" s="47" t="s">
        <v>519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1"/>
      <c r="T21" s="41"/>
      <c r="U21" s="41"/>
      <c r="V21" s="41"/>
      <c r="W21" s="41"/>
      <c r="X21" s="41"/>
      <c r="Y21" s="41"/>
      <c r="Z21" s="41"/>
      <c r="AA21" s="41"/>
    </row>
    <row r="22" spans="1:39" hidden="1" x14ac:dyDescent="0.3">
      <c r="A22" s="37">
        <v>18</v>
      </c>
      <c r="B22" s="38" t="s">
        <v>521</v>
      </c>
      <c r="C22" s="38" t="s">
        <v>4</v>
      </c>
      <c r="D22" s="38" t="s">
        <v>5</v>
      </c>
      <c r="E22" s="38" t="s">
        <v>8</v>
      </c>
      <c r="F22" s="47" t="s">
        <v>520</v>
      </c>
      <c r="G22" s="40">
        <v>4113</v>
      </c>
      <c r="H22" s="40">
        <v>1440</v>
      </c>
      <c r="I22" s="40">
        <v>723</v>
      </c>
      <c r="J22" s="40">
        <v>1950</v>
      </c>
      <c r="K22" s="40">
        <v>4660</v>
      </c>
      <c r="L22" s="40">
        <v>2281</v>
      </c>
      <c r="M22" s="40">
        <v>770</v>
      </c>
      <c r="N22" s="40">
        <v>1609</v>
      </c>
      <c r="O22" s="40">
        <v>4654</v>
      </c>
      <c r="P22" s="40">
        <v>2762</v>
      </c>
      <c r="Q22" s="40">
        <v>636</v>
      </c>
      <c r="R22" s="40">
        <v>1256</v>
      </c>
      <c r="S22" s="41">
        <v>35.010940900000001</v>
      </c>
      <c r="T22" s="41">
        <v>17.5784099</v>
      </c>
      <c r="U22" s="41">
        <v>47.410649200000002</v>
      </c>
      <c r="V22" s="41">
        <v>48.9484979</v>
      </c>
      <c r="W22" s="41">
        <v>16.523605199999999</v>
      </c>
      <c r="X22" s="41">
        <v>34.527897000000003</v>
      </c>
      <c r="Y22" s="41">
        <v>59.346798499999998</v>
      </c>
      <c r="Z22" s="41">
        <v>13.6656639</v>
      </c>
      <c r="AA22" s="41">
        <v>26.9875376</v>
      </c>
    </row>
    <row r="23" spans="1:39" hidden="1" x14ac:dyDescent="0.3">
      <c r="A23" s="32">
        <v>19</v>
      </c>
      <c r="B23" s="33" t="s">
        <v>1</v>
      </c>
      <c r="C23" s="33" t="s">
        <v>4</v>
      </c>
      <c r="D23" s="33" t="s">
        <v>9</v>
      </c>
      <c r="E23" s="33"/>
      <c r="F23" s="34" t="s">
        <v>9</v>
      </c>
      <c r="G23" s="35">
        <v>5611</v>
      </c>
      <c r="H23" s="35">
        <v>1409</v>
      </c>
      <c r="I23" s="35">
        <v>945</v>
      </c>
      <c r="J23" s="35">
        <v>3257</v>
      </c>
      <c r="K23" s="35">
        <v>5956</v>
      </c>
      <c r="L23" s="35">
        <v>2461</v>
      </c>
      <c r="M23" s="35">
        <v>1082</v>
      </c>
      <c r="N23" s="35">
        <v>2413</v>
      </c>
      <c r="O23" s="35">
        <v>7048</v>
      </c>
      <c r="P23" s="35">
        <v>3629</v>
      </c>
      <c r="Q23" s="35">
        <v>1235</v>
      </c>
      <c r="R23" s="35">
        <v>2184</v>
      </c>
      <c r="S23" s="36">
        <v>25.111388300000002</v>
      </c>
      <c r="T23" s="36">
        <v>16.8419177</v>
      </c>
      <c r="U23" s="36">
        <v>58.046694000000002</v>
      </c>
      <c r="V23" s="36">
        <v>41.319677599999999</v>
      </c>
      <c r="W23" s="36">
        <v>18.166554699999999</v>
      </c>
      <c r="X23" s="36">
        <v>40.513767600000001</v>
      </c>
      <c r="Y23" s="36">
        <v>51.489784299999997</v>
      </c>
      <c r="Z23" s="36">
        <v>17.5227015</v>
      </c>
      <c r="AA23" s="36">
        <v>30.9875142</v>
      </c>
    </row>
    <row r="24" spans="1:39" hidden="1" x14ac:dyDescent="0.3">
      <c r="A24" s="37">
        <v>20</v>
      </c>
      <c r="B24" s="38" t="s">
        <v>1</v>
      </c>
      <c r="C24" s="38" t="s">
        <v>4</v>
      </c>
      <c r="D24" s="38" t="s">
        <v>9</v>
      </c>
      <c r="E24" s="38"/>
      <c r="F24" s="39" t="s">
        <v>519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1"/>
      <c r="T24" s="41"/>
      <c r="U24" s="41"/>
      <c r="V24" s="41"/>
      <c r="W24" s="41"/>
      <c r="X24" s="41"/>
      <c r="Y24" s="41"/>
      <c r="Z24" s="41"/>
      <c r="AA24" s="41"/>
    </row>
    <row r="25" spans="1:39" hidden="1" x14ac:dyDescent="0.3">
      <c r="A25" s="37">
        <v>21</v>
      </c>
      <c r="B25" s="38" t="s">
        <v>1</v>
      </c>
      <c r="C25" s="38" t="s">
        <v>4</v>
      </c>
      <c r="D25" s="38" t="s">
        <v>9</v>
      </c>
      <c r="E25" s="38"/>
      <c r="F25" s="39" t="s">
        <v>520</v>
      </c>
      <c r="G25" s="40">
        <v>5611</v>
      </c>
      <c r="H25" s="40">
        <v>1409</v>
      </c>
      <c r="I25" s="40">
        <v>945</v>
      </c>
      <c r="J25" s="40">
        <v>3257</v>
      </c>
      <c r="K25" s="40">
        <v>5956</v>
      </c>
      <c r="L25" s="40">
        <v>2461</v>
      </c>
      <c r="M25" s="40">
        <v>1082</v>
      </c>
      <c r="N25" s="40">
        <v>2413</v>
      </c>
      <c r="O25" s="40">
        <v>7048</v>
      </c>
      <c r="P25" s="40">
        <v>3629</v>
      </c>
      <c r="Q25" s="40">
        <v>1235</v>
      </c>
      <c r="R25" s="40">
        <v>2184</v>
      </c>
      <c r="S25" s="41">
        <v>25.111388300000002</v>
      </c>
      <c r="T25" s="41">
        <v>16.8419177</v>
      </c>
      <c r="U25" s="41">
        <v>58.046694000000002</v>
      </c>
      <c r="V25" s="41">
        <v>41.319677599999999</v>
      </c>
      <c r="W25" s="41">
        <v>18.166554699999999</v>
      </c>
      <c r="X25" s="41">
        <v>40.513767600000001</v>
      </c>
      <c r="Y25" s="41">
        <v>51.489784299999997</v>
      </c>
      <c r="Z25" s="41">
        <v>17.5227015</v>
      </c>
      <c r="AA25" s="41">
        <v>30.9875142</v>
      </c>
    </row>
    <row r="26" spans="1:39" hidden="1" x14ac:dyDescent="0.3">
      <c r="A26" s="42">
        <v>22</v>
      </c>
      <c r="B26" s="43" t="s">
        <v>521</v>
      </c>
      <c r="C26" s="43" t="s">
        <v>4</v>
      </c>
      <c r="D26" s="43" t="s">
        <v>9</v>
      </c>
      <c r="E26" s="43" t="s">
        <v>9</v>
      </c>
      <c r="F26" s="44" t="s">
        <v>9</v>
      </c>
      <c r="G26" s="45">
        <v>2329</v>
      </c>
      <c r="H26" s="45">
        <v>591</v>
      </c>
      <c r="I26" s="45">
        <v>399</v>
      </c>
      <c r="J26" s="45">
        <v>1339</v>
      </c>
      <c r="K26" s="45">
        <v>2538</v>
      </c>
      <c r="L26" s="45">
        <v>1015</v>
      </c>
      <c r="M26" s="45">
        <v>486</v>
      </c>
      <c r="N26" s="45">
        <v>1037</v>
      </c>
      <c r="O26" s="45">
        <v>2450</v>
      </c>
      <c r="P26" s="45">
        <v>1384</v>
      </c>
      <c r="Q26" s="45">
        <v>440</v>
      </c>
      <c r="R26" s="45">
        <v>626</v>
      </c>
      <c r="S26" s="46">
        <v>25.3756977</v>
      </c>
      <c r="T26" s="46">
        <v>17.131816199999999</v>
      </c>
      <c r="U26" s="46">
        <v>57.492486</v>
      </c>
      <c r="V26" s="46">
        <v>39.992119799999998</v>
      </c>
      <c r="W26" s="46">
        <v>19.148936200000001</v>
      </c>
      <c r="X26" s="46">
        <v>40.858944100000002</v>
      </c>
      <c r="Y26" s="46">
        <v>56.489795899999997</v>
      </c>
      <c r="Z26" s="46">
        <v>17.959183700000001</v>
      </c>
      <c r="AA26" s="46">
        <v>25.551020399999999</v>
      </c>
      <c r="AB26" s="26">
        <f>SUM(W26:X26)</f>
        <v>60.007880300000004</v>
      </c>
      <c r="AC26" s="26">
        <f>SUM(Z26:AA26)</f>
        <v>43.510204099999996</v>
      </c>
      <c r="AD26" s="57">
        <f>M26+N26</f>
        <v>1523</v>
      </c>
      <c r="AE26" s="57">
        <f>Q26+R26</f>
        <v>1066</v>
      </c>
      <c r="AF26" s="26">
        <f>W26</f>
        <v>19.148936200000001</v>
      </c>
      <c r="AG26" s="26">
        <f>Z26</f>
        <v>17.959183700000001</v>
      </c>
      <c r="AH26" s="26">
        <f>M26</f>
        <v>486</v>
      </c>
      <c r="AI26" s="26">
        <f>Q26</f>
        <v>440</v>
      </c>
      <c r="AJ26" s="26">
        <f>X26</f>
        <v>40.858944100000002</v>
      </c>
      <c r="AK26" s="26">
        <f>AA26</f>
        <v>25.551020399999999</v>
      </c>
      <c r="AL26" s="57">
        <f>N26</f>
        <v>1037</v>
      </c>
      <c r="AM26" s="57">
        <f>R26</f>
        <v>626</v>
      </c>
    </row>
    <row r="27" spans="1:39" hidden="1" x14ac:dyDescent="0.3">
      <c r="A27" s="37">
        <v>23</v>
      </c>
      <c r="B27" s="38" t="s">
        <v>521</v>
      </c>
      <c r="C27" s="38" t="s">
        <v>4</v>
      </c>
      <c r="D27" s="38" t="s">
        <v>9</v>
      </c>
      <c r="E27" s="38" t="s">
        <v>9</v>
      </c>
      <c r="F27" s="47" t="s">
        <v>519</v>
      </c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1"/>
      <c r="T27" s="41"/>
      <c r="U27" s="41"/>
      <c r="V27" s="41"/>
      <c r="W27" s="41"/>
      <c r="X27" s="41"/>
      <c r="Y27" s="41"/>
      <c r="Z27" s="41"/>
      <c r="AA27" s="41"/>
    </row>
    <row r="28" spans="1:39" hidden="1" x14ac:dyDescent="0.3">
      <c r="A28" s="37">
        <v>24</v>
      </c>
      <c r="B28" s="38" t="s">
        <v>521</v>
      </c>
      <c r="C28" s="38" t="s">
        <v>4</v>
      </c>
      <c r="D28" s="38" t="s">
        <v>9</v>
      </c>
      <c r="E28" s="38" t="s">
        <v>9</v>
      </c>
      <c r="F28" s="47" t="s">
        <v>520</v>
      </c>
      <c r="G28" s="40">
        <v>2329</v>
      </c>
      <c r="H28" s="40">
        <v>591</v>
      </c>
      <c r="I28" s="40">
        <v>399</v>
      </c>
      <c r="J28" s="40">
        <v>1339</v>
      </c>
      <c r="K28" s="40">
        <v>2538</v>
      </c>
      <c r="L28" s="40">
        <v>1015</v>
      </c>
      <c r="M28" s="40">
        <v>486</v>
      </c>
      <c r="N28" s="40">
        <v>1037</v>
      </c>
      <c r="O28" s="40">
        <v>2450</v>
      </c>
      <c r="P28" s="40">
        <v>1384</v>
      </c>
      <c r="Q28" s="40">
        <v>440</v>
      </c>
      <c r="R28" s="40">
        <v>626</v>
      </c>
      <c r="S28" s="41">
        <v>25.3756977</v>
      </c>
      <c r="T28" s="41">
        <v>17.131816199999999</v>
      </c>
      <c r="U28" s="41">
        <v>57.492486</v>
      </c>
      <c r="V28" s="41">
        <v>39.992119799999998</v>
      </c>
      <c r="W28" s="41">
        <v>19.148936200000001</v>
      </c>
      <c r="X28" s="41">
        <v>40.858944100000002</v>
      </c>
      <c r="Y28" s="41">
        <v>56.489795899999997</v>
      </c>
      <c r="Z28" s="41">
        <v>17.959183700000001</v>
      </c>
      <c r="AA28" s="41">
        <v>25.551020399999999</v>
      </c>
    </row>
    <row r="29" spans="1:39" hidden="1" x14ac:dyDescent="0.3">
      <c r="A29" s="42">
        <v>25</v>
      </c>
      <c r="B29" s="43" t="s">
        <v>521</v>
      </c>
      <c r="C29" s="43" t="s">
        <v>4</v>
      </c>
      <c r="D29" s="43" t="s">
        <v>9</v>
      </c>
      <c r="E29" s="43" t="s">
        <v>11</v>
      </c>
      <c r="F29" s="44" t="s">
        <v>11</v>
      </c>
      <c r="G29" s="45">
        <v>3282</v>
      </c>
      <c r="H29" s="45">
        <v>818</v>
      </c>
      <c r="I29" s="45">
        <v>546</v>
      </c>
      <c r="J29" s="45">
        <v>1918</v>
      </c>
      <c r="K29" s="45">
        <v>3418</v>
      </c>
      <c r="L29" s="45">
        <v>1446</v>
      </c>
      <c r="M29" s="45">
        <v>596</v>
      </c>
      <c r="N29" s="45">
        <v>1376</v>
      </c>
      <c r="O29" s="45">
        <v>4598</v>
      </c>
      <c r="P29" s="45">
        <v>2245</v>
      </c>
      <c r="Q29" s="45">
        <v>795</v>
      </c>
      <c r="R29" s="45">
        <v>1558</v>
      </c>
      <c r="S29" s="46">
        <v>24.923826900000002</v>
      </c>
      <c r="T29" s="46">
        <v>16.6361974</v>
      </c>
      <c r="U29" s="46">
        <v>58.439975599999997</v>
      </c>
      <c r="V29" s="46">
        <v>42.305441799999997</v>
      </c>
      <c r="W29" s="46">
        <v>17.437097699999999</v>
      </c>
      <c r="X29" s="46">
        <v>40.257460500000001</v>
      </c>
      <c r="Y29" s="46">
        <v>48.825576300000002</v>
      </c>
      <c r="Z29" s="46">
        <v>17.290126099999998</v>
      </c>
      <c r="AA29" s="46">
        <v>33.884297500000002</v>
      </c>
      <c r="AB29" s="26">
        <f>SUM(W29:X29)</f>
        <v>57.694558200000003</v>
      </c>
      <c r="AC29" s="26">
        <f>SUM(Z29:AA29)</f>
        <v>51.174423599999997</v>
      </c>
      <c r="AD29" s="57">
        <f>M29+N29</f>
        <v>1972</v>
      </c>
      <c r="AE29" s="57">
        <f>Q29+R29</f>
        <v>2353</v>
      </c>
      <c r="AF29" s="26">
        <f>W29</f>
        <v>17.437097699999999</v>
      </c>
      <c r="AG29" s="26">
        <f>Z29</f>
        <v>17.290126099999998</v>
      </c>
      <c r="AH29" s="26">
        <f>M29</f>
        <v>596</v>
      </c>
      <c r="AI29" s="26">
        <f>Q29</f>
        <v>795</v>
      </c>
      <c r="AJ29" s="26">
        <f>X29</f>
        <v>40.257460500000001</v>
      </c>
      <c r="AK29" s="26">
        <f>AA29</f>
        <v>33.884297500000002</v>
      </c>
      <c r="AL29" s="57">
        <f>N29</f>
        <v>1376</v>
      </c>
      <c r="AM29" s="57">
        <f>R29</f>
        <v>1558</v>
      </c>
    </row>
    <row r="30" spans="1:39" hidden="1" x14ac:dyDescent="0.3">
      <c r="A30" s="37">
        <v>26</v>
      </c>
      <c r="B30" s="38" t="s">
        <v>521</v>
      </c>
      <c r="C30" s="38" t="s">
        <v>4</v>
      </c>
      <c r="D30" s="38" t="s">
        <v>9</v>
      </c>
      <c r="E30" s="38" t="s">
        <v>11</v>
      </c>
      <c r="F30" s="47" t="s">
        <v>519</v>
      </c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1"/>
      <c r="T30" s="41"/>
      <c r="U30" s="41"/>
      <c r="V30" s="41"/>
      <c r="W30" s="41"/>
      <c r="X30" s="41"/>
      <c r="Y30" s="41"/>
      <c r="Z30" s="41"/>
      <c r="AA30" s="41"/>
    </row>
    <row r="31" spans="1:39" hidden="1" x14ac:dyDescent="0.3">
      <c r="A31" s="37">
        <v>27</v>
      </c>
      <c r="B31" s="38" t="s">
        <v>521</v>
      </c>
      <c r="C31" s="38" t="s">
        <v>4</v>
      </c>
      <c r="D31" s="38" t="s">
        <v>9</v>
      </c>
      <c r="E31" s="38" t="s">
        <v>11</v>
      </c>
      <c r="F31" s="47" t="s">
        <v>520</v>
      </c>
      <c r="G31" s="40">
        <v>3282</v>
      </c>
      <c r="H31" s="40">
        <v>818</v>
      </c>
      <c r="I31" s="40">
        <v>546</v>
      </c>
      <c r="J31" s="40">
        <v>1918</v>
      </c>
      <c r="K31" s="40">
        <v>3418</v>
      </c>
      <c r="L31" s="40">
        <v>1446</v>
      </c>
      <c r="M31" s="40">
        <v>596</v>
      </c>
      <c r="N31" s="40">
        <v>1376</v>
      </c>
      <c r="O31" s="40">
        <v>4598</v>
      </c>
      <c r="P31" s="40">
        <v>2245</v>
      </c>
      <c r="Q31" s="40">
        <v>795</v>
      </c>
      <c r="R31" s="40">
        <v>1558</v>
      </c>
      <c r="S31" s="41">
        <v>24.923826900000002</v>
      </c>
      <c r="T31" s="41">
        <v>16.6361974</v>
      </c>
      <c r="U31" s="41">
        <v>58.439975599999997</v>
      </c>
      <c r="V31" s="41">
        <v>42.305441799999997</v>
      </c>
      <c r="W31" s="41">
        <v>17.437097699999999</v>
      </c>
      <c r="X31" s="41">
        <v>40.257460500000001</v>
      </c>
      <c r="Y31" s="41">
        <v>48.825576300000002</v>
      </c>
      <c r="Z31" s="41">
        <v>17.290126099999998</v>
      </c>
      <c r="AA31" s="41">
        <v>33.884297500000002</v>
      </c>
    </row>
    <row r="32" spans="1:39" hidden="1" x14ac:dyDescent="0.3">
      <c r="A32" s="32">
        <v>28</v>
      </c>
      <c r="B32" s="33" t="s">
        <v>1</v>
      </c>
      <c r="C32" s="33" t="s">
        <v>4</v>
      </c>
      <c r="D32" s="33" t="s">
        <v>13</v>
      </c>
      <c r="E32" s="33"/>
      <c r="F32" s="34" t="s">
        <v>13</v>
      </c>
      <c r="G32" s="35">
        <v>7130</v>
      </c>
      <c r="H32" s="35">
        <v>2396</v>
      </c>
      <c r="I32" s="35">
        <v>1261</v>
      </c>
      <c r="J32" s="35">
        <v>3473</v>
      </c>
      <c r="K32" s="35">
        <v>9116</v>
      </c>
      <c r="L32" s="35">
        <v>3981</v>
      </c>
      <c r="M32" s="35">
        <v>1530</v>
      </c>
      <c r="N32" s="35">
        <v>3605</v>
      </c>
      <c r="O32" s="35">
        <v>11636</v>
      </c>
      <c r="P32" s="35">
        <v>5849</v>
      </c>
      <c r="Q32" s="35">
        <v>2111</v>
      </c>
      <c r="R32" s="35">
        <v>3676</v>
      </c>
      <c r="S32" s="36">
        <v>33.604488099999998</v>
      </c>
      <c r="T32" s="36">
        <v>17.685834499999999</v>
      </c>
      <c r="U32" s="36">
        <v>48.709677399999997</v>
      </c>
      <c r="V32" s="36">
        <v>43.670469500000003</v>
      </c>
      <c r="W32" s="36">
        <v>16.783677099999998</v>
      </c>
      <c r="X32" s="36">
        <v>39.545853399999999</v>
      </c>
      <c r="Y32" s="36">
        <v>50.266414599999997</v>
      </c>
      <c r="Z32" s="36">
        <v>18.141973199999999</v>
      </c>
      <c r="AA32" s="36">
        <v>31.5916122</v>
      </c>
    </row>
    <row r="33" spans="1:39" hidden="1" x14ac:dyDescent="0.3">
      <c r="A33" s="37">
        <v>29</v>
      </c>
      <c r="B33" s="38" t="s">
        <v>1</v>
      </c>
      <c r="C33" s="38" t="s">
        <v>4</v>
      </c>
      <c r="D33" s="38" t="s">
        <v>13</v>
      </c>
      <c r="E33" s="38"/>
      <c r="F33" s="39" t="s">
        <v>519</v>
      </c>
      <c r="G33" s="40"/>
      <c r="H33" s="40"/>
      <c r="I33" s="40"/>
      <c r="J33" s="40"/>
      <c r="K33" s="40">
        <v>1385</v>
      </c>
      <c r="L33" s="40">
        <v>664</v>
      </c>
      <c r="M33" s="40">
        <v>246</v>
      </c>
      <c r="N33" s="40">
        <v>475</v>
      </c>
      <c r="O33" s="40">
        <v>2686</v>
      </c>
      <c r="P33" s="40">
        <v>1588</v>
      </c>
      <c r="Q33" s="40">
        <v>464</v>
      </c>
      <c r="R33" s="40">
        <v>634</v>
      </c>
      <c r="S33" s="41"/>
      <c r="T33" s="41"/>
      <c r="U33" s="41"/>
      <c r="V33" s="41">
        <v>47.9422383</v>
      </c>
      <c r="W33" s="41">
        <v>17.761732899999998</v>
      </c>
      <c r="X33" s="41">
        <v>34.296028900000003</v>
      </c>
      <c r="Y33" s="41">
        <v>59.1213701</v>
      </c>
      <c r="Z33" s="41">
        <v>17.274757999999999</v>
      </c>
      <c r="AA33" s="41">
        <v>23.603871900000001</v>
      </c>
    </row>
    <row r="34" spans="1:39" hidden="1" x14ac:dyDescent="0.3">
      <c r="A34" s="37">
        <v>30</v>
      </c>
      <c r="B34" s="38" t="s">
        <v>1</v>
      </c>
      <c r="C34" s="38" t="s">
        <v>4</v>
      </c>
      <c r="D34" s="38" t="s">
        <v>13</v>
      </c>
      <c r="E34" s="38"/>
      <c r="F34" s="39" t="s">
        <v>520</v>
      </c>
      <c r="G34" s="40">
        <v>7130</v>
      </c>
      <c r="H34" s="40">
        <v>2396</v>
      </c>
      <c r="I34" s="40">
        <v>1261</v>
      </c>
      <c r="J34" s="40">
        <v>3473</v>
      </c>
      <c r="K34" s="40">
        <v>7731</v>
      </c>
      <c r="L34" s="40">
        <v>3317</v>
      </c>
      <c r="M34" s="40">
        <v>1284</v>
      </c>
      <c r="N34" s="40">
        <v>3130</v>
      </c>
      <c r="O34" s="40">
        <v>8950</v>
      </c>
      <c r="P34" s="40">
        <v>4261</v>
      </c>
      <c r="Q34" s="40">
        <v>1647</v>
      </c>
      <c r="R34" s="40">
        <v>3042</v>
      </c>
      <c r="S34" s="41">
        <v>33.604488099999998</v>
      </c>
      <c r="T34" s="41">
        <v>17.685834499999999</v>
      </c>
      <c r="U34" s="41">
        <v>48.709677399999997</v>
      </c>
      <c r="V34" s="41">
        <v>42.905186899999997</v>
      </c>
      <c r="W34" s="41">
        <v>16.608459400000001</v>
      </c>
      <c r="X34" s="41">
        <v>40.486353600000001</v>
      </c>
      <c r="Y34" s="41">
        <v>47.608938500000001</v>
      </c>
      <c r="Z34" s="41">
        <v>18.4022346</v>
      </c>
      <c r="AA34" s="41">
        <v>33.988826799999998</v>
      </c>
    </row>
    <row r="35" spans="1:39" hidden="1" x14ac:dyDescent="0.3">
      <c r="A35" s="42">
        <v>31</v>
      </c>
      <c r="B35" s="43" t="s">
        <v>521</v>
      </c>
      <c r="C35" s="43" t="s">
        <v>4</v>
      </c>
      <c r="D35" s="43" t="s">
        <v>13</v>
      </c>
      <c r="E35" s="43" t="s">
        <v>13</v>
      </c>
      <c r="F35" s="44" t="s">
        <v>13</v>
      </c>
      <c r="G35" s="45">
        <v>1698</v>
      </c>
      <c r="H35" s="45">
        <v>664</v>
      </c>
      <c r="I35" s="45">
        <v>333</v>
      </c>
      <c r="J35" s="45">
        <v>701</v>
      </c>
      <c r="K35" s="45">
        <v>2586</v>
      </c>
      <c r="L35" s="45">
        <v>1134</v>
      </c>
      <c r="M35" s="45">
        <v>410</v>
      </c>
      <c r="N35" s="45">
        <v>1042</v>
      </c>
      <c r="O35" s="45">
        <v>3187</v>
      </c>
      <c r="P35" s="45">
        <v>1377</v>
      </c>
      <c r="Q35" s="45">
        <v>645</v>
      </c>
      <c r="R35" s="45">
        <v>1165</v>
      </c>
      <c r="S35" s="46">
        <v>39.104829199999998</v>
      </c>
      <c r="T35" s="46">
        <v>19.611307400000001</v>
      </c>
      <c r="U35" s="46">
        <v>41.283863400000001</v>
      </c>
      <c r="V35" s="46">
        <v>43.851508099999997</v>
      </c>
      <c r="W35" s="46">
        <v>15.8546017</v>
      </c>
      <c r="X35" s="46">
        <v>40.2938902</v>
      </c>
      <c r="Y35" s="46">
        <v>43.206777500000001</v>
      </c>
      <c r="Z35" s="46">
        <v>20.2384688</v>
      </c>
      <c r="AA35" s="46">
        <v>36.554753699999999</v>
      </c>
      <c r="AB35" s="26">
        <f>SUM(W35:X35)</f>
        <v>56.148491899999996</v>
      </c>
      <c r="AC35" s="26">
        <f>SUM(Z35:AA35)</f>
        <v>56.793222499999999</v>
      </c>
      <c r="AD35" s="57">
        <f>M35+N35</f>
        <v>1452</v>
      </c>
      <c r="AE35" s="57">
        <f>Q35+R35</f>
        <v>1810</v>
      </c>
      <c r="AF35" s="26">
        <f>W35</f>
        <v>15.8546017</v>
      </c>
      <c r="AG35" s="26">
        <f>Z35</f>
        <v>20.2384688</v>
      </c>
      <c r="AH35" s="26">
        <f>M35</f>
        <v>410</v>
      </c>
      <c r="AI35" s="26">
        <f>Q35</f>
        <v>645</v>
      </c>
      <c r="AJ35" s="26">
        <f>X35</f>
        <v>40.2938902</v>
      </c>
      <c r="AK35" s="26">
        <f>AA35</f>
        <v>36.554753699999999</v>
      </c>
      <c r="AL35" s="57">
        <f>N35</f>
        <v>1042</v>
      </c>
      <c r="AM35" s="57">
        <f>R35</f>
        <v>1165</v>
      </c>
    </row>
    <row r="36" spans="1:39" hidden="1" x14ac:dyDescent="0.3">
      <c r="A36" s="37">
        <v>32</v>
      </c>
      <c r="B36" s="38" t="s">
        <v>521</v>
      </c>
      <c r="C36" s="38" t="s">
        <v>4</v>
      </c>
      <c r="D36" s="38" t="s">
        <v>13</v>
      </c>
      <c r="E36" s="38" t="s">
        <v>13</v>
      </c>
      <c r="F36" s="47" t="s">
        <v>519</v>
      </c>
      <c r="G36" s="40"/>
      <c r="H36" s="40"/>
      <c r="I36" s="40"/>
      <c r="J36" s="40"/>
      <c r="K36" s="40">
        <v>825</v>
      </c>
      <c r="L36" s="40">
        <v>410</v>
      </c>
      <c r="M36" s="40">
        <v>137</v>
      </c>
      <c r="N36" s="40">
        <v>278</v>
      </c>
      <c r="O36" s="40">
        <v>1220</v>
      </c>
      <c r="P36" s="40">
        <v>683</v>
      </c>
      <c r="Q36" s="40">
        <v>232</v>
      </c>
      <c r="R36" s="40">
        <v>305</v>
      </c>
      <c r="S36" s="41"/>
      <c r="T36" s="41"/>
      <c r="U36" s="41"/>
      <c r="V36" s="41">
        <v>49.696969699999997</v>
      </c>
      <c r="W36" s="41">
        <v>16.606060599999999</v>
      </c>
      <c r="X36" s="41">
        <v>33.696969699999997</v>
      </c>
      <c r="Y36" s="41">
        <v>55.983606600000002</v>
      </c>
      <c r="Z36" s="41">
        <v>19.016393399999998</v>
      </c>
      <c r="AA36" s="41">
        <v>25</v>
      </c>
    </row>
    <row r="37" spans="1:39" hidden="1" x14ac:dyDescent="0.3">
      <c r="A37" s="37">
        <v>33</v>
      </c>
      <c r="B37" s="38" t="s">
        <v>521</v>
      </c>
      <c r="C37" s="38" t="s">
        <v>4</v>
      </c>
      <c r="D37" s="38" t="s">
        <v>13</v>
      </c>
      <c r="E37" s="38" t="s">
        <v>13</v>
      </c>
      <c r="F37" s="47" t="s">
        <v>520</v>
      </c>
      <c r="G37" s="40">
        <v>1698</v>
      </c>
      <c r="H37" s="40">
        <v>664</v>
      </c>
      <c r="I37" s="40">
        <v>333</v>
      </c>
      <c r="J37" s="40">
        <v>701</v>
      </c>
      <c r="K37" s="40">
        <v>1761</v>
      </c>
      <c r="L37" s="40">
        <v>724</v>
      </c>
      <c r="M37" s="40">
        <v>273</v>
      </c>
      <c r="N37" s="40">
        <v>764</v>
      </c>
      <c r="O37" s="40">
        <v>1967</v>
      </c>
      <c r="P37" s="40">
        <v>694</v>
      </c>
      <c r="Q37" s="40">
        <v>413</v>
      </c>
      <c r="R37" s="40">
        <v>860</v>
      </c>
      <c r="S37" s="41">
        <v>39.104829199999998</v>
      </c>
      <c r="T37" s="41">
        <v>19.611307400000001</v>
      </c>
      <c r="U37" s="41">
        <v>41.283863400000001</v>
      </c>
      <c r="V37" s="41">
        <v>41.113003999999997</v>
      </c>
      <c r="W37" s="41">
        <v>15.5025554</v>
      </c>
      <c r="X37" s="41">
        <v>43.384440699999999</v>
      </c>
      <c r="Y37" s="41">
        <v>35.282155600000003</v>
      </c>
      <c r="Z37" s="41">
        <v>20.996441300000001</v>
      </c>
      <c r="AA37" s="41">
        <v>43.721403199999997</v>
      </c>
    </row>
    <row r="38" spans="1:39" hidden="1" x14ac:dyDescent="0.3">
      <c r="A38" s="42">
        <v>34</v>
      </c>
      <c r="B38" s="43" t="s">
        <v>521</v>
      </c>
      <c r="C38" s="43" t="s">
        <v>4</v>
      </c>
      <c r="D38" s="43" t="s">
        <v>13</v>
      </c>
      <c r="E38" s="43" t="s">
        <v>15</v>
      </c>
      <c r="F38" s="44" t="s">
        <v>15</v>
      </c>
      <c r="G38" s="45">
        <v>1958</v>
      </c>
      <c r="H38" s="45">
        <v>614</v>
      </c>
      <c r="I38" s="45">
        <v>312</v>
      </c>
      <c r="J38" s="45">
        <v>1032</v>
      </c>
      <c r="K38" s="45">
        <v>2717</v>
      </c>
      <c r="L38" s="45">
        <v>1097</v>
      </c>
      <c r="M38" s="45">
        <v>454</v>
      </c>
      <c r="N38" s="45">
        <v>1166</v>
      </c>
      <c r="O38" s="45">
        <v>3271</v>
      </c>
      <c r="P38" s="45">
        <v>1562</v>
      </c>
      <c r="Q38" s="45">
        <v>633</v>
      </c>
      <c r="R38" s="45">
        <v>1076</v>
      </c>
      <c r="S38" s="46">
        <v>31.358529099999998</v>
      </c>
      <c r="T38" s="46">
        <v>15.9346272</v>
      </c>
      <c r="U38" s="46">
        <v>52.7068437</v>
      </c>
      <c r="V38" s="46">
        <v>40.3754141</v>
      </c>
      <c r="W38" s="46">
        <v>16.7096062</v>
      </c>
      <c r="X38" s="46">
        <v>42.914979799999998</v>
      </c>
      <c r="Y38" s="46">
        <v>47.752980700000002</v>
      </c>
      <c r="Z38" s="46">
        <v>19.3518802</v>
      </c>
      <c r="AA38" s="46">
        <v>32.895139100000002</v>
      </c>
      <c r="AB38" s="26">
        <f>SUM(W38:X38)</f>
        <v>59.624585999999994</v>
      </c>
      <c r="AC38" s="26">
        <f>SUM(Z38:AA38)</f>
        <v>52.247019300000005</v>
      </c>
      <c r="AD38" s="57">
        <f>M38+N38</f>
        <v>1620</v>
      </c>
      <c r="AE38" s="57">
        <f>Q38+R38</f>
        <v>1709</v>
      </c>
      <c r="AF38" s="26">
        <f>W38</f>
        <v>16.7096062</v>
      </c>
      <c r="AG38" s="26">
        <f>Z38</f>
        <v>19.3518802</v>
      </c>
      <c r="AH38" s="26">
        <f>M38</f>
        <v>454</v>
      </c>
      <c r="AI38" s="26">
        <f>Q38</f>
        <v>633</v>
      </c>
      <c r="AJ38" s="26">
        <f>X38</f>
        <v>42.914979799999998</v>
      </c>
      <c r="AK38" s="26">
        <f>AA38</f>
        <v>32.895139100000002</v>
      </c>
      <c r="AL38" s="57">
        <f>N38</f>
        <v>1166</v>
      </c>
      <c r="AM38" s="57">
        <f>R38</f>
        <v>1076</v>
      </c>
    </row>
    <row r="39" spans="1:39" hidden="1" x14ac:dyDescent="0.3">
      <c r="A39" s="37">
        <v>35</v>
      </c>
      <c r="B39" s="38" t="s">
        <v>521</v>
      </c>
      <c r="C39" s="38" t="s">
        <v>4</v>
      </c>
      <c r="D39" s="38" t="s">
        <v>13</v>
      </c>
      <c r="E39" s="38" t="s">
        <v>15</v>
      </c>
      <c r="F39" s="47" t="s">
        <v>519</v>
      </c>
      <c r="G39" s="40"/>
      <c r="H39" s="40"/>
      <c r="I39" s="40"/>
      <c r="J39" s="40"/>
      <c r="K39" s="40">
        <v>560</v>
      </c>
      <c r="L39" s="40">
        <v>254</v>
      </c>
      <c r="M39" s="40">
        <v>109</v>
      </c>
      <c r="N39" s="40">
        <v>197</v>
      </c>
      <c r="O39" s="40">
        <v>609</v>
      </c>
      <c r="P39" s="40">
        <v>374</v>
      </c>
      <c r="Q39" s="40">
        <v>101</v>
      </c>
      <c r="R39" s="40">
        <v>134</v>
      </c>
      <c r="S39" s="41"/>
      <c r="T39" s="41"/>
      <c r="U39" s="41"/>
      <c r="V39" s="41">
        <v>45.357142899999999</v>
      </c>
      <c r="W39" s="41">
        <v>19.464285700000001</v>
      </c>
      <c r="X39" s="41">
        <v>35.178571400000003</v>
      </c>
      <c r="Y39" s="41">
        <v>61.412151100000003</v>
      </c>
      <c r="Z39" s="41">
        <v>16.5845649</v>
      </c>
      <c r="AA39" s="41">
        <v>22.003284099999998</v>
      </c>
    </row>
    <row r="40" spans="1:39" hidden="1" x14ac:dyDescent="0.3">
      <c r="A40" s="37">
        <v>36</v>
      </c>
      <c r="B40" s="38" t="s">
        <v>521</v>
      </c>
      <c r="C40" s="38" t="s">
        <v>4</v>
      </c>
      <c r="D40" s="38" t="s">
        <v>13</v>
      </c>
      <c r="E40" s="38" t="s">
        <v>15</v>
      </c>
      <c r="F40" s="47" t="s">
        <v>520</v>
      </c>
      <c r="G40" s="40">
        <v>1958</v>
      </c>
      <c r="H40" s="40">
        <v>614</v>
      </c>
      <c r="I40" s="40">
        <v>312</v>
      </c>
      <c r="J40" s="40">
        <v>1032</v>
      </c>
      <c r="K40" s="40">
        <v>2157</v>
      </c>
      <c r="L40" s="40">
        <v>843</v>
      </c>
      <c r="M40" s="40">
        <v>345</v>
      </c>
      <c r="N40" s="40">
        <v>969</v>
      </c>
      <c r="O40" s="40">
        <v>2662</v>
      </c>
      <c r="P40" s="40">
        <v>1188</v>
      </c>
      <c r="Q40" s="40">
        <v>532</v>
      </c>
      <c r="R40" s="40">
        <v>942</v>
      </c>
      <c r="S40" s="41">
        <v>31.358529099999998</v>
      </c>
      <c r="T40" s="41">
        <v>15.9346272</v>
      </c>
      <c r="U40" s="41">
        <v>52.7068437</v>
      </c>
      <c r="V40" s="41">
        <v>39.082058400000001</v>
      </c>
      <c r="W40" s="41">
        <v>15.9944367</v>
      </c>
      <c r="X40" s="41">
        <v>44.923504899999998</v>
      </c>
      <c r="Y40" s="41">
        <v>44.628099200000001</v>
      </c>
      <c r="Z40" s="41">
        <v>19.984973700000001</v>
      </c>
      <c r="AA40" s="41">
        <v>35.386927100000001</v>
      </c>
    </row>
    <row r="41" spans="1:39" hidden="1" x14ac:dyDescent="0.3">
      <c r="A41" s="42">
        <v>37</v>
      </c>
      <c r="B41" s="43" t="s">
        <v>521</v>
      </c>
      <c r="C41" s="43" t="s">
        <v>4</v>
      </c>
      <c r="D41" s="43" t="s">
        <v>13</v>
      </c>
      <c r="E41" s="43" t="s">
        <v>476</v>
      </c>
      <c r="F41" s="44" t="s">
        <v>476</v>
      </c>
      <c r="G41" s="45">
        <v>1795</v>
      </c>
      <c r="H41" s="45">
        <v>607</v>
      </c>
      <c r="I41" s="45">
        <v>330</v>
      </c>
      <c r="J41" s="45">
        <v>858</v>
      </c>
      <c r="K41" s="45">
        <v>1982</v>
      </c>
      <c r="L41" s="45">
        <v>879</v>
      </c>
      <c r="M41" s="45">
        <v>334</v>
      </c>
      <c r="N41" s="45">
        <v>769</v>
      </c>
      <c r="O41" s="45">
        <v>2543</v>
      </c>
      <c r="P41" s="45">
        <v>1376</v>
      </c>
      <c r="Q41" s="45">
        <v>414</v>
      </c>
      <c r="R41" s="45">
        <v>753</v>
      </c>
      <c r="S41" s="46">
        <v>33.816155999999999</v>
      </c>
      <c r="T41" s="46">
        <v>18.384401100000002</v>
      </c>
      <c r="U41" s="46">
        <v>47.799442900000003</v>
      </c>
      <c r="V41" s="46">
        <v>44.349142299999997</v>
      </c>
      <c r="W41" s="46">
        <v>16.851665000000001</v>
      </c>
      <c r="X41" s="46">
        <v>38.799192699999999</v>
      </c>
      <c r="Y41" s="46">
        <v>54.1093197</v>
      </c>
      <c r="Z41" s="46">
        <v>16.279984299999999</v>
      </c>
      <c r="AA41" s="46">
        <v>29.610696000000001</v>
      </c>
      <c r="AB41" s="26">
        <f>SUM(W41:X41)</f>
        <v>55.650857700000003</v>
      </c>
      <c r="AC41" s="26">
        <f>SUM(Z41:AA41)</f>
        <v>45.8906803</v>
      </c>
      <c r="AD41" s="57">
        <f>M41+N41</f>
        <v>1103</v>
      </c>
      <c r="AE41" s="57">
        <f>Q41+R41</f>
        <v>1167</v>
      </c>
      <c r="AF41" s="26">
        <f>W41</f>
        <v>16.851665000000001</v>
      </c>
      <c r="AG41" s="26">
        <f>Z41</f>
        <v>16.279984299999999</v>
      </c>
      <c r="AH41" s="26">
        <f>M41</f>
        <v>334</v>
      </c>
      <c r="AI41" s="26">
        <f>Q41</f>
        <v>414</v>
      </c>
      <c r="AJ41" s="26">
        <f>X41</f>
        <v>38.799192699999999</v>
      </c>
      <c r="AK41" s="26">
        <f>AA41</f>
        <v>29.610696000000001</v>
      </c>
      <c r="AL41" s="57">
        <f>N41</f>
        <v>769</v>
      </c>
      <c r="AM41" s="57">
        <f>R41</f>
        <v>753</v>
      </c>
    </row>
    <row r="42" spans="1:39" hidden="1" x14ac:dyDescent="0.3">
      <c r="A42" s="37">
        <v>38</v>
      </c>
      <c r="B42" s="38" t="s">
        <v>521</v>
      </c>
      <c r="C42" s="38" t="s">
        <v>4</v>
      </c>
      <c r="D42" s="38" t="s">
        <v>13</v>
      </c>
      <c r="E42" s="38" t="s">
        <v>476</v>
      </c>
      <c r="F42" s="47" t="s">
        <v>519</v>
      </c>
      <c r="G42" s="40"/>
      <c r="H42" s="40"/>
      <c r="I42" s="40"/>
      <c r="J42" s="40"/>
      <c r="K42" s="40"/>
      <c r="L42" s="40"/>
      <c r="M42" s="40"/>
      <c r="N42" s="40"/>
      <c r="O42" s="40">
        <v>857</v>
      </c>
      <c r="P42" s="40">
        <v>531</v>
      </c>
      <c r="Q42" s="40">
        <v>131</v>
      </c>
      <c r="R42" s="40">
        <v>195</v>
      </c>
      <c r="S42" s="41"/>
      <c r="T42" s="41"/>
      <c r="U42" s="41"/>
      <c r="V42" s="41"/>
      <c r="W42" s="41"/>
      <c r="X42" s="41"/>
      <c r="Y42" s="41">
        <v>61.960326700000003</v>
      </c>
      <c r="Z42" s="41">
        <v>15.285881</v>
      </c>
      <c r="AA42" s="41">
        <v>22.753792300000001</v>
      </c>
    </row>
    <row r="43" spans="1:39" hidden="1" x14ac:dyDescent="0.3">
      <c r="A43" s="37">
        <v>39</v>
      </c>
      <c r="B43" s="38" t="s">
        <v>521</v>
      </c>
      <c r="C43" s="38" t="s">
        <v>4</v>
      </c>
      <c r="D43" s="38" t="s">
        <v>13</v>
      </c>
      <c r="E43" s="38" t="s">
        <v>476</v>
      </c>
      <c r="F43" s="47" t="s">
        <v>520</v>
      </c>
      <c r="G43" s="40">
        <v>1795</v>
      </c>
      <c r="H43" s="40">
        <v>607</v>
      </c>
      <c r="I43" s="40">
        <v>330</v>
      </c>
      <c r="J43" s="40">
        <v>858</v>
      </c>
      <c r="K43" s="40">
        <v>1982</v>
      </c>
      <c r="L43" s="40">
        <v>879</v>
      </c>
      <c r="M43" s="40">
        <v>334</v>
      </c>
      <c r="N43" s="40">
        <v>769</v>
      </c>
      <c r="O43" s="40">
        <v>1686</v>
      </c>
      <c r="P43" s="40">
        <v>845</v>
      </c>
      <c r="Q43" s="40">
        <v>283</v>
      </c>
      <c r="R43" s="40">
        <v>558</v>
      </c>
      <c r="S43" s="41">
        <v>33.816155999999999</v>
      </c>
      <c r="T43" s="41">
        <v>18.384401100000002</v>
      </c>
      <c r="U43" s="41">
        <v>47.799442900000003</v>
      </c>
      <c r="V43" s="41">
        <v>44.349142299999997</v>
      </c>
      <c r="W43" s="41">
        <v>16.851665000000001</v>
      </c>
      <c r="X43" s="41">
        <v>38.799192699999999</v>
      </c>
      <c r="Y43" s="41">
        <v>50.118623999999997</v>
      </c>
      <c r="Z43" s="41">
        <v>16.7852906</v>
      </c>
      <c r="AA43" s="41">
        <v>33.0960854</v>
      </c>
    </row>
    <row r="44" spans="1:39" hidden="1" x14ac:dyDescent="0.3">
      <c r="A44" s="42">
        <v>40</v>
      </c>
      <c r="B44" s="43" t="s">
        <v>521</v>
      </c>
      <c r="C44" s="43" t="s">
        <v>4</v>
      </c>
      <c r="D44" s="43" t="s">
        <v>13</v>
      </c>
      <c r="E44" s="43" t="s">
        <v>17</v>
      </c>
      <c r="F44" s="44" t="s">
        <v>17</v>
      </c>
      <c r="G44" s="45">
        <v>1679</v>
      </c>
      <c r="H44" s="45">
        <v>511</v>
      </c>
      <c r="I44" s="45">
        <v>286</v>
      </c>
      <c r="J44" s="45">
        <v>882</v>
      </c>
      <c r="K44" s="45">
        <v>1831</v>
      </c>
      <c r="L44" s="45">
        <v>871</v>
      </c>
      <c r="M44" s="45">
        <v>332</v>
      </c>
      <c r="N44" s="45">
        <v>628</v>
      </c>
      <c r="O44" s="45">
        <v>2635</v>
      </c>
      <c r="P44" s="45">
        <v>1534</v>
      </c>
      <c r="Q44" s="45">
        <v>419</v>
      </c>
      <c r="R44" s="45">
        <v>682</v>
      </c>
      <c r="S44" s="46">
        <v>30.434782599999998</v>
      </c>
      <c r="T44" s="46">
        <v>17.033948800000001</v>
      </c>
      <c r="U44" s="46">
        <v>52.531268599999997</v>
      </c>
      <c r="V44" s="46">
        <v>47.569634100000002</v>
      </c>
      <c r="W44" s="46">
        <v>18.132168199999999</v>
      </c>
      <c r="X44" s="46">
        <v>34.298197700000003</v>
      </c>
      <c r="Y44" s="46">
        <v>58.216318800000003</v>
      </c>
      <c r="Z44" s="46">
        <v>15.901328299999999</v>
      </c>
      <c r="AA44" s="46">
        <v>25.882352900000001</v>
      </c>
      <c r="AB44" s="26">
        <f>SUM(W44:X44)</f>
        <v>52.430365899999998</v>
      </c>
      <c r="AC44" s="26">
        <f>SUM(Z44:AA44)</f>
        <v>41.783681200000004</v>
      </c>
      <c r="AD44" s="57">
        <f>M44+N44</f>
        <v>960</v>
      </c>
      <c r="AE44" s="57">
        <f>Q44+R44</f>
        <v>1101</v>
      </c>
      <c r="AF44" s="26">
        <f>W44</f>
        <v>18.132168199999999</v>
      </c>
      <c r="AG44" s="26">
        <f>Z44</f>
        <v>15.901328299999999</v>
      </c>
      <c r="AH44" s="26">
        <f>M44</f>
        <v>332</v>
      </c>
      <c r="AI44" s="26">
        <f>Q44</f>
        <v>419</v>
      </c>
      <c r="AJ44" s="26">
        <f>X44</f>
        <v>34.298197700000003</v>
      </c>
      <c r="AK44" s="26">
        <f>AA44</f>
        <v>25.882352900000001</v>
      </c>
      <c r="AL44" s="57">
        <f>N44</f>
        <v>628</v>
      </c>
      <c r="AM44" s="57">
        <f>R44</f>
        <v>682</v>
      </c>
    </row>
    <row r="45" spans="1:39" hidden="1" x14ac:dyDescent="0.3">
      <c r="A45" s="37">
        <v>41</v>
      </c>
      <c r="B45" s="38" t="s">
        <v>521</v>
      </c>
      <c r="C45" s="38" t="s">
        <v>4</v>
      </c>
      <c r="D45" s="38" t="s">
        <v>13</v>
      </c>
      <c r="E45" s="38" t="s">
        <v>17</v>
      </c>
      <c r="F45" s="47" t="s">
        <v>519</v>
      </c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1"/>
      <c r="T45" s="41"/>
      <c r="U45" s="41"/>
      <c r="V45" s="41"/>
      <c r="W45" s="41"/>
      <c r="X45" s="41"/>
      <c r="Y45" s="41"/>
      <c r="Z45" s="41"/>
      <c r="AA45" s="41"/>
    </row>
    <row r="46" spans="1:39" hidden="1" x14ac:dyDescent="0.3">
      <c r="A46" s="37">
        <v>42</v>
      </c>
      <c r="B46" s="38" t="s">
        <v>521</v>
      </c>
      <c r="C46" s="38" t="s">
        <v>4</v>
      </c>
      <c r="D46" s="38" t="s">
        <v>13</v>
      </c>
      <c r="E46" s="38" t="s">
        <v>17</v>
      </c>
      <c r="F46" s="47" t="s">
        <v>520</v>
      </c>
      <c r="G46" s="40">
        <v>1679</v>
      </c>
      <c r="H46" s="40">
        <v>511</v>
      </c>
      <c r="I46" s="40">
        <v>286</v>
      </c>
      <c r="J46" s="40">
        <v>882</v>
      </c>
      <c r="K46" s="40">
        <v>1831</v>
      </c>
      <c r="L46" s="40">
        <v>871</v>
      </c>
      <c r="M46" s="40">
        <v>332</v>
      </c>
      <c r="N46" s="40">
        <v>628</v>
      </c>
      <c r="O46" s="40">
        <v>2635</v>
      </c>
      <c r="P46" s="40">
        <v>1534</v>
      </c>
      <c r="Q46" s="40">
        <v>419</v>
      </c>
      <c r="R46" s="40">
        <v>682</v>
      </c>
      <c r="S46" s="41">
        <v>30.434782599999998</v>
      </c>
      <c r="T46" s="41">
        <v>17.033948800000001</v>
      </c>
      <c r="U46" s="41">
        <v>52.531268599999997</v>
      </c>
      <c r="V46" s="41">
        <v>47.569634100000002</v>
      </c>
      <c r="W46" s="41">
        <v>18.132168199999999</v>
      </c>
      <c r="X46" s="41">
        <v>34.298197700000003</v>
      </c>
      <c r="Y46" s="41">
        <v>58.216318800000003</v>
      </c>
      <c r="Z46" s="41">
        <v>15.901328299999999</v>
      </c>
      <c r="AA46" s="41">
        <v>25.882352900000001</v>
      </c>
    </row>
    <row r="47" spans="1:39" hidden="1" x14ac:dyDescent="0.3">
      <c r="A47" s="32">
        <v>43</v>
      </c>
      <c r="B47" s="33" t="s">
        <v>1</v>
      </c>
      <c r="C47" s="33" t="s">
        <v>4</v>
      </c>
      <c r="D47" s="33" t="s">
        <v>18</v>
      </c>
      <c r="E47" s="33"/>
      <c r="F47" s="34" t="s">
        <v>18</v>
      </c>
      <c r="G47" s="35">
        <v>7912</v>
      </c>
      <c r="H47" s="35">
        <v>2543</v>
      </c>
      <c r="I47" s="35">
        <v>1469</v>
      </c>
      <c r="J47" s="35">
        <v>3900</v>
      </c>
      <c r="K47" s="35">
        <v>9217</v>
      </c>
      <c r="L47" s="35">
        <v>4585</v>
      </c>
      <c r="M47" s="35">
        <v>1727</v>
      </c>
      <c r="N47" s="35">
        <v>2905</v>
      </c>
      <c r="O47" s="35">
        <v>10144</v>
      </c>
      <c r="P47" s="35">
        <v>6423</v>
      </c>
      <c r="Q47" s="35">
        <v>1536</v>
      </c>
      <c r="R47" s="35">
        <v>2185</v>
      </c>
      <c r="S47" s="36">
        <v>32.141051599999997</v>
      </c>
      <c r="T47" s="36">
        <v>18.566734100000001</v>
      </c>
      <c r="U47" s="36">
        <v>49.292214399999999</v>
      </c>
      <c r="V47" s="36">
        <v>49.745036300000002</v>
      </c>
      <c r="W47" s="36">
        <v>18.737116199999999</v>
      </c>
      <c r="X47" s="36">
        <v>31.517847499999998</v>
      </c>
      <c r="Y47" s="36">
        <v>63.318217699999998</v>
      </c>
      <c r="Z47" s="36">
        <v>15.1419558</v>
      </c>
      <c r="AA47" s="36">
        <v>21.5398265</v>
      </c>
    </row>
    <row r="48" spans="1:39" hidden="1" x14ac:dyDescent="0.3">
      <c r="A48" s="37">
        <v>44</v>
      </c>
      <c r="B48" s="38" t="s">
        <v>1</v>
      </c>
      <c r="C48" s="38" t="s">
        <v>4</v>
      </c>
      <c r="D48" s="38" t="s">
        <v>18</v>
      </c>
      <c r="E48" s="38"/>
      <c r="F48" s="39" t="s">
        <v>519</v>
      </c>
      <c r="G48" s="40">
        <v>669</v>
      </c>
      <c r="H48" s="40">
        <v>344</v>
      </c>
      <c r="I48" s="40">
        <v>132</v>
      </c>
      <c r="J48" s="40">
        <v>193</v>
      </c>
      <c r="K48" s="40">
        <v>1590</v>
      </c>
      <c r="L48" s="40">
        <v>1012</v>
      </c>
      <c r="M48" s="40">
        <v>285</v>
      </c>
      <c r="N48" s="40">
        <v>293</v>
      </c>
      <c r="O48" s="40">
        <v>2053</v>
      </c>
      <c r="P48" s="40">
        <v>1473</v>
      </c>
      <c r="Q48" s="40">
        <v>251</v>
      </c>
      <c r="R48" s="40">
        <v>329</v>
      </c>
      <c r="S48" s="41">
        <v>51.420029900000003</v>
      </c>
      <c r="T48" s="41">
        <v>19.730941699999999</v>
      </c>
      <c r="U48" s="41">
        <v>28.849028400000002</v>
      </c>
      <c r="V48" s="41">
        <v>63.647798700000003</v>
      </c>
      <c r="W48" s="41">
        <v>17.924528299999999</v>
      </c>
      <c r="X48" s="41">
        <v>18.427672999999999</v>
      </c>
      <c r="Y48" s="41">
        <v>71.7486605</v>
      </c>
      <c r="Z48" s="41">
        <v>12.2260107</v>
      </c>
      <c r="AA48" s="41">
        <v>16.0253288</v>
      </c>
    </row>
    <row r="49" spans="1:39" hidden="1" x14ac:dyDescent="0.3">
      <c r="A49" s="37">
        <v>45</v>
      </c>
      <c r="B49" s="38" t="s">
        <v>1</v>
      </c>
      <c r="C49" s="38" t="s">
        <v>4</v>
      </c>
      <c r="D49" s="38" t="s">
        <v>18</v>
      </c>
      <c r="E49" s="38"/>
      <c r="F49" s="39" t="s">
        <v>520</v>
      </c>
      <c r="G49" s="40">
        <v>7243</v>
      </c>
      <c r="H49" s="40">
        <v>2199</v>
      </c>
      <c r="I49" s="40">
        <v>1337</v>
      </c>
      <c r="J49" s="40">
        <v>3707</v>
      </c>
      <c r="K49" s="40">
        <v>7627</v>
      </c>
      <c r="L49" s="40">
        <v>3573</v>
      </c>
      <c r="M49" s="40">
        <v>1442</v>
      </c>
      <c r="N49" s="40">
        <v>2612</v>
      </c>
      <c r="O49" s="40">
        <v>8091</v>
      </c>
      <c r="P49" s="40">
        <v>4950</v>
      </c>
      <c r="Q49" s="40">
        <v>1285</v>
      </c>
      <c r="R49" s="40">
        <v>1856</v>
      </c>
      <c r="S49" s="41">
        <v>30.360347900000001</v>
      </c>
      <c r="T49" s="41">
        <v>18.459202000000001</v>
      </c>
      <c r="U49" s="41">
        <v>51.180450100000002</v>
      </c>
      <c r="V49" s="41">
        <v>46.8467287</v>
      </c>
      <c r="W49" s="41">
        <v>18.9065163</v>
      </c>
      <c r="X49" s="41">
        <v>34.246754899999999</v>
      </c>
      <c r="Y49" s="41">
        <v>61.179087899999999</v>
      </c>
      <c r="Z49" s="41">
        <v>15.881843999999999</v>
      </c>
      <c r="AA49" s="41">
        <v>22.9390681</v>
      </c>
    </row>
    <row r="50" spans="1:39" hidden="1" x14ac:dyDescent="0.3">
      <c r="A50" s="42">
        <v>46</v>
      </c>
      <c r="B50" s="43" t="s">
        <v>521</v>
      </c>
      <c r="C50" s="43" t="s">
        <v>4</v>
      </c>
      <c r="D50" s="43" t="s">
        <v>18</v>
      </c>
      <c r="E50" s="43" t="s">
        <v>19</v>
      </c>
      <c r="F50" s="44" t="s">
        <v>19</v>
      </c>
      <c r="G50" s="45">
        <v>2750</v>
      </c>
      <c r="H50" s="45">
        <v>980</v>
      </c>
      <c r="I50" s="45">
        <v>535</v>
      </c>
      <c r="J50" s="45">
        <v>1235</v>
      </c>
      <c r="K50" s="45">
        <v>2810</v>
      </c>
      <c r="L50" s="45">
        <v>1450</v>
      </c>
      <c r="M50" s="45">
        <v>530</v>
      </c>
      <c r="N50" s="45">
        <v>830</v>
      </c>
      <c r="O50" s="45">
        <v>3186</v>
      </c>
      <c r="P50" s="45">
        <v>2189</v>
      </c>
      <c r="Q50" s="45">
        <v>410</v>
      </c>
      <c r="R50" s="45">
        <v>587</v>
      </c>
      <c r="S50" s="46">
        <v>35.636363600000003</v>
      </c>
      <c r="T50" s="46">
        <v>19.454545499999998</v>
      </c>
      <c r="U50" s="46">
        <v>44.909090900000002</v>
      </c>
      <c r="V50" s="46">
        <v>51.601423500000003</v>
      </c>
      <c r="W50" s="46">
        <v>18.86121</v>
      </c>
      <c r="X50" s="46">
        <v>29.537366500000001</v>
      </c>
      <c r="Y50" s="46">
        <v>68.706842399999999</v>
      </c>
      <c r="Z50" s="46">
        <v>12.868800999999999</v>
      </c>
      <c r="AA50" s="46">
        <v>18.424356599999999</v>
      </c>
      <c r="AB50" s="26">
        <f>SUM(W50:X50)</f>
        <v>48.398576500000004</v>
      </c>
      <c r="AC50" s="26">
        <f>SUM(Z50:AA50)</f>
        <v>31.293157600000001</v>
      </c>
      <c r="AD50" s="57">
        <f>M50+N50</f>
        <v>1360</v>
      </c>
      <c r="AE50" s="57">
        <f>Q50+R50</f>
        <v>997</v>
      </c>
      <c r="AF50" s="26">
        <f>W50</f>
        <v>18.86121</v>
      </c>
      <c r="AG50" s="26">
        <f>Z50</f>
        <v>12.868800999999999</v>
      </c>
      <c r="AH50" s="26">
        <f>M50</f>
        <v>530</v>
      </c>
      <c r="AI50" s="26">
        <f>Q50</f>
        <v>410</v>
      </c>
      <c r="AJ50" s="26">
        <f>X50</f>
        <v>29.537366500000001</v>
      </c>
      <c r="AK50" s="26">
        <f>AA50</f>
        <v>18.424356599999999</v>
      </c>
      <c r="AL50" s="57">
        <f>N50</f>
        <v>830</v>
      </c>
      <c r="AM50" s="57">
        <f>R50</f>
        <v>587</v>
      </c>
    </row>
    <row r="51" spans="1:39" hidden="1" x14ac:dyDescent="0.3">
      <c r="A51" s="37">
        <v>47</v>
      </c>
      <c r="B51" s="38" t="s">
        <v>521</v>
      </c>
      <c r="C51" s="38" t="s">
        <v>4</v>
      </c>
      <c r="D51" s="38" t="s">
        <v>18</v>
      </c>
      <c r="E51" s="38" t="s">
        <v>19</v>
      </c>
      <c r="F51" s="47" t="s">
        <v>519</v>
      </c>
      <c r="G51" s="40">
        <v>669</v>
      </c>
      <c r="H51" s="40">
        <v>344</v>
      </c>
      <c r="I51" s="40">
        <v>132</v>
      </c>
      <c r="J51" s="40">
        <v>193</v>
      </c>
      <c r="K51" s="40">
        <v>986</v>
      </c>
      <c r="L51" s="40">
        <v>631</v>
      </c>
      <c r="M51" s="40">
        <v>174</v>
      </c>
      <c r="N51" s="40">
        <v>181</v>
      </c>
      <c r="O51" s="40">
        <v>1489</v>
      </c>
      <c r="P51" s="40">
        <v>1094</v>
      </c>
      <c r="Q51" s="40">
        <v>175</v>
      </c>
      <c r="R51" s="40">
        <v>220</v>
      </c>
      <c r="S51" s="41">
        <v>51.420029900000003</v>
      </c>
      <c r="T51" s="41">
        <v>19.730941699999999</v>
      </c>
      <c r="U51" s="41">
        <v>28.849028400000002</v>
      </c>
      <c r="V51" s="41">
        <v>63.995943199999999</v>
      </c>
      <c r="W51" s="41">
        <v>17.6470588</v>
      </c>
      <c r="X51" s="41">
        <v>18.356998000000001</v>
      </c>
      <c r="Y51" s="41">
        <v>73.472128900000001</v>
      </c>
      <c r="Z51" s="41">
        <v>11.752854299999999</v>
      </c>
      <c r="AA51" s="41">
        <v>14.7750168</v>
      </c>
    </row>
    <row r="52" spans="1:39" hidden="1" x14ac:dyDescent="0.3">
      <c r="A52" s="37">
        <v>48</v>
      </c>
      <c r="B52" s="38" t="s">
        <v>521</v>
      </c>
      <c r="C52" s="38" t="s">
        <v>4</v>
      </c>
      <c r="D52" s="38" t="s">
        <v>18</v>
      </c>
      <c r="E52" s="38" t="s">
        <v>19</v>
      </c>
      <c r="F52" s="47" t="s">
        <v>520</v>
      </c>
      <c r="G52" s="40">
        <v>2081</v>
      </c>
      <c r="H52" s="40">
        <v>636</v>
      </c>
      <c r="I52" s="40">
        <v>403</v>
      </c>
      <c r="J52" s="40">
        <v>1042</v>
      </c>
      <c r="K52" s="40">
        <v>1824</v>
      </c>
      <c r="L52" s="40">
        <v>819</v>
      </c>
      <c r="M52" s="40">
        <v>356</v>
      </c>
      <c r="N52" s="40">
        <v>649</v>
      </c>
      <c r="O52" s="40">
        <v>1697</v>
      </c>
      <c r="P52" s="40">
        <v>1095</v>
      </c>
      <c r="Q52" s="40">
        <v>235</v>
      </c>
      <c r="R52" s="40">
        <v>367</v>
      </c>
      <c r="S52" s="41">
        <v>30.5622297</v>
      </c>
      <c r="T52" s="41">
        <v>19.3656896</v>
      </c>
      <c r="U52" s="41">
        <v>50.072080700000001</v>
      </c>
      <c r="V52" s="41">
        <v>44.901315799999999</v>
      </c>
      <c r="W52" s="41">
        <v>19.5175439</v>
      </c>
      <c r="X52" s="41">
        <v>35.581140400000002</v>
      </c>
      <c r="Y52" s="41">
        <v>64.525633499999998</v>
      </c>
      <c r="Z52" s="41">
        <v>13.847967000000001</v>
      </c>
      <c r="AA52" s="41">
        <v>21.626399500000002</v>
      </c>
    </row>
    <row r="53" spans="1:39" hidden="1" x14ac:dyDescent="0.3">
      <c r="A53" s="42">
        <v>49</v>
      </c>
      <c r="B53" s="43" t="s">
        <v>521</v>
      </c>
      <c r="C53" s="43" t="s">
        <v>4</v>
      </c>
      <c r="D53" s="43" t="s">
        <v>18</v>
      </c>
      <c r="E53" s="43" t="s">
        <v>18</v>
      </c>
      <c r="F53" s="44" t="s">
        <v>18</v>
      </c>
      <c r="G53" s="45">
        <v>1921</v>
      </c>
      <c r="H53" s="45">
        <v>599</v>
      </c>
      <c r="I53" s="45">
        <v>349</v>
      </c>
      <c r="J53" s="45">
        <v>973</v>
      </c>
      <c r="K53" s="45">
        <v>2113</v>
      </c>
      <c r="L53" s="45">
        <v>993</v>
      </c>
      <c r="M53" s="45">
        <v>400</v>
      </c>
      <c r="N53" s="45">
        <v>720</v>
      </c>
      <c r="O53" s="45">
        <v>2243</v>
      </c>
      <c r="P53" s="45">
        <v>1357</v>
      </c>
      <c r="Q53" s="45">
        <v>377</v>
      </c>
      <c r="R53" s="45">
        <v>509</v>
      </c>
      <c r="S53" s="46">
        <v>31.181676199999998</v>
      </c>
      <c r="T53" s="46">
        <v>18.167621</v>
      </c>
      <c r="U53" s="46">
        <v>50.650702799999998</v>
      </c>
      <c r="V53" s="46">
        <v>46.9947941</v>
      </c>
      <c r="W53" s="46">
        <v>18.930430699999999</v>
      </c>
      <c r="X53" s="46">
        <v>34.074775199999998</v>
      </c>
      <c r="Y53" s="46">
        <v>60.499331300000001</v>
      </c>
      <c r="Z53" s="46">
        <v>16.807846600000001</v>
      </c>
      <c r="AA53" s="46">
        <v>22.692822100000001</v>
      </c>
      <c r="AB53" s="26">
        <f>SUM(W53:X53)</f>
        <v>53.005205899999993</v>
      </c>
      <c r="AC53" s="26">
        <f>SUM(Z53:AA53)</f>
        <v>39.500668700000006</v>
      </c>
      <c r="AD53" s="57">
        <f>M53+N53</f>
        <v>1120</v>
      </c>
      <c r="AE53" s="57">
        <f>Q53+R53</f>
        <v>886</v>
      </c>
      <c r="AF53" s="26">
        <f>W53</f>
        <v>18.930430699999999</v>
      </c>
      <c r="AG53" s="26">
        <f>Z53</f>
        <v>16.807846600000001</v>
      </c>
      <c r="AH53" s="26">
        <f>M53</f>
        <v>400</v>
      </c>
      <c r="AI53" s="26">
        <f>Q53</f>
        <v>377</v>
      </c>
      <c r="AJ53" s="26">
        <f>X53</f>
        <v>34.074775199999998</v>
      </c>
      <c r="AK53" s="26">
        <f>AA53</f>
        <v>22.692822100000001</v>
      </c>
      <c r="AL53" s="57">
        <f>N53</f>
        <v>720</v>
      </c>
      <c r="AM53" s="57">
        <f>R53</f>
        <v>509</v>
      </c>
    </row>
    <row r="54" spans="1:39" hidden="1" x14ac:dyDescent="0.3">
      <c r="A54" s="37">
        <v>50</v>
      </c>
      <c r="B54" s="38" t="s">
        <v>521</v>
      </c>
      <c r="C54" s="38" t="s">
        <v>4</v>
      </c>
      <c r="D54" s="38" t="s">
        <v>18</v>
      </c>
      <c r="E54" s="38" t="s">
        <v>18</v>
      </c>
      <c r="F54" s="47" t="s">
        <v>519</v>
      </c>
      <c r="G54" s="40"/>
      <c r="H54" s="40"/>
      <c r="I54" s="40"/>
      <c r="J54" s="40"/>
      <c r="K54" s="40"/>
      <c r="L54" s="40"/>
      <c r="M54" s="40"/>
      <c r="N54" s="40"/>
      <c r="O54" s="40">
        <v>564</v>
      </c>
      <c r="P54" s="40">
        <v>379</v>
      </c>
      <c r="Q54" s="40">
        <v>76</v>
      </c>
      <c r="R54" s="40">
        <v>109</v>
      </c>
      <c r="S54" s="41"/>
      <c r="T54" s="41"/>
      <c r="U54" s="41"/>
      <c r="V54" s="41"/>
      <c r="W54" s="41"/>
      <c r="X54" s="41"/>
      <c r="Y54" s="41">
        <v>67.198581599999997</v>
      </c>
      <c r="Z54" s="41">
        <v>13.4751773</v>
      </c>
      <c r="AA54" s="41">
        <v>19.326241100000001</v>
      </c>
    </row>
    <row r="55" spans="1:39" hidden="1" x14ac:dyDescent="0.3">
      <c r="A55" s="37">
        <v>51</v>
      </c>
      <c r="B55" s="38" t="s">
        <v>521</v>
      </c>
      <c r="C55" s="38" t="s">
        <v>4</v>
      </c>
      <c r="D55" s="38" t="s">
        <v>18</v>
      </c>
      <c r="E55" s="38" t="s">
        <v>18</v>
      </c>
      <c r="F55" s="47" t="s">
        <v>520</v>
      </c>
      <c r="G55" s="40">
        <v>1921</v>
      </c>
      <c r="H55" s="40">
        <v>599</v>
      </c>
      <c r="I55" s="40">
        <v>349</v>
      </c>
      <c r="J55" s="40">
        <v>973</v>
      </c>
      <c r="K55" s="40">
        <v>2113</v>
      </c>
      <c r="L55" s="40">
        <v>993</v>
      </c>
      <c r="M55" s="40">
        <v>400</v>
      </c>
      <c r="N55" s="40">
        <v>720</v>
      </c>
      <c r="O55" s="40">
        <v>1679</v>
      </c>
      <c r="P55" s="40">
        <v>978</v>
      </c>
      <c r="Q55" s="40">
        <v>301</v>
      </c>
      <c r="R55" s="40">
        <v>400</v>
      </c>
      <c r="S55" s="41">
        <v>31.181676199999998</v>
      </c>
      <c r="T55" s="41">
        <v>18.167621</v>
      </c>
      <c r="U55" s="41">
        <v>50.650702799999998</v>
      </c>
      <c r="V55" s="41">
        <v>46.9947941</v>
      </c>
      <c r="W55" s="41">
        <v>18.930430699999999</v>
      </c>
      <c r="X55" s="41">
        <v>34.074775199999998</v>
      </c>
      <c r="Y55" s="41">
        <v>58.248957699999998</v>
      </c>
      <c r="Z55" s="41">
        <v>17.927337699999999</v>
      </c>
      <c r="AA55" s="41">
        <v>23.823704599999999</v>
      </c>
    </row>
    <row r="56" spans="1:39" hidden="1" x14ac:dyDescent="0.3">
      <c r="A56" s="42">
        <v>52</v>
      </c>
      <c r="B56" s="43" t="s">
        <v>521</v>
      </c>
      <c r="C56" s="43" t="s">
        <v>4</v>
      </c>
      <c r="D56" s="43" t="s">
        <v>18</v>
      </c>
      <c r="E56" s="43" t="s">
        <v>21</v>
      </c>
      <c r="F56" s="44" t="s">
        <v>21</v>
      </c>
      <c r="G56" s="45">
        <v>1518</v>
      </c>
      <c r="H56" s="45">
        <v>476</v>
      </c>
      <c r="I56" s="45">
        <v>292</v>
      </c>
      <c r="J56" s="45">
        <v>750</v>
      </c>
      <c r="K56" s="45">
        <v>2010</v>
      </c>
      <c r="L56" s="45">
        <v>1048</v>
      </c>
      <c r="M56" s="45">
        <v>362</v>
      </c>
      <c r="N56" s="45">
        <v>600</v>
      </c>
      <c r="O56" s="45">
        <v>2087</v>
      </c>
      <c r="P56" s="45">
        <v>1340</v>
      </c>
      <c r="Q56" s="45">
        <v>304</v>
      </c>
      <c r="R56" s="45">
        <v>443</v>
      </c>
      <c r="S56" s="46">
        <v>31.3570487</v>
      </c>
      <c r="T56" s="46">
        <v>19.235836599999999</v>
      </c>
      <c r="U56" s="46">
        <v>49.4071146</v>
      </c>
      <c r="V56" s="46">
        <v>52.139303499999997</v>
      </c>
      <c r="W56" s="46">
        <v>18.009950199999999</v>
      </c>
      <c r="X56" s="46">
        <v>29.850746300000001</v>
      </c>
      <c r="Y56" s="46">
        <v>64.206995699999993</v>
      </c>
      <c r="Z56" s="46">
        <v>14.5663632</v>
      </c>
      <c r="AA56" s="46">
        <v>21.226641099999998</v>
      </c>
      <c r="AB56" s="26">
        <f>SUM(W56:X56)</f>
        <v>47.860696500000003</v>
      </c>
      <c r="AC56" s="26">
        <f>SUM(Z56:AA56)</f>
        <v>35.7930043</v>
      </c>
      <c r="AD56" s="57">
        <f>M56+N56</f>
        <v>962</v>
      </c>
      <c r="AE56" s="57">
        <f>Q56+R56</f>
        <v>747</v>
      </c>
      <c r="AF56" s="26">
        <f>W56</f>
        <v>18.009950199999999</v>
      </c>
      <c r="AG56" s="26">
        <f>Z56</f>
        <v>14.5663632</v>
      </c>
      <c r="AH56" s="26">
        <f>M56</f>
        <v>362</v>
      </c>
      <c r="AI56" s="26">
        <f>Q56</f>
        <v>304</v>
      </c>
      <c r="AJ56" s="26">
        <f>X56</f>
        <v>29.850746300000001</v>
      </c>
      <c r="AK56" s="26">
        <f>AA56</f>
        <v>21.226641099999998</v>
      </c>
      <c r="AL56" s="57">
        <f>N56</f>
        <v>600</v>
      </c>
      <c r="AM56" s="57">
        <f>R56</f>
        <v>443</v>
      </c>
    </row>
    <row r="57" spans="1:39" hidden="1" x14ac:dyDescent="0.3">
      <c r="A57" s="37">
        <v>53</v>
      </c>
      <c r="B57" s="38" t="s">
        <v>521</v>
      </c>
      <c r="C57" s="38" t="s">
        <v>4</v>
      </c>
      <c r="D57" s="38" t="s">
        <v>18</v>
      </c>
      <c r="E57" s="38" t="s">
        <v>21</v>
      </c>
      <c r="F57" s="47" t="s">
        <v>519</v>
      </c>
      <c r="G57" s="40"/>
      <c r="H57" s="40"/>
      <c r="I57" s="40"/>
      <c r="J57" s="40"/>
      <c r="K57" s="40">
        <v>604</v>
      </c>
      <c r="L57" s="40">
        <v>381</v>
      </c>
      <c r="M57" s="40">
        <v>111</v>
      </c>
      <c r="N57" s="40">
        <v>112</v>
      </c>
      <c r="O57" s="40"/>
      <c r="P57" s="40"/>
      <c r="Q57" s="40"/>
      <c r="R57" s="40"/>
      <c r="S57" s="41"/>
      <c r="T57" s="41"/>
      <c r="U57" s="41"/>
      <c r="V57" s="41">
        <v>63.079470200000003</v>
      </c>
      <c r="W57" s="41">
        <v>18.377483399999999</v>
      </c>
      <c r="X57" s="41">
        <v>18.543046400000001</v>
      </c>
      <c r="Y57" s="41"/>
      <c r="Z57" s="41"/>
      <c r="AA57" s="41"/>
    </row>
    <row r="58" spans="1:39" hidden="1" x14ac:dyDescent="0.3">
      <c r="A58" s="37">
        <v>54</v>
      </c>
      <c r="B58" s="38" t="s">
        <v>521</v>
      </c>
      <c r="C58" s="38" t="s">
        <v>4</v>
      </c>
      <c r="D58" s="38" t="s">
        <v>18</v>
      </c>
      <c r="E58" s="38" t="s">
        <v>21</v>
      </c>
      <c r="F58" s="47" t="s">
        <v>520</v>
      </c>
      <c r="G58" s="40">
        <v>1518</v>
      </c>
      <c r="H58" s="40">
        <v>476</v>
      </c>
      <c r="I58" s="40">
        <v>292</v>
      </c>
      <c r="J58" s="40">
        <v>750</v>
      </c>
      <c r="K58" s="40">
        <v>1406</v>
      </c>
      <c r="L58" s="40">
        <v>667</v>
      </c>
      <c r="M58" s="40">
        <v>251</v>
      </c>
      <c r="N58" s="40">
        <v>488</v>
      </c>
      <c r="O58" s="40">
        <v>2087</v>
      </c>
      <c r="P58" s="40">
        <v>1340</v>
      </c>
      <c r="Q58" s="40">
        <v>304</v>
      </c>
      <c r="R58" s="40">
        <v>443</v>
      </c>
      <c r="S58" s="41">
        <v>31.3570487</v>
      </c>
      <c r="T58" s="41">
        <v>19.235836599999999</v>
      </c>
      <c r="U58" s="41">
        <v>49.4071146</v>
      </c>
      <c r="V58" s="41">
        <v>47.4395448</v>
      </c>
      <c r="W58" s="41">
        <v>17.8520626</v>
      </c>
      <c r="X58" s="41">
        <v>34.708392600000003</v>
      </c>
      <c r="Y58" s="41">
        <v>64.206995699999993</v>
      </c>
      <c r="Z58" s="41">
        <v>14.5663632</v>
      </c>
      <c r="AA58" s="41">
        <v>21.226641099999998</v>
      </c>
    </row>
    <row r="59" spans="1:39" hidden="1" x14ac:dyDescent="0.3">
      <c r="A59" s="42">
        <v>55</v>
      </c>
      <c r="B59" s="43" t="s">
        <v>521</v>
      </c>
      <c r="C59" s="43" t="s">
        <v>4</v>
      </c>
      <c r="D59" s="43" t="s">
        <v>18</v>
      </c>
      <c r="E59" s="43" t="s">
        <v>23</v>
      </c>
      <c r="F59" s="44" t="s">
        <v>23</v>
      </c>
      <c r="G59" s="45">
        <v>727</v>
      </c>
      <c r="H59" s="45">
        <v>179</v>
      </c>
      <c r="I59" s="45">
        <v>114</v>
      </c>
      <c r="J59" s="45">
        <v>434</v>
      </c>
      <c r="K59" s="45">
        <v>1072</v>
      </c>
      <c r="L59" s="45">
        <v>458</v>
      </c>
      <c r="M59" s="45">
        <v>198</v>
      </c>
      <c r="N59" s="45">
        <v>416</v>
      </c>
      <c r="O59" s="45">
        <v>1189</v>
      </c>
      <c r="P59" s="45">
        <v>808</v>
      </c>
      <c r="Q59" s="45">
        <v>174</v>
      </c>
      <c r="R59" s="45">
        <v>207</v>
      </c>
      <c r="S59" s="46">
        <v>24.6217331</v>
      </c>
      <c r="T59" s="46">
        <v>15.6808803</v>
      </c>
      <c r="U59" s="46">
        <v>59.6973865</v>
      </c>
      <c r="V59" s="46">
        <v>42.723880600000001</v>
      </c>
      <c r="W59" s="46">
        <v>18.470149299999999</v>
      </c>
      <c r="X59" s="46">
        <v>38.805970100000003</v>
      </c>
      <c r="Y59" s="46">
        <v>67.956265799999997</v>
      </c>
      <c r="Z59" s="46">
        <v>14.634146299999999</v>
      </c>
      <c r="AA59" s="46">
        <v>17.409587899999998</v>
      </c>
      <c r="AB59" s="26">
        <f>SUM(W59:X59)</f>
        <v>57.276119399999999</v>
      </c>
      <c r="AC59" s="26">
        <f>SUM(Z59:AA59)</f>
        <v>32.043734199999996</v>
      </c>
      <c r="AD59" s="57">
        <f>M59+N59</f>
        <v>614</v>
      </c>
      <c r="AE59" s="57">
        <f>Q59+R59</f>
        <v>381</v>
      </c>
      <c r="AF59" s="26">
        <f>W59</f>
        <v>18.470149299999999</v>
      </c>
      <c r="AG59" s="26">
        <f>Z59</f>
        <v>14.634146299999999</v>
      </c>
      <c r="AH59" s="26">
        <f>M59</f>
        <v>198</v>
      </c>
      <c r="AI59" s="26">
        <f>Q59</f>
        <v>174</v>
      </c>
      <c r="AJ59" s="26">
        <f>X59</f>
        <v>38.805970100000003</v>
      </c>
      <c r="AK59" s="26">
        <f>AA59</f>
        <v>17.409587899999998</v>
      </c>
      <c r="AL59" s="57">
        <f>N59</f>
        <v>416</v>
      </c>
      <c r="AM59" s="57">
        <f>R59</f>
        <v>207</v>
      </c>
    </row>
    <row r="60" spans="1:39" hidden="1" x14ac:dyDescent="0.3">
      <c r="A60" s="37">
        <v>56</v>
      </c>
      <c r="B60" s="38" t="s">
        <v>521</v>
      </c>
      <c r="C60" s="38" t="s">
        <v>4</v>
      </c>
      <c r="D60" s="38" t="s">
        <v>18</v>
      </c>
      <c r="E60" s="38" t="s">
        <v>23</v>
      </c>
      <c r="F60" s="47" t="s">
        <v>519</v>
      </c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1"/>
      <c r="T60" s="41"/>
      <c r="U60" s="41"/>
      <c r="V60" s="41"/>
      <c r="W60" s="41"/>
      <c r="X60" s="41"/>
      <c r="Y60" s="41"/>
      <c r="Z60" s="41"/>
      <c r="AA60" s="41"/>
    </row>
    <row r="61" spans="1:39" hidden="1" x14ac:dyDescent="0.3">
      <c r="A61" s="37">
        <v>57</v>
      </c>
      <c r="B61" s="38" t="s">
        <v>521</v>
      </c>
      <c r="C61" s="38" t="s">
        <v>4</v>
      </c>
      <c r="D61" s="38" t="s">
        <v>18</v>
      </c>
      <c r="E61" s="38" t="s">
        <v>23</v>
      </c>
      <c r="F61" s="47" t="s">
        <v>520</v>
      </c>
      <c r="G61" s="40">
        <v>727</v>
      </c>
      <c r="H61" s="40">
        <v>179</v>
      </c>
      <c r="I61" s="40">
        <v>114</v>
      </c>
      <c r="J61" s="40">
        <v>434</v>
      </c>
      <c r="K61" s="40">
        <v>1072</v>
      </c>
      <c r="L61" s="40">
        <v>458</v>
      </c>
      <c r="M61" s="40">
        <v>198</v>
      </c>
      <c r="N61" s="40">
        <v>416</v>
      </c>
      <c r="O61" s="40">
        <v>1189</v>
      </c>
      <c r="P61" s="40">
        <v>808</v>
      </c>
      <c r="Q61" s="40">
        <v>174</v>
      </c>
      <c r="R61" s="40">
        <v>207</v>
      </c>
      <c r="S61" s="41">
        <v>24.6217331</v>
      </c>
      <c r="T61" s="41">
        <v>15.6808803</v>
      </c>
      <c r="U61" s="41">
        <v>59.6973865</v>
      </c>
      <c r="V61" s="41">
        <v>42.723880600000001</v>
      </c>
      <c r="W61" s="41">
        <v>18.470149299999999</v>
      </c>
      <c r="X61" s="41">
        <v>38.805970100000003</v>
      </c>
      <c r="Y61" s="41">
        <v>67.956265799999997</v>
      </c>
      <c r="Z61" s="41">
        <v>14.634146299999999</v>
      </c>
      <c r="AA61" s="41">
        <v>17.409587899999998</v>
      </c>
    </row>
    <row r="62" spans="1:39" hidden="1" x14ac:dyDescent="0.3">
      <c r="A62" s="42">
        <v>58</v>
      </c>
      <c r="B62" s="43" t="s">
        <v>521</v>
      </c>
      <c r="C62" s="43" t="s">
        <v>4</v>
      </c>
      <c r="D62" s="43" t="s">
        <v>18</v>
      </c>
      <c r="E62" s="43" t="s">
        <v>24</v>
      </c>
      <c r="F62" s="44" t="s">
        <v>24</v>
      </c>
      <c r="G62" s="45">
        <v>996</v>
      </c>
      <c r="H62" s="45">
        <v>309</v>
      </c>
      <c r="I62" s="45">
        <v>179</v>
      </c>
      <c r="J62" s="45">
        <v>508</v>
      </c>
      <c r="K62" s="45">
        <v>1212</v>
      </c>
      <c r="L62" s="45">
        <v>636</v>
      </c>
      <c r="M62" s="45">
        <v>237</v>
      </c>
      <c r="N62" s="45">
        <v>339</v>
      </c>
      <c r="O62" s="45">
        <v>1439</v>
      </c>
      <c r="P62" s="45">
        <v>729</v>
      </c>
      <c r="Q62" s="45">
        <v>271</v>
      </c>
      <c r="R62" s="45">
        <v>439</v>
      </c>
      <c r="S62" s="46">
        <v>31.024096400000001</v>
      </c>
      <c r="T62" s="46">
        <v>17.971887599999999</v>
      </c>
      <c r="U62" s="46">
        <v>51.004016100000001</v>
      </c>
      <c r="V62" s="46">
        <v>52.475247500000002</v>
      </c>
      <c r="W62" s="46">
        <v>19.554455399999998</v>
      </c>
      <c r="X62" s="46">
        <v>27.970296999999999</v>
      </c>
      <c r="Y62" s="46">
        <v>50.660180699999998</v>
      </c>
      <c r="Z62" s="46">
        <v>18.832522600000001</v>
      </c>
      <c r="AA62" s="46">
        <v>30.507296700000001</v>
      </c>
      <c r="AB62" s="26">
        <f>SUM(W62:X62)</f>
        <v>47.524752399999997</v>
      </c>
      <c r="AC62" s="26">
        <f>SUM(Z62:AA62)</f>
        <v>49.339819300000002</v>
      </c>
      <c r="AD62" s="57">
        <f>M62+N62</f>
        <v>576</v>
      </c>
      <c r="AE62" s="57">
        <f>Q62+R62</f>
        <v>710</v>
      </c>
      <c r="AF62" s="26">
        <f>W62</f>
        <v>19.554455399999998</v>
      </c>
      <c r="AG62" s="26">
        <f>Z62</f>
        <v>18.832522600000001</v>
      </c>
      <c r="AH62" s="26">
        <f>M62</f>
        <v>237</v>
      </c>
      <c r="AI62" s="26">
        <f>Q62</f>
        <v>271</v>
      </c>
      <c r="AJ62" s="26">
        <f>X62</f>
        <v>27.970296999999999</v>
      </c>
      <c r="AK62" s="26">
        <f>AA62</f>
        <v>30.507296700000001</v>
      </c>
      <c r="AL62" s="57">
        <f>N62</f>
        <v>339</v>
      </c>
      <c r="AM62" s="57">
        <f>R62</f>
        <v>439</v>
      </c>
    </row>
    <row r="63" spans="1:39" hidden="1" x14ac:dyDescent="0.3">
      <c r="A63" s="37">
        <v>59</v>
      </c>
      <c r="B63" s="38" t="s">
        <v>521</v>
      </c>
      <c r="C63" s="38" t="s">
        <v>4</v>
      </c>
      <c r="D63" s="38" t="s">
        <v>18</v>
      </c>
      <c r="E63" s="38" t="s">
        <v>24</v>
      </c>
      <c r="F63" s="47" t="s">
        <v>519</v>
      </c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1"/>
      <c r="T63" s="41"/>
      <c r="U63" s="41"/>
      <c r="V63" s="41"/>
      <c r="W63" s="41"/>
      <c r="X63" s="41"/>
      <c r="Y63" s="41"/>
      <c r="Z63" s="41"/>
      <c r="AA63" s="41"/>
    </row>
    <row r="64" spans="1:39" hidden="1" x14ac:dyDescent="0.3">
      <c r="A64" s="37">
        <v>60</v>
      </c>
      <c r="B64" s="38" t="s">
        <v>521</v>
      </c>
      <c r="C64" s="38" t="s">
        <v>4</v>
      </c>
      <c r="D64" s="38" t="s">
        <v>18</v>
      </c>
      <c r="E64" s="38" t="s">
        <v>24</v>
      </c>
      <c r="F64" s="47" t="s">
        <v>520</v>
      </c>
      <c r="G64" s="40">
        <v>996</v>
      </c>
      <c r="H64" s="40">
        <v>309</v>
      </c>
      <c r="I64" s="40">
        <v>179</v>
      </c>
      <c r="J64" s="40">
        <v>508</v>
      </c>
      <c r="K64" s="40">
        <v>1212</v>
      </c>
      <c r="L64" s="40">
        <v>636</v>
      </c>
      <c r="M64" s="40">
        <v>237</v>
      </c>
      <c r="N64" s="40">
        <v>339</v>
      </c>
      <c r="O64" s="40">
        <v>1439</v>
      </c>
      <c r="P64" s="40">
        <v>729</v>
      </c>
      <c r="Q64" s="40">
        <v>271</v>
      </c>
      <c r="R64" s="40">
        <v>439</v>
      </c>
      <c r="S64" s="41">
        <v>31.024096400000001</v>
      </c>
      <c r="T64" s="41">
        <v>17.971887599999999</v>
      </c>
      <c r="U64" s="41">
        <v>51.004016100000001</v>
      </c>
      <c r="V64" s="41">
        <v>52.475247500000002</v>
      </c>
      <c r="W64" s="41">
        <v>19.554455399999998</v>
      </c>
      <c r="X64" s="41">
        <v>27.970296999999999</v>
      </c>
      <c r="Y64" s="41">
        <v>50.660180699999998</v>
      </c>
      <c r="Z64" s="41">
        <v>18.832522600000001</v>
      </c>
      <c r="AA64" s="41">
        <v>30.507296700000001</v>
      </c>
    </row>
    <row r="65" spans="1:39" hidden="1" x14ac:dyDescent="0.3">
      <c r="A65" s="32">
        <v>61</v>
      </c>
      <c r="B65" s="33" t="s">
        <v>1</v>
      </c>
      <c r="C65" s="33" t="s">
        <v>4</v>
      </c>
      <c r="D65" s="33" t="s">
        <v>25</v>
      </c>
      <c r="E65" s="33"/>
      <c r="F65" s="34" t="s">
        <v>25</v>
      </c>
      <c r="G65" s="35">
        <v>7348</v>
      </c>
      <c r="H65" s="35">
        <v>2424</v>
      </c>
      <c r="I65" s="35">
        <v>1470</v>
      </c>
      <c r="J65" s="35">
        <v>3454</v>
      </c>
      <c r="K65" s="35">
        <v>8158</v>
      </c>
      <c r="L65" s="35">
        <v>4287</v>
      </c>
      <c r="M65" s="35">
        <v>1619</v>
      </c>
      <c r="N65" s="35">
        <v>2252</v>
      </c>
      <c r="O65" s="35">
        <v>10043</v>
      </c>
      <c r="P65" s="35">
        <v>6893</v>
      </c>
      <c r="Q65" s="35">
        <v>1599</v>
      </c>
      <c r="R65" s="35">
        <v>1551</v>
      </c>
      <c r="S65" s="36">
        <v>32.988568299999997</v>
      </c>
      <c r="T65" s="36">
        <v>20.005443700000001</v>
      </c>
      <c r="U65" s="36">
        <v>47.005988000000002</v>
      </c>
      <c r="V65" s="36">
        <v>52.549644499999999</v>
      </c>
      <c r="W65" s="36">
        <v>19.8455504</v>
      </c>
      <c r="X65" s="36">
        <v>27.6048051</v>
      </c>
      <c r="Y65" s="36">
        <v>68.634870100000001</v>
      </c>
      <c r="Z65" s="36">
        <v>15.9215374</v>
      </c>
      <c r="AA65" s="36">
        <v>15.443592600000001</v>
      </c>
    </row>
    <row r="66" spans="1:39" hidden="1" x14ac:dyDescent="0.3">
      <c r="A66" s="37">
        <v>62</v>
      </c>
      <c r="B66" s="38" t="s">
        <v>1</v>
      </c>
      <c r="C66" s="38" t="s">
        <v>4</v>
      </c>
      <c r="D66" s="38" t="s">
        <v>25</v>
      </c>
      <c r="E66" s="38"/>
      <c r="F66" s="39" t="s">
        <v>519</v>
      </c>
      <c r="G66" s="40">
        <v>1541</v>
      </c>
      <c r="H66" s="40">
        <v>710</v>
      </c>
      <c r="I66" s="40">
        <v>369</v>
      </c>
      <c r="J66" s="40">
        <v>462</v>
      </c>
      <c r="K66" s="40">
        <v>2765</v>
      </c>
      <c r="L66" s="40">
        <v>1625</v>
      </c>
      <c r="M66" s="40">
        <v>510</v>
      </c>
      <c r="N66" s="40">
        <v>630</v>
      </c>
      <c r="O66" s="40">
        <v>4068</v>
      </c>
      <c r="P66" s="40">
        <v>2955</v>
      </c>
      <c r="Q66" s="40">
        <v>594</v>
      </c>
      <c r="R66" s="40">
        <v>519</v>
      </c>
      <c r="S66" s="41">
        <v>46.073977900000003</v>
      </c>
      <c r="T66" s="41">
        <v>23.945489899999998</v>
      </c>
      <c r="U66" s="41">
        <v>29.980532100000001</v>
      </c>
      <c r="V66" s="41">
        <v>58.770343599999997</v>
      </c>
      <c r="W66" s="41">
        <v>18.444846299999998</v>
      </c>
      <c r="X66" s="41">
        <v>22.784810100000001</v>
      </c>
      <c r="Y66" s="41">
        <v>72.640118000000001</v>
      </c>
      <c r="Z66" s="41">
        <v>14.601769900000001</v>
      </c>
      <c r="AA66" s="41">
        <v>12.7581121</v>
      </c>
    </row>
    <row r="67" spans="1:39" hidden="1" x14ac:dyDescent="0.3">
      <c r="A67" s="37">
        <v>63</v>
      </c>
      <c r="B67" s="38" t="s">
        <v>1</v>
      </c>
      <c r="C67" s="38" t="s">
        <v>4</v>
      </c>
      <c r="D67" s="38" t="s">
        <v>25</v>
      </c>
      <c r="E67" s="38"/>
      <c r="F67" s="39" t="s">
        <v>520</v>
      </c>
      <c r="G67" s="40">
        <v>5807</v>
      </c>
      <c r="H67" s="40">
        <v>1714</v>
      </c>
      <c r="I67" s="40">
        <v>1101</v>
      </c>
      <c r="J67" s="40">
        <v>2992</v>
      </c>
      <c r="K67" s="40">
        <v>5393</v>
      </c>
      <c r="L67" s="40">
        <v>2662</v>
      </c>
      <c r="M67" s="40">
        <v>1109</v>
      </c>
      <c r="N67" s="40">
        <v>1622</v>
      </c>
      <c r="O67" s="40">
        <v>5975</v>
      </c>
      <c r="P67" s="40">
        <v>3938</v>
      </c>
      <c r="Q67" s="40">
        <v>1005</v>
      </c>
      <c r="R67" s="40">
        <v>1032</v>
      </c>
      <c r="S67" s="41">
        <v>29.516101299999999</v>
      </c>
      <c r="T67" s="41">
        <v>18.959876000000001</v>
      </c>
      <c r="U67" s="41">
        <v>51.524022700000003</v>
      </c>
      <c r="V67" s="41">
        <v>49.360281800000003</v>
      </c>
      <c r="W67" s="41">
        <v>20.563693700000002</v>
      </c>
      <c r="X67" s="41">
        <v>30.076024499999999</v>
      </c>
      <c r="Y67" s="41">
        <v>65.907949799999997</v>
      </c>
      <c r="Z67" s="41">
        <v>16.820083700000001</v>
      </c>
      <c r="AA67" s="41">
        <v>17.271966500000001</v>
      </c>
    </row>
    <row r="68" spans="1:39" hidden="1" x14ac:dyDescent="0.3">
      <c r="A68" s="42">
        <v>64</v>
      </c>
      <c r="B68" s="43" t="s">
        <v>521</v>
      </c>
      <c r="C68" s="43" t="s">
        <v>4</v>
      </c>
      <c r="D68" s="43" t="s">
        <v>25</v>
      </c>
      <c r="E68" s="43" t="s">
        <v>26</v>
      </c>
      <c r="F68" s="44" t="s">
        <v>26</v>
      </c>
      <c r="G68" s="45">
        <v>5399</v>
      </c>
      <c r="H68" s="45">
        <v>1864</v>
      </c>
      <c r="I68" s="45">
        <v>1112</v>
      </c>
      <c r="J68" s="45">
        <v>2423</v>
      </c>
      <c r="K68" s="45">
        <v>6079</v>
      </c>
      <c r="L68" s="45">
        <v>3228</v>
      </c>
      <c r="M68" s="45">
        <v>1196</v>
      </c>
      <c r="N68" s="45">
        <v>1655</v>
      </c>
      <c r="O68" s="45">
        <v>7742</v>
      </c>
      <c r="P68" s="45">
        <v>5376</v>
      </c>
      <c r="Q68" s="45">
        <v>1225</v>
      </c>
      <c r="R68" s="45">
        <v>1141</v>
      </c>
      <c r="S68" s="46">
        <v>34.524912</v>
      </c>
      <c r="T68" s="46">
        <v>20.596406699999999</v>
      </c>
      <c r="U68" s="46">
        <v>44.878681200000003</v>
      </c>
      <c r="V68" s="46">
        <v>53.100839000000001</v>
      </c>
      <c r="W68" s="46">
        <v>19.674288499999999</v>
      </c>
      <c r="X68" s="46">
        <v>27.2248725</v>
      </c>
      <c r="Y68" s="46">
        <v>69.439421300000006</v>
      </c>
      <c r="Z68" s="46">
        <v>15.822784800000001</v>
      </c>
      <c r="AA68" s="46">
        <v>14.7377939</v>
      </c>
      <c r="AB68" s="26">
        <f>SUM(W68:X68)</f>
        <v>46.899160999999999</v>
      </c>
      <c r="AC68" s="26">
        <f>SUM(Z68:AA68)</f>
        <v>30.560578700000001</v>
      </c>
      <c r="AD68" s="57">
        <f>M68+N68</f>
        <v>2851</v>
      </c>
      <c r="AE68" s="57">
        <f>Q68+R68</f>
        <v>2366</v>
      </c>
      <c r="AF68" s="26">
        <f>W68</f>
        <v>19.674288499999999</v>
      </c>
      <c r="AG68" s="26">
        <f>Z68</f>
        <v>15.822784800000001</v>
      </c>
      <c r="AH68" s="26">
        <f>M68</f>
        <v>1196</v>
      </c>
      <c r="AI68" s="26">
        <f>Q68</f>
        <v>1225</v>
      </c>
      <c r="AJ68" s="26">
        <f>X68</f>
        <v>27.2248725</v>
      </c>
      <c r="AK68" s="26">
        <f>AA68</f>
        <v>14.7377939</v>
      </c>
      <c r="AL68" s="57">
        <f>N68</f>
        <v>1655</v>
      </c>
      <c r="AM68" s="57">
        <f>R68</f>
        <v>1141</v>
      </c>
    </row>
    <row r="69" spans="1:39" hidden="1" x14ac:dyDescent="0.3">
      <c r="A69" s="37">
        <v>65</v>
      </c>
      <c r="B69" s="38" t="s">
        <v>521</v>
      </c>
      <c r="C69" s="38" t="s">
        <v>4</v>
      </c>
      <c r="D69" s="38" t="s">
        <v>25</v>
      </c>
      <c r="E69" s="38" t="s">
        <v>26</v>
      </c>
      <c r="F69" s="47" t="s">
        <v>519</v>
      </c>
      <c r="G69" s="40">
        <v>1541</v>
      </c>
      <c r="H69" s="40">
        <v>710</v>
      </c>
      <c r="I69" s="40">
        <v>369</v>
      </c>
      <c r="J69" s="40">
        <v>462</v>
      </c>
      <c r="K69" s="40">
        <v>2765</v>
      </c>
      <c r="L69" s="40">
        <v>1625</v>
      </c>
      <c r="M69" s="40">
        <v>510</v>
      </c>
      <c r="N69" s="40">
        <v>630</v>
      </c>
      <c r="O69" s="40">
        <v>4068</v>
      </c>
      <c r="P69" s="40">
        <v>2955</v>
      </c>
      <c r="Q69" s="40">
        <v>594</v>
      </c>
      <c r="R69" s="40">
        <v>519</v>
      </c>
      <c r="S69" s="41">
        <v>46.073977900000003</v>
      </c>
      <c r="T69" s="41">
        <v>23.945489899999998</v>
      </c>
      <c r="U69" s="41">
        <v>29.980532100000001</v>
      </c>
      <c r="V69" s="41">
        <v>58.770343599999997</v>
      </c>
      <c r="W69" s="41">
        <v>18.444846299999998</v>
      </c>
      <c r="X69" s="41">
        <v>22.784810100000001</v>
      </c>
      <c r="Y69" s="41">
        <v>72.640118000000001</v>
      </c>
      <c r="Z69" s="41">
        <v>14.601769900000001</v>
      </c>
      <c r="AA69" s="41">
        <v>12.7581121</v>
      </c>
    </row>
    <row r="70" spans="1:39" hidden="1" x14ac:dyDescent="0.3">
      <c r="A70" s="37">
        <v>66</v>
      </c>
      <c r="B70" s="38" t="s">
        <v>521</v>
      </c>
      <c r="C70" s="38" t="s">
        <v>4</v>
      </c>
      <c r="D70" s="38" t="s">
        <v>25</v>
      </c>
      <c r="E70" s="38" t="s">
        <v>26</v>
      </c>
      <c r="F70" s="47" t="s">
        <v>520</v>
      </c>
      <c r="G70" s="40">
        <v>3858</v>
      </c>
      <c r="H70" s="40">
        <v>1154</v>
      </c>
      <c r="I70" s="40">
        <v>743</v>
      </c>
      <c r="J70" s="40">
        <v>1961</v>
      </c>
      <c r="K70" s="40">
        <v>3314</v>
      </c>
      <c r="L70" s="40">
        <v>1603</v>
      </c>
      <c r="M70" s="40">
        <v>686</v>
      </c>
      <c r="N70" s="40">
        <v>1025</v>
      </c>
      <c r="O70" s="40">
        <v>3674</v>
      </c>
      <c r="P70" s="40">
        <v>2421</v>
      </c>
      <c r="Q70" s="40">
        <v>631</v>
      </c>
      <c r="R70" s="40">
        <v>622</v>
      </c>
      <c r="S70" s="41">
        <v>29.911871399999999</v>
      </c>
      <c r="T70" s="41">
        <v>19.258683300000001</v>
      </c>
      <c r="U70" s="41">
        <v>50.829445300000003</v>
      </c>
      <c r="V70" s="41">
        <v>48.370549199999999</v>
      </c>
      <c r="W70" s="41">
        <v>20.700060400000002</v>
      </c>
      <c r="X70" s="41">
        <v>30.9293905</v>
      </c>
      <c r="Y70" s="41">
        <v>65.895481799999999</v>
      </c>
      <c r="Z70" s="41">
        <v>17.174741399999998</v>
      </c>
      <c r="AA70" s="41">
        <v>16.929776799999999</v>
      </c>
    </row>
    <row r="71" spans="1:39" hidden="1" x14ac:dyDescent="0.3">
      <c r="A71" s="42">
        <v>67</v>
      </c>
      <c r="B71" s="43" t="s">
        <v>521</v>
      </c>
      <c r="C71" s="43" t="s">
        <v>4</v>
      </c>
      <c r="D71" s="43" t="s">
        <v>25</v>
      </c>
      <c r="E71" s="43" t="s">
        <v>477</v>
      </c>
      <c r="F71" s="44" t="s">
        <v>477</v>
      </c>
      <c r="G71" s="45">
        <v>1949</v>
      </c>
      <c r="H71" s="45">
        <v>560</v>
      </c>
      <c r="I71" s="45">
        <v>358</v>
      </c>
      <c r="J71" s="45">
        <v>1031</v>
      </c>
      <c r="K71" s="45">
        <v>2079</v>
      </c>
      <c r="L71" s="45">
        <v>1059</v>
      </c>
      <c r="M71" s="45">
        <v>423</v>
      </c>
      <c r="N71" s="45">
        <v>597</v>
      </c>
      <c r="O71" s="45">
        <v>2301</v>
      </c>
      <c r="P71" s="45">
        <v>1517</v>
      </c>
      <c r="Q71" s="45">
        <v>374</v>
      </c>
      <c r="R71" s="45">
        <v>410</v>
      </c>
      <c r="S71" s="46">
        <v>28.732683399999999</v>
      </c>
      <c r="T71" s="46">
        <v>18.368393999999999</v>
      </c>
      <c r="U71" s="46">
        <v>52.898922499999998</v>
      </c>
      <c r="V71" s="46">
        <v>50.937950899999997</v>
      </c>
      <c r="W71" s="46">
        <v>20.346320299999999</v>
      </c>
      <c r="X71" s="46">
        <v>28.7157287</v>
      </c>
      <c r="Y71" s="46">
        <v>65.927857500000002</v>
      </c>
      <c r="Z71" s="46">
        <v>16.253802700000001</v>
      </c>
      <c r="AA71" s="46">
        <v>17.818339900000002</v>
      </c>
      <c r="AB71" s="26">
        <f>SUM(W71:X71)</f>
        <v>49.062049000000002</v>
      </c>
      <c r="AC71" s="26">
        <f>SUM(Z71:AA71)</f>
        <v>34.072142600000006</v>
      </c>
      <c r="AD71" s="57">
        <f>M71+N71</f>
        <v>1020</v>
      </c>
      <c r="AE71" s="57">
        <f>Q71+R71</f>
        <v>784</v>
      </c>
      <c r="AF71" s="26">
        <f>W71</f>
        <v>20.346320299999999</v>
      </c>
      <c r="AG71" s="26">
        <f>Z71</f>
        <v>16.253802700000001</v>
      </c>
      <c r="AH71" s="26">
        <f>M71</f>
        <v>423</v>
      </c>
      <c r="AI71" s="26">
        <f>Q71</f>
        <v>374</v>
      </c>
      <c r="AJ71" s="26">
        <f>X71</f>
        <v>28.7157287</v>
      </c>
      <c r="AK71" s="26">
        <f>AA71</f>
        <v>17.818339900000002</v>
      </c>
      <c r="AL71" s="57">
        <f>N71</f>
        <v>597</v>
      </c>
      <c r="AM71" s="57">
        <f>R71</f>
        <v>410</v>
      </c>
    </row>
    <row r="72" spans="1:39" hidden="1" x14ac:dyDescent="0.3">
      <c r="A72" s="37">
        <v>68</v>
      </c>
      <c r="B72" s="38" t="s">
        <v>521</v>
      </c>
      <c r="C72" s="38" t="s">
        <v>4</v>
      </c>
      <c r="D72" s="38" t="s">
        <v>25</v>
      </c>
      <c r="E72" s="38" t="s">
        <v>477</v>
      </c>
      <c r="F72" s="47" t="s">
        <v>519</v>
      </c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1"/>
      <c r="T72" s="41"/>
      <c r="U72" s="41"/>
      <c r="V72" s="41"/>
      <c r="W72" s="41"/>
      <c r="X72" s="41"/>
      <c r="Y72" s="41"/>
      <c r="Z72" s="41"/>
      <c r="AA72" s="41"/>
    </row>
    <row r="73" spans="1:39" hidden="1" x14ac:dyDescent="0.3">
      <c r="A73" s="37">
        <v>69</v>
      </c>
      <c r="B73" s="38" t="s">
        <v>521</v>
      </c>
      <c r="C73" s="38" t="s">
        <v>4</v>
      </c>
      <c r="D73" s="38" t="s">
        <v>25</v>
      </c>
      <c r="E73" s="38" t="s">
        <v>477</v>
      </c>
      <c r="F73" s="47" t="s">
        <v>520</v>
      </c>
      <c r="G73" s="40">
        <v>1949</v>
      </c>
      <c r="H73" s="40">
        <v>560</v>
      </c>
      <c r="I73" s="40">
        <v>358</v>
      </c>
      <c r="J73" s="40">
        <v>1031</v>
      </c>
      <c r="K73" s="40">
        <v>2079</v>
      </c>
      <c r="L73" s="40">
        <v>1059</v>
      </c>
      <c r="M73" s="40">
        <v>423</v>
      </c>
      <c r="N73" s="40">
        <v>597</v>
      </c>
      <c r="O73" s="40">
        <v>2301</v>
      </c>
      <c r="P73" s="40">
        <v>1517</v>
      </c>
      <c r="Q73" s="40">
        <v>374</v>
      </c>
      <c r="R73" s="40">
        <v>410</v>
      </c>
      <c r="S73" s="41">
        <v>28.732683399999999</v>
      </c>
      <c r="T73" s="41">
        <v>18.368393999999999</v>
      </c>
      <c r="U73" s="41">
        <v>52.898922499999998</v>
      </c>
      <c r="V73" s="41">
        <v>50.937950899999997</v>
      </c>
      <c r="W73" s="41">
        <v>20.346320299999999</v>
      </c>
      <c r="X73" s="41">
        <v>28.7157287</v>
      </c>
      <c r="Y73" s="41">
        <v>65.927857500000002</v>
      </c>
      <c r="Z73" s="41">
        <v>16.253802700000001</v>
      </c>
      <c r="AA73" s="41">
        <v>17.818339900000002</v>
      </c>
    </row>
    <row r="74" spans="1:39" hidden="1" x14ac:dyDescent="0.3">
      <c r="A74" s="32">
        <v>70</v>
      </c>
      <c r="B74" s="33" t="s">
        <v>1</v>
      </c>
      <c r="C74" s="33" t="s">
        <v>4</v>
      </c>
      <c r="D74" s="33" t="s">
        <v>28</v>
      </c>
      <c r="E74" s="33"/>
      <c r="F74" s="34" t="s">
        <v>28</v>
      </c>
      <c r="G74" s="35">
        <v>6813</v>
      </c>
      <c r="H74" s="35">
        <v>2531</v>
      </c>
      <c r="I74" s="35">
        <v>1288</v>
      </c>
      <c r="J74" s="35">
        <v>2994</v>
      </c>
      <c r="K74" s="35">
        <v>7336</v>
      </c>
      <c r="L74" s="35">
        <v>4018</v>
      </c>
      <c r="M74" s="35">
        <v>1263</v>
      </c>
      <c r="N74" s="35">
        <v>2055</v>
      </c>
      <c r="O74" s="35">
        <v>7348</v>
      </c>
      <c r="P74" s="35">
        <v>5049</v>
      </c>
      <c r="Q74" s="35">
        <v>995</v>
      </c>
      <c r="R74" s="35">
        <v>1304</v>
      </c>
      <c r="S74" s="36">
        <v>37.149566999999998</v>
      </c>
      <c r="T74" s="36">
        <v>18.905034499999999</v>
      </c>
      <c r="U74" s="36">
        <v>43.945398500000003</v>
      </c>
      <c r="V74" s="36">
        <v>54.770992399999997</v>
      </c>
      <c r="W74" s="36">
        <v>17.216466700000002</v>
      </c>
      <c r="X74" s="36">
        <v>28.012540900000001</v>
      </c>
      <c r="Y74" s="36">
        <v>68.712574900000007</v>
      </c>
      <c r="Z74" s="36">
        <v>13.541099600000001</v>
      </c>
      <c r="AA74" s="36">
        <v>17.746325500000001</v>
      </c>
    </row>
    <row r="75" spans="1:39" hidden="1" x14ac:dyDescent="0.3">
      <c r="A75" s="37">
        <v>71</v>
      </c>
      <c r="B75" s="38" t="s">
        <v>1</v>
      </c>
      <c r="C75" s="38" t="s">
        <v>4</v>
      </c>
      <c r="D75" s="38" t="s">
        <v>28</v>
      </c>
      <c r="E75" s="38"/>
      <c r="F75" s="39" t="s">
        <v>519</v>
      </c>
      <c r="G75" s="40">
        <v>658</v>
      </c>
      <c r="H75" s="40">
        <v>325</v>
      </c>
      <c r="I75" s="40">
        <v>107</v>
      </c>
      <c r="J75" s="40">
        <v>226</v>
      </c>
      <c r="K75" s="40">
        <v>781</v>
      </c>
      <c r="L75" s="40">
        <v>426</v>
      </c>
      <c r="M75" s="40">
        <v>130</v>
      </c>
      <c r="N75" s="40">
        <v>225</v>
      </c>
      <c r="O75" s="40">
        <v>913</v>
      </c>
      <c r="P75" s="40">
        <v>613</v>
      </c>
      <c r="Q75" s="40">
        <v>128</v>
      </c>
      <c r="R75" s="40">
        <v>172</v>
      </c>
      <c r="S75" s="41">
        <v>49.392097300000003</v>
      </c>
      <c r="T75" s="41">
        <v>16.261398199999999</v>
      </c>
      <c r="U75" s="41">
        <v>34.346504600000003</v>
      </c>
      <c r="V75" s="41">
        <v>54.545454499999998</v>
      </c>
      <c r="W75" s="41">
        <v>16.645326499999999</v>
      </c>
      <c r="X75" s="41">
        <v>28.809218999999999</v>
      </c>
      <c r="Y75" s="41">
        <v>67.141292399999998</v>
      </c>
      <c r="Z75" s="41">
        <v>14.0197152</v>
      </c>
      <c r="AA75" s="41">
        <v>18.838992300000001</v>
      </c>
    </row>
    <row r="76" spans="1:39" hidden="1" x14ac:dyDescent="0.3">
      <c r="A76" s="37">
        <v>72</v>
      </c>
      <c r="B76" s="38" t="s">
        <v>1</v>
      </c>
      <c r="C76" s="38" t="s">
        <v>4</v>
      </c>
      <c r="D76" s="38" t="s">
        <v>28</v>
      </c>
      <c r="E76" s="38"/>
      <c r="F76" s="39" t="s">
        <v>520</v>
      </c>
      <c r="G76" s="40">
        <v>6155</v>
      </c>
      <c r="H76" s="40">
        <v>2206</v>
      </c>
      <c r="I76" s="40">
        <v>1181</v>
      </c>
      <c r="J76" s="40">
        <v>2768</v>
      </c>
      <c r="K76" s="40">
        <v>6555</v>
      </c>
      <c r="L76" s="40">
        <v>3592</v>
      </c>
      <c r="M76" s="40">
        <v>1133</v>
      </c>
      <c r="N76" s="40">
        <v>1830</v>
      </c>
      <c r="O76" s="40">
        <v>6435</v>
      </c>
      <c r="P76" s="40">
        <v>4436</v>
      </c>
      <c r="Q76" s="40">
        <v>867</v>
      </c>
      <c r="R76" s="40">
        <v>1132</v>
      </c>
      <c r="S76" s="41">
        <v>35.840779900000001</v>
      </c>
      <c r="T76" s="41">
        <v>19.1876523</v>
      </c>
      <c r="U76" s="41">
        <v>44.971567800000003</v>
      </c>
      <c r="V76" s="41">
        <v>54.797864199999999</v>
      </c>
      <c r="W76" s="41">
        <v>17.284515599999999</v>
      </c>
      <c r="X76" s="41">
        <v>27.917620100000001</v>
      </c>
      <c r="Y76" s="41">
        <v>68.935508900000002</v>
      </c>
      <c r="Z76" s="41">
        <v>13.473193500000001</v>
      </c>
      <c r="AA76" s="41">
        <v>17.591297600000001</v>
      </c>
    </row>
    <row r="77" spans="1:39" hidden="1" x14ac:dyDescent="0.3">
      <c r="A77" s="42">
        <v>73</v>
      </c>
      <c r="B77" s="43" t="s">
        <v>521</v>
      </c>
      <c r="C77" s="43" t="s">
        <v>4</v>
      </c>
      <c r="D77" s="43" t="s">
        <v>28</v>
      </c>
      <c r="E77" s="43" t="s">
        <v>29</v>
      </c>
      <c r="F77" s="44" t="s">
        <v>29</v>
      </c>
      <c r="G77" s="45">
        <v>4381</v>
      </c>
      <c r="H77" s="45">
        <v>1543</v>
      </c>
      <c r="I77" s="45">
        <v>841</v>
      </c>
      <c r="J77" s="45">
        <v>1997</v>
      </c>
      <c r="K77" s="45">
        <v>4386</v>
      </c>
      <c r="L77" s="45">
        <v>2284</v>
      </c>
      <c r="M77" s="45">
        <v>780</v>
      </c>
      <c r="N77" s="45">
        <v>1322</v>
      </c>
      <c r="O77" s="45">
        <v>4279</v>
      </c>
      <c r="P77" s="45">
        <v>2986</v>
      </c>
      <c r="Q77" s="45">
        <v>579</v>
      </c>
      <c r="R77" s="45">
        <v>714</v>
      </c>
      <c r="S77" s="46">
        <v>35.220269299999998</v>
      </c>
      <c r="T77" s="46">
        <v>19.196530500000001</v>
      </c>
      <c r="U77" s="46">
        <v>45.5832002</v>
      </c>
      <c r="V77" s="46">
        <v>52.074783400000001</v>
      </c>
      <c r="W77" s="46">
        <v>17.783857699999999</v>
      </c>
      <c r="X77" s="46">
        <v>30.1413589</v>
      </c>
      <c r="Y77" s="46">
        <v>69.782659499999994</v>
      </c>
      <c r="Z77" s="46">
        <v>13.5311989</v>
      </c>
      <c r="AA77" s="46">
        <v>16.686141599999999</v>
      </c>
      <c r="AB77" s="26">
        <f>SUM(W77:X77)</f>
        <v>47.925216599999999</v>
      </c>
      <c r="AC77" s="26">
        <f>SUM(Z77:AA77)</f>
        <v>30.217340499999999</v>
      </c>
      <c r="AD77" s="57">
        <f>M77+N77</f>
        <v>2102</v>
      </c>
      <c r="AE77" s="57">
        <f>Q77+R77</f>
        <v>1293</v>
      </c>
      <c r="AF77" s="26">
        <f>W77</f>
        <v>17.783857699999999</v>
      </c>
      <c r="AG77" s="26">
        <f>Z77</f>
        <v>13.5311989</v>
      </c>
      <c r="AH77" s="26">
        <f>M77</f>
        <v>780</v>
      </c>
      <c r="AI77" s="26">
        <f>Q77</f>
        <v>579</v>
      </c>
      <c r="AJ77" s="26">
        <f>X77</f>
        <v>30.1413589</v>
      </c>
      <c r="AK77" s="26">
        <f>AA77</f>
        <v>16.686141599999999</v>
      </c>
      <c r="AL77" s="57">
        <f>N77</f>
        <v>1322</v>
      </c>
      <c r="AM77" s="57">
        <f>R77</f>
        <v>714</v>
      </c>
    </row>
    <row r="78" spans="1:39" hidden="1" x14ac:dyDescent="0.3">
      <c r="A78" s="37">
        <v>74</v>
      </c>
      <c r="B78" s="38" t="s">
        <v>521</v>
      </c>
      <c r="C78" s="38" t="s">
        <v>4</v>
      </c>
      <c r="D78" s="38" t="s">
        <v>28</v>
      </c>
      <c r="E78" s="38" t="s">
        <v>29</v>
      </c>
      <c r="F78" s="47" t="s">
        <v>519</v>
      </c>
      <c r="G78" s="40">
        <v>658</v>
      </c>
      <c r="H78" s="40">
        <v>325</v>
      </c>
      <c r="I78" s="40">
        <v>107</v>
      </c>
      <c r="J78" s="40">
        <v>226</v>
      </c>
      <c r="K78" s="40">
        <v>781</v>
      </c>
      <c r="L78" s="40">
        <v>426</v>
      </c>
      <c r="M78" s="40">
        <v>130</v>
      </c>
      <c r="N78" s="40">
        <v>225</v>
      </c>
      <c r="O78" s="40">
        <v>913</v>
      </c>
      <c r="P78" s="40">
        <v>613</v>
      </c>
      <c r="Q78" s="40">
        <v>128</v>
      </c>
      <c r="R78" s="40">
        <v>172</v>
      </c>
      <c r="S78" s="41">
        <v>49.392097300000003</v>
      </c>
      <c r="T78" s="41">
        <v>16.261398199999999</v>
      </c>
      <c r="U78" s="41">
        <v>34.346504600000003</v>
      </c>
      <c r="V78" s="41">
        <v>54.545454499999998</v>
      </c>
      <c r="W78" s="41">
        <v>16.645326499999999</v>
      </c>
      <c r="X78" s="41">
        <v>28.809218999999999</v>
      </c>
      <c r="Y78" s="41">
        <v>67.141292399999998</v>
      </c>
      <c r="Z78" s="41">
        <v>14.0197152</v>
      </c>
      <c r="AA78" s="41">
        <v>18.838992300000001</v>
      </c>
    </row>
    <row r="79" spans="1:39" hidden="1" x14ac:dyDescent="0.3">
      <c r="A79" s="37">
        <v>75</v>
      </c>
      <c r="B79" s="38" t="s">
        <v>521</v>
      </c>
      <c r="C79" s="38" t="s">
        <v>4</v>
      </c>
      <c r="D79" s="38" t="s">
        <v>28</v>
      </c>
      <c r="E79" s="38" t="s">
        <v>29</v>
      </c>
      <c r="F79" s="47" t="s">
        <v>520</v>
      </c>
      <c r="G79" s="40">
        <v>3723</v>
      </c>
      <c r="H79" s="40">
        <v>1218</v>
      </c>
      <c r="I79" s="40">
        <v>734</v>
      </c>
      <c r="J79" s="40">
        <v>1771</v>
      </c>
      <c r="K79" s="40">
        <v>3605</v>
      </c>
      <c r="L79" s="40">
        <v>1858</v>
      </c>
      <c r="M79" s="40">
        <v>650</v>
      </c>
      <c r="N79" s="40">
        <v>1097</v>
      </c>
      <c r="O79" s="40">
        <v>3366</v>
      </c>
      <c r="P79" s="40">
        <v>2373</v>
      </c>
      <c r="Q79" s="40">
        <v>451</v>
      </c>
      <c r="R79" s="40">
        <v>542</v>
      </c>
      <c r="S79" s="41">
        <v>32.715552000000002</v>
      </c>
      <c r="T79" s="41">
        <v>19.715283400000001</v>
      </c>
      <c r="U79" s="41">
        <v>47.569164700000002</v>
      </c>
      <c r="V79" s="41">
        <v>51.539528400000002</v>
      </c>
      <c r="W79" s="41">
        <v>18.030513200000001</v>
      </c>
      <c r="X79" s="41">
        <v>30.4299584</v>
      </c>
      <c r="Y79" s="41">
        <v>70.499108699999994</v>
      </c>
      <c r="Z79" s="41">
        <v>13.398692799999999</v>
      </c>
      <c r="AA79" s="41">
        <v>16.1021985</v>
      </c>
    </row>
    <row r="80" spans="1:39" hidden="1" x14ac:dyDescent="0.3">
      <c r="A80" s="42">
        <v>76</v>
      </c>
      <c r="B80" s="43" t="s">
        <v>521</v>
      </c>
      <c r="C80" s="43" t="s">
        <v>4</v>
      </c>
      <c r="D80" s="43" t="s">
        <v>28</v>
      </c>
      <c r="E80" s="43" t="s">
        <v>28</v>
      </c>
      <c r="F80" s="44" t="s">
        <v>28</v>
      </c>
      <c r="G80" s="45">
        <v>2432</v>
      </c>
      <c r="H80" s="45">
        <v>988</v>
      </c>
      <c r="I80" s="45">
        <v>447</v>
      </c>
      <c r="J80" s="45">
        <v>997</v>
      </c>
      <c r="K80" s="45">
        <v>2950</v>
      </c>
      <c r="L80" s="45">
        <v>1734</v>
      </c>
      <c r="M80" s="45">
        <v>483</v>
      </c>
      <c r="N80" s="45">
        <v>733</v>
      </c>
      <c r="O80" s="45">
        <v>3069</v>
      </c>
      <c r="P80" s="45">
        <v>2063</v>
      </c>
      <c r="Q80" s="45">
        <v>416</v>
      </c>
      <c r="R80" s="45">
        <v>590</v>
      </c>
      <c r="S80" s="46">
        <v>40.625</v>
      </c>
      <c r="T80" s="46">
        <v>18.379934200000001</v>
      </c>
      <c r="U80" s="46">
        <v>40.995065799999999</v>
      </c>
      <c r="V80" s="46">
        <v>58.779660999999997</v>
      </c>
      <c r="W80" s="46">
        <v>16.372881400000001</v>
      </c>
      <c r="X80" s="46">
        <v>24.847457599999998</v>
      </c>
      <c r="Y80" s="46">
        <v>67.220592999999994</v>
      </c>
      <c r="Z80" s="46">
        <v>13.554903899999999</v>
      </c>
      <c r="AA80" s="46">
        <v>19.2245031</v>
      </c>
      <c r="AB80" s="26">
        <f>SUM(W80:X80)</f>
        <v>41.220338999999996</v>
      </c>
      <c r="AC80" s="26">
        <f>SUM(Z80:AA80)</f>
        <v>32.779406999999999</v>
      </c>
      <c r="AD80" s="57">
        <f>M80+N80</f>
        <v>1216</v>
      </c>
      <c r="AE80" s="57">
        <f>Q80+R80</f>
        <v>1006</v>
      </c>
      <c r="AF80" s="26">
        <f>W80</f>
        <v>16.372881400000001</v>
      </c>
      <c r="AG80" s="26">
        <f>Z80</f>
        <v>13.554903899999999</v>
      </c>
      <c r="AH80" s="26">
        <f>M80</f>
        <v>483</v>
      </c>
      <c r="AI80" s="26">
        <f>Q80</f>
        <v>416</v>
      </c>
      <c r="AJ80" s="26">
        <f>X80</f>
        <v>24.847457599999998</v>
      </c>
      <c r="AK80" s="26">
        <f>AA80</f>
        <v>19.2245031</v>
      </c>
      <c r="AL80" s="57">
        <f>N80</f>
        <v>733</v>
      </c>
      <c r="AM80" s="57">
        <f>R80</f>
        <v>590</v>
      </c>
    </row>
    <row r="81" spans="1:39" hidden="1" x14ac:dyDescent="0.3">
      <c r="A81" s="37">
        <v>77</v>
      </c>
      <c r="B81" s="38" t="s">
        <v>521</v>
      </c>
      <c r="C81" s="38" t="s">
        <v>4</v>
      </c>
      <c r="D81" s="38" t="s">
        <v>28</v>
      </c>
      <c r="E81" s="38" t="s">
        <v>28</v>
      </c>
      <c r="F81" s="47" t="s">
        <v>519</v>
      </c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1"/>
      <c r="T81" s="41"/>
      <c r="U81" s="41"/>
      <c r="V81" s="41"/>
      <c r="W81" s="41"/>
      <c r="X81" s="41"/>
      <c r="Y81" s="41"/>
      <c r="Z81" s="41"/>
      <c r="AA81" s="41"/>
    </row>
    <row r="82" spans="1:39" hidden="1" x14ac:dyDescent="0.3">
      <c r="A82" s="37">
        <v>78</v>
      </c>
      <c r="B82" s="38" t="s">
        <v>521</v>
      </c>
      <c r="C82" s="38" t="s">
        <v>4</v>
      </c>
      <c r="D82" s="38" t="s">
        <v>28</v>
      </c>
      <c r="E82" s="38" t="s">
        <v>28</v>
      </c>
      <c r="F82" s="47" t="s">
        <v>520</v>
      </c>
      <c r="G82" s="40">
        <v>2432</v>
      </c>
      <c r="H82" s="40">
        <v>988</v>
      </c>
      <c r="I82" s="40">
        <v>447</v>
      </c>
      <c r="J82" s="40">
        <v>997</v>
      </c>
      <c r="K82" s="40">
        <v>2950</v>
      </c>
      <c r="L82" s="40">
        <v>1734</v>
      </c>
      <c r="M82" s="40">
        <v>483</v>
      </c>
      <c r="N82" s="40">
        <v>733</v>
      </c>
      <c r="O82" s="40">
        <v>3069</v>
      </c>
      <c r="P82" s="40">
        <v>2063</v>
      </c>
      <c r="Q82" s="40">
        <v>416</v>
      </c>
      <c r="R82" s="40">
        <v>590</v>
      </c>
      <c r="S82" s="41">
        <v>40.625</v>
      </c>
      <c r="T82" s="41">
        <v>18.379934200000001</v>
      </c>
      <c r="U82" s="41">
        <v>40.995065799999999</v>
      </c>
      <c r="V82" s="41">
        <v>58.779660999999997</v>
      </c>
      <c r="W82" s="41">
        <v>16.372881400000001</v>
      </c>
      <c r="X82" s="41">
        <v>24.847457599999998</v>
      </c>
      <c r="Y82" s="41">
        <v>67.220592999999994</v>
      </c>
      <c r="Z82" s="41">
        <v>13.554903899999999</v>
      </c>
      <c r="AA82" s="41">
        <v>19.2245031</v>
      </c>
    </row>
    <row r="83" spans="1:39" hidden="1" x14ac:dyDescent="0.3">
      <c r="A83" s="32">
        <v>79</v>
      </c>
      <c r="B83" s="33" t="s">
        <v>1</v>
      </c>
      <c r="C83" s="33" t="s">
        <v>4</v>
      </c>
      <c r="D83" s="33" t="s">
        <v>30</v>
      </c>
      <c r="E83" s="33"/>
      <c r="F83" s="34" t="s">
        <v>30</v>
      </c>
      <c r="G83" s="35">
        <v>15451</v>
      </c>
      <c r="H83" s="35">
        <v>5491</v>
      </c>
      <c r="I83" s="35">
        <v>2984</v>
      </c>
      <c r="J83" s="35">
        <v>6976</v>
      </c>
      <c r="K83" s="35">
        <v>18587</v>
      </c>
      <c r="L83" s="35">
        <v>8609</v>
      </c>
      <c r="M83" s="35">
        <v>3292</v>
      </c>
      <c r="N83" s="35">
        <v>6686</v>
      </c>
      <c r="O83" s="35">
        <v>21769</v>
      </c>
      <c r="P83" s="35">
        <v>13544</v>
      </c>
      <c r="Q83" s="35">
        <v>3282</v>
      </c>
      <c r="R83" s="35">
        <v>4943</v>
      </c>
      <c r="S83" s="36">
        <v>35.5381529</v>
      </c>
      <c r="T83" s="36">
        <v>19.312665800000001</v>
      </c>
      <c r="U83" s="36">
        <v>45.149181300000002</v>
      </c>
      <c r="V83" s="36">
        <v>46.3173186</v>
      </c>
      <c r="W83" s="36">
        <v>17.711303600000001</v>
      </c>
      <c r="X83" s="36">
        <v>35.971377799999999</v>
      </c>
      <c r="Y83" s="36">
        <v>62.216914000000003</v>
      </c>
      <c r="Z83" s="36">
        <v>15.076484900000001</v>
      </c>
      <c r="AA83" s="36">
        <v>22.7066011</v>
      </c>
    </row>
    <row r="84" spans="1:39" hidden="1" x14ac:dyDescent="0.3">
      <c r="A84" s="37">
        <v>80</v>
      </c>
      <c r="B84" s="38" t="s">
        <v>1</v>
      </c>
      <c r="C84" s="38" t="s">
        <v>4</v>
      </c>
      <c r="D84" s="38" t="s">
        <v>30</v>
      </c>
      <c r="E84" s="38"/>
      <c r="F84" s="39" t="s">
        <v>519</v>
      </c>
      <c r="G84" s="40">
        <v>1078</v>
      </c>
      <c r="H84" s="40">
        <v>554</v>
      </c>
      <c r="I84" s="40">
        <v>222</v>
      </c>
      <c r="J84" s="40">
        <v>302</v>
      </c>
      <c r="K84" s="40">
        <v>2069</v>
      </c>
      <c r="L84" s="40">
        <v>1277</v>
      </c>
      <c r="M84" s="40">
        <v>363</v>
      </c>
      <c r="N84" s="40">
        <v>429</v>
      </c>
      <c r="O84" s="40">
        <v>4332</v>
      </c>
      <c r="P84" s="40">
        <v>3065</v>
      </c>
      <c r="Q84" s="40">
        <v>571</v>
      </c>
      <c r="R84" s="40">
        <v>696</v>
      </c>
      <c r="S84" s="41">
        <v>51.391465699999998</v>
      </c>
      <c r="T84" s="41">
        <v>20.593692000000001</v>
      </c>
      <c r="U84" s="41">
        <v>28.014842300000002</v>
      </c>
      <c r="V84" s="41">
        <v>61.720638000000001</v>
      </c>
      <c r="W84" s="41">
        <v>17.544707599999999</v>
      </c>
      <c r="X84" s="41">
        <v>20.7346544</v>
      </c>
      <c r="Y84" s="41">
        <v>70.752539200000001</v>
      </c>
      <c r="Z84" s="41">
        <v>13.1809788</v>
      </c>
      <c r="AA84" s="41">
        <v>16.066482000000001</v>
      </c>
    </row>
    <row r="85" spans="1:39" hidden="1" x14ac:dyDescent="0.3">
      <c r="A85" s="37">
        <v>81</v>
      </c>
      <c r="B85" s="38" t="s">
        <v>1</v>
      </c>
      <c r="C85" s="38" t="s">
        <v>4</v>
      </c>
      <c r="D85" s="38" t="s">
        <v>30</v>
      </c>
      <c r="E85" s="38"/>
      <c r="F85" s="39" t="s">
        <v>520</v>
      </c>
      <c r="G85" s="40">
        <v>14373</v>
      </c>
      <c r="H85" s="40">
        <v>4937</v>
      </c>
      <c r="I85" s="40">
        <v>2762</v>
      </c>
      <c r="J85" s="40">
        <v>6674</v>
      </c>
      <c r="K85" s="40">
        <v>16518</v>
      </c>
      <c r="L85" s="40">
        <v>7332</v>
      </c>
      <c r="M85" s="40">
        <v>2929</v>
      </c>
      <c r="N85" s="40">
        <v>6257</v>
      </c>
      <c r="O85" s="40">
        <v>17437</v>
      </c>
      <c r="P85" s="40">
        <v>10479</v>
      </c>
      <c r="Q85" s="40">
        <v>2711</v>
      </c>
      <c r="R85" s="40">
        <v>4247</v>
      </c>
      <c r="S85" s="41">
        <v>34.349126800000001</v>
      </c>
      <c r="T85" s="41">
        <v>19.216586700000001</v>
      </c>
      <c r="U85" s="41">
        <v>46.434286499999999</v>
      </c>
      <c r="V85" s="41">
        <v>44.387940399999998</v>
      </c>
      <c r="W85" s="41">
        <v>17.732171000000001</v>
      </c>
      <c r="X85" s="41">
        <v>37.879888600000001</v>
      </c>
      <c r="Y85" s="41">
        <v>60.096346799999999</v>
      </c>
      <c r="Z85" s="41">
        <v>15.547399199999999</v>
      </c>
      <c r="AA85" s="41">
        <v>24.356253899999999</v>
      </c>
    </row>
    <row r="86" spans="1:39" hidden="1" x14ac:dyDescent="0.3">
      <c r="A86" s="42">
        <v>82</v>
      </c>
      <c r="B86" s="43" t="s">
        <v>521</v>
      </c>
      <c r="C86" s="43" t="s">
        <v>4</v>
      </c>
      <c r="D86" s="43" t="s">
        <v>30</v>
      </c>
      <c r="E86" s="43" t="s">
        <v>31</v>
      </c>
      <c r="F86" s="44" t="s">
        <v>31</v>
      </c>
      <c r="G86" s="45">
        <v>3442</v>
      </c>
      <c r="H86" s="45">
        <v>1525</v>
      </c>
      <c r="I86" s="45">
        <v>674</v>
      </c>
      <c r="J86" s="45">
        <v>1243</v>
      </c>
      <c r="K86" s="45">
        <v>4325</v>
      </c>
      <c r="L86" s="45">
        <v>2554</v>
      </c>
      <c r="M86" s="45">
        <v>721</v>
      </c>
      <c r="N86" s="45">
        <v>1050</v>
      </c>
      <c r="O86" s="45">
        <v>5047</v>
      </c>
      <c r="P86" s="45">
        <v>3643</v>
      </c>
      <c r="Q86" s="45">
        <v>625</v>
      </c>
      <c r="R86" s="45">
        <v>779</v>
      </c>
      <c r="S86" s="46">
        <v>44.305636300000003</v>
      </c>
      <c r="T86" s="46">
        <v>19.581638600000002</v>
      </c>
      <c r="U86" s="46">
        <v>36.1127252</v>
      </c>
      <c r="V86" s="46">
        <v>59.0520231</v>
      </c>
      <c r="W86" s="46">
        <v>16.670520199999999</v>
      </c>
      <c r="X86" s="46">
        <v>24.277456600000001</v>
      </c>
      <c r="Y86" s="46">
        <v>72.181494000000001</v>
      </c>
      <c r="Z86" s="46">
        <v>12.383594199999999</v>
      </c>
      <c r="AA86" s="46">
        <v>15.4349118</v>
      </c>
      <c r="AB86" s="26">
        <f>SUM(W86:X86)</f>
        <v>40.947976799999999</v>
      </c>
      <c r="AC86" s="26">
        <f>SUM(Z86:AA86)</f>
        <v>27.818505999999999</v>
      </c>
      <c r="AD86" s="57">
        <f>M86+N86</f>
        <v>1771</v>
      </c>
      <c r="AE86" s="57">
        <f>Q86+R86</f>
        <v>1404</v>
      </c>
      <c r="AF86" s="26">
        <f>W86</f>
        <v>16.670520199999999</v>
      </c>
      <c r="AG86" s="26">
        <f>Z86</f>
        <v>12.383594199999999</v>
      </c>
      <c r="AH86" s="26">
        <f>M86</f>
        <v>721</v>
      </c>
      <c r="AI86" s="26">
        <f>Q86</f>
        <v>625</v>
      </c>
      <c r="AJ86" s="26">
        <f>X86</f>
        <v>24.277456600000001</v>
      </c>
      <c r="AK86" s="26">
        <f>AA86</f>
        <v>15.4349118</v>
      </c>
      <c r="AL86" s="57">
        <f>N86</f>
        <v>1050</v>
      </c>
      <c r="AM86" s="57">
        <f>R86</f>
        <v>779</v>
      </c>
    </row>
    <row r="87" spans="1:39" hidden="1" x14ac:dyDescent="0.3">
      <c r="A87" s="37">
        <v>83</v>
      </c>
      <c r="B87" s="38" t="s">
        <v>521</v>
      </c>
      <c r="C87" s="38" t="s">
        <v>4</v>
      </c>
      <c r="D87" s="38" t="s">
        <v>30</v>
      </c>
      <c r="E87" s="38" t="s">
        <v>31</v>
      </c>
      <c r="F87" s="47" t="s">
        <v>519</v>
      </c>
      <c r="G87" s="40">
        <v>1078</v>
      </c>
      <c r="H87" s="40">
        <v>554</v>
      </c>
      <c r="I87" s="40">
        <v>222</v>
      </c>
      <c r="J87" s="40">
        <v>302</v>
      </c>
      <c r="K87" s="40">
        <v>1492</v>
      </c>
      <c r="L87" s="40">
        <v>1002</v>
      </c>
      <c r="M87" s="40">
        <v>241</v>
      </c>
      <c r="N87" s="40">
        <v>249</v>
      </c>
      <c r="O87" s="40">
        <v>1817</v>
      </c>
      <c r="P87" s="40">
        <v>1428</v>
      </c>
      <c r="Q87" s="40">
        <v>191</v>
      </c>
      <c r="R87" s="40">
        <v>198</v>
      </c>
      <c r="S87" s="41">
        <v>51.391465699999998</v>
      </c>
      <c r="T87" s="41">
        <v>20.593692000000001</v>
      </c>
      <c r="U87" s="41">
        <v>28.014842300000002</v>
      </c>
      <c r="V87" s="41">
        <v>67.158176900000001</v>
      </c>
      <c r="W87" s="41">
        <v>16.152815</v>
      </c>
      <c r="X87" s="41">
        <v>16.689008000000001</v>
      </c>
      <c r="Y87" s="41">
        <v>78.591084199999997</v>
      </c>
      <c r="Z87" s="41">
        <v>10.511832699999999</v>
      </c>
      <c r="AA87" s="41">
        <v>10.8970831</v>
      </c>
    </row>
    <row r="88" spans="1:39" hidden="1" x14ac:dyDescent="0.3">
      <c r="A88" s="37">
        <v>84</v>
      </c>
      <c r="B88" s="38" t="s">
        <v>521</v>
      </c>
      <c r="C88" s="38" t="s">
        <v>4</v>
      </c>
      <c r="D88" s="38" t="s">
        <v>30</v>
      </c>
      <c r="E88" s="38" t="s">
        <v>31</v>
      </c>
      <c r="F88" s="47" t="s">
        <v>520</v>
      </c>
      <c r="G88" s="40">
        <v>2364</v>
      </c>
      <c r="H88" s="40">
        <v>971</v>
      </c>
      <c r="I88" s="40">
        <v>452</v>
      </c>
      <c r="J88" s="40">
        <v>941</v>
      </c>
      <c r="K88" s="40">
        <v>2833</v>
      </c>
      <c r="L88" s="40">
        <v>1552</v>
      </c>
      <c r="M88" s="40">
        <v>480</v>
      </c>
      <c r="N88" s="40">
        <v>801</v>
      </c>
      <c r="O88" s="40">
        <v>3230</v>
      </c>
      <c r="P88" s="40">
        <v>2215</v>
      </c>
      <c r="Q88" s="40">
        <v>434</v>
      </c>
      <c r="R88" s="40">
        <v>581</v>
      </c>
      <c r="S88" s="41">
        <v>41.0744501</v>
      </c>
      <c r="T88" s="41">
        <v>19.120135399999999</v>
      </c>
      <c r="U88" s="41">
        <v>39.805414599999999</v>
      </c>
      <c r="V88" s="41">
        <v>54.782915600000003</v>
      </c>
      <c r="W88" s="41">
        <v>16.9431698</v>
      </c>
      <c r="X88" s="41">
        <v>28.273914600000001</v>
      </c>
      <c r="Y88" s="41">
        <v>68.575851400000005</v>
      </c>
      <c r="Z88" s="41">
        <v>13.4365325</v>
      </c>
      <c r="AA88" s="41">
        <v>17.9876161</v>
      </c>
    </row>
    <row r="89" spans="1:39" hidden="1" x14ac:dyDescent="0.3">
      <c r="A89" s="42">
        <v>85</v>
      </c>
      <c r="B89" s="43" t="s">
        <v>521</v>
      </c>
      <c r="C89" s="43" t="s">
        <v>4</v>
      </c>
      <c r="D89" s="43" t="s">
        <v>30</v>
      </c>
      <c r="E89" s="43" t="s">
        <v>32</v>
      </c>
      <c r="F89" s="44" t="s">
        <v>32</v>
      </c>
      <c r="G89" s="45">
        <v>7313</v>
      </c>
      <c r="H89" s="45">
        <v>2661</v>
      </c>
      <c r="I89" s="45">
        <v>1412</v>
      </c>
      <c r="J89" s="45">
        <v>3240</v>
      </c>
      <c r="K89" s="45">
        <v>8008</v>
      </c>
      <c r="L89" s="45">
        <v>3802</v>
      </c>
      <c r="M89" s="45">
        <v>1360</v>
      </c>
      <c r="N89" s="45">
        <v>2846</v>
      </c>
      <c r="O89" s="45">
        <v>8651</v>
      </c>
      <c r="P89" s="45">
        <v>5639</v>
      </c>
      <c r="Q89" s="45">
        <v>1231</v>
      </c>
      <c r="R89" s="45">
        <v>1781</v>
      </c>
      <c r="S89" s="46">
        <v>36.387255600000003</v>
      </c>
      <c r="T89" s="46">
        <v>19.3080815</v>
      </c>
      <c r="U89" s="46">
        <v>44.304662899999997</v>
      </c>
      <c r="V89" s="46">
        <v>47.477522499999999</v>
      </c>
      <c r="W89" s="46">
        <v>16.983017</v>
      </c>
      <c r="X89" s="46">
        <v>35.539460499999997</v>
      </c>
      <c r="Y89" s="46">
        <v>65.183215799999999</v>
      </c>
      <c r="Z89" s="46">
        <v>14.229568799999999</v>
      </c>
      <c r="AA89" s="46">
        <v>20.587215400000002</v>
      </c>
      <c r="AB89" s="26">
        <f>SUM(W89:X89)</f>
        <v>52.522477499999994</v>
      </c>
      <c r="AC89" s="26">
        <f>SUM(Z89:AA89)</f>
        <v>34.816784200000001</v>
      </c>
      <c r="AD89" s="57">
        <f>M89+N89</f>
        <v>4206</v>
      </c>
      <c r="AE89" s="57">
        <f>Q89+R89</f>
        <v>3012</v>
      </c>
      <c r="AF89" s="26">
        <f>W89</f>
        <v>16.983017</v>
      </c>
      <c r="AG89" s="26">
        <f>Z89</f>
        <v>14.229568799999999</v>
      </c>
      <c r="AH89" s="26">
        <f>M89</f>
        <v>1360</v>
      </c>
      <c r="AI89" s="26">
        <f>Q89</f>
        <v>1231</v>
      </c>
      <c r="AJ89" s="26">
        <f>X89</f>
        <v>35.539460499999997</v>
      </c>
      <c r="AK89" s="26">
        <f>AA89</f>
        <v>20.587215400000002</v>
      </c>
      <c r="AL89" s="57">
        <f>N89</f>
        <v>2846</v>
      </c>
      <c r="AM89" s="57">
        <f>R89</f>
        <v>1781</v>
      </c>
    </row>
    <row r="90" spans="1:39" hidden="1" x14ac:dyDescent="0.3">
      <c r="A90" s="37">
        <v>86</v>
      </c>
      <c r="B90" s="38" t="s">
        <v>521</v>
      </c>
      <c r="C90" s="38" t="s">
        <v>4</v>
      </c>
      <c r="D90" s="38" t="s">
        <v>30</v>
      </c>
      <c r="E90" s="38" t="s">
        <v>32</v>
      </c>
      <c r="F90" s="47" t="s">
        <v>519</v>
      </c>
      <c r="G90" s="40"/>
      <c r="H90" s="40"/>
      <c r="I90" s="40"/>
      <c r="J90" s="40"/>
      <c r="K90" s="40"/>
      <c r="L90" s="40"/>
      <c r="M90" s="40"/>
      <c r="N90" s="40"/>
      <c r="O90" s="40">
        <v>990</v>
      </c>
      <c r="P90" s="40">
        <v>701</v>
      </c>
      <c r="Q90" s="40">
        <v>125</v>
      </c>
      <c r="R90" s="40">
        <v>164</v>
      </c>
      <c r="S90" s="41"/>
      <c r="T90" s="41"/>
      <c r="U90" s="41"/>
      <c r="V90" s="41"/>
      <c r="W90" s="41"/>
      <c r="X90" s="41"/>
      <c r="Y90" s="41">
        <v>70.808080799999999</v>
      </c>
      <c r="Z90" s="41">
        <v>12.6262626</v>
      </c>
      <c r="AA90" s="41">
        <v>16.565656600000001</v>
      </c>
    </row>
    <row r="91" spans="1:39" hidden="1" x14ac:dyDescent="0.3">
      <c r="A91" s="37">
        <v>87</v>
      </c>
      <c r="B91" s="38" t="s">
        <v>521</v>
      </c>
      <c r="C91" s="38" t="s">
        <v>4</v>
      </c>
      <c r="D91" s="38" t="s">
        <v>30</v>
      </c>
      <c r="E91" s="38" t="s">
        <v>32</v>
      </c>
      <c r="F91" s="47" t="s">
        <v>520</v>
      </c>
      <c r="G91" s="40">
        <v>7313</v>
      </c>
      <c r="H91" s="40">
        <v>2661</v>
      </c>
      <c r="I91" s="40">
        <v>1412</v>
      </c>
      <c r="J91" s="40">
        <v>3240</v>
      </c>
      <c r="K91" s="40">
        <v>8008</v>
      </c>
      <c r="L91" s="40">
        <v>3802</v>
      </c>
      <c r="M91" s="40">
        <v>1360</v>
      </c>
      <c r="N91" s="40">
        <v>2846</v>
      </c>
      <c r="O91" s="40">
        <v>7661</v>
      </c>
      <c r="P91" s="40">
        <v>4938</v>
      </c>
      <c r="Q91" s="40">
        <v>1106</v>
      </c>
      <c r="R91" s="40">
        <v>1617</v>
      </c>
      <c r="S91" s="41">
        <v>36.387255600000003</v>
      </c>
      <c r="T91" s="41">
        <v>19.3080815</v>
      </c>
      <c r="U91" s="41">
        <v>44.304662899999997</v>
      </c>
      <c r="V91" s="41">
        <v>47.477522499999999</v>
      </c>
      <c r="W91" s="41">
        <v>16.983017</v>
      </c>
      <c r="X91" s="41">
        <v>35.539460499999997</v>
      </c>
      <c r="Y91" s="41">
        <v>64.456337300000001</v>
      </c>
      <c r="Z91" s="41">
        <v>14.4367576</v>
      </c>
      <c r="AA91" s="41">
        <v>21.106905099999999</v>
      </c>
    </row>
    <row r="92" spans="1:39" hidden="1" x14ac:dyDescent="0.3">
      <c r="A92" s="42">
        <v>88</v>
      </c>
      <c r="B92" s="43" t="s">
        <v>521</v>
      </c>
      <c r="C92" s="43" t="s">
        <v>4</v>
      </c>
      <c r="D92" s="43" t="s">
        <v>30</v>
      </c>
      <c r="E92" s="43" t="s">
        <v>33</v>
      </c>
      <c r="F92" s="44" t="s">
        <v>33</v>
      </c>
      <c r="G92" s="45">
        <v>2065</v>
      </c>
      <c r="H92" s="45">
        <v>504</v>
      </c>
      <c r="I92" s="45">
        <v>371</v>
      </c>
      <c r="J92" s="45">
        <v>1190</v>
      </c>
      <c r="K92" s="45">
        <v>2779</v>
      </c>
      <c r="L92" s="45">
        <v>1004</v>
      </c>
      <c r="M92" s="45">
        <v>530</v>
      </c>
      <c r="N92" s="45">
        <v>1245</v>
      </c>
      <c r="O92" s="45">
        <v>4071</v>
      </c>
      <c r="P92" s="45">
        <v>1978</v>
      </c>
      <c r="Q92" s="45">
        <v>743</v>
      </c>
      <c r="R92" s="45">
        <v>1350</v>
      </c>
      <c r="S92" s="46">
        <v>24.406779700000001</v>
      </c>
      <c r="T92" s="46">
        <v>17.966101699999999</v>
      </c>
      <c r="U92" s="46">
        <v>57.627118600000003</v>
      </c>
      <c r="V92" s="46">
        <v>36.128103600000003</v>
      </c>
      <c r="W92" s="46">
        <v>19.0716085</v>
      </c>
      <c r="X92" s="46">
        <v>44.800287900000001</v>
      </c>
      <c r="Y92" s="46">
        <v>48.587570599999999</v>
      </c>
      <c r="Z92" s="46">
        <v>18.251044</v>
      </c>
      <c r="AA92" s="46">
        <v>33.1613854</v>
      </c>
      <c r="AB92" s="26">
        <f>SUM(W92:X92)</f>
        <v>63.871896399999997</v>
      </c>
      <c r="AC92" s="26">
        <f>SUM(Z92:AA92)</f>
        <v>51.412429400000001</v>
      </c>
      <c r="AD92" s="57">
        <f>M92+N92</f>
        <v>1775</v>
      </c>
      <c r="AE92" s="57">
        <f>Q92+R92</f>
        <v>2093</v>
      </c>
      <c r="AF92" s="26">
        <f>W92</f>
        <v>19.0716085</v>
      </c>
      <c r="AG92" s="26">
        <f>Z92</f>
        <v>18.251044</v>
      </c>
      <c r="AH92" s="26">
        <f>M92</f>
        <v>530</v>
      </c>
      <c r="AI92" s="26">
        <f>Q92</f>
        <v>743</v>
      </c>
      <c r="AJ92" s="26">
        <f>X92</f>
        <v>44.800287900000001</v>
      </c>
      <c r="AK92" s="26">
        <f>AA92</f>
        <v>33.1613854</v>
      </c>
      <c r="AL92" s="57">
        <f>N92</f>
        <v>1245</v>
      </c>
      <c r="AM92" s="57">
        <f>R92</f>
        <v>1350</v>
      </c>
    </row>
    <row r="93" spans="1:39" hidden="1" x14ac:dyDescent="0.3">
      <c r="A93" s="37">
        <v>89</v>
      </c>
      <c r="B93" s="38" t="s">
        <v>521</v>
      </c>
      <c r="C93" s="38" t="s">
        <v>4</v>
      </c>
      <c r="D93" s="38" t="s">
        <v>30</v>
      </c>
      <c r="E93" s="38" t="s">
        <v>33</v>
      </c>
      <c r="F93" s="47" t="s">
        <v>519</v>
      </c>
      <c r="G93" s="40"/>
      <c r="H93" s="40"/>
      <c r="I93" s="40"/>
      <c r="J93" s="40"/>
      <c r="K93" s="40"/>
      <c r="L93" s="40"/>
      <c r="M93" s="40"/>
      <c r="N93" s="40"/>
      <c r="O93" s="40">
        <v>700</v>
      </c>
      <c r="P93" s="40">
        <v>386</v>
      </c>
      <c r="Q93" s="40">
        <v>121</v>
      </c>
      <c r="R93" s="40">
        <v>193</v>
      </c>
      <c r="S93" s="41"/>
      <c r="T93" s="41"/>
      <c r="U93" s="41"/>
      <c r="V93" s="41"/>
      <c r="W93" s="41"/>
      <c r="X93" s="41"/>
      <c r="Y93" s="41">
        <v>55.142857100000001</v>
      </c>
      <c r="Z93" s="41">
        <v>17.285714299999999</v>
      </c>
      <c r="AA93" s="41">
        <v>27.571428600000001</v>
      </c>
    </row>
    <row r="94" spans="1:39" hidden="1" x14ac:dyDescent="0.3">
      <c r="A94" s="37">
        <v>90</v>
      </c>
      <c r="B94" s="38" t="s">
        <v>521</v>
      </c>
      <c r="C94" s="38" t="s">
        <v>4</v>
      </c>
      <c r="D94" s="38" t="s">
        <v>30</v>
      </c>
      <c r="E94" s="38" t="s">
        <v>33</v>
      </c>
      <c r="F94" s="47" t="s">
        <v>520</v>
      </c>
      <c r="G94" s="40">
        <v>2065</v>
      </c>
      <c r="H94" s="40">
        <v>504</v>
      </c>
      <c r="I94" s="40">
        <v>371</v>
      </c>
      <c r="J94" s="40">
        <v>1190</v>
      </c>
      <c r="K94" s="40">
        <v>2779</v>
      </c>
      <c r="L94" s="40">
        <v>1004</v>
      </c>
      <c r="M94" s="40">
        <v>530</v>
      </c>
      <c r="N94" s="40">
        <v>1245</v>
      </c>
      <c r="O94" s="40">
        <v>3371</v>
      </c>
      <c r="P94" s="40">
        <v>1592</v>
      </c>
      <c r="Q94" s="40">
        <v>622</v>
      </c>
      <c r="R94" s="40">
        <v>1157</v>
      </c>
      <c r="S94" s="41">
        <v>24.406779700000001</v>
      </c>
      <c r="T94" s="41">
        <v>17.966101699999999</v>
      </c>
      <c r="U94" s="41">
        <v>57.627118600000003</v>
      </c>
      <c r="V94" s="41">
        <v>36.128103600000003</v>
      </c>
      <c r="W94" s="41">
        <v>19.0716085</v>
      </c>
      <c r="X94" s="41">
        <v>44.800287900000001</v>
      </c>
      <c r="Y94" s="41">
        <v>47.226342299999999</v>
      </c>
      <c r="Z94" s="41">
        <v>18.451498099999998</v>
      </c>
      <c r="AA94" s="41">
        <v>34.322159599999999</v>
      </c>
    </row>
    <row r="95" spans="1:39" hidden="1" x14ac:dyDescent="0.3">
      <c r="A95" s="42">
        <v>91</v>
      </c>
      <c r="B95" s="43" t="s">
        <v>521</v>
      </c>
      <c r="C95" s="43" t="s">
        <v>4</v>
      </c>
      <c r="D95" s="43" t="s">
        <v>30</v>
      </c>
      <c r="E95" s="43" t="s">
        <v>34</v>
      </c>
      <c r="F95" s="44" t="s">
        <v>34</v>
      </c>
      <c r="G95" s="45">
        <v>2631</v>
      </c>
      <c r="H95" s="45">
        <v>801</v>
      </c>
      <c r="I95" s="45">
        <v>527</v>
      </c>
      <c r="J95" s="45">
        <v>1303</v>
      </c>
      <c r="K95" s="45">
        <v>3475</v>
      </c>
      <c r="L95" s="45">
        <v>1249</v>
      </c>
      <c r="M95" s="45">
        <v>681</v>
      </c>
      <c r="N95" s="45">
        <v>1545</v>
      </c>
      <c r="O95" s="45">
        <v>4000</v>
      </c>
      <c r="P95" s="45">
        <v>2284</v>
      </c>
      <c r="Q95" s="45">
        <v>683</v>
      </c>
      <c r="R95" s="45">
        <v>1033</v>
      </c>
      <c r="S95" s="46">
        <v>30.4446978</v>
      </c>
      <c r="T95" s="46">
        <v>20.0304067</v>
      </c>
      <c r="U95" s="46">
        <v>49.5248955</v>
      </c>
      <c r="V95" s="46">
        <v>35.942445999999997</v>
      </c>
      <c r="W95" s="46">
        <v>19.597122299999999</v>
      </c>
      <c r="X95" s="46">
        <v>44.460431700000001</v>
      </c>
      <c r="Y95" s="46">
        <v>57.1</v>
      </c>
      <c r="Z95" s="46">
        <v>17.074999999999999</v>
      </c>
      <c r="AA95" s="46">
        <v>25.824999999999999</v>
      </c>
      <c r="AB95" s="26">
        <f>SUM(W95:X95)</f>
        <v>64.057553999999996</v>
      </c>
      <c r="AC95" s="26">
        <f>SUM(Z95:AA95)</f>
        <v>42.9</v>
      </c>
      <c r="AD95" s="57">
        <f>M95+N95</f>
        <v>2226</v>
      </c>
      <c r="AE95" s="57">
        <f>Q95+R95</f>
        <v>1716</v>
      </c>
      <c r="AF95" s="26">
        <f>W95</f>
        <v>19.597122299999999</v>
      </c>
      <c r="AG95" s="26">
        <f>Z95</f>
        <v>17.074999999999999</v>
      </c>
      <c r="AH95" s="26">
        <f>M95</f>
        <v>681</v>
      </c>
      <c r="AI95" s="26">
        <f>Q95</f>
        <v>683</v>
      </c>
      <c r="AJ95" s="26">
        <f>X95</f>
        <v>44.460431700000001</v>
      </c>
      <c r="AK95" s="26">
        <f>AA95</f>
        <v>25.824999999999999</v>
      </c>
      <c r="AL95" s="57">
        <f>N95</f>
        <v>1545</v>
      </c>
      <c r="AM95" s="57">
        <f>R95</f>
        <v>1033</v>
      </c>
    </row>
    <row r="96" spans="1:39" hidden="1" x14ac:dyDescent="0.3">
      <c r="A96" s="37">
        <v>92</v>
      </c>
      <c r="B96" s="38" t="s">
        <v>521</v>
      </c>
      <c r="C96" s="38" t="s">
        <v>4</v>
      </c>
      <c r="D96" s="38" t="s">
        <v>30</v>
      </c>
      <c r="E96" s="38" t="s">
        <v>34</v>
      </c>
      <c r="F96" s="47" t="s">
        <v>519</v>
      </c>
      <c r="G96" s="40"/>
      <c r="H96" s="40"/>
      <c r="I96" s="40"/>
      <c r="J96" s="40"/>
      <c r="K96" s="40">
        <v>577</v>
      </c>
      <c r="L96" s="40">
        <v>275</v>
      </c>
      <c r="M96" s="40">
        <v>122</v>
      </c>
      <c r="N96" s="40">
        <v>180</v>
      </c>
      <c r="O96" s="40">
        <v>825</v>
      </c>
      <c r="P96" s="40">
        <v>550</v>
      </c>
      <c r="Q96" s="40">
        <v>134</v>
      </c>
      <c r="R96" s="40">
        <v>141</v>
      </c>
      <c r="S96" s="41"/>
      <c r="T96" s="41"/>
      <c r="U96" s="41"/>
      <c r="V96" s="41">
        <v>47.660311999999998</v>
      </c>
      <c r="W96" s="41">
        <v>21.1438475</v>
      </c>
      <c r="X96" s="41">
        <v>31.1958406</v>
      </c>
      <c r="Y96" s="41">
        <v>66.666666699999993</v>
      </c>
      <c r="Z96" s="41">
        <v>16.242424199999999</v>
      </c>
      <c r="AA96" s="41">
        <v>17.090909100000001</v>
      </c>
    </row>
    <row r="97" spans="1:39" hidden="1" x14ac:dyDescent="0.3">
      <c r="A97" s="37">
        <v>93</v>
      </c>
      <c r="B97" s="38" t="s">
        <v>521</v>
      </c>
      <c r="C97" s="38" t="s">
        <v>4</v>
      </c>
      <c r="D97" s="38" t="s">
        <v>30</v>
      </c>
      <c r="E97" s="38" t="s">
        <v>34</v>
      </c>
      <c r="F97" s="47" t="s">
        <v>520</v>
      </c>
      <c r="G97" s="40">
        <v>2631</v>
      </c>
      <c r="H97" s="40">
        <v>801</v>
      </c>
      <c r="I97" s="40">
        <v>527</v>
      </c>
      <c r="J97" s="40">
        <v>1303</v>
      </c>
      <c r="K97" s="40">
        <v>2898</v>
      </c>
      <c r="L97" s="40">
        <v>974</v>
      </c>
      <c r="M97" s="40">
        <v>559</v>
      </c>
      <c r="N97" s="40">
        <v>1365</v>
      </c>
      <c r="O97" s="40">
        <v>3175</v>
      </c>
      <c r="P97" s="40">
        <v>1734</v>
      </c>
      <c r="Q97" s="40">
        <v>549</v>
      </c>
      <c r="R97" s="40">
        <v>892</v>
      </c>
      <c r="S97" s="41">
        <v>30.4446978</v>
      </c>
      <c r="T97" s="41">
        <v>20.0304067</v>
      </c>
      <c r="U97" s="41">
        <v>49.5248955</v>
      </c>
      <c r="V97" s="41">
        <v>33.609385799999998</v>
      </c>
      <c r="W97" s="41">
        <v>19.289164899999999</v>
      </c>
      <c r="X97" s="41">
        <v>47.101449299999999</v>
      </c>
      <c r="Y97" s="41">
        <v>54.614173200000003</v>
      </c>
      <c r="Z97" s="41">
        <v>17.2913386</v>
      </c>
      <c r="AA97" s="41">
        <v>28.094488200000001</v>
      </c>
    </row>
    <row r="98" spans="1:39" hidden="1" x14ac:dyDescent="0.3">
      <c r="A98" s="32">
        <v>94</v>
      </c>
      <c r="B98" s="33" t="s">
        <v>1</v>
      </c>
      <c r="C98" s="33" t="s">
        <v>4</v>
      </c>
      <c r="D98" s="33" t="s">
        <v>35</v>
      </c>
      <c r="E98" s="33"/>
      <c r="F98" s="34" t="s">
        <v>35</v>
      </c>
      <c r="G98" s="35">
        <v>2860</v>
      </c>
      <c r="H98" s="35">
        <v>1108</v>
      </c>
      <c r="I98" s="35">
        <v>534</v>
      </c>
      <c r="J98" s="35">
        <v>1218</v>
      </c>
      <c r="K98" s="35">
        <v>3196</v>
      </c>
      <c r="L98" s="35">
        <v>1733</v>
      </c>
      <c r="M98" s="35">
        <v>597</v>
      </c>
      <c r="N98" s="35">
        <v>866</v>
      </c>
      <c r="O98" s="35">
        <v>3187</v>
      </c>
      <c r="P98" s="35">
        <v>2298</v>
      </c>
      <c r="Q98" s="35">
        <v>433</v>
      </c>
      <c r="R98" s="35">
        <v>456</v>
      </c>
      <c r="S98" s="36">
        <v>38.741258700000003</v>
      </c>
      <c r="T98" s="36">
        <v>18.6713287</v>
      </c>
      <c r="U98" s="36">
        <v>42.5874126</v>
      </c>
      <c r="V98" s="36">
        <v>54.224029999999999</v>
      </c>
      <c r="W98" s="36">
        <v>18.679599499999998</v>
      </c>
      <c r="X98" s="36">
        <v>27.096370499999999</v>
      </c>
      <c r="Y98" s="36">
        <v>72.1054283</v>
      </c>
      <c r="Z98" s="36">
        <v>13.5864449</v>
      </c>
      <c r="AA98" s="36">
        <v>14.3081268</v>
      </c>
    </row>
    <row r="99" spans="1:39" hidden="1" x14ac:dyDescent="0.3">
      <c r="A99" s="37">
        <v>95</v>
      </c>
      <c r="B99" s="38" t="s">
        <v>1</v>
      </c>
      <c r="C99" s="38" t="s">
        <v>4</v>
      </c>
      <c r="D99" s="38" t="s">
        <v>35</v>
      </c>
      <c r="E99" s="38"/>
      <c r="F99" s="39" t="s">
        <v>519</v>
      </c>
      <c r="G99" s="40">
        <v>698</v>
      </c>
      <c r="H99" s="40">
        <v>397</v>
      </c>
      <c r="I99" s="40">
        <v>127</v>
      </c>
      <c r="J99" s="40">
        <v>174</v>
      </c>
      <c r="K99" s="40">
        <v>1035</v>
      </c>
      <c r="L99" s="40">
        <v>718</v>
      </c>
      <c r="M99" s="40">
        <v>146</v>
      </c>
      <c r="N99" s="40">
        <v>171</v>
      </c>
      <c r="O99" s="40">
        <v>1189</v>
      </c>
      <c r="P99" s="40">
        <v>925</v>
      </c>
      <c r="Q99" s="40">
        <v>124</v>
      </c>
      <c r="R99" s="40">
        <v>140</v>
      </c>
      <c r="S99" s="41">
        <v>56.876790800000002</v>
      </c>
      <c r="T99" s="41">
        <v>18.194842399999999</v>
      </c>
      <c r="U99" s="41">
        <v>24.928366799999999</v>
      </c>
      <c r="V99" s="41">
        <v>69.371980699999995</v>
      </c>
      <c r="W99" s="41">
        <v>14.1062802</v>
      </c>
      <c r="X99" s="41">
        <v>16.521739100000001</v>
      </c>
      <c r="Y99" s="41">
        <v>77.7964676</v>
      </c>
      <c r="Z99" s="41">
        <v>10.4289319</v>
      </c>
      <c r="AA99" s="41">
        <v>11.7746005</v>
      </c>
    </row>
    <row r="100" spans="1:39" hidden="1" x14ac:dyDescent="0.3">
      <c r="A100" s="37">
        <v>96</v>
      </c>
      <c r="B100" s="38" t="s">
        <v>1</v>
      </c>
      <c r="C100" s="38" t="s">
        <v>4</v>
      </c>
      <c r="D100" s="38" t="s">
        <v>35</v>
      </c>
      <c r="E100" s="38"/>
      <c r="F100" s="39" t="s">
        <v>520</v>
      </c>
      <c r="G100" s="40">
        <v>2162</v>
      </c>
      <c r="H100" s="40">
        <v>711</v>
      </c>
      <c r="I100" s="40">
        <v>407</v>
      </c>
      <c r="J100" s="40">
        <v>1044</v>
      </c>
      <c r="K100" s="40">
        <v>2161</v>
      </c>
      <c r="L100" s="40">
        <v>1015</v>
      </c>
      <c r="M100" s="40">
        <v>451</v>
      </c>
      <c r="N100" s="40">
        <v>695</v>
      </c>
      <c r="O100" s="40">
        <v>1998</v>
      </c>
      <c r="P100" s="40">
        <v>1373</v>
      </c>
      <c r="Q100" s="40">
        <v>309</v>
      </c>
      <c r="R100" s="40">
        <v>316</v>
      </c>
      <c r="S100" s="41">
        <v>32.886216500000003</v>
      </c>
      <c r="T100" s="41">
        <v>18.825161900000001</v>
      </c>
      <c r="U100" s="41">
        <v>48.288621599999999</v>
      </c>
      <c r="V100" s="41">
        <v>46.968995800000002</v>
      </c>
      <c r="W100" s="41">
        <v>20.869967599999999</v>
      </c>
      <c r="X100" s="41">
        <v>32.161036600000003</v>
      </c>
      <c r="Y100" s="41">
        <v>68.718718699999997</v>
      </c>
      <c r="Z100" s="41">
        <v>15.465465500000001</v>
      </c>
      <c r="AA100" s="41">
        <v>15.815815799999999</v>
      </c>
    </row>
    <row r="101" spans="1:39" hidden="1" x14ac:dyDescent="0.3">
      <c r="A101" s="42">
        <v>97</v>
      </c>
      <c r="B101" s="43" t="s">
        <v>521</v>
      </c>
      <c r="C101" s="43" t="s">
        <v>4</v>
      </c>
      <c r="D101" s="43" t="s">
        <v>35</v>
      </c>
      <c r="E101" s="43" t="s">
        <v>36</v>
      </c>
      <c r="F101" s="44" t="s">
        <v>36</v>
      </c>
      <c r="G101" s="45">
        <v>2860</v>
      </c>
      <c r="H101" s="45">
        <v>1108</v>
      </c>
      <c r="I101" s="45">
        <v>534</v>
      </c>
      <c r="J101" s="45">
        <v>1218</v>
      </c>
      <c r="K101" s="45">
        <v>3196</v>
      </c>
      <c r="L101" s="45">
        <v>1733</v>
      </c>
      <c r="M101" s="45">
        <v>597</v>
      </c>
      <c r="N101" s="45">
        <v>866</v>
      </c>
      <c r="O101" s="45">
        <v>3187</v>
      </c>
      <c r="P101" s="45">
        <v>2298</v>
      </c>
      <c r="Q101" s="45">
        <v>433</v>
      </c>
      <c r="R101" s="45">
        <v>456</v>
      </c>
      <c r="S101" s="46">
        <v>38.741258700000003</v>
      </c>
      <c r="T101" s="46">
        <v>18.6713287</v>
      </c>
      <c r="U101" s="46">
        <v>42.5874126</v>
      </c>
      <c r="V101" s="46">
        <v>54.224029999999999</v>
      </c>
      <c r="W101" s="46">
        <v>18.679599499999998</v>
      </c>
      <c r="X101" s="46">
        <v>27.096370499999999</v>
      </c>
      <c r="Y101" s="46">
        <v>72.1054283</v>
      </c>
      <c r="Z101" s="46">
        <v>13.5864449</v>
      </c>
      <c r="AA101" s="46">
        <v>14.3081268</v>
      </c>
      <c r="AB101" s="26">
        <f>SUM(W101:X101)</f>
        <v>45.775970000000001</v>
      </c>
      <c r="AC101" s="26">
        <f>SUM(Z101:AA101)</f>
        <v>27.8945717</v>
      </c>
      <c r="AD101" s="57">
        <f>M101+N101</f>
        <v>1463</v>
      </c>
      <c r="AE101" s="57">
        <f>Q101+R101</f>
        <v>889</v>
      </c>
      <c r="AF101" s="26">
        <f>W101</f>
        <v>18.679599499999998</v>
      </c>
      <c r="AG101" s="26">
        <f>Z101</f>
        <v>13.5864449</v>
      </c>
      <c r="AH101" s="26">
        <f>M101</f>
        <v>597</v>
      </c>
      <c r="AI101" s="26">
        <f>Q101</f>
        <v>433</v>
      </c>
      <c r="AJ101" s="26">
        <f>X101</f>
        <v>27.096370499999999</v>
      </c>
      <c r="AK101" s="26">
        <f>AA101</f>
        <v>14.3081268</v>
      </c>
      <c r="AL101" s="57">
        <f>N101</f>
        <v>866</v>
      </c>
      <c r="AM101" s="57">
        <f>R101</f>
        <v>456</v>
      </c>
    </row>
    <row r="102" spans="1:39" hidden="1" x14ac:dyDescent="0.3">
      <c r="A102" s="37">
        <v>98</v>
      </c>
      <c r="B102" s="38" t="s">
        <v>521</v>
      </c>
      <c r="C102" s="38" t="s">
        <v>4</v>
      </c>
      <c r="D102" s="38" t="s">
        <v>35</v>
      </c>
      <c r="E102" s="38" t="s">
        <v>36</v>
      </c>
      <c r="F102" s="47" t="s">
        <v>519</v>
      </c>
      <c r="G102" s="40">
        <v>698</v>
      </c>
      <c r="H102" s="40">
        <v>397</v>
      </c>
      <c r="I102" s="40">
        <v>127</v>
      </c>
      <c r="J102" s="40">
        <v>174</v>
      </c>
      <c r="K102" s="40">
        <v>1035</v>
      </c>
      <c r="L102" s="40">
        <v>718</v>
      </c>
      <c r="M102" s="40">
        <v>146</v>
      </c>
      <c r="N102" s="40">
        <v>171</v>
      </c>
      <c r="O102" s="40">
        <v>1189</v>
      </c>
      <c r="P102" s="40">
        <v>925</v>
      </c>
      <c r="Q102" s="40">
        <v>124</v>
      </c>
      <c r="R102" s="40">
        <v>140</v>
      </c>
      <c r="S102" s="41">
        <v>56.876790800000002</v>
      </c>
      <c r="T102" s="41">
        <v>18.194842399999999</v>
      </c>
      <c r="U102" s="41">
        <v>24.928366799999999</v>
      </c>
      <c r="V102" s="41">
        <v>69.371980699999995</v>
      </c>
      <c r="W102" s="41">
        <v>14.1062802</v>
      </c>
      <c r="X102" s="41">
        <v>16.521739100000001</v>
      </c>
      <c r="Y102" s="41">
        <v>77.7964676</v>
      </c>
      <c r="Z102" s="41">
        <v>10.4289319</v>
      </c>
      <c r="AA102" s="41">
        <v>11.7746005</v>
      </c>
    </row>
    <row r="103" spans="1:39" hidden="1" x14ac:dyDescent="0.3">
      <c r="A103" s="37">
        <v>99</v>
      </c>
      <c r="B103" s="38" t="s">
        <v>521</v>
      </c>
      <c r="C103" s="38" t="s">
        <v>4</v>
      </c>
      <c r="D103" s="38" t="s">
        <v>35</v>
      </c>
      <c r="E103" s="38" t="s">
        <v>36</v>
      </c>
      <c r="F103" s="47" t="s">
        <v>520</v>
      </c>
      <c r="G103" s="40">
        <v>2162</v>
      </c>
      <c r="H103" s="40">
        <v>711</v>
      </c>
      <c r="I103" s="40">
        <v>407</v>
      </c>
      <c r="J103" s="40">
        <v>1044</v>
      </c>
      <c r="K103" s="40">
        <v>2161</v>
      </c>
      <c r="L103" s="40">
        <v>1015</v>
      </c>
      <c r="M103" s="40">
        <v>451</v>
      </c>
      <c r="N103" s="40">
        <v>695</v>
      </c>
      <c r="O103" s="40">
        <v>1998</v>
      </c>
      <c r="P103" s="40">
        <v>1373</v>
      </c>
      <c r="Q103" s="40">
        <v>309</v>
      </c>
      <c r="R103" s="40">
        <v>316</v>
      </c>
      <c r="S103" s="41">
        <v>32.886216500000003</v>
      </c>
      <c r="T103" s="41">
        <v>18.825161900000001</v>
      </c>
      <c r="U103" s="41">
        <v>48.288621599999999</v>
      </c>
      <c r="V103" s="41">
        <v>46.968995800000002</v>
      </c>
      <c r="W103" s="41">
        <v>20.869967599999999</v>
      </c>
      <c r="X103" s="41">
        <v>32.161036600000003</v>
      </c>
      <c r="Y103" s="41">
        <v>68.718718699999997</v>
      </c>
      <c r="Z103" s="41">
        <v>15.465465500000001</v>
      </c>
      <c r="AA103" s="41">
        <v>15.815815799999999</v>
      </c>
    </row>
    <row r="104" spans="1:39" hidden="1" x14ac:dyDescent="0.3">
      <c r="A104" s="32">
        <v>100</v>
      </c>
      <c r="B104" s="33" t="s">
        <v>1</v>
      </c>
      <c r="C104" s="33" t="s">
        <v>4</v>
      </c>
      <c r="D104" s="33" t="s">
        <v>522</v>
      </c>
      <c r="E104" s="33"/>
      <c r="F104" s="34" t="s">
        <v>522</v>
      </c>
      <c r="G104" s="35">
        <v>5550</v>
      </c>
      <c r="H104" s="35">
        <v>2102</v>
      </c>
      <c r="I104" s="35">
        <v>1084</v>
      </c>
      <c r="J104" s="35">
        <v>2364</v>
      </c>
      <c r="K104" s="35">
        <v>6374</v>
      </c>
      <c r="L104" s="35">
        <v>3175</v>
      </c>
      <c r="M104" s="35">
        <v>1221</v>
      </c>
      <c r="N104" s="35">
        <v>1978</v>
      </c>
      <c r="O104" s="35">
        <v>7311</v>
      </c>
      <c r="P104" s="35">
        <v>4522</v>
      </c>
      <c r="Q104" s="35">
        <v>1241</v>
      </c>
      <c r="R104" s="35">
        <v>1548</v>
      </c>
      <c r="S104" s="36">
        <v>37.8738739</v>
      </c>
      <c r="T104" s="36">
        <v>19.5315315</v>
      </c>
      <c r="U104" s="36">
        <v>42.594594600000001</v>
      </c>
      <c r="V104" s="36">
        <v>49.811735200000001</v>
      </c>
      <c r="W104" s="36">
        <v>19.155946</v>
      </c>
      <c r="X104" s="36">
        <v>31.032318799999999</v>
      </c>
      <c r="Y104" s="36">
        <v>61.852003799999999</v>
      </c>
      <c r="Z104" s="36">
        <v>16.974422100000002</v>
      </c>
      <c r="AA104" s="36">
        <v>21.1735741</v>
      </c>
    </row>
    <row r="105" spans="1:39" hidden="1" x14ac:dyDescent="0.3">
      <c r="A105" s="37">
        <v>101</v>
      </c>
      <c r="B105" s="38" t="s">
        <v>1</v>
      </c>
      <c r="C105" s="38" t="s">
        <v>4</v>
      </c>
      <c r="D105" s="38" t="s">
        <v>522</v>
      </c>
      <c r="E105" s="38"/>
      <c r="F105" s="39" t="s">
        <v>519</v>
      </c>
      <c r="G105" s="40">
        <v>505</v>
      </c>
      <c r="H105" s="40">
        <v>240</v>
      </c>
      <c r="I105" s="40">
        <v>101</v>
      </c>
      <c r="J105" s="40">
        <v>164</v>
      </c>
      <c r="K105" s="40">
        <v>736</v>
      </c>
      <c r="L105" s="40">
        <v>444</v>
      </c>
      <c r="M105" s="40">
        <v>159</v>
      </c>
      <c r="N105" s="40">
        <v>133</v>
      </c>
      <c r="O105" s="40">
        <v>1645</v>
      </c>
      <c r="P105" s="40">
        <v>1120</v>
      </c>
      <c r="Q105" s="40">
        <v>230</v>
      </c>
      <c r="R105" s="40">
        <v>295</v>
      </c>
      <c r="S105" s="41">
        <v>47.524752499999998</v>
      </c>
      <c r="T105" s="41">
        <v>20</v>
      </c>
      <c r="U105" s="41">
        <v>32.475247500000002</v>
      </c>
      <c r="V105" s="41">
        <v>60.326087000000001</v>
      </c>
      <c r="W105" s="41">
        <v>21.603260899999999</v>
      </c>
      <c r="X105" s="41">
        <v>18.070652200000001</v>
      </c>
      <c r="Y105" s="41">
        <v>68.085106400000001</v>
      </c>
      <c r="Z105" s="41">
        <v>13.9817629</v>
      </c>
      <c r="AA105" s="41">
        <v>17.9331307</v>
      </c>
    </row>
    <row r="106" spans="1:39" hidden="1" x14ac:dyDescent="0.3">
      <c r="A106" s="37">
        <v>102</v>
      </c>
      <c r="B106" s="38" t="s">
        <v>1</v>
      </c>
      <c r="C106" s="38" t="s">
        <v>4</v>
      </c>
      <c r="D106" s="38" t="s">
        <v>522</v>
      </c>
      <c r="E106" s="38"/>
      <c r="F106" s="39" t="s">
        <v>520</v>
      </c>
      <c r="G106" s="40">
        <v>5045</v>
      </c>
      <c r="H106" s="40">
        <v>1862</v>
      </c>
      <c r="I106" s="40">
        <v>983</v>
      </c>
      <c r="J106" s="40">
        <v>2200</v>
      </c>
      <c r="K106" s="40">
        <v>5638</v>
      </c>
      <c r="L106" s="40">
        <v>2731</v>
      </c>
      <c r="M106" s="40">
        <v>1062</v>
      </c>
      <c r="N106" s="40">
        <v>1845</v>
      </c>
      <c r="O106" s="40">
        <v>5666</v>
      </c>
      <c r="P106" s="40">
        <v>3402</v>
      </c>
      <c r="Q106" s="40">
        <v>1011</v>
      </c>
      <c r="R106" s="40">
        <v>1253</v>
      </c>
      <c r="S106" s="41">
        <v>36.907829499999998</v>
      </c>
      <c r="T106" s="41">
        <v>19.4846383</v>
      </c>
      <c r="U106" s="41">
        <v>43.607532200000001</v>
      </c>
      <c r="V106" s="41">
        <v>48.439162799999998</v>
      </c>
      <c r="W106" s="41">
        <v>18.8364668</v>
      </c>
      <c r="X106" s="41">
        <v>32.724370299999997</v>
      </c>
      <c r="Y106" s="41">
        <v>60.042357899999999</v>
      </c>
      <c r="Z106" s="41">
        <v>17.8432757</v>
      </c>
      <c r="AA106" s="41">
        <v>22.114366400000002</v>
      </c>
    </row>
    <row r="107" spans="1:39" hidden="1" x14ac:dyDescent="0.3">
      <c r="A107" s="42">
        <v>103</v>
      </c>
      <c r="B107" s="43" t="s">
        <v>521</v>
      </c>
      <c r="C107" s="43" t="s">
        <v>4</v>
      </c>
      <c r="D107" s="43" t="s">
        <v>522</v>
      </c>
      <c r="E107" s="43" t="s">
        <v>38</v>
      </c>
      <c r="F107" s="44" t="s">
        <v>38</v>
      </c>
      <c r="G107" s="45">
        <v>755</v>
      </c>
      <c r="H107" s="45">
        <v>334</v>
      </c>
      <c r="I107" s="45">
        <v>130</v>
      </c>
      <c r="J107" s="45">
        <v>291</v>
      </c>
      <c r="K107" s="45">
        <v>965</v>
      </c>
      <c r="L107" s="45">
        <v>537</v>
      </c>
      <c r="M107" s="45">
        <v>160</v>
      </c>
      <c r="N107" s="45">
        <v>268</v>
      </c>
      <c r="O107" s="45">
        <v>1371</v>
      </c>
      <c r="P107" s="45">
        <v>763</v>
      </c>
      <c r="Q107" s="45">
        <v>238</v>
      </c>
      <c r="R107" s="45">
        <v>370</v>
      </c>
      <c r="S107" s="46">
        <v>44.238410600000002</v>
      </c>
      <c r="T107" s="46">
        <v>17.218543</v>
      </c>
      <c r="U107" s="46">
        <v>38.543046400000001</v>
      </c>
      <c r="V107" s="46">
        <v>55.647668400000001</v>
      </c>
      <c r="W107" s="46">
        <v>16.580310900000001</v>
      </c>
      <c r="X107" s="46">
        <v>27.772020699999999</v>
      </c>
      <c r="Y107" s="46">
        <v>55.652808200000003</v>
      </c>
      <c r="Z107" s="46">
        <v>17.359591500000001</v>
      </c>
      <c r="AA107" s="46">
        <v>26.9876003</v>
      </c>
      <c r="AB107" s="26">
        <f>SUM(W107:X107)</f>
        <v>44.352331599999999</v>
      </c>
      <c r="AC107" s="26">
        <f>SUM(Z107:AA107)</f>
        <v>44.347191800000004</v>
      </c>
      <c r="AD107" s="57">
        <f>M107+N107</f>
        <v>428</v>
      </c>
      <c r="AE107" s="57">
        <f>Q107+R107</f>
        <v>608</v>
      </c>
      <c r="AF107" s="26">
        <f>W107</f>
        <v>16.580310900000001</v>
      </c>
      <c r="AG107" s="26">
        <f>Z107</f>
        <v>17.359591500000001</v>
      </c>
      <c r="AH107" s="26">
        <f>M107</f>
        <v>160</v>
      </c>
      <c r="AI107" s="26">
        <f>Q107</f>
        <v>238</v>
      </c>
      <c r="AJ107" s="26">
        <f>X107</f>
        <v>27.772020699999999</v>
      </c>
      <c r="AK107" s="26">
        <f>AA107</f>
        <v>26.9876003</v>
      </c>
      <c r="AL107" s="57">
        <f>N107</f>
        <v>268</v>
      </c>
      <c r="AM107" s="57">
        <f>R107</f>
        <v>370</v>
      </c>
    </row>
    <row r="108" spans="1:39" hidden="1" x14ac:dyDescent="0.3">
      <c r="A108" s="37">
        <v>104</v>
      </c>
      <c r="B108" s="38" t="s">
        <v>521</v>
      </c>
      <c r="C108" s="38" t="s">
        <v>4</v>
      </c>
      <c r="D108" s="38" t="s">
        <v>522</v>
      </c>
      <c r="E108" s="38" t="s">
        <v>38</v>
      </c>
      <c r="F108" s="47" t="s">
        <v>519</v>
      </c>
      <c r="G108" s="40"/>
      <c r="H108" s="40"/>
      <c r="I108" s="40"/>
      <c r="J108" s="40"/>
      <c r="K108" s="40"/>
      <c r="L108" s="40"/>
      <c r="M108" s="40"/>
      <c r="N108" s="40"/>
      <c r="O108" s="40">
        <v>567</v>
      </c>
      <c r="P108" s="40">
        <v>342</v>
      </c>
      <c r="Q108" s="40">
        <v>86</v>
      </c>
      <c r="R108" s="40">
        <v>139</v>
      </c>
      <c r="S108" s="41"/>
      <c r="T108" s="41"/>
      <c r="U108" s="41"/>
      <c r="V108" s="41"/>
      <c r="W108" s="41"/>
      <c r="X108" s="41"/>
      <c r="Y108" s="41">
        <v>60.3174603</v>
      </c>
      <c r="Z108" s="41">
        <v>15.167548500000001</v>
      </c>
      <c r="AA108" s="41">
        <v>24.514991200000001</v>
      </c>
    </row>
    <row r="109" spans="1:39" hidden="1" x14ac:dyDescent="0.3">
      <c r="A109" s="37">
        <v>105</v>
      </c>
      <c r="B109" s="38" t="s">
        <v>521</v>
      </c>
      <c r="C109" s="38" t="s">
        <v>4</v>
      </c>
      <c r="D109" s="38" t="s">
        <v>522</v>
      </c>
      <c r="E109" s="38" t="s">
        <v>38</v>
      </c>
      <c r="F109" s="47" t="s">
        <v>520</v>
      </c>
      <c r="G109" s="40">
        <v>755</v>
      </c>
      <c r="H109" s="40">
        <v>334</v>
      </c>
      <c r="I109" s="40">
        <v>130</v>
      </c>
      <c r="J109" s="40">
        <v>291</v>
      </c>
      <c r="K109" s="40">
        <v>965</v>
      </c>
      <c r="L109" s="40">
        <v>537</v>
      </c>
      <c r="M109" s="40">
        <v>160</v>
      </c>
      <c r="N109" s="40">
        <v>268</v>
      </c>
      <c r="O109" s="40">
        <v>804</v>
      </c>
      <c r="P109" s="40">
        <v>421</v>
      </c>
      <c r="Q109" s="40">
        <v>152</v>
      </c>
      <c r="R109" s="40">
        <v>231</v>
      </c>
      <c r="S109" s="41">
        <v>44.238410600000002</v>
      </c>
      <c r="T109" s="41">
        <v>17.218543</v>
      </c>
      <c r="U109" s="41">
        <v>38.543046400000001</v>
      </c>
      <c r="V109" s="41">
        <v>55.647668400000001</v>
      </c>
      <c r="W109" s="41">
        <v>16.580310900000001</v>
      </c>
      <c r="X109" s="41">
        <v>27.772020699999999</v>
      </c>
      <c r="Y109" s="41">
        <v>52.363184099999998</v>
      </c>
      <c r="Z109" s="41">
        <v>18.9054726</v>
      </c>
      <c r="AA109" s="41">
        <v>28.731343299999999</v>
      </c>
    </row>
    <row r="110" spans="1:39" hidden="1" x14ac:dyDescent="0.3">
      <c r="A110" s="42">
        <v>106</v>
      </c>
      <c r="B110" s="43" t="s">
        <v>521</v>
      </c>
      <c r="C110" s="43" t="s">
        <v>4</v>
      </c>
      <c r="D110" s="43" t="s">
        <v>522</v>
      </c>
      <c r="E110" s="43" t="s">
        <v>39</v>
      </c>
      <c r="F110" s="44" t="s">
        <v>39</v>
      </c>
      <c r="G110" s="45">
        <v>3923</v>
      </c>
      <c r="H110" s="45">
        <v>1382</v>
      </c>
      <c r="I110" s="45">
        <v>788</v>
      </c>
      <c r="J110" s="45">
        <v>1753</v>
      </c>
      <c r="K110" s="45">
        <v>4347</v>
      </c>
      <c r="L110" s="45">
        <v>2062</v>
      </c>
      <c r="M110" s="45">
        <v>872</v>
      </c>
      <c r="N110" s="45">
        <v>1413</v>
      </c>
      <c r="O110" s="45">
        <v>4660</v>
      </c>
      <c r="P110" s="45">
        <v>3015</v>
      </c>
      <c r="Q110" s="45">
        <v>774</v>
      </c>
      <c r="R110" s="45">
        <v>871</v>
      </c>
      <c r="S110" s="46">
        <v>35.228141700000002</v>
      </c>
      <c r="T110" s="46">
        <v>20.086668400000001</v>
      </c>
      <c r="U110" s="46">
        <v>44.685189899999997</v>
      </c>
      <c r="V110" s="46">
        <v>47.435012700000001</v>
      </c>
      <c r="W110" s="46">
        <v>20.059811400000001</v>
      </c>
      <c r="X110" s="46">
        <v>32.505175999999999</v>
      </c>
      <c r="Y110" s="46">
        <v>64.699570800000004</v>
      </c>
      <c r="Z110" s="46">
        <v>16.609442099999999</v>
      </c>
      <c r="AA110" s="46">
        <v>18.690987100000001</v>
      </c>
      <c r="AB110" s="26">
        <f>SUM(W110:X110)</f>
        <v>52.5649874</v>
      </c>
      <c r="AC110" s="26">
        <f>SUM(Z110:AA110)</f>
        <v>35.300429199999996</v>
      </c>
      <c r="AD110" s="57">
        <f>M110+N110</f>
        <v>2285</v>
      </c>
      <c r="AE110" s="57">
        <f>Q110+R110</f>
        <v>1645</v>
      </c>
      <c r="AF110" s="26">
        <f>W110</f>
        <v>20.059811400000001</v>
      </c>
      <c r="AG110" s="26">
        <f>Z110</f>
        <v>16.609442099999999</v>
      </c>
      <c r="AH110" s="26">
        <f>M110</f>
        <v>872</v>
      </c>
      <c r="AI110" s="26">
        <f>Q110</f>
        <v>774</v>
      </c>
      <c r="AJ110" s="26">
        <f>X110</f>
        <v>32.505175999999999</v>
      </c>
      <c r="AK110" s="26">
        <f>AA110</f>
        <v>18.690987100000001</v>
      </c>
      <c r="AL110" s="57">
        <f>N110</f>
        <v>1413</v>
      </c>
      <c r="AM110" s="57">
        <f>R110</f>
        <v>871</v>
      </c>
    </row>
    <row r="111" spans="1:39" hidden="1" x14ac:dyDescent="0.3">
      <c r="A111" s="37">
        <v>107</v>
      </c>
      <c r="B111" s="38" t="s">
        <v>521</v>
      </c>
      <c r="C111" s="38" t="s">
        <v>4</v>
      </c>
      <c r="D111" s="38" t="s">
        <v>522</v>
      </c>
      <c r="E111" s="38" t="s">
        <v>39</v>
      </c>
      <c r="F111" s="47" t="s">
        <v>519</v>
      </c>
      <c r="G111" s="40">
        <v>505</v>
      </c>
      <c r="H111" s="40">
        <v>240</v>
      </c>
      <c r="I111" s="40">
        <v>101</v>
      </c>
      <c r="J111" s="40">
        <v>164</v>
      </c>
      <c r="K111" s="40">
        <v>736</v>
      </c>
      <c r="L111" s="40">
        <v>444</v>
      </c>
      <c r="M111" s="40">
        <v>159</v>
      </c>
      <c r="N111" s="40">
        <v>133</v>
      </c>
      <c r="O111" s="40">
        <v>1078</v>
      </c>
      <c r="P111" s="40">
        <v>778</v>
      </c>
      <c r="Q111" s="40">
        <v>144</v>
      </c>
      <c r="R111" s="40">
        <v>156</v>
      </c>
      <c r="S111" s="41">
        <v>47.524752499999998</v>
      </c>
      <c r="T111" s="41">
        <v>20</v>
      </c>
      <c r="U111" s="41">
        <v>32.475247500000002</v>
      </c>
      <c r="V111" s="41">
        <v>60.326087000000001</v>
      </c>
      <c r="W111" s="41">
        <v>21.603260899999999</v>
      </c>
      <c r="X111" s="41">
        <v>18.070652200000001</v>
      </c>
      <c r="Y111" s="41">
        <v>72.170686500000002</v>
      </c>
      <c r="Z111" s="41">
        <v>13.3580705</v>
      </c>
      <c r="AA111" s="41">
        <v>14.471242999999999</v>
      </c>
    </row>
    <row r="112" spans="1:39" hidden="1" x14ac:dyDescent="0.3">
      <c r="A112" s="37">
        <v>108</v>
      </c>
      <c r="B112" s="38" t="s">
        <v>521</v>
      </c>
      <c r="C112" s="38" t="s">
        <v>4</v>
      </c>
      <c r="D112" s="38" t="s">
        <v>522</v>
      </c>
      <c r="E112" s="38" t="s">
        <v>39</v>
      </c>
      <c r="F112" s="47" t="s">
        <v>520</v>
      </c>
      <c r="G112" s="40">
        <v>3418</v>
      </c>
      <c r="H112" s="40">
        <v>1142</v>
      </c>
      <c r="I112" s="40">
        <v>687</v>
      </c>
      <c r="J112" s="40">
        <v>1589</v>
      </c>
      <c r="K112" s="40">
        <v>3611</v>
      </c>
      <c r="L112" s="40">
        <v>1618</v>
      </c>
      <c r="M112" s="40">
        <v>713</v>
      </c>
      <c r="N112" s="40">
        <v>1280</v>
      </c>
      <c r="O112" s="40">
        <v>3582</v>
      </c>
      <c r="P112" s="40">
        <v>2237</v>
      </c>
      <c r="Q112" s="40">
        <v>630</v>
      </c>
      <c r="R112" s="40">
        <v>715</v>
      </c>
      <c r="S112" s="41">
        <v>33.411351699999997</v>
      </c>
      <c r="T112" s="41">
        <v>20.099473400000001</v>
      </c>
      <c r="U112" s="41">
        <v>46.489175000000003</v>
      </c>
      <c r="V112" s="41">
        <v>44.807532500000001</v>
      </c>
      <c r="W112" s="41">
        <v>19.745222900000002</v>
      </c>
      <c r="X112" s="41">
        <v>35.447244499999996</v>
      </c>
      <c r="Y112" s="41">
        <v>62.451144599999999</v>
      </c>
      <c r="Z112" s="41">
        <v>17.5879397</v>
      </c>
      <c r="AA112" s="41">
        <v>19.960915700000001</v>
      </c>
    </row>
    <row r="113" spans="1:39" hidden="1" x14ac:dyDescent="0.3">
      <c r="A113" s="42">
        <v>109</v>
      </c>
      <c r="B113" s="43" t="s">
        <v>521</v>
      </c>
      <c r="C113" s="43" t="s">
        <v>4</v>
      </c>
      <c r="D113" s="43" t="s">
        <v>522</v>
      </c>
      <c r="E113" s="43" t="s">
        <v>40</v>
      </c>
      <c r="F113" s="44" t="s">
        <v>40</v>
      </c>
      <c r="G113" s="45">
        <v>872</v>
      </c>
      <c r="H113" s="45">
        <v>386</v>
      </c>
      <c r="I113" s="45">
        <v>166</v>
      </c>
      <c r="J113" s="45">
        <v>320</v>
      </c>
      <c r="K113" s="45">
        <v>1062</v>
      </c>
      <c r="L113" s="45">
        <v>576</v>
      </c>
      <c r="M113" s="45">
        <v>189</v>
      </c>
      <c r="N113" s="45">
        <v>297</v>
      </c>
      <c r="O113" s="45">
        <v>1280</v>
      </c>
      <c r="P113" s="45">
        <v>744</v>
      </c>
      <c r="Q113" s="45">
        <v>229</v>
      </c>
      <c r="R113" s="45">
        <v>307</v>
      </c>
      <c r="S113" s="46">
        <v>44.266055000000001</v>
      </c>
      <c r="T113" s="46">
        <v>19.036697199999999</v>
      </c>
      <c r="U113" s="46">
        <v>36.697247699999998</v>
      </c>
      <c r="V113" s="46">
        <v>54.237288100000001</v>
      </c>
      <c r="W113" s="46">
        <v>17.7966102</v>
      </c>
      <c r="X113" s="46">
        <v>27.966101699999999</v>
      </c>
      <c r="Y113" s="46">
        <v>58.125</v>
      </c>
      <c r="Z113" s="46">
        <v>17.890625</v>
      </c>
      <c r="AA113" s="46">
        <v>23.984375</v>
      </c>
      <c r="AB113" s="26">
        <f>SUM(W113:X113)</f>
        <v>45.762711899999999</v>
      </c>
      <c r="AC113" s="26">
        <f>SUM(Z113:AA113)</f>
        <v>41.875</v>
      </c>
      <c r="AD113" s="57">
        <f>M113+N113</f>
        <v>486</v>
      </c>
      <c r="AE113" s="57">
        <f>Q113+R113</f>
        <v>536</v>
      </c>
      <c r="AF113" s="26">
        <f>W113</f>
        <v>17.7966102</v>
      </c>
      <c r="AG113" s="26">
        <f>Z113</f>
        <v>17.890625</v>
      </c>
      <c r="AH113" s="26">
        <f>M113</f>
        <v>189</v>
      </c>
      <c r="AI113" s="26">
        <f>Q113</f>
        <v>229</v>
      </c>
      <c r="AJ113" s="26">
        <f>X113</f>
        <v>27.966101699999999</v>
      </c>
      <c r="AK113" s="26">
        <f>AA113</f>
        <v>23.984375</v>
      </c>
      <c r="AL113" s="57">
        <f>N113</f>
        <v>297</v>
      </c>
      <c r="AM113" s="57">
        <f>R113</f>
        <v>307</v>
      </c>
    </row>
    <row r="114" spans="1:39" hidden="1" x14ac:dyDescent="0.3">
      <c r="A114" s="37">
        <v>110</v>
      </c>
      <c r="B114" s="38" t="s">
        <v>521</v>
      </c>
      <c r="C114" s="38" t="s">
        <v>4</v>
      </c>
      <c r="D114" s="38" t="s">
        <v>522</v>
      </c>
      <c r="E114" s="38" t="s">
        <v>40</v>
      </c>
      <c r="F114" s="47" t="s">
        <v>519</v>
      </c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1"/>
      <c r="T114" s="41"/>
      <c r="U114" s="41"/>
      <c r="V114" s="41"/>
      <c r="W114" s="41"/>
      <c r="X114" s="41"/>
      <c r="Y114" s="41"/>
      <c r="Z114" s="41"/>
      <c r="AA114" s="41"/>
    </row>
    <row r="115" spans="1:39" hidden="1" x14ac:dyDescent="0.3">
      <c r="A115" s="37">
        <v>111</v>
      </c>
      <c r="B115" s="38" t="s">
        <v>521</v>
      </c>
      <c r="C115" s="38" t="s">
        <v>4</v>
      </c>
      <c r="D115" s="38" t="s">
        <v>522</v>
      </c>
      <c r="E115" s="38" t="s">
        <v>40</v>
      </c>
      <c r="F115" s="47" t="s">
        <v>520</v>
      </c>
      <c r="G115" s="40">
        <v>872</v>
      </c>
      <c r="H115" s="40">
        <v>386</v>
      </c>
      <c r="I115" s="40">
        <v>166</v>
      </c>
      <c r="J115" s="40">
        <v>320</v>
      </c>
      <c r="K115" s="40">
        <v>1062</v>
      </c>
      <c r="L115" s="40">
        <v>576</v>
      </c>
      <c r="M115" s="40">
        <v>189</v>
      </c>
      <c r="N115" s="40">
        <v>297</v>
      </c>
      <c r="O115" s="40">
        <v>1280</v>
      </c>
      <c r="P115" s="40">
        <v>744</v>
      </c>
      <c r="Q115" s="40">
        <v>229</v>
      </c>
      <c r="R115" s="40">
        <v>307</v>
      </c>
      <c r="S115" s="41">
        <v>44.266055000000001</v>
      </c>
      <c r="T115" s="41">
        <v>19.036697199999999</v>
      </c>
      <c r="U115" s="41">
        <v>36.697247699999998</v>
      </c>
      <c r="V115" s="41">
        <v>54.237288100000001</v>
      </c>
      <c r="W115" s="41">
        <v>17.7966102</v>
      </c>
      <c r="X115" s="41">
        <v>27.966101699999999</v>
      </c>
      <c r="Y115" s="41">
        <v>58.125</v>
      </c>
      <c r="Z115" s="41">
        <v>17.890625</v>
      </c>
      <c r="AA115" s="41">
        <v>23.984375</v>
      </c>
    </row>
    <row r="116" spans="1:39" hidden="1" x14ac:dyDescent="0.3">
      <c r="A116" s="32">
        <v>112</v>
      </c>
      <c r="B116" s="33" t="s">
        <v>1</v>
      </c>
      <c r="C116" s="33" t="s">
        <v>4</v>
      </c>
      <c r="D116" s="33" t="s">
        <v>41</v>
      </c>
      <c r="E116" s="33"/>
      <c r="F116" s="34" t="s">
        <v>41</v>
      </c>
      <c r="G116" s="35">
        <v>4170</v>
      </c>
      <c r="H116" s="35">
        <v>1406</v>
      </c>
      <c r="I116" s="35">
        <v>800</v>
      </c>
      <c r="J116" s="35">
        <v>1964</v>
      </c>
      <c r="K116" s="35">
        <v>4886</v>
      </c>
      <c r="L116" s="35">
        <v>2617</v>
      </c>
      <c r="M116" s="35">
        <v>943</v>
      </c>
      <c r="N116" s="35">
        <v>1326</v>
      </c>
      <c r="O116" s="35">
        <v>6242</v>
      </c>
      <c r="P116" s="35">
        <v>4093</v>
      </c>
      <c r="Q116" s="35">
        <v>1004</v>
      </c>
      <c r="R116" s="35">
        <v>1145</v>
      </c>
      <c r="S116" s="36">
        <v>33.717026400000002</v>
      </c>
      <c r="T116" s="36">
        <v>19.1846523</v>
      </c>
      <c r="U116" s="36">
        <v>47.098321300000002</v>
      </c>
      <c r="V116" s="36">
        <v>53.561195300000001</v>
      </c>
      <c r="W116" s="36">
        <v>19.300040899999999</v>
      </c>
      <c r="X116" s="36">
        <v>27.1387638</v>
      </c>
      <c r="Y116" s="36">
        <v>65.571932099999998</v>
      </c>
      <c r="Z116" s="36">
        <v>16.0845883</v>
      </c>
      <c r="AA116" s="36">
        <v>18.3434797</v>
      </c>
    </row>
    <row r="117" spans="1:39" hidden="1" x14ac:dyDescent="0.3">
      <c r="A117" s="37">
        <v>113</v>
      </c>
      <c r="B117" s="38" t="s">
        <v>1</v>
      </c>
      <c r="C117" s="38" t="s">
        <v>4</v>
      </c>
      <c r="D117" s="38" t="s">
        <v>41</v>
      </c>
      <c r="E117" s="38"/>
      <c r="F117" s="39" t="s">
        <v>519</v>
      </c>
      <c r="G117" s="40">
        <v>553</v>
      </c>
      <c r="H117" s="40">
        <v>239</v>
      </c>
      <c r="I117" s="40">
        <v>131</v>
      </c>
      <c r="J117" s="40">
        <v>183</v>
      </c>
      <c r="K117" s="40">
        <v>932</v>
      </c>
      <c r="L117" s="40">
        <v>598</v>
      </c>
      <c r="M117" s="40">
        <v>160</v>
      </c>
      <c r="N117" s="40">
        <v>174</v>
      </c>
      <c r="O117" s="40">
        <v>1162</v>
      </c>
      <c r="P117" s="40">
        <v>761</v>
      </c>
      <c r="Q117" s="40">
        <v>178</v>
      </c>
      <c r="R117" s="40">
        <v>223</v>
      </c>
      <c r="S117" s="41">
        <v>43.218806499999999</v>
      </c>
      <c r="T117" s="41">
        <v>23.6889693</v>
      </c>
      <c r="U117" s="41">
        <v>33.092224199999997</v>
      </c>
      <c r="V117" s="41">
        <v>64.163090100000005</v>
      </c>
      <c r="W117" s="41">
        <v>17.167382</v>
      </c>
      <c r="X117" s="41">
        <v>18.669527899999999</v>
      </c>
      <c r="Y117" s="41">
        <v>65.490533600000006</v>
      </c>
      <c r="Z117" s="41">
        <v>15.3184165</v>
      </c>
      <c r="AA117" s="41">
        <v>19.191049899999999</v>
      </c>
    </row>
    <row r="118" spans="1:39" hidden="1" x14ac:dyDescent="0.3">
      <c r="A118" s="37">
        <v>114</v>
      </c>
      <c r="B118" s="38" t="s">
        <v>1</v>
      </c>
      <c r="C118" s="38" t="s">
        <v>4</v>
      </c>
      <c r="D118" s="38" t="s">
        <v>41</v>
      </c>
      <c r="E118" s="38"/>
      <c r="F118" s="39" t="s">
        <v>520</v>
      </c>
      <c r="G118" s="40">
        <v>3617</v>
      </c>
      <c r="H118" s="40">
        <v>1167</v>
      </c>
      <c r="I118" s="40">
        <v>669</v>
      </c>
      <c r="J118" s="40">
        <v>1781</v>
      </c>
      <c r="K118" s="40">
        <v>3954</v>
      </c>
      <c r="L118" s="40">
        <v>2019</v>
      </c>
      <c r="M118" s="40">
        <v>783</v>
      </c>
      <c r="N118" s="40">
        <v>1152</v>
      </c>
      <c r="O118" s="40">
        <v>5080</v>
      </c>
      <c r="P118" s="40">
        <v>3332</v>
      </c>
      <c r="Q118" s="40">
        <v>826</v>
      </c>
      <c r="R118" s="40">
        <v>922</v>
      </c>
      <c r="S118" s="41">
        <v>32.2643074</v>
      </c>
      <c r="T118" s="41">
        <v>18.495991199999999</v>
      </c>
      <c r="U118" s="41">
        <v>49.239701400000001</v>
      </c>
      <c r="V118" s="41">
        <v>51.062215500000001</v>
      </c>
      <c r="W118" s="41">
        <v>19.802731399999999</v>
      </c>
      <c r="X118" s="41">
        <v>29.1350531</v>
      </c>
      <c r="Y118" s="41">
        <v>65.590551199999993</v>
      </c>
      <c r="Z118" s="41">
        <v>16.259842500000001</v>
      </c>
      <c r="AA118" s="41">
        <v>18.149606299999999</v>
      </c>
    </row>
    <row r="119" spans="1:39" hidden="1" x14ac:dyDescent="0.3">
      <c r="A119" s="42">
        <v>115</v>
      </c>
      <c r="B119" s="43" t="s">
        <v>521</v>
      </c>
      <c r="C119" s="43" t="s">
        <v>4</v>
      </c>
      <c r="D119" s="43" t="s">
        <v>41</v>
      </c>
      <c r="E119" s="43" t="s">
        <v>42</v>
      </c>
      <c r="F119" s="44" t="s">
        <v>42</v>
      </c>
      <c r="G119" s="45">
        <v>2199</v>
      </c>
      <c r="H119" s="45">
        <v>666</v>
      </c>
      <c r="I119" s="45">
        <v>439</v>
      </c>
      <c r="J119" s="45">
        <v>1094</v>
      </c>
      <c r="K119" s="45">
        <v>2532</v>
      </c>
      <c r="L119" s="45">
        <v>1353</v>
      </c>
      <c r="M119" s="45">
        <v>457</v>
      </c>
      <c r="N119" s="45">
        <v>722</v>
      </c>
      <c r="O119" s="45">
        <v>3136</v>
      </c>
      <c r="P119" s="45">
        <v>1884</v>
      </c>
      <c r="Q119" s="45">
        <v>539</v>
      </c>
      <c r="R119" s="45">
        <v>713</v>
      </c>
      <c r="S119" s="46">
        <v>30.2864939</v>
      </c>
      <c r="T119" s="46">
        <v>19.9636198</v>
      </c>
      <c r="U119" s="46">
        <v>49.7498863</v>
      </c>
      <c r="V119" s="46">
        <v>53.436019000000002</v>
      </c>
      <c r="W119" s="46">
        <v>18.048973100000001</v>
      </c>
      <c r="X119" s="46">
        <v>28.515007900000001</v>
      </c>
      <c r="Y119" s="46">
        <v>60.076530599999998</v>
      </c>
      <c r="Z119" s="46">
        <v>17.1875</v>
      </c>
      <c r="AA119" s="46">
        <v>22.735969399999998</v>
      </c>
      <c r="AB119" s="26">
        <f>SUM(W119:X119)</f>
        <v>46.563980999999998</v>
      </c>
      <c r="AC119" s="26">
        <f>SUM(Z119:AA119)</f>
        <v>39.923469400000002</v>
      </c>
      <c r="AD119" s="57">
        <f>M119+N119</f>
        <v>1179</v>
      </c>
      <c r="AE119" s="57">
        <f>Q119+R119</f>
        <v>1252</v>
      </c>
      <c r="AF119" s="26">
        <f>W119</f>
        <v>18.048973100000001</v>
      </c>
      <c r="AG119" s="26">
        <f>Z119</f>
        <v>17.1875</v>
      </c>
      <c r="AH119" s="26">
        <f>M119</f>
        <v>457</v>
      </c>
      <c r="AI119" s="26">
        <f>Q119</f>
        <v>539</v>
      </c>
      <c r="AJ119" s="26">
        <f>X119</f>
        <v>28.515007900000001</v>
      </c>
      <c r="AK119" s="26">
        <f>AA119</f>
        <v>22.735969399999998</v>
      </c>
      <c r="AL119" s="57">
        <f>N119</f>
        <v>722</v>
      </c>
      <c r="AM119" s="57">
        <f>R119</f>
        <v>713</v>
      </c>
    </row>
    <row r="120" spans="1:39" hidden="1" x14ac:dyDescent="0.3">
      <c r="A120" s="37">
        <v>116</v>
      </c>
      <c r="B120" s="38" t="s">
        <v>521</v>
      </c>
      <c r="C120" s="38" t="s">
        <v>4</v>
      </c>
      <c r="D120" s="38" t="s">
        <v>41</v>
      </c>
      <c r="E120" s="38" t="s">
        <v>42</v>
      </c>
      <c r="F120" s="47" t="s">
        <v>519</v>
      </c>
      <c r="G120" s="40">
        <v>553</v>
      </c>
      <c r="H120" s="40">
        <v>239</v>
      </c>
      <c r="I120" s="40">
        <v>131</v>
      </c>
      <c r="J120" s="40">
        <v>183</v>
      </c>
      <c r="K120" s="40">
        <v>932</v>
      </c>
      <c r="L120" s="40">
        <v>598</v>
      </c>
      <c r="M120" s="40">
        <v>160</v>
      </c>
      <c r="N120" s="40">
        <v>174</v>
      </c>
      <c r="O120" s="40">
        <v>1162</v>
      </c>
      <c r="P120" s="40">
        <v>761</v>
      </c>
      <c r="Q120" s="40">
        <v>178</v>
      </c>
      <c r="R120" s="40">
        <v>223</v>
      </c>
      <c r="S120" s="41">
        <v>43.218806499999999</v>
      </c>
      <c r="T120" s="41">
        <v>23.6889693</v>
      </c>
      <c r="U120" s="41">
        <v>33.092224199999997</v>
      </c>
      <c r="V120" s="41">
        <v>64.163090100000005</v>
      </c>
      <c r="W120" s="41">
        <v>17.167382</v>
      </c>
      <c r="X120" s="41">
        <v>18.669527899999999</v>
      </c>
      <c r="Y120" s="41">
        <v>65.490533600000006</v>
      </c>
      <c r="Z120" s="41">
        <v>15.3184165</v>
      </c>
      <c r="AA120" s="41">
        <v>19.191049899999999</v>
      </c>
    </row>
    <row r="121" spans="1:39" hidden="1" x14ac:dyDescent="0.3">
      <c r="A121" s="37">
        <v>117</v>
      </c>
      <c r="B121" s="38" t="s">
        <v>521</v>
      </c>
      <c r="C121" s="38" t="s">
        <v>4</v>
      </c>
      <c r="D121" s="38" t="s">
        <v>41</v>
      </c>
      <c r="E121" s="38" t="s">
        <v>42</v>
      </c>
      <c r="F121" s="47" t="s">
        <v>520</v>
      </c>
      <c r="G121" s="40">
        <v>1646</v>
      </c>
      <c r="H121" s="40">
        <v>427</v>
      </c>
      <c r="I121" s="40">
        <v>308</v>
      </c>
      <c r="J121" s="40">
        <v>911</v>
      </c>
      <c r="K121" s="40">
        <v>1600</v>
      </c>
      <c r="L121" s="40">
        <v>755</v>
      </c>
      <c r="M121" s="40">
        <v>297</v>
      </c>
      <c r="N121" s="40">
        <v>548</v>
      </c>
      <c r="O121" s="40">
        <v>1974</v>
      </c>
      <c r="P121" s="40">
        <v>1123</v>
      </c>
      <c r="Q121" s="40">
        <v>361</v>
      </c>
      <c r="R121" s="40">
        <v>490</v>
      </c>
      <c r="S121" s="41">
        <v>25.9416768</v>
      </c>
      <c r="T121" s="41">
        <v>18.7120292</v>
      </c>
      <c r="U121" s="41">
        <v>55.346294</v>
      </c>
      <c r="V121" s="41">
        <v>47.1875</v>
      </c>
      <c r="W121" s="41">
        <v>18.5625</v>
      </c>
      <c r="X121" s="41">
        <v>34.25</v>
      </c>
      <c r="Y121" s="41">
        <v>56.889564300000004</v>
      </c>
      <c r="Z121" s="41">
        <v>18.287740599999999</v>
      </c>
      <c r="AA121" s="41">
        <v>24.822695</v>
      </c>
    </row>
    <row r="122" spans="1:39" hidden="1" x14ac:dyDescent="0.3">
      <c r="A122" s="42">
        <v>118</v>
      </c>
      <c r="B122" s="43" t="s">
        <v>521</v>
      </c>
      <c r="C122" s="43" t="s">
        <v>4</v>
      </c>
      <c r="D122" s="43" t="s">
        <v>41</v>
      </c>
      <c r="E122" s="43" t="s">
        <v>478</v>
      </c>
      <c r="F122" s="44" t="s">
        <v>478</v>
      </c>
      <c r="G122" s="45">
        <v>468</v>
      </c>
      <c r="H122" s="45">
        <v>138</v>
      </c>
      <c r="I122" s="45">
        <v>78</v>
      </c>
      <c r="J122" s="45">
        <v>252</v>
      </c>
      <c r="K122" s="45">
        <v>603</v>
      </c>
      <c r="L122" s="45">
        <v>286</v>
      </c>
      <c r="M122" s="45">
        <v>123</v>
      </c>
      <c r="N122" s="45">
        <v>194</v>
      </c>
      <c r="O122" s="45">
        <v>818</v>
      </c>
      <c r="P122" s="45">
        <v>547</v>
      </c>
      <c r="Q122" s="45">
        <v>143</v>
      </c>
      <c r="R122" s="45">
        <v>128</v>
      </c>
      <c r="S122" s="46">
        <v>29.4871795</v>
      </c>
      <c r="T122" s="46">
        <v>16.6666667</v>
      </c>
      <c r="U122" s="46">
        <v>53.846153800000003</v>
      </c>
      <c r="V122" s="46">
        <v>47.4295191</v>
      </c>
      <c r="W122" s="46">
        <v>20.398009999999999</v>
      </c>
      <c r="X122" s="46">
        <v>32.172471000000002</v>
      </c>
      <c r="Y122" s="46">
        <v>66.870415600000001</v>
      </c>
      <c r="Z122" s="46">
        <v>17.4816626</v>
      </c>
      <c r="AA122" s="46">
        <v>15.647921800000001</v>
      </c>
      <c r="AB122" s="26">
        <f>SUM(W122:X122)</f>
        <v>52.570481000000001</v>
      </c>
      <c r="AC122" s="26">
        <f>SUM(Z122:AA122)</f>
        <v>33.129584399999999</v>
      </c>
      <c r="AD122" s="57">
        <f>M122+N122</f>
        <v>317</v>
      </c>
      <c r="AE122" s="57">
        <f>Q122+R122</f>
        <v>271</v>
      </c>
      <c r="AF122" s="26">
        <f>W122</f>
        <v>20.398009999999999</v>
      </c>
      <c r="AG122" s="26">
        <f>Z122</f>
        <v>17.4816626</v>
      </c>
      <c r="AH122" s="26">
        <f>M122</f>
        <v>123</v>
      </c>
      <c r="AI122" s="26">
        <f>Q122</f>
        <v>143</v>
      </c>
      <c r="AJ122" s="26">
        <f>X122</f>
        <v>32.172471000000002</v>
      </c>
      <c r="AK122" s="26">
        <f>AA122</f>
        <v>15.647921800000001</v>
      </c>
      <c r="AL122" s="57">
        <f>N122</f>
        <v>194</v>
      </c>
      <c r="AM122" s="57">
        <f>R122</f>
        <v>128</v>
      </c>
    </row>
    <row r="123" spans="1:39" hidden="1" x14ac:dyDescent="0.3">
      <c r="A123" s="37">
        <v>119</v>
      </c>
      <c r="B123" s="38" t="s">
        <v>521</v>
      </c>
      <c r="C123" s="38" t="s">
        <v>4</v>
      </c>
      <c r="D123" s="38" t="s">
        <v>41</v>
      </c>
      <c r="E123" s="38" t="s">
        <v>478</v>
      </c>
      <c r="F123" s="47" t="s">
        <v>519</v>
      </c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1"/>
      <c r="T123" s="41"/>
      <c r="U123" s="41"/>
      <c r="V123" s="41"/>
      <c r="W123" s="41"/>
      <c r="X123" s="41"/>
      <c r="Y123" s="41"/>
      <c r="Z123" s="41"/>
      <c r="AA123" s="41"/>
    </row>
    <row r="124" spans="1:39" hidden="1" x14ac:dyDescent="0.3">
      <c r="A124" s="37">
        <v>120</v>
      </c>
      <c r="B124" s="38" t="s">
        <v>521</v>
      </c>
      <c r="C124" s="38" t="s">
        <v>4</v>
      </c>
      <c r="D124" s="38" t="s">
        <v>41</v>
      </c>
      <c r="E124" s="38" t="s">
        <v>478</v>
      </c>
      <c r="F124" s="47" t="s">
        <v>520</v>
      </c>
      <c r="G124" s="40">
        <v>468</v>
      </c>
      <c r="H124" s="40">
        <v>138</v>
      </c>
      <c r="I124" s="40">
        <v>78</v>
      </c>
      <c r="J124" s="40">
        <v>252</v>
      </c>
      <c r="K124" s="40">
        <v>603</v>
      </c>
      <c r="L124" s="40">
        <v>286</v>
      </c>
      <c r="M124" s="40">
        <v>123</v>
      </c>
      <c r="N124" s="40">
        <v>194</v>
      </c>
      <c r="O124" s="40">
        <v>818</v>
      </c>
      <c r="P124" s="40">
        <v>547</v>
      </c>
      <c r="Q124" s="40">
        <v>143</v>
      </c>
      <c r="R124" s="40">
        <v>128</v>
      </c>
      <c r="S124" s="41">
        <v>29.4871795</v>
      </c>
      <c r="T124" s="41">
        <v>16.6666667</v>
      </c>
      <c r="U124" s="41">
        <v>53.846153800000003</v>
      </c>
      <c r="V124" s="41">
        <v>47.4295191</v>
      </c>
      <c r="W124" s="41">
        <v>20.398009999999999</v>
      </c>
      <c r="X124" s="41">
        <v>32.172471000000002</v>
      </c>
      <c r="Y124" s="41">
        <v>66.870415600000001</v>
      </c>
      <c r="Z124" s="41">
        <v>17.4816626</v>
      </c>
      <c r="AA124" s="41">
        <v>15.647921800000001</v>
      </c>
    </row>
    <row r="125" spans="1:39" hidden="1" x14ac:dyDescent="0.3">
      <c r="A125" s="42">
        <v>121</v>
      </c>
      <c r="B125" s="43" t="s">
        <v>521</v>
      </c>
      <c r="C125" s="43" t="s">
        <v>4</v>
      </c>
      <c r="D125" s="43" t="s">
        <v>41</v>
      </c>
      <c r="E125" s="43" t="s">
        <v>44</v>
      </c>
      <c r="F125" s="44" t="s">
        <v>44</v>
      </c>
      <c r="G125" s="45">
        <v>1503</v>
      </c>
      <c r="H125" s="45">
        <v>602</v>
      </c>
      <c r="I125" s="45">
        <v>283</v>
      </c>
      <c r="J125" s="45">
        <v>618</v>
      </c>
      <c r="K125" s="45">
        <v>1751</v>
      </c>
      <c r="L125" s="45">
        <v>978</v>
      </c>
      <c r="M125" s="45">
        <v>363</v>
      </c>
      <c r="N125" s="45">
        <v>410</v>
      </c>
      <c r="O125" s="45">
        <v>2288</v>
      </c>
      <c r="P125" s="45">
        <v>1662</v>
      </c>
      <c r="Q125" s="45">
        <v>322</v>
      </c>
      <c r="R125" s="45">
        <v>304</v>
      </c>
      <c r="S125" s="46">
        <v>40.053226899999999</v>
      </c>
      <c r="T125" s="46">
        <v>18.829008600000002</v>
      </c>
      <c r="U125" s="46">
        <v>41.1177645</v>
      </c>
      <c r="V125" s="46">
        <v>55.853797800000002</v>
      </c>
      <c r="W125" s="46">
        <v>20.731010900000001</v>
      </c>
      <c r="X125" s="46">
        <v>23.4151913</v>
      </c>
      <c r="Y125" s="46">
        <v>72.639860100000007</v>
      </c>
      <c r="Z125" s="46">
        <v>14.073426599999999</v>
      </c>
      <c r="AA125" s="46">
        <v>13.286713300000001</v>
      </c>
      <c r="AB125" s="26">
        <f>SUM(W125:X125)</f>
        <v>44.146202200000005</v>
      </c>
      <c r="AC125" s="26">
        <f>SUM(Z125:AA125)</f>
        <v>27.3601399</v>
      </c>
      <c r="AD125" s="57">
        <f>M125+N125</f>
        <v>773</v>
      </c>
      <c r="AE125" s="57">
        <f>Q125+R125</f>
        <v>626</v>
      </c>
      <c r="AF125" s="26">
        <f>W125</f>
        <v>20.731010900000001</v>
      </c>
      <c r="AG125" s="26">
        <f>Z125</f>
        <v>14.073426599999999</v>
      </c>
      <c r="AH125" s="26">
        <f>M125</f>
        <v>363</v>
      </c>
      <c r="AI125" s="26">
        <f>Q125</f>
        <v>322</v>
      </c>
      <c r="AJ125" s="26">
        <f>X125</f>
        <v>23.4151913</v>
      </c>
      <c r="AK125" s="26">
        <f>AA125</f>
        <v>13.286713300000001</v>
      </c>
      <c r="AL125" s="57">
        <f>N125</f>
        <v>410</v>
      </c>
      <c r="AM125" s="57">
        <f>R125</f>
        <v>304</v>
      </c>
    </row>
    <row r="126" spans="1:39" hidden="1" x14ac:dyDescent="0.3">
      <c r="A126" s="37">
        <v>122</v>
      </c>
      <c r="B126" s="38" t="s">
        <v>521</v>
      </c>
      <c r="C126" s="38" t="s">
        <v>4</v>
      </c>
      <c r="D126" s="38" t="s">
        <v>41</v>
      </c>
      <c r="E126" s="38" t="s">
        <v>44</v>
      </c>
      <c r="F126" s="47" t="s">
        <v>519</v>
      </c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1"/>
      <c r="T126" s="41"/>
      <c r="U126" s="41"/>
      <c r="V126" s="41"/>
      <c r="W126" s="41"/>
      <c r="X126" s="41"/>
      <c r="Y126" s="41"/>
      <c r="Z126" s="41"/>
      <c r="AA126" s="41"/>
    </row>
    <row r="127" spans="1:39" hidden="1" x14ac:dyDescent="0.3">
      <c r="A127" s="37">
        <v>123</v>
      </c>
      <c r="B127" s="38" t="s">
        <v>521</v>
      </c>
      <c r="C127" s="38" t="s">
        <v>4</v>
      </c>
      <c r="D127" s="38" t="s">
        <v>41</v>
      </c>
      <c r="E127" s="38" t="s">
        <v>44</v>
      </c>
      <c r="F127" s="47" t="s">
        <v>520</v>
      </c>
      <c r="G127" s="40">
        <v>1503</v>
      </c>
      <c r="H127" s="40">
        <v>602</v>
      </c>
      <c r="I127" s="40">
        <v>283</v>
      </c>
      <c r="J127" s="40">
        <v>618</v>
      </c>
      <c r="K127" s="40">
        <v>1751</v>
      </c>
      <c r="L127" s="40">
        <v>978</v>
      </c>
      <c r="M127" s="40">
        <v>363</v>
      </c>
      <c r="N127" s="40">
        <v>410</v>
      </c>
      <c r="O127" s="40">
        <v>2288</v>
      </c>
      <c r="P127" s="40">
        <v>1662</v>
      </c>
      <c r="Q127" s="40">
        <v>322</v>
      </c>
      <c r="R127" s="40">
        <v>304</v>
      </c>
      <c r="S127" s="41">
        <v>40.053226899999999</v>
      </c>
      <c r="T127" s="41">
        <v>18.829008600000002</v>
      </c>
      <c r="U127" s="41">
        <v>41.1177645</v>
      </c>
      <c r="V127" s="41">
        <v>55.853797800000002</v>
      </c>
      <c r="W127" s="41">
        <v>20.731010900000001</v>
      </c>
      <c r="X127" s="41">
        <v>23.4151913</v>
      </c>
      <c r="Y127" s="41">
        <v>72.639860100000007</v>
      </c>
      <c r="Z127" s="41">
        <v>14.073426599999999</v>
      </c>
      <c r="AA127" s="41">
        <v>13.286713300000001</v>
      </c>
    </row>
    <row r="128" spans="1:39" x14ac:dyDescent="0.3">
      <c r="A128" s="21">
        <v>124</v>
      </c>
      <c r="B128" s="22" t="s">
        <v>464</v>
      </c>
      <c r="C128" s="22" t="s">
        <v>46</v>
      </c>
      <c r="D128" s="22"/>
      <c r="E128" s="22"/>
      <c r="F128" s="23" t="s">
        <v>46</v>
      </c>
      <c r="G128" s="24">
        <v>629916</v>
      </c>
      <c r="H128" s="24">
        <v>345651</v>
      </c>
      <c r="I128" s="24">
        <v>117239</v>
      </c>
      <c r="J128" s="24">
        <v>167026</v>
      </c>
      <c r="K128" s="24">
        <v>852573</v>
      </c>
      <c r="L128" s="24">
        <v>582667</v>
      </c>
      <c r="M128" s="24">
        <v>131812</v>
      </c>
      <c r="N128" s="24">
        <v>138094</v>
      </c>
      <c r="O128" s="24">
        <v>1069838</v>
      </c>
      <c r="P128" s="24">
        <v>806214</v>
      </c>
      <c r="Q128" s="24">
        <v>124685</v>
      </c>
      <c r="R128" s="24">
        <v>138939</v>
      </c>
      <c r="S128" s="25">
        <v>54.872554399999999</v>
      </c>
      <c r="T128" s="25">
        <v>18.611846700000001</v>
      </c>
      <c r="U128" s="25">
        <v>26.515598900000001</v>
      </c>
      <c r="V128" s="25">
        <v>68.342183000000006</v>
      </c>
      <c r="W128" s="25">
        <v>15.460494300000001</v>
      </c>
      <c r="X128" s="25">
        <v>16.197322700000001</v>
      </c>
      <c r="Y128" s="25">
        <v>75.358512200000007</v>
      </c>
      <c r="Z128" s="25">
        <v>11.654568299999999</v>
      </c>
      <c r="AA128" s="25">
        <v>12.986919500000001</v>
      </c>
      <c r="AC128" s="26">
        <f>W128+X128</f>
        <v>31.657817000000001</v>
      </c>
      <c r="AD128" s="26">
        <f>Z128+AA128</f>
        <v>24.6414878</v>
      </c>
      <c r="AE128" s="57">
        <f>M128+N128</f>
        <v>269906</v>
      </c>
      <c r="AF128" s="57">
        <f>Q128+R128</f>
        <v>263624</v>
      </c>
    </row>
    <row r="129" spans="1:39" hidden="1" x14ac:dyDescent="0.3">
      <c r="A129" s="27">
        <v>125</v>
      </c>
      <c r="B129" s="28" t="s">
        <v>464</v>
      </c>
      <c r="C129" s="48" t="s">
        <v>46</v>
      </c>
      <c r="D129" s="48"/>
      <c r="E129" s="48"/>
      <c r="F129" s="29" t="s">
        <v>519</v>
      </c>
      <c r="G129" s="30">
        <v>398884</v>
      </c>
      <c r="H129" s="30">
        <v>223392</v>
      </c>
      <c r="I129" s="30">
        <v>78379</v>
      </c>
      <c r="J129" s="30">
        <v>97113</v>
      </c>
      <c r="K129" s="30">
        <v>543729</v>
      </c>
      <c r="L129" s="30">
        <v>380330</v>
      </c>
      <c r="M129" s="30">
        <v>84910</v>
      </c>
      <c r="N129" s="30">
        <v>78489</v>
      </c>
      <c r="O129" s="30">
        <v>664447</v>
      </c>
      <c r="P129" s="30">
        <v>525380</v>
      </c>
      <c r="Q129" s="30">
        <v>72242</v>
      </c>
      <c r="R129" s="30">
        <v>66825</v>
      </c>
      <c r="S129" s="31">
        <v>56.0042519</v>
      </c>
      <c r="T129" s="31">
        <v>19.649572299999999</v>
      </c>
      <c r="U129" s="31">
        <v>24.346175800000001</v>
      </c>
      <c r="V129" s="31">
        <v>69.948448600000006</v>
      </c>
      <c r="W129" s="31">
        <v>15.6162353</v>
      </c>
      <c r="X129" s="31">
        <v>14.4353161</v>
      </c>
      <c r="Y129" s="31">
        <v>79.070264399999999</v>
      </c>
      <c r="Z129" s="31">
        <v>10.8725</v>
      </c>
      <c r="AA129" s="31">
        <v>10.0572356</v>
      </c>
    </row>
    <row r="130" spans="1:39" hidden="1" x14ac:dyDescent="0.3">
      <c r="A130" s="27">
        <v>126</v>
      </c>
      <c r="B130" s="28" t="s">
        <v>464</v>
      </c>
      <c r="C130" s="48" t="s">
        <v>46</v>
      </c>
      <c r="D130" s="48"/>
      <c r="E130" s="48"/>
      <c r="F130" s="29" t="s">
        <v>520</v>
      </c>
      <c r="G130" s="30">
        <v>231032</v>
      </c>
      <c r="H130" s="30">
        <v>122259</v>
      </c>
      <c r="I130" s="30">
        <v>38860</v>
      </c>
      <c r="J130" s="30">
        <v>69913</v>
      </c>
      <c r="K130" s="30">
        <v>308844</v>
      </c>
      <c r="L130" s="30">
        <v>202337</v>
      </c>
      <c r="M130" s="30">
        <v>46902</v>
      </c>
      <c r="N130" s="30">
        <v>59605</v>
      </c>
      <c r="O130" s="30">
        <v>405391</v>
      </c>
      <c r="P130" s="30">
        <v>280834</v>
      </c>
      <c r="Q130" s="30">
        <v>52443</v>
      </c>
      <c r="R130" s="30">
        <v>72114</v>
      </c>
      <c r="S130" s="31">
        <v>52.918643299999999</v>
      </c>
      <c r="T130" s="31">
        <v>16.820180799999999</v>
      </c>
      <c r="U130" s="31">
        <v>30.261175900000001</v>
      </c>
      <c r="V130" s="31">
        <v>65.514304999999993</v>
      </c>
      <c r="W130" s="31">
        <v>15.1863077</v>
      </c>
      <c r="X130" s="31">
        <v>19.299387400000001</v>
      </c>
      <c r="Y130" s="31">
        <v>69.274848199999994</v>
      </c>
      <c r="Z130" s="31">
        <v>12.936399700000001</v>
      </c>
      <c r="AA130" s="31">
        <v>17.7887521</v>
      </c>
    </row>
    <row r="131" spans="1:39" hidden="1" x14ac:dyDescent="0.3">
      <c r="A131" s="32">
        <v>127</v>
      </c>
      <c r="B131" s="33" t="s">
        <v>1</v>
      </c>
      <c r="C131" s="49" t="s">
        <v>46</v>
      </c>
      <c r="D131" s="49" t="s">
        <v>47</v>
      </c>
      <c r="E131" s="49"/>
      <c r="F131" s="34" t="s">
        <v>47</v>
      </c>
      <c r="G131" s="35">
        <v>381034</v>
      </c>
      <c r="H131" s="35">
        <v>213235</v>
      </c>
      <c r="I131" s="35">
        <v>75181</v>
      </c>
      <c r="J131" s="35">
        <v>92618</v>
      </c>
      <c r="K131" s="35">
        <v>500086</v>
      </c>
      <c r="L131" s="35">
        <v>351693</v>
      </c>
      <c r="M131" s="35">
        <v>78034</v>
      </c>
      <c r="N131" s="35">
        <v>70359</v>
      </c>
      <c r="O131" s="35">
        <v>579560</v>
      </c>
      <c r="P131" s="35">
        <v>463012</v>
      </c>
      <c r="Q131" s="35">
        <v>62583</v>
      </c>
      <c r="R131" s="35">
        <v>53965</v>
      </c>
      <c r="S131" s="36">
        <v>55.962197600000003</v>
      </c>
      <c r="T131" s="36">
        <v>19.7307852</v>
      </c>
      <c r="U131" s="36">
        <v>24.307017200000001</v>
      </c>
      <c r="V131" s="36">
        <v>70.326503799999998</v>
      </c>
      <c r="W131" s="36">
        <v>15.604116100000001</v>
      </c>
      <c r="X131" s="36">
        <v>14.0693801</v>
      </c>
      <c r="Y131" s="36">
        <v>79.890261600000002</v>
      </c>
      <c r="Z131" s="36">
        <v>10.798364299999999</v>
      </c>
      <c r="AA131" s="36">
        <v>9.3113741000000001</v>
      </c>
    </row>
    <row r="132" spans="1:39" hidden="1" x14ac:dyDescent="0.3">
      <c r="A132" s="37">
        <v>128</v>
      </c>
      <c r="B132" s="38" t="s">
        <v>1</v>
      </c>
      <c r="C132" s="38" t="s">
        <v>46</v>
      </c>
      <c r="D132" s="38" t="s">
        <v>47</v>
      </c>
      <c r="E132" s="38"/>
      <c r="F132" s="39" t="s">
        <v>519</v>
      </c>
      <c r="G132" s="40">
        <v>371367</v>
      </c>
      <c r="H132" s="40">
        <v>208636</v>
      </c>
      <c r="I132" s="40">
        <v>73376</v>
      </c>
      <c r="J132" s="40">
        <v>89355</v>
      </c>
      <c r="K132" s="40">
        <v>485960</v>
      </c>
      <c r="L132" s="40">
        <v>342644</v>
      </c>
      <c r="M132" s="40">
        <v>75677</v>
      </c>
      <c r="N132" s="40">
        <v>67639</v>
      </c>
      <c r="O132" s="40">
        <v>560106</v>
      </c>
      <c r="P132" s="40">
        <v>449441</v>
      </c>
      <c r="Q132" s="40">
        <v>59934</v>
      </c>
      <c r="R132" s="40">
        <v>50731</v>
      </c>
      <c r="S132" s="41">
        <v>56.180543800000002</v>
      </c>
      <c r="T132" s="41">
        <v>19.758352200000001</v>
      </c>
      <c r="U132" s="41">
        <v>24.061104</v>
      </c>
      <c r="V132" s="41">
        <v>70.5086838</v>
      </c>
      <c r="W132" s="41">
        <v>15.5726809</v>
      </c>
      <c r="X132" s="41">
        <v>13.9186353</v>
      </c>
      <c r="Y132" s="41">
        <v>80.242132699999999</v>
      </c>
      <c r="Z132" s="41">
        <v>10.7004746</v>
      </c>
      <c r="AA132" s="41">
        <v>9.0573926999999994</v>
      </c>
    </row>
    <row r="133" spans="1:39" hidden="1" x14ac:dyDescent="0.3">
      <c r="A133" s="37">
        <v>129</v>
      </c>
      <c r="B133" s="38" t="s">
        <v>1</v>
      </c>
      <c r="C133" s="38" t="s">
        <v>46</v>
      </c>
      <c r="D133" s="38" t="s">
        <v>47</v>
      </c>
      <c r="E133" s="38"/>
      <c r="F133" s="39" t="s">
        <v>520</v>
      </c>
      <c r="G133" s="40">
        <v>9667</v>
      </c>
      <c r="H133" s="40">
        <v>4599</v>
      </c>
      <c r="I133" s="40">
        <v>1805</v>
      </c>
      <c r="J133" s="40">
        <v>3263</v>
      </c>
      <c r="K133" s="40">
        <v>14126</v>
      </c>
      <c r="L133" s="40">
        <v>9049</v>
      </c>
      <c r="M133" s="40">
        <v>2357</v>
      </c>
      <c r="N133" s="40">
        <v>2720</v>
      </c>
      <c r="O133" s="40">
        <v>19454</v>
      </c>
      <c r="P133" s="40">
        <v>13571</v>
      </c>
      <c r="Q133" s="40">
        <v>2649</v>
      </c>
      <c r="R133" s="40">
        <v>3234</v>
      </c>
      <c r="S133" s="41">
        <v>47.574221600000001</v>
      </c>
      <c r="T133" s="41">
        <v>18.671769900000001</v>
      </c>
      <c r="U133" s="41">
        <v>33.754008499999998</v>
      </c>
      <c r="V133" s="41">
        <v>64.059181699999996</v>
      </c>
      <c r="W133" s="41">
        <v>16.685544400000001</v>
      </c>
      <c r="X133" s="41">
        <v>19.255274</v>
      </c>
      <c r="Y133" s="41">
        <v>69.759432500000003</v>
      </c>
      <c r="Z133" s="41">
        <v>13.616736899999999</v>
      </c>
      <c r="AA133" s="41">
        <v>16.623830600000002</v>
      </c>
    </row>
    <row r="134" spans="1:39" hidden="1" x14ac:dyDescent="0.3">
      <c r="A134" s="42">
        <v>130</v>
      </c>
      <c r="B134" s="43" t="s">
        <v>521</v>
      </c>
      <c r="C134" s="43" t="s">
        <v>46</v>
      </c>
      <c r="D134" s="43" t="s">
        <v>47</v>
      </c>
      <c r="E134" s="43" t="s">
        <v>48</v>
      </c>
      <c r="F134" s="44" t="s">
        <v>48</v>
      </c>
      <c r="G134" s="45">
        <v>205254</v>
      </c>
      <c r="H134" s="45">
        <v>125589</v>
      </c>
      <c r="I134" s="45">
        <v>38052</v>
      </c>
      <c r="J134" s="45">
        <v>41613</v>
      </c>
      <c r="K134" s="45">
        <v>226458</v>
      </c>
      <c r="L134" s="45">
        <v>168617</v>
      </c>
      <c r="M134" s="45">
        <v>31853</v>
      </c>
      <c r="N134" s="45">
        <v>25988</v>
      </c>
      <c r="O134" s="45">
        <v>250931</v>
      </c>
      <c r="P134" s="45">
        <v>210234</v>
      </c>
      <c r="Q134" s="45">
        <v>22969</v>
      </c>
      <c r="R134" s="45">
        <v>17728</v>
      </c>
      <c r="S134" s="46">
        <v>61.1871145</v>
      </c>
      <c r="T134" s="46">
        <v>18.538981</v>
      </c>
      <c r="U134" s="46">
        <v>20.2739045</v>
      </c>
      <c r="V134" s="46">
        <v>74.458398500000001</v>
      </c>
      <c r="W134" s="46">
        <v>14.0657429</v>
      </c>
      <c r="X134" s="46">
        <v>11.4758587</v>
      </c>
      <c r="Y134" s="46">
        <v>83.781597300000001</v>
      </c>
      <c r="Z134" s="46">
        <v>9.1535122999999992</v>
      </c>
      <c r="AA134" s="46">
        <v>7.0648903000000001</v>
      </c>
      <c r="AB134" s="26">
        <f>SUM(W134:X134)</f>
        <v>25.5416016</v>
      </c>
      <c r="AC134" s="26">
        <f>SUM(Z134:AA134)</f>
        <v>16.218402599999997</v>
      </c>
      <c r="AD134" s="57">
        <f>M134+N134</f>
        <v>57841</v>
      </c>
      <c r="AE134" s="57">
        <f>Q134+R134</f>
        <v>40697</v>
      </c>
      <c r="AF134" s="26">
        <f>W134</f>
        <v>14.0657429</v>
      </c>
      <c r="AG134" s="26">
        <f>Z134</f>
        <v>9.1535122999999992</v>
      </c>
      <c r="AH134" s="26">
        <f>M134</f>
        <v>31853</v>
      </c>
      <c r="AI134" s="26">
        <f>Q134</f>
        <v>22969</v>
      </c>
      <c r="AJ134" s="26">
        <f>X134</f>
        <v>11.4758587</v>
      </c>
      <c r="AK134" s="26">
        <f>AA134</f>
        <v>7.0648903000000001</v>
      </c>
      <c r="AL134" s="57">
        <f>N134</f>
        <v>25988</v>
      </c>
      <c r="AM134" s="57">
        <f>R134</f>
        <v>17728</v>
      </c>
    </row>
    <row r="135" spans="1:39" hidden="1" x14ac:dyDescent="0.3">
      <c r="A135" s="37">
        <v>131</v>
      </c>
      <c r="B135" s="38" t="s">
        <v>521</v>
      </c>
      <c r="C135" s="38" t="s">
        <v>46</v>
      </c>
      <c r="D135" s="38" t="s">
        <v>47</v>
      </c>
      <c r="E135" s="38" t="s">
        <v>48</v>
      </c>
      <c r="F135" s="47" t="s">
        <v>519</v>
      </c>
      <c r="G135" s="40">
        <v>204090</v>
      </c>
      <c r="H135" s="40">
        <v>124907</v>
      </c>
      <c r="I135" s="40">
        <v>37878</v>
      </c>
      <c r="J135" s="40">
        <v>41305</v>
      </c>
      <c r="K135" s="40">
        <v>223734</v>
      </c>
      <c r="L135" s="40">
        <v>166779</v>
      </c>
      <c r="M135" s="40">
        <v>31422</v>
      </c>
      <c r="N135" s="40">
        <v>25533</v>
      </c>
      <c r="O135" s="40">
        <v>247917</v>
      </c>
      <c r="P135" s="40">
        <v>207965</v>
      </c>
      <c r="Q135" s="40">
        <v>22628</v>
      </c>
      <c r="R135" s="40">
        <v>17324</v>
      </c>
      <c r="S135" s="41">
        <v>61.201920700000002</v>
      </c>
      <c r="T135" s="41">
        <v>18.559459100000002</v>
      </c>
      <c r="U135" s="41">
        <v>20.2386202</v>
      </c>
      <c r="V135" s="41">
        <v>74.543430999999998</v>
      </c>
      <c r="W135" s="41">
        <v>14.044356199999999</v>
      </c>
      <c r="X135" s="41">
        <v>11.4122127</v>
      </c>
      <c r="Y135" s="41">
        <v>83.884929200000002</v>
      </c>
      <c r="Z135" s="41">
        <v>9.1272482000000004</v>
      </c>
      <c r="AA135" s="41">
        <v>6.9878225</v>
      </c>
    </row>
    <row r="136" spans="1:39" hidden="1" x14ac:dyDescent="0.3">
      <c r="A136" s="37">
        <v>132</v>
      </c>
      <c r="B136" s="38" t="s">
        <v>521</v>
      </c>
      <c r="C136" s="38" t="s">
        <v>46</v>
      </c>
      <c r="D136" s="38" t="s">
        <v>47</v>
      </c>
      <c r="E136" s="38" t="s">
        <v>48</v>
      </c>
      <c r="F136" s="47" t="s">
        <v>520</v>
      </c>
      <c r="G136" s="40">
        <v>1164</v>
      </c>
      <c r="H136" s="40">
        <v>682</v>
      </c>
      <c r="I136" s="40">
        <v>174</v>
      </c>
      <c r="J136" s="40">
        <v>308</v>
      </c>
      <c r="K136" s="40">
        <v>2724</v>
      </c>
      <c r="L136" s="40">
        <v>1838</v>
      </c>
      <c r="M136" s="40">
        <v>431</v>
      </c>
      <c r="N136" s="40">
        <v>455</v>
      </c>
      <c r="O136" s="40">
        <v>3014</v>
      </c>
      <c r="P136" s="40">
        <v>2269</v>
      </c>
      <c r="Q136" s="40">
        <v>341</v>
      </c>
      <c r="R136" s="40">
        <v>404</v>
      </c>
      <c r="S136" s="41">
        <v>58.591065299999997</v>
      </c>
      <c r="T136" s="41">
        <v>14.948453600000001</v>
      </c>
      <c r="U136" s="41">
        <v>26.460481099999999</v>
      </c>
      <c r="V136" s="41">
        <v>67.474302499999993</v>
      </c>
      <c r="W136" s="41">
        <v>15.822320100000001</v>
      </c>
      <c r="X136" s="41">
        <v>16.703377400000001</v>
      </c>
      <c r="Y136" s="41">
        <v>75.282017300000007</v>
      </c>
      <c r="Z136" s="41">
        <v>11.313868599999999</v>
      </c>
      <c r="AA136" s="41">
        <v>13.404114099999999</v>
      </c>
    </row>
    <row r="137" spans="1:39" hidden="1" x14ac:dyDescent="0.3">
      <c r="A137" s="42">
        <v>133</v>
      </c>
      <c r="B137" s="43" t="s">
        <v>521</v>
      </c>
      <c r="C137" s="50" t="s">
        <v>46</v>
      </c>
      <c r="D137" s="50" t="s">
        <v>47</v>
      </c>
      <c r="E137" s="50" t="s">
        <v>49</v>
      </c>
      <c r="F137" s="51" t="s">
        <v>49</v>
      </c>
      <c r="G137" s="45">
        <v>3610</v>
      </c>
      <c r="H137" s="45">
        <v>1570</v>
      </c>
      <c r="I137" s="45">
        <v>664</v>
      </c>
      <c r="J137" s="45">
        <v>1376</v>
      </c>
      <c r="K137" s="45">
        <v>4853</v>
      </c>
      <c r="L137" s="45">
        <v>2818</v>
      </c>
      <c r="M137" s="45">
        <v>906</v>
      </c>
      <c r="N137" s="45">
        <v>1129</v>
      </c>
      <c r="O137" s="45">
        <v>7585</v>
      </c>
      <c r="P137" s="45">
        <v>5045</v>
      </c>
      <c r="Q137" s="45">
        <v>1202</v>
      </c>
      <c r="R137" s="45">
        <v>1338</v>
      </c>
      <c r="S137" s="46">
        <v>43.490304700000003</v>
      </c>
      <c r="T137" s="46">
        <v>18.393351800000001</v>
      </c>
      <c r="U137" s="46">
        <v>38.116343499999999</v>
      </c>
      <c r="V137" s="46">
        <v>58.067174899999998</v>
      </c>
      <c r="W137" s="46">
        <v>18.668864599999999</v>
      </c>
      <c r="X137" s="46">
        <v>23.263960399999998</v>
      </c>
      <c r="Y137" s="46">
        <v>66.512854300000001</v>
      </c>
      <c r="Z137" s="46">
        <v>15.8470666</v>
      </c>
      <c r="AA137" s="46">
        <v>17.640079100000001</v>
      </c>
      <c r="AB137" s="26">
        <f>SUM(W137:X137)</f>
        <v>41.932824999999994</v>
      </c>
      <c r="AC137" s="26">
        <f>SUM(Z137:AA137)</f>
        <v>33.487145699999999</v>
      </c>
      <c r="AD137" s="57">
        <f>M137+N137</f>
        <v>2035</v>
      </c>
      <c r="AE137" s="57">
        <f>Q137+R137</f>
        <v>2540</v>
      </c>
      <c r="AF137" s="26">
        <f>W137</f>
        <v>18.668864599999999</v>
      </c>
      <c r="AG137" s="26">
        <f>Z137</f>
        <v>15.8470666</v>
      </c>
      <c r="AH137" s="26">
        <f>M137</f>
        <v>906</v>
      </c>
      <c r="AI137" s="26">
        <f>Q137</f>
        <v>1202</v>
      </c>
      <c r="AJ137" s="26">
        <f>X137</f>
        <v>23.263960399999998</v>
      </c>
      <c r="AK137" s="26">
        <f>AA137</f>
        <v>17.640079100000001</v>
      </c>
      <c r="AL137" s="57">
        <f>N137</f>
        <v>1129</v>
      </c>
      <c r="AM137" s="57">
        <f>R137</f>
        <v>1338</v>
      </c>
    </row>
    <row r="138" spans="1:39" hidden="1" x14ac:dyDescent="0.3">
      <c r="A138" s="37">
        <v>134</v>
      </c>
      <c r="B138" s="38" t="s">
        <v>521</v>
      </c>
      <c r="C138" s="38" t="s">
        <v>46</v>
      </c>
      <c r="D138" s="38" t="s">
        <v>47</v>
      </c>
      <c r="E138" s="38" t="s">
        <v>49</v>
      </c>
      <c r="F138" s="47" t="s">
        <v>519</v>
      </c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1"/>
      <c r="T138" s="41"/>
      <c r="U138" s="41"/>
      <c r="V138" s="41"/>
      <c r="W138" s="41"/>
      <c r="X138" s="41"/>
      <c r="Y138" s="41"/>
      <c r="Z138" s="41"/>
      <c r="AA138" s="41"/>
    </row>
    <row r="139" spans="1:39" hidden="1" x14ac:dyDescent="0.3">
      <c r="A139" s="37">
        <v>135</v>
      </c>
      <c r="B139" s="38" t="s">
        <v>521</v>
      </c>
      <c r="C139" s="38" t="s">
        <v>46</v>
      </c>
      <c r="D139" s="38" t="s">
        <v>47</v>
      </c>
      <c r="E139" s="38" t="s">
        <v>49</v>
      </c>
      <c r="F139" s="47" t="s">
        <v>520</v>
      </c>
      <c r="G139" s="40">
        <v>3610</v>
      </c>
      <c r="H139" s="40">
        <v>1570</v>
      </c>
      <c r="I139" s="40">
        <v>664</v>
      </c>
      <c r="J139" s="40">
        <v>1376</v>
      </c>
      <c r="K139" s="40">
        <v>4853</v>
      </c>
      <c r="L139" s="40">
        <v>2818</v>
      </c>
      <c r="M139" s="40">
        <v>906</v>
      </c>
      <c r="N139" s="40">
        <v>1129</v>
      </c>
      <c r="O139" s="40">
        <v>7585</v>
      </c>
      <c r="P139" s="40">
        <v>5045</v>
      </c>
      <c r="Q139" s="40">
        <v>1202</v>
      </c>
      <c r="R139" s="40">
        <v>1338</v>
      </c>
      <c r="S139" s="41">
        <v>43.490304700000003</v>
      </c>
      <c r="T139" s="41">
        <v>18.393351800000001</v>
      </c>
      <c r="U139" s="41">
        <v>38.116343499999999</v>
      </c>
      <c r="V139" s="41">
        <v>58.067174899999998</v>
      </c>
      <c r="W139" s="41">
        <v>18.668864599999999</v>
      </c>
      <c r="X139" s="41">
        <v>23.263960399999998</v>
      </c>
      <c r="Y139" s="41">
        <v>66.512854300000001</v>
      </c>
      <c r="Z139" s="41">
        <v>15.8470666</v>
      </c>
      <c r="AA139" s="41">
        <v>17.640079100000001</v>
      </c>
    </row>
    <row r="140" spans="1:39" hidden="1" x14ac:dyDescent="0.3">
      <c r="A140" s="42">
        <v>136</v>
      </c>
      <c r="B140" s="43" t="s">
        <v>521</v>
      </c>
      <c r="C140" s="50" t="s">
        <v>46</v>
      </c>
      <c r="D140" s="50" t="s">
        <v>47</v>
      </c>
      <c r="E140" s="50" t="s">
        <v>50</v>
      </c>
      <c r="F140" s="51" t="s">
        <v>50</v>
      </c>
      <c r="G140" s="45">
        <v>2942</v>
      </c>
      <c r="H140" s="45">
        <v>1396</v>
      </c>
      <c r="I140" s="45">
        <v>606</v>
      </c>
      <c r="J140" s="45">
        <v>940</v>
      </c>
      <c r="K140" s="45">
        <v>4772</v>
      </c>
      <c r="L140" s="45">
        <v>3263</v>
      </c>
      <c r="M140" s="45">
        <v>743</v>
      </c>
      <c r="N140" s="45">
        <v>766</v>
      </c>
      <c r="O140" s="45">
        <v>6849</v>
      </c>
      <c r="P140" s="45">
        <v>5102</v>
      </c>
      <c r="Q140" s="45">
        <v>811</v>
      </c>
      <c r="R140" s="45">
        <v>936</v>
      </c>
      <c r="S140" s="46">
        <v>47.450713800000003</v>
      </c>
      <c r="T140" s="46">
        <v>20.598232500000002</v>
      </c>
      <c r="U140" s="46">
        <v>31.951053699999999</v>
      </c>
      <c r="V140" s="46">
        <v>68.378038599999996</v>
      </c>
      <c r="W140" s="46">
        <v>15.5699916</v>
      </c>
      <c r="X140" s="46">
        <v>16.051969799999998</v>
      </c>
      <c r="Y140" s="46">
        <v>74.492626700000002</v>
      </c>
      <c r="Z140" s="46">
        <v>11.841144699999999</v>
      </c>
      <c r="AA140" s="46">
        <v>13.6662286</v>
      </c>
      <c r="AB140" s="26">
        <f>SUM(W140:X140)</f>
        <v>31.621961399999996</v>
      </c>
      <c r="AC140" s="26">
        <f>SUM(Z140:AA140)</f>
        <v>25.507373299999998</v>
      </c>
      <c r="AD140" s="57">
        <f>M140+N140</f>
        <v>1509</v>
      </c>
      <c r="AE140" s="57">
        <f>Q140+R140</f>
        <v>1747</v>
      </c>
      <c r="AF140" s="26">
        <f>W140</f>
        <v>15.5699916</v>
      </c>
      <c r="AG140" s="26">
        <f>Z140</f>
        <v>11.841144699999999</v>
      </c>
      <c r="AH140" s="26">
        <f>M140</f>
        <v>743</v>
      </c>
      <c r="AI140" s="26">
        <f>Q140</f>
        <v>811</v>
      </c>
      <c r="AJ140" s="26">
        <f>X140</f>
        <v>16.051969799999998</v>
      </c>
      <c r="AK140" s="26">
        <f>AA140</f>
        <v>13.6662286</v>
      </c>
      <c r="AL140" s="57">
        <f>N140</f>
        <v>766</v>
      </c>
      <c r="AM140" s="57">
        <f>R140</f>
        <v>936</v>
      </c>
    </row>
    <row r="141" spans="1:39" hidden="1" x14ac:dyDescent="0.3">
      <c r="A141" s="37">
        <v>137</v>
      </c>
      <c r="B141" s="38" t="s">
        <v>521</v>
      </c>
      <c r="C141" s="38" t="s">
        <v>46</v>
      </c>
      <c r="D141" s="38" t="s">
        <v>47</v>
      </c>
      <c r="E141" s="38" t="s">
        <v>50</v>
      </c>
      <c r="F141" s="47" t="s">
        <v>519</v>
      </c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1"/>
      <c r="T141" s="41"/>
      <c r="U141" s="41"/>
      <c r="V141" s="41"/>
      <c r="W141" s="41"/>
      <c r="X141" s="41"/>
      <c r="Y141" s="41"/>
      <c r="Z141" s="41"/>
      <c r="AA141" s="41"/>
    </row>
    <row r="142" spans="1:39" hidden="1" x14ac:dyDescent="0.3">
      <c r="A142" s="37">
        <v>138</v>
      </c>
      <c r="B142" s="38" t="s">
        <v>521</v>
      </c>
      <c r="C142" s="38" t="s">
        <v>46</v>
      </c>
      <c r="D142" s="38" t="s">
        <v>47</v>
      </c>
      <c r="E142" s="38" t="s">
        <v>50</v>
      </c>
      <c r="F142" s="47" t="s">
        <v>520</v>
      </c>
      <c r="G142" s="40">
        <v>2942</v>
      </c>
      <c r="H142" s="40">
        <v>1396</v>
      </c>
      <c r="I142" s="40">
        <v>606</v>
      </c>
      <c r="J142" s="40">
        <v>940</v>
      </c>
      <c r="K142" s="40">
        <v>4772</v>
      </c>
      <c r="L142" s="40">
        <v>3263</v>
      </c>
      <c r="M142" s="40">
        <v>743</v>
      </c>
      <c r="N142" s="40">
        <v>766</v>
      </c>
      <c r="O142" s="40">
        <v>6849</v>
      </c>
      <c r="P142" s="40">
        <v>5102</v>
      </c>
      <c r="Q142" s="40">
        <v>811</v>
      </c>
      <c r="R142" s="40">
        <v>936</v>
      </c>
      <c r="S142" s="41">
        <v>47.450713800000003</v>
      </c>
      <c r="T142" s="41">
        <v>20.598232500000002</v>
      </c>
      <c r="U142" s="41">
        <v>31.951053699999999</v>
      </c>
      <c r="V142" s="41">
        <v>68.378038599999996</v>
      </c>
      <c r="W142" s="41">
        <v>15.5699916</v>
      </c>
      <c r="X142" s="41">
        <v>16.051969799999998</v>
      </c>
      <c r="Y142" s="41">
        <v>74.492626700000002</v>
      </c>
      <c r="Z142" s="41">
        <v>11.841144699999999</v>
      </c>
      <c r="AA142" s="41">
        <v>13.6662286</v>
      </c>
    </row>
    <row r="143" spans="1:39" hidden="1" x14ac:dyDescent="0.3">
      <c r="A143" s="42">
        <v>139</v>
      </c>
      <c r="B143" s="43" t="s">
        <v>521</v>
      </c>
      <c r="C143" s="50" t="s">
        <v>46</v>
      </c>
      <c r="D143" s="50" t="s">
        <v>47</v>
      </c>
      <c r="E143" s="50" t="s">
        <v>51</v>
      </c>
      <c r="F143" s="51" t="s">
        <v>51</v>
      </c>
      <c r="G143" s="45">
        <v>3908</v>
      </c>
      <c r="H143" s="45">
        <v>2005</v>
      </c>
      <c r="I143" s="45">
        <v>747</v>
      </c>
      <c r="J143" s="45">
        <v>1156</v>
      </c>
      <c r="K143" s="45">
        <v>7151</v>
      </c>
      <c r="L143" s="45">
        <v>4857</v>
      </c>
      <c r="M143" s="45">
        <v>1073</v>
      </c>
      <c r="N143" s="45">
        <v>1221</v>
      </c>
      <c r="O143" s="45">
        <v>16297</v>
      </c>
      <c r="P143" s="45">
        <v>11623</v>
      </c>
      <c r="Q143" s="45">
        <v>1854</v>
      </c>
      <c r="R143" s="45">
        <v>2820</v>
      </c>
      <c r="S143" s="46">
        <v>51.305015400000002</v>
      </c>
      <c r="T143" s="46">
        <v>19.114636600000001</v>
      </c>
      <c r="U143" s="46">
        <v>29.580348000000001</v>
      </c>
      <c r="V143" s="46">
        <v>67.920570499999997</v>
      </c>
      <c r="W143" s="46">
        <v>15.0048944</v>
      </c>
      <c r="X143" s="46">
        <v>17.074535000000001</v>
      </c>
      <c r="Y143" s="46">
        <v>71.319874799999994</v>
      </c>
      <c r="Z143" s="46">
        <v>11.3763269</v>
      </c>
      <c r="AA143" s="46">
        <v>17.303798199999999</v>
      </c>
      <c r="AB143" s="26">
        <f>SUM(W143:X143)</f>
        <v>32.079429400000002</v>
      </c>
      <c r="AC143" s="26">
        <f>SUM(Z143:AA143)</f>
        <v>28.680125099999998</v>
      </c>
      <c r="AD143" s="57">
        <f>M143+N143</f>
        <v>2294</v>
      </c>
      <c r="AE143" s="57">
        <f>Q143+R143</f>
        <v>4674</v>
      </c>
      <c r="AF143" s="26">
        <f>W143</f>
        <v>15.0048944</v>
      </c>
      <c r="AG143" s="26">
        <f>Z143</f>
        <v>11.3763269</v>
      </c>
      <c r="AH143" s="26">
        <f>M143</f>
        <v>1073</v>
      </c>
      <c r="AI143" s="26">
        <f>Q143</f>
        <v>1854</v>
      </c>
      <c r="AJ143" s="26">
        <f>X143</f>
        <v>17.074535000000001</v>
      </c>
      <c r="AK143" s="26">
        <f>AA143</f>
        <v>17.303798199999999</v>
      </c>
      <c r="AL143" s="57">
        <f>N143</f>
        <v>1221</v>
      </c>
      <c r="AM143" s="57">
        <f>R143</f>
        <v>2820</v>
      </c>
    </row>
    <row r="144" spans="1:39" hidden="1" x14ac:dyDescent="0.3">
      <c r="A144" s="37">
        <v>140</v>
      </c>
      <c r="B144" s="38" t="s">
        <v>521</v>
      </c>
      <c r="C144" s="38" t="s">
        <v>46</v>
      </c>
      <c r="D144" s="38" t="s">
        <v>47</v>
      </c>
      <c r="E144" s="38" t="s">
        <v>51</v>
      </c>
      <c r="F144" s="47" t="s">
        <v>519</v>
      </c>
      <c r="G144" s="40">
        <v>2643</v>
      </c>
      <c r="H144" s="40">
        <v>1367</v>
      </c>
      <c r="I144" s="40">
        <v>515</v>
      </c>
      <c r="J144" s="40">
        <v>761</v>
      </c>
      <c r="K144" s="40">
        <v>6010</v>
      </c>
      <c r="L144" s="40">
        <v>4151</v>
      </c>
      <c r="M144" s="40">
        <v>888</v>
      </c>
      <c r="N144" s="40">
        <v>971</v>
      </c>
      <c r="O144" s="40">
        <v>14474</v>
      </c>
      <c r="P144" s="40">
        <v>10543</v>
      </c>
      <c r="Q144" s="40">
        <v>1582</v>
      </c>
      <c r="R144" s="40">
        <v>2349</v>
      </c>
      <c r="S144" s="41">
        <v>51.721528599999999</v>
      </c>
      <c r="T144" s="41">
        <v>19.485433199999999</v>
      </c>
      <c r="U144" s="41">
        <v>28.793038200000002</v>
      </c>
      <c r="V144" s="41">
        <v>69.068219600000006</v>
      </c>
      <c r="W144" s="41">
        <v>14.7753744</v>
      </c>
      <c r="X144" s="41">
        <v>16.156406</v>
      </c>
      <c r="Y144" s="41">
        <v>72.840956199999994</v>
      </c>
      <c r="Z144" s="41">
        <v>10.9299433</v>
      </c>
      <c r="AA144" s="41">
        <v>16.229100500000001</v>
      </c>
    </row>
    <row r="145" spans="1:39" hidden="1" x14ac:dyDescent="0.3">
      <c r="A145" s="37">
        <v>141</v>
      </c>
      <c r="B145" s="38" t="s">
        <v>521</v>
      </c>
      <c r="C145" s="38" t="s">
        <v>46</v>
      </c>
      <c r="D145" s="38" t="s">
        <v>47</v>
      </c>
      <c r="E145" s="38" t="s">
        <v>51</v>
      </c>
      <c r="F145" s="47" t="s">
        <v>520</v>
      </c>
      <c r="G145" s="40">
        <v>1265</v>
      </c>
      <c r="H145" s="40">
        <v>638</v>
      </c>
      <c r="I145" s="40">
        <v>232</v>
      </c>
      <c r="J145" s="40">
        <v>395</v>
      </c>
      <c r="K145" s="40">
        <v>1141</v>
      </c>
      <c r="L145" s="40">
        <v>706</v>
      </c>
      <c r="M145" s="40">
        <v>185</v>
      </c>
      <c r="N145" s="40">
        <v>250</v>
      </c>
      <c r="O145" s="40">
        <v>1823</v>
      </c>
      <c r="P145" s="40">
        <v>1080</v>
      </c>
      <c r="Q145" s="40">
        <v>272</v>
      </c>
      <c r="R145" s="40">
        <v>471</v>
      </c>
      <c r="S145" s="41">
        <v>50.434782599999998</v>
      </c>
      <c r="T145" s="41">
        <v>18.339920899999999</v>
      </c>
      <c r="U145" s="41">
        <v>31.225296400000001</v>
      </c>
      <c r="V145" s="41">
        <v>61.8755478</v>
      </c>
      <c r="W145" s="41">
        <v>16.2138475</v>
      </c>
      <c r="X145" s="41">
        <v>21.9106047</v>
      </c>
      <c r="Y145" s="41">
        <v>59.243006000000001</v>
      </c>
      <c r="Z145" s="41">
        <v>14.920460800000001</v>
      </c>
      <c r="AA145" s="41">
        <v>25.836533200000002</v>
      </c>
    </row>
    <row r="146" spans="1:39" hidden="1" x14ac:dyDescent="0.3">
      <c r="A146" s="42">
        <v>142</v>
      </c>
      <c r="B146" s="43" t="s">
        <v>521</v>
      </c>
      <c r="C146" s="50" t="s">
        <v>46</v>
      </c>
      <c r="D146" s="50" t="s">
        <v>47</v>
      </c>
      <c r="E146" s="50" t="s">
        <v>52</v>
      </c>
      <c r="F146" s="51" t="s">
        <v>52</v>
      </c>
      <c r="G146" s="45">
        <v>165320</v>
      </c>
      <c r="H146" s="45">
        <v>82675</v>
      </c>
      <c r="I146" s="45">
        <v>35112</v>
      </c>
      <c r="J146" s="45">
        <v>47533</v>
      </c>
      <c r="K146" s="45">
        <v>256852</v>
      </c>
      <c r="L146" s="45">
        <v>172138</v>
      </c>
      <c r="M146" s="45">
        <v>43459</v>
      </c>
      <c r="N146" s="45">
        <v>41255</v>
      </c>
      <c r="O146" s="45">
        <v>297898</v>
      </c>
      <c r="P146" s="45">
        <v>231008</v>
      </c>
      <c r="Q146" s="45">
        <v>35747</v>
      </c>
      <c r="R146" s="45">
        <v>31143</v>
      </c>
      <c r="S146" s="46">
        <v>50.009073299999997</v>
      </c>
      <c r="T146" s="46">
        <v>21.2388096</v>
      </c>
      <c r="U146" s="46">
        <v>28.7521171</v>
      </c>
      <c r="V146" s="46">
        <v>67.018360799999996</v>
      </c>
      <c r="W146" s="46">
        <v>16.919860499999999</v>
      </c>
      <c r="X146" s="46">
        <v>16.061778799999999</v>
      </c>
      <c r="Y146" s="46">
        <v>77.546005699999995</v>
      </c>
      <c r="Z146" s="46">
        <v>11.9997449</v>
      </c>
      <c r="AA146" s="46">
        <v>10.4542494</v>
      </c>
      <c r="AB146" s="26">
        <f>SUM(W146:X146)</f>
        <v>32.981639299999998</v>
      </c>
      <c r="AC146" s="26">
        <f>SUM(Z146:AA146)</f>
        <v>22.453994299999998</v>
      </c>
      <c r="AD146" s="57">
        <f>M146+N146</f>
        <v>84714</v>
      </c>
      <c r="AE146" s="57">
        <f>Q146+R146</f>
        <v>66890</v>
      </c>
      <c r="AF146" s="26">
        <f>W146</f>
        <v>16.919860499999999</v>
      </c>
      <c r="AG146" s="26">
        <f>Z146</f>
        <v>11.9997449</v>
      </c>
      <c r="AH146" s="26">
        <f>M146</f>
        <v>43459</v>
      </c>
      <c r="AI146" s="26">
        <f>Q146</f>
        <v>35747</v>
      </c>
      <c r="AJ146" s="26">
        <f>X146</f>
        <v>16.061778799999999</v>
      </c>
      <c r="AK146" s="26">
        <f>AA146</f>
        <v>10.4542494</v>
      </c>
      <c r="AL146" s="57">
        <f>N146</f>
        <v>41255</v>
      </c>
      <c r="AM146" s="57">
        <f>R146</f>
        <v>31143</v>
      </c>
    </row>
    <row r="147" spans="1:39" hidden="1" x14ac:dyDescent="0.3">
      <c r="A147" s="37">
        <v>143</v>
      </c>
      <c r="B147" s="38" t="s">
        <v>521</v>
      </c>
      <c r="C147" s="38" t="s">
        <v>46</v>
      </c>
      <c r="D147" s="38" t="s">
        <v>47</v>
      </c>
      <c r="E147" s="38" t="s">
        <v>52</v>
      </c>
      <c r="F147" s="47" t="s">
        <v>519</v>
      </c>
      <c r="G147" s="40">
        <v>164634</v>
      </c>
      <c r="H147" s="40">
        <v>82362</v>
      </c>
      <c r="I147" s="40">
        <v>34983</v>
      </c>
      <c r="J147" s="40">
        <v>47289</v>
      </c>
      <c r="K147" s="40">
        <v>256216</v>
      </c>
      <c r="L147" s="40">
        <v>171714</v>
      </c>
      <c r="M147" s="40">
        <v>43367</v>
      </c>
      <c r="N147" s="40">
        <v>41135</v>
      </c>
      <c r="O147" s="40">
        <v>297715</v>
      </c>
      <c r="P147" s="40">
        <v>230933</v>
      </c>
      <c r="Q147" s="40">
        <v>35724</v>
      </c>
      <c r="R147" s="40">
        <v>31058</v>
      </c>
      <c r="S147" s="41">
        <v>50.027333400000003</v>
      </c>
      <c r="T147" s="41">
        <v>21.248952200000002</v>
      </c>
      <c r="U147" s="41">
        <v>28.723714399999999</v>
      </c>
      <c r="V147" s="41">
        <v>67.019233799999995</v>
      </c>
      <c r="W147" s="41">
        <v>16.925953100000001</v>
      </c>
      <c r="X147" s="41">
        <v>16.054813100000001</v>
      </c>
      <c r="Y147" s="41">
        <v>77.5684799</v>
      </c>
      <c r="Z147" s="41">
        <v>11.999395399999999</v>
      </c>
      <c r="AA147" s="41">
        <v>10.432124699999999</v>
      </c>
    </row>
    <row r="148" spans="1:39" hidden="1" x14ac:dyDescent="0.3">
      <c r="A148" s="37">
        <v>144</v>
      </c>
      <c r="B148" s="38" t="s">
        <v>521</v>
      </c>
      <c r="C148" s="38" t="s">
        <v>46</v>
      </c>
      <c r="D148" s="38" t="s">
        <v>47</v>
      </c>
      <c r="E148" s="38" t="s">
        <v>52</v>
      </c>
      <c r="F148" s="47" t="s">
        <v>520</v>
      </c>
      <c r="G148" s="40">
        <v>686</v>
      </c>
      <c r="H148" s="40">
        <v>313</v>
      </c>
      <c r="I148" s="40">
        <v>129</v>
      </c>
      <c r="J148" s="40">
        <v>244</v>
      </c>
      <c r="K148" s="40">
        <v>636</v>
      </c>
      <c r="L148" s="40">
        <v>424</v>
      </c>
      <c r="M148" s="40">
        <v>92</v>
      </c>
      <c r="N148" s="40">
        <v>120</v>
      </c>
      <c r="O148" s="40">
        <v>183</v>
      </c>
      <c r="P148" s="40">
        <v>75</v>
      </c>
      <c r="Q148" s="40">
        <v>23</v>
      </c>
      <c r="R148" s="40">
        <v>85</v>
      </c>
      <c r="S148" s="41">
        <v>45.626822199999999</v>
      </c>
      <c r="T148" s="41">
        <v>18.8046647</v>
      </c>
      <c r="U148" s="41">
        <v>35.568513099999997</v>
      </c>
      <c r="V148" s="41">
        <v>66.666666699999993</v>
      </c>
      <c r="W148" s="41">
        <v>14.465408800000001</v>
      </c>
      <c r="X148" s="41">
        <v>18.867924500000001</v>
      </c>
      <c r="Y148" s="41">
        <v>40.983606600000002</v>
      </c>
      <c r="Z148" s="41">
        <v>12.568306</v>
      </c>
      <c r="AA148" s="41">
        <v>46.448087399999999</v>
      </c>
    </row>
    <row r="149" spans="1:39" hidden="1" x14ac:dyDescent="0.3">
      <c r="A149" s="32">
        <v>145</v>
      </c>
      <c r="B149" s="33" t="s">
        <v>1</v>
      </c>
      <c r="C149" s="49" t="s">
        <v>46</v>
      </c>
      <c r="D149" s="49" t="s">
        <v>53</v>
      </c>
      <c r="E149" s="49"/>
      <c r="F149" s="34" t="s">
        <v>53</v>
      </c>
      <c r="G149" s="35">
        <v>26051</v>
      </c>
      <c r="H149" s="35">
        <v>14669</v>
      </c>
      <c r="I149" s="35">
        <v>4416</v>
      </c>
      <c r="J149" s="35">
        <v>6966</v>
      </c>
      <c r="K149" s="35">
        <v>32043</v>
      </c>
      <c r="L149" s="35">
        <v>23702</v>
      </c>
      <c r="M149" s="35">
        <v>4353</v>
      </c>
      <c r="N149" s="35">
        <v>3988</v>
      </c>
      <c r="O149" s="35">
        <v>38628</v>
      </c>
      <c r="P149" s="35">
        <v>29898</v>
      </c>
      <c r="Q149" s="35">
        <v>4002</v>
      </c>
      <c r="R149" s="35">
        <v>4728</v>
      </c>
      <c r="S149" s="36">
        <v>56.3087789</v>
      </c>
      <c r="T149" s="36">
        <v>16.951364600000002</v>
      </c>
      <c r="U149" s="36">
        <v>26.739856400000001</v>
      </c>
      <c r="V149" s="36">
        <v>73.969353699999999</v>
      </c>
      <c r="W149" s="36">
        <v>13.5848703</v>
      </c>
      <c r="X149" s="36">
        <v>12.445776</v>
      </c>
      <c r="Y149" s="36">
        <v>77.399813600000002</v>
      </c>
      <c r="Z149" s="36">
        <v>10.360360399999999</v>
      </c>
      <c r="AA149" s="36">
        <v>12.239826000000001</v>
      </c>
    </row>
    <row r="150" spans="1:39" hidden="1" x14ac:dyDescent="0.3">
      <c r="A150" s="37">
        <v>146</v>
      </c>
      <c r="B150" s="38" t="s">
        <v>1</v>
      </c>
      <c r="C150" s="38" t="s">
        <v>46</v>
      </c>
      <c r="D150" s="38" t="s">
        <v>53</v>
      </c>
      <c r="E150" s="38"/>
      <c r="F150" s="39" t="s">
        <v>519</v>
      </c>
      <c r="G150" s="40">
        <v>2401</v>
      </c>
      <c r="H150" s="40">
        <v>1562</v>
      </c>
      <c r="I150" s="40">
        <v>357</v>
      </c>
      <c r="J150" s="40">
        <v>482</v>
      </c>
      <c r="K150" s="40">
        <v>3307</v>
      </c>
      <c r="L150" s="40">
        <v>2552</v>
      </c>
      <c r="M150" s="40">
        <v>422</v>
      </c>
      <c r="N150" s="40">
        <v>333</v>
      </c>
      <c r="O150" s="40">
        <v>3554</v>
      </c>
      <c r="P150" s="40">
        <v>2879</v>
      </c>
      <c r="Q150" s="40">
        <v>381</v>
      </c>
      <c r="R150" s="40">
        <v>294</v>
      </c>
      <c r="S150" s="41">
        <v>65.056226600000002</v>
      </c>
      <c r="T150" s="41">
        <v>14.8688047</v>
      </c>
      <c r="U150" s="41">
        <v>20.074968800000001</v>
      </c>
      <c r="V150" s="41">
        <v>77.169640200000003</v>
      </c>
      <c r="W150" s="41">
        <v>12.7608104</v>
      </c>
      <c r="X150" s="41">
        <v>10.0695494</v>
      </c>
      <c r="Y150" s="41">
        <v>81.007315700000007</v>
      </c>
      <c r="Z150" s="41">
        <v>10.720315100000001</v>
      </c>
      <c r="AA150" s="41">
        <v>8.2723692</v>
      </c>
    </row>
    <row r="151" spans="1:39" hidden="1" x14ac:dyDescent="0.3">
      <c r="A151" s="37">
        <v>147</v>
      </c>
      <c r="B151" s="38" t="s">
        <v>1</v>
      </c>
      <c r="C151" s="38" t="s">
        <v>46</v>
      </c>
      <c r="D151" s="38" t="s">
        <v>53</v>
      </c>
      <c r="E151" s="38"/>
      <c r="F151" s="39" t="s">
        <v>520</v>
      </c>
      <c r="G151" s="40">
        <v>23650</v>
      </c>
      <c r="H151" s="40">
        <v>13107</v>
      </c>
      <c r="I151" s="40">
        <v>4059</v>
      </c>
      <c r="J151" s="40">
        <v>6484</v>
      </c>
      <c r="K151" s="40">
        <v>28736</v>
      </c>
      <c r="L151" s="40">
        <v>21150</v>
      </c>
      <c r="M151" s="40">
        <v>3931</v>
      </c>
      <c r="N151" s="40">
        <v>3655</v>
      </c>
      <c r="O151" s="40">
        <v>35074</v>
      </c>
      <c r="P151" s="40">
        <v>27019</v>
      </c>
      <c r="Q151" s="40">
        <v>3621</v>
      </c>
      <c r="R151" s="40">
        <v>4434</v>
      </c>
      <c r="S151" s="41">
        <v>55.420718800000003</v>
      </c>
      <c r="T151" s="41">
        <v>17.162790699999999</v>
      </c>
      <c r="U151" s="41">
        <v>27.416490499999998</v>
      </c>
      <c r="V151" s="41">
        <v>73.601057900000001</v>
      </c>
      <c r="W151" s="41">
        <v>13.679704900000001</v>
      </c>
      <c r="X151" s="41">
        <v>12.7192372</v>
      </c>
      <c r="Y151" s="41">
        <v>77.034270399999997</v>
      </c>
      <c r="Z151" s="41">
        <v>10.3238866</v>
      </c>
      <c r="AA151" s="41">
        <v>12.641843</v>
      </c>
    </row>
    <row r="152" spans="1:39" hidden="1" x14ac:dyDescent="0.3">
      <c r="A152" s="42">
        <v>148</v>
      </c>
      <c r="B152" s="43" t="s">
        <v>521</v>
      </c>
      <c r="C152" s="50" t="s">
        <v>46</v>
      </c>
      <c r="D152" s="50" t="s">
        <v>53</v>
      </c>
      <c r="E152" s="50" t="s">
        <v>54</v>
      </c>
      <c r="F152" s="51" t="s">
        <v>54</v>
      </c>
      <c r="G152" s="45">
        <v>13306</v>
      </c>
      <c r="H152" s="45">
        <v>6950</v>
      </c>
      <c r="I152" s="45">
        <v>2396</v>
      </c>
      <c r="J152" s="45">
        <v>3960</v>
      </c>
      <c r="K152" s="45">
        <v>16228</v>
      </c>
      <c r="L152" s="45">
        <v>11529</v>
      </c>
      <c r="M152" s="45">
        <v>2386</v>
      </c>
      <c r="N152" s="45">
        <v>2313</v>
      </c>
      <c r="O152" s="45">
        <v>18316</v>
      </c>
      <c r="P152" s="45">
        <v>14070</v>
      </c>
      <c r="Q152" s="45">
        <v>2040</v>
      </c>
      <c r="R152" s="45">
        <v>2206</v>
      </c>
      <c r="S152" s="46">
        <v>52.232075799999997</v>
      </c>
      <c r="T152" s="46">
        <v>18.006914200000001</v>
      </c>
      <c r="U152" s="46">
        <v>29.7610101</v>
      </c>
      <c r="V152" s="46">
        <v>71.043874799999998</v>
      </c>
      <c r="W152" s="46">
        <v>14.702982499999999</v>
      </c>
      <c r="X152" s="46">
        <v>14.2531427</v>
      </c>
      <c r="Y152" s="46">
        <v>76.818082599999997</v>
      </c>
      <c r="Z152" s="46">
        <v>11.137803</v>
      </c>
      <c r="AA152" s="46">
        <v>12.0441144</v>
      </c>
      <c r="AB152" s="26">
        <f>SUM(W152:X152)</f>
        <v>28.956125199999999</v>
      </c>
      <c r="AC152" s="26">
        <f>SUM(Z152:AA152)</f>
        <v>23.1819174</v>
      </c>
      <c r="AD152" s="57">
        <f>M152+N152</f>
        <v>4699</v>
      </c>
      <c r="AE152" s="57">
        <f>Q152+R152</f>
        <v>4246</v>
      </c>
      <c r="AF152" s="26">
        <f>W152</f>
        <v>14.702982499999999</v>
      </c>
      <c r="AG152" s="26">
        <f>Z152</f>
        <v>11.137803</v>
      </c>
      <c r="AH152" s="26">
        <f>M152</f>
        <v>2386</v>
      </c>
      <c r="AI152" s="26">
        <f>Q152</f>
        <v>2040</v>
      </c>
      <c r="AJ152" s="26">
        <f>X152</f>
        <v>14.2531427</v>
      </c>
      <c r="AK152" s="26">
        <f>AA152</f>
        <v>12.0441144</v>
      </c>
      <c r="AL152" s="57">
        <f>N152</f>
        <v>2313</v>
      </c>
      <c r="AM152" s="57">
        <f>R152</f>
        <v>2206</v>
      </c>
    </row>
    <row r="153" spans="1:39" hidden="1" x14ac:dyDescent="0.3">
      <c r="A153" s="37">
        <v>149</v>
      </c>
      <c r="B153" s="38" t="s">
        <v>521</v>
      </c>
      <c r="C153" s="38" t="s">
        <v>46</v>
      </c>
      <c r="D153" s="38" t="s">
        <v>53</v>
      </c>
      <c r="E153" s="38" t="s">
        <v>54</v>
      </c>
      <c r="F153" s="47" t="s">
        <v>519</v>
      </c>
      <c r="G153" s="40">
        <v>2401</v>
      </c>
      <c r="H153" s="40">
        <v>1562</v>
      </c>
      <c r="I153" s="40">
        <v>357</v>
      </c>
      <c r="J153" s="40">
        <v>482</v>
      </c>
      <c r="K153" s="40">
        <v>3307</v>
      </c>
      <c r="L153" s="40">
        <v>2552</v>
      </c>
      <c r="M153" s="40">
        <v>422</v>
      </c>
      <c r="N153" s="40">
        <v>333</v>
      </c>
      <c r="O153" s="40">
        <v>3554</v>
      </c>
      <c r="P153" s="40">
        <v>2879</v>
      </c>
      <c r="Q153" s="40">
        <v>381</v>
      </c>
      <c r="R153" s="40">
        <v>294</v>
      </c>
      <c r="S153" s="41">
        <v>65.056226600000002</v>
      </c>
      <c r="T153" s="41">
        <v>14.8688047</v>
      </c>
      <c r="U153" s="41">
        <v>20.074968800000001</v>
      </c>
      <c r="V153" s="41">
        <v>77.169640200000003</v>
      </c>
      <c r="W153" s="41">
        <v>12.7608104</v>
      </c>
      <c r="X153" s="41">
        <v>10.0695494</v>
      </c>
      <c r="Y153" s="41">
        <v>81.007315700000007</v>
      </c>
      <c r="Z153" s="41">
        <v>10.720315100000001</v>
      </c>
      <c r="AA153" s="41">
        <v>8.2723692</v>
      </c>
    </row>
    <row r="154" spans="1:39" hidden="1" x14ac:dyDescent="0.3">
      <c r="A154" s="37">
        <v>150</v>
      </c>
      <c r="B154" s="38" t="s">
        <v>521</v>
      </c>
      <c r="C154" s="38" t="s">
        <v>46</v>
      </c>
      <c r="D154" s="38" t="s">
        <v>53</v>
      </c>
      <c r="E154" s="38" t="s">
        <v>54</v>
      </c>
      <c r="F154" s="47" t="s">
        <v>520</v>
      </c>
      <c r="G154" s="40">
        <v>10905</v>
      </c>
      <c r="H154" s="40">
        <v>5388</v>
      </c>
      <c r="I154" s="40">
        <v>2039</v>
      </c>
      <c r="J154" s="40">
        <v>3478</v>
      </c>
      <c r="K154" s="40">
        <v>12921</v>
      </c>
      <c r="L154" s="40">
        <v>8977</v>
      </c>
      <c r="M154" s="40">
        <v>1964</v>
      </c>
      <c r="N154" s="40">
        <v>1980</v>
      </c>
      <c r="O154" s="40">
        <v>14762</v>
      </c>
      <c r="P154" s="40">
        <v>11191</v>
      </c>
      <c r="Q154" s="40">
        <v>1659</v>
      </c>
      <c r="R154" s="40">
        <v>1912</v>
      </c>
      <c r="S154" s="41">
        <v>49.408528199999999</v>
      </c>
      <c r="T154" s="41">
        <v>18.697845000000001</v>
      </c>
      <c r="U154" s="41">
        <v>31.8936268</v>
      </c>
      <c r="V154" s="41">
        <v>69.476046699999998</v>
      </c>
      <c r="W154" s="41">
        <v>15.2000619</v>
      </c>
      <c r="X154" s="41">
        <v>15.3238913</v>
      </c>
      <c r="Y154" s="41">
        <v>75.809510900000006</v>
      </c>
      <c r="Z154" s="41">
        <v>11.238314600000001</v>
      </c>
      <c r="AA154" s="41">
        <v>12.9521745</v>
      </c>
    </row>
    <row r="155" spans="1:39" hidden="1" x14ac:dyDescent="0.3">
      <c r="A155" s="42">
        <v>151</v>
      </c>
      <c r="B155" s="43" t="s">
        <v>521</v>
      </c>
      <c r="C155" s="50" t="s">
        <v>46</v>
      </c>
      <c r="D155" s="50" t="s">
        <v>53</v>
      </c>
      <c r="E155" s="50" t="s">
        <v>55</v>
      </c>
      <c r="F155" s="51" t="s">
        <v>55</v>
      </c>
      <c r="G155" s="45">
        <v>4580</v>
      </c>
      <c r="H155" s="45">
        <v>2548</v>
      </c>
      <c r="I155" s="45">
        <v>743</v>
      </c>
      <c r="J155" s="45">
        <v>1289</v>
      </c>
      <c r="K155" s="45">
        <v>5027</v>
      </c>
      <c r="L155" s="45">
        <v>3625</v>
      </c>
      <c r="M155" s="45">
        <v>739</v>
      </c>
      <c r="N155" s="45">
        <v>663</v>
      </c>
      <c r="O155" s="45">
        <v>6737</v>
      </c>
      <c r="P155" s="45">
        <v>4882</v>
      </c>
      <c r="Q155" s="45">
        <v>832</v>
      </c>
      <c r="R155" s="45">
        <v>1023</v>
      </c>
      <c r="S155" s="46">
        <v>55.633187800000002</v>
      </c>
      <c r="T155" s="46">
        <v>16.222707400000001</v>
      </c>
      <c r="U155" s="46">
        <v>28.144104800000001</v>
      </c>
      <c r="V155" s="46">
        <v>72.110602700000001</v>
      </c>
      <c r="W155" s="46">
        <v>14.700616699999999</v>
      </c>
      <c r="X155" s="46">
        <v>13.188780599999999</v>
      </c>
      <c r="Y155" s="46">
        <v>72.465489099999999</v>
      </c>
      <c r="Z155" s="46">
        <v>12.3497106</v>
      </c>
      <c r="AA155" s="46">
        <v>15.1848004</v>
      </c>
      <c r="AB155" s="26">
        <f>SUM(W155:X155)</f>
        <v>27.889397299999999</v>
      </c>
      <c r="AC155" s="26">
        <f>SUM(Z155:AA155)</f>
        <v>27.534511000000002</v>
      </c>
      <c r="AD155" s="57">
        <f>M155+N155</f>
        <v>1402</v>
      </c>
      <c r="AE155" s="57">
        <f>Q155+R155</f>
        <v>1855</v>
      </c>
      <c r="AF155" s="26">
        <f>W155</f>
        <v>14.700616699999999</v>
      </c>
      <c r="AG155" s="26">
        <f>Z155</f>
        <v>12.3497106</v>
      </c>
      <c r="AH155" s="26">
        <f>M155</f>
        <v>739</v>
      </c>
      <c r="AI155" s="26">
        <f>Q155</f>
        <v>832</v>
      </c>
      <c r="AJ155" s="26">
        <f>X155</f>
        <v>13.188780599999999</v>
      </c>
      <c r="AK155" s="26">
        <f>AA155</f>
        <v>15.1848004</v>
      </c>
      <c r="AL155" s="57">
        <f>N155</f>
        <v>663</v>
      </c>
      <c r="AM155" s="57">
        <f>R155</f>
        <v>1023</v>
      </c>
    </row>
    <row r="156" spans="1:39" hidden="1" x14ac:dyDescent="0.3">
      <c r="A156" s="37">
        <v>152</v>
      </c>
      <c r="B156" s="38" t="s">
        <v>521</v>
      </c>
      <c r="C156" s="38" t="s">
        <v>46</v>
      </c>
      <c r="D156" s="38" t="s">
        <v>53</v>
      </c>
      <c r="E156" s="38" t="s">
        <v>55</v>
      </c>
      <c r="F156" s="47" t="s">
        <v>519</v>
      </c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1"/>
      <c r="T156" s="41"/>
      <c r="U156" s="41"/>
      <c r="V156" s="41"/>
      <c r="W156" s="41"/>
      <c r="X156" s="41"/>
      <c r="Y156" s="41"/>
      <c r="Z156" s="41"/>
      <c r="AA156" s="41"/>
    </row>
    <row r="157" spans="1:39" hidden="1" x14ac:dyDescent="0.3">
      <c r="A157" s="37">
        <v>153</v>
      </c>
      <c r="B157" s="38" t="s">
        <v>521</v>
      </c>
      <c r="C157" s="38" t="s">
        <v>46</v>
      </c>
      <c r="D157" s="38" t="s">
        <v>53</v>
      </c>
      <c r="E157" s="38" t="s">
        <v>55</v>
      </c>
      <c r="F157" s="47" t="s">
        <v>520</v>
      </c>
      <c r="G157" s="40">
        <v>4580</v>
      </c>
      <c r="H157" s="40">
        <v>2548</v>
      </c>
      <c r="I157" s="40">
        <v>743</v>
      </c>
      <c r="J157" s="40">
        <v>1289</v>
      </c>
      <c r="K157" s="40">
        <v>5027</v>
      </c>
      <c r="L157" s="40">
        <v>3625</v>
      </c>
      <c r="M157" s="40">
        <v>739</v>
      </c>
      <c r="N157" s="40">
        <v>663</v>
      </c>
      <c r="O157" s="40">
        <v>6737</v>
      </c>
      <c r="P157" s="40">
        <v>4882</v>
      </c>
      <c r="Q157" s="40">
        <v>832</v>
      </c>
      <c r="R157" s="40">
        <v>1023</v>
      </c>
      <c r="S157" s="41">
        <v>55.633187800000002</v>
      </c>
      <c r="T157" s="41">
        <v>16.222707400000001</v>
      </c>
      <c r="U157" s="41">
        <v>28.144104800000001</v>
      </c>
      <c r="V157" s="41">
        <v>72.110602700000001</v>
      </c>
      <c r="W157" s="41">
        <v>14.700616699999999</v>
      </c>
      <c r="X157" s="41">
        <v>13.188780599999999</v>
      </c>
      <c r="Y157" s="41">
        <v>72.465489099999999</v>
      </c>
      <c r="Z157" s="41">
        <v>12.3497106</v>
      </c>
      <c r="AA157" s="41">
        <v>15.1848004</v>
      </c>
    </row>
    <row r="158" spans="1:39" hidden="1" x14ac:dyDescent="0.3">
      <c r="A158" s="42">
        <v>154</v>
      </c>
      <c r="B158" s="43" t="s">
        <v>521</v>
      </c>
      <c r="C158" s="50" t="s">
        <v>46</v>
      </c>
      <c r="D158" s="50" t="s">
        <v>53</v>
      </c>
      <c r="E158" s="50" t="s">
        <v>57</v>
      </c>
      <c r="F158" s="51" t="s">
        <v>57</v>
      </c>
      <c r="G158" s="45">
        <v>2786</v>
      </c>
      <c r="H158" s="45">
        <v>1778</v>
      </c>
      <c r="I158" s="45">
        <v>440</v>
      </c>
      <c r="J158" s="45">
        <v>568</v>
      </c>
      <c r="K158" s="45">
        <v>3297</v>
      </c>
      <c r="L158" s="45">
        <v>2580</v>
      </c>
      <c r="M158" s="45">
        <v>389</v>
      </c>
      <c r="N158" s="45">
        <v>328</v>
      </c>
      <c r="O158" s="45">
        <v>3956</v>
      </c>
      <c r="P158" s="45">
        <v>3224</v>
      </c>
      <c r="Q158" s="45">
        <v>337</v>
      </c>
      <c r="R158" s="45">
        <v>395</v>
      </c>
      <c r="S158" s="46">
        <v>63.819095500000003</v>
      </c>
      <c r="T158" s="46">
        <v>15.793252000000001</v>
      </c>
      <c r="U158" s="46">
        <v>20.387652500000002</v>
      </c>
      <c r="V158" s="46">
        <v>78.252957199999997</v>
      </c>
      <c r="W158" s="46">
        <v>11.7986048</v>
      </c>
      <c r="X158" s="46">
        <v>9.9484379999999994</v>
      </c>
      <c r="Y158" s="46">
        <v>81.496461100000005</v>
      </c>
      <c r="Z158" s="46">
        <v>8.5187057999999993</v>
      </c>
      <c r="AA158" s="46">
        <v>9.9848332000000006</v>
      </c>
      <c r="AB158" s="26">
        <f>SUM(W158:X158)</f>
        <v>21.747042799999999</v>
      </c>
      <c r="AC158" s="26">
        <f>SUM(Z158:AA158)</f>
        <v>18.503539</v>
      </c>
      <c r="AD158" s="57">
        <f>M158+N158</f>
        <v>717</v>
      </c>
      <c r="AE158" s="57">
        <f>Q158+R158</f>
        <v>732</v>
      </c>
      <c r="AF158" s="26">
        <f>W158</f>
        <v>11.7986048</v>
      </c>
      <c r="AG158" s="26">
        <f>Z158</f>
        <v>8.5187057999999993</v>
      </c>
      <c r="AH158" s="26">
        <f>M158</f>
        <v>389</v>
      </c>
      <c r="AI158" s="26">
        <f>Q158</f>
        <v>337</v>
      </c>
      <c r="AJ158" s="26">
        <f>X158</f>
        <v>9.9484379999999994</v>
      </c>
      <c r="AK158" s="26">
        <f>AA158</f>
        <v>9.9848332000000006</v>
      </c>
      <c r="AL158" s="57">
        <f>N158</f>
        <v>328</v>
      </c>
      <c r="AM158" s="57">
        <f>R158</f>
        <v>395</v>
      </c>
    </row>
    <row r="159" spans="1:39" hidden="1" x14ac:dyDescent="0.3">
      <c r="A159" s="37">
        <v>155</v>
      </c>
      <c r="B159" s="38" t="s">
        <v>521</v>
      </c>
      <c r="C159" s="38" t="s">
        <v>46</v>
      </c>
      <c r="D159" s="38" t="s">
        <v>53</v>
      </c>
      <c r="E159" s="38" t="s">
        <v>57</v>
      </c>
      <c r="F159" s="47" t="s">
        <v>519</v>
      </c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1"/>
      <c r="T159" s="41"/>
      <c r="U159" s="41"/>
      <c r="V159" s="41"/>
      <c r="W159" s="41"/>
      <c r="X159" s="41"/>
      <c r="Y159" s="41"/>
      <c r="Z159" s="41"/>
      <c r="AA159" s="41"/>
    </row>
    <row r="160" spans="1:39" hidden="1" x14ac:dyDescent="0.3">
      <c r="A160" s="37">
        <v>156</v>
      </c>
      <c r="B160" s="38" t="s">
        <v>521</v>
      </c>
      <c r="C160" s="38" t="s">
        <v>46</v>
      </c>
      <c r="D160" s="38" t="s">
        <v>53</v>
      </c>
      <c r="E160" s="38" t="s">
        <v>57</v>
      </c>
      <c r="F160" s="47" t="s">
        <v>520</v>
      </c>
      <c r="G160" s="40">
        <v>2786</v>
      </c>
      <c r="H160" s="40">
        <v>1778</v>
      </c>
      <c r="I160" s="40">
        <v>440</v>
      </c>
      <c r="J160" s="40">
        <v>568</v>
      </c>
      <c r="K160" s="40">
        <v>3297</v>
      </c>
      <c r="L160" s="40">
        <v>2580</v>
      </c>
      <c r="M160" s="40">
        <v>389</v>
      </c>
      <c r="N160" s="40">
        <v>328</v>
      </c>
      <c r="O160" s="40">
        <v>3956</v>
      </c>
      <c r="P160" s="40">
        <v>3224</v>
      </c>
      <c r="Q160" s="40">
        <v>337</v>
      </c>
      <c r="R160" s="40">
        <v>395</v>
      </c>
      <c r="S160" s="41">
        <v>63.819095500000003</v>
      </c>
      <c r="T160" s="41">
        <v>15.793252000000001</v>
      </c>
      <c r="U160" s="41">
        <v>20.387652500000002</v>
      </c>
      <c r="V160" s="41">
        <v>78.252957199999997</v>
      </c>
      <c r="W160" s="41">
        <v>11.7986048</v>
      </c>
      <c r="X160" s="41">
        <v>9.9484379999999994</v>
      </c>
      <c r="Y160" s="41">
        <v>81.496461100000005</v>
      </c>
      <c r="Z160" s="41">
        <v>8.5187057999999993</v>
      </c>
      <c r="AA160" s="41">
        <v>9.9848332000000006</v>
      </c>
    </row>
    <row r="161" spans="1:39" hidden="1" x14ac:dyDescent="0.3">
      <c r="A161" s="42">
        <v>157</v>
      </c>
      <c r="B161" s="43" t="s">
        <v>521</v>
      </c>
      <c r="C161" s="50" t="s">
        <v>46</v>
      </c>
      <c r="D161" s="50" t="s">
        <v>53</v>
      </c>
      <c r="E161" s="50" t="s">
        <v>58</v>
      </c>
      <c r="F161" s="51" t="s">
        <v>58</v>
      </c>
      <c r="G161" s="45">
        <v>2585</v>
      </c>
      <c r="H161" s="45">
        <v>1617</v>
      </c>
      <c r="I161" s="45">
        <v>374</v>
      </c>
      <c r="J161" s="45">
        <v>594</v>
      </c>
      <c r="K161" s="45">
        <v>3797</v>
      </c>
      <c r="L161" s="45">
        <v>3083</v>
      </c>
      <c r="M161" s="45">
        <v>380</v>
      </c>
      <c r="N161" s="45">
        <v>334</v>
      </c>
      <c r="O161" s="45">
        <v>4479</v>
      </c>
      <c r="P161" s="45">
        <v>3734</v>
      </c>
      <c r="Q161" s="45">
        <v>335</v>
      </c>
      <c r="R161" s="45">
        <v>410</v>
      </c>
      <c r="S161" s="46">
        <v>62.553191499999997</v>
      </c>
      <c r="T161" s="46">
        <v>14.4680851</v>
      </c>
      <c r="U161" s="46">
        <v>22.9787234</v>
      </c>
      <c r="V161" s="46">
        <v>81.195680800000005</v>
      </c>
      <c r="W161" s="46">
        <v>10.007901</v>
      </c>
      <c r="X161" s="46">
        <v>8.7964181999999997</v>
      </c>
      <c r="Y161" s="46">
        <v>83.366822999999997</v>
      </c>
      <c r="Z161" s="46">
        <v>7.4793481000000002</v>
      </c>
      <c r="AA161" s="46">
        <v>9.153829</v>
      </c>
      <c r="AB161" s="26">
        <f>SUM(W161:X161)</f>
        <v>18.804319200000002</v>
      </c>
      <c r="AC161" s="26">
        <f>SUM(Z161:AA161)</f>
        <v>16.633177100000001</v>
      </c>
      <c r="AD161" s="57">
        <f>M161+N161</f>
        <v>714</v>
      </c>
      <c r="AE161" s="57">
        <f>Q161+R161</f>
        <v>745</v>
      </c>
      <c r="AF161" s="26">
        <f>W161</f>
        <v>10.007901</v>
      </c>
      <c r="AG161" s="26">
        <f>Z161</f>
        <v>7.4793481000000002</v>
      </c>
      <c r="AH161" s="26">
        <f>M161</f>
        <v>380</v>
      </c>
      <c r="AI161" s="26">
        <f>Q161</f>
        <v>335</v>
      </c>
      <c r="AJ161" s="26">
        <f>X161</f>
        <v>8.7964181999999997</v>
      </c>
      <c r="AK161" s="26">
        <f>AA161</f>
        <v>9.153829</v>
      </c>
      <c r="AL161" s="57">
        <f>N161</f>
        <v>334</v>
      </c>
      <c r="AM161" s="57">
        <f>R161</f>
        <v>410</v>
      </c>
    </row>
    <row r="162" spans="1:39" hidden="1" x14ac:dyDescent="0.3">
      <c r="A162" s="37">
        <v>158</v>
      </c>
      <c r="B162" s="38" t="s">
        <v>521</v>
      </c>
      <c r="C162" s="38" t="s">
        <v>46</v>
      </c>
      <c r="D162" s="38" t="s">
        <v>53</v>
      </c>
      <c r="E162" s="38" t="s">
        <v>58</v>
      </c>
      <c r="F162" s="47" t="s">
        <v>519</v>
      </c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1"/>
      <c r="T162" s="41"/>
      <c r="U162" s="41"/>
      <c r="V162" s="41"/>
      <c r="W162" s="41"/>
      <c r="X162" s="41"/>
      <c r="Y162" s="41"/>
      <c r="Z162" s="41"/>
      <c r="AA162" s="41"/>
    </row>
    <row r="163" spans="1:39" hidden="1" x14ac:dyDescent="0.3">
      <c r="A163" s="37">
        <v>159</v>
      </c>
      <c r="B163" s="38" t="s">
        <v>521</v>
      </c>
      <c r="C163" s="38" t="s">
        <v>46</v>
      </c>
      <c r="D163" s="38" t="s">
        <v>53</v>
      </c>
      <c r="E163" s="38" t="s">
        <v>58</v>
      </c>
      <c r="F163" s="47" t="s">
        <v>520</v>
      </c>
      <c r="G163" s="40">
        <v>2585</v>
      </c>
      <c r="H163" s="40">
        <v>1617</v>
      </c>
      <c r="I163" s="40">
        <v>374</v>
      </c>
      <c r="J163" s="40">
        <v>594</v>
      </c>
      <c r="K163" s="40">
        <v>3797</v>
      </c>
      <c r="L163" s="40">
        <v>3083</v>
      </c>
      <c r="M163" s="40">
        <v>380</v>
      </c>
      <c r="N163" s="40">
        <v>334</v>
      </c>
      <c r="O163" s="40">
        <v>4479</v>
      </c>
      <c r="P163" s="40">
        <v>3734</v>
      </c>
      <c r="Q163" s="40">
        <v>335</v>
      </c>
      <c r="R163" s="40">
        <v>410</v>
      </c>
      <c r="S163" s="41">
        <v>62.553191499999997</v>
      </c>
      <c r="T163" s="41">
        <v>14.4680851</v>
      </c>
      <c r="U163" s="41">
        <v>22.9787234</v>
      </c>
      <c r="V163" s="41">
        <v>81.195680800000005</v>
      </c>
      <c r="W163" s="41">
        <v>10.007901</v>
      </c>
      <c r="X163" s="41">
        <v>8.7964181999999997</v>
      </c>
      <c r="Y163" s="41">
        <v>83.366822999999997</v>
      </c>
      <c r="Z163" s="41">
        <v>7.4793481000000002</v>
      </c>
      <c r="AA163" s="41">
        <v>9.153829</v>
      </c>
    </row>
    <row r="164" spans="1:39" hidden="1" x14ac:dyDescent="0.3">
      <c r="A164" s="42">
        <v>160</v>
      </c>
      <c r="B164" s="43" t="s">
        <v>521</v>
      </c>
      <c r="C164" s="50" t="s">
        <v>46</v>
      </c>
      <c r="D164" s="50" t="s">
        <v>53</v>
      </c>
      <c r="E164" s="50" t="s">
        <v>59</v>
      </c>
      <c r="F164" s="51" t="s">
        <v>59</v>
      </c>
      <c r="G164" s="45">
        <v>1079</v>
      </c>
      <c r="H164" s="45">
        <v>815</v>
      </c>
      <c r="I164" s="45">
        <v>146</v>
      </c>
      <c r="J164" s="45">
        <v>118</v>
      </c>
      <c r="K164" s="45">
        <v>1662</v>
      </c>
      <c r="L164" s="45">
        <v>1328</v>
      </c>
      <c r="M164" s="45">
        <v>189</v>
      </c>
      <c r="N164" s="45">
        <v>145</v>
      </c>
      <c r="O164" s="45">
        <v>2509</v>
      </c>
      <c r="P164" s="45">
        <v>2096</v>
      </c>
      <c r="Q164" s="45">
        <v>171</v>
      </c>
      <c r="R164" s="45">
        <v>242</v>
      </c>
      <c r="S164" s="46">
        <v>75.532900799999993</v>
      </c>
      <c r="T164" s="46">
        <v>13.531047300000001</v>
      </c>
      <c r="U164" s="46">
        <v>10.936051900000001</v>
      </c>
      <c r="V164" s="46">
        <v>79.903730400000001</v>
      </c>
      <c r="W164" s="46">
        <v>11.3718412</v>
      </c>
      <c r="X164" s="46">
        <v>8.7244284000000007</v>
      </c>
      <c r="Y164" s="46">
        <v>83.539258700000005</v>
      </c>
      <c r="Z164" s="46">
        <v>6.8154643000000004</v>
      </c>
      <c r="AA164" s="46">
        <v>9.6452770000000001</v>
      </c>
      <c r="AB164" s="26">
        <f>SUM(W164:X164)</f>
        <v>20.096269599999999</v>
      </c>
      <c r="AC164" s="26">
        <f>SUM(Z164:AA164)</f>
        <v>16.460741300000002</v>
      </c>
      <c r="AD164" s="57">
        <f>M164+N164</f>
        <v>334</v>
      </c>
      <c r="AE164" s="57">
        <f>Q164+R164</f>
        <v>413</v>
      </c>
      <c r="AF164" s="26">
        <f>W164</f>
        <v>11.3718412</v>
      </c>
      <c r="AG164" s="26">
        <f>Z164</f>
        <v>6.8154643000000004</v>
      </c>
      <c r="AH164" s="26">
        <f>M164</f>
        <v>189</v>
      </c>
      <c r="AI164" s="26">
        <f>Q164</f>
        <v>171</v>
      </c>
      <c r="AJ164" s="26">
        <f>X164</f>
        <v>8.7244284000000007</v>
      </c>
      <c r="AK164" s="26">
        <f>AA164</f>
        <v>9.6452770000000001</v>
      </c>
      <c r="AL164" s="57">
        <f>N164</f>
        <v>145</v>
      </c>
      <c r="AM164" s="57">
        <f>R164</f>
        <v>242</v>
      </c>
    </row>
    <row r="165" spans="1:39" hidden="1" x14ac:dyDescent="0.3">
      <c r="A165" s="37">
        <v>161</v>
      </c>
      <c r="B165" s="38" t="s">
        <v>521</v>
      </c>
      <c r="C165" s="38" t="s">
        <v>46</v>
      </c>
      <c r="D165" s="38" t="s">
        <v>53</v>
      </c>
      <c r="E165" s="38" t="s">
        <v>59</v>
      </c>
      <c r="F165" s="47" t="s">
        <v>519</v>
      </c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1"/>
      <c r="T165" s="41"/>
      <c r="U165" s="41"/>
      <c r="V165" s="41"/>
      <c r="W165" s="41"/>
      <c r="X165" s="41"/>
      <c r="Y165" s="41"/>
      <c r="Z165" s="41"/>
      <c r="AA165" s="41"/>
    </row>
    <row r="166" spans="1:39" hidden="1" x14ac:dyDescent="0.3">
      <c r="A166" s="37">
        <v>162</v>
      </c>
      <c r="B166" s="38" t="s">
        <v>521</v>
      </c>
      <c r="C166" s="38" t="s">
        <v>46</v>
      </c>
      <c r="D166" s="38" t="s">
        <v>53</v>
      </c>
      <c r="E166" s="38" t="s">
        <v>59</v>
      </c>
      <c r="F166" s="47" t="s">
        <v>520</v>
      </c>
      <c r="G166" s="40">
        <v>1079</v>
      </c>
      <c r="H166" s="40">
        <v>815</v>
      </c>
      <c r="I166" s="40">
        <v>146</v>
      </c>
      <c r="J166" s="40">
        <v>118</v>
      </c>
      <c r="K166" s="40">
        <v>1662</v>
      </c>
      <c r="L166" s="40">
        <v>1328</v>
      </c>
      <c r="M166" s="40">
        <v>189</v>
      </c>
      <c r="N166" s="40">
        <v>145</v>
      </c>
      <c r="O166" s="40">
        <v>2509</v>
      </c>
      <c r="P166" s="40">
        <v>2096</v>
      </c>
      <c r="Q166" s="40">
        <v>171</v>
      </c>
      <c r="R166" s="40">
        <v>242</v>
      </c>
      <c r="S166" s="41">
        <v>75.532900799999993</v>
      </c>
      <c r="T166" s="41">
        <v>13.531047300000001</v>
      </c>
      <c r="U166" s="41">
        <v>10.936051900000001</v>
      </c>
      <c r="V166" s="41">
        <v>79.903730400000001</v>
      </c>
      <c r="W166" s="41">
        <v>11.3718412</v>
      </c>
      <c r="X166" s="41">
        <v>8.7244284000000007</v>
      </c>
      <c r="Y166" s="41">
        <v>83.539258700000005</v>
      </c>
      <c r="Z166" s="41">
        <v>6.8154643000000004</v>
      </c>
      <c r="AA166" s="41">
        <v>9.6452770000000001</v>
      </c>
    </row>
    <row r="167" spans="1:39" hidden="1" x14ac:dyDescent="0.3">
      <c r="A167" s="42">
        <v>163</v>
      </c>
      <c r="B167" s="43" t="s">
        <v>521</v>
      </c>
      <c r="C167" s="50" t="s">
        <v>46</v>
      </c>
      <c r="D167" s="50" t="s">
        <v>53</v>
      </c>
      <c r="E167" s="50" t="s">
        <v>56</v>
      </c>
      <c r="F167" s="51" t="s">
        <v>56</v>
      </c>
      <c r="G167" s="45">
        <v>1715</v>
      </c>
      <c r="H167" s="45">
        <v>961</v>
      </c>
      <c r="I167" s="45">
        <v>317</v>
      </c>
      <c r="J167" s="45">
        <v>437</v>
      </c>
      <c r="K167" s="45">
        <v>2032</v>
      </c>
      <c r="L167" s="45">
        <v>1557</v>
      </c>
      <c r="M167" s="45">
        <v>270</v>
      </c>
      <c r="N167" s="45">
        <v>205</v>
      </c>
      <c r="O167" s="45">
        <v>2631</v>
      </c>
      <c r="P167" s="45">
        <v>1892</v>
      </c>
      <c r="Q167" s="45">
        <v>287</v>
      </c>
      <c r="R167" s="45">
        <v>452</v>
      </c>
      <c r="S167" s="46">
        <v>56.034985399999997</v>
      </c>
      <c r="T167" s="46">
        <v>18.483965000000001</v>
      </c>
      <c r="U167" s="46">
        <v>25.481049599999999</v>
      </c>
      <c r="V167" s="46">
        <v>76.624015700000001</v>
      </c>
      <c r="W167" s="46">
        <v>13.287401600000001</v>
      </c>
      <c r="X167" s="46">
        <v>10.0885827</v>
      </c>
      <c r="Y167" s="46">
        <v>71.911820599999999</v>
      </c>
      <c r="Z167" s="46">
        <v>10.9083998</v>
      </c>
      <c r="AA167" s="46">
        <v>17.1797796</v>
      </c>
      <c r="AB167" s="26">
        <f>SUM(W167:X167)</f>
        <v>23.375984299999999</v>
      </c>
      <c r="AC167" s="26">
        <f>SUM(Z167:AA167)</f>
        <v>28.088179400000001</v>
      </c>
      <c r="AD167" s="57">
        <f>M167+N167</f>
        <v>475</v>
      </c>
      <c r="AE167" s="57">
        <f>Q167+R167</f>
        <v>739</v>
      </c>
      <c r="AF167" s="26">
        <f>W167</f>
        <v>13.287401600000001</v>
      </c>
      <c r="AG167" s="26">
        <f>Z167</f>
        <v>10.9083998</v>
      </c>
      <c r="AH167" s="26">
        <f>M167</f>
        <v>270</v>
      </c>
      <c r="AI167" s="26">
        <f>Q167</f>
        <v>287</v>
      </c>
      <c r="AJ167" s="26">
        <f>X167</f>
        <v>10.0885827</v>
      </c>
      <c r="AK167" s="26">
        <f>AA167</f>
        <v>17.1797796</v>
      </c>
      <c r="AL167" s="57">
        <f>N167</f>
        <v>205</v>
      </c>
      <c r="AM167" s="57">
        <f>R167</f>
        <v>452</v>
      </c>
    </row>
    <row r="168" spans="1:39" hidden="1" x14ac:dyDescent="0.3">
      <c r="A168" s="37">
        <v>164</v>
      </c>
      <c r="B168" s="38" t="s">
        <v>521</v>
      </c>
      <c r="C168" s="38" t="s">
        <v>46</v>
      </c>
      <c r="D168" s="38" t="s">
        <v>53</v>
      </c>
      <c r="E168" s="38" t="s">
        <v>56</v>
      </c>
      <c r="F168" s="47" t="s">
        <v>519</v>
      </c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1"/>
      <c r="T168" s="41"/>
      <c r="U168" s="41"/>
      <c r="V168" s="41"/>
      <c r="W168" s="41"/>
      <c r="X168" s="41"/>
      <c r="Y168" s="41"/>
      <c r="Z168" s="41"/>
      <c r="AA168" s="41"/>
    </row>
    <row r="169" spans="1:39" hidden="1" x14ac:dyDescent="0.3">
      <c r="A169" s="37">
        <v>165</v>
      </c>
      <c r="B169" s="38" t="s">
        <v>521</v>
      </c>
      <c r="C169" s="38" t="s">
        <v>46</v>
      </c>
      <c r="D169" s="38" t="s">
        <v>53</v>
      </c>
      <c r="E169" s="38" t="s">
        <v>56</v>
      </c>
      <c r="F169" s="47" t="s">
        <v>520</v>
      </c>
      <c r="G169" s="40">
        <v>1715</v>
      </c>
      <c r="H169" s="40">
        <v>961</v>
      </c>
      <c r="I169" s="40">
        <v>317</v>
      </c>
      <c r="J169" s="40">
        <v>437</v>
      </c>
      <c r="K169" s="40">
        <v>2032</v>
      </c>
      <c r="L169" s="40">
        <v>1557</v>
      </c>
      <c r="M169" s="40">
        <v>270</v>
      </c>
      <c r="N169" s="40">
        <v>205</v>
      </c>
      <c r="O169" s="40">
        <v>2631</v>
      </c>
      <c r="P169" s="40">
        <v>1892</v>
      </c>
      <c r="Q169" s="40">
        <v>287</v>
      </c>
      <c r="R169" s="40">
        <v>452</v>
      </c>
      <c r="S169" s="41">
        <v>56.034985399999997</v>
      </c>
      <c r="T169" s="41">
        <v>18.483965000000001</v>
      </c>
      <c r="U169" s="41">
        <v>25.481049599999999</v>
      </c>
      <c r="V169" s="41">
        <v>76.624015700000001</v>
      </c>
      <c r="W169" s="41">
        <v>13.287401600000001</v>
      </c>
      <c r="X169" s="41">
        <v>10.0885827</v>
      </c>
      <c r="Y169" s="41">
        <v>71.911820599999999</v>
      </c>
      <c r="Z169" s="41">
        <v>10.9083998</v>
      </c>
      <c r="AA169" s="41">
        <v>17.1797796</v>
      </c>
    </row>
    <row r="170" spans="1:39" hidden="1" x14ac:dyDescent="0.3">
      <c r="A170" s="32">
        <v>166</v>
      </c>
      <c r="B170" s="33" t="s">
        <v>1</v>
      </c>
      <c r="C170" s="49" t="s">
        <v>46</v>
      </c>
      <c r="D170" s="49" t="s">
        <v>60</v>
      </c>
      <c r="E170" s="49"/>
      <c r="F170" s="34" t="s">
        <v>60</v>
      </c>
      <c r="G170" s="35">
        <v>16352</v>
      </c>
      <c r="H170" s="35">
        <v>9841</v>
      </c>
      <c r="I170" s="35">
        <v>2560</v>
      </c>
      <c r="J170" s="35">
        <v>3951</v>
      </c>
      <c r="K170" s="35">
        <v>18161</v>
      </c>
      <c r="L170" s="35">
        <v>11312</v>
      </c>
      <c r="M170" s="35">
        <v>2716</v>
      </c>
      <c r="N170" s="35">
        <v>4133</v>
      </c>
      <c r="O170" s="35">
        <v>25502</v>
      </c>
      <c r="P170" s="35">
        <v>16714</v>
      </c>
      <c r="Q170" s="35">
        <v>3435</v>
      </c>
      <c r="R170" s="35">
        <v>5353</v>
      </c>
      <c r="S170" s="36">
        <v>60.182240700000001</v>
      </c>
      <c r="T170" s="36">
        <v>15.655577299999999</v>
      </c>
      <c r="U170" s="36">
        <v>24.162182000000001</v>
      </c>
      <c r="V170" s="36">
        <v>62.287318999999997</v>
      </c>
      <c r="W170" s="36">
        <v>14.9551236</v>
      </c>
      <c r="X170" s="36">
        <v>22.7575574</v>
      </c>
      <c r="Y170" s="36">
        <v>65.539957700000002</v>
      </c>
      <c r="Z170" s="36">
        <v>13.4695318</v>
      </c>
      <c r="AA170" s="36">
        <v>20.990510499999999</v>
      </c>
    </row>
    <row r="171" spans="1:39" hidden="1" x14ac:dyDescent="0.3">
      <c r="A171" s="37">
        <v>167</v>
      </c>
      <c r="B171" s="38" t="s">
        <v>1</v>
      </c>
      <c r="C171" s="38" t="s">
        <v>46</v>
      </c>
      <c r="D171" s="38" t="s">
        <v>60</v>
      </c>
      <c r="E171" s="38"/>
      <c r="F171" s="39" t="s">
        <v>519</v>
      </c>
      <c r="G171" s="40"/>
      <c r="H171" s="40"/>
      <c r="I171" s="40"/>
      <c r="J171" s="40"/>
      <c r="K171" s="40">
        <v>362</v>
      </c>
      <c r="L171" s="40">
        <v>57</v>
      </c>
      <c r="M171" s="40">
        <v>75</v>
      </c>
      <c r="N171" s="40">
        <v>230</v>
      </c>
      <c r="O171" s="40">
        <v>1345</v>
      </c>
      <c r="P171" s="40">
        <v>868</v>
      </c>
      <c r="Q171" s="40">
        <v>173</v>
      </c>
      <c r="R171" s="40">
        <v>304</v>
      </c>
      <c r="S171" s="41"/>
      <c r="T171" s="41"/>
      <c r="U171" s="41"/>
      <c r="V171" s="41">
        <v>15.745856399999999</v>
      </c>
      <c r="W171" s="41">
        <v>20.718232</v>
      </c>
      <c r="X171" s="41">
        <v>63.535911599999999</v>
      </c>
      <c r="Y171" s="41">
        <v>64.535315999999995</v>
      </c>
      <c r="Z171" s="41">
        <v>12.862453500000001</v>
      </c>
      <c r="AA171" s="41">
        <v>22.602230500000001</v>
      </c>
    </row>
    <row r="172" spans="1:39" hidden="1" x14ac:dyDescent="0.3">
      <c r="A172" s="37">
        <v>168</v>
      </c>
      <c r="B172" s="38" t="s">
        <v>1</v>
      </c>
      <c r="C172" s="38" t="s">
        <v>46</v>
      </c>
      <c r="D172" s="38" t="s">
        <v>60</v>
      </c>
      <c r="E172" s="38"/>
      <c r="F172" s="39" t="s">
        <v>520</v>
      </c>
      <c r="G172" s="40">
        <v>16352</v>
      </c>
      <c r="H172" s="40">
        <v>9841</v>
      </c>
      <c r="I172" s="40">
        <v>2560</v>
      </c>
      <c r="J172" s="40">
        <v>3951</v>
      </c>
      <c r="K172" s="40">
        <v>17799</v>
      </c>
      <c r="L172" s="40">
        <v>11255</v>
      </c>
      <c r="M172" s="40">
        <v>2641</v>
      </c>
      <c r="N172" s="40">
        <v>3903</v>
      </c>
      <c r="O172" s="40">
        <v>24157</v>
      </c>
      <c r="P172" s="40">
        <v>15846</v>
      </c>
      <c r="Q172" s="40">
        <v>3262</v>
      </c>
      <c r="R172" s="40">
        <v>5049</v>
      </c>
      <c r="S172" s="41">
        <v>60.182240700000001</v>
      </c>
      <c r="T172" s="41">
        <v>15.655577299999999</v>
      </c>
      <c r="U172" s="41">
        <v>24.162182000000001</v>
      </c>
      <c r="V172" s="41">
        <v>63.233889499999997</v>
      </c>
      <c r="W172" s="41">
        <v>14.8379122</v>
      </c>
      <c r="X172" s="41">
        <v>21.928198200000001</v>
      </c>
      <c r="Y172" s="41">
        <v>65.595893500000003</v>
      </c>
      <c r="Z172" s="41">
        <v>13.5033324</v>
      </c>
      <c r="AA172" s="41">
        <v>20.9007741</v>
      </c>
    </row>
    <row r="173" spans="1:39" hidden="1" x14ac:dyDescent="0.3">
      <c r="A173" s="42">
        <v>169</v>
      </c>
      <c r="B173" s="43" t="s">
        <v>521</v>
      </c>
      <c r="C173" s="50" t="s">
        <v>46</v>
      </c>
      <c r="D173" s="50" t="s">
        <v>60</v>
      </c>
      <c r="E173" s="50" t="s">
        <v>61</v>
      </c>
      <c r="F173" s="51" t="s">
        <v>61</v>
      </c>
      <c r="G173" s="45">
        <v>3641</v>
      </c>
      <c r="H173" s="45">
        <v>2127</v>
      </c>
      <c r="I173" s="45">
        <v>565</v>
      </c>
      <c r="J173" s="45">
        <v>949</v>
      </c>
      <c r="K173" s="45">
        <v>3740</v>
      </c>
      <c r="L173" s="45">
        <v>2524</v>
      </c>
      <c r="M173" s="45">
        <v>522</v>
      </c>
      <c r="N173" s="45">
        <v>694</v>
      </c>
      <c r="O173" s="45">
        <v>5244</v>
      </c>
      <c r="P173" s="45">
        <v>3560</v>
      </c>
      <c r="Q173" s="45">
        <v>672</v>
      </c>
      <c r="R173" s="45">
        <v>1012</v>
      </c>
      <c r="S173" s="46">
        <v>58.418016999999999</v>
      </c>
      <c r="T173" s="46">
        <v>15.5177149</v>
      </c>
      <c r="U173" s="46">
        <v>26.0642681</v>
      </c>
      <c r="V173" s="46">
        <v>67.486631000000003</v>
      </c>
      <c r="W173" s="46">
        <v>13.9572193</v>
      </c>
      <c r="X173" s="46">
        <v>18.556149699999999</v>
      </c>
      <c r="Y173" s="46">
        <v>67.887109100000004</v>
      </c>
      <c r="Z173" s="46">
        <v>12.8146453</v>
      </c>
      <c r="AA173" s="46">
        <v>19.298245600000001</v>
      </c>
      <c r="AB173" s="26">
        <f>SUM(W173:X173)</f>
        <v>32.513368999999997</v>
      </c>
      <c r="AC173" s="26">
        <f>SUM(Z173:AA173)</f>
        <v>32.112890900000004</v>
      </c>
      <c r="AD173" s="57">
        <f>M173+N173</f>
        <v>1216</v>
      </c>
      <c r="AE173" s="57">
        <f>Q173+R173</f>
        <v>1684</v>
      </c>
      <c r="AF173" s="26">
        <f>W173</f>
        <v>13.9572193</v>
      </c>
      <c r="AG173" s="26">
        <f>Z173</f>
        <v>12.8146453</v>
      </c>
      <c r="AH173" s="26">
        <f>M173</f>
        <v>522</v>
      </c>
      <c r="AI173" s="26">
        <f>Q173</f>
        <v>672</v>
      </c>
      <c r="AJ173" s="26">
        <f>X173</f>
        <v>18.556149699999999</v>
      </c>
      <c r="AK173" s="26">
        <f>AA173</f>
        <v>19.298245600000001</v>
      </c>
      <c r="AL173" s="57">
        <f>N173</f>
        <v>694</v>
      </c>
      <c r="AM173" s="57">
        <f>R173</f>
        <v>1012</v>
      </c>
    </row>
    <row r="174" spans="1:39" hidden="1" x14ac:dyDescent="0.3">
      <c r="A174" s="37">
        <v>170</v>
      </c>
      <c r="B174" s="38" t="s">
        <v>521</v>
      </c>
      <c r="C174" s="38" t="s">
        <v>46</v>
      </c>
      <c r="D174" s="38" t="s">
        <v>60</v>
      </c>
      <c r="E174" s="38" t="s">
        <v>61</v>
      </c>
      <c r="F174" s="47" t="s">
        <v>519</v>
      </c>
      <c r="G174" s="40"/>
      <c r="H174" s="40"/>
      <c r="I174" s="40"/>
      <c r="J174" s="40"/>
      <c r="K174" s="40"/>
      <c r="L174" s="40"/>
      <c r="M174" s="40"/>
      <c r="N174" s="40"/>
      <c r="O174" s="40">
        <v>857</v>
      </c>
      <c r="P174" s="40">
        <v>630</v>
      </c>
      <c r="Q174" s="40">
        <v>97</v>
      </c>
      <c r="R174" s="40">
        <v>130</v>
      </c>
      <c r="S174" s="41"/>
      <c r="T174" s="41"/>
      <c r="U174" s="41"/>
      <c r="V174" s="41"/>
      <c r="W174" s="41"/>
      <c r="X174" s="41"/>
      <c r="Y174" s="41">
        <v>73.512252000000004</v>
      </c>
      <c r="Z174" s="41">
        <v>11.318553100000001</v>
      </c>
      <c r="AA174" s="41">
        <v>15.169194900000001</v>
      </c>
    </row>
    <row r="175" spans="1:39" hidden="1" x14ac:dyDescent="0.3">
      <c r="A175" s="37">
        <v>171</v>
      </c>
      <c r="B175" s="38" t="s">
        <v>521</v>
      </c>
      <c r="C175" s="38" t="s">
        <v>46</v>
      </c>
      <c r="D175" s="38" t="s">
        <v>60</v>
      </c>
      <c r="E175" s="38" t="s">
        <v>61</v>
      </c>
      <c r="F175" s="47" t="s">
        <v>520</v>
      </c>
      <c r="G175" s="40">
        <v>3641</v>
      </c>
      <c r="H175" s="40">
        <v>2127</v>
      </c>
      <c r="I175" s="40">
        <v>565</v>
      </c>
      <c r="J175" s="40">
        <v>949</v>
      </c>
      <c r="K175" s="40">
        <v>3740</v>
      </c>
      <c r="L175" s="40">
        <v>2524</v>
      </c>
      <c r="M175" s="40">
        <v>522</v>
      </c>
      <c r="N175" s="40">
        <v>694</v>
      </c>
      <c r="O175" s="40">
        <v>4387</v>
      </c>
      <c r="P175" s="40">
        <v>2930</v>
      </c>
      <c r="Q175" s="40">
        <v>575</v>
      </c>
      <c r="R175" s="40">
        <v>882</v>
      </c>
      <c r="S175" s="41">
        <v>58.418016999999999</v>
      </c>
      <c r="T175" s="41">
        <v>15.5177149</v>
      </c>
      <c r="U175" s="41">
        <v>26.0642681</v>
      </c>
      <c r="V175" s="41">
        <v>67.486631000000003</v>
      </c>
      <c r="W175" s="41">
        <v>13.9572193</v>
      </c>
      <c r="X175" s="41">
        <v>18.556149699999999</v>
      </c>
      <c r="Y175" s="41">
        <v>66.788238000000007</v>
      </c>
      <c r="Z175" s="41">
        <v>13.106906800000001</v>
      </c>
      <c r="AA175" s="41">
        <v>20.104855300000001</v>
      </c>
    </row>
    <row r="176" spans="1:39" hidden="1" x14ac:dyDescent="0.3">
      <c r="A176" s="42">
        <v>172</v>
      </c>
      <c r="B176" s="43" t="s">
        <v>521</v>
      </c>
      <c r="C176" s="50" t="s">
        <v>46</v>
      </c>
      <c r="D176" s="50" t="s">
        <v>60</v>
      </c>
      <c r="E176" s="50" t="s">
        <v>62</v>
      </c>
      <c r="F176" s="51" t="s">
        <v>62</v>
      </c>
      <c r="G176" s="45">
        <v>4264</v>
      </c>
      <c r="H176" s="45">
        <v>2708</v>
      </c>
      <c r="I176" s="45">
        <v>632</v>
      </c>
      <c r="J176" s="45">
        <v>924</v>
      </c>
      <c r="K176" s="45">
        <v>4269</v>
      </c>
      <c r="L176" s="45">
        <v>2362</v>
      </c>
      <c r="M176" s="45">
        <v>681</v>
      </c>
      <c r="N176" s="45">
        <v>1226</v>
      </c>
      <c r="O176" s="45">
        <v>5233</v>
      </c>
      <c r="P176" s="45">
        <v>3203</v>
      </c>
      <c r="Q176" s="45">
        <v>715</v>
      </c>
      <c r="R176" s="45">
        <v>1315</v>
      </c>
      <c r="S176" s="46">
        <v>63.508442799999997</v>
      </c>
      <c r="T176" s="46">
        <v>14.821763600000001</v>
      </c>
      <c r="U176" s="46">
        <v>21.669793599999998</v>
      </c>
      <c r="V176" s="46">
        <v>55.329116900000002</v>
      </c>
      <c r="W176" s="46">
        <v>15.9522136</v>
      </c>
      <c r="X176" s="46">
        <v>28.718669500000001</v>
      </c>
      <c r="Y176" s="46">
        <v>61.207720199999997</v>
      </c>
      <c r="Z176" s="46">
        <v>13.663290699999999</v>
      </c>
      <c r="AA176" s="46">
        <v>25.128989099999998</v>
      </c>
      <c r="AB176" s="26">
        <f>SUM(W176:X176)</f>
        <v>44.670883099999998</v>
      </c>
      <c r="AC176" s="26">
        <f>SUM(Z176:AA176)</f>
        <v>38.792279799999996</v>
      </c>
      <c r="AD176" s="57">
        <f>M176+N176</f>
        <v>1907</v>
      </c>
      <c r="AE176" s="57">
        <f>Q176+R176</f>
        <v>2030</v>
      </c>
      <c r="AF176" s="26">
        <f>W176</f>
        <v>15.9522136</v>
      </c>
      <c r="AG176" s="26">
        <f>Z176</f>
        <v>13.663290699999999</v>
      </c>
      <c r="AH176" s="26">
        <f>M176</f>
        <v>681</v>
      </c>
      <c r="AI176" s="26">
        <f>Q176</f>
        <v>715</v>
      </c>
      <c r="AJ176" s="26">
        <f>X176</f>
        <v>28.718669500000001</v>
      </c>
      <c r="AK176" s="26">
        <f>AA176</f>
        <v>25.128989099999998</v>
      </c>
      <c r="AL176" s="57">
        <f>N176</f>
        <v>1226</v>
      </c>
      <c r="AM176" s="57">
        <f>R176</f>
        <v>1315</v>
      </c>
    </row>
    <row r="177" spans="1:39" hidden="1" x14ac:dyDescent="0.3">
      <c r="A177" s="37">
        <v>173</v>
      </c>
      <c r="B177" s="38" t="s">
        <v>521</v>
      </c>
      <c r="C177" s="38" t="s">
        <v>46</v>
      </c>
      <c r="D177" s="38" t="s">
        <v>60</v>
      </c>
      <c r="E177" s="38" t="s">
        <v>62</v>
      </c>
      <c r="F177" s="47" t="s">
        <v>519</v>
      </c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1"/>
      <c r="T177" s="41"/>
      <c r="U177" s="41"/>
      <c r="V177" s="41"/>
      <c r="W177" s="41"/>
      <c r="X177" s="41"/>
      <c r="Y177" s="41"/>
      <c r="Z177" s="41"/>
      <c r="AA177" s="41"/>
    </row>
    <row r="178" spans="1:39" hidden="1" x14ac:dyDescent="0.3">
      <c r="A178" s="37">
        <v>174</v>
      </c>
      <c r="B178" s="38" t="s">
        <v>521</v>
      </c>
      <c r="C178" s="38" t="s">
        <v>46</v>
      </c>
      <c r="D178" s="38" t="s">
        <v>60</v>
      </c>
      <c r="E178" s="38" t="s">
        <v>62</v>
      </c>
      <c r="F178" s="47" t="s">
        <v>520</v>
      </c>
      <c r="G178" s="40">
        <v>4264</v>
      </c>
      <c r="H178" s="40">
        <v>2708</v>
      </c>
      <c r="I178" s="40">
        <v>632</v>
      </c>
      <c r="J178" s="40">
        <v>924</v>
      </c>
      <c r="K178" s="40">
        <v>4269</v>
      </c>
      <c r="L178" s="40">
        <v>2362</v>
      </c>
      <c r="M178" s="40">
        <v>681</v>
      </c>
      <c r="N178" s="40">
        <v>1226</v>
      </c>
      <c r="O178" s="40">
        <v>5233</v>
      </c>
      <c r="P178" s="40">
        <v>3203</v>
      </c>
      <c r="Q178" s="40">
        <v>715</v>
      </c>
      <c r="R178" s="40">
        <v>1315</v>
      </c>
      <c r="S178" s="41">
        <v>63.508442799999997</v>
      </c>
      <c r="T178" s="41">
        <v>14.821763600000001</v>
      </c>
      <c r="U178" s="41">
        <v>21.669793599999998</v>
      </c>
      <c r="V178" s="41">
        <v>55.329116900000002</v>
      </c>
      <c r="W178" s="41">
        <v>15.9522136</v>
      </c>
      <c r="X178" s="41">
        <v>28.718669500000001</v>
      </c>
      <c r="Y178" s="41">
        <v>61.207720199999997</v>
      </c>
      <c r="Z178" s="41">
        <v>13.663290699999999</v>
      </c>
      <c r="AA178" s="41">
        <v>25.128989099999998</v>
      </c>
    </row>
    <row r="179" spans="1:39" hidden="1" x14ac:dyDescent="0.3">
      <c r="A179" s="42">
        <v>175</v>
      </c>
      <c r="B179" s="43" t="s">
        <v>521</v>
      </c>
      <c r="C179" s="50" t="s">
        <v>46</v>
      </c>
      <c r="D179" s="50" t="s">
        <v>60</v>
      </c>
      <c r="E179" s="50" t="s">
        <v>63</v>
      </c>
      <c r="F179" s="51" t="s">
        <v>63</v>
      </c>
      <c r="G179" s="45">
        <v>3083</v>
      </c>
      <c r="H179" s="45">
        <v>1889</v>
      </c>
      <c r="I179" s="45">
        <v>514</v>
      </c>
      <c r="J179" s="45">
        <v>680</v>
      </c>
      <c r="K179" s="45">
        <v>3533</v>
      </c>
      <c r="L179" s="45">
        <v>2308</v>
      </c>
      <c r="M179" s="45">
        <v>494</v>
      </c>
      <c r="N179" s="45">
        <v>731</v>
      </c>
      <c r="O179" s="45">
        <v>5108</v>
      </c>
      <c r="P179" s="45">
        <v>3524</v>
      </c>
      <c r="Q179" s="45">
        <v>678</v>
      </c>
      <c r="R179" s="45">
        <v>906</v>
      </c>
      <c r="S179" s="46">
        <v>61.2714888</v>
      </c>
      <c r="T179" s="46">
        <v>16.672072700000001</v>
      </c>
      <c r="U179" s="46">
        <v>22.056438499999999</v>
      </c>
      <c r="V179" s="46">
        <v>65.326917600000002</v>
      </c>
      <c r="W179" s="46">
        <v>13.9824512</v>
      </c>
      <c r="X179" s="46">
        <v>20.690631199999999</v>
      </c>
      <c r="Y179" s="46">
        <v>68.989819900000001</v>
      </c>
      <c r="Z179" s="46">
        <v>13.273296800000001</v>
      </c>
      <c r="AA179" s="46">
        <v>17.736883299999999</v>
      </c>
      <c r="AB179" s="26">
        <f>SUM(W179:X179)</f>
        <v>34.673082399999998</v>
      </c>
      <c r="AC179" s="26">
        <f>SUM(Z179:AA179)</f>
        <v>31.010180099999999</v>
      </c>
      <c r="AD179" s="57">
        <f>M179+N179</f>
        <v>1225</v>
      </c>
      <c r="AE179" s="57">
        <f>Q179+R179</f>
        <v>1584</v>
      </c>
      <c r="AF179" s="26">
        <f>W179</f>
        <v>13.9824512</v>
      </c>
      <c r="AG179" s="26">
        <f>Z179</f>
        <v>13.273296800000001</v>
      </c>
      <c r="AH179" s="26">
        <f>M179</f>
        <v>494</v>
      </c>
      <c r="AI179" s="26">
        <f>Q179</f>
        <v>678</v>
      </c>
      <c r="AJ179" s="26">
        <f>X179</f>
        <v>20.690631199999999</v>
      </c>
      <c r="AK179" s="26">
        <f>AA179</f>
        <v>17.736883299999999</v>
      </c>
      <c r="AL179" s="57">
        <f>N179</f>
        <v>731</v>
      </c>
      <c r="AM179" s="57">
        <f>R179</f>
        <v>906</v>
      </c>
    </row>
    <row r="180" spans="1:39" hidden="1" x14ac:dyDescent="0.3">
      <c r="A180" s="37">
        <v>176</v>
      </c>
      <c r="B180" s="38" t="s">
        <v>521</v>
      </c>
      <c r="C180" s="38" t="s">
        <v>46</v>
      </c>
      <c r="D180" s="38" t="s">
        <v>60</v>
      </c>
      <c r="E180" s="38" t="s">
        <v>63</v>
      </c>
      <c r="F180" s="47" t="s">
        <v>519</v>
      </c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1"/>
      <c r="T180" s="41"/>
      <c r="U180" s="41"/>
      <c r="V180" s="41"/>
      <c r="W180" s="41"/>
      <c r="X180" s="41"/>
      <c r="Y180" s="41"/>
      <c r="Z180" s="41"/>
      <c r="AA180" s="41"/>
    </row>
    <row r="181" spans="1:39" hidden="1" x14ac:dyDescent="0.3">
      <c r="A181" s="37">
        <v>177</v>
      </c>
      <c r="B181" s="38" t="s">
        <v>521</v>
      </c>
      <c r="C181" s="38" t="s">
        <v>46</v>
      </c>
      <c r="D181" s="38" t="s">
        <v>60</v>
      </c>
      <c r="E181" s="38" t="s">
        <v>63</v>
      </c>
      <c r="F181" s="47" t="s">
        <v>520</v>
      </c>
      <c r="G181" s="40">
        <v>3083</v>
      </c>
      <c r="H181" s="40">
        <v>1889</v>
      </c>
      <c r="I181" s="40">
        <v>514</v>
      </c>
      <c r="J181" s="40">
        <v>680</v>
      </c>
      <c r="K181" s="40">
        <v>3533</v>
      </c>
      <c r="L181" s="40">
        <v>2308</v>
      </c>
      <c r="M181" s="40">
        <v>494</v>
      </c>
      <c r="N181" s="40">
        <v>731</v>
      </c>
      <c r="O181" s="40">
        <v>5108</v>
      </c>
      <c r="P181" s="40">
        <v>3524</v>
      </c>
      <c r="Q181" s="40">
        <v>678</v>
      </c>
      <c r="R181" s="40">
        <v>906</v>
      </c>
      <c r="S181" s="41">
        <v>61.2714888</v>
      </c>
      <c r="T181" s="41">
        <v>16.672072700000001</v>
      </c>
      <c r="U181" s="41">
        <v>22.056438499999999</v>
      </c>
      <c r="V181" s="41">
        <v>65.326917600000002</v>
      </c>
      <c r="W181" s="41">
        <v>13.9824512</v>
      </c>
      <c r="X181" s="41">
        <v>20.690631199999999</v>
      </c>
      <c r="Y181" s="41">
        <v>68.989819900000001</v>
      </c>
      <c r="Z181" s="41">
        <v>13.273296800000001</v>
      </c>
      <c r="AA181" s="41">
        <v>17.736883299999999</v>
      </c>
    </row>
    <row r="182" spans="1:39" hidden="1" x14ac:dyDescent="0.3">
      <c r="A182" s="42">
        <v>178</v>
      </c>
      <c r="B182" s="43" t="s">
        <v>521</v>
      </c>
      <c r="C182" s="50" t="s">
        <v>46</v>
      </c>
      <c r="D182" s="50" t="s">
        <v>60</v>
      </c>
      <c r="E182" s="50" t="s">
        <v>64</v>
      </c>
      <c r="F182" s="51" t="s">
        <v>64</v>
      </c>
      <c r="G182" s="45">
        <v>1199</v>
      </c>
      <c r="H182" s="45">
        <v>691</v>
      </c>
      <c r="I182" s="45">
        <v>214</v>
      </c>
      <c r="J182" s="45">
        <v>294</v>
      </c>
      <c r="K182" s="45">
        <v>1311</v>
      </c>
      <c r="L182" s="45">
        <v>865</v>
      </c>
      <c r="M182" s="45">
        <v>221</v>
      </c>
      <c r="N182" s="45">
        <v>225</v>
      </c>
      <c r="O182" s="45">
        <v>1930</v>
      </c>
      <c r="P182" s="45">
        <v>1259</v>
      </c>
      <c r="Q182" s="45">
        <v>261</v>
      </c>
      <c r="R182" s="45">
        <v>410</v>
      </c>
      <c r="S182" s="46">
        <v>57.631359500000002</v>
      </c>
      <c r="T182" s="46">
        <v>17.8482068</v>
      </c>
      <c r="U182" s="46">
        <v>24.520433700000002</v>
      </c>
      <c r="V182" s="46">
        <v>65.980167800000004</v>
      </c>
      <c r="W182" s="46">
        <v>16.857360799999999</v>
      </c>
      <c r="X182" s="46">
        <v>17.162471400000001</v>
      </c>
      <c r="Y182" s="46">
        <v>65.233160600000005</v>
      </c>
      <c r="Z182" s="46">
        <v>13.523316100000001</v>
      </c>
      <c r="AA182" s="46">
        <v>21.2435233</v>
      </c>
      <c r="AB182" s="26">
        <f>SUM(W182:X182)</f>
        <v>34.019832199999996</v>
      </c>
      <c r="AC182" s="26">
        <f>SUM(Z182:AA182)</f>
        <v>34.766839400000002</v>
      </c>
      <c r="AD182" s="57">
        <f>M182+N182</f>
        <v>446</v>
      </c>
      <c r="AE182" s="57">
        <f>Q182+R182</f>
        <v>671</v>
      </c>
      <c r="AF182" s="26">
        <f>W182</f>
        <v>16.857360799999999</v>
      </c>
      <c r="AG182" s="26">
        <f>Z182</f>
        <v>13.523316100000001</v>
      </c>
      <c r="AH182" s="26">
        <f>M182</f>
        <v>221</v>
      </c>
      <c r="AI182" s="26">
        <f>Q182</f>
        <v>261</v>
      </c>
      <c r="AJ182" s="26">
        <f>X182</f>
        <v>17.162471400000001</v>
      </c>
      <c r="AK182" s="26">
        <f>AA182</f>
        <v>21.2435233</v>
      </c>
      <c r="AL182" s="57">
        <f>N182</f>
        <v>225</v>
      </c>
      <c r="AM182" s="57">
        <f>R182</f>
        <v>410</v>
      </c>
    </row>
    <row r="183" spans="1:39" hidden="1" x14ac:dyDescent="0.3">
      <c r="A183" s="37">
        <v>179</v>
      </c>
      <c r="B183" s="38" t="s">
        <v>521</v>
      </c>
      <c r="C183" s="38" t="s">
        <v>46</v>
      </c>
      <c r="D183" s="38" t="s">
        <v>60</v>
      </c>
      <c r="E183" s="38" t="s">
        <v>64</v>
      </c>
      <c r="F183" s="47" t="s">
        <v>519</v>
      </c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1"/>
      <c r="T183" s="41"/>
      <c r="U183" s="41"/>
      <c r="V183" s="41"/>
      <c r="W183" s="41"/>
      <c r="X183" s="41"/>
      <c r="Y183" s="41"/>
      <c r="Z183" s="41"/>
      <c r="AA183" s="41"/>
    </row>
    <row r="184" spans="1:39" hidden="1" x14ac:dyDescent="0.3">
      <c r="A184" s="37">
        <v>180</v>
      </c>
      <c r="B184" s="38" t="s">
        <v>521</v>
      </c>
      <c r="C184" s="38" t="s">
        <v>46</v>
      </c>
      <c r="D184" s="38" t="s">
        <v>60</v>
      </c>
      <c r="E184" s="38" t="s">
        <v>64</v>
      </c>
      <c r="F184" s="47" t="s">
        <v>520</v>
      </c>
      <c r="G184" s="40">
        <v>1199</v>
      </c>
      <c r="H184" s="40">
        <v>691</v>
      </c>
      <c r="I184" s="40">
        <v>214</v>
      </c>
      <c r="J184" s="40">
        <v>294</v>
      </c>
      <c r="K184" s="40">
        <v>1311</v>
      </c>
      <c r="L184" s="40">
        <v>865</v>
      </c>
      <c r="M184" s="40">
        <v>221</v>
      </c>
      <c r="N184" s="40">
        <v>225</v>
      </c>
      <c r="O184" s="40">
        <v>1930</v>
      </c>
      <c r="P184" s="40">
        <v>1259</v>
      </c>
      <c r="Q184" s="40">
        <v>261</v>
      </c>
      <c r="R184" s="40">
        <v>410</v>
      </c>
      <c r="S184" s="41">
        <v>57.631359500000002</v>
      </c>
      <c r="T184" s="41">
        <v>17.8482068</v>
      </c>
      <c r="U184" s="41">
        <v>24.520433700000002</v>
      </c>
      <c r="V184" s="41">
        <v>65.980167800000004</v>
      </c>
      <c r="W184" s="41">
        <v>16.857360799999999</v>
      </c>
      <c r="X184" s="41">
        <v>17.162471400000001</v>
      </c>
      <c r="Y184" s="41">
        <v>65.233160600000005</v>
      </c>
      <c r="Z184" s="41">
        <v>13.523316100000001</v>
      </c>
      <c r="AA184" s="41">
        <v>21.2435233</v>
      </c>
    </row>
    <row r="185" spans="1:39" hidden="1" x14ac:dyDescent="0.3">
      <c r="A185" s="42">
        <v>181</v>
      </c>
      <c r="B185" s="43" t="s">
        <v>521</v>
      </c>
      <c r="C185" s="50" t="s">
        <v>46</v>
      </c>
      <c r="D185" s="50" t="s">
        <v>60</v>
      </c>
      <c r="E185" s="50" t="s">
        <v>65</v>
      </c>
      <c r="F185" s="51" t="s">
        <v>65</v>
      </c>
      <c r="G185" s="45">
        <v>846</v>
      </c>
      <c r="H185" s="45">
        <v>444</v>
      </c>
      <c r="I185" s="45">
        <v>146</v>
      </c>
      <c r="J185" s="45">
        <v>256</v>
      </c>
      <c r="K185" s="45">
        <v>1159</v>
      </c>
      <c r="L185" s="45">
        <v>789</v>
      </c>
      <c r="M185" s="45">
        <v>163</v>
      </c>
      <c r="N185" s="45">
        <v>207</v>
      </c>
      <c r="O185" s="45">
        <v>1742</v>
      </c>
      <c r="P185" s="45">
        <v>1256</v>
      </c>
      <c r="Q185" s="45">
        <v>211</v>
      </c>
      <c r="R185" s="45">
        <v>275</v>
      </c>
      <c r="S185" s="46">
        <v>52.482269500000001</v>
      </c>
      <c r="T185" s="46">
        <v>17.257683199999999</v>
      </c>
      <c r="U185" s="46">
        <v>30.2600473</v>
      </c>
      <c r="V185" s="46">
        <v>68.075927500000006</v>
      </c>
      <c r="W185" s="46">
        <v>14.0638481</v>
      </c>
      <c r="X185" s="46">
        <v>17.860224299999999</v>
      </c>
      <c r="Y185" s="46">
        <v>72.101033299999997</v>
      </c>
      <c r="Z185" s="46">
        <v>12.1125144</v>
      </c>
      <c r="AA185" s="46">
        <v>15.7864524</v>
      </c>
      <c r="AB185" s="26">
        <f>SUM(W185:X185)</f>
        <v>31.9240724</v>
      </c>
      <c r="AC185" s="26">
        <f>SUM(Z185:AA185)</f>
        <v>27.8989668</v>
      </c>
      <c r="AD185" s="57">
        <f>M185+N185</f>
        <v>370</v>
      </c>
      <c r="AE185" s="57">
        <f>Q185+R185</f>
        <v>486</v>
      </c>
      <c r="AF185" s="26">
        <f>W185</f>
        <v>14.0638481</v>
      </c>
      <c r="AG185" s="26">
        <f>Z185</f>
        <v>12.1125144</v>
      </c>
      <c r="AH185" s="26">
        <f>M185</f>
        <v>163</v>
      </c>
      <c r="AI185" s="26">
        <f>Q185</f>
        <v>211</v>
      </c>
      <c r="AJ185" s="26">
        <f>X185</f>
        <v>17.860224299999999</v>
      </c>
      <c r="AK185" s="26">
        <f>AA185</f>
        <v>15.7864524</v>
      </c>
      <c r="AL185" s="57">
        <f>N185</f>
        <v>207</v>
      </c>
      <c r="AM185" s="57">
        <f>R185</f>
        <v>275</v>
      </c>
    </row>
    <row r="186" spans="1:39" hidden="1" x14ac:dyDescent="0.3">
      <c r="A186" s="37">
        <v>182</v>
      </c>
      <c r="B186" s="38" t="s">
        <v>521</v>
      </c>
      <c r="C186" s="38" t="s">
        <v>46</v>
      </c>
      <c r="D186" s="38" t="s">
        <v>60</v>
      </c>
      <c r="E186" s="38" t="s">
        <v>65</v>
      </c>
      <c r="F186" s="47" t="s">
        <v>519</v>
      </c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1"/>
      <c r="T186" s="41"/>
      <c r="U186" s="41"/>
      <c r="V186" s="41"/>
      <c r="W186" s="41"/>
      <c r="X186" s="41"/>
      <c r="Y186" s="41"/>
      <c r="Z186" s="41"/>
      <c r="AA186" s="41"/>
    </row>
    <row r="187" spans="1:39" hidden="1" x14ac:dyDescent="0.3">
      <c r="A187" s="37">
        <v>183</v>
      </c>
      <c r="B187" s="38" t="s">
        <v>521</v>
      </c>
      <c r="C187" s="38" t="s">
        <v>46</v>
      </c>
      <c r="D187" s="38" t="s">
        <v>60</v>
      </c>
      <c r="E187" s="38" t="s">
        <v>65</v>
      </c>
      <c r="F187" s="47" t="s">
        <v>520</v>
      </c>
      <c r="G187" s="40">
        <v>846</v>
      </c>
      <c r="H187" s="40">
        <v>444</v>
      </c>
      <c r="I187" s="40">
        <v>146</v>
      </c>
      <c r="J187" s="40">
        <v>256</v>
      </c>
      <c r="K187" s="40">
        <v>1159</v>
      </c>
      <c r="L187" s="40">
        <v>789</v>
      </c>
      <c r="M187" s="40">
        <v>163</v>
      </c>
      <c r="N187" s="40">
        <v>207</v>
      </c>
      <c r="O187" s="40">
        <v>1742</v>
      </c>
      <c r="P187" s="40">
        <v>1256</v>
      </c>
      <c r="Q187" s="40">
        <v>211</v>
      </c>
      <c r="R187" s="40">
        <v>275</v>
      </c>
      <c r="S187" s="41">
        <v>52.482269500000001</v>
      </c>
      <c r="T187" s="41">
        <v>17.257683199999999</v>
      </c>
      <c r="U187" s="41">
        <v>30.2600473</v>
      </c>
      <c r="V187" s="41">
        <v>68.075927500000006</v>
      </c>
      <c r="W187" s="41">
        <v>14.0638481</v>
      </c>
      <c r="X187" s="41">
        <v>17.860224299999999</v>
      </c>
      <c r="Y187" s="41">
        <v>72.101033299999997</v>
      </c>
      <c r="Z187" s="41">
        <v>12.1125144</v>
      </c>
      <c r="AA187" s="41">
        <v>15.7864524</v>
      </c>
    </row>
    <row r="188" spans="1:39" hidden="1" x14ac:dyDescent="0.3">
      <c r="A188" s="42">
        <v>184</v>
      </c>
      <c r="B188" s="43" t="s">
        <v>521</v>
      </c>
      <c r="C188" s="50" t="s">
        <v>46</v>
      </c>
      <c r="D188" s="50" t="s">
        <v>60</v>
      </c>
      <c r="E188" s="50" t="s">
        <v>479</v>
      </c>
      <c r="F188" s="51" t="s">
        <v>479</v>
      </c>
      <c r="G188" s="45">
        <v>558</v>
      </c>
      <c r="H188" s="45">
        <v>328</v>
      </c>
      <c r="I188" s="45">
        <v>77</v>
      </c>
      <c r="J188" s="45">
        <v>153</v>
      </c>
      <c r="K188" s="45">
        <v>1070</v>
      </c>
      <c r="L188" s="45">
        <v>340</v>
      </c>
      <c r="M188" s="45">
        <v>212</v>
      </c>
      <c r="N188" s="45">
        <v>518</v>
      </c>
      <c r="O188" s="45">
        <v>1463</v>
      </c>
      <c r="P188" s="45">
        <v>687</v>
      </c>
      <c r="Q188" s="45">
        <v>293</v>
      </c>
      <c r="R188" s="45">
        <v>483</v>
      </c>
      <c r="S188" s="46">
        <v>58.781362000000001</v>
      </c>
      <c r="T188" s="46">
        <v>13.7992832</v>
      </c>
      <c r="U188" s="46">
        <v>27.419354800000001</v>
      </c>
      <c r="V188" s="46">
        <v>31.7757009</v>
      </c>
      <c r="W188" s="46">
        <v>19.813084100000001</v>
      </c>
      <c r="X188" s="46">
        <v>48.411214999999999</v>
      </c>
      <c r="Y188" s="46">
        <v>46.958304900000002</v>
      </c>
      <c r="Z188" s="46">
        <v>20.027341100000001</v>
      </c>
      <c r="AA188" s="46">
        <v>33.014354099999998</v>
      </c>
      <c r="AB188" s="26">
        <f>SUM(W188:X188)</f>
        <v>68.224299099999996</v>
      </c>
      <c r="AC188" s="26">
        <f>SUM(Z188:AA188)</f>
        <v>53.041695199999999</v>
      </c>
      <c r="AD188" s="57">
        <f>M188+N188</f>
        <v>730</v>
      </c>
      <c r="AE188" s="57">
        <f>Q188+R188</f>
        <v>776</v>
      </c>
      <c r="AF188" s="26">
        <f>W188</f>
        <v>19.813084100000001</v>
      </c>
      <c r="AG188" s="26">
        <f>Z188</f>
        <v>20.027341100000001</v>
      </c>
      <c r="AH188" s="26">
        <f>M188</f>
        <v>212</v>
      </c>
      <c r="AI188" s="26">
        <f>Q188</f>
        <v>293</v>
      </c>
      <c r="AJ188" s="26">
        <f>X188</f>
        <v>48.411214999999999</v>
      </c>
      <c r="AK188" s="26">
        <f>AA188</f>
        <v>33.014354099999998</v>
      </c>
      <c r="AL188" s="57">
        <f>N188</f>
        <v>518</v>
      </c>
      <c r="AM188" s="57">
        <f>R188</f>
        <v>483</v>
      </c>
    </row>
    <row r="189" spans="1:39" hidden="1" x14ac:dyDescent="0.3">
      <c r="A189" s="37">
        <v>185</v>
      </c>
      <c r="B189" s="38" t="s">
        <v>521</v>
      </c>
      <c r="C189" s="38" t="s">
        <v>46</v>
      </c>
      <c r="D189" s="38" t="s">
        <v>60</v>
      </c>
      <c r="E189" s="38" t="s">
        <v>479</v>
      </c>
      <c r="F189" s="47" t="s">
        <v>519</v>
      </c>
      <c r="G189" s="40"/>
      <c r="H189" s="40"/>
      <c r="I189" s="40"/>
      <c r="J189" s="40"/>
      <c r="K189" s="40">
        <v>362</v>
      </c>
      <c r="L189" s="40">
        <v>57</v>
      </c>
      <c r="M189" s="40">
        <v>75</v>
      </c>
      <c r="N189" s="40">
        <v>230</v>
      </c>
      <c r="O189" s="40">
        <v>488</v>
      </c>
      <c r="P189" s="40">
        <v>238</v>
      </c>
      <c r="Q189" s="40">
        <v>76</v>
      </c>
      <c r="R189" s="40">
        <v>174</v>
      </c>
      <c r="S189" s="41"/>
      <c r="T189" s="41"/>
      <c r="U189" s="41"/>
      <c r="V189" s="41">
        <v>15.745856399999999</v>
      </c>
      <c r="W189" s="41">
        <v>20.718232</v>
      </c>
      <c r="X189" s="41">
        <v>63.535911599999999</v>
      </c>
      <c r="Y189" s="41">
        <v>48.770491800000002</v>
      </c>
      <c r="Z189" s="41">
        <v>15.5737705</v>
      </c>
      <c r="AA189" s="41">
        <v>35.655737700000003</v>
      </c>
    </row>
    <row r="190" spans="1:39" hidden="1" x14ac:dyDescent="0.3">
      <c r="A190" s="37">
        <v>186</v>
      </c>
      <c r="B190" s="38" t="s">
        <v>521</v>
      </c>
      <c r="C190" s="38" t="s">
        <v>46</v>
      </c>
      <c r="D190" s="38" t="s">
        <v>60</v>
      </c>
      <c r="E190" s="38" t="s">
        <v>479</v>
      </c>
      <c r="F190" s="47" t="s">
        <v>520</v>
      </c>
      <c r="G190" s="40">
        <v>558</v>
      </c>
      <c r="H190" s="40">
        <v>328</v>
      </c>
      <c r="I190" s="40">
        <v>77</v>
      </c>
      <c r="J190" s="40">
        <v>153</v>
      </c>
      <c r="K190" s="40">
        <v>708</v>
      </c>
      <c r="L190" s="40">
        <v>283</v>
      </c>
      <c r="M190" s="40">
        <v>137</v>
      </c>
      <c r="N190" s="40">
        <v>288</v>
      </c>
      <c r="O190" s="40">
        <v>975</v>
      </c>
      <c r="P190" s="40">
        <v>449</v>
      </c>
      <c r="Q190" s="40">
        <v>217</v>
      </c>
      <c r="R190" s="40">
        <v>309</v>
      </c>
      <c r="S190" s="41">
        <v>58.781362000000001</v>
      </c>
      <c r="T190" s="41">
        <v>13.7992832</v>
      </c>
      <c r="U190" s="41">
        <v>27.419354800000001</v>
      </c>
      <c r="V190" s="41">
        <v>39.971751400000002</v>
      </c>
      <c r="W190" s="41">
        <v>19.350282499999999</v>
      </c>
      <c r="X190" s="41">
        <v>40.677966099999999</v>
      </c>
      <c r="Y190" s="41">
        <v>46.051282100000002</v>
      </c>
      <c r="Z190" s="41">
        <v>22.256410299999999</v>
      </c>
      <c r="AA190" s="41">
        <v>31.692307700000001</v>
      </c>
    </row>
    <row r="191" spans="1:39" hidden="1" x14ac:dyDescent="0.3">
      <c r="A191" s="42">
        <v>187</v>
      </c>
      <c r="B191" s="43" t="s">
        <v>521</v>
      </c>
      <c r="C191" s="50" t="s">
        <v>46</v>
      </c>
      <c r="D191" s="50" t="s">
        <v>60</v>
      </c>
      <c r="E191" s="50" t="s">
        <v>67</v>
      </c>
      <c r="F191" s="51" t="s">
        <v>67</v>
      </c>
      <c r="G191" s="45">
        <v>111</v>
      </c>
      <c r="H191" s="45">
        <v>80</v>
      </c>
      <c r="I191" s="45">
        <v>17</v>
      </c>
      <c r="J191" s="45">
        <v>14</v>
      </c>
      <c r="K191" s="45">
        <v>289</v>
      </c>
      <c r="L191" s="45">
        <v>220</v>
      </c>
      <c r="M191" s="45">
        <v>45</v>
      </c>
      <c r="N191" s="45">
        <v>24</v>
      </c>
      <c r="O191" s="45">
        <v>1213</v>
      </c>
      <c r="P191" s="45">
        <v>690</v>
      </c>
      <c r="Q191" s="45">
        <v>200</v>
      </c>
      <c r="R191" s="45">
        <v>323</v>
      </c>
      <c r="S191" s="46">
        <v>72.0720721</v>
      </c>
      <c r="T191" s="46">
        <v>15.3153153</v>
      </c>
      <c r="U191" s="46">
        <v>12.6126126</v>
      </c>
      <c r="V191" s="46">
        <v>76.124567499999998</v>
      </c>
      <c r="W191" s="46">
        <v>15.570934299999999</v>
      </c>
      <c r="X191" s="46">
        <v>8.3044983000000006</v>
      </c>
      <c r="Y191" s="46">
        <v>56.883759300000001</v>
      </c>
      <c r="Z191" s="46">
        <v>16.488046199999999</v>
      </c>
      <c r="AA191" s="46">
        <v>26.6281946</v>
      </c>
      <c r="AB191" s="26">
        <f>SUM(W191:X191)</f>
        <v>23.8754326</v>
      </c>
      <c r="AC191" s="26">
        <f>SUM(Z191:AA191)</f>
        <v>43.1162408</v>
      </c>
      <c r="AD191" s="57">
        <f>M191+N191</f>
        <v>69</v>
      </c>
      <c r="AE191" s="57">
        <f>Q191+R191</f>
        <v>523</v>
      </c>
      <c r="AF191" s="26">
        <f>W191</f>
        <v>15.570934299999999</v>
      </c>
      <c r="AG191" s="26">
        <f>Z191</f>
        <v>16.488046199999999</v>
      </c>
      <c r="AH191" s="26">
        <f>M191</f>
        <v>45</v>
      </c>
      <c r="AI191" s="26">
        <f>Q191</f>
        <v>200</v>
      </c>
      <c r="AJ191" s="26">
        <f>X191</f>
        <v>8.3044983000000006</v>
      </c>
      <c r="AK191" s="26">
        <f>AA191</f>
        <v>26.6281946</v>
      </c>
      <c r="AL191" s="57">
        <f>N191</f>
        <v>24</v>
      </c>
      <c r="AM191" s="57">
        <f>R191</f>
        <v>323</v>
      </c>
    </row>
    <row r="192" spans="1:39" hidden="1" x14ac:dyDescent="0.3">
      <c r="A192" s="37">
        <v>188</v>
      </c>
      <c r="B192" s="38" t="s">
        <v>521</v>
      </c>
      <c r="C192" s="38" t="s">
        <v>46</v>
      </c>
      <c r="D192" s="38" t="s">
        <v>60</v>
      </c>
      <c r="E192" s="38" t="s">
        <v>67</v>
      </c>
      <c r="F192" s="47" t="s">
        <v>519</v>
      </c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1"/>
      <c r="T192" s="41"/>
      <c r="U192" s="41"/>
      <c r="V192" s="41"/>
      <c r="W192" s="41"/>
      <c r="X192" s="41"/>
      <c r="Y192" s="41"/>
      <c r="Z192" s="41"/>
      <c r="AA192" s="41"/>
    </row>
    <row r="193" spans="1:39" hidden="1" x14ac:dyDescent="0.3">
      <c r="A193" s="37">
        <v>189</v>
      </c>
      <c r="B193" s="38" t="s">
        <v>521</v>
      </c>
      <c r="C193" s="38" t="s">
        <v>46</v>
      </c>
      <c r="D193" s="38" t="s">
        <v>60</v>
      </c>
      <c r="E193" s="38" t="s">
        <v>67</v>
      </c>
      <c r="F193" s="47" t="s">
        <v>520</v>
      </c>
      <c r="G193" s="40">
        <v>111</v>
      </c>
      <c r="H193" s="40">
        <v>80</v>
      </c>
      <c r="I193" s="40">
        <v>17</v>
      </c>
      <c r="J193" s="40">
        <v>14</v>
      </c>
      <c r="K193" s="40">
        <v>289</v>
      </c>
      <c r="L193" s="40">
        <v>220</v>
      </c>
      <c r="M193" s="40">
        <v>45</v>
      </c>
      <c r="N193" s="40">
        <v>24</v>
      </c>
      <c r="O193" s="40">
        <v>1213</v>
      </c>
      <c r="P193" s="40">
        <v>690</v>
      </c>
      <c r="Q193" s="40">
        <v>200</v>
      </c>
      <c r="R193" s="40">
        <v>323</v>
      </c>
      <c r="S193" s="41">
        <v>72.0720721</v>
      </c>
      <c r="T193" s="41">
        <v>15.3153153</v>
      </c>
      <c r="U193" s="41">
        <v>12.6126126</v>
      </c>
      <c r="V193" s="41">
        <v>76.124567499999998</v>
      </c>
      <c r="W193" s="41">
        <v>15.570934299999999</v>
      </c>
      <c r="X193" s="41">
        <v>8.3044983000000006</v>
      </c>
      <c r="Y193" s="41">
        <v>56.883759300000001</v>
      </c>
      <c r="Z193" s="41">
        <v>16.488046199999999</v>
      </c>
      <c r="AA193" s="41">
        <v>26.6281946</v>
      </c>
    </row>
    <row r="194" spans="1:39" hidden="1" x14ac:dyDescent="0.3">
      <c r="A194" s="42">
        <v>190</v>
      </c>
      <c r="B194" s="43" t="s">
        <v>521</v>
      </c>
      <c r="C194" s="50" t="s">
        <v>46</v>
      </c>
      <c r="D194" s="50" t="s">
        <v>60</v>
      </c>
      <c r="E194" s="50" t="s">
        <v>68</v>
      </c>
      <c r="F194" s="51" t="s">
        <v>68</v>
      </c>
      <c r="G194" s="45">
        <v>2650</v>
      </c>
      <c r="H194" s="45">
        <v>1574</v>
      </c>
      <c r="I194" s="45">
        <v>395</v>
      </c>
      <c r="J194" s="45">
        <v>681</v>
      </c>
      <c r="K194" s="45">
        <v>2790</v>
      </c>
      <c r="L194" s="45">
        <v>1904</v>
      </c>
      <c r="M194" s="45">
        <v>378</v>
      </c>
      <c r="N194" s="45">
        <v>508</v>
      </c>
      <c r="O194" s="45">
        <v>3569</v>
      </c>
      <c r="P194" s="45">
        <v>2535</v>
      </c>
      <c r="Q194" s="45">
        <v>405</v>
      </c>
      <c r="R194" s="45">
        <v>629</v>
      </c>
      <c r="S194" s="46">
        <v>59.396226400000003</v>
      </c>
      <c r="T194" s="46">
        <v>14.9056604</v>
      </c>
      <c r="U194" s="46">
        <v>25.698113200000002</v>
      </c>
      <c r="V194" s="46">
        <v>68.2437276</v>
      </c>
      <c r="W194" s="46">
        <v>13.548387099999999</v>
      </c>
      <c r="X194" s="46">
        <v>18.207885300000001</v>
      </c>
      <c r="Y194" s="46">
        <v>71.028299200000006</v>
      </c>
      <c r="Z194" s="46">
        <v>11.347716399999999</v>
      </c>
      <c r="AA194" s="46">
        <v>17.6239843</v>
      </c>
      <c r="AB194" s="26">
        <f>SUM(W194:X194)</f>
        <v>31.7562724</v>
      </c>
      <c r="AC194" s="26">
        <f>SUM(Z194:AA194)</f>
        <v>28.9717007</v>
      </c>
      <c r="AD194" s="57">
        <f>M194+N194</f>
        <v>886</v>
      </c>
      <c r="AE194" s="57">
        <f>Q194+R194</f>
        <v>1034</v>
      </c>
      <c r="AF194" s="26">
        <f>W194</f>
        <v>13.548387099999999</v>
      </c>
      <c r="AG194" s="26">
        <f>Z194</f>
        <v>11.347716399999999</v>
      </c>
      <c r="AH194" s="26">
        <f>M194</f>
        <v>378</v>
      </c>
      <c r="AI194" s="26">
        <f>Q194</f>
        <v>405</v>
      </c>
      <c r="AJ194" s="26">
        <f>X194</f>
        <v>18.207885300000001</v>
      </c>
      <c r="AK194" s="26">
        <f>AA194</f>
        <v>17.6239843</v>
      </c>
      <c r="AL194" s="57">
        <f>N194</f>
        <v>508</v>
      </c>
      <c r="AM194" s="57">
        <f>R194</f>
        <v>629</v>
      </c>
    </row>
    <row r="195" spans="1:39" hidden="1" x14ac:dyDescent="0.3">
      <c r="A195" s="37">
        <v>191</v>
      </c>
      <c r="B195" s="38" t="s">
        <v>521</v>
      </c>
      <c r="C195" s="38" t="s">
        <v>46</v>
      </c>
      <c r="D195" s="38" t="s">
        <v>60</v>
      </c>
      <c r="E195" s="38" t="s">
        <v>68</v>
      </c>
      <c r="F195" s="47" t="s">
        <v>519</v>
      </c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1"/>
      <c r="T195" s="41"/>
      <c r="U195" s="41"/>
      <c r="V195" s="41"/>
      <c r="W195" s="41"/>
      <c r="X195" s="41"/>
      <c r="Y195" s="41"/>
      <c r="Z195" s="41"/>
      <c r="AA195" s="41"/>
    </row>
    <row r="196" spans="1:39" hidden="1" x14ac:dyDescent="0.3">
      <c r="A196" s="37">
        <v>192</v>
      </c>
      <c r="B196" s="38" t="s">
        <v>521</v>
      </c>
      <c r="C196" s="38" t="s">
        <v>46</v>
      </c>
      <c r="D196" s="38" t="s">
        <v>60</v>
      </c>
      <c r="E196" s="38" t="s">
        <v>68</v>
      </c>
      <c r="F196" s="47" t="s">
        <v>520</v>
      </c>
      <c r="G196" s="40">
        <v>2650</v>
      </c>
      <c r="H196" s="40">
        <v>1574</v>
      </c>
      <c r="I196" s="40">
        <v>395</v>
      </c>
      <c r="J196" s="40">
        <v>681</v>
      </c>
      <c r="K196" s="40">
        <v>2790</v>
      </c>
      <c r="L196" s="40">
        <v>1904</v>
      </c>
      <c r="M196" s="40">
        <v>378</v>
      </c>
      <c r="N196" s="40">
        <v>508</v>
      </c>
      <c r="O196" s="40">
        <v>3569</v>
      </c>
      <c r="P196" s="40">
        <v>2535</v>
      </c>
      <c r="Q196" s="40">
        <v>405</v>
      </c>
      <c r="R196" s="40">
        <v>629</v>
      </c>
      <c r="S196" s="41">
        <v>59.396226400000003</v>
      </c>
      <c r="T196" s="41">
        <v>14.9056604</v>
      </c>
      <c r="U196" s="41">
        <v>25.698113200000002</v>
      </c>
      <c r="V196" s="41">
        <v>68.2437276</v>
      </c>
      <c r="W196" s="41">
        <v>13.548387099999999</v>
      </c>
      <c r="X196" s="41">
        <v>18.207885300000001</v>
      </c>
      <c r="Y196" s="41">
        <v>71.028299200000006</v>
      </c>
      <c r="Z196" s="41">
        <v>11.347716399999999</v>
      </c>
      <c r="AA196" s="41">
        <v>17.6239843</v>
      </c>
    </row>
    <row r="197" spans="1:39" hidden="1" x14ac:dyDescent="0.3">
      <c r="A197" s="32">
        <v>193</v>
      </c>
      <c r="B197" s="33" t="s">
        <v>1</v>
      </c>
      <c r="C197" s="49" t="s">
        <v>46</v>
      </c>
      <c r="D197" s="49" t="s">
        <v>69</v>
      </c>
      <c r="E197" s="49"/>
      <c r="F197" s="34" t="s">
        <v>69</v>
      </c>
      <c r="G197" s="35">
        <v>19611</v>
      </c>
      <c r="H197" s="35">
        <v>12304</v>
      </c>
      <c r="I197" s="35">
        <v>2862</v>
      </c>
      <c r="J197" s="35">
        <v>4445</v>
      </c>
      <c r="K197" s="35">
        <v>22099</v>
      </c>
      <c r="L197" s="35">
        <v>16636</v>
      </c>
      <c r="M197" s="35">
        <v>2706</v>
      </c>
      <c r="N197" s="35">
        <v>2757</v>
      </c>
      <c r="O197" s="35">
        <v>28325</v>
      </c>
      <c r="P197" s="35">
        <v>21700</v>
      </c>
      <c r="Q197" s="35">
        <v>2961</v>
      </c>
      <c r="R197" s="35">
        <v>3664</v>
      </c>
      <c r="S197" s="36">
        <v>62.740298799999998</v>
      </c>
      <c r="T197" s="36">
        <v>14.593850399999999</v>
      </c>
      <c r="U197" s="36">
        <v>22.665850800000001</v>
      </c>
      <c r="V197" s="36">
        <v>75.279424399999996</v>
      </c>
      <c r="W197" s="36">
        <v>12.244897999999999</v>
      </c>
      <c r="X197" s="36">
        <v>12.475677599999999</v>
      </c>
      <c r="Y197" s="36">
        <v>76.610767899999999</v>
      </c>
      <c r="Z197" s="36">
        <v>10.4536628</v>
      </c>
      <c r="AA197" s="36">
        <v>12.935569299999999</v>
      </c>
    </row>
    <row r="198" spans="1:39" hidden="1" x14ac:dyDescent="0.3">
      <c r="A198" s="37">
        <v>194</v>
      </c>
      <c r="B198" s="38" t="s">
        <v>1</v>
      </c>
      <c r="C198" s="38" t="s">
        <v>46</v>
      </c>
      <c r="D198" s="38" t="s">
        <v>69</v>
      </c>
      <c r="E198" s="38"/>
      <c r="F198" s="39" t="s">
        <v>519</v>
      </c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1"/>
      <c r="T198" s="41"/>
      <c r="U198" s="41"/>
      <c r="V198" s="41"/>
      <c r="W198" s="41"/>
      <c r="X198" s="41"/>
      <c r="Y198" s="41"/>
      <c r="Z198" s="41"/>
      <c r="AA198" s="41"/>
    </row>
    <row r="199" spans="1:39" hidden="1" x14ac:dyDescent="0.3">
      <c r="A199" s="37">
        <v>195</v>
      </c>
      <c r="B199" s="38" t="s">
        <v>1</v>
      </c>
      <c r="C199" s="38" t="s">
        <v>46</v>
      </c>
      <c r="D199" s="38" t="s">
        <v>69</v>
      </c>
      <c r="E199" s="38"/>
      <c r="F199" s="39" t="s">
        <v>520</v>
      </c>
      <c r="G199" s="40">
        <v>19611</v>
      </c>
      <c r="H199" s="40">
        <v>12304</v>
      </c>
      <c r="I199" s="40">
        <v>2862</v>
      </c>
      <c r="J199" s="40">
        <v>4445</v>
      </c>
      <c r="K199" s="40">
        <v>22099</v>
      </c>
      <c r="L199" s="40">
        <v>16636</v>
      </c>
      <c r="M199" s="40">
        <v>2706</v>
      </c>
      <c r="N199" s="40">
        <v>2757</v>
      </c>
      <c r="O199" s="40">
        <v>28325</v>
      </c>
      <c r="P199" s="40">
        <v>21700</v>
      </c>
      <c r="Q199" s="40">
        <v>2961</v>
      </c>
      <c r="R199" s="40">
        <v>3664</v>
      </c>
      <c r="S199" s="41">
        <v>62.740298799999998</v>
      </c>
      <c r="T199" s="41">
        <v>14.593850399999999</v>
      </c>
      <c r="U199" s="41">
        <v>22.665850800000001</v>
      </c>
      <c r="V199" s="41">
        <v>75.279424399999996</v>
      </c>
      <c r="W199" s="41">
        <v>12.244897999999999</v>
      </c>
      <c r="X199" s="41">
        <v>12.475677599999999</v>
      </c>
      <c r="Y199" s="41">
        <v>76.610767899999999</v>
      </c>
      <c r="Z199" s="41">
        <v>10.4536628</v>
      </c>
      <c r="AA199" s="41">
        <v>12.935569299999999</v>
      </c>
    </row>
    <row r="200" spans="1:39" hidden="1" x14ac:dyDescent="0.3">
      <c r="A200" s="42">
        <v>196</v>
      </c>
      <c r="B200" s="43" t="s">
        <v>521</v>
      </c>
      <c r="C200" s="50" t="s">
        <v>46</v>
      </c>
      <c r="D200" s="50" t="s">
        <v>69</v>
      </c>
      <c r="E200" s="50" t="s">
        <v>70</v>
      </c>
      <c r="F200" s="51" t="s">
        <v>70</v>
      </c>
      <c r="G200" s="45">
        <v>4654</v>
      </c>
      <c r="H200" s="45">
        <v>3062</v>
      </c>
      <c r="I200" s="45">
        <v>619</v>
      </c>
      <c r="J200" s="45">
        <v>973</v>
      </c>
      <c r="K200" s="45">
        <v>5011</v>
      </c>
      <c r="L200" s="45">
        <v>3930</v>
      </c>
      <c r="M200" s="45">
        <v>535</v>
      </c>
      <c r="N200" s="45">
        <v>546</v>
      </c>
      <c r="O200" s="45">
        <v>6604</v>
      </c>
      <c r="P200" s="45">
        <v>5143</v>
      </c>
      <c r="Q200" s="45">
        <v>596</v>
      </c>
      <c r="R200" s="45">
        <v>865</v>
      </c>
      <c r="S200" s="46">
        <v>65.792866399999994</v>
      </c>
      <c r="T200" s="46">
        <v>13.3003868</v>
      </c>
      <c r="U200" s="46">
        <v>20.906746900000002</v>
      </c>
      <c r="V200" s="46">
        <v>78.427459600000006</v>
      </c>
      <c r="W200" s="46">
        <v>10.676511700000001</v>
      </c>
      <c r="X200" s="46">
        <v>10.8960287</v>
      </c>
      <c r="Y200" s="46">
        <v>77.8770442</v>
      </c>
      <c r="Z200" s="46">
        <v>9.0248334000000003</v>
      </c>
      <c r="AA200" s="46">
        <v>13.098122399999999</v>
      </c>
      <c r="AB200" s="26">
        <f>SUM(W200:X200)</f>
        <v>21.572540400000001</v>
      </c>
      <c r="AC200" s="26">
        <f>SUM(Z200:AA200)</f>
        <v>22.1229558</v>
      </c>
      <c r="AD200" s="57">
        <f>M200+N200</f>
        <v>1081</v>
      </c>
      <c r="AE200" s="57">
        <f>Q200+R200</f>
        <v>1461</v>
      </c>
      <c r="AF200" s="26">
        <f>W200</f>
        <v>10.676511700000001</v>
      </c>
      <c r="AG200" s="26">
        <f>Z200</f>
        <v>9.0248334000000003</v>
      </c>
      <c r="AH200" s="26">
        <f>M200</f>
        <v>535</v>
      </c>
      <c r="AI200" s="26">
        <f>Q200</f>
        <v>596</v>
      </c>
      <c r="AJ200" s="26">
        <f>X200</f>
        <v>10.8960287</v>
      </c>
      <c r="AK200" s="26">
        <f>AA200</f>
        <v>13.098122399999999</v>
      </c>
      <c r="AL200" s="57">
        <f>N200</f>
        <v>546</v>
      </c>
      <c r="AM200" s="57">
        <f>R200</f>
        <v>865</v>
      </c>
    </row>
    <row r="201" spans="1:39" hidden="1" x14ac:dyDescent="0.3">
      <c r="A201" s="37">
        <v>197</v>
      </c>
      <c r="B201" s="38" t="s">
        <v>521</v>
      </c>
      <c r="C201" s="38" t="s">
        <v>46</v>
      </c>
      <c r="D201" s="38" t="s">
        <v>69</v>
      </c>
      <c r="E201" s="38" t="s">
        <v>70</v>
      </c>
      <c r="F201" s="47" t="s">
        <v>519</v>
      </c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1"/>
      <c r="T201" s="41"/>
      <c r="U201" s="41"/>
      <c r="V201" s="41"/>
      <c r="W201" s="41"/>
      <c r="X201" s="41"/>
      <c r="Y201" s="41"/>
      <c r="Z201" s="41"/>
      <c r="AA201" s="41"/>
    </row>
    <row r="202" spans="1:39" hidden="1" x14ac:dyDescent="0.3">
      <c r="A202" s="37">
        <v>198</v>
      </c>
      <c r="B202" s="38" t="s">
        <v>521</v>
      </c>
      <c r="C202" s="38" t="s">
        <v>46</v>
      </c>
      <c r="D202" s="38" t="s">
        <v>69</v>
      </c>
      <c r="E202" s="38" t="s">
        <v>70</v>
      </c>
      <c r="F202" s="47" t="s">
        <v>520</v>
      </c>
      <c r="G202" s="40">
        <v>4654</v>
      </c>
      <c r="H202" s="40">
        <v>3062</v>
      </c>
      <c r="I202" s="40">
        <v>619</v>
      </c>
      <c r="J202" s="40">
        <v>973</v>
      </c>
      <c r="K202" s="40">
        <v>5011</v>
      </c>
      <c r="L202" s="40">
        <v>3930</v>
      </c>
      <c r="M202" s="40">
        <v>535</v>
      </c>
      <c r="N202" s="40">
        <v>546</v>
      </c>
      <c r="O202" s="40">
        <v>6604</v>
      </c>
      <c r="P202" s="40">
        <v>5143</v>
      </c>
      <c r="Q202" s="40">
        <v>596</v>
      </c>
      <c r="R202" s="40">
        <v>865</v>
      </c>
      <c r="S202" s="41">
        <v>65.792866399999994</v>
      </c>
      <c r="T202" s="41">
        <v>13.3003868</v>
      </c>
      <c r="U202" s="41">
        <v>20.906746900000002</v>
      </c>
      <c r="V202" s="41">
        <v>78.427459600000006</v>
      </c>
      <c r="W202" s="41">
        <v>10.676511700000001</v>
      </c>
      <c r="X202" s="41">
        <v>10.8960287</v>
      </c>
      <c r="Y202" s="41">
        <v>77.8770442</v>
      </c>
      <c r="Z202" s="41">
        <v>9.0248334000000003</v>
      </c>
      <c r="AA202" s="41">
        <v>13.098122399999999</v>
      </c>
    </row>
    <row r="203" spans="1:39" hidden="1" x14ac:dyDescent="0.3">
      <c r="A203" s="42">
        <v>199</v>
      </c>
      <c r="B203" s="43" t="s">
        <v>521</v>
      </c>
      <c r="C203" s="50" t="s">
        <v>46</v>
      </c>
      <c r="D203" s="50" t="s">
        <v>69</v>
      </c>
      <c r="E203" s="50" t="s">
        <v>71</v>
      </c>
      <c r="F203" s="51" t="s">
        <v>71</v>
      </c>
      <c r="G203" s="45">
        <v>5788</v>
      </c>
      <c r="H203" s="45">
        <v>3549</v>
      </c>
      <c r="I203" s="45">
        <v>844</v>
      </c>
      <c r="J203" s="45">
        <v>1395</v>
      </c>
      <c r="K203" s="45">
        <v>6606</v>
      </c>
      <c r="L203" s="45">
        <v>5022</v>
      </c>
      <c r="M203" s="45">
        <v>784</v>
      </c>
      <c r="N203" s="45">
        <v>800</v>
      </c>
      <c r="O203" s="45">
        <v>8013</v>
      </c>
      <c r="P203" s="45">
        <v>6190</v>
      </c>
      <c r="Q203" s="45">
        <v>889</v>
      </c>
      <c r="R203" s="45">
        <v>934</v>
      </c>
      <c r="S203" s="46">
        <v>61.316516900000003</v>
      </c>
      <c r="T203" s="46">
        <v>14.581893600000001</v>
      </c>
      <c r="U203" s="46">
        <v>24.101589499999999</v>
      </c>
      <c r="V203" s="46">
        <v>76.021798399999994</v>
      </c>
      <c r="W203" s="46">
        <v>11.867998800000001</v>
      </c>
      <c r="X203" s="46">
        <v>12.1102028</v>
      </c>
      <c r="Y203" s="46">
        <v>77.249469599999998</v>
      </c>
      <c r="Z203" s="46">
        <v>11.094471499999999</v>
      </c>
      <c r="AA203" s="46">
        <v>11.6560589</v>
      </c>
      <c r="AB203" s="26">
        <f>SUM(W203:X203)</f>
        <v>23.978201599999998</v>
      </c>
      <c r="AC203" s="26">
        <f>SUM(Z203:AA203)</f>
        <v>22.750530399999999</v>
      </c>
      <c r="AD203" s="57">
        <f>M203+N203</f>
        <v>1584</v>
      </c>
      <c r="AE203" s="57">
        <f>Q203+R203</f>
        <v>1823</v>
      </c>
      <c r="AF203" s="26">
        <f>W203</f>
        <v>11.867998800000001</v>
      </c>
      <c r="AG203" s="26">
        <f>Z203</f>
        <v>11.094471499999999</v>
      </c>
      <c r="AH203" s="26">
        <f>M203</f>
        <v>784</v>
      </c>
      <c r="AI203" s="26">
        <f>Q203</f>
        <v>889</v>
      </c>
      <c r="AJ203" s="26">
        <f>X203</f>
        <v>12.1102028</v>
      </c>
      <c r="AK203" s="26">
        <f>AA203</f>
        <v>11.6560589</v>
      </c>
      <c r="AL203" s="57">
        <f>N203</f>
        <v>800</v>
      </c>
      <c r="AM203" s="57">
        <f>R203</f>
        <v>934</v>
      </c>
    </row>
    <row r="204" spans="1:39" hidden="1" x14ac:dyDescent="0.3">
      <c r="A204" s="37">
        <v>200</v>
      </c>
      <c r="B204" s="38" t="s">
        <v>521</v>
      </c>
      <c r="C204" s="38" t="s">
        <v>46</v>
      </c>
      <c r="D204" s="38" t="s">
        <v>69</v>
      </c>
      <c r="E204" s="38" t="s">
        <v>71</v>
      </c>
      <c r="F204" s="47" t="s">
        <v>519</v>
      </c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1"/>
      <c r="T204" s="41"/>
      <c r="U204" s="41"/>
      <c r="V204" s="41"/>
      <c r="W204" s="41"/>
      <c r="X204" s="41"/>
      <c r="Y204" s="41"/>
      <c r="Z204" s="41"/>
      <c r="AA204" s="41"/>
    </row>
    <row r="205" spans="1:39" hidden="1" x14ac:dyDescent="0.3">
      <c r="A205" s="37">
        <v>201</v>
      </c>
      <c r="B205" s="38" t="s">
        <v>521</v>
      </c>
      <c r="C205" s="38" t="s">
        <v>46</v>
      </c>
      <c r="D205" s="38" t="s">
        <v>69</v>
      </c>
      <c r="E205" s="38" t="s">
        <v>71</v>
      </c>
      <c r="F205" s="47" t="s">
        <v>520</v>
      </c>
      <c r="G205" s="40">
        <v>5788</v>
      </c>
      <c r="H205" s="40">
        <v>3549</v>
      </c>
      <c r="I205" s="40">
        <v>844</v>
      </c>
      <c r="J205" s="40">
        <v>1395</v>
      </c>
      <c r="K205" s="40">
        <v>6606</v>
      </c>
      <c r="L205" s="40">
        <v>5022</v>
      </c>
      <c r="M205" s="40">
        <v>784</v>
      </c>
      <c r="N205" s="40">
        <v>800</v>
      </c>
      <c r="O205" s="40">
        <v>8013</v>
      </c>
      <c r="P205" s="40">
        <v>6190</v>
      </c>
      <c r="Q205" s="40">
        <v>889</v>
      </c>
      <c r="R205" s="40">
        <v>934</v>
      </c>
      <c r="S205" s="41">
        <v>61.316516900000003</v>
      </c>
      <c r="T205" s="41">
        <v>14.581893600000001</v>
      </c>
      <c r="U205" s="41">
        <v>24.101589499999999</v>
      </c>
      <c r="V205" s="41">
        <v>76.021798399999994</v>
      </c>
      <c r="W205" s="41">
        <v>11.867998800000001</v>
      </c>
      <c r="X205" s="41">
        <v>12.1102028</v>
      </c>
      <c r="Y205" s="41">
        <v>77.249469599999998</v>
      </c>
      <c r="Z205" s="41">
        <v>11.094471499999999</v>
      </c>
      <c r="AA205" s="41">
        <v>11.6560589</v>
      </c>
    </row>
    <row r="206" spans="1:39" hidden="1" x14ac:dyDescent="0.3">
      <c r="A206" s="42">
        <v>202</v>
      </c>
      <c r="B206" s="43" t="s">
        <v>521</v>
      </c>
      <c r="C206" s="50" t="s">
        <v>46</v>
      </c>
      <c r="D206" s="50" t="s">
        <v>69</v>
      </c>
      <c r="E206" s="50" t="s">
        <v>72</v>
      </c>
      <c r="F206" s="51" t="s">
        <v>72</v>
      </c>
      <c r="G206" s="45">
        <v>4730</v>
      </c>
      <c r="H206" s="45">
        <v>2775</v>
      </c>
      <c r="I206" s="45">
        <v>781</v>
      </c>
      <c r="J206" s="45">
        <v>1174</v>
      </c>
      <c r="K206" s="45">
        <v>5347</v>
      </c>
      <c r="L206" s="45">
        <v>3844</v>
      </c>
      <c r="M206" s="45">
        <v>738</v>
      </c>
      <c r="N206" s="45">
        <v>765</v>
      </c>
      <c r="O206" s="45">
        <v>7065</v>
      </c>
      <c r="P206" s="45">
        <v>5346</v>
      </c>
      <c r="Q206" s="45">
        <v>786</v>
      </c>
      <c r="R206" s="45">
        <v>933</v>
      </c>
      <c r="S206" s="46">
        <v>58.6680761</v>
      </c>
      <c r="T206" s="46">
        <v>16.511627900000001</v>
      </c>
      <c r="U206" s="46">
        <v>24.820295999999999</v>
      </c>
      <c r="V206" s="46">
        <v>71.890779899999998</v>
      </c>
      <c r="W206" s="46">
        <v>13.802132</v>
      </c>
      <c r="X206" s="46">
        <v>14.3070881</v>
      </c>
      <c r="Y206" s="46">
        <v>75.668789799999999</v>
      </c>
      <c r="Z206" s="46">
        <v>11.1252654</v>
      </c>
      <c r="AA206" s="46">
        <v>13.205944799999999</v>
      </c>
      <c r="AB206" s="26">
        <f>SUM(W206:X206)</f>
        <v>28.109220100000002</v>
      </c>
      <c r="AC206" s="26">
        <f>SUM(Z206:AA206)</f>
        <v>24.331210200000001</v>
      </c>
      <c r="AD206" s="57">
        <f>M206+N206</f>
        <v>1503</v>
      </c>
      <c r="AE206" s="57">
        <f>Q206+R206</f>
        <v>1719</v>
      </c>
      <c r="AF206" s="26">
        <f>W206</f>
        <v>13.802132</v>
      </c>
      <c r="AG206" s="26">
        <f>Z206</f>
        <v>11.1252654</v>
      </c>
      <c r="AH206" s="26">
        <f>M206</f>
        <v>738</v>
      </c>
      <c r="AI206" s="26">
        <f>Q206</f>
        <v>786</v>
      </c>
      <c r="AJ206" s="26">
        <f>X206</f>
        <v>14.3070881</v>
      </c>
      <c r="AK206" s="26">
        <f>AA206</f>
        <v>13.205944799999999</v>
      </c>
      <c r="AL206" s="57">
        <f>N206</f>
        <v>765</v>
      </c>
      <c r="AM206" s="57">
        <f>R206</f>
        <v>933</v>
      </c>
    </row>
    <row r="207" spans="1:39" hidden="1" x14ac:dyDescent="0.3">
      <c r="A207" s="37">
        <v>203</v>
      </c>
      <c r="B207" s="38" t="s">
        <v>521</v>
      </c>
      <c r="C207" s="38" t="s">
        <v>46</v>
      </c>
      <c r="D207" s="38" t="s">
        <v>69</v>
      </c>
      <c r="E207" s="38" t="s">
        <v>72</v>
      </c>
      <c r="F207" s="47" t="s">
        <v>519</v>
      </c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1"/>
      <c r="T207" s="41"/>
      <c r="U207" s="41"/>
      <c r="V207" s="41"/>
      <c r="W207" s="41"/>
      <c r="X207" s="41"/>
      <c r="Y207" s="41"/>
      <c r="Z207" s="41"/>
      <c r="AA207" s="41"/>
    </row>
    <row r="208" spans="1:39" hidden="1" x14ac:dyDescent="0.3">
      <c r="A208" s="37">
        <v>204</v>
      </c>
      <c r="B208" s="38" t="s">
        <v>521</v>
      </c>
      <c r="C208" s="38" t="s">
        <v>46</v>
      </c>
      <c r="D208" s="38" t="s">
        <v>69</v>
      </c>
      <c r="E208" s="38" t="s">
        <v>72</v>
      </c>
      <c r="F208" s="47" t="s">
        <v>520</v>
      </c>
      <c r="G208" s="40">
        <v>4730</v>
      </c>
      <c r="H208" s="40">
        <v>2775</v>
      </c>
      <c r="I208" s="40">
        <v>781</v>
      </c>
      <c r="J208" s="40">
        <v>1174</v>
      </c>
      <c r="K208" s="40">
        <v>5347</v>
      </c>
      <c r="L208" s="40">
        <v>3844</v>
      </c>
      <c r="M208" s="40">
        <v>738</v>
      </c>
      <c r="N208" s="40">
        <v>765</v>
      </c>
      <c r="O208" s="40">
        <v>7065</v>
      </c>
      <c r="P208" s="40">
        <v>5346</v>
      </c>
      <c r="Q208" s="40">
        <v>786</v>
      </c>
      <c r="R208" s="40">
        <v>933</v>
      </c>
      <c r="S208" s="41">
        <v>58.6680761</v>
      </c>
      <c r="T208" s="41">
        <v>16.511627900000001</v>
      </c>
      <c r="U208" s="41">
        <v>24.820295999999999</v>
      </c>
      <c r="V208" s="41">
        <v>71.890779899999998</v>
      </c>
      <c r="W208" s="41">
        <v>13.802132</v>
      </c>
      <c r="X208" s="41">
        <v>14.3070881</v>
      </c>
      <c r="Y208" s="41">
        <v>75.668789799999999</v>
      </c>
      <c r="Z208" s="41">
        <v>11.1252654</v>
      </c>
      <c r="AA208" s="41">
        <v>13.205944799999999</v>
      </c>
    </row>
    <row r="209" spans="1:39" hidden="1" x14ac:dyDescent="0.3">
      <c r="A209" s="42">
        <v>205</v>
      </c>
      <c r="B209" s="43" t="s">
        <v>521</v>
      </c>
      <c r="C209" s="50" t="s">
        <v>46</v>
      </c>
      <c r="D209" s="50" t="s">
        <v>69</v>
      </c>
      <c r="E209" s="50" t="s">
        <v>74</v>
      </c>
      <c r="F209" s="51" t="s">
        <v>74</v>
      </c>
      <c r="G209" s="45">
        <v>1825</v>
      </c>
      <c r="H209" s="45">
        <v>1113</v>
      </c>
      <c r="I209" s="45">
        <v>263</v>
      </c>
      <c r="J209" s="45">
        <v>449</v>
      </c>
      <c r="K209" s="45">
        <v>2108</v>
      </c>
      <c r="L209" s="45">
        <v>1557</v>
      </c>
      <c r="M209" s="45">
        <v>270</v>
      </c>
      <c r="N209" s="45">
        <v>281</v>
      </c>
      <c r="O209" s="45">
        <v>2527</v>
      </c>
      <c r="P209" s="45">
        <v>1882</v>
      </c>
      <c r="Q209" s="45">
        <v>286</v>
      </c>
      <c r="R209" s="45">
        <v>359</v>
      </c>
      <c r="S209" s="46">
        <v>60.986301400000002</v>
      </c>
      <c r="T209" s="46">
        <v>14.410958900000001</v>
      </c>
      <c r="U209" s="46">
        <v>24.602739700000001</v>
      </c>
      <c r="V209" s="46">
        <v>73.861480099999994</v>
      </c>
      <c r="W209" s="46">
        <v>12.808349099999999</v>
      </c>
      <c r="X209" s="46">
        <v>13.330170799999999</v>
      </c>
      <c r="Y209" s="46">
        <v>74.475662799999995</v>
      </c>
      <c r="Z209" s="46">
        <v>11.3177681</v>
      </c>
      <c r="AA209" s="46">
        <v>14.206569099999999</v>
      </c>
      <c r="AB209" s="26">
        <f>SUM(W209:X209)</f>
        <v>26.138519899999999</v>
      </c>
      <c r="AC209" s="26">
        <f>SUM(Z209:AA209)</f>
        <v>25.524337199999998</v>
      </c>
      <c r="AD209" s="57">
        <f>M209+N209</f>
        <v>551</v>
      </c>
      <c r="AE209" s="57">
        <f>Q209+R209</f>
        <v>645</v>
      </c>
      <c r="AF209" s="26">
        <f>W209</f>
        <v>12.808349099999999</v>
      </c>
      <c r="AG209" s="26">
        <f>Z209</f>
        <v>11.3177681</v>
      </c>
      <c r="AH209" s="26">
        <f>M209</f>
        <v>270</v>
      </c>
      <c r="AI209" s="26">
        <f>Q209</f>
        <v>286</v>
      </c>
      <c r="AJ209" s="26">
        <f>X209</f>
        <v>13.330170799999999</v>
      </c>
      <c r="AK209" s="26">
        <f>AA209</f>
        <v>14.206569099999999</v>
      </c>
      <c r="AL209" s="57">
        <f>N209</f>
        <v>281</v>
      </c>
      <c r="AM209" s="57">
        <f>R209</f>
        <v>359</v>
      </c>
    </row>
    <row r="210" spans="1:39" hidden="1" x14ac:dyDescent="0.3">
      <c r="A210" s="37">
        <v>206</v>
      </c>
      <c r="B210" s="38" t="s">
        <v>521</v>
      </c>
      <c r="C210" s="38" t="s">
        <v>46</v>
      </c>
      <c r="D210" s="38" t="s">
        <v>69</v>
      </c>
      <c r="E210" s="38" t="s">
        <v>74</v>
      </c>
      <c r="F210" s="47" t="s">
        <v>519</v>
      </c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1"/>
      <c r="T210" s="41"/>
      <c r="U210" s="41"/>
      <c r="V210" s="41"/>
      <c r="W210" s="41"/>
      <c r="X210" s="41"/>
      <c r="Y210" s="41"/>
      <c r="Z210" s="41"/>
      <c r="AA210" s="41"/>
    </row>
    <row r="211" spans="1:39" hidden="1" x14ac:dyDescent="0.3">
      <c r="A211" s="37">
        <v>207</v>
      </c>
      <c r="B211" s="38" t="s">
        <v>521</v>
      </c>
      <c r="C211" s="38" t="s">
        <v>46</v>
      </c>
      <c r="D211" s="38" t="s">
        <v>69</v>
      </c>
      <c r="E211" s="38" t="s">
        <v>74</v>
      </c>
      <c r="F211" s="47" t="s">
        <v>520</v>
      </c>
      <c r="G211" s="40">
        <v>1825</v>
      </c>
      <c r="H211" s="40">
        <v>1113</v>
      </c>
      <c r="I211" s="40">
        <v>263</v>
      </c>
      <c r="J211" s="40">
        <v>449</v>
      </c>
      <c r="K211" s="40">
        <v>2108</v>
      </c>
      <c r="L211" s="40">
        <v>1557</v>
      </c>
      <c r="M211" s="40">
        <v>270</v>
      </c>
      <c r="N211" s="40">
        <v>281</v>
      </c>
      <c r="O211" s="40">
        <v>2527</v>
      </c>
      <c r="P211" s="40">
        <v>1882</v>
      </c>
      <c r="Q211" s="40">
        <v>286</v>
      </c>
      <c r="R211" s="40">
        <v>359</v>
      </c>
      <c r="S211" s="41">
        <v>60.986301400000002</v>
      </c>
      <c r="T211" s="41">
        <v>14.410958900000001</v>
      </c>
      <c r="U211" s="41">
        <v>24.602739700000001</v>
      </c>
      <c r="V211" s="41">
        <v>73.861480099999994</v>
      </c>
      <c r="W211" s="41">
        <v>12.808349099999999</v>
      </c>
      <c r="X211" s="41">
        <v>13.330170799999999</v>
      </c>
      <c r="Y211" s="41">
        <v>74.475662799999995</v>
      </c>
      <c r="Z211" s="41">
        <v>11.3177681</v>
      </c>
      <c r="AA211" s="41">
        <v>14.206569099999999</v>
      </c>
    </row>
    <row r="212" spans="1:39" hidden="1" x14ac:dyDescent="0.3">
      <c r="A212" s="42">
        <v>208</v>
      </c>
      <c r="B212" s="43" t="s">
        <v>521</v>
      </c>
      <c r="C212" s="50" t="s">
        <v>46</v>
      </c>
      <c r="D212" s="50" t="s">
        <v>69</v>
      </c>
      <c r="E212" s="50" t="s">
        <v>75</v>
      </c>
      <c r="F212" s="51" t="s">
        <v>75</v>
      </c>
      <c r="G212" s="45">
        <v>2614</v>
      </c>
      <c r="H212" s="45">
        <v>1805</v>
      </c>
      <c r="I212" s="45">
        <v>355</v>
      </c>
      <c r="J212" s="45">
        <v>454</v>
      </c>
      <c r="K212" s="45">
        <v>3027</v>
      </c>
      <c r="L212" s="45">
        <v>2283</v>
      </c>
      <c r="M212" s="45">
        <v>379</v>
      </c>
      <c r="N212" s="45">
        <v>365</v>
      </c>
      <c r="O212" s="45">
        <v>4116</v>
      </c>
      <c r="P212" s="45">
        <v>3139</v>
      </c>
      <c r="Q212" s="45">
        <v>404</v>
      </c>
      <c r="R212" s="45">
        <v>573</v>
      </c>
      <c r="S212" s="46">
        <v>69.051262399999999</v>
      </c>
      <c r="T212" s="46">
        <v>13.580719200000001</v>
      </c>
      <c r="U212" s="46">
        <v>17.3680184</v>
      </c>
      <c r="V212" s="46">
        <v>75.421209099999999</v>
      </c>
      <c r="W212" s="46">
        <v>12.520647500000001</v>
      </c>
      <c r="X212" s="46">
        <v>12.058143400000001</v>
      </c>
      <c r="Y212" s="46">
        <v>76.263362499999999</v>
      </c>
      <c r="Z212" s="46">
        <v>9.8153547000000003</v>
      </c>
      <c r="AA212" s="46">
        <v>13.9212828</v>
      </c>
      <c r="AB212" s="26">
        <f>SUM(W212:X212)</f>
        <v>24.578790900000001</v>
      </c>
      <c r="AC212" s="26">
        <f>SUM(Z212:AA212)</f>
        <v>23.736637500000001</v>
      </c>
      <c r="AD212" s="57">
        <f>M212+N212</f>
        <v>744</v>
      </c>
      <c r="AE212" s="57">
        <f>Q212+R212</f>
        <v>977</v>
      </c>
      <c r="AF212" s="26">
        <f>W212</f>
        <v>12.520647500000001</v>
      </c>
      <c r="AG212" s="26">
        <f>Z212</f>
        <v>9.8153547000000003</v>
      </c>
      <c r="AH212" s="26">
        <f>M212</f>
        <v>379</v>
      </c>
      <c r="AI212" s="26">
        <f>Q212</f>
        <v>404</v>
      </c>
      <c r="AJ212" s="26">
        <f>X212</f>
        <v>12.058143400000001</v>
      </c>
      <c r="AK212" s="26">
        <f>AA212</f>
        <v>13.9212828</v>
      </c>
      <c r="AL212" s="57">
        <f>N212</f>
        <v>365</v>
      </c>
      <c r="AM212" s="57">
        <f>R212</f>
        <v>573</v>
      </c>
    </row>
    <row r="213" spans="1:39" hidden="1" x14ac:dyDescent="0.3">
      <c r="A213" s="37">
        <v>209</v>
      </c>
      <c r="B213" s="38" t="s">
        <v>521</v>
      </c>
      <c r="C213" s="38" t="s">
        <v>46</v>
      </c>
      <c r="D213" s="38" t="s">
        <v>69</v>
      </c>
      <c r="E213" s="38" t="s">
        <v>75</v>
      </c>
      <c r="F213" s="47" t="s">
        <v>519</v>
      </c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1"/>
      <c r="T213" s="41"/>
      <c r="U213" s="41"/>
      <c r="V213" s="41"/>
      <c r="W213" s="41"/>
      <c r="X213" s="41"/>
      <c r="Y213" s="41"/>
      <c r="Z213" s="41"/>
      <c r="AA213" s="41"/>
    </row>
    <row r="214" spans="1:39" hidden="1" x14ac:dyDescent="0.3">
      <c r="A214" s="37">
        <v>210</v>
      </c>
      <c r="B214" s="38" t="s">
        <v>521</v>
      </c>
      <c r="C214" s="38" t="s">
        <v>46</v>
      </c>
      <c r="D214" s="38" t="s">
        <v>69</v>
      </c>
      <c r="E214" s="38" t="s">
        <v>75</v>
      </c>
      <c r="F214" s="47" t="s">
        <v>520</v>
      </c>
      <c r="G214" s="40">
        <v>2614</v>
      </c>
      <c r="H214" s="40">
        <v>1805</v>
      </c>
      <c r="I214" s="40">
        <v>355</v>
      </c>
      <c r="J214" s="40">
        <v>454</v>
      </c>
      <c r="K214" s="40">
        <v>3027</v>
      </c>
      <c r="L214" s="40">
        <v>2283</v>
      </c>
      <c r="M214" s="40">
        <v>379</v>
      </c>
      <c r="N214" s="40">
        <v>365</v>
      </c>
      <c r="O214" s="40">
        <v>4116</v>
      </c>
      <c r="P214" s="40">
        <v>3139</v>
      </c>
      <c r="Q214" s="40">
        <v>404</v>
      </c>
      <c r="R214" s="40">
        <v>573</v>
      </c>
      <c r="S214" s="41">
        <v>69.051262399999999</v>
      </c>
      <c r="T214" s="41">
        <v>13.580719200000001</v>
      </c>
      <c r="U214" s="41">
        <v>17.3680184</v>
      </c>
      <c r="V214" s="41">
        <v>75.421209099999999</v>
      </c>
      <c r="W214" s="41">
        <v>12.520647500000001</v>
      </c>
      <c r="X214" s="41">
        <v>12.058143400000001</v>
      </c>
      <c r="Y214" s="41">
        <v>76.263362499999999</v>
      </c>
      <c r="Z214" s="41">
        <v>9.8153547000000003</v>
      </c>
      <c r="AA214" s="41">
        <v>13.9212828</v>
      </c>
    </row>
    <row r="215" spans="1:39" hidden="1" x14ac:dyDescent="0.3">
      <c r="A215" s="32">
        <v>211</v>
      </c>
      <c r="B215" s="33" t="s">
        <v>1</v>
      </c>
      <c r="C215" s="49" t="s">
        <v>46</v>
      </c>
      <c r="D215" s="49" t="s">
        <v>76</v>
      </c>
      <c r="E215" s="49"/>
      <c r="F215" s="34" t="s">
        <v>76</v>
      </c>
      <c r="G215" s="35">
        <v>6765</v>
      </c>
      <c r="H215" s="35">
        <v>3179</v>
      </c>
      <c r="I215" s="35">
        <v>1163</v>
      </c>
      <c r="J215" s="35">
        <v>2423</v>
      </c>
      <c r="K215" s="35">
        <v>8623</v>
      </c>
      <c r="L215" s="35">
        <v>5613</v>
      </c>
      <c r="M215" s="35">
        <v>1330</v>
      </c>
      <c r="N215" s="35">
        <v>1680</v>
      </c>
      <c r="O215" s="35">
        <v>12382</v>
      </c>
      <c r="P215" s="35">
        <v>8319</v>
      </c>
      <c r="Q215" s="35">
        <v>1780</v>
      </c>
      <c r="R215" s="35">
        <v>2283</v>
      </c>
      <c r="S215" s="36">
        <v>46.991869899999998</v>
      </c>
      <c r="T215" s="36">
        <v>17.191426499999999</v>
      </c>
      <c r="U215" s="36">
        <v>35.816703599999997</v>
      </c>
      <c r="V215" s="36">
        <v>65.093355000000003</v>
      </c>
      <c r="W215" s="36">
        <v>15.4238664</v>
      </c>
      <c r="X215" s="36">
        <v>19.4827786</v>
      </c>
      <c r="Y215" s="36">
        <v>67.186238099999997</v>
      </c>
      <c r="Z215" s="36">
        <v>14.3757067</v>
      </c>
      <c r="AA215" s="36">
        <v>18.438055200000001</v>
      </c>
    </row>
    <row r="216" spans="1:39" hidden="1" x14ac:dyDescent="0.3">
      <c r="A216" s="37">
        <v>212</v>
      </c>
      <c r="B216" s="38" t="s">
        <v>1</v>
      </c>
      <c r="C216" s="38" t="s">
        <v>46</v>
      </c>
      <c r="D216" s="38" t="s">
        <v>76</v>
      </c>
      <c r="E216" s="38"/>
      <c r="F216" s="39" t="s">
        <v>519</v>
      </c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1"/>
      <c r="T216" s="41"/>
      <c r="U216" s="41"/>
      <c r="V216" s="41"/>
      <c r="W216" s="41"/>
      <c r="X216" s="41"/>
      <c r="Y216" s="41"/>
      <c r="Z216" s="41"/>
      <c r="AA216" s="41"/>
    </row>
    <row r="217" spans="1:39" hidden="1" x14ac:dyDescent="0.3">
      <c r="A217" s="37">
        <v>213</v>
      </c>
      <c r="B217" s="38" t="s">
        <v>1</v>
      </c>
      <c r="C217" s="38" t="s">
        <v>46</v>
      </c>
      <c r="D217" s="38" t="s">
        <v>76</v>
      </c>
      <c r="E217" s="38"/>
      <c r="F217" s="39" t="s">
        <v>520</v>
      </c>
      <c r="G217" s="40">
        <v>6765</v>
      </c>
      <c r="H217" s="40">
        <v>3179</v>
      </c>
      <c r="I217" s="40">
        <v>1163</v>
      </c>
      <c r="J217" s="40">
        <v>2423</v>
      </c>
      <c r="K217" s="40">
        <v>8623</v>
      </c>
      <c r="L217" s="40">
        <v>5613</v>
      </c>
      <c r="M217" s="40">
        <v>1330</v>
      </c>
      <c r="N217" s="40">
        <v>1680</v>
      </c>
      <c r="O217" s="40">
        <v>12382</v>
      </c>
      <c r="P217" s="40">
        <v>8319</v>
      </c>
      <c r="Q217" s="40">
        <v>1780</v>
      </c>
      <c r="R217" s="40">
        <v>2283</v>
      </c>
      <c r="S217" s="41">
        <v>46.991869899999998</v>
      </c>
      <c r="T217" s="41">
        <v>17.191426499999999</v>
      </c>
      <c r="U217" s="41">
        <v>35.816703599999997</v>
      </c>
      <c r="V217" s="41">
        <v>65.093355000000003</v>
      </c>
      <c r="W217" s="41">
        <v>15.4238664</v>
      </c>
      <c r="X217" s="41">
        <v>19.4827786</v>
      </c>
      <c r="Y217" s="41">
        <v>67.186238099999997</v>
      </c>
      <c r="Z217" s="41">
        <v>14.3757067</v>
      </c>
      <c r="AA217" s="41">
        <v>18.438055200000001</v>
      </c>
    </row>
    <row r="218" spans="1:39" hidden="1" x14ac:dyDescent="0.3">
      <c r="A218" s="42">
        <v>214</v>
      </c>
      <c r="B218" s="43" t="s">
        <v>521</v>
      </c>
      <c r="C218" s="50" t="s">
        <v>46</v>
      </c>
      <c r="D218" s="50" t="s">
        <v>76</v>
      </c>
      <c r="E218" s="50" t="s">
        <v>77</v>
      </c>
      <c r="F218" s="51" t="s">
        <v>77</v>
      </c>
      <c r="G218" s="45">
        <v>3444</v>
      </c>
      <c r="H218" s="45">
        <v>1652</v>
      </c>
      <c r="I218" s="45">
        <v>616</v>
      </c>
      <c r="J218" s="45">
        <v>1176</v>
      </c>
      <c r="K218" s="45">
        <v>3938</v>
      </c>
      <c r="L218" s="45">
        <v>2649</v>
      </c>
      <c r="M218" s="45">
        <v>582</v>
      </c>
      <c r="N218" s="45">
        <v>707</v>
      </c>
      <c r="O218" s="45">
        <v>6388</v>
      </c>
      <c r="P218" s="45">
        <v>4285</v>
      </c>
      <c r="Q218" s="45">
        <v>967</v>
      </c>
      <c r="R218" s="45">
        <v>1136</v>
      </c>
      <c r="S218" s="46">
        <v>47.967479699999998</v>
      </c>
      <c r="T218" s="46">
        <v>17.886178900000001</v>
      </c>
      <c r="U218" s="46">
        <v>34.146341499999998</v>
      </c>
      <c r="V218" s="46">
        <v>67.267648600000001</v>
      </c>
      <c r="W218" s="46">
        <v>14.7790757</v>
      </c>
      <c r="X218" s="46">
        <v>17.9532758</v>
      </c>
      <c r="Y218" s="46">
        <v>67.078897900000001</v>
      </c>
      <c r="Z218" s="46">
        <v>15.1377583</v>
      </c>
      <c r="AA218" s="46">
        <v>17.783343800000001</v>
      </c>
      <c r="AB218" s="26">
        <f>SUM(W218:X218)</f>
        <v>32.7323515</v>
      </c>
      <c r="AC218" s="26">
        <f>SUM(Z218:AA218)</f>
        <v>32.921102099999999</v>
      </c>
      <c r="AD218" s="57">
        <f>M218+N218</f>
        <v>1289</v>
      </c>
      <c r="AE218" s="57">
        <f>Q218+R218</f>
        <v>2103</v>
      </c>
      <c r="AF218" s="26">
        <f>W218</f>
        <v>14.7790757</v>
      </c>
      <c r="AG218" s="26">
        <f>Z218</f>
        <v>15.1377583</v>
      </c>
      <c r="AH218" s="26">
        <f>M218</f>
        <v>582</v>
      </c>
      <c r="AI218" s="26">
        <f>Q218</f>
        <v>967</v>
      </c>
      <c r="AJ218" s="26">
        <f>X218</f>
        <v>17.9532758</v>
      </c>
      <c r="AK218" s="26">
        <f>AA218</f>
        <v>17.783343800000001</v>
      </c>
      <c r="AL218" s="57">
        <f>N218</f>
        <v>707</v>
      </c>
      <c r="AM218" s="57">
        <f>R218</f>
        <v>1136</v>
      </c>
    </row>
    <row r="219" spans="1:39" hidden="1" x14ac:dyDescent="0.3">
      <c r="A219" s="37">
        <v>215</v>
      </c>
      <c r="B219" s="38" t="s">
        <v>521</v>
      </c>
      <c r="C219" s="38" t="s">
        <v>46</v>
      </c>
      <c r="D219" s="38" t="s">
        <v>76</v>
      </c>
      <c r="E219" s="38" t="s">
        <v>77</v>
      </c>
      <c r="F219" s="47" t="s">
        <v>519</v>
      </c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1"/>
      <c r="T219" s="41"/>
      <c r="U219" s="41"/>
      <c r="V219" s="41"/>
      <c r="W219" s="41"/>
      <c r="X219" s="41"/>
      <c r="Y219" s="41"/>
      <c r="Z219" s="41"/>
      <c r="AA219" s="41"/>
    </row>
    <row r="220" spans="1:39" hidden="1" x14ac:dyDescent="0.3">
      <c r="A220" s="37">
        <v>216</v>
      </c>
      <c r="B220" s="38" t="s">
        <v>521</v>
      </c>
      <c r="C220" s="38" t="s">
        <v>46</v>
      </c>
      <c r="D220" s="38" t="s">
        <v>76</v>
      </c>
      <c r="E220" s="38" t="s">
        <v>77</v>
      </c>
      <c r="F220" s="47" t="s">
        <v>520</v>
      </c>
      <c r="G220" s="40">
        <v>3444</v>
      </c>
      <c r="H220" s="40">
        <v>1652</v>
      </c>
      <c r="I220" s="40">
        <v>616</v>
      </c>
      <c r="J220" s="40">
        <v>1176</v>
      </c>
      <c r="K220" s="40">
        <v>3938</v>
      </c>
      <c r="L220" s="40">
        <v>2649</v>
      </c>
      <c r="M220" s="40">
        <v>582</v>
      </c>
      <c r="N220" s="40">
        <v>707</v>
      </c>
      <c r="O220" s="40">
        <v>6388</v>
      </c>
      <c r="P220" s="40">
        <v>4285</v>
      </c>
      <c r="Q220" s="40">
        <v>967</v>
      </c>
      <c r="R220" s="40">
        <v>1136</v>
      </c>
      <c r="S220" s="41">
        <v>47.967479699999998</v>
      </c>
      <c r="T220" s="41">
        <v>17.886178900000001</v>
      </c>
      <c r="U220" s="41">
        <v>34.146341499999998</v>
      </c>
      <c r="V220" s="41">
        <v>67.267648600000001</v>
      </c>
      <c r="W220" s="41">
        <v>14.7790757</v>
      </c>
      <c r="X220" s="41">
        <v>17.9532758</v>
      </c>
      <c r="Y220" s="41">
        <v>67.078897900000001</v>
      </c>
      <c r="Z220" s="41">
        <v>15.1377583</v>
      </c>
      <c r="AA220" s="41">
        <v>17.783343800000001</v>
      </c>
    </row>
    <row r="221" spans="1:39" hidden="1" x14ac:dyDescent="0.3">
      <c r="A221" s="42">
        <v>217</v>
      </c>
      <c r="B221" s="43" t="s">
        <v>521</v>
      </c>
      <c r="C221" s="50" t="s">
        <v>46</v>
      </c>
      <c r="D221" s="50" t="s">
        <v>76</v>
      </c>
      <c r="E221" s="50" t="s">
        <v>78</v>
      </c>
      <c r="F221" s="51" t="s">
        <v>78</v>
      </c>
      <c r="G221" s="45">
        <v>2148</v>
      </c>
      <c r="H221" s="45">
        <v>973</v>
      </c>
      <c r="I221" s="45">
        <v>370</v>
      </c>
      <c r="J221" s="45">
        <v>805</v>
      </c>
      <c r="K221" s="45">
        <v>2747</v>
      </c>
      <c r="L221" s="45">
        <v>1745</v>
      </c>
      <c r="M221" s="45">
        <v>458</v>
      </c>
      <c r="N221" s="45">
        <v>544</v>
      </c>
      <c r="O221" s="45">
        <v>3494</v>
      </c>
      <c r="P221" s="45">
        <v>2418</v>
      </c>
      <c r="Q221" s="45">
        <v>463</v>
      </c>
      <c r="R221" s="45">
        <v>613</v>
      </c>
      <c r="S221" s="46">
        <v>45.297951599999998</v>
      </c>
      <c r="T221" s="46">
        <v>17.225325900000001</v>
      </c>
      <c r="U221" s="46">
        <v>37.476722500000001</v>
      </c>
      <c r="V221" s="46">
        <v>63.523844199999999</v>
      </c>
      <c r="W221" s="46">
        <v>16.672733900000001</v>
      </c>
      <c r="X221" s="46">
        <v>19.8034219</v>
      </c>
      <c r="Y221" s="46">
        <v>69.204350300000002</v>
      </c>
      <c r="Z221" s="46">
        <v>13.251287899999999</v>
      </c>
      <c r="AA221" s="46">
        <v>17.544361800000001</v>
      </c>
      <c r="AB221" s="26">
        <f>SUM(W221:X221)</f>
        <v>36.476155800000001</v>
      </c>
      <c r="AC221" s="26">
        <f>SUM(Z221:AA221)</f>
        <v>30.795649699999998</v>
      </c>
      <c r="AD221" s="57">
        <f>M221+N221</f>
        <v>1002</v>
      </c>
      <c r="AE221" s="57">
        <f>Q221+R221</f>
        <v>1076</v>
      </c>
      <c r="AF221" s="26">
        <f>W221</f>
        <v>16.672733900000001</v>
      </c>
      <c r="AG221" s="26">
        <f>Z221</f>
        <v>13.251287899999999</v>
      </c>
      <c r="AH221" s="26">
        <f>M221</f>
        <v>458</v>
      </c>
      <c r="AI221" s="26">
        <f>Q221</f>
        <v>463</v>
      </c>
      <c r="AJ221" s="26">
        <f>X221</f>
        <v>19.8034219</v>
      </c>
      <c r="AK221" s="26">
        <f>AA221</f>
        <v>17.544361800000001</v>
      </c>
      <c r="AL221" s="57">
        <f>N221</f>
        <v>544</v>
      </c>
      <c r="AM221" s="57">
        <f>R221</f>
        <v>613</v>
      </c>
    </row>
    <row r="222" spans="1:39" hidden="1" x14ac:dyDescent="0.3">
      <c r="A222" s="37">
        <v>218</v>
      </c>
      <c r="B222" s="38" t="s">
        <v>521</v>
      </c>
      <c r="C222" s="38" t="s">
        <v>46</v>
      </c>
      <c r="D222" s="38" t="s">
        <v>76</v>
      </c>
      <c r="E222" s="38" t="s">
        <v>78</v>
      </c>
      <c r="F222" s="47" t="s">
        <v>519</v>
      </c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1"/>
      <c r="T222" s="41"/>
      <c r="U222" s="41"/>
      <c r="V222" s="41"/>
      <c r="W222" s="41"/>
      <c r="X222" s="41"/>
      <c r="Y222" s="41"/>
      <c r="Z222" s="41"/>
      <c r="AA222" s="41"/>
    </row>
    <row r="223" spans="1:39" hidden="1" x14ac:dyDescent="0.3">
      <c r="A223" s="37">
        <v>219</v>
      </c>
      <c r="B223" s="38" t="s">
        <v>521</v>
      </c>
      <c r="C223" s="38" t="s">
        <v>46</v>
      </c>
      <c r="D223" s="38" t="s">
        <v>76</v>
      </c>
      <c r="E223" s="38" t="s">
        <v>78</v>
      </c>
      <c r="F223" s="47" t="s">
        <v>520</v>
      </c>
      <c r="G223" s="40">
        <v>2148</v>
      </c>
      <c r="H223" s="40">
        <v>973</v>
      </c>
      <c r="I223" s="40">
        <v>370</v>
      </c>
      <c r="J223" s="40">
        <v>805</v>
      </c>
      <c r="K223" s="40">
        <v>2747</v>
      </c>
      <c r="L223" s="40">
        <v>1745</v>
      </c>
      <c r="M223" s="40">
        <v>458</v>
      </c>
      <c r="N223" s="40">
        <v>544</v>
      </c>
      <c r="O223" s="40">
        <v>3494</v>
      </c>
      <c r="P223" s="40">
        <v>2418</v>
      </c>
      <c r="Q223" s="40">
        <v>463</v>
      </c>
      <c r="R223" s="40">
        <v>613</v>
      </c>
      <c r="S223" s="41">
        <v>45.297951599999998</v>
      </c>
      <c r="T223" s="41">
        <v>17.225325900000001</v>
      </c>
      <c r="U223" s="41">
        <v>37.476722500000001</v>
      </c>
      <c r="V223" s="41">
        <v>63.523844199999999</v>
      </c>
      <c r="W223" s="41">
        <v>16.672733900000001</v>
      </c>
      <c r="X223" s="41">
        <v>19.8034219</v>
      </c>
      <c r="Y223" s="41">
        <v>69.204350300000002</v>
      </c>
      <c r="Z223" s="41">
        <v>13.251287899999999</v>
      </c>
      <c r="AA223" s="41">
        <v>17.544361800000001</v>
      </c>
    </row>
    <row r="224" spans="1:39" hidden="1" x14ac:dyDescent="0.3">
      <c r="A224" s="42">
        <v>220</v>
      </c>
      <c r="B224" s="43" t="s">
        <v>521</v>
      </c>
      <c r="C224" s="50" t="s">
        <v>46</v>
      </c>
      <c r="D224" s="50" t="s">
        <v>76</v>
      </c>
      <c r="E224" s="50" t="s">
        <v>79</v>
      </c>
      <c r="F224" s="51" t="s">
        <v>79</v>
      </c>
      <c r="G224" s="45">
        <v>1173</v>
      </c>
      <c r="H224" s="45">
        <v>554</v>
      </c>
      <c r="I224" s="45">
        <v>177</v>
      </c>
      <c r="J224" s="45">
        <v>442</v>
      </c>
      <c r="K224" s="45">
        <v>1938</v>
      </c>
      <c r="L224" s="45">
        <v>1219</v>
      </c>
      <c r="M224" s="45">
        <v>290</v>
      </c>
      <c r="N224" s="45">
        <v>429</v>
      </c>
      <c r="O224" s="45">
        <v>2500</v>
      </c>
      <c r="P224" s="45">
        <v>1616</v>
      </c>
      <c r="Q224" s="45">
        <v>350</v>
      </c>
      <c r="R224" s="45">
        <v>534</v>
      </c>
      <c r="S224" s="46">
        <v>47.229326499999999</v>
      </c>
      <c r="T224" s="46">
        <v>15.089514100000001</v>
      </c>
      <c r="U224" s="46">
        <v>37.681159399999999</v>
      </c>
      <c r="V224" s="46">
        <v>62.8998968</v>
      </c>
      <c r="W224" s="46">
        <v>14.9638803</v>
      </c>
      <c r="X224" s="46">
        <v>22.1362229</v>
      </c>
      <c r="Y224" s="46">
        <v>64.64</v>
      </c>
      <c r="Z224" s="46">
        <v>14</v>
      </c>
      <c r="AA224" s="46">
        <v>21.36</v>
      </c>
      <c r="AB224" s="26">
        <f>SUM(W224:X224)</f>
        <v>37.1001032</v>
      </c>
      <c r="AC224" s="26">
        <f>SUM(Z224:AA224)</f>
        <v>35.36</v>
      </c>
      <c r="AD224" s="57">
        <f>M224+N224</f>
        <v>719</v>
      </c>
      <c r="AE224" s="57">
        <f>Q224+R224</f>
        <v>884</v>
      </c>
      <c r="AF224" s="26">
        <f>W224</f>
        <v>14.9638803</v>
      </c>
      <c r="AG224" s="26">
        <f>Z224</f>
        <v>14</v>
      </c>
      <c r="AH224" s="26">
        <f>M224</f>
        <v>290</v>
      </c>
      <c r="AI224" s="26">
        <f>Q224</f>
        <v>350</v>
      </c>
      <c r="AJ224" s="26">
        <f>X224</f>
        <v>22.1362229</v>
      </c>
      <c r="AK224" s="26">
        <f>AA224</f>
        <v>21.36</v>
      </c>
      <c r="AL224" s="57">
        <f>N224</f>
        <v>429</v>
      </c>
      <c r="AM224" s="57">
        <f>R224</f>
        <v>534</v>
      </c>
    </row>
    <row r="225" spans="1:39" hidden="1" x14ac:dyDescent="0.3">
      <c r="A225" s="37">
        <v>221</v>
      </c>
      <c r="B225" s="38" t="s">
        <v>521</v>
      </c>
      <c r="C225" s="38" t="s">
        <v>46</v>
      </c>
      <c r="D225" s="38" t="s">
        <v>76</v>
      </c>
      <c r="E225" s="38" t="s">
        <v>79</v>
      </c>
      <c r="F225" s="47" t="s">
        <v>519</v>
      </c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1"/>
      <c r="T225" s="41"/>
      <c r="U225" s="41"/>
      <c r="V225" s="41"/>
      <c r="W225" s="41"/>
      <c r="X225" s="41"/>
      <c r="Y225" s="41"/>
      <c r="Z225" s="41"/>
      <c r="AA225" s="41"/>
    </row>
    <row r="226" spans="1:39" hidden="1" x14ac:dyDescent="0.3">
      <c r="A226" s="37">
        <v>222</v>
      </c>
      <c r="B226" s="38" t="s">
        <v>521</v>
      </c>
      <c r="C226" s="38" t="s">
        <v>46</v>
      </c>
      <c r="D226" s="38" t="s">
        <v>76</v>
      </c>
      <c r="E226" s="38" t="s">
        <v>79</v>
      </c>
      <c r="F226" s="47" t="s">
        <v>520</v>
      </c>
      <c r="G226" s="40">
        <v>1173</v>
      </c>
      <c r="H226" s="40">
        <v>554</v>
      </c>
      <c r="I226" s="40">
        <v>177</v>
      </c>
      <c r="J226" s="40">
        <v>442</v>
      </c>
      <c r="K226" s="40">
        <v>1938</v>
      </c>
      <c r="L226" s="40">
        <v>1219</v>
      </c>
      <c r="M226" s="40">
        <v>290</v>
      </c>
      <c r="N226" s="40">
        <v>429</v>
      </c>
      <c r="O226" s="40">
        <v>2500</v>
      </c>
      <c r="P226" s="40">
        <v>1616</v>
      </c>
      <c r="Q226" s="40">
        <v>350</v>
      </c>
      <c r="R226" s="40">
        <v>534</v>
      </c>
      <c r="S226" s="41">
        <v>47.229326499999999</v>
      </c>
      <c r="T226" s="41">
        <v>15.089514100000001</v>
      </c>
      <c r="U226" s="41">
        <v>37.681159399999999</v>
      </c>
      <c r="V226" s="41">
        <v>62.8998968</v>
      </c>
      <c r="W226" s="41">
        <v>14.9638803</v>
      </c>
      <c r="X226" s="41">
        <v>22.1362229</v>
      </c>
      <c r="Y226" s="41">
        <v>64.64</v>
      </c>
      <c r="Z226" s="41">
        <v>14</v>
      </c>
      <c r="AA226" s="41">
        <v>21.36</v>
      </c>
    </row>
    <row r="227" spans="1:39" hidden="1" x14ac:dyDescent="0.3">
      <c r="A227" s="32">
        <v>223</v>
      </c>
      <c r="B227" s="33" t="s">
        <v>1</v>
      </c>
      <c r="C227" s="49" t="s">
        <v>46</v>
      </c>
      <c r="D227" s="49" t="s">
        <v>80</v>
      </c>
      <c r="E227" s="49"/>
      <c r="F227" s="34" t="s">
        <v>80</v>
      </c>
      <c r="G227" s="35">
        <v>19804</v>
      </c>
      <c r="H227" s="35">
        <v>10243</v>
      </c>
      <c r="I227" s="35">
        <v>3261</v>
      </c>
      <c r="J227" s="35">
        <v>6300</v>
      </c>
      <c r="K227" s="35">
        <v>29451</v>
      </c>
      <c r="L227" s="35">
        <v>19062</v>
      </c>
      <c r="M227" s="35">
        <v>4536</v>
      </c>
      <c r="N227" s="35">
        <v>5853</v>
      </c>
      <c r="O227" s="35">
        <v>39439</v>
      </c>
      <c r="P227" s="35">
        <v>27347</v>
      </c>
      <c r="Q227" s="35">
        <v>5247</v>
      </c>
      <c r="R227" s="35">
        <v>6845</v>
      </c>
      <c r="S227" s="36">
        <v>51.721874399999997</v>
      </c>
      <c r="T227" s="36">
        <v>16.466370399999999</v>
      </c>
      <c r="U227" s="36">
        <v>31.8117552</v>
      </c>
      <c r="V227" s="36">
        <v>64.724457599999994</v>
      </c>
      <c r="W227" s="36">
        <v>15.401853900000001</v>
      </c>
      <c r="X227" s="36">
        <v>19.8736885</v>
      </c>
      <c r="Y227" s="36">
        <v>69.339993399999997</v>
      </c>
      <c r="Z227" s="36">
        <v>13.304089899999999</v>
      </c>
      <c r="AA227" s="36">
        <v>17.355916700000002</v>
      </c>
    </row>
    <row r="228" spans="1:39" hidden="1" x14ac:dyDescent="0.3">
      <c r="A228" s="37">
        <v>224</v>
      </c>
      <c r="B228" s="38" t="s">
        <v>1</v>
      </c>
      <c r="C228" s="38" t="s">
        <v>46</v>
      </c>
      <c r="D228" s="38" t="s">
        <v>80</v>
      </c>
      <c r="E228" s="38"/>
      <c r="F228" s="39" t="s">
        <v>519</v>
      </c>
      <c r="G228" s="40">
        <v>2794</v>
      </c>
      <c r="H228" s="40">
        <v>1356</v>
      </c>
      <c r="I228" s="40">
        <v>534</v>
      </c>
      <c r="J228" s="40">
        <v>904</v>
      </c>
      <c r="K228" s="40">
        <v>4928</v>
      </c>
      <c r="L228" s="40">
        <v>3233</v>
      </c>
      <c r="M228" s="40">
        <v>765</v>
      </c>
      <c r="N228" s="40">
        <v>930</v>
      </c>
      <c r="O228" s="40">
        <v>8590</v>
      </c>
      <c r="P228" s="40">
        <v>6068</v>
      </c>
      <c r="Q228" s="40">
        <v>1085</v>
      </c>
      <c r="R228" s="40">
        <v>1437</v>
      </c>
      <c r="S228" s="41">
        <v>48.532569799999997</v>
      </c>
      <c r="T228" s="41">
        <v>19.112383699999999</v>
      </c>
      <c r="U228" s="41">
        <v>32.3550465</v>
      </c>
      <c r="V228" s="41">
        <v>65.6047078</v>
      </c>
      <c r="W228" s="41">
        <v>15.523539</v>
      </c>
      <c r="X228" s="41">
        <v>18.871753200000001</v>
      </c>
      <c r="Y228" s="41">
        <v>70.640279399999997</v>
      </c>
      <c r="Z228" s="41">
        <v>12.6309662</v>
      </c>
      <c r="AA228" s="41">
        <v>16.7287544</v>
      </c>
    </row>
    <row r="229" spans="1:39" hidden="1" x14ac:dyDescent="0.3">
      <c r="A229" s="37">
        <v>225</v>
      </c>
      <c r="B229" s="38" t="s">
        <v>1</v>
      </c>
      <c r="C229" s="38" t="s">
        <v>46</v>
      </c>
      <c r="D229" s="38" t="s">
        <v>80</v>
      </c>
      <c r="E229" s="38"/>
      <c r="F229" s="39" t="s">
        <v>520</v>
      </c>
      <c r="G229" s="40">
        <v>17010</v>
      </c>
      <c r="H229" s="40">
        <v>8887</v>
      </c>
      <c r="I229" s="40">
        <v>2727</v>
      </c>
      <c r="J229" s="40">
        <v>5396</v>
      </c>
      <c r="K229" s="40">
        <v>24523</v>
      </c>
      <c r="L229" s="40">
        <v>15829</v>
      </c>
      <c r="M229" s="40">
        <v>3771</v>
      </c>
      <c r="N229" s="40">
        <v>4923</v>
      </c>
      <c r="O229" s="40">
        <v>30849</v>
      </c>
      <c r="P229" s="40">
        <v>21279</v>
      </c>
      <c r="Q229" s="40">
        <v>4162</v>
      </c>
      <c r="R229" s="40">
        <v>5408</v>
      </c>
      <c r="S229" s="41">
        <v>52.245737800000001</v>
      </c>
      <c r="T229" s="41">
        <v>16.031745999999998</v>
      </c>
      <c r="U229" s="41">
        <v>31.722516200000001</v>
      </c>
      <c r="V229" s="41">
        <v>64.547567599999994</v>
      </c>
      <c r="W229" s="41">
        <v>15.3774008</v>
      </c>
      <c r="X229" s="41">
        <v>20.075031599999999</v>
      </c>
      <c r="Y229" s="41">
        <v>68.977924700000003</v>
      </c>
      <c r="Z229" s="41">
        <v>13.4915232</v>
      </c>
      <c r="AA229" s="41">
        <v>17.530552</v>
      </c>
    </row>
    <row r="230" spans="1:39" hidden="1" x14ac:dyDescent="0.3">
      <c r="A230" s="42">
        <v>226</v>
      </c>
      <c r="B230" s="43" t="s">
        <v>521</v>
      </c>
      <c r="C230" s="50" t="s">
        <v>46</v>
      </c>
      <c r="D230" s="50" t="s">
        <v>80</v>
      </c>
      <c r="E230" s="50" t="s">
        <v>81</v>
      </c>
      <c r="F230" s="51" t="s">
        <v>81</v>
      </c>
      <c r="G230" s="45">
        <v>6149</v>
      </c>
      <c r="H230" s="45">
        <v>3567</v>
      </c>
      <c r="I230" s="45">
        <v>934</v>
      </c>
      <c r="J230" s="45">
        <v>1648</v>
      </c>
      <c r="K230" s="45">
        <v>8775</v>
      </c>
      <c r="L230" s="45">
        <v>6097</v>
      </c>
      <c r="M230" s="45">
        <v>1274</v>
      </c>
      <c r="N230" s="45">
        <v>1404</v>
      </c>
      <c r="O230" s="45">
        <v>11459</v>
      </c>
      <c r="P230" s="45">
        <v>8016</v>
      </c>
      <c r="Q230" s="45">
        <v>1456</v>
      </c>
      <c r="R230" s="45">
        <v>1987</v>
      </c>
      <c r="S230" s="46">
        <v>58.009432400000001</v>
      </c>
      <c r="T230" s="46">
        <v>15.189461700000001</v>
      </c>
      <c r="U230" s="46">
        <v>26.8011059</v>
      </c>
      <c r="V230" s="46">
        <v>69.481481500000001</v>
      </c>
      <c r="W230" s="46">
        <v>14.518518500000001</v>
      </c>
      <c r="X230" s="46">
        <v>16</v>
      </c>
      <c r="Y230" s="46">
        <v>69.953748099999999</v>
      </c>
      <c r="Z230" s="46">
        <v>12.7061698</v>
      </c>
      <c r="AA230" s="46">
        <v>17.340081999999999</v>
      </c>
      <c r="AB230" s="26">
        <f>SUM(W230:X230)</f>
        <v>30.518518499999999</v>
      </c>
      <c r="AC230" s="26">
        <f>SUM(Z230:AA230)</f>
        <v>30.0462518</v>
      </c>
      <c r="AD230" s="57">
        <f>M230+N230</f>
        <v>2678</v>
      </c>
      <c r="AE230" s="57">
        <f>Q230+R230</f>
        <v>3443</v>
      </c>
      <c r="AF230" s="26">
        <f>W230</f>
        <v>14.518518500000001</v>
      </c>
      <c r="AG230" s="26">
        <f>Z230</f>
        <v>12.7061698</v>
      </c>
      <c r="AH230" s="26">
        <f>M230</f>
        <v>1274</v>
      </c>
      <c r="AI230" s="26">
        <f>Q230</f>
        <v>1456</v>
      </c>
      <c r="AJ230" s="26">
        <f>X230</f>
        <v>16</v>
      </c>
      <c r="AK230" s="26">
        <f>AA230</f>
        <v>17.340081999999999</v>
      </c>
      <c r="AL230" s="57">
        <f>N230</f>
        <v>1404</v>
      </c>
      <c r="AM230" s="57">
        <f>R230</f>
        <v>1987</v>
      </c>
    </row>
    <row r="231" spans="1:39" hidden="1" x14ac:dyDescent="0.3">
      <c r="A231" s="37">
        <v>227</v>
      </c>
      <c r="B231" s="38" t="s">
        <v>521</v>
      </c>
      <c r="C231" s="38" t="s">
        <v>46</v>
      </c>
      <c r="D231" s="38" t="s">
        <v>80</v>
      </c>
      <c r="E231" s="38" t="s">
        <v>81</v>
      </c>
      <c r="F231" s="47" t="s">
        <v>519</v>
      </c>
      <c r="G231" s="40">
        <v>668</v>
      </c>
      <c r="H231" s="40">
        <v>417</v>
      </c>
      <c r="I231" s="40">
        <v>103</v>
      </c>
      <c r="J231" s="40">
        <v>148</v>
      </c>
      <c r="K231" s="40">
        <v>1125</v>
      </c>
      <c r="L231" s="40">
        <v>922</v>
      </c>
      <c r="M231" s="40">
        <v>110</v>
      </c>
      <c r="N231" s="40">
        <v>93</v>
      </c>
      <c r="O231" s="40">
        <v>1792</v>
      </c>
      <c r="P231" s="40">
        <v>1478</v>
      </c>
      <c r="Q231" s="40">
        <v>133</v>
      </c>
      <c r="R231" s="40">
        <v>181</v>
      </c>
      <c r="S231" s="41">
        <v>62.425149699999999</v>
      </c>
      <c r="T231" s="41">
        <v>15.4191617</v>
      </c>
      <c r="U231" s="41">
        <v>22.155688600000001</v>
      </c>
      <c r="V231" s="41">
        <v>81.955555599999997</v>
      </c>
      <c r="W231" s="41">
        <v>9.7777778000000009</v>
      </c>
      <c r="X231" s="41">
        <v>8.2666667</v>
      </c>
      <c r="Y231" s="41">
        <v>82.477678600000004</v>
      </c>
      <c r="Z231" s="41">
        <v>7.421875</v>
      </c>
      <c r="AA231" s="41">
        <v>10.100446399999999</v>
      </c>
    </row>
    <row r="232" spans="1:39" hidden="1" x14ac:dyDescent="0.3">
      <c r="A232" s="37">
        <v>228</v>
      </c>
      <c r="B232" s="38" t="s">
        <v>521</v>
      </c>
      <c r="C232" s="38" t="s">
        <v>46</v>
      </c>
      <c r="D232" s="38" t="s">
        <v>80</v>
      </c>
      <c r="E232" s="38" t="s">
        <v>81</v>
      </c>
      <c r="F232" s="47" t="s">
        <v>520</v>
      </c>
      <c r="G232" s="40">
        <v>5481</v>
      </c>
      <c r="H232" s="40">
        <v>3150</v>
      </c>
      <c r="I232" s="40">
        <v>831</v>
      </c>
      <c r="J232" s="40">
        <v>1500</v>
      </c>
      <c r="K232" s="40">
        <v>7650</v>
      </c>
      <c r="L232" s="40">
        <v>5175</v>
      </c>
      <c r="M232" s="40">
        <v>1164</v>
      </c>
      <c r="N232" s="40">
        <v>1311</v>
      </c>
      <c r="O232" s="40">
        <v>9667</v>
      </c>
      <c r="P232" s="40">
        <v>6538</v>
      </c>
      <c r="Q232" s="40">
        <v>1323</v>
      </c>
      <c r="R232" s="40">
        <v>1806</v>
      </c>
      <c r="S232" s="41">
        <v>57.471264400000003</v>
      </c>
      <c r="T232" s="41">
        <v>15.161466900000001</v>
      </c>
      <c r="U232" s="41">
        <v>27.3672687</v>
      </c>
      <c r="V232" s="41">
        <v>67.647058799999996</v>
      </c>
      <c r="W232" s="41">
        <v>15.2156863</v>
      </c>
      <c r="X232" s="41">
        <v>17.137254899999999</v>
      </c>
      <c r="Y232" s="41">
        <v>67.632150600000003</v>
      </c>
      <c r="Z232" s="41">
        <v>13.685734999999999</v>
      </c>
      <c r="AA232" s="41">
        <v>18.6821144</v>
      </c>
    </row>
    <row r="233" spans="1:39" hidden="1" x14ac:dyDescent="0.3">
      <c r="A233" s="42">
        <v>229</v>
      </c>
      <c r="B233" s="43" t="s">
        <v>521</v>
      </c>
      <c r="C233" s="50" t="s">
        <v>46</v>
      </c>
      <c r="D233" s="50" t="s">
        <v>80</v>
      </c>
      <c r="E233" s="50" t="s">
        <v>82</v>
      </c>
      <c r="F233" s="51" t="s">
        <v>82</v>
      </c>
      <c r="G233" s="45">
        <v>2828</v>
      </c>
      <c r="H233" s="45">
        <v>1226</v>
      </c>
      <c r="I233" s="45">
        <v>555</v>
      </c>
      <c r="J233" s="45">
        <v>1047</v>
      </c>
      <c r="K233" s="45">
        <v>4681</v>
      </c>
      <c r="L233" s="45">
        <v>2771</v>
      </c>
      <c r="M233" s="45">
        <v>797</v>
      </c>
      <c r="N233" s="45">
        <v>1113</v>
      </c>
      <c r="O233" s="45">
        <v>6269</v>
      </c>
      <c r="P233" s="45">
        <v>4572</v>
      </c>
      <c r="Q233" s="45">
        <v>771</v>
      </c>
      <c r="R233" s="45">
        <v>926</v>
      </c>
      <c r="S233" s="46">
        <v>43.3521924</v>
      </c>
      <c r="T233" s="46">
        <v>19.625176799999998</v>
      </c>
      <c r="U233" s="46">
        <v>37.022630800000002</v>
      </c>
      <c r="V233" s="46">
        <v>59.196752799999999</v>
      </c>
      <c r="W233" s="46">
        <v>17.0262764</v>
      </c>
      <c r="X233" s="46">
        <v>23.7769707</v>
      </c>
      <c r="Y233" s="46">
        <v>72.9302919</v>
      </c>
      <c r="Z233" s="46">
        <v>12.298612200000001</v>
      </c>
      <c r="AA233" s="46">
        <v>14.771095900000001</v>
      </c>
      <c r="AB233" s="26">
        <f>SUM(W233:X233)</f>
        <v>40.8032471</v>
      </c>
      <c r="AC233" s="26">
        <f>SUM(Z233:AA233)</f>
        <v>27.0697081</v>
      </c>
      <c r="AD233" s="57">
        <f>M233+N233</f>
        <v>1910</v>
      </c>
      <c r="AE233" s="57">
        <f>Q233+R233</f>
        <v>1697</v>
      </c>
      <c r="AF233" s="26">
        <f>W233</f>
        <v>17.0262764</v>
      </c>
      <c r="AG233" s="26">
        <f>Z233</f>
        <v>12.298612200000001</v>
      </c>
      <c r="AH233" s="26">
        <f>M233</f>
        <v>797</v>
      </c>
      <c r="AI233" s="26">
        <f>Q233</f>
        <v>771</v>
      </c>
      <c r="AJ233" s="26">
        <f>X233</f>
        <v>23.7769707</v>
      </c>
      <c r="AK233" s="26">
        <f>AA233</f>
        <v>14.771095900000001</v>
      </c>
      <c r="AL233" s="57">
        <f>N233</f>
        <v>1113</v>
      </c>
      <c r="AM233" s="57">
        <f>R233</f>
        <v>926</v>
      </c>
    </row>
    <row r="234" spans="1:39" hidden="1" x14ac:dyDescent="0.3">
      <c r="A234" s="37">
        <v>230</v>
      </c>
      <c r="B234" s="38" t="s">
        <v>521</v>
      </c>
      <c r="C234" s="38" t="s">
        <v>46</v>
      </c>
      <c r="D234" s="38" t="s">
        <v>80</v>
      </c>
      <c r="E234" s="38" t="s">
        <v>82</v>
      </c>
      <c r="F234" s="47" t="s">
        <v>519</v>
      </c>
      <c r="G234" s="40">
        <v>939</v>
      </c>
      <c r="H234" s="40">
        <v>463</v>
      </c>
      <c r="I234" s="40">
        <v>193</v>
      </c>
      <c r="J234" s="40">
        <v>283</v>
      </c>
      <c r="K234" s="40">
        <v>1290</v>
      </c>
      <c r="L234" s="40">
        <v>840</v>
      </c>
      <c r="M234" s="40">
        <v>200</v>
      </c>
      <c r="N234" s="40">
        <v>250</v>
      </c>
      <c r="O234" s="40">
        <v>1505</v>
      </c>
      <c r="P234" s="40">
        <v>1031</v>
      </c>
      <c r="Q234" s="40">
        <v>190</v>
      </c>
      <c r="R234" s="40">
        <v>284</v>
      </c>
      <c r="S234" s="41">
        <v>49.307774199999997</v>
      </c>
      <c r="T234" s="41">
        <v>20.5537806</v>
      </c>
      <c r="U234" s="41">
        <v>30.1384452</v>
      </c>
      <c r="V234" s="41">
        <v>65.1162791</v>
      </c>
      <c r="W234" s="41">
        <v>15.503876</v>
      </c>
      <c r="X234" s="41">
        <v>19.379845</v>
      </c>
      <c r="Y234" s="41">
        <v>68.5049834</v>
      </c>
      <c r="Z234" s="41">
        <v>12.6245847</v>
      </c>
      <c r="AA234" s="41">
        <v>18.8704319</v>
      </c>
    </row>
    <row r="235" spans="1:39" hidden="1" x14ac:dyDescent="0.3">
      <c r="A235" s="37">
        <v>231</v>
      </c>
      <c r="B235" s="38" t="s">
        <v>521</v>
      </c>
      <c r="C235" s="38" t="s">
        <v>46</v>
      </c>
      <c r="D235" s="38" t="s">
        <v>80</v>
      </c>
      <c r="E235" s="38" t="s">
        <v>82</v>
      </c>
      <c r="F235" s="47" t="s">
        <v>520</v>
      </c>
      <c r="G235" s="40">
        <v>1889</v>
      </c>
      <c r="H235" s="40">
        <v>763</v>
      </c>
      <c r="I235" s="40">
        <v>362</v>
      </c>
      <c r="J235" s="40">
        <v>764</v>
      </c>
      <c r="K235" s="40">
        <v>3391</v>
      </c>
      <c r="L235" s="40">
        <v>1931</v>
      </c>
      <c r="M235" s="40">
        <v>597</v>
      </c>
      <c r="N235" s="40">
        <v>863</v>
      </c>
      <c r="O235" s="40">
        <v>4764</v>
      </c>
      <c r="P235" s="40">
        <v>3541</v>
      </c>
      <c r="Q235" s="40">
        <v>581</v>
      </c>
      <c r="R235" s="40">
        <v>642</v>
      </c>
      <c r="S235" s="41">
        <v>40.391741699999997</v>
      </c>
      <c r="T235" s="41">
        <v>19.163578600000001</v>
      </c>
      <c r="U235" s="41">
        <v>40.444679700000002</v>
      </c>
      <c r="V235" s="41">
        <v>56.944853999999999</v>
      </c>
      <c r="W235" s="41">
        <v>17.605426099999999</v>
      </c>
      <c r="X235" s="41">
        <v>25.4497198</v>
      </c>
      <c r="Y235" s="41">
        <v>74.328295499999996</v>
      </c>
      <c r="Z235" s="41">
        <v>12.195633900000001</v>
      </c>
      <c r="AA235" s="41">
        <v>13.476070500000001</v>
      </c>
    </row>
    <row r="236" spans="1:39" hidden="1" x14ac:dyDescent="0.3">
      <c r="A236" s="42">
        <v>232</v>
      </c>
      <c r="B236" s="43" t="s">
        <v>521</v>
      </c>
      <c r="C236" s="50" t="s">
        <v>46</v>
      </c>
      <c r="D236" s="50" t="s">
        <v>80</v>
      </c>
      <c r="E236" s="50" t="s">
        <v>83</v>
      </c>
      <c r="F236" s="51" t="s">
        <v>83</v>
      </c>
      <c r="G236" s="45">
        <v>1920</v>
      </c>
      <c r="H236" s="45">
        <v>1079</v>
      </c>
      <c r="I236" s="45">
        <v>265</v>
      </c>
      <c r="J236" s="45">
        <v>576</v>
      </c>
      <c r="K236" s="45">
        <v>2980</v>
      </c>
      <c r="L236" s="45">
        <v>2049</v>
      </c>
      <c r="M236" s="45">
        <v>383</v>
      </c>
      <c r="N236" s="45">
        <v>548</v>
      </c>
      <c r="O236" s="45">
        <v>4152</v>
      </c>
      <c r="P236" s="45">
        <v>3066</v>
      </c>
      <c r="Q236" s="45">
        <v>500</v>
      </c>
      <c r="R236" s="45">
        <v>586</v>
      </c>
      <c r="S236" s="46">
        <v>56.1979167</v>
      </c>
      <c r="T236" s="46">
        <v>13.8020833</v>
      </c>
      <c r="U236" s="46">
        <v>30</v>
      </c>
      <c r="V236" s="46">
        <v>68.758389300000005</v>
      </c>
      <c r="W236" s="46">
        <v>12.852349</v>
      </c>
      <c r="X236" s="46">
        <v>18.389261699999999</v>
      </c>
      <c r="Y236" s="46">
        <v>73.843930599999993</v>
      </c>
      <c r="Z236" s="46">
        <v>12.042389200000001</v>
      </c>
      <c r="AA236" s="46">
        <v>14.113680199999999</v>
      </c>
      <c r="AB236" s="26">
        <f>SUM(W236:X236)</f>
        <v>31.241610699999999</v>
      </c>
      <c r="AC236" s="26">
        <f>SUM(Z236:AA236)</f>
        <v>26.1560694</v>
      </c>
      <c r="AD236" s="57">
        <f>M236+N236</f>
        <v>931</v>
      </c>
      <c r="AE236" s="57">
        <f>Q236+R236</f>
        <v>1086</v>
      </c>
      <c r="AF236" s="26">
        <f>W236</f>
        <v>12.852349</v>
      </c>
      <c r="AG236" s="26">
        <f>Z236</f>
        <v>12.042389200000001</v>
      </c>
      <c r="AH236" s="26">
        <f>M236</f>
        <v>383</v>
      </c>
      <c r="AI236" s="26">
        <f>Q236</f>
        <v>500</v>
      </c>
      <c r="AJ236" s="26">
        <f>X236</f>
        <v>18.389261699999999</v>
      </c>
      <c r="AK236" s="26">
        <f>AA236</f>
        <v>14.113680199999999</v>
      </c>
      <c r="AL236" s="57">
        <f>N236</f>
        <v>548</v>
      </c>
      <c r="AM236" s="57">
        <f>R236</f>
        <v>586</v>
      </c>
    </row>
    <row r="237" spans="1:39" hidden="1" x14ac:dyDescent="0.3">
      <c r="A237" s="37">
        <v>233</v>
      </c>
      <c r="B237" s="38" t="s">
        <v>521</v>
      </c>
      <c r="C237" s="38" t="s">
        <v>46</v>
      </c>
      <c r="D237" s="38" t="s">
        <v>80</v>
      </c>
      <c r="E237" s="38" t="s">
        <v>83</v>
      </c>
      <c r="F237" s="47" t="s">
        <v>519</v>
      </c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1"/>
      <c r="T237" s="41"/>
      <c r="U237" s="41"/>
      <c r="V237" s="41"/>
      <c r="W237" s="41"/>
      <c r="X237" s="41"/>
      <c r="Y237" s="41"/>
      <c r="Z237" s="41"/>
      <c r="AA237" s="41"/>
    </row>
    <row r="238" spans="1:39" hidden="1" x14ac:dyDescent="0.3">
      <c r="A238" s="37">
        <v>234</v>
      </c>
      <c r="B238" s="38" t="s">
        <v>521</v>
      </c>
      <c r="C238" s="38" t="s">
        <v>46</v>
      </c>
      <c r="D238" s="38" t="s">
        <v>80</v>
      </c>
      <c r="E238" s="38" t="s">
        <v>83</v>
      </c>
      <c r="F238" s="47" t="s">
        <v>520</v>
      </c>
      <c r="G238" s="40">
        <v>1920</v>
      </c>
      <c r="H238" s="40">
        <v>1079</v>
      </c>
      <c r="I238" s="40">
        <v>265</v>
      </c>
      <c r="J238" s="40">
        <v>576</v>
      </c>
      <c r="K238" s="40">
        <v>2980</v>
      </c>
      <c r="L238" s="40">
        <v>2049</v>
      </c>
      <c r="M238" s="40">
        <v>383</v>
      </c>
      <c r="N238" s="40">
        <v>548</v>
      </c>
      <c r="O238" s="40">
        <v>4152</v>
      </c>
      <c r="P238" s="40">
        <v>3066</v>
      </c>
      <c r="Q238" s="40">
        <v>500</v>
      </c>
      <c r="R238" s="40">
        <v>586</v>
      </c>
      <c r="S238" s="41">
        <v>56.1979167</v>
      </c>
      <c r="T238" s="41">
        <v>13.8020833</v>
      </c>
      <c r="U238" s="41">
        <v>30</v>
      </c>
      <c r="V238" s="41">
        <v>68.758389300000005</v>
      </c>
      <c r="W238" s="41">
        <v>12.852349</v>
      </c>
      <c r="X238" s="41">
        <v>18.389261699999999</v>
      </c>
      <c r="Y238" s="41">
        <v>73.843930599999993</v>
      </c>
      <c r="Z238" s="41">
        <v>12.042389200000001</v>
      </c>
      <c r="AA238" s="41">
        <v>14.113680199999999</v>
      </c>
    </row>
    <row r="239" spans="1:39" hidden="1" x14ac:dyDescent="0.3">
      <c r="A239" s="42">
        <v>235</v>
      </c>
      <c r="B239" s="43" t="s">
        <v>521</v>
      </c>
      <c r="C239" s="50" t="s">
        <v>46</v>
      </c>
      <c r="D239" s="50" t="s">
        <v>80</v>
      </c>
      <c r="E239" s="50" t="s">
        <v>84</v>
      </c>
      <c r="F239" s="51" t="s">
        <v>84</v>
      </c>
      <c r="G239" s="45">
        <v>697</v>
      </c>
      <c r="H239" s="45">
        <v>344</v>
      </c>
      <c r="I239" s="45">
        <v>120</v>
      </c>
      <c r="J239" s="45">
        <v>233</v>
      </c>
      <c r="K239" s="45">
        <v>1027</v>
      </c>
      <c r="L239" s="45">
        <v>744</v>
      </c>
      <c r="M239" s="45">
        <v>147</v>
      </c>
      <c r="N239" s="45">
        <v>136</v>
      </c>
      <c r="O239" s="45">
        <v>1391</v>
      </c>
      <c r="P239" s="45">
        <v>789</v>
      </c>
      <c r="Q239" s="45">
        <v>252</v>
      </c>
      <c r="R239" s="45">
        <v>350</v>
      </c>
      <c r="S239" s="46">
        <v>49.354375900000001</v>
      </c>
      <c r="T239" s="46">
        <v>17.216642799999999</v>
      </c>
      <c r="U239" s="46">
        <v>33.428981299999997</v>
      </c>
      <c r="V239" s="46">
        <v>72.444011700000004</v>
      </c>
      <c r="W239" s="46">
        <v>14.313534600000001</v>
      </c>
      <c r="X239" s="46">
        <v>13.2424537</v>
      </c>
      <c r="Y239" s="46">
        <v>56.721782900000001</v>
      </c>
      <c r="Z239" s="46">
        <v>18.116463</v>
      </c>
      <c r="AA239" s="46">
        <v>25.1617541</v>
      </c>
      <c r="AB239" s="26">
        <f>SUM(W239:X239)</f>
        <v>27.555988300000003</v>
      </c>
      <c r="AC239" s="26">
        <f>SUM(Z239:AA239)</f>
        <v>43.278217099999999</v>
      </c>
      <c r="AD239" s="57">
        <f>M239+N239</f>
        <v>283</v>
      </c>
      <c r="AE239" s="57">
        <f>Q239+R239</f>
        <v>602</v>
      </c>
      <c r="AF239" s="26">
        <f>W239</f>
        <v>14.313534600000001</v>
      </c>
      <c r="AG239" s="26">
        <f>Z239</f>
        <v>18.116463</v>
      </c>
      <c r="AH239" s="26">
        <f>M239</f>
        <v>147</v>
      </c>
      <c r="AI239" s="26">
        <f>Q239</f>
        <v>252</v>
      </c>
      <c r="AJ239" s="26">
        <f>X239</f>
        <v>13.2424537</v>
      </c>
      <c r="AK239" s="26">
        <f>AA239</f>
        <v>25.1617541</v>
      </c>
      <c r="AL239" s="57">
        <f>N239</f>
        <v>136</v>
      </c>
      <c r="AM239" s="57">
        <f>R239</f>
        <v>350</v>
      </c>
    </row>
    <row r="240" spans="1:39" hidden="1" x14ac:dyDescent="0.3">
      <c r="A240" s="37">
        <v>236</v>
      </c>
      <c r="B240" s="38" t="s">
        <v>521</v>
      </c>
      <c r="C240" s="38" t="s">
        <v>46</v>
      </c>
      <c r="D240" s="38" t="s">
        <v>80</v>
      </c>
      <c r="E240" s="38" t="s">
        <v>84</v>
      </c>
      <c r="F240" s="47" t="s">
        <v>519</v>
      </c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1"/>
      <c r="T240" s="41"/>
      <c r="U240" s="41"/>
      <c r="V240" s="41"/>
      <c r="W240" s="41"/>
      <c r="X240" s="41"/>
      <c r="Y240" s="41"/>
      <c r="Z240" s="41"/>
      <c r="AA240" s="41"/>
    </row>
    <row r="241" spans="1:39" hidden="1" x14ac:dyDescent="0.3">
      <c r="A241" s="37">
        <v>237</v>
      </c>
      <c r="B241" s="38" t="s">
        <v>521</v>
      </c>
      <c r="C241" s="38" t="s">
        <v>46</v>
      </c>
      <c r="D241" s="38" t="s">
        <v>80</v>
      </c>
      <c r="E241" s="38" t="s">
        <v>84</v>
      </c>
      <c r="F241" s="47" t="s">
        <v>520</v>
      </c>
      <c r="G241" s="40">
        <v>697</v>
      </c>
      <c r="H241" s="40">
        <v>344</v>
      </c>
      <c r="I241" s="40">
        <v>120</v>
      </c>
      <c r="J241" s="40">
        <v>233</v>
      </c>
      <c r="K241" s="40">
        <v>1027</v>
      </c>
      <c r="L241" s="40">
        <v>744</v>
      </c>
      <c r="M241" s="40">
        <v>147</v>
      </c>
      <c r="N241" s="40">
        <v>136</v>
      </c>
      <c r="O241" s="40">
        <v>1391</v>
      </c>
      <c r="P241" s="40">
        <v>789</v>
      </c>
      <c r="Q241" s="40">
        <v>252</v>
      </c>
      <c r="R241" s="40">
        <v>350</v>
      </c>
      <c r="S241" s="41">
        <v>49.354375900000001</v>
      </c>
      <c r="T241" s="41">
        <v>17.216642799999999</v>
      </c>
      <c r="U241" s="41">
        <v>33.428981299999997</v>
      </c>
      <c r="V241" s="41">
        <v>72.444011700000004</v>
      </c>
      <c r="W241" s="41">
        <v>14.313534600000001</v>
      </c>
      <c r="X241" s="41">
        <v>13.2424537</v>
      </c>
      <c r="Y241" s="41">
        <v>56.721782900000001</v>
      </c>
      <c r="Z241" s="41">
        <v>18.116463</v>
      </c>
      <c r="AA241" s="41">
        <v>25.1617541</v>
      </c>
    </row>
    <row r="242" spans="1:39" hidden="1" x14ac:dyDescent="0.3">
      <c r="A242" s="42">
        <v>238</v>
      </c>
      <c r="B242" s="43" t="s">
        <v>521</v>
      </c>
      <c r="C242" s="50" t="s">
        <v>46</v>
      </c>
      <c r="D242" s="50" t="s">
        <v>80</v>
      </c>
      <c r="E242" s="50" t="s">
        <v>85</v>
      </c>
      <c r="F242" s="51" t="s">
        <v>85</v>
      </c>
      <c r="G242" s="45">
        <v>863</v>
      </c>
      <c r="H242" s="45">
        <v>492</v>
      </c>
      <c r="I242" s="45">
        <v>124</v>
      </c>
      <c r="J242" s="45">
        <v>247</v>
      </c>
      <c r="K242" s="45">
        <v>994</v>
      </c>
      <c r="L242" s="45">
        <v>560</v>
      </c>
      <c r="M242" s="45">
        <v>170</v>
      </c>
      <c r="N242" s="45">
        <v>264</v>
      </c>
      <c r="O242" s="45">
        <v>1425</v>
      </c>
      <c r="P242" s="45">
        <v>1033</v>
      </c>
      <c r="Q242" s="45">
        <v>192</v>
      </c>
      <c r="R242" s="45">
        <v>200</v>
      </c>
      <c r="S242" s="46">
        <v>57.010428699999999</v>
      </c>
      <c r="T242" s="46">
        <v>14.368482</v>
      </c>
      <c r="U242" s="46">
        <v>28.6210892</v>
      </c>
      <c r="V242" s="46">
        <v>56.338028199999997</v>
      </c>
      <c r="W242" s="46">
        <v>17.102615700000001</v>
      </c>
      <c r="X242" s="46">
        <v>26.559356099999999</v>
      </c>
      <c r="Y242" s="46">
        <v>72.491228100000001</v>
      </c>
      <c r="Z242" s="46">
        <v>13.473684199999999</v>
      </c>
      <c r="AA242" s="46">
        <v>14.0350877</v>
      </c>
      <c r="AB242" s="26">
        <f>SUM(W242:X242)</f>
        <v>43.661971800000003</v>
      </c>
      <c r="AC242" s="26">
        <f>SUM(Z242:AA242)</f>
        <v>27.508771899999999</v>
      </c>
      <c r="AD242" s="57">
        <f>M242+N242</f>
        <v>434</v>
      </c>
      <c r="AE242" s="57">
        <f>Q242+R242</f>
        <v>392</v>
      </c>
      <c r="AF242" s="26">
        <f>W242</f>
        <v>17.102615700000001</v>
      </c>
      <c r="AG242" s="26">
        <f>Z242</f>
        <v>13.473684199999999</v>
      </c>
      <c r="AH242" s="26">
        <f>M242</f>
        <v>170</v>
      </c>
      <c r="AI242" s="26">
        <f>Q242</f>
        <v>192</v>
      </c>
      <c r="AJ242" s="26">
        <f>X242</f>
        <v>26.559356099999999</v>
      </c>
      <c r="AK242" s="26">
        <f>AA242</f>
        <v>14.0350877</v>
      </c>
      <c r="AL242" s="57">
        <f>N242</f>
        <v>264</v>
      </c>
      <c r="AM242" s="57">
        <f>R242</f>
        <v>200</v>
      </c>
    </row>
    <row r="243" spans="1:39" hidden="1" x14ac:dyDescent="0.3">
      <c r="A243" s="37">
        <v>239</v>
      </c>
      <c r="B243" s="38" t="s">
        <v>521</v>
      </c>
      <c r="C243" s="38" t="s">
        <v>46</v>
      </c>
      <c r="D243" s="38" t="s">
        <v>80</v>
      </c>
      <c r="E243" s="38" t="s">
        <v>85</v>
      </c>
      <c r="F243" s="47" t="s">
        <v>519</v>
      </c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1"/>
      <c r="T243" s="41"/>
      <c r="U243" s="41"/>
      <c r="V243" s="41"/>
      <c r="W243" s="41"/>
      <c r="X243" s="41"/>
      <c r="Y243" s="41"/>
      <c r="Z243" s="41"/>
      <c r="AA243" s="41"/>
    </row>
    <row r="244" spans="1:39" hidden="1" x14ac:dyDescent="0.3">
      <c r="A244" s="37">
        <v>240</v>
      </c>
      <c r="B244" s="38" t="s">
        <v>521</v>
      </c>
      <c r="C244" s="38" t="s">
        <v>46</v>
      </c>
      <c r="D244" s="38" t="s">
        <v>80</v>
      </c>
      <c r="E244" s="38" t="s">
        <v>85</v>
      </c>
      <c r="F244" s="47" t="s">
        <v>520</v>
      </c>
      <c r="G244" s="40">
        <v>863</v>
      </c>
      <c r="H244" s="40">
        <v>492</v>
      </c>
      <c r="I244" s="40">
        <v>124</v>
      </c>
      <c r="J244" s="40">
        <v>247</v>
      </c>
      <c r="K244" s="40">
        <v>994</v>
      </c>
      <c r="L244" s="40">
        <v>560</v>
      </c>
      <c r="M244" s="40">
        <v>170</v>
      </c>
      <c r="N244" s="40">
        <v>264</v>
      </c>
      <c r="O244" s="40">
        <v>1425</v>
      </c>
      <c r="P244" s="40">
        <v>1033</v>
      </c>
      <c r="Q244" s="40">
        <v>192</v>
      </c>
      <c r="R244" s="40">
        <v>200</v>
      </c>
      <c r="S244" s="41">
        <v>57.010428699999999</v>
      </c>
      <c r="T244" s="41">
        <v>14.368482</v>
      </c>
      <c r="U244" s="41">
        <v>28.6210892</v>
      </c>
      <c r="V244" s="41">
        <v>56.338028199999997</v>
      </c>
      <c r="W244" s="41">
        <v>17.102615700000001</v>
      </c>
      <c r="X244" s="41">
        <v>26.559356099999999</v>
      </c>
      <c r="Y244" s="41">
        <v>72.491228100000001</v>
      </c>
      <c r="Z244" s="41">
        <v>13.473684199999999</v>
      </c>
      <c r="AA244" s="41">
        <v>14.0350877</v>
      </c>
    </row>
    <row r="245" spans="1:39" hidden="1" x14ac:dyDescent="0.3">
      <c r="A245" s="42">
        <v>241</v>
      </c>
      <c r="B245" s="43" t="s">
        <v>521</v>
      </c>
      <c r="C245" s="50" t="s">
        <v>46</v>
      </c>
      <c r="D245" s="50" t="s">
        <v>80</v>
      </c>
      <c r="E245" s="50" t="s">
        <v>86</v>
      </c>
      <c r="F245" s="51" t="s">
        <v>86</v>
      </c>
      <c r="G245" s="45">
        <v>2776</v>
      </c>
      <c r="H245" s="45">
        <v>1413</v>
      </c>
      <c r="I245" s="45">
        <v>469</v>
      </c>
      <c r="J245" s="45">
        <v>894</v>
      </c>
      <c r="K245" s="45">
        <v>3457</v>
      </c>
      <c r="L245" s="45">
        <v>2185</v>
      </c>
      <c r="M245" s="45">
        <v>572</v>
      </c>
      <c r="N245" s="45">
        <v>700</v>
      </c>
      <c r="O245" s="45">
        <v>3243</v>
      </c>
      <c r="P245" s="45">
        <v>2377</v>
      </c>
      <c r="Q245" s="45">
        <v>368</v>
      </c>
      <c r="R245" s="45">
        <v>498</v>
      </c>
      <c r="S245" s="46">
        <v>50.900576399999999</v>
      </c>
      <c r="T245" s="46">
        <v>16.894812699999999</v>
      </c>
      <c r="U245" s="46">
        <v>32.204611</v>
      </c>
      <c r="V245" s="46">
        <v>63.205091099999997</v>
      </c>
      <c r="W245" s="46">
        <v>16.546138299999999</v>
      </c>
      <c r="X245" s="46">
        <v>20.2487706</v>
      </c>
      <c r="Y245" s="46">
        <v>73.296330600000005</v>
      </c>
      <c r="Z245" s="46">
        <v>11.347517699999999</v>
      </c>
      <c r="AA245" s="46">
        <v>15.3561517</v>
      </c>
      <c r="AB245" s="26">
        <f>SUM(W245:X245)</f>
        <v>36.794908899999996</v>
      </c>
      <c r="AC245" s="26">
        <f>SUM(Z245:AA245)</f>
        <v>26.703669399999999</v>
      </c>
      <c r="AD245" s="57">
        <f>M245+N245</f>
        <v>1272</v>
      </c>
      <c r="AE245" s="57">
        <f>Q245+R245</f>
        <v>866</v>
      </c>
      <c r="AF245" s="26">
        <f>W245</f>
        <v>16.546138299999999</v>
      </c>
      <c r="AG245" s="26">
        <f>Z245</f>
        <v>11.347517699999999</v>
      </c>
      <c r="AH245" s="26">
        <f>M245</f>
        <v>572</v>
      </c>
      <c r="AI245" s="26">
        <f>Q245</f>
        <v>368</v>
      </c>
      <c r="AJ245" s="26">
        <f>X245</f>
        <v>20.2487706</v>
      </c>
      <c r="AK245" s="26">
        <f>AA245</f>
        <v>15.3561517</v>
      </c>
      <c r="AL245" s="57">
        <f>N245</f>
        <v>700</v>
      </c>
      <c r="AM245" s="57">
        <f>R245</f>
        <v>498</v>
      </c>
    </row>
    <row r="246" spans="1:39" hidden="1" x14ac:dyDescent="0.3">
      <c r="A246" s="37">
        <v>242</v>
      </c>
      <c r="B246" s="38" t="s">
        <v>521</v>
      </c>
      <c r="C246" s="38" t="s">
        <v>46</v>
      </c>
      <c r="D246" s="38" t="s">
        <v>80</v>
      </c>
      <c r="E246" s="38" t="s">
        <v>86</v>
      </c>
      <c r="F246" s="47" t="s">
        <v>519</v>
      </c>
      <c r="G246" s="40">
        <v>627</v>
      </c>
      <c r="H246" s="40">
        <v>291</v>
      </c>
      <c r="I246" s="40">
        <v>131</v>
      </c>
      <c r="J246" s="40">
        <v>205</v>
      </c>
      <c r="K246" s="40">
        <v>740</v>
      </c>
      <c r="L246" s="40">
        <v>469</v>
      </c>
      <c r="M246" s="40">
        <v>130</v>
      </c>
      <c r="N246" s="40">
        <v>141</v>
      </c>
      <c r="O246" s="40">
        <v>893</v>
      </c>
      <c r="P246" s="40">
        <v>655</v>
      </c>
      <c r="Q246" s="40">
        <v>108</v>
      </c>
      <c r="R246" s="40">
        <v>130</v>
      </c>
      <c r="S246" s="41">
        <v>46.4114833</v>
      </c>
      <c r="T246" s="41">
        <v>20.8931419</v>
      </c>
      <c r="U246" s="41">
        <v>32.695374800000003</v>
      </c>
      <c r="V246" s="41">
        <v>63.378378400000003</v>
      </c>
      <c r="W246" s="41">
        <v>17.5675676</v>
      </c>
      <c r="X246" s="41">
        <v>19.054054099999998</v>
      </c>
      <c r="Y246" s="41">
        <v>73.348264299999997</v>
      </c>
      <c r="Z246" s="41">
        <v>12.094064899999999</v>
      </c>
      <c r="AA246" s="41">
        <v>14.5576708</v>
      </c>
    </row>
    <row r="247" spans="1:39" hidden="1" x14ac:dyDescent="0.3">
      <c r="A247" s="37">
        <v>243</v>
      </c>
      <c r="B247" s="38" t="s">
        <v>521</v>
      </c>
      <c r="C247" s="38" t="s">
        <v>46</v>
      </c>
      <c r="D247" s="38" t="s">
        <v>80</v>
      </c>
      <c r="E247" s="38" t="s">
        <v>86</v>
      </c>
      <c r="F247" s="47" t="s">
        <v>520</v>
      </c>
      <c r="G247" s="40">
        <v>2149</v>
      </c>
      <c r="H247" s="40">
        <v>1122</v>
      </c>
      <c r="I247" s="40">
        <v>338</v>
      </c>
      <c r="J247" s="40">
        <v>689</v>
      </c>
      <c r="K247" s="40">
        <v>2717</v>
      </c>
      <c r="L247" s="40">
        <v>1716</v>
      </c>
      <c r="M247" s="40">
        <v>442</v>
      </c>
      <c r="N247" s="40">
        <v>559</v>
      </c>
      <c r="O247" s="40">
        <v>2350</v>
      </c>
      <c r="P247" s="40">
        <v>1722</v>
      </c>
      <c r="Q247" s="40">
        <v>260</v>
      </c>
      <c r="R247" s="40">
        <v>368</v>
      </c>
      <c r="S247" s="41">
        <v>52.210330399999997</v>
      </c>
      <c r="T247" s="41">
        <v>15.7282457</v>
      </c>
      <c r="U247" s="41">
        <v>32.061423900000001</v>
      </c>
      <c r="V247" s="41">
        <v>63.1578947</v>
      </c>
      <c r="W247" s="41">
        <v>16.267942600000001</v>
      </c>
      <c r="X247" s="41">
        <v>20.574162699999999</v>
      </c>
      <c r="Y247" s="41">
        <v>73.276595700000001</v>
      </c>
      <c r="Z247" s="41">
        <v>11.063829800000001</v>
      </c>
      <c r="AA247" s="41">
        <v>15.6595745</v>
      </c>
    </row>
    <row r="248" spans="1:39" hidden="1" x14ac:dyDescent="0.3">
      <c r="A248" s="42">
        <v>244</v>
      </c>
      <c r="B248" s="43" t="s">
        <v>521</v>
      </c>
      <c r="C248" s="50" t="s">
        <v>46</v>
      </c>
      <c r="D248" s="50" t="s">
        <v>80</v>
      </c>
      <c r="E248" s="50" t="s">
        <v>87</v>
      </c>
      <c r="F248" s="51" t="s">
        <v>87</v>
      </c>
      <c r="G248" s="45">
        <v>2284</v>
      </c>
      <c r="H248" s="45">
        <v>813</v>
      </c>
      <c r="I248" s="45">
        <v>414</v>
      </c>
      <c r="J248" s="45">
        <v>1057</v>
      </c>
      <c r="K248" s="45">
        <v>4050</v>
      </c>
      <c r="L248" s="45">
        <v>2238</v>
      </c>
      <c r="M248" s="45">
        <v>680</v>
      </c>
      <c r="N248" s="45">
        <v>1132</v>
      </c>
      <c r="O248" s="45">
        <v>6898</v>
      </c>
      <c r="P248" s="45">
        <v>4468</v>
      </c>
      <c r="Q248" s="45">
        <v>1038</v>
      </c>
      <c r="R248" s="45">
        <v>1392</v>
      </c>
      <c r="S248" s="46">
        <v>35.595446600000002</v>
      </c>
      <c r="T248" s="46">
        <v>18.126094599999998</v>
      </c>
      <c r="U248" s="46">
        <v>46.278458800000003</v>
      </c>
      <c r="V248" s="46">
        <v>55.259259299999997</v>
      </c>
      <c r="W248" s="46">
        <v>16.7901235</v>
      </c>
      <c r="X248" s="46">
        <v>27.950617300000001</v>
      </c>
      <c r="Y248" s="46">
        <v>64.772397799999993</v>
      </c>
      <c r="Z248" s="46">
        <v>15.047840000000001</v>
      </c>
      <c r="AA248" s="46">
        <v>20.179762199999999</v>
      </c>
      <c r="AB248" s="26">
        <f>SUM(W248:X248)</f>
        <v>44.740740799999998</v>
      </c>
      <c r="AC248" s="26">
        <f>SUM(Z248:AA248)</f>
        <v>35.2276022</v>
      </c>
      <c r="AD248" s="57">
        <f>M248+N248</f>
        <v>1812</v>
      </c>
      <c r="AE248" s="57">
        <f>Q248+R248</f>
        <v>2430</v>
      </c>
      <c r="AF248" s="26">
        <f>W248</f>
        <v>16.7901235</v>
      </c>
      <c r="AG248" s="26">
        <f>Z248</f>
        <v>15.047840000000001</v>
      </c>
      <c r="AH248" s="26">
        <f>M248</f>
        <v>680</v>
      </c>
      <c r="AI248" s="26">
        <f>Q248</f>
        <v>1038</v>
      </c>
      <c r="AJ248" s="26">
        <f>X248</f>
        <v>27.950617300000001</v>
      </c>
      <c r="AK248" s="26">
        <f>AA248</f>
        <v>20.179762199999999</v>
      </c>
      <c r="AL248" s="57">
        <f>N248</f>
        <v>1132</v>
      </c>
      <c r="AM248" s="57">
        <f>R248</f>
        <v>1392</v>
      </c>
    </row>
    <row r="249" spans="1:39" hidden="1" x14ac:dyDescent="0.3">
      <c r="A249" s="37">
        <v>245</v>
      </c>
      <c r="B249" s="38" t="s">
        <v>521</v>
      </c>
      <c r="C249" s="38" t="s">
        <v>46</v>
      </c>
      <c r="D249" s="38" t="s">
        <v>80</v>
      </c>
      <c r="E249" s="38" t="s">
        <v>87</v>
      </c>
      <c r="F249" s="47" t="s">
        <v>519</v>
      </c>
      <c r="G249" s="40">
        <v>560</v>
      </c>
      <c r="H249" s="40">
        <v>185</v>
      </c>
      <c r="I249" s="40">
        <v>107</v>
      </c>
      <c r="J249" s="40">
        <v>268</v>
      </c>
      <c r="K249" s="40">
        <v>1773</v>
      </c>
      <c r="L249" s="40">
        <v>1002</v>
      </c>
      <c r="M249" s="40">
        <v>325</v>
      </c>
      <c r="N249" s="40">
        <v>446</v>
      </c>
      <c r="O249" s="40">
        <v>3465</v>
      </c>
      <c r="P249" s="40">
        <v>2278</v>
      </c>
      <c r="Q249" s="40">
        <v>510</v>
      </c>
      <c r="R249" s="40">
        <v>677</v>
      </c>
      <c r="S249" s="41">
        <v>33.035714300000002</v>
      </c>
      <c r="T249" s="41">
        <v>19.107142899999999</v>
      </c>
      <c r="U249" s="41">
        <v>47.857142899999999</v>
      </c>
      <c r="V249" s="41">
        <v>56.514382400000002</v>
      </c>
      <c r="W249" s="41">
        <v>18.3305133</v>
      </c>
      <c r="X249" s="41">
        <v>25.155104300000001</v>
      </c>
      <c r="Y249" s="41">
        <v>65.743145699999999</v>
      </c>
      <c r="Z249" s="41">
        <v>14.7186147</v>
      </c>
      <c r="AA249" s="41">
        <v>19.5382395</v>
      </c>
    </row>
    <row r="250" spans="1:39" hidden="1" x14ac:dyDescent="0.3">
      <c r="A250" s="37">
        <v>246</v>
      </c>
      <c r="B250" s="38" t="s">
        <v>521</v>
      </c>
      <c r="C250" s="38" t="s">
        <v>46</v>
      </c>
      <c r="D250" s="38" t="s">
        <v>80</v>
      </c>
      <c r="E250" s="38" t="s">
        <v>87</v>
      </c>
      <c r="F250" s="47" t="s">
        <v>520</v>
      </c>
      <c r="G250" s="40">
        <v>1724</v>
      </c>
      <c r="H250" s="40">
        <v>628</v>
      </c>
      <c r="I250" s="40">
        <v>307</v>
      </c>
      <c r="J250" s="40">
        <v>789</v>
      </c>
      <c r="K250" s="40">
        <v>2277</v>
      </c>
      <c r="L250" s="40">
        <v>1236</v>
      </c>
      <c r="M250" s="40">
        <v>355</v>
      </c>
      <c r="N250" s="40">
        <v>686</v>
      </c>
      <c r="O250" s="40">
        <v>3433</v>
      </c>
      <c r="P250" s="40">
        <v>2190</v>
      </c>
      <c r="Q250" s="40">
        <v>528</v>
      </c>
      <c r="R250" s="40">
        <v>715</v>
      </c>
      <c r="S250" s="41">
        <v>36.426914199999999</v>
      </c>
      <c r="T250" s="41">
        <v>17.807424600000001</v>
      </c>
      <c r="U250" s="41">
        <v>45.765661299999998</v>
      </c>
      <c r="V250" s="41">
        <v>54.281949900000001</v>
      </c>
      <c r="W250" s="41">
        <v>15.5906895</v>
      </c>
      <c r="X250" s="41">
        <v>30.127360599999999</v>
      </c>
      <c r="Y250" s="41">
        <v>63.7926012</v>
      </c>
      <c r="Z250" s="41">
        <v>15.380134</v>
      </c>
      <c r="AA250" s="41">
        <v>20.827264799999998</v>
      </c>
    </row>
    <row r="251" spans="1:39" hidden="1" x14ac:dyDescent="0.3">
      <c r="A251" s="42">
        <v>247</v>
      </c>
      <c r="B251" s="43" t="s">
        <v>521</v>
      </c>
      <c r="C251" s="50" t="s">
        <v>46</v>
      </c>
      <c r="D251" s="50" t="s">
        <v>80</v>
      </c>
      <c r="E251" s="50" t="s">
        <v>88</v>
      </c>
      <c r="F251" s="51" t="s">
        <v>88</v>
      </c>
      <c r="G251" s="45">
        <v>2287</v>
      </c>
      <c r="H251" s="45">
        <v>1309</v>
      </c>
      <c r="I251" s="45">
        <v>380</v>
      </c>
      <c r="J251" s="45">
        <v>598</v>
      </c>
      <c r="K251" s="45">
        <v>3487</v>
      </c>
      <c r="L251" s="45">
        <v>2418</v>
      </c>
      <c r="M251" s="45">
        <v>513</v>
      </c>
      <c r="N251" s="45">
        <v>556</v>
      </c>
      <c r="O251" s="45">
        <v>4602</v>
      </c>
      <c r="P251" s="45">
        <v>3026</v>
      </c>
      <c r="Q251" s="45">
        <v>670</v>
      </c>
      <c r="R251" s="45">
        <v>906</v>
      </c>
      <c r="S251" s="46">
        <v>57.236554400000003</v>
      </c>
      <c r="T251" s="46">
        <v>16.615653699999999</v>
      </c>
      <c r="U251" s="46">
        <v>26.147791900000001</v>
      </c>
      <c r="V251" s="46">
        <v>69.343275000000006</v>
      </c>
      <c r="W251" s="46">
        <v>14.7117866</v>
      </c>
      <c r="X251" s="46">
        <v>15.9449383</v>
      </c>
      <c r="Y251" s="46">
        <v>65.754019999999997</v>
      </c>
      <c r="Z251" s="46">
        <v>14.5588874</v>
      </c>
      <c r="AA251" s="46">
        <v>19.6870926</v>
      </c>
      <c r="AB251" s="26">
        <f>SUM(W251:X251)</f>
        <v>30.6567249</v>
      </c>
      <c r="AC251" s="26">
        <f>SUM(Z251:AA251)</f>
        <v>34.245980000000003</v>
      </c>
      <c r="AD251" s="57">
        <f>M251+N251</f>
        <v>1069</v>
      </c>
      <c r="AE251" s="57">
        <f>Q251+R251</f>
        <v>1576</v>
      </c>
      <c r="AF251" s="26">
        <f>W251</f>
        <v>14.7117866</v>
      </c>
      <c r="AG251" s="26">
        <f>Z251</f>
        <v>14.5588874</v>
      </c>
      <c r="AH251" s="26">
        <f>M251</f>
        <v>513</v>
      </c>
      <c r="AI251" s="26">
        <f>Q251</f>
        <v>670</v>
      </c>
      <c r="AJ251" s="26">
        <f>X251</f>
        <v>15.9449383</v>
      </c>
      <c r="AK251" s="26">
        <f>AA251</f>
        <v>19.6870926</v>
      </c>
      <c r="AL251" s="57">
        <f>N251</f>
        <v>556</v>
      </c>
      <c r="AM251" s="57">
        <f>R251</f>
        <v>906</v>
      </c>
    </row>
    <row r="252" spans="1:39" hidden="1" x14ac:dyDescent="0.3">
      <c r="A252" s="37">
        <v>248</v>
      </c>
      <c r="B252" s="38" t="s">
        <v>521</v>
      </c>
      <c r="C252" s="38" t="s">
        <v>46</v>
      </c>
      <c r="D252" s="38" t="s">
        <v>80</v>
      </c>
      <c r="E252" s="38" t="s">
        <v>88</v>
      </c>
      <c r="F252" s="47" t="s">
        <v>519</v>
      </c>
      <c r="G252" s="40"/>
      <c r="H252" s="40"/>
      <c r="I252" s="40"/>
      <c r="J252" s="40"/>
      <c r="K252" s="40"/>
      <c r="L252" s="40"/>
      <c r="M252" s="40"/>
      <c r="N252" s="40"/>
      <c r="O252" s="40">
        <v>935</v>
      </c>
      <c r="P252" s="40">
        <v>626</v>
      </c>
      <c r="Q252" s="40">
        <v>144</v>
      </c>
      <c r="R252" s="40">
        <v>165</v>
      </c>
      <c r="S252" s="41"/>
      <c r="T252" s="41"/>
      <c r="U252" s="41"/>
      <c r="V252" s="41"/>
      <c r="W252" s="41"/>
      <c r="X252" s="41"/>
      <c r="Y252" s="41">
        <v>66.951871699999998</v>
      </c>
      <c r="Z252" s="41">
        <v>15.4010695</v>
      </c>
      <c r="AA252" s="41">
        <v>17.6470588</v>
      </c>
    </row>
    <row r="253" spans="1:39" hidden="1" x14ac:dyDescent="0.3">
      <c r="A253" s="37">
        <v>249</v>
      </c>
      <c r="B253" s="38" t="s">
        <v>521</v>
      </c>
      <c r="C253" s="38" t="s">
        <v>46</v>
      </c>
      <c r="D253" s="38" t="s">
        <v>80</v>
      </c>
      <c r="E253" s="38" t="s">
        <v>88</v>
      </c>
      <c r="F253" s="47" t="s">
        <v>520</v>
      </c>
      <c r="G253" s="40">
        <v>2287</v>
      </c>
      <c r="H253" s="40">
        <v>1309</v>
      </c>
      <c r="I253" s="40">
        <v>380</v>
      </c>
      <c r="J253" s="40">
        <v>598</v>
      </c>
      <c r="K253" s="40">
        <v>3487</v>
      </c>
      <c r="L253" s="40">
        <v>2418</v>
      </c>
      <c r="M253" s="40">
        <v>513</v>
      </c>
      <c r="N253" s="40">
        <v>556</v>
      </c>
      <c r="O253" s="40">
        <v>3667</v>
      </c>
      <c r="P253" s="40">
        <v>2400</v>
      </c>
      <c r="Q253" s="40">
        <v>526</v>
      </c>
      <c r="R253" s="40">
        <v>741</v>
      </c>
      <c r="S253" s="41">
        <v>57.236554400000003</v>
      </c>
      <c r="T253" s="41">
        <v>16.615653699999999</v>
      </c>
      <c r="U253" s="41">
        <v>26.147791900000001</v>
      </c>
      <c r="V253" s="41">
        <v>69.343275000000006</v>
      </c>
      <c r="W253" s="41">
        <v>14.7117866</v>
      </c>
      <c r="X253" s="41">
        <v>15.9449383</v>
      </c>
      <c r="Y253" s="41">
        <v>65.448595600000004</v>
      </c>
      <c r="Z253" s="41">
        <v>14.3441505</v>
      </c>
      <c r="AA253" s="41">
        <v>20.207253900000001</v>
      </c>
    </row>
    <row r="254" spans="1:39" hidden="1" x14ac:dyDescent="0.3">
      <c r="A254" s="32">
        <v>250</v>
      </c>
      <c r="B254" s="33" t="s">
        <v>1</v>
      </c>
      <c r="C254" s="49" t="s">
        <v>46</v>
      </c>
      <c r="D254" s="49" t="s">
        <v>89</v>
      </c>
      <c r="E254" s="49"/>
      <c r="F254" s="34" t="s">
        <v>89</v>
      </c>
      <c r="G254" s="35">
        <v>4127</v>
      </c>
      <c r="H254" s="35">
        <v>1471</v>
      </c>
      <c r="I254" s="35">
        <v>719</v>
      </c>
      <c r="J254" s="35">
        <v>1937</v>
      </c>
      <c r="K254" s="35">
        <v>6855</v>
      </c>
      <c r="L254" s="35">
        <v>3704</v>
      </c>
      <c r="M254" s="35">
        <v>1054</v>
      </c>
      <c r="N254" s="35">
        <v>2097</v>
      </c>
      <c r="O254" s="35">
        <v>9232</v>
      </c>
      <c r="P254" s="35">
        <v>5818</v>
      </c>
      <c r="Q254" s="35">
        <v>1311</v>
      </c>
      <c r="R254" s="35">
        <v>2103</v>
      </c>
      <c r="S254" s="36">
        <v>35.643324399999997</v>
      </c>
      <c r="T254" s="36">
        <v>17.421856099999999</v>
      </c>
      <c r="U254" s="36">
        <v>46.934819500000003</v>
      </c>
      <c r="V254" s="36">
        <v>54.033552200000003</v>
      </c>
      <c r="W254" s="36">
        <v>15.375638199999999</v>
      </c>
      <c r="X254" s="36">
        <v>30.5908096</v>
      </c>
      <c r="Y254" s="36">
        <v>63.019930700000003</v>
      </c>
      <c r="Z254" s="36">
        <v>14.2006066</v>
      </c>
      <c r="AA254" s="36">
        <v>22.7794627</v>
      </c>
    </row>
    <row r="255" spans="1:39" hidden="1" x14ac:dyDescent="0.3">
      <c r="A255" s="37">
        <v>251</v>
      </c>
      <c r="B255" s="38" t="s">
        <v>1</v>
      </c>
      <c r="C255" s="38" t="s">
        <v>46</v>
      </c>
      <c r="D255" s="38" t="s">
        <v>89</v>
      </c>
      <c r="E255" s="38"/>
      <c r="F255" s="39" t="s">
        <v>519</v>
      </c>
      <c r="G255" s="40">
        <v>507</v>
      </c>
      <c r="H255" s="40">
        <v>245</v>
      </c>
      <c r="I255" s="40">
        <v>99</v>
      </c>
      <c r="J255" s="40">
        <v>163</v>
      </c>
      <c r="K255" s="40">
        <v>1420</v>
      </c>
      <c r="L255" s="40">
        <v>853</v>
      </c>
      <c r="M255" s="40">
        <v>231</v>
      </c>
      <c r="N255" s="40">
        <v>336</v>
      </c>
      <c r="O255" s="40">
        <v>1835</v>
      </c>
      <c r="P255" s="40">
        <v>1267</v>
      </c>
      <c r="Q255" s="40">
        <v>282</v>
      </c>
      <c r="R255" s="40">
        <v>286</v>
      </c>
      <c r="S255" s="41">
        <v>48.323471400000003</v>
      </c>
      <c r="T255" s="41">
        <v>19.5266272</v>
      </c>
      <c r="U255" s="41">
        <v>32.149901399999997</v>
      </c>
      <c r="V255" s="41">
        <v>60.070422499999999</v>
      </c>
      <c r="W255" s="41">
        <v>16.2676056</v>
      </c>
      <c r="X255" s="41">
        <v>23.6619718</v>
      </c>
      <c r="Y255" s="41">
        <v>69.046321500000005</v>
      </c>
      <c r="Z255" s="41">
        <v>15.3678474</v>
      </c>
      <c r="AA255" s="41">
        <v>15.5858311</v>
      </c>
    </row>
    <row r="256" spans="1:39" hidden="1" x14ac:dyDescent="0.3">
      <c r="A256" s="37">
        <v>252</v>
      </c>
      <c r="B256" s="38" t="s">
        <v>1</v>
      </c>
      <c r="C256" s="38" t="s">
        <v>46</v>
      </c>
      <c r="D256" s="38" t="s">
        <v>89</v>
      </c>
      <c r="E256" s="38"/>
      <c r="F256" s="39" t="s">
        <v>520</v>
      </c>
      <c r="G256" s="40">
        <v>3620</v>
      </c>
      <c r="H256" s="40">
        <v>1226</v>
      </c>
      <c r="I256" s="40">
        <v>620</v>
      </c>
      <c r="J256" s="40">
        <v>1774</v>
      </c>
      <c r="K256" s="40">
        <v>5435</v>
      </c>
      <c r="L256" s="40">
        <v>2851</v>
      </c>
      <c r="M256" s="40">
        <v>823</v>
      </c>
      <c r="N256" s="40">
        <v>1761</v>
      </c>
      <c r="O256" s="40">
        <v>7397</v>
      </c>
      <c r="P256" s="40">
        <v>4551</v>
      </c>
      <c r="Q256" s="40">
        <v>1029</v>
      </c>
      <c r="R256" s="40">
        <v>1817</v>
      </c>
      <c r="S256" s="41">
        <v>33.867403299999999</v>
      </c>
      <c r="T256" s="41">
        <v>17.1270718</v>
      </c>
      <c r="U256" s="41">
        <v>49.005524899999998</v>
      </c>
      <c r="V256" s="41">
        <v>52.456301699999997</v>
      </c>
      <c r="W256" s="41">
        <v>15.142594300000001</v>
      </c>
      <c r="X256" s="41">
        <v>32.401103999999997</v>
      </c>
      <c r="Y256" s="41">
        <v>61.524942500000002</v>
      </c>
      <c r="Z256" s="41">
        <v>13.911045</v>
      </c>
      <c r="AA256" s="41">
        <v>24.564012399999999</v>
      </c>
    </row>
    <row r="257" spans="1:39" hidden="1" x14ac:dyDescent="0.3">
      <c r="A257" s="42">
        <v>253</v>
      </c>
      <c r="B257" s="43" t="s">
        <v>521</v>
      </c>
      <c r="C257" s="50" t="s">
        <v>46</v>
      </c>
      <c r="D257" s="50" t="s">
        <v>89</v>
      </c>
      <c r="E257" s="50" t="s">
        <v>90</v>
      </c>
      <c r="F257" s="51" t="s">
        <v>90</v>
      </c>
      <c r="G257" s="45">
        <v>2689</v>
      </c>
      <c r="H257" s="45">
        <v>796</v>
      </c>
      <c r="I257" s="45">
        <v>465</v>
      </c>
      <c r="J257" s="45">
        <v>1428</v>
      </c>
      <c r="K257" s="45">
        <v>4625</v>
      </c>
      <c r="L257" s="45">
        <v>2248</v>
      </c>
      <c r="M257" s="45">
        <v>734</v>
      </c>
      <c r="N257" s="45">
        <v>1643</v>
      </c>
      <c r="O257" s="45">
        <v>6164</v>
      </c>
      <c r="P257" s="45">
        <v>3850</v>
      </c>
      <c r="Q257" s="45">
        <v>904</v>
      </c>
      <c r="R257" s="45">
        <v>1410</v>
      </c>
      <c r="S257" s="46">
        <v>29.602082599999999</v>
      </c>
      <c r="T257" s="46">
        <v>17.2926739</v>
      </c>
      <c r="U257" s="46">
        <v>53.105243600000001</v>
      </c>
      <c r="V257" s="46">
        <v>48.605405400000002</v>
      </c>
      <c r="W257" s="46">
        <v>15.8702703</v>
      </c>
      <c r="X257" s="46">
        <v>35.524324300000004</v>
      </c>
      <c r="Y257" s="46">
        <v>62.459441900000002</v>
      </c>
      <c r="Z257" s="46">
        <v>14.665801399999999</v>
      </c>
      <c r="AA257" s="46">
        <v>22.874756699999999</v>
      </c>
      <c r="AB257" s="26">
        <f>SUM(W257:X257)</f>
        <v>51.394594600000005</v>
      </c>
      <c r="AC257" s="26">
        <f>SUM(Z257:AA257)</f>
        <v>37.540558099999998</v>
      </c>
      <c r="AD257" s="57">
        <f>M257+N257</f>
        <v>2377</v>
      </c>
      <c r="AE257" s="57">
        <f>Q257+R257</f>
        <v>2314</v>
      </c>
      <c r="AF257" s="26">
        <f>W257</f>
        <v>15.8702703</v>
      </c>
      <c r="AG257" s="26">
        <f>Z257</f>
        <v>14.665801399999999</v>
      </c>
      <c r="AH257" s="26">
        <f>M257</f>
        <v>734</v>
      </c>
      <c r="AI257" s="26">
        <f>Q257</f>
        <v>904</v>
      </c>
      <c r="AJ257" s="26">
        <f>X257</f>
        <v>35.524324300000004</v>
      </c>
      <c r="AK257" s="26">
        <f>AA257</f>
        <v>22.874756699999999</v>
      </c>
      <c r="AL257" s="57">
        <f>N257</f>
        <v>1643</v>
      </c>
      <c r="AM257" s="57">
        <f>R257</f>
        <v>1410</v>
      </c>
    </row>
    <row r="258" spans="1:39" hidden="1" x14ac:dyDescent="0.3">
      <c r="A258" s="37">
        <v>254</v>
      </c>
      <c r="B258" s="38" t="s">
        <v>521</v>
      </c>
      <c r="C258" s="38" t="s">
        <v>46</v>
      </c>
      <c r="D258" s="38" t="s">
        <v>89</v>
      </c>
      <c r="E258" s="38" t="s">
        <v>90</v>
      </c>
      <c r="F258" s="47" t="s">
        <v>519</v>
      </c>
      <c r="G258" s="40">
        <v>507</v>
      </c>
      <c r="H258" s="40">
        <v>245</v>
      </c>
      <c r="I258" s="40">
        <v>99</v>
      </c>
      <c r="J258" s="40">
        <v>163</v>
      </c>
      <c r="K258" s="40">
        <v>1420</v>
      </c>
      <c r="L258" s="40">
        <v>853</v>
      </c>
      <c r="M258" s="40">
        <v>231</v>
      </c>
      <c r="N258" s="40">
        <v>336</v>
      </c>
      <c r="O258" s="40">
        <v>1835</v>
      </c>
      <c r="P258" s="40">
        <v>1267</v>
      </c>
      <c r="Q258" s="40">
        <v>282</v>
      </c>
      <c r="R258" s="40">
        <v>286</v>
      </c>
      <c r="S258" s="41">
        <v>48.323471400000003</v>
      </c>
      <c r="T258" s="41">
        <v>19.5266272</v>
      </c>
      <c r="U258" s="41">
        <v>32.149901399999997</v>
      </c>
      <c r="V258" s="41">
        <v>60.070422499999999</v>
      </c>
      <c r="W258" s="41">
        <v>16.2676056</v>
      </c>
      <c r="X258" s="41">
        <v>23.6619718</v>
      </c>
      <c r="Y258" s="41">
        <v>69.046321500000005</v>
      </c>
      <c r="Z258" s="41">
        <v>15.3678474</v>
      </c>
      <c r="AA258" s="41">
        <v>15.5858311</v>
      </c>
    </row>
    <row r="259" spans="1:39" hidden="1" x14ac:dyDescent="0.3">
      <c r="A259" s="37">
        <v>255</v>
      </c>
      <c r="B259" s="38" t="s">
        <v>521</v>
      </c>
      <c r="C259" s="38" t="s">
        <v>46</v>
      </c>
      <c r="D259" s="38" t="s">
        <v>89</v>
      </c>
      <c r="E259" s="38" t="s">
        <v>90</v>
      </c>
      <c r="F259" s="47" t="s">
        <v>520</v>
      </c>
      <c r="G259" s="40">
        <v>2182</v>
      </c>
      <c r="H259" s="40">
        <v>551</v>
      </c>
      <c r="I259" s="40">
        <v>366</v>
      </c>
      <c r="J259" s="40">
        <v>1265</v>
      </c>
      <c r="K259" s="40">
        <v>3205</v>
      </c>
      <c r="L259" s="40">
        <v>1395</v>
      </c>
      <c r="M259" s="40">
        <v>503</v>
      </c>
      <c r="N259" s="40">
        <v>1307</v>
      </c>
      <c r="O259" s="40">
        <v>4329</v>
      </c>
      <c r="P259" s="40">
        <v>2583</v>
      </c>
      <c r="Q259" s="40">
        <v>622</v>
      </c>
      <c r="R259" s="40">
        <v>1124</v>
      </c>
      <c r="S259" s="41">
        <v>25.252062299999999</v>
      </c>
      <c r="T259" s="41">
        <v>16.773602199999999</v>
      </c>
      <c r="U259" s="41">
        <v>57.974335500000002</v>
      </c>
      <c r="V259" s="41">
        <v>43.525740999999996</v>
      </c>
      <c r="W259" s="41">
        <v>15.6942278</v>
      </c>
      <c r="X259" s="41">
        <v>40.780031200000003</v>
      </c>
      <c r="Y259" s="41">
        <v>59.667359699999999</v>
      </c>
      <c r="Z259" s="41">
        <v>14.368214399999999</v>
      </c>
      <c r="AA259" s="41">
        <v>25.964426</v>
      </c>
    </row>
    <row r="260" spans="1:39" hidden="1" x14ac:dyDescent="0.3">
      <c r="A260" s="42">
        <v>256</v>
      </c>
      <c r="B260" s="43" t="s">
        <v>521</v>
      </c>
      <c r="C260" s="50" t="s">
        <v>46</v>
      </c>
      <c r="D260" s="50" t="s">
        <v>89</v>
      </c>
      <c r="E260" s="50" t="s">
        <v>91</v>
      </c>
      <c r="F260" s="51" t="s">
        <v>91</v>
      </c>
      <c r="G260" s="45">
        <v>1438</v>
      </c>
      <c r="H260" s="45">
        <v>675</v>
      </c>
      <c r="I260" s="45">
        <v>254</v>
      </c>
      <c r="J260" s="45">
        <v>509</v>
      </c>
      <c r="K260" s="45">
        <v>2230</v>
      </c>
      <c r="L260" s="45">
        <v>1456</v>
      </c>
      <c r="M260" s="45">
        <v>320</v>
      </c>
      <c r="N260" s="45">
        <v>454</v>
      </c>
      <c r="O260" s="45">
        <v>3068</v>
      </c>
      <c r="P260" s="45">
        <v>1968</v>
      </c>
      <c r="Q260" s="45">
        <v>407</v>
      </c>
      <c r="R260" s="45">
        <v>693</v>
      </c>
      <c r="S260" s="46">
        <v>46.940194699999999</v>
      </c>
      <c r="T260" s="46">
        <v>17.663421400000001</v>
      </c>
      <c r="U260" s="46">
        <v>35.396383899999996</v>
      </c>
      <c r="V260" s="46">
        <v>65.291479800000005</v>
      </c>
      <c r="W260" s="46">
        <v>14.3497758</v>
      </c>
      <c r="X260" s="46">
        <v>20.358744399999999</v>
      </c>
      <c r="Y260" s="46">
        <v>64.146023499999998</v>
      </c>
      <c r="Z260" s="46">
        <v>13.2659713</v>
      </c>
      <c r="AA260" s="46">
        <v>22.588005200000001</v>
      </c>
      <c r="AB260" s="26">
        <f>SUM(W260:X260)</f>
        <v>34.708520199999995</v>
      </c>
      <c r="AC260" s="26">
        <f>SUM(Z260:AA260)</f>
        <v>35.853976500000002</v>
      </c>
      <c r="AD260" s="57">
        <f>M260+N260</f>
        <v>774</v>
      </c>
      <c r="AE260" s="57">
        <f>Q260+R260</f>
        <v>1100</v>
      </c>
      <c r="AF260" s="26">
        <f>W260</f>
        <v>14.3497758</v>
      </c>
      <c r="AG260" s="26">
        <f>Z260</f>
        <v>13.2659713</v>
      </c>
      <c r="AH260" s="26">
        <f>M260</f>
        <v>320</v>
      </c>
      <c r="AI260" s="26">
        <f>Q260</f>
        <v>407</v>
      </c>
      <c r="AJ260" s="26">
        <f>X260</f>
        <v>20.358744399999999</v>
      </c>
      <c r="AK260" s="26">
        <f>AA260</f>
        <v>22.588005200000001</v>
      </c>
      <c r="AL260" s="57">
        <f>N260</f>
        <v>454</v>
      </c>
      <c r="AM260" s="57">
        <f>R260</f>
        <v>693</v>
      </c>
    </row>
    <row r="261" spans="1:39" hidden="1" x14ac:dyDescent="0.3">
      <c r="A261" s="37">
        <v>257</v>
      </c>
      <c r="B261" s="38" t="s">
        <v>521</v>
      </c>
      <c r="C261" s="38" t="s">
        <v>46</v>
      </c>
      <c r="D261" s="38" t="s">
        <v>89</v>
      </c>
      <c r="E261" s="38" t="s">
        <v>91</v>
      </c>
      <c r="F261" s="47" t="s">
        <v>519</v>
      </c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1"/>
      <c r="T261" s="41"/>
      <c r="U261" s="41"/>
      <c r="V261" s="41"/>
      <c r="W261" s="41"/>
      <c r="X261" s="41"/>
      <c r="Y261" s="41"/>
      <c r="Z261" s="41"/>
      <c r="AA261" s="41"/>
    </row>
    <row r="262" spans="1:39" hidden="1" x14ac:dyDescent="0.3">
      <c r="A262" s="37">
        <v>258</v>
      </c>
      <c r="B262" s="38" t="s">
        <v>521</v>
      </c>
      <c r="C262" s="38" t="s">
        <v>46</v>
      </c>
      <c r="D262" s="38" t="s">
        <v>89</v>
      </c>
      <c r="E262" s="38" t="s">
        <v>91</v>
      </c>
      <c r="F262" s="47" t="s">
        <v>520</v>
      </c>
      <c r="G262" s="40">
        <v>1438</v>
      </c>
      <c r="H262" s="40">
        <v>675</v>
      </c>
      <c r="I262" s="40">
        <v>254</v>
      </c>
      <c r="J262" s="40">
        <v>509</v>
      </c>
      <c r="K262" s="40">
        <v>2230</v>
      </c>
      <c r="L262" s="40">
        <v>1456</v>
      </c>
      <c r="M262" s="40">
        <v>320</v>
      </c>
      <c r="N262" s="40">
        <v>454</v>
      </c>
      <c r="O262" s="40">
        <v>3068</v>
      </c>
      <c r="P262" s="40">
        <v>1968</v>
      </c>
      <c r="Q262" s="40">
        <v>407</v>
      </c>
      <c r="R262" s="40">
        <v>693</v>
      </c>
      <c r="S262" s="41">
        <v>46.940194699999999</v>
      </c>
      <c r="T262" s="41">
        <v>17.663421400000001</v>
      </c>
      <c r="U262" s="41">
        <v>35.396383899999996</v>
      </c>
      <c r="V262" s="41">
        <v>65.291479800000005</v>
      </c>
      <c r="W262" s="41">
        <v>14.3497758</v>
      </c>
      <c r="X262" s="41">
        <v>20.358744399999999</v>
      </c>
      <c r="Y262" s="41">
        <v>64.146023499999998</v>
      </c>
      <c r="Z262" s="41">
        <v>13.2659713</v>
      </c>
      <c r="AA262" s="41">
        <v>22.588005200000001</v>
      </c>
    </row>
    <row r="263" spans="1:39" hidden="1" x14ac:dyDescent="0.3">
      <c r="A263" s="32">
        <v>259</v>
      </c>
      <c r="B263" s="33" t="s">
        <v>1</v>
      </c>
      <c r="C263" s="49" t="s">
        <v>46</v>
      </c>
      <c r="D263" s="49" t="s">
        <v>92</v>
      </c>
      <c r="E263" s="49"/>
      <c r="F263" s="34" t="s">
        <v>92</v>
      </c>
      <c r="G263" s="35">
        <v>27626</v>
      </c>
      <c r="H263" s="35">
        <v>15769</v>
      </c>
      <c r="I263" s="35">
        <v>4867</v>
      </c>
      <c r="J263" s="35">
        <v>6990</v>
      </c>
      <c r="K263" s="35">
        <v>44000</v>
      </c>
      <c r="L263" s="35">
        <v>29724</v>
      </c>
      <c r="M263" s="35">
        <v>6678</v>
      </c>
      <c r="N263" s="35">
        <v>7598</v>
      </c>
      <c r="O263" s="35">
        <v>64052</v>
      </c>
      <c r="P263" s="35">
        <v>46639</v>
      </c>
      <c r="Q263" s="35">
        <v>7526</v>
      </c>
      <c r="R263" s="35">
        <v>9887</v>
      </c>
      <c r="S263" s="36">
        <v>57.080286700000002</v>
      </c>
      <c r="T263" s="36">
        <v>17.617461800000001</v>
      </c>
      <c r="U263" s="36">
        <v>25.302251500000001</v>
      </c>
      <c r="V263" s="36">
        <v>67.554545500000003</v>
      </c>
      <c r="W263" s="36">
        <v>15.1772727</v>
      </c>
      <c r="X263" s="36">
        <v>17.268181800000001</v>
      </c>
      <c r="Y263" s="36">
        <v>72.814275899999998</v>
      </c>
      <c r="Z263" s="36">
        <v>11.749828300000001</v>
      </c>
      <c r="AA263" s="36">
        <v>15.435895800000001</v>
      </c>
    </row>
    <row r="264" spans="1:39" hidden="1" x14ac:dyDescent="0.3">
      <c r="A264" s="37">
        <v>260</v>
      </c>
      <c r="B264" s="38" t="s">
        <v>1</v>
      </c>
      <c r="C264" s="38" t="s">
        <v>46</v>
      </c>
      <c r="D264" s="38" t="s">
        <v>92</v>
      </c>
      <c r="E264" s="38"/>
      <c r="F264" s="39" t="s">
        <v>519</v>
      </c>
      <c r="G264" s="40">
        <v>7813</v>
      </c>
      <c r="H264" s="40">
        <v>4158</v>
      </c>
      <c r="I264" s="40">
        <v>1558</v>
      </c>
      <c r="J264" s="40">
        <v>2097</v>
      </c>
      <c r="K264" s="40">
        <v>21261</v>
      </c>
      <c r="L264" s="40">
        <v>14049</v>
      </c>
      <c r="M264" s="40">
        <v>3507</v>
      </c>
      <c r="N264" s="40">
        <v>3705</v>
      </c>
      <c r="O264" s="40">
        <v>34456</v>
      </c>
      <c r="P264" s="40">
        <v>25912</v>
      </c>
      <c r="Q264" s="40">
        <v>3938</v>
      </c>
      <c r="R264" s="40">
        <v>4606</v>
      </c>
      <c r="S264" s="41">
        <v>53.218994000000002</v>
      </c>
      <c r="T264" s="41">
        <v>19.9411238</v>
      </c>
      <c r="U264" s="41">
        <v>26.839882200000002</v>
      </c>
      <c r="V264" s="41">
        <v>66.078735699999996</v>
      </c>
      <c r="W264" s="41">
        <v>16.4949908</v>
      </c>
      <c r="X264" s="41">
        <v>17.426273500000001</v>
      </c>
      <c r="Y264" s="41">
        <v>75.203157700000006</v>
      </c>
      <c r="Z264" s="41">
        <v>11.429069</v>
      </c>
      <c r="AA264" s="41">
        <v>13.367773400000001</v>
      </c>
    </row>
    <row r="265" spans="1:39" hidden="1" x14ac:dyDescent="0.3">
      <c r="A265" s="37">
        <v>261</v>
      </c>
      <c r="B265" s="38" t="s">
        <v>1</v>
      </c>
      <c r="C265" s="38" t="s">
        <v>46</v>
      </c>
      <c r="D265" s="38" t="s">
        <v>92</v>
      </c>
      <c r="E265" s="38"/>
      <c r="F265" s="39" t="s">
        <v>520</v>
      </c>
      <c r="G265" s="40">
        <v>19813</v>
      </c>
      <c r="H265" s="40">
        <v>11611</v>
      </c>
      <c r="I265" s="40">
        <v>3309</v>
      </c>
      <c r="J265" s="40">
        <v>4893</v>
      </c>
      <c r="K265" s="40">
        <v>22739</v>
      </c>
      <c r="L265" s="40">
        <v>15675</v>
      </c>
      <c r="M265" s="40">
        <v>3171</v>
      </c>
      <c r="N265" s="40">
        <v>3893</v>
      </c>
      <c r="O265" s="40">
        <v>29596</v>
      </c>
      <c r="P265" s="40">
        <v>20727</v>
      </c>
      <c r="Q265" s="40">
        <v>3588</v>
      </c>
      <c r="R265" s="40">
        <v>5281</v>
      </c>
      <c r="S265" s="41">
        <v>58.602937500000003</v>
      </c>
      <c r="T265" s="41">
        <v>16.701155799999999</v>
      </c>
      <c r="U265" s="41">
        <v>24.695906699999998</v>
      </c>
      <c r="V265" s="41">
        <v>68.934429800000004</v>
      </c>
      <c r="W265" s="41">
        <v>13.9452043</v>
      </c>
      <c r="X265" s="41">
        <v>17.120365899999999</v>
      </c>
      <c r="Y265" s="41">
        <v>70.033112599999995</v>
      </c>
      <c r="Z265" s="41">
        <v>12.123259900000001</v>
      </c>
      <c r="AA265" s="41">
        <v>17.8436275</v>
      </c>
    </row>
    <row r="266" spans="1:39" hidden="1" x14ac:dyDescent="0.3">
      <c r="A266" s="42">
        <v>262</v>
      </c>
      <c r="B266" s="43" t="s">
        <v>521</v>
      </c>
      <c r="C266" s="50" t="s">
        <v>46</v>
      </c>
      <c r="D266" s="50" t="s">
        <v>92</v>
      </c>
      <c r="E266" s="50" t="s">
        <v>93</v>
      </c>
      <c r="F266" s="51" t="s">
        <v>93</v>
      </c>
      <c r="G266" s="45">
        <v>12793</v>
      </c>
      <c r="H266" s="45">
        <v>7223</v>
      </c>
      <c r="I266" s="45">
        <v>2270</v>
      </c>
      <c r="J266" s="45">
        <v>3300</v>
      </c>
      <c r="K266" s="45">
        <v>26248</v>
      </c>
      <c r="L266" s="45">
        <v>17925</v>
      </c>
      <c r="M266" s="45">
        <v>4048</v>
      </c>
      <c r="N266" s="45">
        <v>4275</v>
      </c>
      <c r="O266" s="45">
        <v>41941</v>
      </c>
      <c r="P266" s="45">
        <v>31510</v>
      </c>
      <c r="Q266" s="45">
        <v>4658</v>
      </c>
      <c r="R266" s="45">
        <v>5773</v>
      </c>
      <c r="S266" s="46">
        <v>56.460564400000003</v>
      </c>
      <c r="T266" s="46">
        <v>17.7440788</v>
      </c>
      <c r="U266" s="46">
        <v>25.7953568</v>
      </c>
      <c r="V266" s="46">
        <v>68.290917399999998</v>
      </c>
      <c r="W266" s="46">
        <v>15.422127400000001</v>
      </c>
      <c r="X266" s="46">
        <v>16.286955200000001</v>
      </c>
      <c r="Y266" s="46">
        <v>75.129348399999998</v>
      </c>
      <c r="Z266" s="46">
        <v>11.106077600000001</v>
      </c>
      <c r="AA266" s="46">
        <v>13.764574</v>
      </c>
      <c r="AB266" s="26">
        <f>SUM(W266:X266)</f>
        <v>31.709082600000002</v>
      </c>
      <c r="AC266" s="26">
        <f>SUM(Z266:AA266)</f>
        <v>24.870651600000002</v>
      </c>
      <c r="AD266" s="57">
        <f>M266+N266</f>
        <v>8323</v>
      </c>
      <c r="AE266" s="57">
        <f>Q266+R266</f>
        <v>10431</v>
      </c>
      <c r="AF266" s="26">
        <f>W266</f>
        <v>15.422127400000001</v>
      </c>
      <c r="AG266" s="26">
        <f>Z266</f>
        <v>11.106077600000001</v>
      </c>
      <c r="AH266" s="26">
        <f>M266</f>
        <v>4048</v>
      </c>
      <c r="AI266" s="26">
        <f>Q266</f>
        <v>4658</v>
      </c>
      <c r="AJ266" s="26">
        <f>X266</f>
        <v>16.286955200000001</v>
      </c>
      <c r="AK266" s="26">
        <f>AA266</f>
        <v>13.764574</v>
      </c>
      <c r="AL266" s="57">
        <f>N266</f>
        <v>4275</v>
      </c>
      <c r="AM266" s="57">
        <f>R266</f>
        <v>5773</v>
      </c>
    </row>
    <row r="267" spans="1:39" hidden="1" x14ac:dyDescent="0.3">
      <c r="A267" s="37">
        <v>263</v>
      </c>
      <c r="B267" s="38" t="s">
        <v>521</v>
      </c>
      <c r="C267" s="38" t="s">
        <v>46</v>
      </c>
      <c r="D267" s="38" t="s">
        <v>92</v>
      </c>
      <c r="E267" s="38" t="s">
        <v>93</v>
      </c>
      <c r="F267" s="47" t="s">
        <v>519</v>
      </c>
      <c r="G267" s="40">
        <v>7302</v>
      </c>
      <c r="H267" s="40">
        <v>3891</v>
      </c>
      <c r="I267" s="40">
        <v>1437</v>
      </c>
      <c r="J267" s="40">
        <v>1974</v>
      </c>
      <c r="K267" s="40">
        <v>19740</v>
      </c>
      <c r="L267" s="40">
        <v>13171</v>
      </c>
      <c r="M267" s="40">
        <v>3213</v>
      </c>
      <c r="N267" s="40">
        <v>3356</v>
      </c>
      <c r="O267" s="40">
        <v>32953</v>
      </c>
      <c r="P267" s="40">
        <v>24856</v>
      </c>
      <c r="Q267" s="40">
        <v>3717</v>
      </c>
      <c r="R267" s="40">
        <v>4380</v>
      </c>
      <c r="S267" s="41">
        <v>53.286770699999998</v>
      </c>
      <c r="T267" s="41">
        <v>19.679539900000002</v>
      </c>
      <c r="U267" s="41">
        <v>27.0336894</v>
      </c>
      <c r="V267" s="41">
        <v>66.722391099999996</v>
      </c>
      <c r="W267" s="41">
        <v>16.276595700000001</v>
      </c>
      <c r="X267" s="41">
        <v>17.001013199999999</v>
      </c>
      <c r="Y267" s="41">
        <v>75.428640799999997</v>
      </c>
      <c r="Z267" s="41">
        <v>11.2797014</v>
      </c>
      <c r="AA267" s="41">
        <v>13.291657799999999</v>
      </c>
    </row>
    <row r="268" spans="1:39" hidden="1" x14ac:dyDescent="0.3">
      <c r="A268" s="37">
        <v>264</v>
      </c>
      <c r="B268" s="38" t="s">
        <v>521</v>
      </c>
      <c r="C268" s="38" t="s">
        <v>46</v>
      </c>
      <c r="D268" s="38" t="s">
        <v>92</v>
      </c>
      <c r="E268" s="38" t="s">
        <v>93</v>
      </c>
      <c r="F268" s="47" t="s">
        <v>520</v>
      </c>
      <c r="G268" s="40">
        <v>5491</v>
      </c>
      <c r="H268" s="40">
        <v>3332</v>
      </c>
      <c r="I268" s="40">
        <v>833</v>
      </c>
      <c r="J268" s="40">
        <v>1326</v>
      </c>
      <c r="K268" s="40">
        <v>6508</v>
      </c>
      <c r="L268" s="40">
        <v>4754</v>
      </c>
      <c r="M268" s="40">
        <v>835</v>
      </c>
      <c r="N268" s="40">
        <v>919</v>
      </c>
      <c r="O268" s="40">
        <v>8988</v>
      </c>
      <c r="P268" s="40">
        <v>6654</v>
      </c>
      <c r="Q268" s="40">
        <v>941</v>
      </c>
      <c r="R268" s="40">
        <v>1393</v>
      </c>
      <c r="S268" s="41">
        <v>60.681114600000001</v>
      </c>
      <c r="T268" s="41">
        <v>15.1702786</v>
      </c>
      <c r="U268" s="41">
        <v>24.1486068</v>
      </c>
      <c r="V268" s="41">
        <v>73.0485556</v>
      </c>
      <c r="W268" s="41">
        <v>12.830362600000001</v>
      </c>
      <c r="X268" s="41">
        <v>14.1210817</v>
      </c>
      <c r="Y268" s="41">
        <v>74.032042700000005</v>
      </c>
      <c r="Z268" s="41">
        <v>10.4695149</v>
      </c>
      <c r="AA268" s="41">
        <v>15.4984424</v>
      </c>
    </row>
    <row r="269" spans="1:39" hidden="1" x14ac:dyDescent="0.3">
      <c r="A269" s="42">
        <v>265</v>
      </c>
      <c r="B269" s="43" t="s">
        <v>521</v>
      </c>
      <c r="C269" s="50" t="s">
        <v>46</v>
      </c>
      <c r="D269" s="50" t="s">
        <v>92</v>
      </c>
      <c r="E269" s="50" t="s">
        <v>94</v>
      </c>
      <c r="F269" s="51" t="s">
        <v>94</v>
      </c>
      <c r="G269" s="45">
        <v>2272</v>
      </c>
      <c r="H269" s="45">
        <v>1407</v>
      </c>
      <c r="I269" s="45">
        <v>354</v>
      </c>
      <c r="J269" s="45">
        <v>511</v>
      </c>
      <c r="K269" s="45">
        <v>2731</v>
      </c>
      <c r="L269" s="45">
        <v>2090</v>
      </c>
      <c r="M269" s="45">
        <v>342</v>
      </c>
      <c r="N269" s="45">
        <v>299</v>
      </c>
      <c r="O269" s="45">
        <v>3220</v>
      </c>
      <c r="P269" s="45">
        <v>2419</v>
      </c>
      <c r="Q269" s="45">
        <v>370</v>
      </c>
      <c r="R269" s="45">
        <v>431</v>
      </c>
      <c r="S269" s="46">
        <v>61.927816900000003</v>
      </c>
      <c r="T269" s="46">
        <v>15.5809859</v>
      </c>
      <c r="U269" s="46">
        <v>22.491197199999998</v>
      </c>
      <c r="V269" s="46">
        <v>76.528744000000003</v>
      </c>
      <c r="W269" s="46">
        <v>12.5228854</v>
      </c>
      <c r="X269" s="46">
        <v>10.948370600000001</v>
      </c>
      <c r="Y269" s="46">
        <v>75.124223599999993</v>
      </c>
      <c r="Z269" s="46">
        <v>11.490683199999999</v>
      </c>
      <c r="AA269" s="46">
        <v>13.3850932</v>
      </c>
      <c r="AB269" s="26">
        <f>SUM(W269:X269)</f>
        <v>23.471256</v>
      </c>
      <c r="AC269" s="26">
        <f>SUM(Z269:AA269)</f>
        <v>24.875776399999999</v>
      </c>
      <c r="AD269" s="57">
        <f>M269+N269</f>
        <v>641</v>
      </c>
      <c r="AE269" s="57">
        <f>Q269+R269</f>
        <v>801</v>
      </c>
      <c r="AF269" s="26">
        <f>W269</f>
        <v>12.5228854</v>
      </c>
      <c r="AG269" s="26">
        <f>Z269</f>
        <v>11.490683199999999</v>
      </c>
      <c r="AH269" s="26">
        <f>M269</f>
        <v>342</v>
      </c>
      <c r="AI269" s="26">
        <f>Q269</f>
        <v>370</v>
      </c>
      <c r="AJ269" s="26">
        <f>X269</f>
        <v>10.948370600000001</v>
      </c>
      <c r="AK269" s="26">
        <f>AA269</f>
        <v>13.3850932</v>
      </c>
      <c r="AL269" s="57">
        <f>N269</f>
        <v>299</v>
      </c>
      <c r="AM269" s="57">
        <f>R269</f>
        <v>431</v>
      </c>
    </row>
    <row r="270" spans="1:39" hidden="1" x14ac:dyDescent="0.3">
      <c r="A270" s="37">
        <v>266</v>
      </c>
      <c r="B270" s="38" t="s">
        <v>521</v>
      </c>
      <c r="C270" s="38" t="s">
        <v>46</v>
      </c>
      <c r="D270" s="38" t="s">
        <v>92</v>
      </c>
      <c r="E270" s="38" t="s">
        <v>94</v>
      </c>
      <c r="F270" s="47" t="s">
        <v>519</v>
      </c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1"/>
      <c r="T270" s="41"/>
      <c r="U270" s="41"/>
      <c r="V270" s="41"/>
      <c r="W270" s="41"/>
      <c r="X270" s="41"/>
      <c r="Y270" s="41"/>
      <c r="Z270" s="41"/>
      <c r="AA270" s="41"/>
    </row>
    <row r="271" spans="1:39" hidden="1" x14ac:dyDescent="0.3">
      <c r="A271" s="37">
        <v>267</v>
      </c>
      <c r="B271" s="38" t="s">
        <v>521</v>
      </c>
      <c r="C271" s="38" t="s">
        <v>46</v>
      </c>
      <c r="D271" s="38" t="s">
        <v>92</v>
      </c>
      <c r="E271" s="38" t="s">
        <v>94</v>
      </c>
      <c r="F271" s="47" t="s">
        <v>520</v>
      </c>
      <c r="G271" s="40">
        <v>2272</v>
      </c>
      <c r="H271" s="40">
        <v>1407</v>
      </c>
      <c r="I271" s="40">
        <v>354</v>
      </c>
      <c r="J271" s="40">
        <v>511</v>
      </c>
      <c r="K271" s="40">
        <v>2731</v>
      </c>
      <c r="L271" s="40">
        <v>2090</v>
      </c>
      <c r="M271" s="40">
        <v>342</v>
      </c>
      <c r="N271" s="40">
        <v>299</v>
      </c>
      <c r="O271" s="40">
        <v>3220</v>
      </c>
      <c r="P271" s="40">
        <v>2419</v>
      </c>
      <c r="Q271" s="40">
        <v>370</v>
      </c>
      <c r="R271" s="40">
        <v>431</v>
      </c>
      <c r="S271" s="41">
        <v>61.927816900000003</v>
      </c>
      <c r="T271" s="41">
        <v>15.5809859</v>
      </c>
      <c r="U271" s="41">
        <v>22.491197199999998</v>
      </c>
      <c r="V271" s="41">
        <v>76.528744000000003</v>
      </c>
      <c r="W271" s="41">
        <v>12.5228854</v>
      </c>
      <c r="X271" s="41">
        <v>10.948370600000001</v>
      </c>
      <c r="Y271" s="41">
        <v>75.124223599999993</v>
      </c>
      <c r="Z271" s="41">
        <v>11.490683199999999</v>
      </c>
      <c r="AA271" s="41">
        <v>13.3850932</v>
      </c>
    </row>
    <row r="272" spans="1:39" hidden="1" x14ac:dyDescent="0.3">
      <c r="A272" s="42">
        <v>268</v>
      </c>
      <c r="B272" s="43" t="s">
        <v>521</v>
      </c>
      <c r="C272" s="50" t="s">
        <v>46</v>
      </c>
      <c r="D272" s="50" t="s">
        <v>92</v>
      </c>
      <c r="E272" s="50" t="s">
        <v>96</v>
      </c>
      <c r="F272" s="51" t="s">
        <v>96</v>
      </c>
      <c r="G272" s="45">
        <v>2950</v>
      </c>
      <c r="H272" s="45">
        <v>1427</v>
      </c>
      <c r="I272" s="45">
        <v>541</v>
      </c>
      <c r="J272" s="45">
        <v>982</v>
      </c>
      <c r="K272" s="45">
        <v>3594</v>
      </c>
      <c r="L272" s="45">
        <v>2263</v>
      </c>
      <c r="M272" s="45">
        <v>558</v>
      </c>
      <c r="N272" s="45">
        <v>773</v>
      </c>
      <c r="O272" s="45">
        <v>4653</v>
      </c>
      <c r="P272" s="45">
        <v>3122</v>
      </c>
      <c r="Q272" s="45">
        <v>623</v>
      </c>
      <c r="R272" s="45">
        <v>908</v>
      </c>
      <c r="S272" s="46">
        <v>48.372881399999997</v>
      </c>
      <c r="T272" s="46">
        <v>18.3389831</v>
      </c>
      <c r="U272" s="46">
        <v>33.288135599999997</v>
      </c>
      <c r="V272" s="46">
        <v>62.966054499999998</v>
      </c>
      <c r="W272" s="46">
        <v>15.525876500000001</v>
      </c>
      <c r="X272" s="46">
        <v>21.508068999999999</v>
      </c>
      <c r="Y272" s="46">
        <v>67.096496900000005</v>
      </c>
      <c r="Z272" s="46">
        <v>13.389211299999999</v>
      </c>
      <c r="AA272" s="46">
        <v>19.5142919</v>
      </c>
      <c r="AB272" s="26">
        <f>SUM(W272:X272)</f>
        <v>37.033945500000002</v>
      </c>
      <c r="AC272" s="26">
        <f>SUM(Z272:AA272)</f>
        <v>32.903503200000003</v>
      </c>
      <c r="AD272" s="57">
        <f>M272+N272</f>
        <v>1331</v>
      </c>
      <c r="AE272" s="57">
        <f>Q272+R272</f>
        <v>1531</v>
      </c>
      <c r="AF272" s="26">
        <f>W272</f>
        <v>15.525876500000001</v>
      </c>
      <c r="AG272" s="26">
        <f>Z272</f>
        <v>13.389211299999999</v>
      </c>
      <c r="AH272" s="26">
        <f>M272</f>
        <v>558</v>
      </c>
      <c r="AI272" s="26">
        <f>Q272</f>
        <v>623</v>
      </c>
      <c r="AJ272" s="26">
        <f>X272</f>
        <v>21.508068999999999</v>
      </c>
      <c r="AK272" s="26">
        <f>AA272</f>
        <v>19.5142919</v>
      </c>
      <c r="AL272" s="57">
        <f>N272</f>
        <v>773</v>
      </c>
      <c r="AM272" s="57">
        <f>R272</f>
        <v>908</v>
      </c>
    </row>
    <row r="273" spans="1:39" hidden="1" x14ac:dyDescent="0.3">
      <c r="A273" s="37">
        <v>269</v>
      </c>
      <c r="B273" s="38" t="s">
        <v>521</v>
      </c>
      <c r="C273" s="38" t="s">
        <v>46</v>
      </c>
      <c r="D273" s="38" t="s">
        <v>92</v>
      </c>
      <c r="E273" s="38" t="s">
        <v>96</v>
      </c>
      <c r="F273" s="47" t="s">
        <v>519</v>
      </c>
      <c r="G273" s="40"/>
      <c r="H273" s="40"/>
      <c r="I273" s="40"/>
      <c r="J273" s="40"/>
      <c r="K273" s="40">
        <v>440</v>
      </c>
      <c r="L273" s="40">
        <v>175</v>
      </c>
      <c r="M273" s="40">
        <v>109</v>
      </c>
      <c r="N273" s="40">
        <v>156</v>
      </c>
      <c r="O273" s="40"/>
      <c r="P273" s="40"/>
      <c r="Q273" s="40"/>
      <c r="R273" s="40"/>
      <c r="S273" s="41"/>
      <c r="T273" s="41"/>
      <c r="U273" s="41"/>
      <c r="V273" s="41">
        <v>39.7727273</v>
      </c>
      <c r="W273" s="41">
        <v>24.7727273</v>
      </c>
      <c r="X273" s="41">
        <v>35.454545500000002</v>
      </c>
      <c r="Y273" s="41"/>
      <c r="Z273" s="41"/>
      <c r="AA273" s="41"/>
    </row>
    <row r="274" spans="1:39" hidden="1" x14ac:dyDescent="0.3">
      <c r="A274" s="37">
        <v>270</v>
      </c>
      <c r="B274" s="38" t="s">
        <v>521</v>
      </c>
      <c r="C274" s="38" t="s">
        <v>46</v>
      </c>
      <c r="D274" s="38" t="s">
        <v>92</v>
      </c>
      <c r="E274" s="38" t="s">
        <v>96</v>
      </c>
      <c r="F274" s="47" t="s">
        <v>520</v>
      </c>
      <c r="G274" s="40">
        <v>2950</v>
      </c>
      <c r="H274" s="40">
        <v>1427</v>
      </c>
      <c r="I274" s="40">
        <v>541</v>
      </c>
      <c r="J274" s="40">
        <v>982</v>
      </c>
      <c r="K274" s="40">
        <v>3154</v>
      </c>
      <c r="L274" s="40">
        <v>2088</v>
      </c>
      <c r="M274" s="40">
        <v>449</v>
      </c>
      <c r="N274" s="40">
        <v>617</v>
      </c>
      <c r="O274" s="40">
        <v>4653</v>
      </c>
      <c r="P274" s="40">
        <v>3122</v>
      </c>
      <c r="Q274" s="40">
        <v>623</v>
      </c>
      <c r="R274" s="40">
        <v>908</v>
      </c>
      <c r="S274" s="41">
        <v>48.372881399999997</v>
      </c>
      <c r="T274" s="41">
        <v>18.3389831</v>
      </c>
      <c r="U274" s="41">
        <v>33.288135599999997</v>
      </c>
      <c r="V274" s="41">
        <v>66.201648700000007</v>
      </c>
      <c r="W274" s="41">
        <v>14.235890899999999</v>
      </c>
      <c r="X274" s="41">
        <v>19.562460399999999</v>
      </c>
      <c r="Y274" s="41">
        <v>67.096496900000005</v>
      </c>
      <c r="Z274" s="41">
        <v>13.389211299999999</v>
      </c>
      <c r="AA274" s="41">
        <v>19.5142919</v>
      </c>
    </row>
    <row r="275" spans="1:39" hidden="1" x14ac:dyDescent="0.3">
      <c r="A275" s="42">
        <v>271</v>
      </c>
      <c r="B275" s="43" t="s">
        <v>521</v>
      </c>
      <c r="C275" s="50" t="s">
        <v>46</v>
      </c>
      <c r="D275" s="50" t="s">
        <v>92</v>
      </c>
      <c r="E275" s="50" t="s">
        <v>97</v>
      </c>
      <c r="F275" s="51" t="s">
        <v>97</v>
      </c>
      <c r="G275" s="45">
        <v>1444</v>
      </c>
      <c r="H275" s="45">
        <v>886</v>
      </c>
      <c r="I275" s="45">
        <v>260</v>
      </c>
      <c r="J275" s="45">
        <v>298</v>
      </c>
      <c r="K275" s="45">
        <v>2250</v>
      </c>
      <c r="L275" s="45">
        <v>1613</v>
      </c>
      <c r="M275" s="45">
        <v>315</v>
      </c>
      <c r="N275" s="45">
        <v>322</v>
      </c>
      <c r="O275" s="45">
        <v>2675</v>
      </c>
      <c r="P275" s="45">
        <v>1949</v>
      </c>
      <c r="Q275" s="45">
        <v>345</v>
      </c>
      <c r="R275" s="45">
        <v>381</v>
      </c>
      <c r="S275" s="46">
        <v>61.357340700000002</v>
      </c>
      <c r="T275" s="46">
        <v>18.005540199999999</v>
      </c>
      <c r="U275" s="46">
        <v>20.6371191</v>
      </c>
      <c r="V275" s="46">
        <v>71.688888899999995</v>
      </c>
      <c r="W275" s="46">
        <v>14</v>
      </c>
      <c r="X275" s="46">
        <v>14.3111111</v>
      </c>
      <c r="Y275" s="46">
        <v>72.859813099999997</v>
      </c>
      <c r="Z275" s="46">
        <v>12.897196299999999</v>
      </c>
      <c r="AA275" s="46">
        <v>14.2429907</v>
      </c>
      <c r="AB275" s="26">
        <f>SUM(W275:X275)</f>
        <v>28.311111099999998</v>
      </c>
      <c r="AC275" s="26">
        <f>SUM(Z275:AA275)</f>
        <v>27.140186999999997</v>
      </c>
      <c r="AD275" s="57">
        <f>M275+N275</f>
        <v>637</v>
      </c>
      <c r="AE275" s="57">
        <f>Q275+R275</f>
        <v>726</v>
      </c>
      <c r="AF275" s="26">
        <f>W275</f>
        <v>14</v>
      </c>
      <c r="AG275" s="26">
        <f>Z275</f>
        <v>12.897196299999999</v>
      </c>
      <c r="AH275" s="26">
        <f>M275</f>
        <v>315</v>
      </c>
      <c r="AI275" s="26">
        <f>Q275</f>
        <v>345</v>
      </c>
      <c r="AJ275" s="26">
        <f>X275</f>
        <v>14.3111111</v>
      </c>
      <c r="AK275" s="26">
        <f>AA275</f>
        <v>14.2429907</v>
      </c>
      <c r="AL275" s="57">
        <f>N275</f>
        <v>322</v>
      </c>
      <c r="AM275" s="57">
        <f>R275</f>
        <v>381</v>
      </c>
    </row>
    <row r="276" spans="1:39" hidden="1" x14ac:dyDescent="0.3">
      <c r="A276" s="37">
        <v>272</v>
      </c>
      <c r="B276" s="38" t="s">
        <v>521</v>
      </c>
      <c r="C276" s="38" t="s">
        <v>46</v>
      </c>
      <c r="D276" s="38" t="s">
        <v>92</v>
      </c>
      <c r="E276" s="38" t="s">
        <v>97</v>
      </c>
      <c r="F276" s="47" t="s">
        <v>519</v>
      </c>
      <c r="G276" s="40">
        <v>511</v>
      </c>
      <c r="H276" s="40">
        <v>267</v>
      </c>
      <c r="I276" s="40">
        <v>121</v>
      </c>
      <c r="J276" s="40">
        <v>123</v>
      </c>
      <c r="K276" s="40">
        <v>1081</v>
      </c>
      <c r="L276" s="40">
        <v>703</v>
      </c>
      <c r="M276" s="40">
        <v>185</v>
      </c>
      <c r="N276" s="40">
        <v>193</v>
      </c>
      <c r="O276" s="40">
        <v>1503</v>
      </c>
      <c r="P276" s="40">
        <v>1056</v>
      </c>
      <c r="Q276" s="40">
        <v>221</v>
      </c>
      <c r="R276" s="40">
        <v>226</v>
      </c>
      <c r="S276" s="41">
        <v>52.250489199999997</v>
      </c>
      <c r="T276" s="41">
        <v>23.679060700000001</v>
      </c>
      <c r="U276" s="41">
        <v>24.070450099999999</v>
      </c>
      <c r="V276" s="41">
        <v>65.032377400000001</v>
      </c>
      <c r="W276" s="41">
        <v>17.1137835</v>
      </c>
      <c r="X276" s="41">
        <v>17.853839000000001</v>
      </c>
      <c r="Y276" s="41">
        <v>70.259480999999994</v>
      </c>
      <c r="Z276" s="41">
        <v>14.7039255</v>
      </c>
      <c r="AA276" s="41">
        <v>15.0365935</v>
      </c>
    </row>
    <row r="277" spans="1:39" hidden="1" x14ac:dyDescent="0.3">
      <c r="A277" s="37">
        <v>273</v>
      </c>
      <c r="B277" s="38" t="s">
        <v>521</v>
      </c>
      <c r="C277" s="38" t="s">
        <v>46</v>
      </c>
      <c r="D277" s="38" t="s">
        <v>92</v>
      </c>
      <c r="E277" s="38" t="s">
        <v>97</v>
      </c>
      <c r="F277" s="47" t="s">
        <v>520</v>
      </c>
      <c r="G277" s="40">
        <v>933</v>
      </c>
      <c r="H277" s="40">
        <v>619</v>
      </c>
      <c r="I277" s="40">
        <v>139</v>
      </c>
      <c r="J277" s="40">
        <v>175</v>
      </c>
      <c r="K277" s="40">
        <v>1169</v>
      </c>
      <c r="L277" s="40">
        <v>910</v>
      </c>
      <c r="M277" s="40">
        <v>130</v>
      </c>
      <c r="N277" s="40">
        <v>129</v>
      </c>
      <c r="O277" s="40">
        <v>1172</v>
      </c>
      <c r="P277" s="40">
        <v>893</v>
      </c>
      <c r="Q277" s="40">
        <v>124</v>
      </c>
      <c r="R277" s="40">
        <v>155</v>
      </c>
      <c r="S277" s="41">
        <v>66.345123299999997</v>
      </c>
      <c r="T277" s="41">
        <v>14.8981779</v>
      </c>
      <c r="U277" s="41">
        <v>18.756698799999999</v>
      </c>
      <c r="V277" s="41">
        <v>77.844311399999995</v>
      </c>
      <c r="W277" s="41">
        <v>11.120615900000001</v>
      </c>
      <c r="X277" s="41">
        <v>11.035072700000001</v>
      </c>
      <c r="Y277" s="41">
        <v>76.194539199999994</v>
      </c>
      <c r="Z277" s="41">
        <v>10.580204800000001</v>
      </c>
      <c r="AA277" s="41">
        <v>13.225256</v>
      </c>
    </row>
    <row r="278" spans="1:39" hidden="1" x14ac:dyDescent="0.3">
      <c r="A278" s="42">
        <v>274</v>
      </c>
      <c r="B278" s="43" t="s">
        <v>521</v>
      </c>
      <c r="C278" s="50" t="s">
        <v>46</v>
      </c>
      <c r="D278" s="50" t="s">
        <v>92</v>
      </c>
      <c r="E278" s="50" t="s">
        <v>98</v>
      </c>
      <c r="F278" s="51" t="s">
        <v>98</v>
      </c>
      <c r="G278" s="45">
        <v>2166</v>
      </c>
      <c r="H278" s="45">
        <v>1344</v>
      </c>
      <c r="I278" s="45">
        <v>352</v>
      </c>
      <c r="J278" s="45">
        <v>470</v>
      </c>
      <c r="K278" s="45">
        <v>2391</v>
      </c>
      <c r="L278" s="45">
        <v>1710</v>
      </c>
      <c r="M278" s="45">
        <v>328</v>
      </c>
      <c r="N278" s="45">
        <v>353</v>
      </c>
      <c r="O278" s="45">
        <v>3114</v>
      </c>
      <c r="P278" s="45">
        <v>2117</v>
      </c>
      <c r="Q278" s="45">
        <v>404</v>
      </c>
      <c r="R278" s="45">
        <v>593</v>
      </c>
      <c r="S278" s="46">
        <v>62.049861499999999</v>
      </c>
      <c r="T278" s="46">
        <v>16.251154199999998</v>
      </c>
      <c r="U278" s="46">
        <v>21.698984299999999</v>
      </c>
      <c r="V278" s="46">
        <v>71.518193199999999</v>
      </c>
      <c r="W278" s="46">
        <v>13.7181096</v>
      </c>
      <c r="X278" s="46">
        <v>14.763697199999999</v>
      </c>
      <c r="Y278" s="46">
        <v>67.9833012</v>
      </c>
      <c r="Z278" s="46">
        <v>12.973667300000001</v>
      </c>
      <c r="AA278" s="46">
        <v>19.043031500000001</v>
      </c>
      <c r="AB278" s="26">
        <f>SUM(W278:X278)</f>
        <v>28.481806800000001</v>
      </c>
      <c r="AC278" s="26">
        <f>SUM(Z278:AA278)</f>
        <v>32.0166988</v>
      </c>
      <c r="AD278" s="57">
        <f>M278+N278</f>
        <v>681</v>
      </c>
      <c r="AE278" s="57">
        <f>Q278+R278</f>
        <v>997</v>
      </c>
      <c r="AF278" s="26">
        <f>W278</f>
        <v>13.7181096</v>
      </c>
      <c r="AG278" s="26">
        <f>Z278</f>
        <v>12.973667300000001</v>
      </c>
      <c r="AH278" s="26">
        <f>M278</f>
        <v>328</v>
      </c>
      <c r="AI278" s="26">
        <f>Q278</f>
        <v>404</v>
      </c>
      <c r="AJ278" s="26">
        <f>X278</f>
        <v>14.763697199999999</v>
      </c>
      <c r="AK278" s="26">
        <f>AA278</f>
        <v>19.043031500000001</v>
      </c>
      <c r="AL278" s="57">
        <f>N278</f>
        <v>353</v>
      </c>
      <c r="AM278" s="57">
        <f>R278</f>
        <v>593</v>
      </c>
    </row>
    <row r="279" spans="1:39" hidden="1" x14ac:dyDescent="0.3">
      <c r="A279" s="37">
        <v>275</v>
      </c>
      <c r="B279" s="38" t="s">
        <v>521</v>
      </c>
      <c r="C279" s="38" t="s">
        <v>46</v>
      </c>
      <c r="D279" s="38" t="s">
        <v>92</v>
      </c>
      <c r="E279" s="38" t="s">
        <v>98</v>
      </c>
      <c r="F279" s="47" t="s">
        <v>519</v>
      </c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1"/>
      <c r="T279" s="41"/>
      <c r="U279" s="41"/>
      <c r="V279" s="41"/>
      <c r="W279" s="41"/>
      <c r="X279" s="41"/>
      <c r="Y279" s="41"/>
      <c r="Z279" s="41"/>
      <c r="AA279" s="41"/>
    </row>
    <row r="280" spans="1:39" hidden="1" x14ac:dyDescent="0.3">
      <c r="A280" s="37">
        <v>276</v>
      </c>
      <c r="B280" s="38" t="s">
        <v>521</v>
      </c>
      <c r="C280" s="38" t="s">
        <v>46</v>
      </c>
      <c r="D280" s="38" t="s">
        <v>92</v>
      </c>
      <c r="E280" s="38" t="s">
        <v>98</v>
      </c>
      <c r="F280" s="47" t="s">
        <v>520</v>
      </c>
      <c r="G280" s="40">
        <v>2166</v>
      </c>
      <c r="H280" s="40">
        <v>1344</v>
      </c>
      <c r="I280" s="40">
        <v>352</v>
      </c>
      <c r="J280" s="40">
        <v>470</v>
      </c>
      <c r="K280" s="40">
        <v>2391</v>
      </c>
      <c r="L280" s="40">
        <v>1710</v>
      </c>
      <c r="M280" s="40">
        <v>328</v>
      </c>
      <c r="N280" s="40">
        <v>353</v>
      </c>
      <c r="O280" s="40">
        <v>3114</v>
      </c>
      <c r="P280" s="40">
        <v>2117</v>
      </c>
      <c r="Q280" s="40">
        <v>404</v>
      </c>
      <c r="R280" s="40">
        <v>593</v>
      </c>
      <c r="S280" s="41">
        <v>62.049861499999999</v>
      </c>
      <c r="T280" s="41">
        <v>16.251154199999998</v>
      </c>
      <c r="U280" s="41">
        <v>21.698984299999999</v>
      </c>
      <c r="V280" s="41">
        <v>71.518193199999999</v>
      </c>
      <c r="W280" s="41">
        <v>13.7181096</v>
      </c>
      <c r="X280" s="41">
        <v>14.763697199999999</v>
      </c>
      <c r="Y280" s="41">
        <v>67.9833012</v>
      </c>
      <c r="Z280" s="41">
        <v>12.973667300000001</v>
      </c>
      <c r="AA280" s="41">
        <v>19.043031500000001</v>
      </c>
    </row>
    <row r="281" spans="1:39" hidden="1" x14ac:dyDescent="0.3">
      <c r="A281" s="42">
        <v>277</v>
      </c>
      <c r="B281" s="43" t="s">
        <v>521</v>
      </c>
      <c r="C281" s="50" t="s">
        <v>46</v>
      </c>
      <c r="D281" s="50" t="s">
        <v>92</v>
      </c>
      <c r="E281" s="50" t="s">
        <v>99</v>
      </c>
      <c r="F281" s="51" t="s">
        <v>99</v>
      </c>
      <c r="G281" s="45">
        <v>4239</v>
      </c>
      <c r="H281" s="45">
        <v>2466</v>
      </c>
      <c r="I281" s="45">
        <v>766</v>
      </c>
      <c r="J281" s="45">
        <v>1007</v>
      </c>
      <c r="K281" s="45">
        <v>4967</v>
      </c>
      <c r="L281" s="45">
        <v>3086</v>
      </c>
      <c r="M281" s="45">
        <v>782</v>
      </c>
      <c r="N281" s="45">
        <v>1099</v>
      </c>
      <c r="O281" s="45">
        <v>5887</v>
      </c>
      <c r="P281" s="45">
        <v>3842</v>
      </c>
      <c r="Q281" s="45">
        <v>780</v>
      </c>
      <c r="R281" s="45">
        <v>1265</v>
      </c>
      <c r="S281" s="46">
        <v>58.174097699999997</v>
      </c>
      <c r="T281" s="46">
        <v>18.070299599999998</v>
      </c>
      <c r="U281" s="46">
        <v>23.755602700000001</v>
      </c>
      <c r="V281" s="46">
        <v>62.130058400000003</v>
      </c>
      <c r="W281" s="46">
        <v>15.743909800000001</v>
      </c>
      <c r="X281" s="46">
        <v>22.1260318</v>
      </c>
      <c r="Y281" s="46">
        <v>65.262442699999994</v>
      </c>
      <c r="Z281" s="46">
        <v>13.2495329</v>
      </c>
      <c r="AA281" s="46">
        <v>21.488024500000002</v>
      </c>
      <c r="AB281" s="26">
        <f>SUM(W281:X281)</f>
        <v>37.869941600000004</v>
      </c>
      <c r="AC281" s="26">
        <f>SUM(Z281:AA281)</f>
        <v>34.7375574</v>
      </c>
      <c r="AD281" s="57">
        <f>M281+N281</f>
        <v>1881</v>
      </c>
      <c r="AE281" s="57">
        <f>Q281+R281</f>
        <v>2045</v>
      </c>
      <c r="AF281" s="26">
        <f>W281</f>
        <v>15.743909800000001</v>
      </c>
      <c r="AG281" s="26">
        <f>Z281</f>
        <v>13.2495329</v>
      </c>
      <c r="AH281" s="26">
        <f>M281</f>
        <v>782</v>
      </c>
      <c r="AI281" s="26">
        <f>Q281</f>
        <v>780</v>
      </c>
      <c r="AJ281" s="26">
        <f>X281</f>
        <v>22.1260318</v>
      </c>
      <c r="AK281" s="26">
        <f>AA281</f>
        <v>21.488024500000002</v>
      </c>
      <c r="AL281" s="57">
        <f>N281</f>
        <v>1099</v>
      </c>
      <c r="AM281" s="57">
        <f>R281</f>
        <v>1265</v>
      </c>
    </row>
    <row r="282" spans="1:39" hidden="1" x14ac:dyDescent="0.3">
      <c r="A282" s="37">
        <v>278</v>
      </c>
      <c r="B282" s="38" t="s">
        <v>521</v>
      </c>
      <c r="C282" s="38" t="s">
        <v>46</v>
      </c>
      <c r="D282" s="38" t="s">
        <v>92</v>
      </c>
      <c r="E282" s="38" t="s">
        <v>99</v>
      </c>
      <c r="F282" s="47" t="s">
        <v>519</v>
      </c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1"/>
      <c r="T282" s="41"/>
      <c r="U282" s="41"/>
      <c r="V282" s="41"/>
      <c r="W282" s="41"/>
      <c r="X282" s="41"/>
      <c r="Y282" s="41"/>
      <c r="Z282" s="41"/>
      <c r="AA282" s="41"/>
    </row>
    <row r="283" spans="1:39" hidden="1" x14ac:dyDescent="0.3">
      <c r="A283" s="37">
        <v>279</v>
      </c>
      <c r="B283" s="38" t="s">
        <v>521</v>
      </c>
      <c r="C283" s="38" t="s">
        <v>46</v>
      </c>
      <c r="D283" s="38" t="s">
        <v>92</v>
      </c>
      <c r="E283" s="38" t="s">
        <v>99</v>
      </c>
      <c r="F283" s="47" t="s">
        <v>520</v>
      </c>
      <c r="G283" s="40">
        <v>4239</v>
      </c>
      <c r="H283" s="40">
        <v>2466</v>
      </c>
      <c r="I283" s="40">
        <v>766</v>
      </c>
      <c r="J283" s="40">
        <v>1007</v>
      </c>
      <c r="K283" s="40">
        <v>4967</v>
      </c>
      <c r="L283" s="40">
        <v>3086</v>
      </c>
      <c r="M283" s="40">
        <v>782</v>
      </c>
      <c r="N283" s="40">
        <v>1099</v>
      </c>
      <c r="O283" s="40">
        <v>5887</v>
      </c>
      <c r="P283" s="40">
        <v>3842</v>
      </c>
      <c r="Q283" s="40">
        <v>780</v>
      </c>
      <c r="R283" s="40">
        <v>1265</v>
      </c>
      <c r="S283" s="41">
        <v>58.174097699999997</v>
      </c>
      <c r="T283" s="41">
        <v>18.070299599999998</v>
      </c>
      <c r="U283" s="41">
        <v>23.755602700000001</v>
      </c>
      <c r="V283" s="41">
        <v>62.130058400000003</v>
      </c>
      <c r="W283" s="41">
        <v>15.743909800000001</v>
      </c>
      <c r="X283" s="41">
        <v>22.1260318</v>
      </c>
      <c r="Y283" s="41">
        <v>65.262442699999994</v>
      </c>
      <c r="Z283" s="41">
        <v>13.2495329</v>
      </c>
      <c r="AA283" s="41">
        <v>21.488024500000002</v>
      </c>
    </row>
    <row r="284" spans="1:39" hidden="1" x14ac:dyDescent="0.3">
      <c r="A284" s="42">
        <v>280</v>
      </c>
      <c r="B284" s="43" t="s">
        <v>521</v>
      </c>
      <c r="C284" s="50" t="s">
        <v>46</v>
      </c>
      <c r="D284" s="50" t="s">
        <v>92</v>
      </c>
      <c r="E284" s="50" t="s">
        <v>100</v>
      </c>
      <c r="F284" s="51" t="s">
        <v>100</v>
      </c>
      <c r="G284" s="45">
        <v>1762</v>
      </c>
      <c r="H284" s="45">
        <v>1016</v>
      </c>
      <c r="I284" s="45">
        <v>324</v>
      </c>
      <c r="J284" s="45">
        <v>422</v>
      </c>
      <c r="K284" s="45">
        <v>1819</v>
      </c>
      <c r="L284" s="45">
        <v>1037</v>
      </c>
      <c r="M284" s="45">
        <v>305</v>
      </c>
      <c r="N284" s="45">
        <v>477</v>
      </c>
      <c r="O284" s="45">
        <v>2562</v>
      </c>
      <c r="P284" s="45">
        <v>1680</v>
      </c>
      <c r="Q284" s="45">
        <v>346</v>
      </c>
      <c r="R284" s="45">
        <v>536</v>
      </c>
      <c r="S284" s="46">
        <v>57.661748000000003</v>
      </c>
      <c r="T284" s="46">
        <v>18.388195199999998</v>
      </c>
      <c r="U284" s="46">
        <v>23.950056799999999</v>
      </c>
      <c r="V284" s="46">
        <v>57.009345799999998</v>
      </c>
      <c r="W284" s="46">
        <v>16.767454600000001</v>
      </c>
      <c r="X284" s="46">
        <v>26.223199600000001</v>
      </c>
      <c r="Y284" s="46">
        <v>65.573770499999995</v>
      </c>
      <c r="Z284" s="46">
        <v>13.505074199999999</v>
      </c>
      <c r="AA284" s="46">
        <v>20.921155299999999</v>
      </c>
      <c r="AB284" s="26">
        <f>SUM(W284:X284)</f>
        <v>42.990654200000002</v>
      </c>
      <c r="AC284" s="26">
        <f>SUM(Z284:AA284)</f>
        <v>34.426229499999998</v>
      </c>
      <c r="AD284" s="57">
        <f>M284+N284</f>
        <v>782</v>
      </c>
      <c r="AE284" s="57">
        <f>Q284+R284</f>
        <v>882</v>
      </c>
      <c r="AF284" s="26">
        <f>W284</f>
        <v>16.767454600000001</v>
      </c>
      <c r="AG284" s="26">
        <f>Z284</f>
        <v>13.505074199999999</v>
      </c>
      <c r="AH284" s="26">
        <f>M284</f>
        <v>305</v>
      </c>
      <c r="AI284" s="26">
        <f>Q284</f>
        <v>346</v>
      </c>
      <c r="AJ284" s="26">
        <f>X284</f>
        <v>26.223199600000001</v>
      </c>
      <c r="AK284" s="26">
        <f>AA284</f>
        <v>20.921155299999999</v>
      </c>
      <c r="AL284" s="57">
        <f>N284</f>
        <v>477</v>
      </c>
      <c r="AM284" s="57">
        <f>R284</f>
        <v>536</v>
      </c>
    </row>
    <row r="285" spans="1:39" hidden="1" x14ac:dyDescent="0.3">
      <c r="A285" s="37">
        <v>281</v>
      </c>
      <c r="B285" s="38" t="s">
        <v>521</v>
      </c>
      <c r="C285" s="38" t="s">
        <v>46</v>
      </c>
      <c r="D285" s="38" t="s">
        <v>92</v>
      </c>
      <c r="E285" s="38" t="s">
        <v>100</v>
      </c>
      <c r="F285" s="47" t="s">
        <v>519</v>
      </c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1"/>
      <c r="T285" s="41"/>
      <c r="U285" s="41"/>
      <c r="V285" s="41"/>
      <c r="W285" s="41"/>
      <c r="X285" s="41"/>
      <c r="Y285" s="41"/>
      <c r="Z285" s="41"/>
      <c r="AA285" s="41"/>
    </row>
    <row r="286" spans="1:39" hidden="1" x14ac:dyDescent="0.3">
      <c r="A286" s="37">
        <v>282</v>
      </c>
      <c r="B286" s="38" t="s">
        <v>521</v>
      </c>
      <c r="C286" s="38" t="s">
        <v>46</v>
      </c>
      <c r="D286" s="38" t="s">
        <v>92</v>
      </c>
      <c r="E286" s="38" t="s">
        <v>100</v>
      </c>
      <c r="F286" s="47" t="s">
        <v>520</v>
      </c>
      <c r="G286" s="40">
        <v>1762</v>
      </c>
      <c r="H286" s="40">
        <v>1016</v>
      </c>
      <c r="I286" s="40">
        <v>324</v>
      </c>
      <c r="J286" s="40">
        <v>422</v>
      </c>
      <c r="K286" s="40">
        <v>1819</v>
      </c>
      <c r="L286" s="40">
        <v>1037</v>
      </c>
      <c r="M286" s="40">
        <v>305</v>
      </c>
      <c r="N286" s="40">
        <v>477</v>
      </c>
      <c r="O286" s="40">
        <v>2562</v>
      </c>
      <c r="P286" s="40">
        <v>1680</v>
      </c>
      <c r="Q286" s="40">
        <v>346</v>
      </c>
      <c r="R286" s="40">
        <v>536</v>
      </c>
      <c r="S286" s="41">
        <v>57.661748000000003</v>
      </c>
      <c r="T286" s="41">
        <v>18.388195199999998</v>
      </c>
      <c r="U286" s="41">
        <v>23.950056799999999</v>
      </c>
      <c r="V286" s="41">
        <v>57.009345799999998</v>
      </c>
      <c r="W286" s="41">
        <v>16.767454600000001</v>
      </c>
      <c r="X286" s="41">
        <v>26.223199600000001</v>
      </c>
      <c r="Y286" s="41">
        <v>65.573770499999995</v>
      </c>
      <c r="Z286" s="41">
        <v>13.505074199999999</v>
      </c>
      <c r="AA286" s="41">
        <v>20.921155299999999</v>
      </c>
    </row>
    <row r="287" spans="1:39" hidden="1" x14ac:dyDescent="0.3">
      <c r="A287" s="32">
        <v>283</v>
      </c>
      <c r="B287" s="33" t="s">
        <v>1</v>
      </c>
      <c r="C287" s="49" t="s">
        <v>46</v>
      </c>
      <c r="D287" s="49" t="s">
        <v>101</v>
      </c>
      <c r="E287" s="49"/>
      <c r="F287" s="34" t="s">
        <v>101</v>
      </c>
      <c r="G287" s="35">
        <v>11959</v>
      </c>
      <c r="H287" s="35">
        <v>5787</v>
      </c>
      <c r="I287" s="35">
        <v>2110</v>
      </c>
      <c r="J287" s="35">
        <v>4062</v>
      </c>
      <c r="K287" s="35">
        <v>15147</v>
      </c>
      <c r="L287" s="35">
        <v>9581</v>
      </c>
      <c r="M287" s="35">
        <v>2349</v>
      </c>
      <c r="N287" s="35">
        <v>3217</v>
      </c>
      <c r="O287" s="35">
        <v>21883</v>
      </c>
      <c r="P287" s="35">
        <v>14931</v>
      </c>
      <c r="Q287" s="35">
        <v>3006</v>
      </c>
      <c r="R287" s="35">
        <v>3946</v>
      </c>
      <c r="S287" s="36">
        <v>48.390333599999998</v>
      </c>
      <c r="T287" s="36">
        <v>17.643615700000002</v>
      </c>
      <c r="U287" s="36">
        <v>33.966050699999997</v>
      </c>
      <c r="V287" s="36">
        <v>63.253449500000002</v>
      </c>
      <c r="W287" s="36">
        <v>15.508021400000001</v>
      </c>
      <c r="X287" s="36">
        <v>21.238529100000001</v>
      </c>
      <c r="Y287" s="36">
        <v>68.231046899999996</v>
      </c>
      <c r="Z287" s="36">
        <v>13.736690599999999</v>
      </c>
      <c r="AA287" s="36">
        <v>18.032262500000002</v>
      </c>
    </row>
    <row r="288" spans="1:39" hidden="1" x14ac:dyDescent="0.3">
      <c r="A288" s="37">
        <v>284</v>
      </c>
      <c r="B288" s="38" t="s">
        <v>1</v>
      </c>
      <c r="C288" s="38" t="s">
        <v>46</v>
      </c>
      <c r="D288" s="38" t="s">
        <v>101</v>
      </c>
      <c r="E288" s="38"/>
      <c r="F288" s="39" t="s">
        <v>519</v>
      </c>
      <c r="G288" s="40"/>
      <c r="H288" s="40"/>
      <c r="I288" s="40"/>
      <c r="J288" s="40"/>
      <c r="K288" s="40"/>
      <c r="L288" s="40"/>
      <c r="M288" s="40"/>
      <c r="N288" s="40"/>
      <c r="O288" s="40">
        <v>444</v>
      </c>
      <c r="P288" s="40">
        <v>168</v>
      </c>
      <c r="Q288" s="40">
        <v>80</v>
      </c>
      <c r="R288" s="40">
        <v>196</v>
      </c>
      <c r="S288" s="41"/>
      <c r="T288" s="41"/>
      <c r="U288" s="41"/>
      <c r="V288" s="41"/>
      <c r="W288" s="41"/>
      <c r="X288" s="41"/>
      <c r="Y288" s="41">
        <v>37.837837800000003</v>
      </c>
      <c r="Z288" s="41">
        <v>18.018018000000001</v>
      </c>
      <c r="AA288" s="41">
        <v>44.144144099999998</v>
      </c>
    </row>
    <row r="289" spans="1:39" hidden="1" x14ac:dyDescent="0.3">
      <c r="A289" s="37">
        <v>285</v>
      </c>
      <c r="B289" s="38" t="s">
        <v>1</v>
      </c>
      <c r="C289" s="38" t="s">
        <v>46</v>
      </c>
      <c r="D289" s="38" t="s">
        <v>101</v>
      </c>
      <c r="E289" s="38"/>
      <c r="F289" s="39" t="s">
        <v>520</v>
      </c>
      <c r="G289" s="40">
        <v>11959</v>
      </c>
      <c r="H289" s="40">
        <v>5787</v>
      </c>
      <c r="I289" s="40">
        <v>2110</v>
      </c>
      <c r="J289" s="40">
        <v>4062</v>
      </c>
      <c r="K289" s="40">
        <v>15147</v>
      </c>
      <c r="L289" s="40">
        <v>9581</v>
      </c>
      <c r="M289" s="40">
        <v>2349</v>
      </c>
      <c r="N289" s="40">
        <v>3217</v>
      </c>
      <c r="O289" s="40">
        <v>21439</v>
      </c>
      <c r="P289" s="40">
        <v>14763</v>
      </c>
      <c r="Q289" s="40">
        <v>2926</v>
      </c>
      <c r="R289" s="40">
        <v>3750</v>
      </c>
      <c r="S289" s="41">
        <v>48.390333599999998</v>
      </c>
      <c r="T289" s="41">
        <v>17.643615700000002</v>
      </c>
      <c r="U289" s="41">
        <v>33.966050699999997</v>
      </c>
      <c r="V289" s="41">
        <v>63.253449500000002</v>
      </c>
      <c r="W289" s="41">
        <v>15.508021400000001</v>
      </c>
      <c r="X289" s="41">
        <v>21.238529100000001</v>
      </c>
      <c r="Y289" s="41">
        <v>68.860487899999995</v>
      </c>
      <c r="Z289" s="41">
        <v>13.648024599999999</v>
      </c>
      <c r="AA289" s="41">
        <v>17.491487500000002</v>
      </c>
    </row>
    <row r="290" spans="1:39" hidden="1" x14ac:dyDescent="0.3">
      <c r="A290" s="42">
        <v>286</v>
      </c>
      <c r="B290" s="43" t="s">
        <v>521</v>
      </c>
      <c r="C290" s="50" t="s">
        <v>46</v>
      </c>
      <c r="D290" s="50" t="s">
        <v>101</v>
      </c>
      <c r="E290" s="50" t="s">
        <v>102</v>
      </c>
      <c r="F290" s="51" t="s">
        <v>102</v>
      </c>
      <c r="G290" s="45">
        <v>2571</v>
      </c>
      <c r="H290" s="45">
        <v>1372</v>
      </c>
      <c r="I290" s="45">
        <v>444</v>
      </c>
      <c r="J290" s="45">
        <v>755</v>
      </c>
      <c r="K290" s="45">
        <v>3913</v>
      </c>
      <c r="L290" s="45">
        <v>2803</v>
      </c>
      <c r="M290" s="45">
        <v>555</v>
      </c>
      <c r="N290" s="45">
        <v>555</v>
      </c>
      <c r="O290" s="45">
        <v>4434</v>
      </c>
      <c r="P290" s="45">
        <v>3375</v>
      </c>
      <c r="Q290" s="45">
        <v>479</v>
      </c>
      <c r="R290" s="45">
        <v>580</v>
      </c>
      <c r="S290" s="46">
        <v>53.3644496</v>
      </c>
      <c r="T290" s="46">
        <v>17.2695449</v>
      </c>
      <c r="U290" s="46">
        <v>29.366005399999999</v>
      </c>
      <c r="V290" s="46">
        <v>71.633018100000001</v>
      </c>
      <c r="W290" s="46">
        <v>14.183490900000001</v>
      </c>
      <c r="X290" s="46">
        <v>14.183490900000001</v>
      </c>
      <c r="Y290" s="46">
        <v>76.116373499999995</v>
      </c>
      <c r="Z290" s="46">
        <v>10.8028868</v>
      </c>
      <c r="AA290" s="46">
        <v>13.080739700000001</v>
      </c>
      <c r="AB290" s="26">
        <f>SUM(W290:X290)</f>
        <v>28.366981800000001</v>
      </c>
      <c r="AC290" s="26">
        <f>SUM(Z290:AA290)</f>
        <v>23.883626499999998</v>
      </c>
      <c r="AD290" s="57">
        <f>M290+N290</f>
        <v>1110</v>
      </c>
      <c r="AE290" s="57">
        <f>Q290+R290</f>
        <v>1059</v>
      </c>
      <c r="AF290" s="26">
        <f>W290</f>
        <v>14.183490900000001</v>
      </c>
      <c r="AG290" s="26">
        <f>Z290</f>
        <v>10.8028868</v>
      </c>
      <c r="AH290" s="26">
        <f>M290</f>
        <v>555</v>
      </c>
      <c r="AI290" s="26">
        <f>Q290</f>
        <v>479</v>
      </c>
      <c r="AJ290" s="26">
        <f>X290</f>
        <v>14.183490900000001</v>
      </c>
      <c r="AK290" s="26">
        <f>AA290</f>
        <v>13.080739700000001</v>
      </c>
      <c r="AL290" s="57">
        <f>N290</f>
        <v>555</v>
      </c>
      <c r="AM290" s="57">
        <f>R290</f>
        <v>580</v>
      </c>
    </row>
    <row r="291" spans="1:39" hidden="1" x14ac:dyDescent="0.3">
      <c r="A291" s="37">
        <v>287</v>
      </c>
      <c r="B291" s="38" t="s">
        <v>521</v>
      </c>
      <c r="C291" s="38" t="s">
        <v>46</v>
      </c>
      <c r="D291" s="38" t="s">
        <v>101</v>
      </c>
      <c r="E291" s="38" t="s">
        <v>102</v>
      </c>
      <c r="F291" s="47" t="s">
        <v>519</v>
      </c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1"/>
      <c r="T291" s="41"/>
      <c r="U291" s="41"/>
      <c r="V291" s="41"/>
      <c r="W291" s="41"/>
      <c r="X291" s="41"/>
      <c r="Y291" s="41"/>
      <c r="Z291" s="41"/>
      <c r="AA291" s="41"/>
    </row>
    <row r="292" spans="1:39" hidden="1" x14ac:dyDescent="0.3">
      <c r="A292" s="37">
        <v>288</v>
      </c>
      <c r="B292" s="38" t="s">
        <v>521</v>
      </c>
      <c r="C292" s="38" t="s">
        <v>46</v>
      </c>
      <c r="D292" s="38" t="s">
        <v>101</v>
      </c>
      <c r="E292" s="38" t="s">
        <v>102</v>
      </c>
      <c r="F292" s="47" t="s">
        <v>520</v>
      </c>
      <c r="G292" s="40">
        <v>2571</v>
      </c>
      <c r="H292" s="40">
        <v>1372</v>
      </c>
      <c r="I292" s="40">
        <v>444</v>
      </c>
      <c r="J292" s="40">
        <v>755</v>
      </c>
      <c r="K292" s="40">
        <v>3913</v>
      </c>
      <c r="L292" s="40">
        <v>2803</v>
      </c>
      <c r="M292" s="40">
        <v>555</v>
      </c>
      <c r="N292" s="40">
        <v>555</v>
      </c>
      <c r="O292" s="40">
        <v>4434</v>
      </c>
      <c r="P292" s="40">
        <v>3375</v>
      </c>
      <c r="Q292" s="40">
        <v>479</v>
      </c>
      <c r="R292" s="40">
        <v>580</v>
      </c>
      <c r="S292" s="41">
        <v>53.3644496</v>
      </c>
      <c r="T292" s="41">
        <v>17.2695449</v>
      </c>
      <c r="U292" s="41">
        <v>29.366005399999999</v>
      </c>
      <c r="V292" s="41">
        <v>71.633018100000001</v>
      </c>
      <c r="W292" s="41">
        <v>14.183490900000001</v>
      </c>
      <c r="X292" s="41">
        <v>14.183490900000001</v>
      </c>
      <c r="Y292" s="41">
        <v>76.116373499999995</v>
      </c>
      <c r="Z292" s="41">
        <v>10.8028868</v>
      </c>
      <c r="AA292" s="41">
        <v>13.080739700000001</v>
      </c>
    </row>
    <row r="293" spans="1:39" hidden="1" x14ac:dyDescent="0.3">
      <c r="A293" s="42">
        <v>289</v>
      </c>
      <c r="B293" s="43" t="s">
        <v>521</v>
      </c>
      <c r="C293" s="50" t="s">
        <v>46</v>
      </c>
      <c r="D293" s="50" t="s">
        <v>101</v>
      </c>
      <c r="E293" s="50" t="s">
        <v>103</v>
      </c>
      <c r="F293" s="51" t="s">
        <v>103</v>
      </c>
      <c r="G293" s="45">
        <v>3287</v>
      </c>
      <c r="H293" s="45">
        <v>1730</v>
      </c>
      <c r="I293" s="45">
        <v>606</v>
      </c>
      <c r="J293" s="45">
        <v>951</v>
      </c>
      <c r="K293" s="45">
        <v>4624</v>
      </c>
      <c r="L293" s="45">
        <v>3335</v>
      </c>
      <c r="M293" s="45">
        <v>643</v>
      </c>
      <c r="N293" s="45">
        <v>646</v>
      </c>
      <c r="O293" s="45">
        <v>6638</v>
      </c>
      <c r="P293" s="45">
        <v>4932</v>
      </c>
      <c r="Q293" s="45">
        <v>835</v>
      </c>
      <c r="R293" s="45">
        <v>871</v>
      </c>
      <c r="S293" s="46">
        <v>52.631578900000001</v>
      </c>
      <c r="T293" s="46">
        <v>18.436264099999999</v>
      </c>
      <c r="U293" s="46">
        <v>28.932157</v>
      </c>
      <c r="V293" s="46">
        <v>72.123702399999999</v>
      </c>
      <c r="W293" s="46">
        <v>13.9057093</v>
      </c>
      <c r="X293" s="46">
        <v>13.9705882</v>
      </c>
      <c r="Y293" s="46">
        <v>74.299487799999994</v>
      </c>
      <c r="Z293" s="46">
        <v>12.5790901</v>
      </c>
      <c r="AA293" s="46">
        <v>13.1214221</v>
      </c>
      <c r="AB293" s="26">
        <f>SUM(W293:X293)</f>
        <v>27.8762975</v>
      </c>
      <c r="AC293" s="26">
        <f>SUM(Z293:AA293)</f>
        <v>25.700512199999999</v>
      </c>
      <c r="AD293" s="57">
        <f>M293+N293</f>
        <v>1289</v>
      </c>
      <c r="AE293" s="57">
        <f>Q293+R293</f>
        <v>1706</v>
      </c>
      <c r="AF293" s="26">
        <f>W293</f>
        <v>13.9057093</v>
      </c>
      <c r="AG293" s="26">
        <f>Z293</f>
        <v>12.5790901</v>
      </c>
      <c r="AH293" s="26">
        <f>M293</f>
        <v>643</v>
      </c>
      <c r="AI293" s="26">
        <f>Q293</f>
        <v>835</v>
      </c>
      <c r="AJ293" s="26">
        <f>X293</f>
        <v>13.9705882</v>
      </c>
      <c r="AK293" s="26">
        <f>AA293</f>
        <v>13.1214221</v>
      </c>
      <c r="AL293" s="57">
        <f>N293</f>
        <v>646</v>
      </c>
      <c r="AM293" s="57">
        <f>R293</f>
        <v>871</v>
      </c>
    </row>
    <row r="294" spans="1:39" hidden="1" x14ac:dyDescent="0.3">
      <c r="A294" s="37">
        <v>290</v>
      </c>
      <c r="B294" s="38" t="s">
        <v>521</v>
      </c>
      <c r="C294" s="38" t="s">
        <v>46</v>
      </c>
      <c r="D294" s="38" t="s">
        <v>101</v>
      </c>
      <c r="E294" s="38" t="s">
        <v>103</v>
      </c>
      <c r="F294" s="47" t="s">
        <v>519</v>
      </c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1"/>
      <c r="T294" s="41"/>
      <c r="U294" s="41"/>
      <c r="V294" s="41"/>
      <c r="W294" s="41"/>
      <c r="X294" s="41"/>
      <c r="Y294" s="41"/>
      <c r="Z294" s="41"/>
      <c r="AA294" s="41"/>
    </row>
    <row r="295" spans="1:39" hidden="1" x14ac:dyDescent="0.3">
      <c r="A295" s="37">
        <v>291</v>
      </c>
      <c r="B295" s="38" t="s">
        <v>521</v>
      </c>
      <c r="C295" s="38" t="s">
        <v>46</v>
      </c>
      <c r="D295" s="38" t="s">
        <v>101</v>
      </c>
      <c r="E295" s="38" t="s">
        <v>103</v>
      </c>
      <c r="F295" s="47" t="s">
        <v>520</v>
      </c>
      <c r="G295" s="40">
        <v>3287</v>
      </c>
      <c r="H295" s="40">
        <v>1730</v>
      </c>
      <c r="I295" s="40">
        <v>606</v>
      </c>
      <c r="J295" s="40">
        <v>951</v>
      </c>
      <c r="K295" s="40">
        <v>4624</v>
      </c>
      <c r="L295" s="40">
        <v>3335</v>
      </c>
      <c r="M295" s="40">
        <v>643</v>
      </c>
      <c r="N295" s="40">
        <v>646</v>
      </c>
      <c r="O295" s="40">
        <v>6638</v>
      </c>
      <c r="P295" s="40">
        <v>4932</v>
      </c>
      <c r="Q295" s="40">
        <v>835</v>
      </c>
      <c r="R295" s="40">
        <v>871</v>
      </c>
      <c r="S295" s="41">
        <v>52.631578900000001</v>
      </c>
      <c r="T295" s="41">
        <v>18.436264099999999</v>
      </c>
      <c r="U295" s="41">
        <v>28.932157</v>
      </c>
      <c r="V295" s="41">
        <v>72.123702399999999</v>
      </c>
      <c r="W295" s="41">
        <v>13.9057093</v>
      </c>
      <c r="X295" s="41">
        <v>13.9705882</v>
      </c>
      <c r="Y295" s="41">
        <v>74.299487799999994</v>
      </c>
      <c r="Z295" s="41">
        <v>12.5790901</v>
      </c>
      <c r="AA295" s="41">
        <v>13.1214221</v>
      </c>
    </row>
    <row r="296" spans="1:39" hidden="1" x14ac:dyDescent="0.3">
      <c r="A296" s="42">
        <v>292</v>
      </c>
      <c r="B296" s="43" t="s">
        <v>521</v>
      </c>
      <c r="C296" s="50" t="s">
        <v>46</v>
      </c>
      <c r="D296" s="50" t="s">
        <v>101</v>
      </c>
      <c r="E296" s="50" t="s">
        <v>104</v>
      </c>
      <c r="F296" s="51" t="s">
        <v>104</v>
      </c>
      <c r="G296" s="45">
        <v>2207</v>
      </c>
      <c r="H296" s="45">
        <v>1036</v>
      </c>
      <c r="I296" s="45">
        <v>352</v>
      </c>
      <c r="J296" s="45">
        <v>819</v>
      </c>
      <c r="K296" s="45">
        <v>2306</v>
      </c>
      <c r="L296" s="45">
        <v>1353</v>
      </c>
      <c r="M296" s="45">
        <v>369</v>
      </c>
      <c r="N296" s="45">
        <v>584</v>
      </c>
      <c r="O296" s="45">
        <v>4142</v>
      </c>
      <c r="P296" s="45">
        <v>2424</v>
      </c>
      <c r="Q296" s="45">
        <v>629</v>
      </c>
      <c r="R296" s="45">
        <v>1089</v>
      </c>
      <c r="S296" s="46">
        <v>46.941549600000002</v>
      </c>
      <c r="T296" s="46">
        <v>15.949252400000001</v>
      </c>
      <c r="U296" s="46">
        <v>37.109197999999999</v>
      </c>
      <c r="V296" s="46">
        <v>58.673026900000004</v>
      </c>
      <c r="W296" s="46">
        <v>16.001734599999999</v>
      </c>
      <c r="X296" s="46">
        <v>25.325238500000001</v>
      </c>
      <c r="Y296" s="46">
        <v>58.522452899999998</v>
      </c>
      <c r="Z296" s="46">
        <v>15.185900500000001</v>
      </c>
      <c r="AA296" s="46">
        <v>26.291646499999999</v>
      </c>
      <c r="AB296" s="26">
        <f>SUM(W296:X296)</f>
        <v>41.326973100000004</v>
      </c>
      <c r="AC296" s="26">
        <f>SUM(Z296:AA296)</f>
        <v>41.477547000000001</v>
      </c>
      <c r="AD296" s="57">
        <f>M296+N296</f>
        <v>953</v>
      </c>
      <c r="AE296" s="57">
        <f>Q296+R296</f>
        <v>1718</v>
      </c>
      <c r="AF296" s="26">
        <f>W296</f>
        <v>16.001734599999999</v>
      </c>
      <c r="AG296" s="26">
        <f>Z296</f>
        <v>15.185900500000001</v>
      </c>
      <c r="AH296" s="26">
        <f>M296</f>
        <v>369</v>
      </c>
      <c r="AI296" s="26">
        <f>Q296</f>
        <v>629</v>
      </c>
      <c r="AJ296" s="26">
        <f>X296</f>
        <v>25.325238500000001</v>
      </c>
      <c r="AK296" s="26">
        <f>AA296</f>
        <v>26.291646499999999</v>
      </c>
      <c r="AL296" s="57">
        <f>N296</f>
        <v>584</v>
      </c>
      <c r="AM296" s="57">
        <f>R296</f>
        <v>1089</v>
      </c>
    </row>
    <row r="297" spans="1:39" hidden="1" x14ac:dyDescent="0.3">
      <c r="A297" s="37">
        <v>293</v>
      </c>
      <c r="B297" s="38" t="s">
        <v>521</v>
      </c>
      <c r="C297" s="38" t="s">
        <v>46</v>
      </c>
      <c r="D297" s="38" t="s">
        <v>101</v>
      </c>
      <c r="E297" s="38" t="s">
        <v>104</v>
      </c>
      <c r="F297" s="47" t="s">
        <v>519</v>
      </c>
      <c r="G297" s="40"/>
      <c r="H297" s="40"/>
      <c r="I297" s="40"/>
      <c r="J297" s="40"/>
      <c r="K297" s="40"/>
      <c r="L297" s="40"/>
      <c r="M297" s="40"/>
      <c r="N297" s="40"/>
      <c r="O297" s="40">
        <v>444</v>
      </c>
      <c r="P297" s="40">
        <v>168</v>
      </c>
      <c r="Q297" s="40">
        <v>80</v>
      </c>
      <c r="R297" s="40">
        <v>196</v>
      </c>
      <c r="S297" s="41"/>
      <c r="T297" s="41"/>
      <c r="U297" s="41"/>
      <c r="V297" s="41"/>
      <c r="W297" s="41"/>
      <c r="X297" s="41"/>
      <c r="Y297" s="41">
        <v>37.837837800000003</v>
      </c>
      <c r="Z297" s="41">
        <v>18.018018000000001</v>
      </c>
      <c r="AA297" s="41">
        <v>44.144144099999998</v>
      </c>
    </row>
    <row r="298" spans="1:39" hidden="1" x14ac:dyDescent="0.3">
      <c r="A298" s="37">
        <v>294</v>
      </c>
      <c r="B298" s="38" t="s">
        <v>521</v>
      </c>
      <c r="C298" s="38" t="s">
        <v>46</v>
      </c>
      <c r="D298" s="38" t="s">
        <v>101</v>
      </c>
      <c r="E298" s="38" t="s">
        <v>104</v>
      </c>
      <c r="F298" s="47" t="s">
        <v>520</v>
      </c>
      <c r="G298" s="40">
        <v>2207</v>
      </c>
      <c r="H298" s="40">
        <v>1036</v>
      </c>
      <c r="I298" s="40">
        <v>352</v>
      </c>
      <c r="J298" s="40">
        <v>819</v>
      </c>
      <c r="K298" s="40">
        <v>2306</v>
      </c>
      <c r="L298" s="40">
        <v>1353</v>
      </c>
      <c r="M298" s="40">
        <v>369</v>
      </c>
      <c r="N298" s="40">
        <v>584</v>
      </c>
      <c r="O298" s="40">
        <v>3698</v>
      </c>
      <c r="P298" s="40">
        <v>2256</v>
      </c>
      <c r="Q298" s="40">
        <v>549</v>
      </c>
      <c r="R298" s="40">
        <v>893</v>
      </c>
      <c r="S298" s="41">
        <v>46.941549600000002</v>
      </c>
      <c r="T298" s="41">
        <v>15.949252400000001</v>
      </c>
      <c r="U298" s="41">
        <v>37.109197999999999</v>
      </c>
      <c r="V298" s="41">
        <v>58.673026900000004</v>
      </c>
      <c r="W298" s="41">
        <v>16.001734599999999</v>
      </c>
      <c r="X298" s="41">
        <v>25.325238500000001</v>
      </c>
      <c r="Y298" s="41">
        <v>61.005949200000003</v>
      </c>
      <c r="Z298" s="41">
        <v>14.8458626</v>
      </c>
      <c r="AA298" s="41">
        <v>24.1481882</v>
      </c>
    </row>
    <row r="299" spans="1:39" hidden="1" x14ac:dyDescent="0.3">
      <c r="A299" s="42">
        <v>295</v>
      </c>
      <c r="B299" s="43" t="s">
        <v>521</v>
      </c>
      <c r="C299" s="50" t="s">
        <v>46</v>
      </c>
      <c r="D299" s="50" t="s">
        <v>101</v>
      </c>
      <c r="E299" s="50" t="s">
        <v>105</v>
      </c>
      <c r="F299" s="51" t="s">
        <v>105</v>
      </c>
      <c r="G299" s="45">
        <v>958</v>
      </c>
      <c r="H299" s="45">
        <v>385</v>
      </c>
      <c r="I299" s="45">
        <v>168</v>
      </c>
      <c r="J299" s="45">
        <v>405</v>
      </c>
      <c r="K299" s="45">
        <v>1234</v>
      </c>
      <c r="L299" s="45">
        <v>547</v>
      </c>
      <c r="M299" s="45">
        <v>222</v>
      </c>
      <c r="N299" s="45">
        <v>465</v>
      </c>
      <c r="O299" s="45">
        <v>1777</v>
      </c>
      <c r="P299" s="45">
        <v>1024</v>
      </c>
      <c r="Q299" s="45">
        <v>308</v>
      </c>
      <c r="R299" s="45">
        <v>445</v>
      </c>
      <c r="S299" s="46">
        <v>40.187891399999998</v>
      </c>
      <c r="T299" s="46">
        <v>17.536534400000001</v>
      </c>
      <c r="U299" s="46">
        <v>42.2755741</v>
      </c>
      <c r="V299" s="46">
        <v>44.327390600000001</v>
      </c>
      <c r="W299" s="46">
        <v>17.990275499999999</v>
      </c>
      <c r="X299" s="46">
        <v>37.682333900000003</v>
      </c>
      <c r="Y299" s="46">
        <v>57.625211</v>
      </c>
      <c r="Z299" s="46">
        <v>17.332583</v>
      </c>
      <c r="AA299" s="46">
        <v>25.042206</v>
      </c>
      <c r="AB299" s="26">
        <f>SUM(W299:X299)</f>
        <v>55.672609399999999</v>
      </c>
      <c r="AC299" s="26">
        <f>SUM(Z299:AA299)</f>
        <v>42.374789</v>
      </c>
      <c r="AD299" s="57">
        <f>M299+N299</f>
        <v>687</v>
      </c>
      <c r="AE299" s="57">
        <f>Q299+R299</f>
        <v>753</v>
      </c>
      <c r="AF299" s="26">
        <f>W299</f>
        <v>17.990275499999999</v>
      </c>
      <c r="AG299" s="26">
        <f>Z299</f>
        <v>17.332583</v>
      </c>
      <c r="AH299" s="26">
        <f>M299</f>
        <v>222</v>
      </c>
      <c r="AI299" s="26">
        <f>Q299</f>
        <v>308</v>
      </c>
      <c r="AJ299" s="26">
        <f>X299</f>
        <v>37.682333900000003</v>
      </c>
      <c r="AK299" s="26">
        <f>AA299</f>
        <v>25.042206</v>
      </c>
      <c r="AL299" s="57">
        <f>N299</f>
        <v>465</v>
      </c>
      <c r="AM299" s="57">
        <f>R299</f>
        <v>445</v>
      </c>
    </row>
    <row r="300" spans="1:39" hidden="1" x14ac:dyDescent="0.3">
      <c r="A300" s="37">
        <v>296</v>
      </c>
      <c r="B300" s="38" t="s">
        <v>521</v>
      </c>
      <c r="C300" s="38" t="s">
        <v>46</v>
      </c>
      <c r="D300" s="38" t="s">
        <v>101</v>
      </c>
      <c r="E300" s="38" t="s">
        <v>105</v>
      </c>
      <c r="F300" s="47" t="s">
        <v>519</v>
      </c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1"/>
      <c r="T300" s="41"/>
      <c r="U300" s="41"/>
      <c r="V300" s="41"/>
      <c r="W300" s="41"/>
      <c r="X300" s="41"/>
      <c r="Y300" s="41"/>
      <c r="Z300" s="41"/>
      <c r="AA300" s="41"/>
    </row>
    <row r="301" spans="1:39" hidden="1" x14ac:dyDescent="0.3">
      <c r="A301" s="37">
        <v>297</v>
      </c>
      <c r="B301" s="38" t="s">
        <v>521</v>
      </c>
      <c r="C301" s="38" t="s">
        <v>46</v>
      </c>
      <c r="D301" s="38" t="s">
        <v>101</v>
      </c>
      <c r="E301" s="38" t="s">
        <v>105</v>
      </c>
      <c r="F301" s="47" t="s">
        <v>520</v>
      </c>
      <c r="G301" s="40">
        <v>958</v>
      </c>
      <c r="H301" s="40">
        <v>385</v>
      </c>
      <c r="I301" s="40">
        <v>168</v>
      </c>
      <c r="J301" s="40">
        <v>405</v>
      </c>
      <c r="K301" s="40">
        <v>1234</v>
      </c>
      <c r="L301" s="40">
        <v>547</v>
      </c>
      <c r="M301" s="40">
        <v>222</v>
      </c>
      <c r="N301" s="40">
        <v>465</v>
      </c>
      <c r="O301" s="40">
        <v>1777</v>
      </c>
      <c r="P301" s="40">
        <v>1024</v>
      </c>
      <c r="Q301" s="40">
        <v>308</v>
      </c>
      <c r="R301" s="40">
        <v>445</v>
      </c>
      <c r="S301" s="41">
        <v>40.187891399999998</v>
      </c>
      <c r="T301" s="41">
        <v>17.536534400000001</v>
      </c>
      <c r="U301" s="41">
        <v>42.2755741</v>
      </c>
      <c r="V301" s="41">
        <v>44.327390600000001</v>
      </c>
      <c r="W301" s="41">
        <v>17.990275499999999</v>
      </c>
      <c r="X301" s="41">
        <v>37.682333900000003</v>
      </c>
      <c r="Y301" s="41">
        <v>57.625211</v>
      </c>
      <c r="Z301" s="41">
        <v>17.332583</v>
      </c>
      <c r="AA301" s="41">
        <v>25.042206</v>
      </c>
    </row>
    <row r="302" spans="1:39" hidden="1" x14ac:dyDescent="0.3">
      <c r="A302" s="42">
        <v>298</v>
      </c>
      <c r="B302" s="43" t="s">
        <v>521</v>
      </c>
      <c r="C302" s="50" t="s">
        <v>46</v>
      </c>
      <c r="D302" s="50" t="s">
        <v>101</v>
      </c>
      <c r="E302" s="50" t="s">
        <v>106</v>
      </c>
      <c r="F302" s="51" t="s">
        <v>106</v>
      </c>
      <c r="G302" s="45">
        <v>2936</v>
      </c>
      <c r="H302" s="45">
        <v>1264</v>
      </c>
      <c r="I302" s="45">
        <v>540</v>
      </c>
      <c r="J302" s="45">
        <v>1132</v>
      </c>
      <c r="K302" s="45">
        <v>3070</v>
      </c>
      <c r="L302" s="45">
        <v>1543</v>
      </c>
      <c r="M302" s="45">
        <v>560</v>
      </c>
      <c r="N302" s="45">
        <v>967</v>
      </c>
      <c r="O302" s="45">
        <v>4892</v>
      </c>
      <c r="P302" s="45">
        <v>3176</v>
      </c>
      <c r="Q302" s="45">
        <v>755</v>
      </c>
      <c r="R302" s="45">
        <v>961</v>
      </c>
      <c r="S302" s="46">
        <v>43.051771100000003</v>
      </c>
      <c r="T302" s="46">
        <v>18.3923706</v>
      </c>
      <c r="U302" s="46">
        <v>38.555858299999997</v>
      </c>
      <c r="V302" s="46">
        <v>50.2605863</v>
      </c>
      <c r="W302" s="46">
        <v>18.2410423</v>
      </c>
      <c r="X302" s="46">
        <v>31.498371299999999</v>
      </c>
      <c r="Y302" s="46">
        <v>64.922322199999996</v>
      </c>
      <c r="Z302" s="46">
        <v>15.4333606</v>
      </c>
      <c r="AA302" s="46">
        <v>19.644317300000001</v>
      </c>
      <c r="AB302" s="26">
        <f>SUM(W302:X302)</f>
        <v>49.739413599999999</v>
      </c>
      <c r="AC302" s="26">
        <f>SUM(Z302:AA302)</f>
        <v>35.077677899999998</v>
      </c>
      <c r="AD302" s="57">
        <f>M302+N302</f>
        <v>1527</v>
      </c>
      <c r="AE302" s="57">
        <f>Q302+R302</f>
        <v>1716</v>
      </c>
      <c r="AF302" s="26">
        <f>W302</f>
        <v>18.2410423</v>
      </c>
      <c r="AG302" s="26">
        <f>Z302</f>
        <v>15.4333606</v>
      </c>
      <c r="AH302" s="26">
        <f>M302</f>
        <v>560</v>
      </c>
      <c r="AI302" s="26">
        <f>Q302</f>
        <v>755</v>
      </c>
      <c r="AJ302" s="26">
        <f>X302</f>
        <v>31.498371299999999</v>
      </c>
      <c r="AK302" s="26">
        <f>AA302</f>
        <v>19.644317300000001</v>
      </c>
      <c r="AL302" s="57">
        <f>N302</f>
        <v>967</v>
      </c>
      <c r="AM302" s="57">
        <f>R302</f>
        <v>961</v>
      </c>
    </row>
    <row r="303" spans="1:39" hidden="1" x14ac:dyDescent="0.3">
      <c r="A303" s="37">
        <v>299</v>
      </c>
      <c r="B303" s="38" t="s">
        <v>521</v>
      </c>
      <c r="C303" s="38" t="s">
        <v>46</v>
      </c>
      <c r="D303" s="38" t="s">
        <v>101</v>
      </c>
      <c r="E303" s="38" t="s">
        <v>106</v>
      </c>
      <c r="F303" s="47" t="s">
        <v>519</v>
      </c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1"/>
      <c r="T303" s="41"/>
      <c r="U303" s="41"/>
      <c r="V303" s="41"/>
      <c r="W303" s="41"/>
      <c r="X303" s="41"/>
      <c r="Y303" s="41"/>
      <c r="Z303" s="41"/>
      <c r="AA303" s="41"/>
    </row>
    <row r="304" spans="1:39" hidden="1" x14ac:dyDescent="0.3">
      <c r="A304" s="37">
        <v>300</v>
      </c>
      <c r="B304" s="38" t="s">
        <v>521</v>
      </c>
      <c r="C304" s="38" t="s">
        <v>46</v>
      </c>
      <c r="D304" s="38" t="s">
        <v>101</v>
      </c>
      <c r="E304" s="38" t="s">
        <v>106</v>
      </c>
      <c r="F304" s="47" t="s">
        <v>520</v>
      </c>
      <c r="G304" s="40">
        <v>2936</v>
      </c>
      <c r="H304" s="40">
        <v>1264</v>
      </c>
      <c r="I304" s="40">
        <v>540</v>
      </c>
      <c r="J304" s="40">
        <v>1132</v>
      </c>
      <c r="K304" s="40">
        <v>3070</v>
      </c>
      <c r="L304" s="40">
        <v>1543</v>
      </c>
      <c r="M304" s="40">
        <v>560</v>
      </c>
      <c r="N304" s="40">
        <v>967</v>
      </c>
      <c r="O304" s="40">
        <v>4892</v>
      </c>
      <c r="P304" s="40">
        <v>3176</v>
      </c>
      <c r="Q304" s="40">
        <v>755</v>
      </c>
      <c r="R304" s="40">
        <v>961</v>
      </c>
      <c r="S304" s="41">
        <v>43.051771100000003</v>
      </c>
      <c r="T304" s="41">
        <v>18.3923706</v>
      </c>
      <c r="U304" s="41">
        <v>38.555858299999997</v>
      </c>
      <c r="V304" s="41">
        <v>50.2605863</v>
      </c>
      <c r="W304" s="41">
        <v>18.2410423</v>
      </c>
      <c r="X304" s="41">
        <v>31.498371299999999</v>
      </c>
      <c r="Y304" s="41">
        <v>64.922322199999996</v>
      </c>
      <c r="Z304" s="41">
        <v>15.4333606</v>
      </c>
      <c r="AA304" s="41">
        <v>19.644317300000001</v>
      </c>
    </row>
    <row r="305" spans="1:39" hidden="1" x14ac:dyDescent="0.3">
      <c r="A305" s="32">
        <v>301</v>
      </c>
      <c r="B305" s="33" t="s">
        <v>1</v>
      </c>
      <c r="C305" s="49" t="s">
        <v>46</v>
      </c>
      <c r="D305" s="49" t="s">
        <v>107</v>
      </c>
      <c r="E305" s="49"/>
      <c r="F305" s="34" t="s">
        <v>107</v>
      </c>
      <c r="G305" s="35">
        <v>15936</v>
      </c>
      <c r="H305" s="35">
        <v>7235</v>
      </c>
      <c r="I305" s="35">
        <v>2609</v>
      </c>
      <c r="J305" s="35">
        <v>6092</v>
      </c>
      <c r="K305" s="35">
        <v>19846</v>
      </c>
      <c r="L305" s="35">
        <v>11250</v>
      </c>
      <c r="M305" s="35">
        <v>3213</v>
      </c>
      <c r="N305" s="35">
        <v>5383</v>
      </c>
      <c r="O305" s="35">
        <v>30583</v>
      </c>
      <c r="P305" s="35">
        <v>19435</v>
      </c>
      <c r="Q305" s="35">
        <v>4436</v>
      </c>
      <c r="R305" s="35">
        <v>6712</v>
      </c>
      <c r="S305" s="36">
        <v>45.400351399999998</v>
      </c>
      <c r="T305" s="36">
        <v>16.371736899999998</v>
      </c>
      <c r="U305" s="36">
        <v>38.227911599999999</v>
      </c>
      <c r="V305" s="36">
        <v>56.686485900000001</v>
      </c>
      <c r="W305" s="36">
        <v>16.189660400000001</v>
      </c>
      <c r="X305" s="36">
        <v>27.123853700000002</v>
      </c>
      <c r="Y305" s="36">
        <v>63.548376500000003</v>
      </c>
      <c r="Z305" s="36">
        <v>14.5047902</v>
      </c>
      <c r="AA305" s="36">
        <v>21.9468332</v>
      </c>
    </row>
    <row r="306" spans="1:39" hidden="1" x14ac:dyDescent="0.3">
      <c r="A306" s="37">
        <v>302</v>
      </c>
      <c r="B306" s="38" t="s">
        <v>1</v>
      </c>
      <c r="C306" s="38" t="s">
        <v>46</v>
      </c>
      <c r="D306" s="38" t="s">
        <v>107</v>
      </c>
      <c r="E306" s="38"/>
      <c r="F306" s="39" t="s">
        <v>519</v>
      </c>
      <c r="G306" s="40">
        <v>1781</v>
      </c>
      <c r="H306" s="40">
        <v>886</v>
      </c>
      <c r="I306" s="40">
        <v>341</v>
      </c>
      <c r="J306" s="40">
        <v>554</v>
      </c>
      <c r="K306" s="40">
        <v>3248</v>
      </c>
      <c r="L306" s="40">
        <v>1826</v>
      </c>
      <c r="M306" s="40">
        <v>586</v>
      </c>
      <c r="N306" s="40">
        <v>836</v>
      </c>
      <c r="O306" s="40">
        <v>5831</v>
      </c>
      <c r="P306" s="40">
        <v>3790</v>
      </c>
      <c r="Q306" s="40">
        <v>885</v>
      </c>
      <c r="R306" s="40">
        <v>1156</v>
      </c>
      <c r="S306" s="41">
        <v>49.747332999999998</v>
      </c>
      <c r="T306" s="41">
        <v>19.146546900000001</v>
      </c>
      <c r="U306" s="41">
        <v>31.106120199999999</v>
      </c>
      <c r="V306" s="41">
        <v>56.219211799999997</v>
      </c>
      <c r="W306" s="41">
        <v>18.0418719</v>
      </c>
      <c r="X306" s="41">
        <v>25.7389163</v>
      </c>
      <c r="Y306" s="41">
        <v>64.997427500000001</v>
      </c>
      <c r="Z306" s="41">
        <v>15.177499600000001</v>
      </c>
      <c r="AA306" s="41">
        <v>19.825072899999999</v>
      </c>
    </row>
    <row r="307" spans="1:39" hidden="1" x14ac:dyDescent="0.3">
      <c r="A307" s="37">
        <v>303</v>
      </c>
      <c r="B307" s="38" t="s">
        <v>1</v>
      </c>
      <c r="C307" s="38" t="s">
        <v>46</v>
      </c>
      <c r="D307" s="38" t="s">
        <v>107</v>
      </c>
      <c r="E307" s="38"/>
      <c r="F307" s="39" t="s">
        <v>520</v>
      </c>
      <c r="G307" s="40">
        <v>14155</v>
      </c>
      <c r="H307" s="40">
        <v>6349</v>
      </c>
      <c r="I307" s="40">
        <v>2268</v>
      </c>
      <c r="J307" s="40">
        <v>5538</v>
      </c>
      <c r="K307" s="40">
        <v>16598</v>
      </c>
      <c r="L307" s="40">
        <v>9424</v>
      </c>
      <c r="M307" s="40">
        <v>2627</v>
      </c>
      <c r="N307" s="40">
        <v>4547</v>
      </c>
      <c r="O307" s="40">
        <v>24752</v>
      </c>
      <c r="P307" s="40">
        <v>15645</v>
      </c>
      <c r="Q307" s="40">
        <v>3551</v>
      </c>
      <c r="R307" s="40">
        <v>5556</v>
      </c>
      <c r="S307" s="41">
        <v>44.853408700000003</v>
      </c>
      <c r="T307" s="41">
        <v>16.0226069</v>
      </c>
      <c r="U307" s="41">
        <v>39.123984499999999</v>
      </c>
      <c r="V307" s="41">
        <v>56.777925099999997</v>
      </c>
      <c r="W307" s="41">
        <v>15.8272081</v>
      </c>
      <c r="X307" s="41">
        <v>27.3948669</v>
      </c>
      <c r="Y307" s="41">
        <v>63.207013600000003</v>
      </c>
      <c r="Z307" s="41">
        <v>14.3463154</v>
      </c>
      <c r="AA307" s="41">
        <v>22.446670999999998</v>
      </c>
    </row>
    <row r="308" spans="1:39" hidden="1" x14ac:dyDescent="0.3">
      <c r="A308" s="42">
        <v>304</v>
      </c>
      <c r="B308" s="43" t="s">
        <v>521</v>
      </c>
      <c r="C308" s="50" t="s">
        <v>46</v>
      </c>
      <c r="D308" s="50" t="s">
        <v>107</v>
      </c>
      <c r="E308" s="50" t="s">
        <v>107</v>
      </c>
      <c r="F308" s="51" t="s">
        <v>107</v>
      </c>
      <c r="G308" s="45">
        <v>4091</v>
      </c>
      <c r="H308" s="45">
        <v>1628</v>
      </c>
      <c r="I308" s="45">
        <v>671</v>
      </c>
      <c r="J308" s="45">
        <v>1792</v>
      </c>
      <c r="K308" s="45">
        <v>4894</v>
      </c>
      <c r="L308" s="45">
        <v>2972</v>
      </c>
      <c r="M308" s="45">
        <v>775</v>
      </c>
      <c r="N308" s="45">
        <v>1147</v>
      </c>
      <c r="O308" s="45">
        <v>7144</v>
      </c>
      <c r="P308" s="45">
        <v>4675</v>
      </c>
      <c r="Q308" s="45">
        <v>983</v>
      </c>
      <c r="R308" s="45">
        <v>1486</v>
      </c>
      <c r="S308" s="46">
        <v>39.794671200000003</v>
      </c>
      <c r="T308" s="46">
        <v>16.401857700000001</v>
      </c>
      <c r="U308" s="46">
        <v>43.803471000000002</v>
      </c>
      <c r="V308" s="46">
        <v>60.727421300000003</v>
      </c>
      <c r="W308" s="46">
        <v>15.835717199999999</v>
      </c>
      <c r="X308" s="46">
        <v>23.436861499999999</v>
      </c>
      <c r="Y308" s="46">
        <v>65.439529699999994</v>
      </c>
      <c r="Z308" s="46">
        <v>13.759798399999999</v>
      </c>
      <c r="AA308" s="46">
        <v>20.800671900000001</v>
      </c>
      <c r="AB308" s="26">
        <f>SUM(W308:X308)</f>
        <v>39.272578699999997</v>
      </c>
      <c r="AC308" s="26">
        <f>SUM(Z308:AA308)</f>
        <v>34.560470299999999</v>
      </c>
      <c r="AD308" s="57">
        <f>M308+N308</f>
        <v>1922</v>
      </c>
      <c r="AE308" s="57">
        <f>Q308+R308</f>
        <v>2469</v>
      </c>
      <c r="AF308" s="26">
        <f>W308</f>
        <v>15.835717199999999</v>
      </c>
      <c r="AG308" s="26">
        <f>Z308</f>
        <v>13.759798399999999</v>
      </c>
      <c r="AH308" s="26">
        <f>M308</f>
        <v>775</v>
      </c>
      <c r="AI308" s="26">
        <f>Q308</f>
        <v>983</v>
      </c>
      <c r="AJ308" s="26">
        <f>X308</f>
        <v>23.436861499999999</v>
      </c>
      <c r="AK308" s="26">
        <f>AA308</f>
        <v>20.800671900000001</v>
      </c>
      <c r="AL308" s="57">
        <f>N308</f>
        <v>1147</v>
      </c>
      <c r="AM308" s="57">
        <f>R308</f>
        <v>1486</v>
      </c>
    </row>
    <row r="309" spans="1:39" hidden="1" x14ac:dyDescent="0.3">
      <c r="A309" s="37">
        <v>305</v>
      </c>
      <c r="B309" s="38" t="s">
        <v>521</v>
      </c>
      <c r="C309" s="38" t="s">
        <v>46</v>
      </c>
      <c r="D309" s="38" t="s">
        <v>107</v>
      </c>
      <c r="E309" s="38" t="s">
        <v>107</v>
      </c>
      <c r="F309" s="47" t="s">
        <v>519</v>
      </c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1"/>
      <c r="T309" s="41"/>
      <c r="U309" s="41"/>
      <c r="V309" s="41"/>
      <c r="W309" s="41"/>
      <c r="X309" s="41"/>
      <c r="Y309" s="41"/>
      <c r="Z309" s="41"/>
      <c r="AA309" s="41"/>
    </row>
    <row r="310" spans="1:39" hidden="1" x14ac:dyDescent="0.3">
      <c r="A310" s="37">
        <v>306</v>
      </c>
      <c r="B310" s="38" t="s">
        <v>521</v>
      </c>
      <c r="C310" s="38" t="s">
        <v>46</v>
      </c>
      <c r="D310" s="38" t="s">
        <v>107</v>
      </c>
      <c r="E310" s="38" t="s">
        <v>107</v>
      </c>
      <c r="F310" s="47" t="s">
        <v>520</v>
      </c>
      <c r="G310" s="40">
        <v>4091</v>
      </c>
      <c r="H310" s="40">
        <v>1628</v>
      </c>
      <c r="I310" s="40">
        <v>671</v>
      </c>
      <c r="J310" s="40">
        <v>1792</v>
      </c>
      <c r="K310" s="40">
        <v>4894</v>
      </c>
      <c r="L310" s="40">
        <v>2972</v>
      </c>
      <c r="M310" s="40">
        <v>775</v>
      </c>
      <c r="N310" s="40">
        <v>1147</v>
      </c>
      <c r="O310" s="40">
        <v>7144</v>
      </c>
      <c r="P310" s="40">
        <v>4675</v>
      </c>
      <c r="Q310" s="40">
        <v>983</v>
      </c>
      <c r="R310" s="40">
        <v>1486</v>
      </c>
      <c r="S310" s="41">
        <v>39.794671200000003</v>
      </c>
      <c r="T310" s="41">
        <v>16.401857700000001</v>
      </c>
      <c r="U310" s="41">
        <v>43.803471000000002</v>
      </c>
      <c r="V310" s="41">
        <v>60.727421300000003</v>
      </c>
      <c r="W310" s="41">
        <v>15.835717199999999</v>
      </c>
      <c r="X310" s="41">
        <v>23.436861499999999</v>
      </c>
      <c r="Y310" s="41">
        <v>65.439529699999994</v>
      </c>
      <c r="Z310" s="41">
        <v>13.759798399999999</v>
      </c>
      <c r="AA310" s="41">
        <v>20.800671900000001</v>
      </c>
    </row>
    <row r="311" spans="1:39" hidden="1" x14ac:dyDescent="0.3">
      <c r="A311" s="42">
        <v>307</v>
      </c>
      <c r="B311" s="43" t="s">
        <v>521</v>
      </c>
      <c r="C311" s="50" t="s">
        <v>46</v>
      </c>
      <c r="D311" s="50" t="s">
        <v>107</v>
      </c>
      <c r="E311" s="50" t="s">
        <v>108</v>
      </c>
      <c r="F311" s="51" t="s">
        <v>108</v>
      </c>
      <c r="G311" s="45">
        <v>2305</v>
      </c>
      <c r="H311" s="45">
        <v>1321</v>
      </c>
      <c r="I311" s="45">
        <v>374</v>
      </c>
      <c r="J311" s="45">
        <v>610</v>
      </c>
      <c r="K311" s="45">
        <v>3387</v>
      </c>
      <c r="L311" s="45">
        <v>2538</v>
      </c>
      <c r="M311" s="45">
        <v>381</v>
      </c>
      <c r="N311" s="45">
        <v>468</v>
      </c>
      <c r="O311" s="45">
        <v>4434</v>
      </c>
      <c r="P311" s="45">
        <v>3201</v>
      </c>
      <c r="Q311" s="45">
        <v>417</v>
      </c>
      <c r="R311" s="45">
        <v>816</v>
      </c>
      <c r="S311" s="46">
        <v>57.310195200000003</v>
      </c>
      <c r="T311" s="46">
        <v>16.225596500000002</v>
      </c>
      <c r="U311" s="46">
        <v>26.464208200000002</v>
      </c>
      <c r="V311" s="46">
        <v>74.933569500000004</v>
      </c>
      <c r="W311" s="46">
        <v>11.2488928</v>
      </c>
      <c r="X311" s="46">
        <v>13.8175376</v>
      </c>
      <c r="Y311" s="46">
        <v>72.192151600000003</v>
      </c>
      <c r="Z311" s="46">
        <v>9.4046008000000008</v>
      </c>
      <c r="AA311" s="46">
        <v>18.4032476</v>
      </c>
      <c r="AB311" s="26">
        <f>SUM(W311:X311)</f>
        <v>25.066430400000002</v>
      </c>
      <c r="AC311" s="26">
        <f>SUM(Z311:AA311)</f>
        <v>27.807848400000001</v>
      </c>
      <c r="AD311" s="57">
        <f>M311+N311</f>
        <v>849</v>
      </c>
      <c r="AE311" s="57">
        <f>Q311+R311</f>
        <v>1233</v>
      </c>
      <c r="AF311" s="26">
        <f>W311</f>
        <v>11.2488928</v>
      </c>
      <c r="AG311" s="26">
        <f>Z311</f>
        <v>9.4046008000000008</v>
      </c>
      <c r="AH311" s="26">
        <f>M311</f>
        <v>381</v>
      </c>
      <c r="AI311" s="26">
        <f>Q311</f>
        <v>417</v>
      </c>
      <c r="AJ311" s="26">
        <f>X311</f>
        <v>13.8175376</v>
      </c>
      <c r="AK311" s="26">
        <f>AA311</f>
        <v>18.4032476</v>
      </c>
      <c r="AL311" s="57">
        <f>N311</f>
        <v>468</v>
      </c>
      <c r="AM311" s="57">
        <f>R311</f>
        <v>816</v>
      </c>
    </row>
    <row r="312" spans="1:39" hidden="1" x14ac:dyDescent="0.3">
      <c r="A312" s="37">
        <v>308</v>
      </c>
      <c r="B312" s="38" t="s">
        <v>521</v>
      </c>
      <c r="C312" s="38" t="s">
        <v>46</v>
      </c>
      <c r="D312" s="38" t="s">
        <v>107</v>
      </c>
      <c r="E312" s="38" t="s">
        <v>108</v>
      </c>
      <c r="F312" s="47" t="s">
        <v>519</v>
      </c>
      <c r="G312" s="40">
        <v>732</v>
      </c>
      <c r="H312" s="40">
        <v>417</v>
      </c>
      <c r="I312" s="40">
        <v>128</v>
      </c>
      <c r="J312" s="40">
        <v>187</v>
      </c>
      <c r="K312" s="40">
        <v>1158</v>
      </c>
      <c r="L312" s="40">
        <v>857</v>
      </c>
      <c r="M312" s="40">
        <v>152</v>
      </c>
      <c r="N312" s="40">
        <v>149</v>
      </c>
      <c r="O312" s="40">
        <v>1610</v>
      </c>
      <c r="P312" s="40">
        <v>1171</v>
      </c>
      <c r="Q312" s="40">
        <v>174</v>
      </c>
      <c r="R312" s="40">
        <v>265</v>
      </c>
      <c r="S312" s="41">
        <v>56.967213100000002</v>
      </c>
      <c r="T312" s="41">
        <v>17.486338799999999</v>
      </c>
      <c r="U312" s="41">
        <v>25.546448099999999</v>
      </c>
      <c r="V312" s="41">
        <v>74.006908499999994</v>
      </c>
      <c r="W312" s="41">
        <v>13.1260794</v>
      </c>
      <c r="X312" s="41">
        <v>12.8670121</v>
      </c>
      <c r="Y312" s="41">
        <v>72.732919300000006</v>
      </c>
      <c r="Z312" s="41">
        <v>10.8074534</v>
      </c>
      <c r="AA312" s="41">
        <v>16.459627300000001</v>
      </c>
    </row>
    <row r="313" spans="1:39" hidden="1" x14ac:dyDescent="0.3">
      <c r="A313" s="37">
        <v>309</v>
      </c>
      <c r="B313" s="38" t="s">
        <v>521</v>
      </c>
      <c r="C313" s="38" t="s">
        <v>46</v>
      </c>
      <c r="D313" s="38" t="s">
        <v>107</v>
      </c>
      <c r="E313" s="38" t="s">
        <v>108</v>
      </c>
      <c r="F313" s="47" t="s">
        <v>520</v>
      </c>
      <c r="G313" s="40">
        <v>1573</v>
      </c>
      <c r="H313" s="40">
        <v>904</v>
      </c>
      <c r="I313" s="40">
        <v>246</v>
      </c>
      <c r="J313" s="40">
        <v>423</v>
      </c>
      <c r="K313" s="40">
        <v>2229</v>
      </c>
      <c r="L313" s="40">
        <v>1681</v>
      </c>
      <c r="M313" s="40">
        <v>229</v>
      </c>
      <c r="N313" s="40">
        <v>319</v>
      </c>
      <c r="O313" s="40">
        <v>2824</v>
      </c>
      <c r="P313" s="40">
        <v>2030</v>
      </c>
      <c r="Q313" s="40">
        <v>243</v>
      </c>
      <c r="R313" s="40">
        <v>551</v>
      </c>
      <c r="S313" s="41">
        <v>57.469802899999998</v>
      </c>
      <c r="T313" s="41">
        <v>15.638906499999999</v>
      </c>
      <c r="U313" s="41">
        <v>26.8912905</v>
      </c>
      <c r="V313" s="41">
        <v>75.4149843</v>
      </c>
      <c r="W313" s="41">
        <v>10.273665299999999</v>
      </c>
      <c r="X313" s="41">
        <v>14.3113504</v>
      </c>
      <c r="Y313" s="41">
        <v>71.883852700000006</v>
      </c>
      <c r="Z313" s="41">
        <v>8.6048159000000002</v>
      </c>
      <c r="AA313" s="41">
        <v>19.5113314</v>
      </c>
    </row>
    <row r="314" spans="1:39" hidden="1" x14ac:dyDescent="0.3">
      <c r="A314" s="42">
        <v>310</v>
      </c>
      <c r="B314" s="43" t="s">
        <v>521</v>
      </c>
      <c r="C314" s="50" t="s">
        <v>46</v>
      </c>
      <c r="D314" s="50" t="s">
        <v>107</v>
      </c>
      <c r="E314" s="50" t="s">
        <v>109</v>
      </c>
      <c r="F314" s="51" t="s">
        <v>109</v>
      </c>
      <c r="G314" s="45">
        <v>1925</v>
      </c>
      <c r="H314" s="45">
        <v>820</v>
      </c>
      <c r="I314" s="45">
        <v>339</v>
      </c>
      <c r="J314" s="45">
        <v>766</v>
      </c>
      <c r="K314" s="45">
        <v>3019</v>
      </c>
      <c r="L314" s="45">
        <v>1737</v>
      </c>
      <c r="M314" s="45">
        <v>531</v>
      </c>
      <c r="N314" s="45">
        <v>751</v>
      </c>
      <c r="O314" s="45">
        <v>5809</v>
      </c>
      <c r="P314" s="45">
        <v>3962</v>
      </c>
      <c r="Q314" s="45">
        <v>836</v>
      </c>
      <c r="R314" s="45">
        <v>1011</v>
      </c>
      <c r="S314" s="46">
        <v>42.597402600000002</v>
      </c>
      <c r="T314" s="46">
        <v>17.610389600000001</v>
      </c>
      <c r="U314" s="46">
        <v>39.7922078</v>
      </c>
      <c r="V314" s="46">
        <v>57.535607800000001</v>
      </c>
      <c r="W314" s="46">
        <v>17.5886055</v>
      </c>
      <c r="X314" s="46">
        <v>24.875786699999999</v>
      </c>
      <c r="Y314" s="46">
        <v>68.204510200000001</v>
      </c>
      <c r="Z314" s="46">
        <v>14.3914615</v>
      </c>
      <c r="AA314" s="46">
        <v>17.404028199999999</v>
      </c>
      <c r="AB314" s="26">
        <f>SUM(W314:X314)</f>
        <v>42.464392199999999</v>
      </c>
      <c r="AC314" s="26">
        <f>SUM(Z314:AA314)</f>
        <v>31.795489699999997</v>
      </c>
      <c r="AD314" s="57">
        <f>M314+N314</f>
        <v>1282</v>
      </c>
      <c r="AE314" s="57">
        <f>Q314+R314</f>
        <v>1847</v>
      </c>
      <c r="AF314" s="26">
        <f>W314</f>
        <v>17.5886055</v>
      </c>
      <c r="AG314" s="26">
        <f>Z314</f>
        <v>14.3914615</v>
      </c>
      <c r="AH314" s="26">
        <f>M314</f>
        <v>531</v>
      </c>
      <c r="AI314" s="26">
        <f>Q314</f>
        <v>836</v>
      </c>
      <c r="AJ314" s="26">
        <f>X314</f>
        <v>24.875786699999999</v>
      </c>
      <c r="AK314" s="26">
        <f>AA314</f>
        <v>17.404028199999999</v>
      </c>
      <c r="AL314" s="57">
        <f>N314</f>
        <v>751</v>
      </c>
      <c r="AM314" s="57">
        <f>R314</f>
        <v>1011</v>
      </c>
    </row>
    <row r="315" spans="1:39" hidden="1" x14ac:dyDescent="0.3">
      <c r="A315" s="37">
        <v>311</v>
      </c>
      <c r="B315" s="38" t="s">
        <v>521</v>
      </c>
      <c r="C315" s="38" t="s">
        <v>46</v>
      </c>
      <c r="D315" s="38" t="s">
        <v>107</v>
      </c>
      <c r="E315" s="38" t="s">
        <v>109</v>
      </c>
      <c r="F315" s="47" t="s">
        <v>519</v>
      </c>
      <c r="G315" s="40"/>
      <c r="H315" s="40"/>
      <c r="I315" s="40"/>
      <c r="J315" s="40"/>
      <c r="K315" s="40"/>
      <c r="L315" s="40"/>
      <c r="M315" s="40"/>
      <c r="N315" s="40"/>
      <c r="O315" s="40">
        <v>706</v>
      </c>
      <c r="P315" s="40">
        <v>416</v>
      </c>
      <c r="Q315" s="40">
        <v>121</v>
      </c>
      <c r="R315" s="40">
        <v>169</v>
      </c>
      <c r="S315" s="41"/>
      <c r="T315" s="41"/>
      <c r="U315" s="41"/>
      <c r="V315" s="41"/>
      <c r="W315" s="41"/>
      <c r="X315" s="41"/>
      <c r="Y315" s="41">
        <v>58.923512700000003</v>
      </c>
      <c r="Z315" s="41">
        <v>17.138810200000002</v>
      </c>
      <c r="AA315" s="41">
        <v>23.937677099999998</v>
      </c>
    </row>
    <row r="316" spans="1:39" hidden="1" x14ac:dyDescent="0.3">
      <c r="A316" s="37">
        <v>312</v>
      </c>
      <c r="B316" s="38" t="s">
        <v>521</v>
      </c>
      <c r="C316" s="38" t="s">
        <v>46</v>
      </c>
      <c r="D316" s="38" t="s">
        <v>107</v>
      </c>
      <c r="E316" s="38" t="s">
        <v>109</v>
      </c>
      <c r="F316" s="47" t="s">
        <v>520</v>
      </c>
      <c r="G316" s="40">
        <v>1925</v>
      </c>
      <c r="H316" s="40">
        <v>820</v>
      </c>
      <c r="I316" s="40">
        <v>339</v>
      </c>
      <c r="J316" s="40">
        <v>766</v>
      </c>
      <c r="K316" s="40">
        <v>3019</v>
      </c>
      <c r="L316" s="40">
        <v>1737</v>
      </c>
      <c r="M316" s="40">
        <v>531</v>
      </c>
      <c r="N316" s="40">
        <v>751</v>
      </c>
      <c r="O316" s="40">
        <v>5103</v>
      </c>
      <c r="P316" s="40">
        <v>3546</v>
      </c>
      <c r="Q316" s="40">
        <v>715</v>
      </c>
      <c r="R316" s="40">
        <v>842</v>
      </c>
      <c r="S316" s="41">
        <v>42.597402600000002</v>
      </c>
      <c r="T316" s="41">
        <v>17.610389600000001</v>
      </c>
      <c r="U316" s="41">
        <v>39.7922078</v>
      </c>
      <c r="V316" s="41">
        <v>57.535607800000001</v>
      </c>
      <c r="W316" s="41">
        <v>17.5886055</v>
      </c>
      <c r="X316" s="41">
        <v>24.875786699999999</v>
      </c>
      <c r="Y316" s="41">
        <v>69.488536199999999</v>
      </c>
      <c r="Z316" s="41">
        <v>14.011365899999999</v>
      </c>
      <c r="AA316" s="41">
        <v>16.500098000000001</v>
      </c>
    </row>
    <row r="317" spans="1:39" hidden="1" x14ac:dyDescent="0.3">
      <c r="A317" s="42">
        <v>313</v>
      </c>
      <c r="B317" s="43" t="s">
        <v>521</v>
      </c>
      <c r="C317" s="50" t="s">
        <v>46</v>
      </c>
      <c r="D317" s="50" t="s">
        <v>107</v>
      </c>
      <c r="E317" s="50" t="s">
        <v>110</v>
      </c>
      <c r="F317" s="51" t="s">
        <v>110</v>
      </c>
      <c r="G317" s="45">
        <v>4953</v>
      </c>
      <c r="H317" s="45">
        <v>2190</v>
      </c>
      <c r="I317" s="45">
        <v>843</v>
      </c>
      <c r="J317" s="45">
        <v>1920</v>
      </c>
      <c r="K317" s="45">
        <v>5830</v>
      </c>
      <c r="L317" s="45">
        <v>3116</v>
      </c>
      <c r="M317" s="45">
        <v>1062</v>
      </c>
      <c r="N317" s="45">
        <v>1652</v>
      </c>
      <c r="O317" s="45">
        <v>7870</v>
      </c>
      <c r="P317" s="45">
        <v>4744</v>
      </c>
      <c r="Q317" s="45">
        <v>1268</v>
      </c>
      <c r="R317" s="45">
        <v>1858</v>
      </c>
      <c r="S317" s="46">
        <v>44.215626899999997</v>
      </c>
      <c r="T317" s="46">
        <v>17.0199879</v>
      </c>
      <c r="U317" s="46">
        <v>38.7643852</v>
      </c>
      <c r="V317" s="46">
        <v>53.4476844</v>
      </c>
      <c r="W317" s="46">
        <v>18.216123499999998</v>
      </c>
      <c r="X317" s="46">
        <v>28.336192100000002</v>
      </c>
      <c r="Y317" s="46">
        <v>60.279542599999999</v>
      </c>
      <c r="Z317" s="46">
        <v>16.111816999999999</v>
      </c>
      <c r="AA317" s="46">
        <v>23.608640399999999</v>
      </c>
      <c r="AB317" s="26">
        <f>SUM(W317:X317)</f>
        <v>46.5523156</v>
      </c>
      <c r="AC317" s="26">
        <f>SUM(Z317:AA317)</f>
        <v>39.720457400000001</v>
      </c>
      <c r="AD317" s="57">
        <f>M317+N317</f>
        <v>2714</v>
      </c>
      <c r="AE317" s="57">
        <f>Q317+R317</f>
        <v>3126</v>
      </c>
      <c r="AF317" s="26">
        <f>W317</f>
        <v>18.216123499999998</v>
      </c>
      <c r="AG317" s="26">
        <f>Z317</f>
        <v>16.111816999999999</v>
      </c>
      <c r="AH317" s="26">
        <f>M317</f>
        <v>1062</v>
      </c>
      <c r="AI317" s="26">
        <f>Q317</f>
        <v>1268</v>
      </c>
      <c r="AJ317" s="26">
        <f>X317</f>
        <v>28.336192100000002</v>
      </c>
      <c r="AK317" s="26">
        <f>AA317</f>
        <v>23.608640399999999</v>
      </c>
      <c r="AL317" s="57">
        <f>N317</f>
        <v>1652</v>
      </c>
      <c r="AM317" s="57">
        <f>R317</f>
        <v>1858</v>
      </c>
    </row>
    <row r="318" spans="1:39" hidden="1" x14ac:dyDescent="0.3">
      <c r="A318" s="37">
        <v>314</v>
      </c>
      <c r="B318" s="38" t="s">
        <v>521</v>
      </c>
      <c r="C318" s="38" t="s">
        <v>46</v>
      </c>
      <c r="D318" s="38" t="s">
        <v>107</v>
      </c>
      <c r="E318" s="38" t="s">
        <v>110</v>
      </c>
      <c r="F318" s="47" t="s">
        <v>519</v>
      </c>
      <c r="G318" s="40">
        <v>1049</v>
      </c>
      <c r="H318" s="40">
        <v>469</v>
      </c>
      <c r="I318" s="40">
        <v>213</v>
      </c>
      <c r="J318" s="40">
        <v>367</v>
      </c>
      <c r="K318" s="40">
        <v>1728</v>
      </c>
      <c r="L318" s="40">
        <v>888</v>
      </c>
      <c r="M318" s="40">
        <v>355</v>
      </c>
      <c r="N318" s="40">
        <v>485</v>
      </c>
      <c r="O318" s="40">
        <v>2222</v>
      </c>
      <c r="P318" s="40">
        <v>1614</v>
      </c>
      <c r="Q318" s="40">
        <v>312</v>
      </c>
      <c r="R318" s="40">
        <v>296</v>
      </c>
      <c r="S318" s="41">
        <v>44.709246899999997</v>
      </c>
      <c r="T318" s="41">
        <v>20.305052400000001</v>
      </c>
      <c r="U318" s="41">
        <v>34.985700700000002</v>
      </c>
      <c r="V318" s="41">
        <v>51.388888899999998</v>
      </c>
      <c r="W318" s="41">
        <v>20.543981500000001</v>
      </c>
      <c r="X318" s="41">
        <v>28.067129600000001</v>
      </c>
      <c r="Y318" s="41">
        <v>72.637263700000005</v>
      </c>
      <c r="Z318" s="41">
        <v>14.041404099999999</v>
      </c>
      <c r="AA318" s="41">
        <v>13.321332099999999</v>
      </c>
    </row>
    <row r="319" spans="1:39" hidden="1" x14ac:dyDescent="0.3">
      <c r="A319" s="37">
        <v>315</v>
      </c>
      <c r="B319" s="38" t="s">
        <v>521</v>
      </c>
      <c r="C319" s="38" t="s">
        <v>46</v>
      </c>
      <c r="D319" s="38" t="s">
        <v>107</v>
      </c>
      <c r="E319" s="38" t="s">
        <v>110</v>
      </c>
      <c r="F319" s="47" t="s">
        <v>520</v>
      </c>
      <c r="G319" s="40">
        <v>3904</v>
      </c>
      <c r="H319" s="40">
        <v>1721</v>
      </c>
      <c r="I319" s="40">
        <v>630</v>
      </c>
      <c r="J319" s="40">
        <v>1553</v>
      </c>
      <c r="K319" s="40">
        <v>4102</v>
      </c>
      <c r="L319" s="40">
        <v>2228</v>
      </c>
      <c r="M319" s="40">
        <v>707</v>
      </c>
      <c r="N319" s="40">
        <v>1167</v>
      </c>
      <c r="O319" s="40">
        <v>5648</v>
      </c>
      <c r="P319" s="40">
        <v>3130</v>
      </c>
      <c r="Q319" s="40">
        <v>956</v>
      </c>
      <c r="R319" s="40">
        <v>1562</v>
      </c>
      <c r="S319" s="41">
        <v>44.082991800000002</v>
      </c>
      <c r="T319" s="41">
        <v>16.137295099999999</v>
      </c>
      <c r="U319" s="41">
        <v>39.779713100000002</v>
      </c>
      <c r="V319" s="41">
        <v>54.314968299999997</v>
      </c>
      <c r="W319" s="41">
        <v>17.235494899999999</v>
      </c>
      <c r="X319" s="41">
        <v>28.449536800000001</v>
      </c>
      <c r="Y319" s="41">
        <v>55.417847000000002</v>
      </c>
      <c r="Z319" s="41">
        <v>16.926345600000001</v>
      </c>
      <c r="AA319" s="41">
        <v>27.6558074</v>
      </c>
    </row>
    <row r="320" spans="1:39" hidden="1" x14ac:dyDescent="0.3">
      <c r="A320" s="42">
        <v>316</v>
      </c>
      <c r="B320" s="43" t="s">
        <v>521</v>
      </c>
      <c r="C320" s="50" t="s">
        <v>46</v>
      </c>
      <c r="D320" s="50" t="s">
        <v>107</v>
      </c>
      <c r="E320" s="50" t="s">
        <v>111</v>
      </c>
      <c r="F320" s="51" t="s">
        <v>111</v>
      </c>
      <c r="G320" s="45">
        <v>1924</v>
      </c>
      <c r="H320" s="45">
        <v>917</v>
      </c>
      <c r="I320" s="45">
        <v>265</v>
      </c>
      <c r="J320" s="45">
        <v>742</v>
      </c>
      <c r="K320" s="45">
        <v>1695</v>
      </c>
      <c r="L320" s="45">
        <v>575</v>
      </c>
      <c r="M320" s="45">
        <v>271</v>
      </c>
      <c r="N320" s="45">
        <v>849</v>
      </c>
      <c r="O320" s="45">
        <v>3455</v>
      </c>
      <c r="P320" s="45">
        <v>1995</v>
      </c>
      <c r="Q320" s="45">
        <v>521</v>
      </c>
      <c r="R320" s="45">
        <v>939</v>
      </c>
      <c r="S320" s="46">
        <v>47.6611227</v>
      </c>
      <c r="T320" s="46">
        <v>13.773388799999999</v>
      </c>
      <c r="U320" s="46">
        <v>38.565488600000002</v>
      </c>
      <c r="V320" s="46">
        <v>33.923303799999999</v>
      </c>
      <c r="W320" s="46">
        <v>15.988200600000001</v>
      </c>
      <c r="X320" s="46">
        <v>50.088495600000002</v>
      </c>
      <c r="Y320" s="46">
        <v>57.742402300000002</v>
      </c>
      <c r="Z320" s="46">
        <v>15.079594800000001</v>
      </c>
      <c r="AA320" s="46">
        <v>27.178002899999999</v>
      </c>
      <c r="AB320" s="26">
        <f>SUM(W320:X320)</f>
        <v>66.076696200000001</v>
      </c>
      <c r="AC320" s="26">
        <f>SUM(Z320:AA320)</f>
        <v>42.257597699999998</v>
      </c>
      <c r="AD320" s="57">
        <f>M320+N320</f>
        <v>1120</v>
      </c>
      <c r="AE320" s="57">
        <f>Q320+R320</f>
        <v>1460</v>
      </c>
      <c r="AF320" s="26">
        <f>W320</f>
        <v>15.988200600000001</v>
      </c>
      <c r="AG320" s="26">
        <f>Z320</f>
        <v>15.079594800000001</v>
      </c>
      <c r="AH320" s="26">
        <f>M320</f>
        <v>271</v>
      </c>
      <c r="AI320" s="26">
        <f>Q320</f>
        <v>521</v>
      </c>
      <c r="AJ320" s="26">
        <f>X320</f>
        <v>50.088495600000002</v>
      </c>
      <c r="AK320" s="26">
        <f>AA320</f>
        <v>27.178002899999999</v>
      </c>
      <c r="AL320" s="57">
        <f>N320</f>
        <v>849</v>
      </c>
      <c r="AM320" s="57">
        <f>R320</f>
        <v>939</v>
      </c>
    </row>
    <row r="321" spans="1:39" hidden="1" x14ac:dyDescent="0.3">
      <c r="A321" s="37">
        <v>317</v>
      </c>
      <c r="B321" s="38" t="s">
        <v>521</v>
      </c>
      <c r="C321" s="38" t="s">
        <v>46</v>
      </c>
      <c r="D321" s="38" t="s">
        <v>107</v>
      </c>
      <c r="E321" s="38" t="s">
        <v>111</v>
      </c>
      <c r="F321" s="47" t="s">
        <v>519</v>
      </c>
      <c r="G321" s="40"/>
      <c r="H321" s="40"/>
      <c r="I321" s="40"/>
      <c r="J321" s="40"/>
      <c r="K321" s="40"/>
      <c r="L321" s="40"/>
      <c r="M321" s="40"/>
      <c r="N321" s="40"/>
      <c r="O321" s="40">
        <v>480</v>
      </c>
      <c r="P321" s="40">
        <v>200</v>
      </c>
      <c r="Q321" s="40">
        <v>99</v>
      </c>
      <c r="R321" s="40">
        <v>181</v>
      </c>
      <c r="S321" s="41"/>
      <c r="T321" s="41"/>
      <c r="U321" s="41"/>
      <c r="V321" s="41"/>
      <c r="W321" s="41"/>
      <c r="X321" s="41"/>
      <c r="Y321" s="41">
        <v>41.6666667</v>
      </c>
      <c r="Z321" s="41">
        <v>20.625</v>
      </c>
      <c r="AA321" s="41">
        <v>37.7083333</v>
      </c>
    </row>
    <row r="322" spans="1:39" hidden="1" x14ac:dyDescent="0.3">
      <c r="A322" s="37">
        <v>318</v>
      </c>
      <c r="B322" s="38" t="s">
        <v>521</v>
      </c>
      <c r="C322" s="38" t="s">
        <v>46</v>
      </c>
      <c r="D322" s="38" t="s">
        <v>107</v>
      </c>
      <c r="E322" s="38" t="s">
        <v>111</v>
      </c>
      <c r="F322" s="47" t="s">
        <v>520</v>
      </c>
      <c r="G322" s="40">
        <v>1924</v>
      </c>
      <c r="H322" s="40">
        <v>917</v>
      </c>
      <c r="I322" s="40">
        <v>265</v>
      </c>
      <c r="J322" s="40">
        <v>742</v>
      </c>
      <c r="K322" s="40">
        <v>1695</v>
      </c>
      <c r="L322" s="40">
        <v>575</v>
      </c>
      <c r="M322" s="40">
        <v>271</v>
      </c>
      <c r="N322" s="40">
        <v>849</v>
      </c>
      <c r="O322" s="40">
        <v>2975</v>
      </c>
      <c r="P322" s="40">
        <v>1795</v>
      </c>
      <c r="Q322" s="40">
        <v>422</v>
      </c>
      <c r="R322" s="40">
        <v>758</v>
      </c>
      <c r="S322" s="41">
        <v>47.6611227</v>
      </c>
      <c r="T322" s="41">
        <v>13.773388799999999</v>
      </c>
      <c r="U322" s="41">
        <v>38.565488600000002</v>
      </c>
      <c r="V322" s="41">
        <v>33.923303799999999</v>
      </c>
      <c r="W322" s="41">
        <v>15.988200600000001</v>
      </c>
      <c r="X322" s="41">
        <v>50.088495600000002</v>
      </c>
      <c r="Y322" s="41">
        <v>60.3361345</v>
      </c>
      <c r="Z322" s="41">
        <v>14.184873899999999</v>
      </c>
      <c r="AA322" s="41">
        <v>25.478991600000001</v>
      </c>
    </row>
    <row r="323" spans="1:39" hidden="1" x14ac:dyDescent="0.3">
      <c r="A323" s="42">
        <v>319</v>
      </c>
      <c r="B323" s="43" t="s">
        <v>521</v>
      </c>
      <c r="C323" s="50" t="s">
        <v>46</v>
      </c>
      <c r="D323" s="50" t="s">
        <v>107</v>
      </c>
      <c r="E323" s="50" t="s">
        <v>112</v>
      </c>
      <c r="F323" s="51" t="s">
        <v>112</v>
      </c>
      <c r="G323" s="45">
        <v>738</v>
      </c>
      <c r="H323" s="45">
        <v>359</v>
      </c>
      <c r="I323" s="45">
        <v>117</v>
      </c>
      <c r="J323" s="45">
        <v>262</v>
      </c>
      <c r="K323" s="45">
        <v>1021</v>
      </c>
      <c r="L323" s="45">
        <v>312</v>
      </c>
      <c r="M323" s="45">
        <v>193</v>
      </c>
      <c r="N323" s="45">
        <v>516</v>
      </c>
      <c r="O323" s="45">
        <v>1871</v>
      </c>
      <c r="P323" s="45">
        <v>858</v>
      </c>
      <c r="Q323" s="45">
        <v>411</v>
      </c>
      <c r="R323" s="45">
        <v>602</v>
      </c>
      <c r="S323" s="46">
        <v>48.644986400000001</v>
      </c>
      <c r="T323" s="46">
        <v>15.8536585</v>
      </c>
      <c r="U323" s="46">
        <v>35.501354999999997</v>
      </c>
      <c r="V323" s="46">
        <v>30.558276200000002</v>
      </c>
      <c r="W323" s="46">
        <v>18.903036199999999</v>
      </c>
      <c r="X323" s="46">
        <v>50.538687600000003</v>
      </c>
      <c r="Y323" s="46">
        <v>45.85783</v>
      </c>
      <c r="Z323" s="46">
        <v>21.966862599999999</v>
      </c>
      <c r="AA323" s="46">
        <v>32.1753073</v>
      </c>
      <c r="AB323" s="26">
        <f>SUM(W323:X323)</f>
        <v>69.441723800000005</v>
      </c>
      <c r="AC323" s="26">
        <f>SUM(Z323:AA323)</f>
        <v>54.142169899999999</v>
      </c>
      <c r="AD323" s="57">
        <f>M323+N323</f>
        <v>709</v>
      </c>
      <c r="AE323" s="57">
        <f>Q323+R323</f>
        <v>1013</v>
      </c>
      <c r="AF323" s="26">
        <f>W323</f>
        <v>18.903036199999999</v>
      </c>
      <c r="AG323" s="26">
        <f>Z323</f>
        <v>21.966862599999999</v>
      </c>
      <c r="AH323" s="26">
        <f>M323</f>
        <v>193</v>
      </c>
      <c r="AI323" s="26">
        <f>Q323</f>
        <v>411</v>
      </c>
      <c r="AJ323" s="26">
        <f>X323</f>
        <v>50.538687600000003</v>
      </c>
      <c r="AK323" s="26">
        <f>AA323</f>
        <v>32.1753073</v>
      </c>
      <c r="AL323" s="57">
        <f>N323</f>
        <v>516</v>
      </c>
      <c r="AM323" s="57">
        <f>R323</f>
        <v>602</v>
      </c>
    </row>
    <row r="324" spans="1:39" hidden="1" x14ac:dyDescent="0.3">
      <c r="A324" s="37">
        <v>320</v>
      </c>
      <c r="B324" s="38" t="s">
        <v>521</v>
      </c>
      <c r="C324" s="38" t="s">
        <v>46</v>
      </c>
      <c r="D324" s="38" t="s">
        <v>107</v>
      </c>
      <c r="E324" s="38" t="s">
        <v>112</v>
      </c>
      <c r="F324" s="47" t="s">
        <v>519</v>
      </c>
      <c r="G324" s="40"/>
      <c r="H324" s="40"/>
      <c r="I324" s="40"/>
      <c r="J324" s="40"/>
      <c r="K324" s="40">
        <v>362</v>
      </c>
      <c r="L324" s="40">
        <v>81</v>
      </c>
      <c r="M324" s="40">
        <v>79</v>
      </c>
      <c r="N324" s="40">
        <v>202</v>
      </c>
      <c r="O324" s="40">
        <v>813</v>
      </c>
      <c r="P324" s="40">
        <v>389</v>
      </c>
      <c r="Q324" s="40">
        <v>179</v>
      </c>
      <c r="R324" s="40">
        <v>245</v>
      </c>
      <c r="S324" s="41"/>
      <c r="T324" s="41"/>
      <c r="U324" s="41"/>
      <c r="V324" s="41">
        <v>22.375690599999999</v>
      </c>
      <c r="W324" s="41">
        <v>21.823204400000002</v>
      </c>
      <c r="X324" s="41">
        <v>55.801105</v>
      </c>
      <c r="Y324" s="41">
        <v>47.847478500000001</v>
      </c>
      <c r="Z324" s="41">
        <v>22.017220200000001</v>
      </c>
      <c r="AA324" s="41">
        <v>30.135301399999999</v>
      </c>
    </row>
    <row r="325" spans="1:39" hidden="1" x14ac:dyDescent="0.3">
      <c r="A325" s="37">
        <v>321</v>
      </c>
      <c r="B325" s="38" t="s">
        <v>521</v>
      </c>
      <c r="C325" s="38" t="s">
        <v>46</v>
      </c>
      <c r="D325" s="38" t="s">
        <v>107</v>
      </c>
      <c r="E325" s="38" t="s">
        <v>112</v>
      </c>
      <c r="F325" s="47" t="s">
        <v>520</v>
      </c>
      <c r="G325" s="40">
        <v>738</v>
      </c>
      <c r="H325" s="40">
        <v>359</v>
      </c>
      <c r="I325" s="40">
        <v>117</v>
      </c>
      <c r="J325" s="40">
        <v>262</v>
      </c>
      <c r="K325" s="40">
        <v>659</v>
      </c>
      <c r="L325" s="40">
        <v>231</v>
      </c>
      <c r="M325" s="40">
        <v>114</v>
      </c>
      <c r="N325" s="40">
        <v>314</v>
      </c>
      <c r="O325" s="40">
        <v>1058</v>
      </c>
      <c r="P325" s="40">
        <v>469</v>
      </c>
      <c r="Q325" s="40">
        <v>232</v>
      </c>
      <c r="R325" s="40">
        <v>357</v>
      </c>
      <c r="S325" s="41">
        <v>48.644986400000001</v>
      </c>
      <c r="T325" s="41">
        <v>15.8536585</v>
      </c>
      <c r="U325" s="41">
        <v>35.501354999999997</v>
      </c>
      <c r="V325" s="41">
        <v>35.053110799999999</v>
      </c>
      <c r="W325" s="41">
        <v>17.298937800000001</v>
      </c>
      <c r="X325" s="41">
        <v>47.647951399999997</v>
      </c>
      <c r="Y325" s="41">
        <v>44.328922499999997</v>
      </c>
      <c r="Z325" s="41">
        <v>21.928166399999999</v>
      </c>
      <c r="AA325" s="41">
        <v>33.742911200000002</v>
      </c>
    </row>
    <row r="326" spans="1:39" hidden="1" x14ac:dyDescent="0.3">
      <c r="A326" s="32">
        <v>322</v>
      </c>
      <c r="B326" s="33" t="s">
        <v>1</v>
      </c>
      <c r="C326" s="49" t="s">
        <v>46</v>
      </c>
      <c r="D326" s="49" t="s">
        <v>523</v>
      </c>
      <c r="E326" s="49"/>
      <c r="F326" s="34" t="s">
        <v>523</v>
      </c>
      <c r="G326" s="35">
        <v>17566</v>
      </c>
      <c r="H326" s="35">
        <v>8858</v>
      </c>
      <c r="I326" s="35">
        <v>3178</v>
      </c>
      <c r="J326" s="35">
        <v>5530</v>
      </c>
      <c r="K326" s="35">
        <v>37770</v>
      </c>
      <c r="L326" s="35">
        <v>24734</v>
      </c>
      <c r="M326" s="35">
        <v>6071</v>
      </c>
      <c r="N326" s="35">
        <v>6965</v>
      </c>
      <c r="O326" s="35">
        <v>49680</v>
      </c>
      <c r="P326" s="35">
        <v>35779</v>
      </c>
      <c r="Q326" s="35">
        <v>6090</v>
      </c>
      <c r="R326" s="35">
        <v>7811</v>
      </c>
      <c r="S326" s="36">
        <v>50.426961200000001</v>
      </c>
      <c r="T326" s="36">
        <v>18.091768200000001</v>
      </c>
      <c r="U326" s="36">
        <v>31.481270599999998</v>
      </c>
      <c r="V326" s="36">
        <v>65.485835300000005</v>
      </c>
      <c r="W326" s="36">
        <v>16.0736034</v>
      </c>
      <c r="X326" s="36">
        <v>18.440561299999999</v>
      </c>
      <c r="Y326" s="36">
        <v>72.0189211</v>
      </c>
      <c r="Z326" s="36">
        <v>12.2584541</v>
      </c>
      <c r="AA326" s="36">
        <v>15.7226248</v>
      </c>
    </row>
    <row r="327" spans="1:39" hidden="1" x14ac:dyDescent="0.3">
      <c r="A327" s="37">
        <v>323</v>
      </c>
      <c r="B327" s="38" t="s">
        <v>1</v>
      </c>
      <c r="C327" s="38" t="s">
        <v>46</v>
      </c>
      <c r="D327" s="38" t="s">
        <v>523</v>
      </c>
      <c r="E327" s="38"/>
      <c r="F327" s="39" t="s">
        <v>519</v>
      </c>
      <c r="G327" s="40">
        <v>1461</v>
      </c>
      <c r="H327" s="40">
        <v>801</v>
      </c>
      <c r="I327" s="40">
        <v>250</v>
      </c>
      <c r="J327" s="40">
        <v>410</v>
      </c>
      <c r="K327" s="40">
        <v>3806</v>
      </c>
      <c r="L327" s="40">
        <v>2778</v>
      </c>
      <c r="M327" s="40">
        <v>560</v>
      </c>
      <c r="N327" s="40">
        <v>468</v>
      </c>
      <c r="O327" s="40">
        <v>6744</v>
      </c>
      <c r="P327" s="40">
        <v>5267</v>
      </c>
      <c r="Q327" s="40">
        <v>645</v>
      </c>
      <c r="R327" s="40">
        <v>832</v>
      </c>
      <c r="S327" s="41">
        <v>54.825462000000002</v>
      </c>
      <c r="T327" s="41">
        <v>17.111567399999998</v>
      </c>
      <c r="U327" s="41">
        <v>28.0629706</v>
      </c>
      <c r="V327" s="41">
        <v>72.990015799999995</v>
      </c>
      <c r="W327" s="41">
        <v>14.7136101</v>
      </c>
      <c r="X327" s="41">
        <v>12.2963741</v>
      </c>
      <c r="Y327" s="41">
        <v>78.099051000000003</v>
      </c>
      <c r="Z327" s="41">
        <v>9.5640569000000006</v>
      </c>
      <c r="AA327" s="41">
        <v>12.3368921</v>
      </c>
    </row>
    <row r="328" spans="1:39" hidden="1" x14ac:dyDescent="0.3">
      <c r="A328" s="37">
        <v>324</v>
      </c>
      <c r="B328" s="38" t="s">
        <v>1</v>
      </c>
      <c r="C328" s="38" t="s">
        <v>46</v>
      </c>
      <c r="D328" s="38" t="s">
        <v>523</v>
      </c>
      <c r="E328" s="38"/>
      <c r="F328" s="39" t="s">
        <v>520</v>
      </c>
      <c r="G328" s="40">
        <v>16105</v>
      </c>
      <c r="H328" s="40">
        <v>8057</v>
      </c>
      <c r="I328" s="40">
        <v>2928</v>
      </c>
      <c r="J328" s="40">
        <v>5120</v>
      </c>
      <c r="K328" s="40">
        <v>33964</v>
      </c>
      <c r="L328" s="40">
        <v>21956</v>
      </c>
      <c r="M328" s="40">
        <v>5511</v>
      </c>
      <c r="N328" s="40">
        <v>6497</v>
      </c>
      <c r="O328" s="40">
        <v>42936</v>
      </c>
      <c r="P328" s="40">
        <v>30512</v>
      </c>
      <c r="Q328" s="40">
        <v>5445</v>
      </c>
      <c r="R328" s="40">
        <v>6979</v>
      </c>
      <c r="S328" s="41">
        <v>50.027941599999998</v>
      </c>
      <c r="T328" s="41">
        <v>18.1806892</v>
      </c>
      <c r="U328" s="41">
        <v>31.791369100000001</v>
      </c>
      <c r="V328" s="41">
        <v>64.644918099999998</v>
      </c>
      <c r="W328" s="41">
        <v>16.226004</v>
      </c>
      <c r="X328" s="41">
        <v>19.129077800000001</v>
      </c>
      <c r="Y328" s="41">
        <v>71.063909100000004</v>
      </c>
      <c r="Z328" s="41">
        <v>12.6816657</v>
      </c>
      <c r="AA328" s="41">
        <v>16.2544252</v>
      </c>
    </row>
    <row r="329" spans="1:39" hidden="1" x14ac:dyDescent="0.3">
      <c r="A329" s="42">
        <v>325</v>
      </c>
      <c r="B329" s="43" t="s">
        <v>521</v>
      </c>
      <c r="C329" s="50" t="s">
        <v>46</v>
      </c>
      <c r="D329" s="50" t="s">
        <v>523</v>
      </c>
      <c r="E329" s="50" t="s">
        <v>114</v>
      </c>
      <c r="F329" s="51" t="s">
        <v>114</v>
      </c>
      <c r="G329" s="45">
        <v>3734</v>
      </c>
      <c r="H329" s="45">
        <v>1980</v>
      </c>
      <c r="I329" s="45">
        <v>727</v>
      </c>
      <c r="J329" s="45">
        <v>1027</v>
      </c>
      <c r="K329" s="45">
        <v>6079</v>
      </c>
      <c r="L329" s="45">
        <v>4010</v>
      </c>
      <c r="M329" s="45">
        <v>1015</v>
      </c>
      <c r="N329" s="45">
        <v>1054</v>
      </c>
      <c r="O329" s="45">
        <v>7214</v>
      </c>
      <c r="P329" s="45">
        <v>5300</v>
      </c>
      <c r="Q329" s="45">
        <v>893</v>
      </c>
      <c r="R329" s="45">
        <v>1021</v>
      </c>
      <c r="S329" s="46">
        <v>53.026245299999999</v>
      </c>
      <c r="T329" s="46">
        <v>19.469737500000001</v>
      </c>
      <c r="U329" s="46">
        <v>27.504017099999999</v>
      </c>
      <c r="V329" s="46">
        <v>65.964796800000002</v>
      </c>
      <c r="W329" s="46">
        <v>16.696825100000002</v>
      </c>
      <c r="X329" s="46">
        <v>17.338377999999999</v>
      </c>
      <c r="Y329" s="46">
        <v>73.468256199999999</v>
      </c>
      <c r="Z329" s="46">
        <v>12.378708100000001</v>
      </c>
      <c r="AA329" s="46">
        <v>14.1530358</v>
      </c>
      <c r="AB329" s="26">
        <f>SUM(W329:X329)</f>
        <v>34.035203100000004</v>
      </c>
      <c r="AC329" s="26">
        <f>SUM(Z329:AA329)</f>
        <v>26.531743900000002</v>
      </c>
      <c r="AD329" s="57">
        <f>M329+N329</f>
        <v>2069</v>
      </c>
      <c r="AE329" s="57">
        <f>Q329+R329</f>
        <v>1914</v>
      </c>
      <c r="AF329" s="26">
        <f>W329</f>
        <v>16.696825100000002</v>
      </c>
      <c r="AG329" s="26">
        <f>Z329</f>
        <v>12.378708100000001</v>
      </c>
      <c r="AH329" s="26">
        <f>M329</f>
        <v>1015</v>
      </c>
      <c r="AI329" s="26">
        <f>Q329</f>
        <v>893</v>
      </c>
      <c r="AJ329" s="26">
        <f>X329</f>
        <v>17.338377999999999</v>
      </c>
      <c r="AK329" s="26">
        <f>AA329</f>
        <v>14.1530358</v>
      </c>
      <c r="AL329" s="57">
        <f>N329</f>
        <v>1054</v>
      </c>
      <c r="AM329" s="57">
        <f>R329</f>
        <v>1021</v>
      </c>
    </row>
    <row r="330" spans="1:39" hidden="1" x14ac:dyDescent="0.3">
      <c r="A330" s="37">
        <v>326</v>
      </c>
      <c r="B330" s="38" t="s">
        <v>521</v>
      </c>
      <c r="C330" s="38" t="s">
        <v>46</v>
      </c>
      <c r="D330" s="38" t="s">
        <v>523</v>
      </c>
      <c r="E330" s="38" t="s">
        <v>114</v>
      </c>
      <c r="F330" s="47" t="s">
        <v>519</v>
      </c>
      <c r="G330" s="40">
        <v>752</v>
      </c>
      <c r="H330" s="40">
        <v>463</v>
      </c>
      <c r="I330" s="40">
        <v>114</v>
      </c>
      <c r="J330" s="40">
        <v>175</v>
      </c>
      <c r="K330" s="40">
        <v>760</v>
      </c>
      <c r="L330" s="40">
        <v>558</v>
      </c>
      <c r="M330" s="40">
        <v>105</v>
      </c>
      <c r="N330" s="40">
        <v>97</v>
      </c>
      <c r="O330" s="40">
        <v>1081</v>
      </c>
      <c r="P330" s="40">
        <v>830</v>
      </c>
      <c r="Q330" s="40">
        <v>118</v>
      </c>
      <c r="R330" s="40">
        <v>133</v>
      </c>
      <c r="S330" s="41">
        <v>61.569148900000002</v>
      </c>
      <c r="T330" s="41">
        <v>15.1595745</v>
      </c>
      <c r="U330" s="41">
        <v>23.2712766</v>
      </c>
      <c r="V330" s="41">
        <v>73.421052599999996</v>
      </c>
      <c r="W330" s="41">
        <v>13.815789499999999</v>
      </c>
      <c r="X330" s="41">
        <v>12.7631579</v>
      </c>
      <c r="Y330" s="41">
        <v>76.780758599999999</v>
      </c>
      <c r="Z330" s="41">
        <v>10.915818700000001</v>
      </c>
      <c r="AA330" s="41">
        <v>12.3034228</v>
      </c>
    </row>
    <row r="331" spans="1:39" hidden="1" x14ac:dyDescent="0.3">
      <c r="A331" s="37">
        <v>327</v>
      </c>
      <c r="B331" s="38" t="s">
        <v>521</v>
      </c>
      <c r="C331" s="38" t="s">
        <v>46</v>
      </c>
      <c r="D331" s="38" t="s">
        <v>523</v>
      </c>
      <c r="E331" s="38" t="s">
        <v>114</v>
      </c>
      <c r="F331" s="47" t="s">
        <v>520</v>
      </c>
      <c r="G331" s="40">
        <v>2982</v>
      </c>
      <c r="H331" s="40">
        <v>1517</v>
      </c>
      <c r="I331" s="40">
        <v>613</v>
      </c>
      <c r="J331" s="40">
        <v>852</v>
      </c>
      <c r="K331" s="40">
        <v>5319</v>
      </c>
      <c r="L331" s="40">
        <v>3452</v>
      </c>
      <c r="M331" s="40">
        <v>910</v>
      </c>
      <c r="N331" s="40">
        <v>957</v>
      </c>
      <c r="O331" s="40">
        <v>6133</v>
      </c>
      <c r="P331" s="40">
        <v>4470</v>
      </c>
      <c r="Q331" s="40">
        <v>775</v>
      </c>
      <c r="R331" s="40">
        <v>888</v>
      </c>
      <c r="S331" s="41">
        <v>50.871898100000003</v>
      </c>
      <c r="T331" s="41">
        <v>20.556673400000001</v>
      </c>
      <c r="U331" s="41">
        <v>28.571428600000001</v>
      </c>
      <c r="V331" s="41">
        <v>64.899417200000002</v>
      </c>
      <c r="W331" s="41">
        <v>17.108478999999999</v>
      </c>
      <c r="X331" s="41">
        <v>17.992103799999999</v>
      </c>
      <c r="Y331" s="41">
        <v>72.884395900000001</v>
      </c>
      <c r="Z331" s="41">
        <v>12.636556300000001</v>
      </c>
      <c r="AA331" s="41">
        <v>14.4790478</v>
      </c>
    </row>
    <row r="332" spans="1:39" hidden="1" x14ac:dyDescent="0.3">
      <c r="A332" s="42">
        <v>328</v>
      </c>
      <c r="B332" s="43" t="s">
        <v>521</v>
      </c>
      <c r="C332" s="50" t="s">
        <v>46</v>
      </c>
      <c r="D332" s="50" t="s">
        <v>523</v>
      </c>
      <c r="E332" s="50" t="s">
        <v>116</v>
      </c>
      <c r="F332" s="51" t="s">
        <v>116</v>
      </c>
      <c r="G332" s="45">
        <v>3624</v>
      </c>
      <c r="H332" s="45">
        <v>2100</v>
      </c>
      <c r="I332" s="45">
        <v>559</v>
      </c>
      <c r="J332" s="45">
        <v>965</v>
      </c>
      <c r="K332" s="45">
        <v>6499</v>
      </c>
      <c r="L332" s="45">
        <v>4560</v>
      </c>
      <c r="M332" s="45">
        <v>950</v>
      </c>
      <c r="N332" s="45">
        <v>989</v>
      </c>
      <c r="O332" s="45">
        <v>9458</v>
      </c>
      <c r="P332" s="45">
        <v>6801</v>
      </c>
      <c r="Q332" s="45">
        <v>1165</v>
      </c>
      <c r="R332" s="45">
        <v>1492</v>
      </c>
      <c r="S332" s="46">
        <v>57.947019900000001</v>
      </c>
      <c r="T332" s="46">
        <v>15.4249448</v>
      </c>
      <c r="U332" s="46">
        <v>26.628035300000001</v>
      </c>
      <c r="V332" s="46">
        <v>70.164640700000007</v>
      </c>
      <c r="W332" s="46">
        <v>14.6176335</v>
      </c>
      <c r="X332" s="46">
        <v>15.2177258</v>
      </c>
      <c r="Y332" s="46">
        <v>71.907380000000003</v>
      </c>
      <c r="Z332" s="46">
        <v>12.3176147</v>
      </c>
      <c r="AA332" s="46">
        <v>15.7750053</v>
      </c>
      <c r="AB332" s="26">
        <f>SUM(W332:X332)</f>
        <v>29.8353593</v>
      </c>
      <c r="AC332" s="26">
        <f>SUM(Z332:AA332)</f>
        <v>28.09262</v>
      </c>
      <c r="AD332" s="57">
        <f>M332+N332</f>
        <v>1939</v>
      </c>
      <c r="AE332" s="57">
        <f>Q332+R332</f>
        <v>2657</v>
      </c>
      <c r="AF332" s="26">
        <f>W332</f>
        <v>14.6176335</v>
      </c>
      <c r="AG332" s="26">
        <f>Z332</f>
        <v>12.3176147</v>
      </c>
      <c r="AH332" s="26">
        <f>M332</f>
        <v>950</v>
      </c>
      <c r="AI332" s="26">
        <f>Q332</f>
        <v>1165</v>
      </c>
      <c r="AJ332" s="26">
        <f>X332</f>
        <v>15.2177258</v>
      </c>
      <c r="AK332" s="26">
        <f>AA332</f>
        <v>15.7750053</v>
      </c>
      <c r="AL332" s="57">
        <f>N332</f>
        <v>989</v>
      </c>
      <c r="AM332" s="57">
        <f>R332</f>
        <v>1492</v>
      </c>
    </row>
    <row r="333" spans="1:39" hidden="1" x14ac:dyDescent="0.3">
      <c r="A333" s="37">
        <v>329</v>
      </c>
      <c r="B333" s="38" t="s">
        <v>521</v>
      </c>
      <c r="C333" s="38" t="s">
        <v>46</v>
      </c>
      <c r="D333" s="38" t="s">
        <v>523</v>
      </c>
      <c r="E333" s="38" t="s">
        <v>116</v>
      </c>
      <c r="F333" s="47" t="s">
        <v>519</v>
      </c>
      <c r="G333" s="40"/>
      <c r="H333" s="40"/>
      <c r="I333" s="40"/>
      <c r="J333" s="40"/>
      <c r="K333" s="40"/>
      <c r="L333" s="40"/>
      <c r="M333" s="40"/>
      <c r="N333" s="40"/>
      <c r="O333" s="40">
        <v>1372</v>
      </c>
      <c r="P333" s="40">
        <v>1145</v>
      </c>
      <c r="Q333" s="40">
        <v>89</v>
      </c>
      <c r="R333" s="40">
        <v>138</v>
      </c>
      <c r="S333" s="41"/>
      <c r="T333" s="41"/>
      <c r="U333" s="41"/>
      <c r="V333" s="41"/>
      <c r="W333" s="41"/>
      <c r="X333" s="41"/>
      <c r="Y333" s="41">
        <v>83.454810499999994</v>
      </c>
      <c r="Z333" s="41">
        <v>6.4868804999999998</v>
      </c>
      <c r="AA333" s="41">
        <v>10.058309</v>
      </c>
    </row>
    <row r="334" spans="1:39" hidden="1" x14ac:dyDescent="0.3">
      <c r="A334" s="37">
        <v>330</v>
      </c>
      <c r="B334" s="38" t="s">
        <v>521</v>
      </c>
      <c r="C334" s="38" t="s">
        <v>46</v>
      </c>
      <c r="D334" s="38" t="s">
        <v>523</v>
      </c>
      <c r="E334" s="38" t="s">
        <v>116</v>
      </c>
      <c r="F334" s="47" t="s">
        <v>520</v>
      </c>
      <c r="G334" s="40">
        <v>3624</v>
      </c>
      <c r="H334" s="40">
        <v>2100</v>
      </c>
      <c r="I334" s="40">
        <v>559</v>
      </c>
      <c r="J334" s="40">
        <v>965</v>
      </c>
      <c r="K334" s="40">
        <v>6499</v>
      </c>
      <c r="L334" s="40">
        <v>4560</v>
      </c>
      <c r="M334" s="40">
        <v>950</v>
      </c>
      <c r="N334" s="40">
        <v>989</v>
      </c>
      <c r="O334" s="40">
        <v>8086</v>
      </c>
      <c r="P334" s="40">
        <v>5656</v>
      </c>
      <c r="Q334" s="40">
        <v>1076</v>
      </c>
      <c r="R334" s="40">
        <v>1354</v>
      </c>
      <c r="S334" s="41">
        <v>57.947019900000001</v>
      </c>
      <c r="T334" s="41">
        <v>15.4249448</v>
      </c>
      <c r="U334" s="41">
        <v>26.628035300000001</v>
      </c>
      <c r="V334" s="41">
        <v>70.164640700000007</v>
      </c>
      <c r="W334" s="41">
        <v>14.6176335</v>
      </c>
      <c r="X334" s="41">
        <v>15.2177258</v>
      </c>
      <c r="Y334" s="41">
        <v>69.948058399999994</v>
      </c>
      <c r="Z334" s="41">
        <v>13.3069503</v>
      </c>
      <c r="AA334" s="41">
        <v>16.744991299999999</v>
      </c>
    </row>
    <row r="335" spans="1:39" hidden="1" x14ac:dyDescent="0.3">
      <c r="A335" s="42">
        <v>331</v>
      </c>
      <c r="B335" s="43" t="s">
        <v>521</v>
      </c>
      <c r="C335" s="50" t="s">
        <v>46</v>
      </c>
      <c r="D335" s="50" t="s">
        <v>523</v>
      </c>
      <c r="E335" s="50" t="s">
        <v>118</v>
      </c>
      <c r="F335" s="51" t="s">
        <v>118</v>
      </c>
      <c r="G335" s="45">
        <v>1188</v>
      </c>
      <c r="H335" s="45">
        <v>645</v>
      </c>
      <c r="I335" s="45">
        <v>220</v>
      </c>
      <c r="J335" s="45">
        <v>323</v>
      </c>
      <c r="K335" s="45">
        <v>2308</v>
      </c>
      <c r="L335" s="45">
        <v>1527</v>
      </c>
      <c r="M335" s="45">
        <v>366</v>
      </c>
      <c r="N335" s="45">
        <v>415</v>
      </c>
      <c r="O335" s="45">
        <v>2998</v>
      </c>
      <c r="P335" s="45">
        <v>2136</v>
      </c>
      <c r="Q335" s="45">
        <v>393</v>
      </c>
      <c r="R335" s="45">
        <v>469</v>
      </c>
      <c r="S335" s="46">
        <v>54.292929299999997</v>
      </c>
      <c r="T335" s="46">
        <v>18.518518499999999</v>
      </c>
      <c r="U335" s="46">
        <v>27.1885522</v>
      </c>
      <c r="V335" s="46">
        <v>66.161178500000005</v>
      </c>
      <c r="W335" s="46">
        <v>15.857885599999999</v>
      </c>
      <c r="X335" s="46">
        <v>17.980935899999999</v>
      </c>
      <c r="Y335" s="46">
        <v>71.247498300000004</v>
      </c>
      <c r="Z335" s="46">
        <v>13.1087392</v>
      </c>
      <c r="AA335" s="46">
        <v>15.643762499999999</v>
      </c>
      <c r="AB335" s="26">
        <f>SUM(W335:X335)</f>
        <v>33.838821499999995</v>
      </c>
      <c r="AC335" s="26">
        <f>SUM(Z335:AA335)</f>
        <v>28.7525017</v>
      </c>
      <c r="AD335" s="57">
        <f>M335+N335</f>
        <v>781</v>
      </c>
      <c r="AE335" s="57">
        <f>Q335+R335</f>
        <v>862</v>
      </c>
      <c r="AF335" s="26">
        <f>W335</f>
        <v>15.857885599999999</v>
      </c>
      <c r="AG335" s="26">
        <f>Z335</f>
        <v>13.1087392</v>
      </c>
      <c r="AH335" s="26">
        <f>M335</f>
        <v>366</v>
      </c>
      <c r="AI335" s="26">
        <f>Q335</f>
        <v>393</v>
      </c>
      <c r="AJ335" s="26">
        <f>X335</f>
        <v>17.980935899999999</v>
      </c>
      <c r="AK335" s="26">
        <f>AA335</f>
        <v>15.643762499999999</v>
      </c>
      <c r="AL335" s="57">
        <f>N335</f>
        <v>415</v>
      </c>
      <c r="AM335" s="57">
        <f>R335</f>
        <v>469</v>
      </c>
    </row>
    <row r="336" spans="1:39" hidden="1" x14ac:dyDescent="0.3">
      <c r="A336" s="37">
        <v>332</v>
      </c>
      <c r="B336" s="38" t="s">
        <v>521</v>
      </c>
      <c r="C336" s="38" t="s">
        <v>46</v>
      </c>
      <c r="D336" s="38" t="s">
        <v>523</v>
      </c>
      <c r="E336" s="38" t="s">
        <v>118</v>
      </c>
      <c r="F336" s="47" t="s">
        <v>519</v>
      </c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1"/>
      <c r="T336" s="41"/>
      <c r="U336" s="41"/>
      <c r="V336" s="41"/>
      <c r="W336" s="41"/>
      <c r="X336" s="41"/>
      <c r="Y336" s="41"/>
      <c r="Z336" s="41"/>
      <c r="AA336" s="41"/>
    </row>
    <row r="337" spans="1:39" hidden="1" x14ac:dyDescent="0.3">
      <c r="A337" s="37">
        <v>333</v>
      </c>
      <c r="B337" s="38" t="s">
        <v>521</v>
      </c>
      <c r="C337" s="38" t="s">
        <v>46</v>
      </c>
      <c r="D337" s="38" t="s">
        <v>523</v>
      </c>
      <c r="E337" s="38" t="s">
        <v>118</v>
      </c>
      <c r="F337" s="47" t="s">
        <v>520</v>
      </c>
      <c r="G337" s="40">
        <v>1188</v>
      </c>
      <c r="H337" s="40">
        <v>645</v>
      </c>
      <c r="I337" s="40">
        <v>220</v>
      </c>
      <c r="J337" s="40">
        <v>323</v>
      </c>
      <c r="K337" s="40">
        <v>2308</v>
      </c>
      <c r="L337" s="40">
        <v>1527</v>
      </c>
      <c r="M337" s="40">
        <v>366</v>
      </c>
      <c r="N337" s="40">
        <v>415</v>
      </c>
      <c r="O337" s="40">
        <v>2998</v>
      </c>
      <c r="P337" s="40">
        <v>2136</v>
      </c>
      <c r="Q337" s="40">
        <v>393</v>
      </c>
      <c r="R337" s="40">
        <v>469</v>
      </c>
      <c r="S337" s="41">
        <v>54.292929299999997</v>
      </c>
      <c r="T337" s="41">
        <v>18.518518499999999</v>
      </c>
      <c r="U337" s="41">
        <v>27.1885522</v>
      </c>
      <c r="V337" s="41">
        <v>66.161178500000005</v>
      </c>
      <c r="W337" s="41">
        <v>15.857885599999999</v>
      </c>
      <c r="X337" s="41">
        <v>17.980935899999999</v>
      </c>
      <c r="Y337" s="41">
        <v>71.247498300000004</v>
      </c>
      <c r="Z337" s="41">
        <v>13.1087392</v>
      </c>
      <c r="AA337" s="41">
        <v>15.643762499999999</v>
      </c>
    </row>
    <row r="338" spans="1:39" hidden="1" x14ac:dyDescent="0.3">
      <c r="A338" s="42">
        <v>334</v>
      </c>
      <c r="B338" s="43" t="s">
        <v>521</v>
      </c>
      <c r="C338" s="50" t="s">
        <v>46</v>
      </c>
      <c r="D338" s="50" t="s">
        <v>523</v>
      </c>
      <c r="E338" s="50" t="s">
        <v>119</v>
      </c>
      <c r="F338" s="51" t="s">
        <v>119</v>
      </c>
      <c r="G338" s="45">
        <v>4248</v>
      </c>
      <c r="H338" s="45">
        <v>2040</v>
      </c>
      <c r="I338" s="45">
        <v>733</v>
      </c>
      <c r="J338" s="45">
        <v>1475</v>
      </c>
      <c r="K338" s="45">
        <v>9246</v>
      </c>
      <c r="L338" s="45">
        <v>6503</v>
      </c>
      <c r="M338" s="45">
        <v>1289</v>
      </c>
      <c r="N338" s="45">
        <v>1454</v>
      </c>
      <c r="O338" s="45">
        <v>11630</v>
      </c>
      <c r="P338" s="45">
        <v>8741</v>
      </c>
      <c r="Q338" s="45">
        <v>1204</v>
      </c>
      <c r="R338" s="45">
        <v>1685</v>
      </c>
      <c r="S338" s="46">
        <v>48.022598899999998</v>
      </c>
      <c r="T338" s="46">
        <v>17.255178900000001</v>
      </c>
      <c r="U338" s="46">
        <v>34.722222199999997</v>
      </c>
      <c r="V338" s="46">
        <v>70.333117000000001</v>
      </c>
      <c r="W338" s="46">
        <v>13.941163700000001</v>
      </c>
      <c r="X338" s="46">
        <v>15.7257192</v>
      </c>
      <c r="Y338" s="46">
        <v>75.159071400000002</v>
      </c>
      <c r="Z338" s="46">
        <v>10.352536499999999</v>
      </c>
      <c r="AA338" s="46">
        <v>14.4883921</v>
      </c>
      <c r="AB338" s="26">
        <f>SUM(W338:X338)</f>
        <v>29.666882900000001</v>
      </c>
      <c r="AC338" s="26">
        <f>SUM(Z338:AA338)</f>
        <v>24.840928599999998</v>
      </c>
      <c r="AD338" s="57">
        <f>M338+N338</f>
        <v>2743</v>
      </c>
      <c r="AE338" s="57">
        <f>Q338+R338</f>
        <v>2889</v>
      </c>
      <c r="AF338" s="26">
        <f>W338</f>
        <v>13.941163700000001</v>
      </c>
      <c r="AG338" s="26">
        <f>Z338</f>
        <v>10.352536499999999</v>
      </c>
      <c r="AH338" s="26">
        <f>M338</f>
        <v>1289</v>
      </c>
      <c r="AI338" s="26">
        <f>Q338</f>
        <v>1204</v>
      </c>
      <c r="AJ338" s="26">
        <f>X338</f>
        <v>15.7257192</v>
      </c>
      <c r="AK338" s="26">
        <f>AA338</f>
        <v>14.4883921</v>
      </c>
      <c r="AL338" s="57">
        <f>N338</f>
        <v>1454</v>
      </c>
      <c r="AM338" s="57">
        <f>R338</f>
        <v>1685</v>
      </c>
    </row>
    <row r="339" spans="1:39" hidden="1" x14ac:dyDescent="0.3">
      <c r="A339" s="37">
        <v>335</v>
      </c>
      <c r="B339" s="38" t="s">
        <v>521</v>
      </c>
      <c r="C339" s="38" t="s">
        <v>46</v>
      </c>
      <c r="D339" s="38" t="s">
        <v>523</v>
      </c>
      <c r="E339" s="38" t="s">
        <v>119</v>
      </c>
      <c r="F339" s="47" t="s">
        <v>519</v>
      </c>
      <c r="G339" s="40">
        <v>709</v>
      </c>
      <c r="H339" s="40">
        <v>338</v>
      </c>
      <c r="I339" s="40">
        <v>136</v>
      </c>
      <c r="J339" s="40">
        <v>235</v>
      </c>
      <c r="K339" s="40">
        <v>2037</v>
      </c>
      <c r="L339" s="40">
        <v>1470</v>
      </c>
      <c r="M339" s="40">
        <v>308</v>
      </c>
      <c r="N339" s="40">
        <v>259</v>
      </c>
      <c r="O339" s="40">
        <v>2994</v>
      </c>
      <c r="P339" s="40">
        <v>2279</v>
      </c>
      <c r="Q339" s="40">
        <v>310</v>
      </c>
      <c r="R339" s="40">
        <v>405</v>
      </c>
      <c r="S339" s="41">
        <v>47.672778600000001</v>
      </c>
      <c r="T339" s="41">
        <v>19.181946400000001</v>
      </c>
      <c r="U339" s="41">
        <v>33.145274999999998</v>
      </c>
      <c r="V339" s="41">
        <v>72.164948499999994</v>
      </c>
      <c r="W339" s="41">
        <v>15.1202749</v>
      </c>
      <c r="X339" s="41">
        <v>12.7147766</v>
      </c>
      <c r="Y339" s="41">
        <v>76.118904499999999</v>
      </c>
      <c r="Z339" s="41">
        <v>10.3540414</v>
      </c>
      <c r="AA339" s="41">
        <v>13.527054100000001</v>
      </c>
    </row>
    <row r="340" spans="1:39" hidden="1" x14ac:dyDescent="0.3">
      <c r="A340" s="37">
        <v>336</v>
      </c>
      <c r="B340" s="38" t="s">
        <v>521</v>
      </c>
      <c r="C340" s="38" t="s">
        <v>46</v>
      </c>
      <c r="D340" s="38" t="s">
        <v>523</v>
      </c>
      <c r="E340" s="38" t="s">
        <v>119</v>
      </c>
      <c r="F340" s="47" t="s">
        <v>520</v>
      </c>
      <c r="G340" s="40">
        <v>3539</v>
      </c>
      <c r="H340" s="40">
        <v>1702</v>
      </c>
      <c r="I340" s="40">
        <v>597</v>
      </c>
      <c r="J340" s="40">
        <v>1240</v>
      </c>
      <c r="K340" s="40">
        <v>7209</v>
      </c>
      <c r="L340" s="40">
        <v>5033</v>
      </c>
      <c r="M340" s="40">
        <v>981</v>
      </c>
      <c r="N340" s="40">
        <v>1195</v>
      </c>
      <c r="O340" s="40">
        <v>8636</v>
      </c>
      <c r="P340" s="40">
        <v>6462</v>
      </c>
      <c r="Q340" s="40">
        <v>894</v>
      </c>
      <c r="R340" s="40">
        <v>1280</v>
      </c>
      <c r="S340" s="41">
        <v>48.092681499999998</v>
      </c>
      <c r="T340" s="41">
        <v>16.8691721</v>
      </c>
      <c r="U340" s="41">
        <v>35.038146400000002</v>
      </c>
      <c r="V340" s="41">
        <v>69.815508399999999</v>
      </c>
      <c r="W340" s="41">
        <v>13.607989999999999</v>
      </c>
      <c r="X340" s="41">
        <v>16.5765016</v>
      </c>
      <c r="Y340" s="41">
        <v>74.826308499999996</v>
      </c>
      <c r="Z340" s="41">
        <v>10.352014799999999</v>
      </c>
      <c r="AA340" s="41">
        <v>14.821676699999999</v>
      </c>
    </row>
    <row r="341" spans="1:39" hidden="1" x14ac:dyDescent="0.3">
      <c r="A341" s="42">
        <v>337</v>
      </c>
      <c r="B341" s="43" t="s">
        <v>521</v>
      </c>
      <c r="C341" s="50" t="s">
        <v>46</v>
      </c>
      <c r="D341" s="50" t="s">
        <v>523</v>
      </c>
      <c r="E341" s="50" t="s">
        <v>120</v>
      </c>
      <c r="F341" s="51" t="s">
        <v>120</v>
      </c>
      <c r="G341" s="45">
        <v>4772</v>
      </c>
      <c r="H341" s="45">
        <v>2093</v>
      </c>
      <c r="I341" s="45">
        <v>939</v>
      </c>
      <c r="J341" s="45">
        <v>1740</v>
      </c>
      <c r="K341" s="45">
        <v>13638</v>
      </c>
      <c r="L341" s="45">
        <v>8134</v>
      </c>
      <c r="M341" s="45">
        <v>2451</v>
      </c>
      <c r="N341" s="45">
        <v>3053</v>
      </c>
      <c r="O341" s="45">
        <v>18380</v>
      </c>
      <c r="P341" s="45">
        <v>12801</v>
      </c>
      <c r="Q341" s="45">
        <v>2435</v>
      </c>
      <c r="R341" s="45">
        <v>3144</v>
      </c>
      <c r="S341" s="46">
        <v>43.860016799999997</v>
      </c>
      <c r="T341" s="46">
        <v>19.677284199999999</v>
      </c>
      <c r="U341" s="46">
        <v>36.462699100000002</v>
      </c>
      <c r="V341" s="46">
        <v>59.642176300000003</v>
      </c>
      <c r="W341" s="46">
        <v>17.971843400000001</v>
      </c>
      <c r="X341" s="46">
        <v>22.3859803</v>
      </c>
      <c r="Y341" s="46">
        <v>69.646354700000003</v>
      </c>
      <c r="Z341" s="46">
        <v>13.2480958</v>
      </c>
      <c r="AA341" s="46">
        <v>17.105549499999999</v>
      </c>
      <c r="AB341" s="26">
        <f>SUM(W341:X341)</f>
        <v>40.357823699999997</v>
      </c>
      <c r="AC341" s="26">
        <f>SUM(Z341:AA341)</f>
        <v>30.353645299999997</v>
      </c>
      <c r="AD341" s="57">
        <f>M341+N341</f>
        <v>5504</v>
      </c>
      <c r="AE341" s="57">
        <f>Q341+R341</f>
        <v>5579</v>
      </c>
      <c r="AF341" s="26">
        <f>W341</f>
        <v>17.971843400000001</v>
      </c>
      <c r="AG341" s="26">
        <f>Z341</f>
        <v>13.2480958</v>
      </c>
      <c r="AH341" s="26">
        <f>M341</f>
        <v>2451</v>
      </c>
      <c r="AI341" s="26">
        <f>Q341</f>
        <v>2435</v>
      </c>
      <c r="AJ341" s="26">
        <f>X341</f>
        <v>22.3859803</v>
      </c>
      <c r="AK341" s="26">
        <f>AA341</f>
        <v>17.105549499999999</v>
      </c>
      <c r="AL341" s="57">
        <f>N341</f>
        <v>3053</v>
      </c>
      <c r="AM341" s="57">
        <f>R341</f>
        <v>3144</v>
      </c>
    </row>
    <row r="342" spans="1:39" hidden="1" x14ac:dyDescent="0.3">
      <c r="A342" s="37">
        <v>338</v>
      </c>
      <c r="B342" s="38" t="s">
        <v>521</v>
      </c>
      <c r="C342" s="38" t="s">
        <v>46</v>
      </c>
      <c r="D342" s="38" t="s">
        <v>523</v>
      </c>
      <c r="E342" s="38" t="s">
        <v>120</v>
      </c>
      <c r="F342" s="47" t="s">
        <v>519</v>
      </c>
      <c r="G342" s="40"/>
      <c r="H342" s="40"/>
      <c r="I342" s="40"/>
      <c r="J342" s="40"/>
      <c r="K342" s="40">
        <v>1009</v>
      </c>
      <c r="L342" s="40">
        <v>750</v>
      </c>
      <c r="M342" s="40">
        <v>147</v>
      </c>
      <c r="N342" s="40">
        <v>112</v>
      </c>
      <c r="O342" s="40">
        <v>1297</v>
      </c>
      <c r="P342" s="40">
        <v>1013</v>
      </c>
      <c r="Q342" s="40">
        <v>128</v>
      </c>
      <c r="R342" s="40">
        <v>156</v>
      </c>
      <c r="S342" s="41"/>
      <c r="T342" s="41"/>
      <c r="U342" s="41"/>
      <c r="V342" s="41">
        <v>74.331020800000005</v>
      </c>
      <c r="W342" s="41">
        <v>14.568880099999999</v>
      </c>
      <c r="X342" s="41">
        <v>11.1000991</v>
      </c>
      <c r="Y342" s="41">
        <v>78.103315300000006</v>
      </c>
      <c r="Z342" s="41">
        <v>9.8689283000000003</v>
      </c>
      <c r="AA342" s="41">
        <v>12.027756399999999</v>
      </c>
    </row>
    <row r="343" spans="1:39" hidden="1" x14ac:dyDescent="0.3">
      <c r="A343" s="37">
        <v>339</v>
      </c>
      <c r="B343" s="38" t="s">
        <v>521</v>
      </c>
      <c r="C343" s="38" t="s">
        <v>46</v>
      </c>
      <c r="D343" s="38" t="s">
        <v>523</v>
      </c>
      <c r="E343" s="38" t="s">
        <v>120</v>
      </c>
      <c r="F343" s="47" t="s">
        <v>520</v>
      </c>
      <c r="G343" s="40">
        <v>4772</v>
      </c>
      <c r="H343" s="40">
        <v>2093</v>
      </c>
      <c r="I343" s="40">
        <v>939</v>
      </c>
      <c r="J343" s="40">
        <v>1740</v>
      </c>
      <c r="K343" s="40">
        <v>12629</v>
      </c>
      <c r="L343" s="40">
        <v>7384</v>
      </c>
      <c r="M343" s="40">
        <v>2304</v>
      </c>
      <c r="N343" s="40">
        <v>2941</v>
      </c>
      <c r="O343" s="40">
        <v>17083</v>
      </c>
      <c r="P343" s="40">
        <v>11788</v>
      </c>
      <c r="Q343" s="40">
        <v>2307</v>
      </c>
      <c r="R343" s="40">
        <v>2988</v>
      </c>
      <c r="S343" s="41">
        <v>43.860016799999997</v>
      </c>
      <c r="T343" s="41">
        <v>19.677284199999999</v>
      </c>
      <c r="U343" s="41">
        <v>36.462699100000002</v>
      </c>
      <c r="V343" s="41">
        <v>58.468603999999999</v>
      </c>
      <c r="W343" s="41">
        <v>18.243724799999999</v>
      </c>
      <c r="X343" s="41">
        <v>23.287671199999998</v>
      </c>
      <c r="Y343" s="41">
        <v>69.004273299999994</v>
      </c>
      <c r="Z343" s="41">
        <v>13.5046537</v>
      </c>
      <c r="AA343" s="41">
        <v>17.491073</v>
      </c>
    </row>
    <row r="344" spans="1:39" hidden="1" x14ac:dyDescent="0.3">
      <c r="A344" s="32">
        <v>340</v>
      </c>
      <c r="B344" s="33" t="s">
        <v>1</v>
      </c>
      <c r="C344" s="49" t="s">
        <v>46</v>
      </c>
      <c r="D344" s="49" t="s">
        <v>121</v>
      </c>
      <c r="E344" s="49"/>
      <c r="F344" s="34" t="s">
        <v>121</v>
      </c>
      <c r="G344" s="35">
        <v>19728</v>
      </c>
      <c r="H344" s="35">
        <v>10377</v>
      </c>
      <c r="I344" s="35">
        <v>3452</v>
      </c>
      <c r="J344" s="35">
        <v>5899</v>
      </c>
      <c r="K344" s="35">
        <v>27292</v>
      </c>
      <c r="L344" s="35">
        <v>18484</v>
      </c>
      <c r="M344" s="35">
        <v>4179</v>
      </c>
      <c r="N344" s="35">
        <v>4629</v>
      </c>
      <c r="O344" s="35">
        <v>46763</v>
      </c>
      <c r="P344" s="35">
        <v>33386</v>
      </c>
      <c r="Q344" s="35">
        <v>5422</v>
      </c>
      <c r="R344" s="35">
        <v>7955</v>
      </c>
      <c r="S344" s="36">
        <v>52.600364999999996</v>
      </c>
      <c r="T344" s="36">
        <v>17.497972399999998</v>
      </c>
      <c r="U344" s="36">
        <v>29.901662600000002</v>
      </c>
      <c r="V344" s="36">
        <v>67.726806400000001</v>
      </c>
      <c r="W344" s="36">
        <v>15.3121794</v>
      </c>
      <c r="X344" s="36">
        <v>16.961014200000001</v>
      </c>
      <c r="Y344" s="36">
        <v>71.394050899999996</v>
      </c>
      <c r="Z344" s="36">
        <v>11.5946368</v>
      </c>
      <c r="AA344" s="36">
        <v>17.011312400000001</v>
      </c>
    </row>
    <row r="345" spans="1:39" hidden="1" x14ac:dyDescent="0.3">
      <c r="A345" s="37">
        <v>341</v>
      </c>
      <c r="B345" s="38" t="s">
        <v>1</v>
      </c>
      <c r="C345" s="38" t="s">
        <v>46</v>
      </c>
      <c r="D345" s="38" t="s">
        <v>121</v>
      </c>
      <c r="E345" s="38"/>
      <c r="F345" s="39" t="s">
        <v>519</v>
      </c>
      <c r="G345" s="40"/>
      <c r="H345" s="40"/>
      <c r="I345" s="40"/>
      <c r="J345" s="40"/>
      <c r="K345" s="40">
        <v>700</v>
      </c>
      <c r="L345" s="40">
        <v>519</v>
      </c>
      <c r="M345" s="40">
        <v>104</v>
      </c>
      <c r="N345" s="40">
        <v>77</v>
      </c>
      <c r="O345" s="40">
        <v>12755</v>
      </c>
      <c r="P345" s="40">
        <v>9271</v>
      </c>
      <c r="Q345" s="40">
        <v>1379</v>
      </c>
      <c r="R345" s="40">
        <v>2105</v>
      </c>
      <c r="S345" s="41"/>
      <c r="T345" s="41"/>
      <c r="U345" s="41"/>
      <c r="V345" s="41">
        <v>74.142857100000001</v>
      </c>
      <c r="W345" s="41">
        <v>14.857142899999999</v>
      </c>
      <c r="X345" s="41">
        <v>11</v>
      </c>
      <c r="Y345" s="41">
        <v>72.685221499999997</v>
      </c>
      <c r="Z345" s="41">
        <v>10.811446500000001</v>
      </c>
      <c r="AA345" s="41">
        <v>16.503332</v>
      </c>
    </row>
    <row r="346" spans="1:39" hidden="1" x14ac:dyDescent="0.3">
      <c r="A346" s="37">
        <v>342</v>
      </c>
      <c r="B346" s="38" t="s">
        <v>1</v>
      </c>
      <c r="C346" s="38" t="s">
        <v>46</v>
      </c>
      <c r="D346" s="38" t="s">
        <v>121</v>
      </c>
      <c r="E346" s="38"/>
      <c r="F346" s="39" t="s">
        <v>520</v>
      </c>
      <c r="G346" s="40">
        <v>19728</v>
      </c>
      <c r="H346" s="40">
        <v>10377</v>
      </c>
      <c r="I346" s="40">
        <v>3452</v>
      </c>
      <c r="J346" s="40">
        <v>5899</v>
      </c>
      <c r="K346" s="40">
        <v>26592</v>
      </c>
      <c r="L346" s="40">
        <v>17965</v>
      </c>
      <c r="M346" s="40">
        <v>4075</v>
      </c>
      <c r="N346" s="40">
        <v>4552</v>
      </c>
      <c r="O346" s="40">
        <v>34008</v>
      </c>
      <c r="P346" s="40">
        <v>24115</v>
      </c>
      <c r="Q346" s="40">
        <v>4043</v>
      </c>
      <c r="R346" s="40">
        <v>5850</v>
      </c>
      <c r="S346" s="41">
        <v>52.600364999999996</v>
      </c>
      <c r="T346" s="41">
        <v>17.497972399999998</v>
      </c>
      <c r="U346" s="41">
        <v>29.901662600000002</v>
      </c>
      <c r="V346" s="41">
        <v>67.557912200000004</v>
      </c>
      <c r="W346" s="41">
        <v>15.324157599999999</v>
      </c>
      <c r="X346" s="41">
        <v>17.1179302</v>
      </c>
      <c r="Y346" s="41">
        <v>70.909785900000003</v>
      </c>
      <c r="Z346" s="41">
        <v>11.888379199999999</v>
      </c>
      <c r="AA346" s="41">
        <v>17.201834900000001</v>
      </c>
    </row>
    <row r="347" spans="1:39" hidden="1" x14ac:dyDescent="0.3">
      <c r="A347" s="42">
        <v>343</v>
      </c>
      <c r="B347" s="43" t="s">
        <v>521</v>
      </c>
      <c r="C347" s="50" t="s">
        <v>46</v>
      </c>
      <c r="D347" s="50" t="s">
        <v>121</v>
      </c>
      <c r="E347" s="50" t="s">
        <v>122</v>
      </c>
      <c r="F347" s="51" t="s">
        <v>122</v>
      </c>
      <c r="G347" s="45">
        <v>7081</v>
      </c>
      <c r="H347" s="45">
        <v>3726</v>
      </c>
      <c r="I347" s="45">
        <v>1222</v>
      </c>
      <c r="J347" s="45">
        <v>2133</v>
      </c>
      <c r="K347" s="45">
        <v>11121</v>
      </c>
      <c r="L347" s="45">
        <v>7957</v>
      </c>
      <c r="M347" s="45">
        <v>1493</v>
      </c>
      <c r="N347" s="45">
        <v>1671</v>
      </c>
      <c r="O347" s="45">
        <v>21459</v>
      </c>
      <c r="P347" s="45">
        <v>15769</v>
      </c>
      <c r="Q347" s="45">
        <v>2319</v>
      </c>
      <c r="R347" s="45">
        <v>3371</v>
      </c>
      <c r="S347" s="46">
        <v>52.6196865</v>
      </c>
      <c r="T347" s="46">
        <v>17.2574495</v>
      </c>
      <c r="U347" s="46">
        <v>30.122864</v>
      </c>
      <c r="V347" s="46">
        <v>71.5493211</v>
      </c>
      <c r="W347" s="46">
        <v>13.425051699999999</v>
      </c>
      <c r="X347" s="46">
        <v>15.025627200000001</v>
      </c>
      <c r="Y347" s="46">
        <v>73.484318900000005</v>
      </c>
      <c r="Z347" s="46">
        <v>10.8066546</v>
      </c>
      <c r="AA347" s="46">
        <v>15.7090265</v>
      </c>
      <c r="AB347" s="26">
        <f>SUM(W347:X347)</f>
        <v>28.4506789</v>
      </c>
      <c r="AC347" s="26">
        <f>SUM(Z347:AA347)</f>
        <v>26.515681100000002</v>
      </c>
      <c r="AD347" s="57">
        <f>M347+N347</f>
        <v>3164</v>
      </c>
      <c r="AE347" s="57">
        <f>Q347+R347</f>
        <v>5690</v>
      </c>
      <c r="AF347" s="26">
        <f>W347</f>
        <v>13.425051699999999</v>
      </c>
      <c r="AG347" s="26">
        <f>Z347</f>
        <v>10.8066546</v>
      </c>
      <c r="AH347" s="26">
        <f>M347</f>
        <v>1493</v>
      </c>
      <c r="AI347" s="26">
        <f>Q347</f>
        <v>2319</v>
      </c>
      <c r="AJ347" s="26">
        <f>X347</f>
        <v>15.025627200000001</v>
      </c>
      <c r="AK347" s="26">
        <f>AA347</f>
        <v>15.7090265</v>
      </c>
      <c r="AL347" s="57">
        <f>N347</f>
        <v>1671</v>
      </c>
      <c r="AM347" s="57">
        <f>R347</f>
        <v>3371</v>
      </c>
    </row>
    <row r="348" spans="1:39" hidden="1" x14ac:dyDescent="0.3">
      <c r="A348" s="37">
        <v>344</v>
      </c>
      <c r="B348" s="38" t="s">
        <v>521</v>
      </c>
      <c r="C348" s="38" t="s">
        <v>46</v>
      </c>
      <c r="D348" s="38" t="s">
        <v>121</v>
      </c>
      <c r="E348" s="38" t="s">
        <v>122</v>
      </c>
      <c r="F348" s="47" t="s">
        <v>519</v>
      </c>
      <c r="G348" s="40"/>
      <c r="H348" s="40"/>
      <c r="I348" s="40"/>
      <c r="J348" s="40"/>
      <c r="K348" s="40"/>
      <c r="L348" s="40"/>
      <c r="M348" s="40"/>
      <c r="N348" s="40"/>
      <c r="O348" s="40">
        <v>7346</v>
      </c>
      <c r="P348" s="40">
        <v>5325</v>
      </c>
      <c r="Q348" s="40">
        <v>750</v>
      </c>
      <c r="R348" s="40">
        <v>1271</v>
      </c>
      <c r="S348" s="41"/>
      <c r="T348" s="41"/>
      <c r="U348" s="41"/>
      <c r="V348" s="41"/>
      <c r="W348" s="41"/>
      <c r="X348" s="41"/>
      <c r="Y348" s="41">
        <v>72.488429100000005</v>
      </c>
      <c r="Z348" s="41">
        <v>10.209637900000001</v>
      </c>
      <c r="AA348" s="41">
        <v>17.301932999999998</v>
      </c>
    </row>
    <row r="349" spans="1:39" hidden="1" x14ac:dyDescent="0.3">
      <c r="A349" s="37">
        <v>345</v>
      </c>
      <c r="B349" s="38" t="s">
        <v>521</v>
      </c>
      <c r="C349" s="38" t="s">
        <v>46</v>
      </c>
      <c r="D349" s="38" t="s">
        <v>121</v>
      </c>
      <c r="E349" s="38" t="s">
        <v>122</v>
      </c>
      <c r="F349" s="47" t="s">
        <v>520</v>
      </c>
      <c r="G349" s="40">
        <v>7081</v>
      </c>
      <c r="H349" s="40">
        <v>3726</v>
      </c>
      <c r="I349" s="40">
        <v>1222</v>
      </c>
      <c r="J349" s="40">
        <v>2133</v>
      </c>
      <c r="K349" s="40">
        <v>11121</v>
      </c>
      <c r="L349" s="40">
        <v>7957</v>
      </c>
      <c r="M349" s="40">
        <v>1493</v>
      </c>
      <c r="N349" s="40">
        <v>1671</v>
      </c>
      <c r="O349" s="40">
        <v>14113</v>
      </c>
      <c r="P349" s="40">
        <v>10444</v>
      </c>
      <c r="Q349" s="40">
        <v>1569</v>
      </c>
      <c r="R349" s="40">
        <v>2100</v>
      </c>
      <c r="S349" s="41">
        <v>52.6196865</v>
      </c>
      <c r="T349" s="41">
        <v>17.2574495</v>
      </c>
      <c r="U349" s="41">
        <v>30.122864</v>
      </c>
      <c r="V349" s="41">
        <v>71.5493211</v>
      </c>
      <c r="W349" s="41">
        <v>13.425051699999999</v>
      </c>
      <c r="X349" s="41">
        <v>15.025627200000001</v>
      </c>
      <c r="Y349" s="41">
        <v>74.002692600000003</v>
      </c>
      <c r="Z349" s="41">
        <v>11.117409500000001</v>
      </c>
      <c r="AA349" s="41">
        <v>14.879898000000001</v>
      </c>
    </row>
    <row r="350" spans="1:39" hidden="1" x14ac:dyDescent="0.3">
      <c r="A350" s="42">
        <v>346</v>
      </c>
      <c r="B350" s="43" t="s">
        <v>521</v>
      </c>
      <c r="C350" s="50" t="s">
        <v>46</v>
      </c>
      <c r="D350" s="50" t="s">
        <v>121</v>
      </c>
      <c r="E350" s="50" t="s">
        <v>123</v>
      </c>
      <c r="F350" s="51" t="s">
        <v>123</v>
      </c>
      <c r="G350" s="45">
        <v>4457</v>
      </c>
      <c r="H350" s="45">
        <v>2259</v>
      </c>
      <c r="I350" s="45">
        <v>803</v>
      </c>
      <c r="J350" s="45">
        <v>1395</v>
      </c>
      <c r="K350" s="45">
        <v>7761</v>
      </c>
      <c r="L350" s="45">
        <v>4634</v>
      </c>
      <c r="M350" s="45">
        <v>1428</v>
      </c>
      <c r="N350" s="45">
        <v>1699</v>
      </c>
      <c r="O350" s="45">
        <v>13613</v>
      </c>
      <c r="P350" s="45">
        <v>8865</v>
      </c>
      <c r="Q350" s="45">
        <v>1788</v>
      </c>
      <c r="R350" s="45">
        <v>2960</v>
      </c>
      <c r="S350" s="46">
        <v>50.684316799999998</v>
      </c>
      <c r="T350" s="46">
        <v>18.016603100000001</v>
      </c>
      <c r="U350" s="46">
        <v>31.299080100000001</v>
      </c>
      <c r="V350" s="46">
        <v>59.708800400000001</v>
      </c>
      <c r="W350" s="46">
        <v>18.399690799999998</v>
      </c>
      <c r="X350" s="46">
        <v>21.8915088</v>
      </c>
      <c r="Y350" s="46">
        <v>65.121575000000007</v>
      </c>
      <c r="Z350" s="46">
        <v>13.134503799999999</v>
      </c>
      <c r="AA350" s="46">
        <v>21.7439213</v>
      </c>
      <c r="AB350" s="26">
        <f>SUM(W350:X350)</f>
        <v>40.291199599999999</v>
      </c>
      <c r="AC350" s="26">
        <f>SUM(Z350:AA350)</f>
        <v>34.878425100000001</v>
      </c>
      <c r="AD350" s="57">
        <f>M350+N350</f>
        <v>3127</v>
      </c>
      <c r="AE350" s="57">
        <f>Q350+R350</f>
        <v>4748</v>
      </c>
      <c r="AF350" s="26">
        <f>W350</f>
        <v>18.399690799999998</v>
      </c>
      <c r="AG350" s="26">
        <f>Z350</f>
        <v>13.134503799999999</v>
      </c>
      <c r="AH350" s="26">
        <f>M350</f>
        <v>1428</v>
      </c>
      <c r="AI350" s="26">
        <f>Q350</f>
        <v>1788</v>
      </c>
      <c r="AJ350" s="26">
        <f>X350</f>
        <v>21.8915088</v>
      </c>
      <c r="AK350" s="26">
        <f>AA350</f>
        <v>21.7439213</v>
      </c>
      <c r="AL350" s="57">
        <f>N350</f>
        <v>1699</v>
      </c>
      <c r="AM350" s="57">
        <f>R350</f>
        <v>2960</v>
      </c>
    </row>
    <row r="351" spans="1:39" hidden="1" x14ac:dyDescent="0.3">
      <c r="A351" s="37">
        <v>347</v>
      </c>
      <c r="B351" s="38" t="s">
        <v>521</v>
      </c>
      <c r="C351" s="38" t="s">
        <v>46</v>
      </c>
      <c r="D351" s="38" t="s">
        <v>121</v>
      </c>
      <c r="E351" s="38" t="s">
        <v>123</v>
      </c>
      <c r="F351" s="47" t="s">
        <v>519</v>
      </c>
      <c r="G351" s="40"/>
      <c r="H351" s="40"/>
      <c r="I351" s="40"/>
      <c r="J351" s="40"/>
      <c r="K351" s="40"/>
      <c r="L351" s="40"/>
      <c r="M351" s="40"/>
      <c r="N351" s="40"/>
      <c r="O351" s="40">
        <v>4394</v>
      </c>
      <c r="P351" s="40">
        <v>3141</v>
      </c>
      <c r="Q351" s="40">
        <v>511</v>
      </c>
      <c r="R351" s="40">
        <v>742</v>
      </c>
      <c r="S351" s="41"/>
      <c r="T351" s="41"/>
      <c r="U351" s="41"/>
      <c r="V351" s="41"/>
      <c r="W351" s="41"/>
      <c r="X351" s="41"/>
      <c r="Y351" s="41">
        <v>71.483841600000005</v>
      </c>
      <c r="Z351" s="41">
        <v>11.6294948</v>
      </c>
      <c r="AA351" s="41">
        <v>16.886663599999999</v>
      </c>
    </row>
    <row r="352" spans="1:39" hidden="1" x14ac:dyDescent="0.3">
      <c r="A352" s="37">
        <v>348</v>
      </c>
      <c r="B352" s="38" t="s">
        <v>521</v>
      </c>
      <c r="C352" s="38" t="s">
        <v>46</v>
      </c>
      <c r="D352" s="38" t="s">
        <v>121</v>
      </c>
      <c r="E352" s="38" t="s">
        <v>123</v>
      </c>
      <c r="F352" s="47" t="s">
        <v>520</v>
      </c>
      <c r="G352" s="40">
        <v>4457</v>
      </c>
      <c r="H352" s="40">
        <v>2259</v>
      </c>
      <c r="I352" s="40">
        <v>803</v>
      </c>
      <c r="J352" s="40">
        <v>1395</v>
      </c>
      <c r="K352" s="40">
        <v>7761</v>
      </c>
      <c r="L352" s="40">
        <v>4634</v>
      </c>
      <c r="M352" s="40">
        <v>1428</v>
      </c>
      <c r="N352" s="40">
        <v>1699</v>
      </c>
      <c r="O352" s="40">
        <v>9219</v>
      </c>
      <c r="P352" s="40">
        <v>5724</v>
      </c>
      <c r="Q352" s="40">
        <v>1277</v>
      </c>
      <c r="R352" s="40">
        <v>2218</v>
      </c>
      <c r="S352" s="41">
        <v>50.684316799999998</v>
      </c>
      <c r="T352" s="41">
        <v>18.016603100000001</v>
      </c>
      <c r="U352" s="41">
        <v>31.299080100000001</v>
      </c>
      <c r="V352" s="41">
        <v>59.708800400000001</v>
      </c>
      <c r="W352" s="41">
        <v>18.399690799999998</v>
      </c>
      <c r="X352" s="41">
        <v>21.8915088</v>
      </c>
      <c r="Y352" s="41">
        <v>62.0891637</v>
      </c>
      <c r="Z352" s="41">
        <v>13.851827699999999</v>
      </c>
      <c r="AA352" s="41">
        <v>24.059008599999999</v>
      </c>
    </row>
    <row r="353" spans="1:39" hidden="1" x14ac:dyDescent="0.3">
      <c r="A353" s="42">
        <v>349</v>
      </c>
      <c r="B353" s="43" t="s">
        <v>521</v>
      </c>
      <c r="C353" s="50" t="s">
        <v>46</v>
      </c>
      <c r="D353" s="50" t="s">
        <v>121</v>
      </c>
      <c r="E353" s="50" t="s">
        <v>124</v>
      </c>
      <c r="F353" s="51" t="s">
        <v>124</v>
      </c>
      <c r="G353" s="45">
        <v>5739</v>
      </c>
      <c r="H353" s="45">
        <v>2938</v>
      </c>
      <c r="I353" s="45">
        <v>1026</v>
      </c>
      <c r="J353" s="45">
        <v>1775</v>
      </c>
      <c r="K353" s="45">
        <v>6062</v>
      </c>
      <c r="L353" s="45">
        <v>4252</v>
      </c>
      <c r="M353" s="45">
        <v>894</v>
      </c>
      <c r="N353" s="45">
        <v>916</v>
      </c>
      <c r="O353" s="45">
        <v>8503</v>
      </c>
      <c r="P353" s="45">
        <v>6434</v>
      </c>
      <c r="Q353" s="45">
        <v>906</v>
      </c>
      <c r="R353" s="45">
        <v>1163</v>
      </c>
      <c r="S353" s="46">
        <v>51.193587700000002</v>
      </c>
      <c r="T353" s="46">
        <v>17.877679000000001</v>
      </c>
      <c r="U353" s="46">
        <v>30.9287332</v>
      </c>
      <c r="V353" s="46">
        <v>70.141867399999995</v>
      </c>
      <c r="W353" s="46">
        <v>14.747608100000001</v>
      </c>
      <c r="X353" s="46">
        <v>15.1105246</v>
      </c>
      <c r="Y353" s="46">
        <v>75.6674115</v>
      </c>
      <c r="Z353" s="46">
        <v>10.655062900000001</v>
      </c>
      <c r="AA353" s="46">
        <v>13.677525599999999</v>
      </c>
      <c r="AB353" s="26">
        <f>SUM(W353:X353)</f>
        <v>29.858132699999999</v>
      </c>
      <c r="AC353" s="26">
        <f>SUM(Z353:AA353)</f>
        <v>24.3325885</v>
      </c>
      <c r="AD353" s="57">
        <f>M353+N353</f>
        <v>1810</v>
      </c>
      <c r="AE353" s="57">
        <f>Q353+R353</f>
        <v>2069</v>
      </c>
      <c r="AF353" s="26">
        <f>W353</f>
        <v>14.747608100000001</v>
      </c>
      <c r="AG353" s="26">
        <f>Z353</f>
        <v>10.655062900000001</v>
      </c>
      <c r="AH353" s="26">
        <f>M353</f>
        <v>894</v>
      </c>
      <c r="AI353" s="26">
        <f>Q353</f>
        <v>906</v>
      </c>
      <c r="AJ353" s="26">
        <f>X353</f>
        <v>15.1105246</v>
      </c>
      <c r="AK353" s="26">
        <f>AA353</f>
        <v>13.677525599999999</v>
      </c>
      <c r="AL353" s="57">
        <f>N353</f>
        <v>916</v>
      </c>
      <c r="AM353" s="57">
        <f>R353</f>
        <v>1163</v>
      </c>
    </row>
    <row r="354" spans="1:39" hidden="1" x14ac:dyDescent="0.3">
      <c r="A354" s="37">
        <v>350</v>
      </c>
      <c r="B354" s="38" t="s">
        <v>521</v>
      </c>
      <c r="C354" s="38" t="s">
        <v>46</v>
      </c>
      <c r="D354" s="38" t="s">
        <v>121</v>
      </c>
      <c r="E354" s="38" t="s">
        <v>124</v>
      </c>
      <c r="F354" s="47" t="s">
        <v>519</v>
      </c>
      <c r="G354" s="40"/>
      <c r="H354" s="40"/>
      <c r="I354" s="40"/>
      <c r="J354" s="40"/>
      <c r="K354" s="40">
        <v>700</v>
      </c>
      <c r="L354" s="40">
        <v>519</v>
      </c>
      <c r="M354" s="40">
        <v>104</v>
      </c>
      <c r="N354" s="40">
        <v>77</v>
      </c>
      <c r="O354" s="40">
        <v>1015</v>
      </c>
      <c r="P354" s="40">
        <v>805</v>
      </c>
      <c r="Q354" s="40">
        <v>118</v>
      </c>
      <c r="R354" s="40">
        <v>92</v>
      </c>
      <c r="S354" s="41"/>
      <c r="T354" s="41"/>
      <c r="U354" s="41"/>
      <c r="V354" s="41">
        <v>74.142857100000001</v>
      </c>
      <c r="W354" s="41">
        <v>14.857142899999999</v>
      </c>
      <c r="X354" s="41">
        <v>11</v>
      </c>
      <c r="Y354" s="41">
        <v>79.310344799999996</v>
      </c>
      <c r="Z354" s="41">
        <v>11.6256158</v>
      </c>
      <c r="AA354" s="41">
        <v>9.0640394000000004</v>
      </c>
    </row>
    <row r="355" spans="1:39" hidden="1" x14ac:dyDescent="0.3">
      <c r="A355" s="37">
        <v>351</v>
      </c>
      <c r="B355" s="38" t="s">
        <v>521</v>
      </c>
      <c r="C355" s="38" t="s">
        <v>46</v>
      </c>
      <c r="D355" s="38" t="s">
        <v>121</v>
      </c>
      <c r="E355" s="38" t="s">
        <v>124</v>
      </c>
      <c r="F355" s="47" t="s">
        <v>520</v>
      </c>
      <c r="G355" s="40">
        <v>5739</v>
      </c>
      <c r="H355" s="40">
        <v>2938</v>
      </c>
      <c r="I355" s="40">
        <v>1026</v>
      </c>
      <c r="J355" s="40">
        <v>1775</v>
      </c>
      <c r="K355" s="40">
        <v>5362</v>
      </c>
      <c r="L355" s="40">
        <v>3733</v>
      </c>
      <c r="M355" s="40">
        <v>790</v>
      </c>
      <c r="N355" s="40">
        <v>839</v>
      </c>
      <c r="O355" s="40">
        <v>7488</v>
      </c>
      <c r="P355" s="40">
        <v>5629</v>
      </c>
      <c r="Q355" s="40">
        <v>788</v>
      </c>
      <c r="R355" s="40">
        <v>1071</v>
      </c>
      <c r="S355" s="41">
        <v>51.193587700000002</v>
      </c>
      <c r="T355" s="41">
        <v>17.877679000000001</v>
      </c>
      <c r="U355" s="41">
        <v>30.9287332</v>
      </c>
      <c r="V355" s="41">
        <v>69.619544899999994</v>
      </c>
      <c r="W355" s="41">
        <v>14.7333085</v>
      </c>
      <c r="X355" s="41">
        <v>15.647146599999999</v>
      </c>
      <c r="Y355" s="41">
        <v>75.173611100000002</v>
      </c>
      <c r="Z355" s="41">
        <v>10.523504300000001</v>
      </c>
      <c r="AA355" s="41">
        <v>14.302884600000001</v>
      </c>
    </row>
    <row r="356" spans="1:39" hidden="1" x14ac:dyDescent="0.3">
      <c r="A356" s="42">
        <v>352</v>
      </c>
      <c r="B356" s="43" t="s">
        <v>521</v>
      </c>
      <c r="C356" s="50" t="s">
        <v>46</v>
      </c>
      <c r="D356" s="50" t="s">
        <v>121</v>
      </c>
      <c r="E356" s="50" t="s">
        <v>125</v>
      </c>
      <c r="F356" s="51" t="s">
        <v>125</v>
      </c>
      <c r="G356" s="45">
        <v>2451</v>
      </c>
      <c r="H356" s="45">
        <v>1454</v>
      </c>
      <c r="I356" s="45">
        <v>401</v>
      </c>
      <c r="J356" s="45">
        <v>596</v>
      </c>
      <c r="K356" s="45">
        <v>2348</v>
      </c>
      <c r="L356" s="45">
        <v>1641</v>
      </c>
      <c r="M356" s="45">
        <v>364</v>
      </c>
      <c r="N356" s="45">
        <v>343</v>
      </c>
      <c r="O356" s="45">
        <v>3188</v>
      </c>
      <c r="P356" s="45">
        <v>2318</v>
      </c>
      <c r="Q356" s="45">
        <v>409</v>
      </c>
      <c r="R356" s="45">
        <v>461</v>
      </c>
      <c r="S356" s="46">
        <v>59.322725400000003</v>
      </c>
      <c r="T356" s="46">
        <v>16.360669099999999</v>
      </c>
      <c r="U356" s="46">
        <v>24.316605500000001</v>
      </c>
      <c r="V356" s="46">
        <v>69.889267500000003</v>
      </c>
      <c r="W356" s="46">
        <v>15.5025554</v>
      </c>
      <c r="X356" s="46">
        <v>14.6081772</v>
      </c>
      <c r="Y356" s="46">
        <v>72.710163100000003</v>
      </c>
      <c r="Z356" s="46">
        <v>12.829360100000001</v>
      </c>
      <c r="AA356" s="46">
        <v>14.4604768</v>
      </c>
      <c r="AB356" s="26">
        <f>SUM(W356:X356)</f>
        <v>30.110732599999999</v>
      </c>
      <c r="AC356" s="26">
        <f>SUM(Z356:AA356)</f>
        <v>27.289836900000001</v>
      </c>
      <c r="AD356" s="57">
        <f>M356+N356</f>
        <v>707</v>
      </c>
      <c r="AE356" s="57">
        <f>Q356+R356</f>
        <v>870</v>
      </c>
      <c r="AF356" s="26">
        <f>W356</f>
        <v>15.5025554</v>
      </c>
      <c r="AG356" s="26">
        <f>Z356</f>
        <v>12.829360100000001</v>
      </c>
      <c r="AH356" s="26">
        <f>M356</f>
        <v>364</v>
      </c>
      <c r="AI356" s="26">
        <f>Q356</f>
        <v>409</v>
      </c>
      <c r="AJ356" s="26">
        <f>X356</f>
        <v>14.6081772</v>
      </c>
      <c r="AK356" s="26">
        <f>AA356</f>
        <v>14.4604768</v>
      </c>
      <c r="AL356" s="57">
        <f>N356</f>
        <v>343</v>
      </c>
      <c r="AM356" s="57">
        <f>R356</f>
        <v>461</v>
      </c>
    </row>
    <row r="357" spans="1:39" hidden="1" x14ac:dyDescent="0.3">
      <c r="A357" s="37">
        <v>353</v>
      </c>
      <c r="B357" s="38" t="s">
        <v>521</v>
      </c>
      <c r="C357" s="38" t="s">
        <v>46</v>
      </c>
      <c r="D357" s="38" t="s">
        <v>121</v>
      </c>
      <c r="E357" s="38" t="s">
        <v>125</v>
      </c>
      <c r="F357" s="47" t="s">
        <v>519</v>
      </c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1"/>
      <c r="T357" s="41"/>
      <c r="U357" s="41"/>
      <c r="V357" s="41"/>
      <c r="W357" s="41"/>
      <c r="X357" s="41"/>
      <c r="Y357" s="41"/>
      <c r="Z357" s="41"/>
      <c r="AA357" s="41"/>
    </row>
    <row r="358" spans="1:39" hidden="1" x14ac:dyDescent="0.3">
      <c r="A358" s="37">
        <v>354</v>
      </c>
      <c r="B358" s="38" t="s">
        <v>521</v>
      </c>
      <c r="C358" s="38" t="s">
        <v>46</v>
      </c>
      <c r="D358" s="38" t="s">
        <v>121</v>
      </c>
      <c r="E358" s="38" t="s">
        <v>125</v>
      </c>
      <c r="F358" s="47" t="s">
        <v>520</v>
      </c>
      <c r="G358" s="40">
        <v>2451</v>
      </c>
      <c r="H358" s="40">
        <v>1454</v>
      </c>
      <c r="I358" s="40">
        <v>401</v>
      </c>
      <c r="J358" s="40">
        <v>596</v>
      </c>
      <c r="K358" s="40">
        <v>2348</v>
      </c>
      <c r="L358" s="40">
        <v>1641</v>
      </c>
      <c r="M358" s="40">
        <v>364</v>
      </c>
      <c r="N358" s="40">
        <v>343</v>
      </c>
      <c r="O358" s="40">
        <v>3188</v>
      </c>
      <c r="P358" s="40">
        <v>2318</v>
      </c>
      <c r="Q358" s="40">
        <v>409</v>
      </c>
      <c r="R358" s="40">
        <v>461</v>
      </c>
      <c r="S358" s="41">
        <v>59.322725400000003</v>
      </c>
      <c r="T358" s="41">
        <v>16.360669099999999</v>
      </c>
      <c r="U358" s="41">
        <v>24.316605500000001</v>
      </c>
      <c r="V358" s="41">
        <v>69.889267500000003</v>
      </c>
      <c r="W358" s="41">
        <v>15.5025554</v>
      </c>
      <c r="X358" s="41">
        <v>14.6081772</v>
      </c>
      <c r="Y358" s="41">
        <v>72.710163100000003</v>
      </c>
      <c r="Z358" s="41">
        <v>12.829360100000001</v>
      </c>
      <c r="AA358" s="41">
        <v>14.4604768</v>
      </c>
    </row>
    <row r="359" spans="1:39" hidden="1" x14ac:dyDescent="0.3">
      <c r="A359" s="32">
        <v>355</v>
      </c>
      <c r="B359" s="33" t="s">
        <v>1</v>
      </c>
      <c r="C359" s="49" t="s">
        <v>46</v>
      </c>
      <c r="D359" s="49" t="s">
        <v>126</v>
      </c>
      <c r="E359" s="49"/>
      <c r="F359" s="34" t="s">
        <v>126</v>
      </c>
      <c r="G359" s="35">
        <v>23550</v>
      </c>
      <c r="H359" s="35">
        <v>11777</v>
      </c>
      <c r="I359" s="35">
        <v>4037</v>
      </c>
      <c r="J359" s="35">
        <v>7736</v>
      </c>
      <c r="K359" s="35">
        <v>31288</v>
      </c>
      <c r="L359" s="35">
        <v>19520</v>
      </c>
      <c r="M359" s="35">
        <v>4867</v>
      </c>
      <c r="N359" s="35">
        <v>6901</v>
      </c>
      <c r="O359" s="35">
        <v>42289</v>
      </c>
      <c r="P359" s="35">
        <v>28727</v>
      </c>
      <c r="Q359" s="35">
        <v>5583</v>
      </c>
      <c r="R359" s="35">
        <v>7979</v>
      </c>
      <c r="S359" s="36">
        <v>50.008492599999997</v>
      </c>
      <c r="T359" s="36">
        <v>17.142250499999999</v>
      </c>
      <c r="U359" s="36">
        <v>32.8492569</v>
      </c>
      <c r="V359" s="36">
        <v>62.388136000000003</v>
      </c>
      <c r="W359" s="36">
        <v>15.5554845</v>
      </c>
      <c r="X359" s="36">
        <v>22.056379400000001</v>
      </c>
      <c r="Y359" s="36">
        <v>67.930194599999993</v>
      </c>
      <c r="Z359" s="36">
        <v>13.202014699999999</v>
      </c>
      <c r="AA359" s="36">
        <v>18.8677907</v>
      </c>
    </row>
    <row r="360" spans="1:39" hidden="1" x14ac:dyDescent="0.3">
      <c r="A360" s="37">
        <v>356</v>
      </c>
      <c r="B360" s="38" t="s">
        <v>1</v>
      </c>
      <c r="C360" s="38" t="s">
        <v>46</v>
      </c>
      <c r="D360" s="38" t="s">
        <v>126</v>
      </c>
      <c r="E360" s="38"/>
      <c r="F360" s="39" t="s">
        <v>519</v>
      </c>
      <c r="G360" s="40">
        <v>4946</v>
      </c>
      <c r="H360" s="40">
        <v>2772</v>
      </c>
      <c r="I360" s="40">
        <v>803</v>
      </c>
      <c r="J360" s="40">
        <v>1371</v>
      </c>
      <c r="K360" s="40">
        <v>8433</v>
      </c>
      <c r="L360" s="40">
        <v>5252</v>
      </c>
      <c r="M360" s="40">
        <v>1354</v>
      </c>
      <c r="N360" s="40">
        <v>1827</v>
      </c>
      <c r="O360" s="40">
        <v>12480</v>
      </c>
      <c r="P360" s="40">
        <v>8896</v>
      </c>
      <c r="Q360" s="40">
        <v>1533</v>
      </c>
      <c r="R360" s="40">
        <v>2051</v>
      </c>
      <c r="S360" s="41">
        <v>56.045289099999998</v>
      </c>
      <c r="T360" s="41">
        <v>16.235341699999999</v>
      </c>
      <c r="U360" s="41">
        <v>27.719369199999999</v>
      </c>
      <c r="V360" s="41">
        <v>62.279141500000001</v>
      </c>
      <c r="W360" s="41">
        <v>16.055970599999998</v>
      </c>
      <c r="X360" s="41">
        <v>21.6648879</v>
      </c>
      <c r="Y360" s="41">
        <v>71.282051300000006</v>
      </c>
      <c r="Z360" s="41">
        <v>12.2836538</v>
      </c>
      <c r="AA360" s="41">
        <v>16.434294900000001</v>
      </c>
    </row>
    <row r="361" spans="1:39" hidden="1" x14ac:dyDescent="0.3">
      <c r="A361" s="37">
        <v>357</v>
      </c>
      <c r="B361" s="38" t="s">
        <v>1</v>
      </c>
      <c r="C361" s="38" t="s">
        <v>46</v>
      </c>
      <c r="D361" s="38" t="s">
        <v>126</v>
      </c>
      <c r="E361" s="38"/>
      <c r="F361" s="39" t="s">
        <v>520</v>
      </c>
      <c r="G361" s="40">
        <v>18604</v>
      </c>
      <c r="H361" s="40">
        <v>9005</v>
      </c>
      <c r="I361" s="40">
        <v>3234</v>
      </c>
      <c r="J361" s="40">
        <v>6365</v>
      </c>
      <c r="K361" s="40">
        <v>22855</v>
      </c>
      <c r="L361" s="40">
        <v>14268</v>
      </c>
      <c r="M361" s="40">
        <v>3513</v>
      </c>
      <c r="N361" s="40">
        <v>5074</v>
      </c>
      <c r="O361" s="40">
        <v>29809</v>
      </c>
      <c r="P361" s="40">
        <v>19831</v>
      </c>
      <c r="Q361" s="40">
        <v>4050</v>
      </c>
      <c r="R361" s="40">
        <v>5928</v>
      </c>
      <c r="S361" s="41">
        <v>48.403569099999999</v>
      </c>
      <c r="T361" s="41">
        <v>17.383358399999999</v>
      </c>
      <c r="U361" s="41">
        <v>34.213072500000003</v>
      </c>
      <c r="V361" s="41">
        <v>62.428352699999998</v>
      </c>
      <c r="W361" s="41">
        <v>15.370816</v>
      </c>
      <c r="X361" s="41">
        <v>22.200831300000001</v>
      </c>
      <c r="Y361" s="41">
        <v>66.526887900000006</v>
      </c>
      <c r="Z361" s="41">
        <v>13.5865007</v>
      </c>
      <c r="AA361" s="41">
        <v>19.8866114</v>
      </c>
    </row>
    <row r="362" spans="1:39" hidden="1" x14ac:dyDescent="0.3">
      <c r="A362" s="42">
        <v>358</v>
      </c>
      <c r="B362" s="43" t="s">
        <v>521</v>
      </c>
      <c r="C362" s="50" t="s">
        <v>46</v>
      </c>
      <c r="D362" s="50" t="s">
        <v>126</v>
      </c>
      <c r="E362" s="50" t="s">
        <v>480</v>
      </c>
      <c r="F362" s="51" t="s">
        <v>480</v>
      </c>
      <c r="G362" s="45">
        <v>7144</v>
      </c>
      <c r="H362" s="45">
        <v>3333</v>
      </c>
      <c r="I362" s="45">
        <v>1187</v>
      </c>
      <c r="J362" s="45">
        <v>2624</v>
      </c>
      <c r="K362" s="45">
        <v>9420</v>
      </c>
      <c r="L362" s="45">
        <v>5252</v>
      </c>
      <c r="M362" s="45">
        <v>1566</v>
      </c>
      <c r="N362" s="45">
        <v>2602</v>
      </c>
      <c r="O362" s="45">
        <v>12627</v>
      </c>
      <c r="P362" s="45">
        <v>8317</v>
      </c>
      <c r="Q362" s="45">
        <v>1796</v>
      </c>
      <c r="R362" s="45">
        <v>2514</v>
      </c>
      <c r="S362" s="46">
        <v>46.654535299999999</v>
      </c>
      <c r="T362" s="46">
        <v>16.6153415</v>
      </c>
      <c r="U362" s="46">
        <v>36.730123200000001</v>
      </c>
      <c r="V362" s="46">
        <v>55.753715499999998</v>
      </c>
      <c r="W362" s="46">
        <v>16.6242038</v>
      </c>
      <c r="X362" s="46">
        <v>27.622080700000001</v>
      </c>
      <c r="Y362" s="46">
        <v>65.866793400000006</v>
      </c>
      <c r="Z362" s="46">
        <v>14.223489300000001</v>
      </c>
      <c r="AA362" s="46">
        <v>19.909717300000001</v>
      </c>
      <c r="AB362" s="26">
        <f>SUM(W362:X362)</f>
        <v>44.246284500000002</v>
      </c>
      <c r="AC362" s="26">
        <f>SUM(Z362:AA362)</f>
        <v>34.133206600000001</v>
      </c>
      <c r="AD362" s="57">
        <f>M362+N362</f>
        <v>4168</v>
      </c>
      <c r="AE362" s="57">
        <f>Q362+R362</f>
        <v>4310</v>
      </c>
      <c r="AF362" s="26">
        <f>W362</f>
        <v>16.6242038</v>
      </c>
      <c r="AG362" s="26">
        <f>Z362</f>
        <v>14.223489300000001</v>
      </c>
      <c r="AH362" s="26">
        <f>M362</f>
        <v>1566</v>
      </c>
      <c r="AI362" s="26">
        <f>Q362</f>
        <v>1796</v>
      </c>
      <c r="AJ362" s="26">
        <f>X362</f>
        <v>27.622080700000001</v>
      </c>
      <c r="AK362" s="26">
        <f>AA362</f>
        <v>19.909717300000001</v>
      </c>
      <c r="AL362" s="57">
        <f>N362</f>
        <v>2602</v>
      </c>
      <c r="AM362" s="57">
        <f>R362</f>
        <v>2514</v>
      </c>
    </row>
    <row r="363" spans="1:39" hidden="1" x14ac:dyDescent="0.3">
      <c r="A363" s="37">
        <v>359</v>
      </c>
      <c r="B363" s="38" t="s">
        <v>521</v>
      </c>
      <c r="C363" s="38" t="s">
        <v>46</v>
      </c>
      <c r="D363" s="38" t="s">
        <v>126</v>
      </c>
      <c r="E363" s="38" t="s">
        <v>480</v>
      </c>
      <c r="F363" s="47" t="s">
        <v>519</v>
      </c>
      <c r="G363" s="40">
        <v>1795</v>
      </c>
      <c r="H363" s="40">
        <v>929</v>
      </c>
      <c r="I363" s="40">
        <v>271</v>
      </c>
      <c r="J363" s="40">
        <v>595</v>
      </c>
      <c r="K363" s="40">
        <v>3024</v>
      </c>
      <c r="L363" s="40">
        <v>1640</v>
      </c>
      <c r="M363" s="40">
        <v>479</v>
      </c>
      <c r="N363" s="40">
        <v>905</v>
      </c>
      <c r="O363" s="40">
        <v>3749</v>
      </c>
      <c r="P363" s="40">
        <v>2703</v>
      </c>
      <c r="Q363" s="40">
        <v>435</v>
      </c>
      <c r="R363" s="40">
        <v>611</v>
      </c>
      <c r="S363" s="41">
        <v>51.754874700000002</v>
      </c>
      <c r="T363" s="41">
        <v>15.097493</v>
      </c>
      <c r="U363" s="41">
        <v>33.147632299999998</v>
      </c>
      <c r="V363" s="41">
        <v>54.232804199999997</v>
      </c>
      <c r="W363" s="41">
        <v>15.8399471</v>
      </c>
      <c r="X363" s="41">
        <v>29.9272487</v>
      </c>
      <c r="Y363" s="41">
        <v>72.0992265</v>
      </c>
      <c r="Z363" s="41">
        <v>11.603094199999999</v>
      </c>
      <c r="AA363" s="41">
        <v>16.2976794</v>
      </c>
    </row>
    <row r="364" spans="1:39" hidden="1" x14ac:dyDescent="0.3">
      <c r="A364" s="37">
        <v>360</v>
      </c>
      <c r="B364" s="38" t="s">
        <v>521</v>
      </c>
      <c r="C364" s="38" t="s">
        <v>46</v>
      </c>
      <c r="D364" s="38" t="s">
        <v>126</v>
      </c>
      <c r="E364" s="38" t="s">
        <v>480</v>
      </c>
      <c r="F364" s="47" t="s">
        <v>520</v>
      </c>
      <c r="G364" s="40">
        <v>5349</v>
      </c>
      <c r="H364" s="40">
        <v>2404</v>
      </c>
      <c r="I364" s="40">
        <v>916</v>
      </c>
      <c r="J364" s="40">
        <v>2029</v>
      </c>
      <c r="K364" s="40">
        <v>6396</v>
      </c>
      <c r="L364" s="40">
        <v>3612</v>
      </c>
      <c r="M364" s="40">
        <v>1087</v>
      </c>
      <c r="N364" s="40">
        <v>1697</v>
      </c>
      <c r="O364" s="40">
        <v>8878</v>
      </c>
      <c r="P364" s="40">
        <v>5614</v>
      </c>
      <c r="Q364" s="40">
        <v>1361</v>
      </c>
      <c r="R364" s="40">
        <v>1903</v>
      </c>
      <c r="S364" s="41">
        <v>44.942979999999999</v>
      </c>
      <c r="T364" s="41">
        <v>17.124696199999999</v>
      </c>
      <c r="U364" s="41">
        <v>37.932323799999999</v>
      </c>
      <c r="V364" s="41">
        <v>56.472795499999997</v>
      </c>
      <c r="W364" s="41">
        <v>16.9949969</v>
      </c>
      <c r="X364" s="41">
        <v>26.5322076</v>
      </c>
      <c r="Y364" s="41">
        <v>63.234962799999998</v>
      </c>
      <c r="Z364" s="41">
        <v>15.3300293</v>
      </c>
      <c r="AA364" s="41">
        <v>21.435007899999999</v>
      </c>
    </row>
    <row r="365" spans="1:39" hidden="1" x14ac:dyDescent="0.3">
      <c r="A365" s="42">
        <v>361</v>
      </c>
      <c r="B365" s="43" t="s">
        <v>521</v>
      </c>
      <c r="C365" s="50" t="s">
        <v>46</v>
      </c>
      <c r="D365" s="50" t="s">
        <v>126</v>
      </c>
      <c r="E365" s="50" t="s">
        <v>128</v>
      </c>
      <c r="F365" s="51" t="s">
        <v>128</v>
      </c>
      <c r="G365" s="45">
        <v>2950</v>
      </c>
      <c r="H365" s="45">
        <v>1674</v>
      </c>
      <c r="I365" s="45">
        <v>459</v>
      </c>
      <c r="J365" s="45">
        <v>817</v>
      </c>
      <c r="K365" s="45">
        <v>3249</v>
      </c>
      <c r="L365" s="45">
        <v>2192</v>
      </c>
      <c r="M365" s="45">
        <v>445</v>
      </c>
      <c r="N365" s="45">
        <v>612</v>
      </c>
      <c r="O365" s="45">
        <v>3921</v>
      </c>
      <c r="P365" s="45">
        <v>2867</v>
      </c>
      <c r="Q365" s="45">
        <v>418</v>
      </c>
      <c r="R365" s="45">
        <v>636</v>
      </c>
      <c r="S365" s="46">
        <v>56.7457627</v>
      </c>
      <c r="T365" s="46">
        <v>15.559322</v>
      </c>
      <c r="U365" s="46">
        <v>27.694915300000002</v>
      </c>
      <c r="V365" s="46">
        <v>67.466912899999997</v>
      </c>
      <c r="W365" s="46">
        <v>13.696522</v>
      </c>
      <c r="X365" s="46">
        <v>18.836565100000001</v>
      </c>
      <c r="Y365" s="46">
        <v>73.119102299999994</v>
      </c>
      <c r="Z365" s="46">
        <v>10.6605458</v>
      </c>
      <c r="AA365" s="46">
        <v>16.220351999999998</v>
      </c>
      <c r="AB365" s="26">
        <f>SUM(W365:X365)</f>
        <v>32.533087100000003</v>
      </c>
      <c r="AC365" s="26">
        <f>SUM(Z365:AA365)</f>
        <v>26.8808978</v>
      </c>
      <c r="AD365" s="57">
        <f>M365+N365</f>
        <v>1057</v>
      </c>
      <c r="AE365" s="57">
        <f>Q365+R365</f>
        <v>1054</v>
      </c>
      <c r="AF365" s="26">
        <f>W365</f>
        <v>13.696522</v>
      </c>
      <c r="AG365" s="26">
        <f>Z365</f>
        <v>10.6605458</v>
      </c>
      <c r="AH365" s="26">
        <f>M365</f>
        <v>445</v>
      </c>
      <c r="AI365" s="26">
        <f>Q365</f>
        <v>418</v>
      </c>
      <c r="AJ365" s="26">
        <f>X365</f>
        <v>18.836565100000001</v>
      </c>
      <c r="AK365" s="26">
        <f>AA365</f>
        <v>16.220351999999998</v>
      </c>
      <c r="AL365" s="57">
        <f>N365</f>
        <v>612</v>
      </c>
      <c r="AM365" s="57">
        <f>R365</f>
        <v>636</v>
      </c>
    </row>
    <row r="366" spans="1:39" hidden="1" x14ac:dyDescent="0.3">
      <c r="A366" s="37">
        <v>362</v>
      </c>
      <c r="B366" s="38" t="s">
        <v>521</v>
      </c>
      <c r="C366" s="38" t="s">
        <v>46</v>
      </c>
      <c r="D366" s="38" t="s">
        <v>126</v>
      </c>
      <c r="E366" s="38" t="s">
        <v>128</v>
      </c>
      <c r="F366" s="47" t="s">
        <v>519</v>
      </c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1"/>
      <c r="T366" s="41"/>
      <c r="U366" s="41"/>
      <c r="V366" s="41"/>
      <c r="W366" s="41"/>
      <c r="X366" s="41"/>
      <c r="Y366" s="41"/>
      <c r="Z366" s="41"/>
      <c r="AA366" s="41"/>
    </row>
    <row r="367" spans="1:39" hidden="1" x14ac:dyDescent="0.3">
      <c r="A367" s="37">
        <v>363</v>
      </c>
      <c r="B367" s="38" t="s">
        <v>521</v>
      </c>
      <c r="C367" s="38" t="s">
        <v>46</v>
      </c>
      <c r="D367" s="38" t="s">
        <v>126</v>
      </c>
      <c r="E367" s="38" t="s">
        <v>128</v>
      </c>
      <c r="F367" s="47" t="s">
        <v>520</v>
      </c>
      <c r="G367" s="40">
        <v>2950</v>
      </c>
      <c r="H367" s="40">
        <v>1674</v>
      </c>
      <c r="I367" s="40">
        <v>459</v>
      </c>
      <c r="J367" s="40">
        <v>817</v>
      </c>
      <c r="K367" s="40">
        <v>3249</v>
      </c>
      <c r="L367" s="40">
        <v>2192</v>
      </c>
      <c r="M367" s="40">
        <v>445</v>
      </c>
      <c r="N367" s="40">
        <v>612</v>
      </c>
      <c r="O367" s="40">
        <v>3921</v>
      </c>
      <c r="P367" s="40">
        <v>2867</v>
      </c>
      <c r="Q367" s="40">
        <v>418</v>
      </c>
      <c r="R367" s="40">
        <v>636</v>
      </c>
      <c r="S367" s="41">
        <v>56.7457627</v>
      </c>
      <c r="T367" s="41">
        <v>15.559322</v>
      </c>
      <c r="U367" s="41">
        <v>27.694915300000002</v>
      </c>
      <c r="V367" s="41">
        <v>67.466912899999997</v>
      </c>
      <c r="W367" s="41">
        <v>13.696522</v>
      </c>
      <c r="X367" s="41">
        <v>18.836565100000001</v>
      </c>
      <c r="Y367" s="41">
        <v>73.119102299999994</v>
      </c>
      <c r="Z367" s="41">
        <v>10.6605458</v>
      </c>
      <c r="AA367" s="41">
        <v>16.220351999999998</v>
      </c>
    </row>
    <row r="368" spans="1:39" hidden="1" x14ac:dyDescent="0.3">
      <c r="A368" s="42">
        <v>364</v>
      </c>
      <c r="B368" s="43" t="s">
        <v>521</v>
      </c>
      <c r="C368" s="50" t="s">
        <v>46</v>
      </c>
      <c r="D368" s="50" t="s">
        <v>126</v>
      </c>
      <c r="E368" s="50" t="s">
        <v>129</v>
      </c>
      <c r="F368" s="51" t="s">
        <v>129</v>
      </c>
      <c r="G368" s="45">
        <v>1973</v>
      </c>
      <c r="H368" s="45">
        <v>1031</v>
      </c>
      <c r="I368" s="45">
        <v>352</v>
      </c>
      <c r="J368" s="45">
        <v>590</v>
      </c>
      <c r="K368" s="45">
        <v>2823</v>
      </c>
      <c r="L368" s="45">
        <v>1958</v>
      </c>
      <c r="M368" s="45">
        <v>398</v>
      </c>
      <c r="N368" s="45">
        <v>467</v>
      </c>
      <c r="O368" s="45">
        <v>4794</v>
      </c>
      <c r="P368" s="45">
        <v>3311</v>
      </c>
      <c r="Q368" s="45">
        <v>514</v>
      </c>
      <c r="R368" s="45">
        <v>969</v>
      </c>
      <c r="S368" s="46">
        <v>52.255448600000001</v>
      </c>
      <c r="T368" s="46">
        <v>17.840851499999999</v>
      </c>
      <c r="U368" s="46">
        <v>29.903699899999999</v>
      </c>
      <c r="V368" s="46">
        <v>69.3588381</v>
      </c>
      <c r="W368" s="46">
        <v>14.0984768</v>
      </c>
      <c r="X368" s="46">
        <v>16.5426851</v>
      </c>
      <c r="Y368" s="46">
        <v>69.065498500000004</v>
      </c>
      <c r="Z368" s="46">
        <v>10.721735499999999</v>
      </c>
      <c r="AA368" s="46">
        <v>20.212765999999998</v>
      </c>
      <c r="AB368" s="26">
        <f>SUM(W368:X368)</f>
        <v>30.6411619</v>
      </c>
      <c r="AC368" s="26">
        <f>SUM(Z368:AA368)</f>
        <v>30.934501499999996</v>
      </c>
      <c r="AD368" s="57">
        <f>M368+N368</f>
        <v>865</v>
      </c>
      <c r="AE368" s="57">
        <f>Q368+R368</f>
        <v>1483</v>
      </c>
      <c r="AF368" s="26">
        <f>W368</f>
        <v>14.0984768</v>
      </c>
      <c r="AG368" s="26">
        <f>Z368</f>
        <v>10.721735499999999</v>
      </c>
      <c r="AH368" s="26">
        <f>M368</f>
        <v>398</v>
      </c>
      <c r="AI368" s="26">
        <f>Q368</f>
        <v>514</v>
      </c>
      <c r="AJ368" s="26">
        <f>X368</f>
        <v>16.5426851</v>
      </c>
      <c r="AK368" s="26">
        <f>AA368</f>
        <v>20.212765999999998</v>
      </c>
      <c r="AL368" s="57">
        <f>N368</f>
        <v>467</v>
      </c>
      <c r="AM368" s="57">
        <f>R368</f>
        <v>969</v>
      </c>
    </row>
    <row r="369" spans="1:39" hidden="1" x14ac:dyDescent="0.3">
      <c r="A369" s="37">
        <v>365</v>
      </c>
      <c r="B369" s="38" t="s">
        <v>521</v>
      </c>
      <c r="C369" s="38" t="s">
        <v>46</v>
      </c>
      <c r="D369" s="38" t="s">
        <v>126</v>
      </c>
      <c r="E369" s="38" t="s">
        <v>129</v>
      </c>
      <c r="F369" s="47" t="s">
        <v>519</v>
      </c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1"/>
      <c r="T369" s="41"/>
      <c r="U369" s="41"/>
      <c r="V369" s="41"/>
      <c r="W369" s="41"/>
      <c r="X369" s="41"/>
      <c r="Y369" s="41"/>
      <c r="Z369" s="41"/>
      <c r="AA369" s="41"/>
    </row>
    <row r="370" spans="1:39" hidden="1" x14ac:dyDescent="0.3">
      <c r="A370" s="37">
        <v>366</v>
      </c>
      <c r="B370" s="38" t="s">
        <v>521</v>
      </c>
      <c r="C370" s="38" t="s">
        <v>46</v>
      </c>
      <c r="D370" s="38" t="s">
        <v>126</v>
      </c>
      <c r="E370" s="38" t="s">
        <v>129</v>
      </c>
      <c r="F370" s="47" t="s">
        <v>520</v>
      </c>
      <c r="G370" s="40">
        <v>1973</v>
      </c>
      <c r="H370" s="40">
        <v>1031</v>
      </c>
      <c r="I370" s="40">
        <v>352</v>
      </c>
      <c r="J370" s="40">
        <v>590</v>
      </c>
      <c r="K370" s="40">
        <v>2823</v>
      </c>
      <c r="L370" s="40">
        <v>1958</v>
      </c>
      <c r="M370" s="40">
        <v>398</v>
      </c>
      <c r="N370" s="40">
        <v>467</v>
      </c>
      <c r="O370" s="40">
        <v>4794</v>
      </c>
      <c r="P370" s="40">
        <v>3311</v>
      </c>
      <c r="Q370" s="40">
        <v>514</v>
      </c>
      <c r="R370" s="40">
        <v>969</v>
      </c>
      <c r="S370" s="41">
        <v>52.255448600000001</v>
      </c>
      <c r="T370" s="41">
        <v>17.840851499999999</v>
      </c>
      <c r="U370" s="41">
        <v>29.903699899999999</v>
      </c>
      <c r="V370" s="41">
        <v>69.3588381</v>
      </c>
      <c r="W370" s="41">
        <v>14.0984768</v>
      </c>
      <c r="X370" s="41">
        <v>16.5426851</v>
      </c>
      <c r="Y370" s="41">
        <v>69.065498500000004</v>
      </c>
      <c r="Z370" s="41">
        <v>10.721735499999999</v>
      </c>
      <c r="AA370" s="41">
        <v>20.212765999999998</v>
      </c>
    </row>
    <row r="371" spans="1:39" hidden="1" x14ac:dyDescent="0.3">
      <c r="A371" s="42">
        <v>367</v>
      </c>
      <c r="B371" s="43" t="s">
        <v>521</v>
      </c>
      <c r="C371" s="50" t="s">
        <v>46</v>
      </c>
      <c r="D371" s="50" t="s">
        <v>126</v>
      </c>
      <c r="E371" s="50" t="s">
        <v>130</v>
      </c>
      <c r="F371" s="51" t="s">
        <v>130</v>
      </c>
      <c r="G371" s="45">
        <v>3042</v>
      </c>
      <c r="H371" s="45">
        <v>1310</v>
      </c>
      <c r="I371" s="45">
        <v>563</v>
      </c>
      <c r="J371" s="45">
        <v>1169</v>
      </c>
      <c r="K371" s="45">
        <v>3827</v>
      </c>
      <c r="L371" s="45">
        <v>2381</v>
      </c>
      <c r="M371" s="45">
        <v>571</v>
      </c>
      <c r="N371" s="45">
        <v>875</v>
      </c>
      <c r="O371" s="45">
        <v>5467</v>
      </c>
      <c r="P371" s="45">
        <v>3563</v>
      </c>
      <c r="Q371" s="45">
        <v>800</v>
      </c>
      <c r="R371" s="45">
        <v>1104</v>
      </c>
      <c r="S371" s="46">
        <v>43.0637738</v>
      </c>
      <c r="T371" s="46">
        <v>18.5075608</v>
      </c>
      <c r="U371" s="46">
        <v>38.4286654</v>
      </c>
      <c r="V371" s="46">
        <v>62.215834899999997</v>
      </c>
      <c r="W371" s="46">
        <v>14.9203031</v>
      </c>
      <c r="X371" s="46">
        <v>22.863862000000001</v>
      </c>
      <c r="Y371" s="46">
        <v>65.172855299999995</v>
      </c>
      <c r="Z371" s="46">
        <v>14.6332541</v>
      </c>
      <c r="AA371" s="46">
        <v>20.1938906</v>
      </c>
      <c r="AB371" s="26">
        <f>SUM(W371:X371)</f>
        <v>37.784165100000003</v>
      </c>
      <c r="AC371" s="26">
        <f>SUM(Z371:AA371)</f>
        <v>34.827144699999998</v>
      </c>
      <c r="AD371" s="57">
        <f>M371+N371</f>
        <v>1446</v>
      </c>
      <c r="AE371" s="57">
        <f>Q371+R371</f>
        <v>1904</v>
      </c>
      <c r="AF371" s="26">
        <f>W371</f>
        <v>14.9203031</v>
      </c>
      <c r="AG371" s="26">
        <f>Z371</f>
        <v>14.6332541</v>
      </c>
      <c r="AH371" s="26">
        <f>M371</f>
        <v>571</v>
      </c>
      <c r="AI371" s="26">
        <f>Q371</f>
        <v>800</v>
      </c>
      <c r="AJ371" s="26">
        <f>X371</f>
        <v>22.863862000000001</v>
      </c>
      <c r="AK371" s="26">
        <f>AA371</f>
        <v>20.1938906</v>
      </c>
      <c r="AL371" s="57">
        <f>N371</f>
        <v>875</v>
      </c>
      <c r="AM371" s="57">
        <f>R371</f>
        <v>1104</v>
      </c>
    </row>
    <row r="372" spans="1:39" hidden="1" x14ac:dyDescent="0.3">
      <c r="A372" s="37">
        <v>368</v>
      </c>
      <c r="B372" s="38" t="s">
        <v>521</v>
      </c>
      <c r="C372" s="38" t="s">
        <v>46</v>
      </c>
      <c r="D372" s="38" t="s">
        <v>126</v>
      </c>
      <c r="E372" s="38" t="s">
        <v>130</v>
      </c>
      <c r="F372" s="47" t="s">
        <v>519</v>
      </c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1"/>
      <c r="T372" s="41"/>
      <c r="U372" s="41"/>
      <c r="V372" s="41"/>
      <c r="W372" s="41"/>
      <c r="X372" s="41"/>
      <c r="Y372" s="41"/>
      <c r="Z372" s="41"/>
      <c r="AA372" s="41"/>
    </row>
    <row r="373" spans="1:39" hidden="1" x14ac:dyDescent="0.3">
      <c r="A373" s="37">
        <v>369</v>
      </c>
      <c r="B373" s="38" t="s">
        <v>521</v>
      </c>
      <c r="C373" s="38" t="s">
        <v>46</v>
      </c>
      <c r="D373" s="38" t="s">
        <v>126</v>
      </c>
      <c r="E373" s="38" t="s">
        <v>130</v>
      </c>
      <c r="F373" s="47" t="s">
        <v>520</v>
      </c>
      <c r="G373" s="40">
        <v>3042</v>
      </c>
      <c r="H373" s="40">
        <v>1310</v>
      </c>
      <c r="I373" s="40">
        <v>563</v>
      </c>
      <c r="J373" s="40">
        <v>1169</v>
      </c>
      <c r="K373" s="40">
        <v>3827</v>
      </c>
      <c r="L373" s="40">
        <v>2381</v>
      </c>
      <c r="M373" s="40">
        <v>571</v>
      </c>
      <c r="N373" s="40">
        <v>875</v>
      </c>
      <c r="O373" s="40">
        <v>5467</v>
      </c>
      <c r="P373" s="40">
        <v>3563</v>
      </c>
      <c r="Q373" s="40">
        <v>800</v>
      </c>
      <c r="R373" s="40">
        <v>1104</v>
      </c>
      <c r="S373" s="41">
        <v>43.0637738</v>
      </c>
      <c r="T373" s="41">
        <v>18.5075608</v>
      </c>
      <c r="U373" s="41">
        <v>38.4286654</v>
      </c>
      <c r="V373" s="41">
        <v>62.215834899999997</v>
      </c>
      <c r="W373" s="41">
        <v>14.9203031</v>
      </c>
      <c r="X373" s="41">
        <v>22.863862000000001</v>
      </c>
      <c r="Y373" s="41">
        <v>65.172855299999995</v>
      </c>
      <c r="Z373" s="41">
        <v>14.6332541</v>
      </c>
      <c r="AA373" s="41">
        <v>20.1938906</v>
      </c>
    </row>
    <row r="374" spans="1:39" hidden="1" x14ac:dyDescent="0.3">
      <c r="A374" s="42">
        <v>370</v>
      </c>
      <c r="B374" s="43" t="s">
        <v>521</v>
      </c>
      <c r="C374" s="50" t="s">
        <v>46</v>
      </c>
      <c r="D374" s="50" t="s">
        <v>126</v>
      </c>
      <c r="E374" s="50" t="s">
        <v>131</v>
      </c>
      <c r="F374" s="51" t="s">
        <v>131</v>
      </c>
      <c r="G374" s="45">
        <v>5732</v>
      </c>
      <c r="H374" s="45">
        <v>3218</v>
      </c>
      <c r="I374" s="45">
        <v>946</v>
      </c>
      <c r="J374" s="45">
        <v>1568</v>
      </c>
      <c r="K374" s="45">
        <v>7497</v>
      </c>
      <c r="L374" s="45">
        <v>5005</v>
      </c>
      <c r="M374" s="45">
        <v>1130</v>
      </c>
      <c r="N374" s="45">
        <v>1362</v>
      </c>
      <c r="O374" s="45">
        <v>9347</v>
      </c>
      <c r="P374" s="45">
        <v>6681</v>
      </c>
      <c r="Q374" s="45">
        <v>1129</v>
      </c>
      <c r="R374" s="45">
        <v>1537</v>
      </c>
      <c r="S374" s="46">
        <v>56.140962999999999</v>
      </c>
      <c r="T374" s="46">
        <v>16.503838099999999</v>
      </c>
      <c r="U374" s="46">
        <v>27.355198900000001</v>
      </c>
      <c r="V374" s="46">
        <v>66.760037299999993</v>
      </c>
      <c r="W374" s="46">
        <v>15.072695700000001</v>
      </c>
      <c r="X374" s="46">
        <v>18.167266900000001</v>
      </c>
      <c r="Y374" s="46">
        <v>71.477479399999993</v>
      </c>
      <c r="Z374" s="46">
        <v>12.0787418</v>
      </c>
      <c r="AA374" s="46">
        <v>16.4437788</v>
      </c>
      <c r="AB374" s="26">
        <f>SUM(W374:X374)</f>
        <v>33.239962599999998</v>
      </c>
      <c r="AC374" s="26">
        <f>SUM(Z374:AA374)</f>
        <v>28.5225206</v>
      </c>
      <c r="AD374" s="57">
        <f>M374+N374</f>
        <v>2492</v>
      </c>
      <c r="AE374" s="57">
        <f>Q374+R374</f>
        <v>2666</v>
      </c>
      <c r="AF374" s="26">
        <f>W374</f>
        <v>15.072695700000001</v>
      </c>
      <c r="AG374" s="26">
        <f>Z374</f>
        <v>12.0787418</v>
      </c>
      <c r="AH374" s="26">
        <f>M374</f>
        <v>1130</v>
      </c>
      <c r="AI374" s="26">
        <f>Q374</f>
        <v>1129</v>
      </c>
      <c r="AJ374" s="26">
        <f>X374</f>
        <v>18.167266900000001</v>
      </c>
      <c r="AK374" s="26">
        <f>AA374</f>
        <v>16.4437788</v>
      </c>
      <c r="AL374" s="57">
        <f>N374</f>
        <v>1362</v>
      </c>
      <c r="AM374" s="57">
        <f>R374</f>
        <v>1537</v>
      </c>
    </row>
    <row r="375" spans="1:39" hidden="1" x14ac:dyDescent="0.3">
      <c r="A375" s="37">
        <v>371</v>
      </c>
      <c r="B375" s="38" t="s">
        <v>521</v>
      </c>
      <c r="C375" s="38" t="s">
        <v>46</v>
      </c>
      <c r="D375" s="38" t="s">
        <v>126</v>
      </c>
      <c r="E375" s="38" t="s">
        <v>131</v>
      </c>
      <c r="F375" s="47" t="s">
        <v>519</v>
      </c>
      <c r="G375" s="40">
        <v>2604</v>
      </c>
      <c r="H375" s="40">
        <v>1613</v>
      </c>
      <c r="I375" s="40">
        <v>420</v>
      </c>
      <c r="J375" s="40">
        <v>571</v>
      </c>
      <c r="K375" s="40">
        <v>3794</v>
      </c>
      <c r="L375" s="40">
        <v>2662</v>
      </c>
      <c r="M375" s="40">
        <v>572</v>
      </c>
      <c r="N375" s="40">
        <v>560</v>
      </c>
      <c r="O375" s="40">
        <v>5100</v>
      </c>
      <c r="P375" s="40">
        <v>3828</v>
      </c>
      <c r="Q375" s="40">
        <v>537</v>
      </c>
      <c r="R375" s="40">
        <v>735</v>
      </c>
      <c r="S375" s="41">
        <v>61.943164400000001</v>
      </c>
      <c r="T375" s="41">
        <v>16.129032299999999</v>
      </c>
      <c r="U375" s="41">
        <v>21.927803399999998</v>
      </c>
      <c r="V375" s="41">
        <v>70.163415900000004</v>
      </c>
      <c r="W375" s="41">
        <v>15.0764365</v>
      </c>
      <c r="X375" s="41">
        <v>14.7601476</v>
      </c>
      <c r="Y375" s="41">
        <v>75.058823500000003</v>
      </c>
      <c r="Z375" s="41">
        <v>10.5294118</v>
      </c>
      <c r="AA375" s="41">
        <v>14.411764700000001</v>
      </c>
    </row>
    <row r="376" spans="1:39" hidden="1" x14ac:dyDescent="0.3">
      <c r="A376" s="37">
        <v>372</v>
      </c>
      <c r="B376" s="38" t="s">
        <v>521</v>
      </c>
      <c r="C376" s="38" t="s">
        <v>46</v>
      </c>
      <c r="D376" s="38" t="s">
        <v>126</v>
      </c>
      <c r="E376" s="38" t="s">
        <v>131</v>
      </c>
      <c r="F376" s="47" t="s">
        <v>520</v>
      </c>
      <c r="G376" s="40">
        <v>3128</v>
      </c>
      <c r="H376" s="40">
        <v>1605</v>
      </c>
      <c r="I376" s="40">
        <v>526</v>
      </c>
      <c r="J376" s="40">
        <v>997</v>
      </c>
      <c r="K376" s="40">
        <v>3703</v>
      </c>
      <c r="L376" s="40">
        <v>2343</v>
      </c>
      <c r="M376" s="40">
        <v>558</v>
      </c>
      <c r="N376" s="40">
        <v>802</v>
      </c>
      <c r="O376" s="40">
        <v>4247</v>
      </c>
      <c r="P376" s="40">
        <v>2853</v>
      </c>
      <c r="Q376" s="40">
        <v>592</v>
      </c>
      <c r="R376" s="40">
        <v>802</v>
      </c>
      <c r="S376" s="41">
        <v>51.310741700000001</v>
      </c>
      <c r="T376" s="41">
        <v>16.815856799999999</v>
      </c>
      <c r="U376" s="41">
        <v>31.8734015</v>
      </c>
      <c r="V376" s="41">
        <v>63.273021900000003</v>
      </c>
      <c r="W376" s="41">
        <v>15.0688631</v>
      </c>
      <c r="X376" s="41">
        <v>21.658114999999999</v>
      </c>
      <c r="Y376" s="41">
        <v>67.176830699999996</v>
      </c>
      <c r="Z376" s="41">
        <v>13.939251199999999</v>
      </c>
      <c r="AA376" s="41">
        <v>18.883918099999999</v>
      </c>
    </row>
    <row r="377" spans="1:39" hidden="1" x14ac:dyDescent="0.3">
      <c r="A377" s="42">
        <v>373</v>
      </c>
      <c r="B377" s="43" t="s">
        <v>521</v>
      </c>
      <c r="C377" s="50" t="s">
        <v>46</v>
      </c>
      <c r="D377" s="50" t="s">
        <v>126</v>
      </c>
      <c r="E377" s="50" t="s">
        <v>132</v>
      </c>
      <c r="F377" s="51" t="s">
        <v>132</v>
      </c>
      <c r="G377" s="45">
        <v>1968</v>
      </c>
      <c r="H377" s="45">
        <v>837</v>
      </c>
      <c r="I377" s="45">
        <v>396</v>
      </c>
      <c r="J377" s="45">
        <v>735</v>
      </c>
      <c r="K377" s="45">
        <v>3200</v>
      </c>
      <c r="L377" s="45">
        <v>2061</v>
      </c>
      <c r="M377" s="45">
        <v>516</v>
      </c>
      <c r="N377" s="45">
        <v>623</v>
      </c>
      <c r="O377" s="45">
        <v>4480</v>
      </c>
      <c r="P377" s="45">
        <v>2999</v>
      </c>
      <c r="Q377" s="45">
        <v>630</v>
      </c>
      <c r="R377" s="45">
        <v>851</v>
      </c>
      <c r="S377" s="46">
        <v>42.530487800000003</v>
      </c>
      <c r="T377" s="46">
        <v>20.121951200000002</v>
      </c>
      <c r="U377" s="46">
        <v>37.347560999999999</v>
      </c>
      <c r="V377" s="46">
        <v>64.40625</v>
      </c>
      <c r="W377" s="46">
        <v>16.125</v>
      </c>
      <c r="X377" s="46">
        <v>19.46875</v>
      </c>
      <c r="Y377" s="46">
        <v>66.941964299999995</v>
      </c>
      <c r="Z377" s="46">
        <v>14.0625</v>
      </c>
      <c r="AA377" s="46">
        <v>18.995535700000001</v>
      </c>
      <c r="AB377" s="26">
        <f>SUM(W377:X377)</f>
        <v>35.59375</v>
      </c>
      <c r="AC377" s="26">
        <f>SUM(Z377:AA377)</f>
        <v>33.058035700000005</v>
      </c>
      <c r="AD377" s="57">
        <f>M377+N377</f>
        <v>1139</v>
      </c>
      <c r="AE377" s="57">
        <f>Q377+R377</f>
        <v>1481</v>
      </c>
      <c r="AF377" s="26">
        <f>W377</f>
        <v>16.125</v>
      </c>
      <c r="AG377" s="26">
        <f>Z377</f>
        <v>14.0625</v>
      </c>
      <c r="AH377" s="26">
        <f>M377</f>
        <v>516</v>
      </c>
      <c r="AI377" s="26">
        <f>Q377</f>
        <v>630</v>
      </c>
      <c r="AJ377" s="26">
        <f>X377</f>
        <v>19.46875</v>
      </c>
      <c r="AK377" s="26">
        <f>AA377</f>
        <v>18.995535700000001</v>
      </c>
      <c r="AL377" s="57">
        <f>N377</f>
        <v>623</v>
      </c>
      <c r="AM377" s="57">
        <f>R377</f>
        <v>851</v>
      </c>
    </row>
    <row r="378" spans="1:39" hidden="1" x14ac:dyDescent="0.3">
      <c r="A378" s="37">
        <v>374</v>
      </c>
      <c r="B378" s="38" t="s">
        <v>521</v>
      </c>
      <c r="C378" s="38" t="s">
        <v>46</v>
      </c>
      <c r="D378" s="38" t="s">
        <v>126</v>
      </c>
      <c r="E378" s="38" t="s">
        <v>132</v>
      </c>
      <c r="F378" s="47" t="s">
        <v>519</v>
      </c>
      <c r="G378" s="40">
        <v>547</v>
      </c>
      <c r="H378" s="40">
        <v>230</v>
      </c>
      <c r="I378" s="40">
        <v>112</v>
      </c>
      <c r="J378" s="40">
        <v>205</v>
      </c>
      <c r="K378" s="40">
        <v>892</v>
      </c>
      <c r="L378" s="40">
        <v>554</v>
      </c>
      <c r="M378" s="40">
        <v>159</v>
      </c>
      <c r="N378" s="40">
        <v>179</v>
      </c>
      <c r="O378" s="40">
        <v>2627</v>
      </c>
      <c r="P378" s="40">
        <v>1795</v>
      </c>
      <c r="Q378" s="40">
        <v>365</v>
      </c>
      <c r="R378" s="40">
        <v>467</v>
      </c>
      <c r="S378" s="41">
        <v>42.047531999999997</v>
      </c>
      <c r="T378" s="41">
        <v>20.475319899999999</v>
      </c>
      <c r="U378" s="41">
        <v>37.477148100000001</v>
      </c>
      <c r="V378" s="41">
        <v>62.1076233</v>
      </c>
      <c r="W378" s="41">
        <v>17.825112099999998</v>
      </c>
      <c r="X378" s="41">
        <v>20.067264600000001</v>
      </c>
      <c r="Y378" s="41">
        <v>68.328892300000007</v>
      </c>
      <c r="Z378" s="41">
        <v>13.8941759</v>
      </c>
      <c r="AA378" s="41">
        <v>17.776931900000001</v>
      </c>
    </row>
    <row r="379" spans="1:39" hidden="1" x14ac:dyDescent="0.3">
      <c r="A379" s="37">
        <v>375</v>
      </c>
      <c r="B379" s="38" t="s">
        <v>521</v>
      </c>
      <c r="C379" s="38" t="s">
        <v>46</v>
      </c>
      <c r="D379" s="38" t="s">
        <v>126</v>
      </c>
      <c r="E379" s="38" t="s">
        <v>132</v>
      </c>
      <c r="F379" s="47" t="s">
        <v>520</v>
      </c>
      <c r="G379" s="40">
        <v>1421</v>
      </c>
      <c r="H379" s="40">
        <v>607</v>
      </c>
      <c r="I379" s="40">
        <v>284</v>
      </c>
      <c r="J379" s="40">
        <v>530</v>
      </c>
      <c r="K379" s="40">
        <v>2308</v>
      </c>
      <c r="L379" s="40">
        <v>1507</v>
      </c>
      <c r="M379" s="40">
        <v>357</v>
      </c>
      <c r="N379" s="40">
        <v>444</v>
      </c>
      <c r="O379" s="40">
        <v>1853</v>
      </c>
      <c r="P379" s="40">
        <v>1204</v>
      </c>
      <c r="Q379" s="40">
        <v>265</v>
      </c>
      <c r="R379" s="40">
        <v>384</v>
      </c>
      <c r="S379" s="41">
        <v>42.716396899999999</v>
      </c>
      <c r="T379" s="41">
        <v>19.985925399999999</v>
      </c>
      <c r="U379" s="41">
        <v>37.297677700000001</v>
      </c>
      <c r="V379" s="41">
        <v>65.294627399999996</v>
      </c>
      <c r="W379" s="41">
        <v>15.467937600000001</v>
      </c>
      <c r="X379" s="41">
        <v>19.237435000000001</v>
      </c>
      <c r="Y379" s="41">
        <v>64.975715100000002</v>
      </c>
      <c r="Z379" s="41">
        <v>14.3011333</v>
      </c>
      <c r="AA379" s="41">
        <v>20.723151600000001</v>
      </c>
    </row>
    <row r="380" spans="1:39" hidden="1" x14ac:dyDescent="0.3">
      <c r="A380" s="42">
        <v>376</v>
      </c>
      <c r="B380" s="43" t="s">
        <v>521</v>
      </c>
      <c r="C380" s="50" t="s">
        <v>46</v>
      </c>
      <c r="D380" s="50" t="s">
        <v>126</v>
      </c>
      <c r="E380" s="50" t="s">
        <v>133</v>
      </c>
      <c r="F380" s="51" t="s">
        <v>133</v>
      </c>
      <c r="G380" s="45">
        <v>741</v>
      </c>
      <c r="H380" s="45">
        <v>374</v>
      </c>
      <c r="I380" s="45">
        <v>134</v>
      </c>
      <c r="J380" s="45">
        <v>233</v>
      </c>
      <c r="K380" s="45">
        <v>1272</v>
      </c>
      <c r="L380" s="45">
        <v>671</v>
      </c>
      <c r="M380" s="45">
        <v>241</v>
      </c>
      <c r="N380" s="45">
        <v>360</v>
      </c>
      <c r="O380" s="45">
        <v>1653</v>
      </c>
      <c r="P380" s="45">
        <v>989</v>
      </c>
      <c r="Q380" s="45">
        <v>296</v>
      </c>
      <c r="R380" s="45">
        <v>368</v>
      </c>
      <c r="S380" s="46">
        <v>50.472334699999998</v>
      </c>
      <c r="T380" s="46">
        <v>18.083670699999999</v>
      </c>
      <c r="U380" s="46">
        <v>31.4439946</v>
      </c>
      <c r="V380" s="46">
        <v>52.751572299999999</v>
      </c>
      <c r="W380" s="46">
        <v>18.946540899999999</v>
      </c>
      <c r="X380" s="46">
        <v>28.301886799999998</v>
      </c>
      <c r="Y380" s="46">
        <v>59.830610999999998</v>
      </c>
      <c r="Z380" s="46">
        <v>17.9068361</v>
      </c>
      <c r="AA380" s="46">
        <v>22.262552899999999</v>
      </c>
      <c r="AB380" s="26">
        <f>SUM(W380:X380)</f>
        <v>47.248427699999993</v>
      </c>
      <c r="AC380" s="26">
        <f>SUM(Z380:AA380)</f>
        <v>40.169388999999995</v>
      </c>
      <c r="AD380" s="57">
        <f>M380+N380</f>
        <v>601</v>
      </c>
      <c r="AE380" s="57">
        <f>Q380+R380</f>
        <v>664</v>
      </c>
      <c r="AF380" s="26">
        <f>W380</f>
        <v>18.946540899999999</v>
      </c>
      <c r="AG380" s="26">
        <f>Z380</f>
        <v>17.9068361</v>
      </c>
      <c r="AH380" s="26">
        <f>M380</f>
        <v>241</v>
      </c>
      <c r="AI380" s="26">
        <f>Q380</f>
        <v>296</v>
      </c>
      <c r="AJ380" s="26">
        <f>X380</f>
        <v>28.301886799999998</v>
      </c>
      <c r="AK380" s="26">
        <f>AA380</f>
        <v>22.262552899999999</v>
      </c>
      <c r="AL380" s="57">
        <f>N380</f>
        <v>360</v>
      </c>
      <c r="AM380" s="57">
        <f>R380</f>
        <v>368</v>
      </c>
    </row>
    <row r="381" spans="1:39" hidden="1" x14ac:dyDescent="0.3">
      <c r="A381" s="37">
        <v>377</v>
      </c>
      <c r="B381" s="38" t="s">
        <v>521</v>
      </c>
      <c r="C381" s="38" t="s">
        <v>46</v>
      </c>
      <c r="D381" s="38" t="s">
        <v>126</v>
      </c>
      <c r="E381" s="38" t="s">
        <v>133</v>
      </c>
      <c r="F381" s="47" t="s">
        <v>519</v>
      </c>
      <c r="G381" s="40"/>
      <c r="H381" s="40"/>
      <c r="I381" s="40"/>
      <c r="J381" s="40"/>
      <c r="K381" s="40">
        <v>723</v>
      </c>
      <c r="L381" s="40">
        <v>396</v>
      </c>
      <c r="M381" s="40">
        <v>144</v>
      </c>
      <c r="N381" s="40">
        <v>183</v>
      </c>
      <c r="O381" s="40">
        <v>1004</v>
      </c>
      <c r="P381" s="40">
        <v>570</v>
      </c>
      <c r="Q381" s="40">
        <v>196</v>
      </c>
      <c r="R381" s="40">
        <v>238</v>
      </c>
      <c r="S381" s="41"/>
      <c r="T381" s="41"/>
      <c r="U381" s="41"/>
      <c r="V381" s="41">
        <v>54.771784199999999</v>
      </c>
      <c r="W381" s="41">
        <v>19.917012400000001</v>
      </c>
      <c r="X381" s="41">
        <v>25.311203299999999</v>
      </c>
      <c r="Y381" s="41">
        <v>56.772908399999999</v>
      </c>
      <c r="Z381" s="41">
        <v>19.521912400000001</v>
      </c>
      <c r="AA381" s="41">
        <v>23.705179300000001</v>
      </c>
    </row>
    <row r="382" spans="1:39" hidden="1" x14ac:dyDescent="0.3">
      <c r="A382" s="37">
        <v>378</v>
      </c>
      <c r="B382" s="38" t="s">
        <v>521</v>
      </c>
      <c r="C382" s="38" t="s">
        <v>46</v>
      </c>
      <c r="D382" s="38" t="s">
        <v>126</v>
      </c>
      <c r="E382" s="38" t="s">
        <v>133</v>
      </c>
      <c r="F382" s="47" t="s">
        <v>520</v>
      </c>
      <c r="G382" s="40">
        <v>741</v>
      </c>
      <c r="H382" s="40">
        <v>374</v>
      </c>
      <c r="I382" s="40">
        <v>134</v>
      </c>
      <c r="J382" s="40">
        <v>233</v>
      </c>
      <c r="K382" s="40">
        <v>549</v>
      </c>
      <c r="L382" s="40">
        <v>275</v>
      </c>
      <c r="M382" s="40">
        <v>97</v>
      </c>
      <c r="N382" s="40">
        <v>177</v>
      </c>
      <c r="O382" s="40">
        <v>649</v>
      </c>
      <c r="P382" s="40">
        <v>419</v>
      </c>
      <c r="Q382" s="40">
        <v>100</v>
      </c>
      <c r="R382" s="40">
        <v>130</v>
      </c>
      <c r="S382" s="41">
        <v>50.472334699999998</v>
      </c>
      <c r="T382" s="41">
        <v>18.083670699999999</v>
      </c>
      <c r="U382" s="41">
        <v>31.4439946</v>
      </c>
      <c r="V382" s="41">
        <v>50.0910747</v>
      </c>
      <c r="W382" s="41">
        <v>17.668488199999999</v>
      </c>
      <c r="X382" s="41">
        <v>32.240437200000002</v>
      </c>
      <c r="Y382" s="41">
        <v>64.560862900000004</v>
      </c>
      <c r="Z382" s="41">
        <v>15.4083205</v>
      </c>
      <c r="AA382" s="41">
        <v>20.030816600000001</v>
      </c>
    </row>
    <row r="383" spans="1:39" hidden="1" x14ac:dyDescent="0.3">
      <c r="A383" s="32">
        <v>379</v>
      </c>
      <c r="B383" s="33" t="s">
        <v>1</v>
      </c>
      <c r="C383" s="49" t="s">
        <v>46</v>
      </c>
      <c r="D383" s="49" t="s">
        <v>134</v>
      </c>
      <c r="E383" s="49"/>
      <c r="F383" s="34" t="s">
        <v>134</v>
      </c>
      <c r="G383" s="35">
        <v>6342</v>
      </c>
      <c r="H383" s="35">
        <v>3248</v>
      </c>
      <c r="I383" s="35">
        <v>1156</v>
      </c>
      <c r="J383" s="35">
        <v>1938</v>
      </c>
      <c r="K383" s="35">
        <v>12376</v>
      </c>
      <c r="L383" s="35">
        <v>8104</v>
      </c>
      <c r="M383" s="35">
        <v>2038</v>
      </c>
      <c r="N383" s="35">
        <v>2234</v>
      </c>
      <c r="O383" s="35">
        <v>19289</v>
      </c>
      <c r="P383" s="35">
        <v>13766</v>
      </c>
      <c r="Q383" s="35">
        <v>2556</v>
      </c>
      <c r="R383" s="35">
        <v>2967</v>
      </c>
      <c r="S383" s="36">
        <v>51.214128000000002</v>
      </c>
      <c r="T383" s="36">
        <v>18.227688400000002</v>
      </c>
      <c r="U383" s="36">
        <v>30.558183499999998</v>
      </c>
      <c r="V383" s="36">
        <v>65.481577200000004</v>
      </c>
      <c r="W383" s="36">
        <v>16.467356200000001</v>
      </c>
      <c r="X383" s="36">
        <v>18.051066599999999</v>
      </c>
      <c r="Y383" s="36">
        <v>71.367100399999998</v>
      </c>
      <c r="Z383" s="36">
        <v>13.251075699999999</v>
      </c>
      <c r="AA383" s="36">
        <v>15.381823799999999</v>
      </c>
    </row>
    <row r="384" spans="1:39" hidden="1" x14ac:dyDescent="0.3">
      <c r="A384" s="37">
        <v>380</v>
      </c>
      <c r="B384" s="38" t="s">
        <v>1</v>
      </c>
      <c r="C384" s="38" t="s">
        <v>46</v>
      </c>
      <c r="D384" s="38" t="s">
        <v>134</v>
      </c>
      <c r="E384" s="38"/>
      <c r="F384" s="39" t="s">
        <v>519</v>
      </c>
      <c r="G384" s="40">
        <v>1222</v>
      </c>
      <c r="H384" s="40">
        <v>681</v>
      </c>
      <c r="I384" s="40">
        <v>202</v>
      </c>
      <c r="J384" s="40">
        <v>339</v>
      </c>
      <c r="K384" s="40">
        <v>844</v>
      </c>
      <c r="L384" s="40">
        <v>621</v>
      </c>
      <c r="M384" s="40">
        <v>114</v>
      </c>
      <c r="N384" s="40">
        <v>109</v>
      </c>
      <c r="O384" s="40">
        <v>2274</v>
      </c>
      <c r="P384" s="40">
        <v>1725</v>
      </c>
      <c r="Q384" s="40">
        <v>239</v>
      </c>
      <c r="R384" s="40">
        <v>310</v>
      </c>
      <c r="S384" s="41">
        <v>55.7283142</v>
      </c>
      <c r="T384" s="41">
        <v>16.530278200000001</v>
      </c>
      <c r="U384" s="41">
        <v>27.741407500000001</v>
      </c>
      <c r="V384" s="41">
        <v>73.578199100000006</v>
      </c>
      <c r="W384" s="41">
        <v>13.507109</v>
      </c>
      <c r="X384" s="41">
        <v>12.914691899999999</v>
      </c>
      <c r="Y384" s="41">
        <v>75.857519800000006</v>
      </c>
      <c r="Z384" s="41">
        <v>10.5101143</v>
      </c>
      <c r="AA384" s="41">
        <v>13.6323659</v>
      </c>
    </row>
    <row r="385" spans="1:39" hidden="1" x14ac:dyDescent="0.3">
      <c r="A385" s="37">
        <v>381</v>
      </c>
      <c r="B385" s="38" t="s">
        <v>1</v>
      </c>
      <c r="C385" s="38" t="s">
        <v>46</v>
      </c>
      <c r="D385" s="38" t="s">
        <v>134</v>
      </c>
      <c r="E385" s="38"/>
      <c r="F385" s="39" t="s">
        <v>520</v>
      </c>
      <c r="G385" s="40">
        <v>5120</v>
      </c>
      <c r="H385" s="40">
        <v>2567</v>
      </c>
      <c r="I385" s="40">
        <v>954</v>
      </c>
      <c r="J385" s="40">
        <v>1599</v>
      </c>
      <c r="K385" s="40">
        <v>11532</v>
      </c>
      <c r="L385" s="40">
        <v>7483</v>
      </c>
      <c r="M385" s="40">
        <v>1924</v>
      </c>
      <c r="N385" s="40">
        <v>2125</v>
      </c>
      <c r="O385" s="40">
        <v>17015</v>
      </c>
      <c r="P385" s="40">
        <v>12041</v>
      </c>
      <c r="Q385" s="40">
        <v>2317</v>
      </c>
      <c r="R385" s="40">
        <v>2657</v>
      </c>
      <c r="S385" s="41">
        <v>50.136718799999997</v>
      </c>
      <c r="T385" s="41">
        <v>18.6328125</v>
      </c>
      <c r="U385" s="41">
        <v>31.230468800000001</v>
      </c>
      <c r="V385" s="41">
        <v>64.889004499999999</v>
      </c>
      <c r="W385" s="41">
        <v>16.684009700000001</v>
      </c>
      <c r="X385" s="41">
        <v>18.426985800000001</v>
      </c>
      <c r="Y385" s="41">
        <v>70.766970299999997</v>
      </c>
      <c r="Z385" s="41">
        <v>13.617396400000001</v>
      </c>
      <c r="AA385" s="41">
        <v>15.615633300000001</v>
      </c>
    </row>
    <row r="386" spans="1:39" hidden="1" x14ac:dyDescent="0.3">
      <c r="A386" s="42">
        <v>382</v>
      </c>
      <c r="B386" s="43" t="s">
        <v>521</v>
      </c>
      <c r="C386" s="50" t="s">
        <v>46</v>
      </c>
      <c r="D386" s="50" t="s">
        <v>134</v>
      </c>
      <c r="E386" s="50" t="s">
        <v>135</v>
      </c>
      <c r="F386" s="51" t="s">
        <v>135</v>
      </c>
      <c r="G386" s="45">
        <v>3306</v>
      </c>
      <c r="H386" s="45">
        <v>1803</v>
      </c>
      <c r="I386" s="45">
        <v>543</v>
      </c>
      <c r="J386" s="45">
        <v>960</v>
      </c>
      <c r="K386" s="45">
        <v>6996</v>
      </c>
      <c r="L386" s="45">
        <v>4786</v>
      </c>
      <c r="M386" s="45">
        <v>1079</v>
      </c>
      <c r="N386" s="45">
        <v>1131</v>
      </c>
      <c r="O386" s="45">
        <v>10376</v>
      </c>
      <c r="P386" s="45">
        <v>7224</v>
      </c>
      <c r="Q386" s="45">
        <v>1383</v>
      </c>
      <c r="R386" s="45">
        <v>1769</v>
      </c>
      <c r="S386" s="46">
        <v>54.537205100000001</v>
      </c>
      <c r="T386" s="46">
        <v>16.424682399999998</v>
      </c>
      <c r="U386" s="46">
        <v>29.0381125</v>
      </c>
      <c r="V386" s="46">
        <v>68.410520300000002</v>
      </c>
      <c r="W386" s="46">
        <v>15.423098899999999</v>
      </c>
      <c r="X386" s="46">
        <v>16.166380799999999</v>
      </c>
      <c r="Y386" s="46">
        <v>69.622205100000002</v>
      </c>
      <c r="Z386" s="46">
        <v>13.3288358</v>
      </c>
      <c r="AA386" s="46">
        <v>17.048959100000001</v>
      </c>
      <c r="AB386" s="26">
        <f>SUM(W386:X386)</f>
        <v>31.589479699999998</v>
      </c>
      <c r="AC386" s="26">
        <f>SUM(Z386:AA386)</f>
        <v>30.377794900000001</v>
      </c>
      <c r="AD386" s="57">
        <f>M386+N386</f>
        <v>2210</v>
      </c>
      <c r="AE386" s="57">
        <f>Q386+R386</f>
        <v>3152</v>
      </c>
      <c r="AF386" s="26">
        <f>W386</f>
        <v>15.423098899999999</v>
      </c>
      <c r="AG386" s="26">
        <f>Z386</f>
        <v>13.3288358</v>
      </c>
      <c r="AH386" s="26">
        <f>M386</f>
        <v>1079</v>
      </c>
      <c r="AI386" s="26">
        <f>Q386</f>
        <v>1383</v>
      </c>
      <c r="AJ386" s="26">
        <f>X386</f>
        <v>16.166380799999999</v>
      </c>
      <c r="AK386" s="26">
        <f>AA386</f>
        <v>17.048959100000001</v>
      </c>
      <c r="AL386" s="57">
        <f>N386</f>
        <v>1131</v>
      </c>
      <c r="AM386" s="57">
        <f>R386</f>
        <v>1769</v>
      </c>
    </row>
    <row r="387" spans="1:39" hidden="1" x14ac:dyDescent="0.3">
      <c r="A387" s="37">
        <v>383</v>
      </c>
      <c r="B387" s="38" t="s">
        <v>521</v>
      </c>
      <c r="C387" s="38" t="s">
        <v>46</v>
      </c>
      <c r="D387" s="38" t="s">
        <v>134</v>
      </c>
      <c r="E387" s="38" t="s">
        <v>135</v>
      </c>
      <c r="F387" s="47" t="s">
        <v>519</v>
      </c>
      <c r="G387" s="40">
        <v>610</v>
      </c>
      <c r="H387" s="40">
        <v>355</v>
      </c>
      <c r="I387" s="40">
        <v>100</v>
      </c>
      <c r="J387" s="40">
        <v>155</v>
      </c>
      <c r="K387" s="40">
        <v>844</v>
      </c>
      <c r="L387" s="40">
        <v>621</v>
      </c>
      <c r="M387" s="40">
        <v>114</v>
      </c>
      <c r="N387" s="40">
        <v>109</v>
      </c>
      <c r="O387" s="40">
        <v>1091</v>
      </c>
      <c r="P387" s="40">
        <v>851</v>
      </c>
      <c r="Q387" s="40">
        <v>110</v>
      </c>
      <c r="R387" s="40">
        <v>130</v>
      </c>
      <c r="S387" s="41">
        <v>58.1967213</v>
      </c>
      <c r="T387" s="41">
        <v>16.3934426</v>
      </c>
      <c r="U387" s="41">
        <v>25.4098361</v>
      </c>
      <c r="V387" s="41">
        <v>73.578199100000006</v>
      </c>
      <c r="W387" s="41">
        <v>13.507109</v>
      </c>
      <c r="X387" s="41">
        <v>12.914691899999999</v>
      </c>
      <c r="Y387" s="41">
        <v>78.001833199999993</v>
      </c>
      <c r="Z387" s="41">
        <v>10.082493100000001</v>
      </c>
      <c r="AA387" s="41">
        <v>11.915673699999999</v>
      </c>
    </row>
    <row r="388" spans="1:39" hidden="1" x14ac:dyDescent="0.3">
      <c r="A388" s="37">
        <v>384</v>
      </c>
      <c r="B388" s="38" t="s">
        <v>521</v>
      </c>
      <c r="C388" s="38" t="s">
        <v>46</v>
      </c>
      <c r="D388" s="38" t="s">
        <v>134</v>
      </c>
      <c r="E388" s="38" t="s">
        <v>135</v>
      </c>
      <c r="F388" s="47" t="s">
        <v>520</v>
      </c>
      <c r="G388" s="40">
        <v>2696</v>
      </c>
      <c r="H388" s="40">
        <v>1448</v>
      </c>
      <c r="I388" s="40">
        <v>443</v>
      </c>
      <c r="J388" s="40">
        <v>805</v>
      </c>
      <c r="K388" s="40">
        <v>6152</v>
      </c>
      <c r="L388" s="40">
        <v>4165</v>
      </c>
      <c r="M388" s="40">
        <v>965</v>
      </c>
      <c r="N388" s="40">
        <v>1022</v>
      </c>
      <c r="O388" s="40">
        <v>9285</v>
      </c>
      <c r="P388" s="40">
        <v>6373</v>
      </c>
      <c r="Q388" s="40">
        <v>1273</v>
      </c>
      <c r="R388" s="40">
        <v>1639</v>
      </c>
      <c r="S388" s="41">
        <v>53.709198800000003</v>
      </c>
      <c r="T388" s="41">
        <v>16.431750699999998</v>
      </c>
      <c r="U388" s="41">
        <v>29.859050400000001</v>
      </c>
      <c r="V388" s="41">
        <v>67.701560499999999</v>
      </c>
      <c r="W388" s="41">
        <v>15.6859558</v>
      </c>
      <c r="X388" s="41">
        <v>16.612483699999999</v>
      </c>
      <c r="Y388" s="41">
        <v>68.637587499999995</v>
      </c>
      <c r="Z388" s="41">
        <v>13.7102854</v>
      </c>
      <c r="AA388" s="41">
        <v>17.652127100000001</v>
      </c>
    </row>
    <row r="389" spans="1:39" hidden="1" x14ac:dyDescent="0.3">
      <c r="A389" s="42">
        <v>385</v>
      </c>
      <c r="B389" s="43" t="s">
        <v>521</v>
      </c>
      <c r="C389" s="50" t="s">
        <v>46</v>
      </c>
      <c r="D389" s="50" t="s">
        <v>134</v>
      </c>
      <c r="E389" s="50" t="s">
        <v>136</v>
      </c>
      <c r="F389" s="51" t="s">
        <v>136</v>
      </c>
      <c r="G389" s="45">
        <v>3036</v>
      </c>
      <c r="H389" s="45">
        <v>1445</v>
      </c>
      <c r="I389" s="45">
        <v>613</v>
      </c>
      <c r="J389" s="45">
        <v>978</v>
      </c>
      <c r="K389" s="45">
        <v>5380</v>
      </c>
      <c r="L389" s="45">
        <v>3318</v>
      </c>
      <c r="M389" s="45">
        <v>959</v>
      </c>
      <c r="N389" s="45">
        <v>1103</v>
      </c>
      <c r="O389" s="45">
        <v>8913</v>
      </c>
      <c r="P389" s="45">
        <v>6542</v>
      </c>
      <c r="Q389" s="45">
        <v>1173</v>
      </c>
      <c r="R389" s="45">
        <v>1198</v>
      </c>
      <c r="S389" s="46">
        <v>47.595520399999998</v>
      </c>
      <c r="T389" s="46">
        <v>20.1910408</v>
      </c>
      <c r="U389" s="46">
        <v>32.213438699999998</v>
      </c>
      <c r="V389" s="46">
        <v>61.672862500000001</v>
      </c>
      <c r="W389" s="46">
        <v>17.8252788</v>
      </c>
      <c r="X389" s="46">
        <v>20.5018587</v>
      </c>
      <c r="Y389" s="46">
        <v>73.398406800000004</v>
      </c>
      <c r="Z389" s="46">
        <v>13.160551999999999</v>
      </c>
      <c r="AA389" s="46">
        <v>13.441041200000001</v>
      </c>
      <c r="AB389" s="26">
        <f>SUM(W389:X389)</f>
        <v>38.327137499999999</v>
      </c>
      <c r="AC389" s="26">
        <f>SUM(Z389:AA389)</f>
        <v>26.6015932</v>
      </c>
      <c r="AD389" s="57">
        <f>M389+N389</f>
        <v>2062</v>
      </c>
      <c r="AE389" s="57">
        <f>Q389+R389</f>
        <v>2371</v>
      </c>
      <c r="AF389" s="26">
        <f>W389</f>
        <v>17.8252788</v>
      </c>
      <c r="AG389" s="26">
        <f>Z389</f>
        <v>13.160551999999999</v>
      </c>
      <c r="AH389" s="26">
        <f>M389</f>
        <v>959</v>
      </c>
      <c r="AI389" s="26">
        <f>Q389</f>
        <v>1173</v>
      </c>
      <c r="AJ389" s="26">
        <f>X389</f>
        <v>20.5018587</v>
      </c>
      <c r="AK389" s="26">
        <f>AA389</f>
        <v>13.441041200000001</v>
      </c>
      <c r="AL389" s="57">
        <f>N389</f>
        <v>1103</v>
      </c>
      <c r="AM389" s="57">
        <f>R389</f>
        <v>1198</v>
      </c>
    </row>
    <row r="390" spans="1:39" hidden="1" x14ac:dyDescent="0.3">
      <c r="A390" s="37">
        <v>386</v>
      </c>
      <c r="B390" s="38" t="s">
        <v>521</v>
      </c>
      <c r="C390" s="38" t="s">
        <v>46</v>
      </c>
      <c r="D390" s="38" t="s">
        <v>134</v>
      </c>
      <c r="E390" s="38" t="s">
        <v>136</v>
      </c>
      <c r="F390" s="47" t="s">
        <v>519</v>
      </c>
      <c r="G390" s="40">
        <v>612</v>
      </c>
      <c r="H390" s="40">
        <v>326</v>
      </c>
      <c r="I390" s="40">
        <v>102</v>
      </c>
      <c r="J390" s="40">
        <v>184</v>
      </c>
      <c r="K390" s="40"/>
      <c r="L390" s="40"/>
      <c r="M390" s="40"/>
      <c r="N390" s="40"/>
      <c r="O390" s="40">
        <v>1183</v>
      </c>
      <c r="P390" s="40">
        <v>874</v>
      </c>
      <c r="Q390" s="40">
        <v>129</v>
      </c>
      <c r="R390" s="40">
        <v>180</v>
      </c>
      <c r="S390" s="41">
        <v>53.267973900000001</v>
      </c>
      <c r="T390" s="41">
        <v>16.6666667</v>
      </c>
      <c r="U390" s="41">
        <v>30.0653595</v>
      </c>
      <c r="V390" s="41"/>
      <c r="W390" s="41"/>
      <c r="X390" s="41"/>
      <c r="Y390" s="41">
        <v>73.879966199999998</v>
      </c>
      <c r="Z390" s="41">
        <v>10.904480100000001</v>
      </c>
      <c r="AA390" s="41">
        <v>15.215553699999999</v>
      </c>
    </row>
    <row r="391" spans="1:39" hidden="1" x14ac:dyDescent="0.3">
      <c r="A391" s="37">
        <v>387</v>
      </c>
      <c r="B391" s="38" t="s">
        <v>521</v>
      </c>
      <c r="C391" s="38" t="s">
        <v>46</v>
      </c>
      <c r="D391" s="38" t="s">
        <v>134</v>
      </c>
      <c r="E391" s="38" t="s">
        <v>136</v>
      </c>
      <c r="F391" s="47" t="s">
        <v>520</v>
      </c>
      <c r="G391" s="40">
        <v>2424</v>
      </c>
      <c r="H391" s="40">
        <v>1119</v>
      </c>
      <c r="I391" s="40">
        <v>511</v>
      </c>
      <c r="J391" s="40">
        <v>794</v>
      </c>
      <c r="K391" s="40">
        <v>5380</v>
      </c>
      <c r="L391" s="40">
        <v>3318</v>
      </c>
      <c r="M391" s="40">
        <v>959</v>
      </c>
      <c r="N391" s="40">
        <v>1103</v>
      </c>
      <c r="O391" s="40">
        <v>7730</v>
      </c>
      <c r="P391" s="40">
        <v>5668</v>
      </c>
      <c r="Q391" s="40">
        <v>1044</v>
      </c>
      <c r="R391" s="40">
        <v>1018</v>
      </c>
      <c r="S391" s="41">
        <v>46.1633663</v>
      </c>
      <c r="T391" s="41">
        <v>21.0808581</v>
      </c>
      <c r="U391" s="41">
        <v>32.7557756</v>
      </c>
      <c r="V391" s="41">
        <v>61.672862500000001</v>
      </c>
      <c r="W391" s="41">
        <v>17.8252788</v>
      </c>
      <c r="X391" s="41">
        <v>20.5018587</v>
      </c>
      <c r="Y391" s="41">
        <v>73.324708900000005</v>
      </c>
      <c r="Z391" s="41">
        <v>13.5058215</v>
      </c>
      <c r="AA391" s="41">
        <v>13.169469599999999</v>
      </c>
    </row>
    <row r="392" spans="1:39" hidden="1" x14ac:dyDescent="0.3">
      <c r="A392" s="32">
        <v>388</v>
      </c>
      <c r="B392" s="33" t="s">
        <v>1</v>
      </c>
      <c r="C392" s="49" t="s">
        <v>46</v>
      </c>
      <c r="D392" s="49" t="s">
        <v>137</v>
      </c>
      <c r="E392" s="49"/>
      <c r="F392" s="34" t="s">
        <v>137</v>
      </c>
      <c r="G392" s="35">
        <v>2442</v>
      </c>
      <c r="H392" s="35">
        <v>907</v>
      </c>
      <c r="I392" s="35">
        <v>453</v>
      </c>
      <c r="J392" s="35">
        <v>1082</v>
      </c>
      <c r="K392" s="35">
        <v>4275</v>
      </c>
      <c r="L392" s="35">
        <v>2177</v>
      </c>
      <c r="M392" s="35">
        <v>775</v>
      </c>
      <c r="N392" s="35">
        <v>1323</v>
      </c>
      <c r="O392" s="35">
        <v>6155</v>
      </c>
      <c r="P392" s="35">
        <v>3762</v>
      </c>
      <c r="Q392" s="35">
        <v>997</v>
      </c>
      <c r="R392" s="35">
        <v>1396</v>
      </c>
      <c r="S392" s="36">
        <v>37.141687099999999</v>
      </c>
      <c r="T392" s="36">
        <v>18.550368599999999</v>
      </c>
      <c r="U392" s="36">
        <v>44.307944300000003</v>
      </c>
      <c r="V392" s="36">
        <v>50.923976600000003</v>
      </c>
      <c r="W392" s="36">
        <v>18.128654999999998</v>
      </c>
      <c r="X392" s="36">
        <v>30.947368399999998</v>
      </c>
      <c r="Y392" s="36">
        <v>61.121039799999998</v>
      </c>
      <c r="Z392" s="36">
        <v>16.1982128</v>
      </c>
      <c r="AA392" s="36">
        <v>22.680747400000001</v>
      </c>
    </row>
    <row r="393" spans="1:39" hidden="1" x14ac:dyDescent="0.3">
      <c r="A393" s="37">
        <v>389</v>
      </c>
      <c r="B393" s="38" t="s">
        <v>1</v>
      </c>
      <c r="C393" s="38" t="s">
        <v>46</v>
      </c>
      <c r="D393" s="38" t="s">
        <v>137</v>
      </c>
      <c r="E393" s="38"/>
      <c r="F393" s="39" t="s">
        <v>519</v>
      </c>
      <c r="G393" s="40">
        <v>433</v>
      </c>
      <c r="H393" s="40">
        <v>161</v>
      </c>
      <c r="I393" s="40">
        <v>104</v>
      </c>
      <c r="J393" s="40">
        <v>168</v>
      </c>
      <c r="K393" s="40">
        <v>1827</v>
      </c>
      <c r="L393" s="40">
        <v>1024</v>
      </c>
      <c r="M393" s="40">
        <v>351</v>
      </c>
      <c r="N393" s="40">
        <v>452</v>
      </c>
      <c r="O393" s="40">
        <v>2499</v>
      </c>
      <c r="P393" s="40">
        <v>1642</v>
      </c>
      <c r="Q393" s="40">
        <v>400</v>
      </c>
      <c r="R393" s="40">
        <v>457</v>
      </c>
      <c r="S393" s="41">
        <v>37.182448000000001</v>
      </c>
      <c r="T393" s="41">
        <v>24.018475800000001</v>
      </c>
      <c r="U393" s="41">
        <v>38.799076200000002</v>
      </c>
      <c r="V393" s="41">
        <v>56.048166399999999</v>
      </c>
      <c r="W393" s="41">
        <v>19.211822699999999</v>
      </c>
      <c r="X393" s="41">
        <v>24.740010900000001</v>
      </c>
      <c r="Y393" s="41">
        <v>65.7062825</v>
      </c>
      <c r="Z393" s="41">
        <v>16.006402600000001</v>
      </c>
      <c r="AA393" s="41">
        <v>18.287314899999998</v>
      </c>
    </row>
    <row r="394" spans="1:39" hidden="1" x14ac:dyDescent="0.3">
      <c r="A394" s="37">
        <v>390</v>
      </c>
      <c r="B394" s="38" t="s">
        <v>1</v>
      </c>
      <c r="C394" s="38" t="s">
        <v>46</v>
      </c>
      <c r="D394" s="38" t="s">
        <v>137</v>
      </c>
      <c r="E394" s="38"/>
      <c r="F394" s="39" t="s">
        <v>520</v>
      </c>
      <c r="G394" s="40">
        <v>2009</v>
      </c>
      <c r="H394" s="40">
        <v>746</v>
      </c>
      <c r="I394" s="40">
        <v>349</v>
      </c>
      <c r="J394" s="40">
        <v>914</v>
      </c>
      <c r="K394" s="40">
        <v>2448</v>
      </c>
      <c r="L394" s="40">
        <v>1153</v>
      </c>
      <c r="M394" s="40">
        <v>424</v>
      </c>
      <c r="N394" s="40">
        <v>871</v>
      </c>
      <c r="O394" s="40">
        <v>3656</v>
      </c>
      <c r="P394" s="40">
        <v>2120</v>
      </c>
      <c r="Q394" s="40">
        <v>597</v>
      </c>
      <c r="R394" s="40">
        <v>939</v>
      </c>
      <c r="S394" s="41">
        <v>37.1329019</v>
      </c>
      <c r="T394" s="41">
        <v>17.371826800000001</v>
      </c>
      <c r="U394" s="41">
        <v>45.495271299999999</v>
      </c>
      <c r="V394" s="41">
        <v>47.099673199999998</v>
      </c>
      <c r="W394" s="41">
        <v>17.3202614</v>
      </c>
      <c r="X394" s="41">
        <v>35.580065400000002</v>
      </c>
      <c r="Y394" s="41">
        <v>57.9868709</v>
      </c>
      <c r="Z394" s="41">
        <v>16.329321700000001</v>
      </c>
      <c r="AA394" s="41">
        <v>25.683807399999999</v>
      </c>
    </row>
    <row r="395" spans="1:39" hidden="1" x14ac:dyDescent="0.3">
      <c r="A395" s="42">
        <v>391</v>
      </c>
      <c r="B395" s="43" t="s">
        <v>521</v>
      </c>
      <c r="C395" s="50" t="s">
        <v>46</v>
      </c>
      <c r="D395" s="50" t="s">
        <v>137</v>
      </c>
      <c r="E395" s="50" t="s">
        <v>138</v>
      </c>
      <c r="F395" s="51" t="s">
        <v>138</v>
      </c>
      <c r="G395" s="45">
        <v>1197</v>
      </c>
      <c r="H395" s="45">
        <v>481</v>
      </c>
      <c r="I395" s="45">
        <v>181</v>
      </c>
      <c r="J395" s="45">
        <v>535</v>
      </c>
      <c r="K395" s="45">
        <v>2270</v>
      </c>
      <c r="L395" s="45">
        <v>1209</v>
      </c>
      <c r="M395" s="45">
        <v>386</v>
      </c>
      <c r="N395" s="45">
        <v>675</v>
      </c>
      <c r="O395" s="45">
        <v>3306</v>
      </c>
      <c r="P395" s="45">
        <v>1980</v>
      </c>
      <c r="Q395" s="45">
        <v>533</v>
      </c>
      <c r="R395" s="45">
        <v>793</v>
      </c>
      <c r="S395" s="46">
        <v>40.183792799999999</v>
      </c>
      <c r="T395" s="46">
        <v>15.1211362</v>
      </c>
      <c r="U395" s="46">
        <v>44.695070999999999</v>
      </c>
      <c r="V395" s="46">
        <v>53.259911899999999</v>
      </c>
      <c r="W395" s="46">
        <v>17.004405299999998</v>
      </c>
      <c r="X395" s="46">
        <v>29.735682799999999</v>
      </c>
      <c r="Y395" s="46">
        <v>59.891107099999999</v>
      </c>
      <c r="Z395" s="46">
        <v>16.122202099999999</v>
      </c>
      <c r="AA395" s="46">
        <v>23.986690899999999</v>
      </c>
      <c r="AB395" s="26">
        <f>SUM(W395:X395)</f>
        <v>46.740088099999994</v>
      </c>
      <c r="AC395" s="26">
        <f>SUM(Z395:AA395)</f>
        <v>40.108892999999995</v>
      </c>
      <c r="AD395" s="57">
        <f>M395+N395</f>
        <v>1061</v>
      </c>
      <c r="AE395" s="57">
        <f>Q395+R395</f>
        <v>1326</v>
      </c>
      <c r="AF395" s="26">
        <f>W395</f>
        <v>17.004405299999998</v>
      </c>
      <c r="AG395" s="26">
        <f>Z395</f>
        <v>16.122202099999999</v>
      </c>
      <c r="AH395" s="26">
        <f>M395</f>
        <v>386</v>
      </c>
      <c r="AI395" s="26">
        <f>Q395</f>
        <v>533</v>
      </c>
      <c r="AJ395" s="26">
        <f>X395</f>
        <v>29.735682799999999</v>
      </c>
      <c r="AK395" s="26">
        <f>AA395</f>
        <v>23.986690899999999</v>
      </c>
      <c r="AL395" s="57">
        <f>N395</f>
        <v>675</v>
      </c>
      <c r="AM395" s="57">
        <f>R395</f>
        <v>793</v>
      </c>
    </row>
    <row r="396" spans="1:39" hidden="1" x14ac:dyDescent="0.3">
      <c r="A396" s="37">
        <v>392</v>
      </c>
      <c r="B396" s="38" t="s">
        <v>521</v>
      </c>
      <c r="C396" s="38" t="s">
        <v>46</v>
      </c>
      <c r="D396" s="38" t="s">
        <v>137</v>
      </c>
      <c r="E396" s="38" t="s">
        <v>138</v>
      </c>
      <c r="F396" s="47" t="s">
        <v>519</v>
      </c>
      <c r="G396" s="40"/>
      <c r="H396" s="40"/>
      <c r="I396" s="40"/>
      <c r="J396" s="40"/>
      <c r="K396" s="40">
        <v>985</v>
      </c>
      <c r="L396" s="40">
        <v>568</v>
      </c>
      <c r="M396" s="40">
        <v>182</v>
      </c>
      <c r="N396" s="40">
        <v>235</v>
      </c>
      <c r="O396" s="40">
        <v>1343</v>
      </c>
      <c r="P396" s="40">
        <v>913</v>
      </c>
      <c r="Q396" s="40">
        <v>206</v>
      </c>
      <c r="R396" s="40">
        <v>224</v>
      </c>
      <c r="S396" s="41"/>
      <c r="T396" s="41"/>
      <c r="U396" s="41"/>
      <c r="V396" s="41">
        <v>57.664974600000001</v>
      </c>
      <c r="W396" s="41">
        <v>18.477157399999999</v>
      </c>
      <c r="X396" s="41">
        <v>23.857868</v>
      </c>
      <c r="Y396" s="41">
        <v>67.982129599999993</v>
      </c>
      <c r="Z396" s="41">
        <v>15.3387937</v>
      </c>
      <c r="AA396" s="41">
        <v>16.6790767</v>
      </c>
    </row>
    <row r="397" spans="1:39" hidden="1" x14ac:dyDescent="0.3">
      <c r="A397" s="37">
        <v>393</v>
      </c>
      <c r="B397" s="38" t="s">
        <v>521</v>
      </c>
      <c r="C397" s="38" t="s">
        <v>46</v>
      </c>
      <c r="D397" s="38" t="s">
        <v>137</v>
      </c>
      <c r="E397" s="38" t="s">
        <v>138</v>
      </c>
      <c r="F397" s="47" t="s">
        <v>520</v>
      </c>
      <c r="G397" s="40">
        <v>1197</v>
      </c>
      <c r="H397" s="40">
        <v>481</v>
      </c>
      <c r="I397" s="40">
        <v>181</v>
      </c>
      <c r="J397" s="40">
        <v>535</v>
      </c>
      <c r="K397" s="40">
        <v>1285</v>
      </c>
      <c r="L397" s="40">
        <v>641</v>
      </c>
      <c r="M397" s="40">
        <v>204</v>
      </c>
      <c r="N397" s="40">
        <v>440</v>
      </c>
      <c r="O397" s="40">
        <v>1963</v>
      </c>
      <c r="P397" s="40">
        <v>1067</v>
      </c>
      <c r="Q397" s="40">
        <v>327</v>
      </c>
      <c r="R397" s="40">
        <v>569</v>
      </c>
      <c r="S397" s="41">
        <v>40.183792799999999</v>
      </c>
      <c r="T397" s="41">
        <v>15.1211362</v>
      </c>
      <c r="U397" s="41">
        <v>44.695070999999999</v>
      </c>
      <c r="V397" s="41">
        <v>49.8832685</v>
      </c>
      <c r="W397" s="41">
        <v>15.8754864</v>
      </c>
      <c r="X397" s="41">
        <v>34.2412451</v>
      </c>
      <c r="Y397" s="41">
        <v>54.355578199999997</v>
      </c>
      <c r="Z397" s="41">
        <v>16.658176300000001</v>
      </c>
      <c r="AA397" s="41">
        <v>28.986245499999999</v>
      </c>
    </row>
    <row r="398" spans="1:39" hidden="1" x14ac:dyDescent="0.3">
      <c r="A398" s="42">
        <v>394</v>
      </c>
      <c r="B398" s="43" t="s">
        <v>521</v>
      </c>
      <c r="C398" s="50" t="s">
        <v>46</v>
      </c>
      <c r="D398" s="50" t="s">
        <v>137</v>
      </c>
      <c r="E398" s="50" t="s">
        <v>139</v>
      </c>
      <c r="F398" s="51" t="s">
        <v>139</v>
      </c>
      <c r="G398" s="45">
        <v>1245</v>
      </c>
      <c r="H398" s="45">
        <v>426</v>
      </c>
      <c r="I398" s="45">
        <v>272</v>
      </c>
      <c r="J398" s="45">
        <v>547</v>
      </c>
      <c r="K398" s="45">
        <v>2005</v>
      </c>
      <c r="L398" s="45">
        <v>968</v>
      </c>
      <c r="M398" s="45">
        <v>389</v>
      </c>
      <c r="N398" s="45">
        <v>648</v>
      </c>
      <c r="O398" s="45">
        <v>2849</v>
      </c>
      <c r="P398" s="45">
        <v>1782</v>
      </c>
      <c r="Q398" s="45">
        <v>464</v>
      </c>
      <c r="R398" s="45">
        <v>603</v>
      </c>
      <c r="S398" s="46">
        <v>34.216867499999999</v>
      </c>
      <c r="T398" s="46">
        <v>21.8473896</v>
      </c>
      <c r="U398" s="46">
        <v>43.935743000000002</v>
      </c>
      <c r="V398" s="46">
        <v>48.279301699999998</v>
      </c>
      <c r="W398" s="46">
        <v>19.401496300000002</v>
      </c>
      <c r="X398" s="46">
        <v>32.319201999999997</v>
      </c>
      <c r="Y398" s="46">
        <v>62.5482625</v>
      </c>
      <c r="Z398" s="46">
        <v>16.286416299999999</v>
      </c>
      <c r="AA398" s="46">
        <v>21.165321200000001</v>
      </c>
      <c r="AB398" s="26">
        <f>SUM(W398:X398)</f>
        <v>51.720698299999995</v>
      </c>
      <c r="AC398" s="26">
        <f>SUM(Z398:AA398)</f>
        <v>37.4517375</v>
      </c>
      <c r="AD398" s="57">
        <f>M398+N398</f>
        <v>1037</v>
      </c>
      <c r="AE398" s="57">
        <f>Q398+R398</f>
        <v>1067</v>
      </c>
      <c r="AF398" s="26">
        <f>W398</f>
        <v>19.401496300000002</v>
      </c>
      <c r="AG398" s="26">
        <f>Z398</f>
        <v>16.286416299999999</v>
      </c>
      <c r="AH398" s="26">
        <f>M398</f>
        <v>389</v>
      </c>
      <c r="AI398" s="26">
        <f>Q398</f>
        <v>464</v>
      </c>
      <c r="AJ398" s="26">
        <f>X398</f>
        <v>32.319201999999997</v>
      </c>
      <c r="AK398" s="26">
        <f>AA398</f>
        <v>21.165321200000001</v>
      </c>
      <c r="AL398" s="57">
        <f>N398</f>
        <v>648</v>
      </c>
      <c r="AM398" s="57">
        <f>R398</f>
        <v>603</v>
      </c>
    </row>
    <row r="399" spans="1:39" hidden="1" x14ac:dyDescent="0.3">
      <c r="A399" s="37">
        <v>395</v>
      </c>
      <c r="B399" s="38" t="s">
        <v>521</v>
      </c>
      <c r="C399" s="38" t="s">
        <v>46</v>
      </c>
      <c r="D399" s="38" t="s">
        <v>137</v>
      </c>
      <c r="E399" s="38" t="s">
        <v>139</v>
      </c>
      <c r="F399" s="47" t="s">
        <v>519</v>
      </c>
      <c r="G399" s="40">
        <v>433</v>
      </c>
      <c r="H399" s="40">
        <v>161</v>
      </c>
      <c r="I399" s="40">
        <v>104</v>
      </c>
      <c r="J399" s="40">
        <v>168</v>
      </c>
      <c r="K399" s="40">
        <v>842</v>
      </c>
      <c r="L399" s="40">
        <v>456</v>
      </c>
      <c r="M399" s="40">
        <v>169</v>
      </c>
      <c r="N399" s="40">
        <v>217</v>
      </c>
      <c r="O399" s="40">
        <v>1156</v>
      </c>
      <c r="P399" s="40">
        <v>729</v>
      </c>
      <c r="Q399" s="40">
        <v>194</v>
      </c>
      <c r="R399" s="40">
        <v>233</v>
      </c>
      <c r="S399" s="41">
        <v>37.182448000000001</v>
      </c>
      <c r="T399" s="41">
        <v>24.018475800000001</v>
      </c>
      <c r="U399" s="41">
        <v>38.799076200000002</v>
      </c>
      <c r="V399" s="41">
        <v>54.156769599999997</v>
      </c>
      <c r="W399" s="41">
        <v>20.0712589</v>
      </c>
      <c r="X399" s="41">
        <v>25.771971499999999</v>
      </c>
      <c r="Y399" s="41">
        <v>63.062283700000002</v>
      </c>
      <c r="Z399" s="41">
        <v>16.782006899999999</v>
      </c>
      <c r="AA399" s="41">
        <v>20.155709300000002</v>
      </c>
    </row>
    <row r="400" spans="1:39" hidden="1" x14ac:dyDescent="0.3">
      <c r="A400" s="37">
        <v>396</v>
      </c>
      <c r="B400" s="38" t="s">
        <v>521</v>
      </c>
      <c r="C400" s="38" t="s">
        <v>46</v>
      </c>
      <c r="D400" s="38" t="s">
        <v>137</v>
      </c>
      <c r="E400" s="38" t="s">
        <v>139</v>
      </c>
      <c r="F400" s="47" t="s">
        <v>520</v>
      </c>
      <c r="G400" s="40">
        <v>812</v>
      </c>
      <c r="H400" s="40">
        <v>265</v>
      </c>
      <c r="I400" s="40">
        <v>168</v>
      </c>
      <c r="J400" s="40">
        <v>379</v>
      </c>
      <c r="K400" s="40">
        <v>1163</v>
      </c>
      <c r="L400" s="40">
        <v>512</v>
      </c>
      <c r="M400" s="40">
        <v>220</v>
      </c>
      <c r="N400" s="40">
        <v>431</v>
      </c>
      <c r="O400" s="40">
        <v>1693</v>
      </c>
      <c r="P400" s="40">
        <v>1053</v>
      </c>
      <c r="Q400" s="40">
        <v>270</v>
      </c>
      <c r="R400" s="40">
        <v>370</v>
      </c>
      <c r="S400" s="41">
        <v>32.635468000000003</v>
      </c>
      <c r="T400" s="41">
        <v>20.689655200000001</v>
      </c>
      <c r="U400" s="41">
        <v>46.6748768</v>
      </c>
      <c r="V400" s="41">
        <v>44.024075699999997</v>
      </c>
      <c r="W400" s="41">
        <v>18.916595000000001</v>
      </c>
      <c r="X400" s="41">
        <v>37.059329300000002</v>
      </c>
      <c r="Y400" s="41">
        <v>62.197282899999998</v>
      </c>
      <c r="Z400" s="41">
        <v>15.948021300000001</v>
      </c>
      <c r="AA400" s="41">
        <v>21.854695799999998</v>
      </c>
    </row>
    <row r="401" spans="1:39" hidden="1" x14ac:dyDescent="0.3">
      <c r="A401" s="32">
        <v>397</v>
      </c>
      <c r="B401" s="33" t="s">
        <v>1</v>
      </c>
      <c r="C401" s="49" t="s">
        <v>46</v>
      </c>
      <c r="D401" s="49" t="s">
        <v>140</v>
      </c>
      <c r="E401" s="49"/>
      <c r="F401" s="34" t="s">
        <v>140</v>
      </c>
      <c r="G401" s="35">
        <v>3122</v>
      </c>
      <c r="H401" s="35">
        <v>1454</v>
      </c>
      <c r="I401" s="35">
        <v>541</v>
      </c>
      <c r="J401" s="35">
        <v>1127</v>
      </c>
      <c r="K401" s="35">
        <v>4532</v>
      </c>
      <c r="L401" s="35">
        <v>2202</v>
      </c>
      <c r="M401" s="35">
        <v>837</v>
      </c>
      <c r="N401" s="35">
        <v>1493</v>
      </c>
      <c r="O401" s="35">
        <v>6678</v>
      </c>
      <c r="P401" s="35">
        <v>3634</v>
      </c>
      <c r="Q401" s="35">
        <v>1148</v>
      </c>
      <c r="R401" s="35">
        <v>1896</v>
      </c>
      <c r="S401" s="36">
        <v>46.572709799999998</v>
      </c>
      <c r="T401" s="36">
        <v>17.328635500000001</v>
      </c>
      <c r="U401" s="36">
        <v>36.098654699999997</v>
      </c>
      <c r="V401" s="36">
        <v>48.5878199</v>
      </c>
      <c r="W401" s="36">
        <v>18.4686673</v>
      </c>
      <c r="X401" s="36">
        <v>32.943512800000001</v>
      </c>
      <c r="Y401" s="36">
        <v>54.417490299999997</v>
      </c>
      <c r="Z401" s="36">
        <v>17.1907757</v>
      </c>
      <c r="AA401" s="36">
        <v>28.391734100000001</v>
      </c>
    </row>
    <row r="402" spans="1:39" hidden="1" x14ac:dyDescent="0.3">
      <c r="A402" s="37">
        <v>398</v>
      </c>
      <c r="B402" s="38" t="s">
        <v>1</v>
      </c>
      <c r="C402" s="38" t="s">
        <v>46</v>
      </c>
      <c r="D402" s="38" t="s">
        <v>140</v>
      </c>
      <c r="E402" s="38"/>
      <c r="F402" s="39" t="s">
        <v>519</v>
      </c>
      <c r="G402" s="40"/>
      <c r="H402" s="40"/>
      <c r="I402" s="40"/>
      <c r="J402" s="40"/>
      <c r="K402" s="40">
        <v>634</v>
      </c>
      <c r="L402" s="40">
        <v>108</v>
      </c>
      <c r="M402" s="40">
        <v>131</v>
      </c>
      <c r="N402" s="40">
        <v>395</v>
      </c>
      <c r="O402" s="40">
        <v>759</v>
      </c>
      <c r="P402" s="40">
        <v>335</v>
      </c>
      <c r="Q402" s="40">
        <v>154</v>
      </c>
      <c r="R402" s="40">
        <v>270</v>
      </c>
      <c r="S402" s="41"/>
      <c r="T402" s="41"/>
      <c r="U402" s="41"/>
      <c r="V402" s="41">
        <v>17.034700300000001</v>
      </c>
      <c r="W402" s="41">
        <v>20.662460599999999</v>
      </c>
      <c r="X402" s="41">
        <v>62.3028391</v>
      </c>
      <c r="Y402" s="41">
        <v>44.137022399999999</v>
      </c>
      <c r="Z402" s="41">
        <v>20.2898551</v>
      </c>
      <c r="AA402" s="41">
        <v>35.573122499999997</v>
      </c>
    </row>
    <row r="403" spans="1:39" hidden="1" x14ac:dyDescent="0.3">
      <c r="A403" s="37">
        <v>399</v>
      </c>
      <c r="B403" s="38" t="s">
        <v>1</v>
      </c>
      <c r="C403" s="38" t="s">
        <v>46</v>
      </c>
      <c r="D403" s="38" t="s">
        <v>140</v>
      </c>
      <c r="E403" s="38"/>
      <c r="F403" s="39" t="s">
        <v>520</v>
      </c>
      <c r="G403" s="40">
        <v>3122</v>
      </c>
      <c r="H403" s="40">
        <v>1454</v>
      </c>
      <c r="I403" s="40">
        <v>541</v>
      </c>
      <c r="J403" s="40">
        <v>1127</v>
      </c>
      <c r="K403" s="40">
        <v>3898</v>
      </c>
      <c r="L403" s="40">
        <v>2094</v>
      </c>
      <c r="M403" s="40">
        <v>706</v>
      </c>
      <c r="N403" s="40">
        <v>1098</v>
      </c>
      <c r="O403" s="40">
        <v>5919</v>
      </c>
      <c r="P403" s="40">
        <v>3299</v>
      </c>
      <c r="Q403" s="40">
        <v>994</v>
      </c>
      <c r="R403" s="40">
        <v>1626</v>
      </c>
      <c r="S403" s="41">
        <v>46.572709799999998</v>
      </c>
      <c r="T403" s="41">
        <v>17.328635500000001</v>
      </c>
      <c r="U403" s="41">
        <v>36.098654699999997</v>
      </c>
      <c r="V403" s="41">
        <v>53.719856299999996</v>
      </c>
      <c r="W403" s="41">
        <v>18.111852200000001</v>
      </c>
      <c r="X403" s="41">
        <v>28.168291400000001</v>
      </c>
      <c r="Y403" s="41">
        <v>55.7357662</v>
      </c>
      <c r="Z403" s="41">
        <v>16.7933773</v>
      </c>
      <c r="AA403" s="41">
        <v>27.470856600000001</v>
      </c>
    </row>
    <row r="404" spans="1:39" hidden="1" x14ac:dyDescent="0.3">
      <c r="A404" s="42">
        <v>400</v>
      </c>
      <c r="B404" s="43" t="s">
        <v>521</v>
      </c>
      <c r="C404" s="50" t="s">
        <v>46</v>
      </c>
      <c r="D404" s="50" t="s">
        <v>140</v>
      </c>
      <c r="E404" s="50" t="s">
        <v>481</v>
      </c>
      <c r="F404" s="51" t="s">
        <v>481</v>
      </c>
      <c r="G404" s="45">
        <v>2507</v>
      </c>
      <c r="H404" s="45">
        <v>1165</v>
      </c>
      <c r="I404" s="45">
        <v>437</v>
      </c>
      <c r="J404" s="45">
        <v>905</v>
      </c>
      <c r="K404" s="45">
        <v>3550</v>
      </c>
      <c r="L404" s="45">
        <v>1700</v>
      </c>
      <c r="M404" s="45">
        <v>650</v>
      </c>
      <c r="N404" s="45">
        <v>1200</v>
      </c>
      <c r="O404" s="45">
        <v>5022</v>
      </c>
      <c r="P404" s="45">
        <v>2899</v>
      </c>
      <c r="Q404" s="45">
        <v>888</v>
      </c>
      <c r="R404" s="45">
        <v>1235</v>
      </c>
      <c r="S404" s="46">
        <v>46.469884299999997</v>
      </c>
      <c r="T404" s="46">
        <v>17.4311927</v>
      </c>
      <c r="U404" s="46">
        <v>36.098922999999999</v>
      </c>
      <c r="V404" s="46">
        <v>47.887323899999998</v>
      </c>
      <c r="W404" s="46">
        <v>18.309859199999998</v>
      </c>
      <c r="X404" s="46">
        <v>33.802816900000003</v>
      </c>
      <c r="Y404" s="46">
        <v>57.726005600000001</v>
      </c>
      <c r="Z404" s="46">
        <v>17.6821983</v>
      </c>
      <c r="AA404" s="46">
        <v>24.5917961</v>
      </c>
      <c r="AB404" s="26">
        <f>SUM(W404:X404)</f>
        <v>52.112676100000002</v>
      </c>
      <c r="AC404" s="26">
        <f>SUM(Z404:AA404)</f>
        <v>42.273994399999999</v>
      </c>
      <c r="AD404" s="57">
        <f>M404+N404</f>
        <v>1850</v>
      </c>
      <c r="AE404" s="57">
        <f>Q404+R404</f>
        <v>2123</v>
      </c>
      <c r="AF404" s="26">
        <f>W404</f>
        <v>18.309859199999998</v>
      </c>
      <c r="AG404" s="26">
        <f>Z404</f>
        <v>17.6821983</v>
      </c>
      <c r="AH404" s="26">
        <f>M404</f>
        <v>650</v>
      </c>
      <c r="AI404" s="26">
        <f>Q404</f>
        <v>888</v>
      </c>
      <c r="AJ404" s="26">
        <f>X404</f>
        <v>33.802816900000003</v>
      </c>
      <c r="AK404" s="26">
        <f>AA404</f>
        <v>24.5917961</v>
      </c>
      <c r="AL404" s="57">
        <f>N404</f>
        <v>1200</v>
      </c>
      <c r="AM404" s="57">
        <f>R404</f>
        <v>1235</v>
      </c>
    </row>
    <row r="405" spans="1:39" hidden="1" x14ac:dyDescent="0.3">
      <c r="A405" s="37">
        <v>401</v>
      </c>
      <c r="B405" s="38" t="s">
        <v>521</v>
      </c>
      <c r="C405" s="38" t="s">
        <v>46</v>
      </c>
      <c r="D405" s="38" t="s">
        <v>140</v>
      </c>
      <c r="E405" s="38" t="s">
        <v>481</v>
      </c>
      <c r="F405" s="47" t="s">
        <v>519</v>
      </c>
      <c r="G405" s="40"/>
      <c r="H405" s="40"/>
      <c r="I405" s="40"/>
      <c r="J405" s="40"/>
      <c r="K405" s="40">
        <v>634</v>
      </c>
      <c r="L405" s="40">
        <v>108</v>
      </c>
      <c r="M405" s="40">
        <v>131</v>
      </c>
      <c r="N405" s="40">
        <v>395</v>
      </c>
      <c r="O405" s="40">
        <v>759</v>
      </c>
      <c r="P405" s="40">
        <v>335</v>
      </c>
      <c r="Q405" s="40">
        <v>154</v>
      </c>
      <c r="R405" s="40">
        <v>270</v>
      </c>
      <c r="S405" s="41"/>
      <c r="T405" s="41"/>
      <c r="U405" s="41"/>
      <c r="V405" s="41">
        <v>17.034700300000001</v>
      </c>
      <c r="W405" s="41">
        <v>20.662460599999999</v>
      </c>
      <c r="X405" s="41">
        <v>62.3028391</v>
      </c>
      <c r="Y405" s="41">
        <v>44.137022399999999</v>
      </c>
      <c r="Z405" s="41">
        <v>20.2898551</v>
      </c>
      <c r="AA405" s="41">
        <v>35.573122499999997</v>
      </c>
    </row>
    <row r="406" spans="1:39" hidden="1" x14ac:dyDescent="0.3">
      <c r="A406" s="37">
        <v>402</v>
      </c>
      <c r="B406" s="38" t="s">
        <v>521</v>
      </c>
      <c r="C406" s="38" t="s">
        <v>46</v>
      </c>
      <c r="D406" s="38" t="s">
        <v>140</v>
      </c>
      <c r="E406" s="38" t="s">
        <v>481</v>
      </c>
      <c r="F406" s="47" t="s">
        <v>520</v>
      </c>
      <c r="G406" s="40">
        <v>2507</v>
      </c>
      <c r="H406" s="40">
        <v>1165</v>
      </c>
      <c r="I406" s="40">
        <v>437</v>
      </c>
      <c r="J406" s="40">
        <v>905</v>
      </c>
      <c r="K406" s="40">
        <v>2916</v>
      </c>
      <c r="L406" s="40">
        <v>1592</v>
      </c>
      <c r="M406" s="40">
        <v>519</v>
      </c>
      <c r="N406" s="40">
        <v>805</v>
      </c>
      <c r="O406" s="40">
        <v>4263</v>
      </c>
      <c r="P406" s="40">
        <v>2564</v>
      </c>
      <c r="Q406" s="40">
        <v>734</v>
      </c>
      <c r="R406" s="40">
        <v>965</v>
      </c>
      <c r="S406" s="41">
        <v>46.469884299999997</v>
      </c>
      <c r="T406" s="41">
        <v>17.4311927</v>
      </c>
      <c r="U406" s="41">
        <v>36.098922999999999</v>
      </c>
      <c r="V406" s="41">
        <v>54.595336099999997</v>
      </c>
      <c r="W406" s="41">
        <v>17.798353899999999</v>
      </c>
      <c r="X406" s="41">
        <v>27.606310000000001</v>
      </c>
      <c r="Y406" s="41">
        <v>60.1454375</v>
      </c>
      <c r="Z406" s="41">
        <v>17.217921700000002</v>
      </c>
      <c r="AA406" s="41">
        <v>22.6366409</v>
      </c>
    </row>
    <row r="407" spans="1:39" hidden="1" x14ac:dyDescent="0.3">
      <c r="A407" s="42">
        <v>403</v>
      </c>
      <c r="B407" s="43" t="s">
        <v>521</v>
      </c>
      <c r="C407" s="50" t="s">
        <v>46</v>
      </c>
      <c r="D407" s="50" t="s">
        <v>140</v>
      </c>
      <c r="E407" s="50" t="s">
        <v>142</v>
      </c>
      <c r="F407" s="51" t="s">
        <v>142</v>
      </c>
      <c r="G407" s="45">
        <v>615</v>
      </c>
      <c r="H407" s="45">
        <v>289</v>
      </c>
      <c r="I407" s="45">
        <v>104</v>
      </c>
      <c r="J407" s="45">
        <v>222</v>
      </c>
      <c r="K407" s="45">
        <v>982</v>
      </c>
      <c r="L407" s="45">
        <v>502</v>
      </c>
      <c r="M407" s="45">
        <v>187</v>
      </c>
      <c r="N407" s="45">
        <v>293</v>
      </c>
      <c r="O407" s="45">
        <v>1656</v>
      </c>
      <c r="P407" s="45">
        <v>735</v>
      </c>
      <c r="Q407" s="45">
        <v>260</v>
      </c>
      <c r="R407" s="45">
        <v>661</v>
      </c>
      <c r="S407" s="46">
        <v>46.991869899999998</v>
      </c>
      <c r="T407" s="46">
        <v>16.9105691</v>
      </c>
      <c r="U407" s="46">
        <v>36.097560999999999</v>
      </c>
      <c r="V407" s="46">
        <v>51.120162899999997</v>
      </c>
      <c r="W407" s="46">
        <v>19.0427699</v>
      </c>
      <c r="X407" s="46">
        <v>29.8370672</v>
      </c>
      <c r="Y407" s="46">
        <v>44.384058000000003</v>
      </c>
      <c r="Z407" s="46">
        <v>15.7004831</v>
      </c>
      <c r="AA407" s="46">
        <v>39.915458899999997</v>
      </c>
      <c r="AB407" s="26">
        <f>SUM(W407:X407)</f>
        <v>48.879837100000003</v>
      </c>
      <c r="AC407" s="26">
        <f>SUM(Z407:AA407)</f>
        <v>55.615941999999997</v>
      </c>
      <c r="AD407" s="57">
        <f>M407+N407</f>
        <v>480</v>
      </c>
      <c r="AE407" s="57">
        <f>Q407+R407</f>
        <v>921</v>
      </c>
      <c r="AF407" s="26">
        <f>W407</f>
        <v>19.0427699</v>
      </c>
      <c r="AG407" s="26">
        <f>Z407</f>
        <v>15.7004831</v>
      </c>
      <c r="AH407" s="26">
        <f>M407</f>
        <v>187</v>
      </c>
      <c r="AI407" s="26">
        <f>Q407</f>
        <v>260</v>
      </c>
      <c r="AJ407" s="26">
        <f>X407</f>
        <v>29.8370672</v>
      </c>
      <c r="AK407" s="26">
        <f>AA407</f>
        <v>39.915458899999997</v>
      </c>
      <c r="AL407" s="57">
        <f>N407</f>
        <v>293</v>
      </c>
      <c r="AM407" s="57">
        <f>R407</f>
        <v>661</v>
      </c>
    </row>
    <row r="408" spans="1:39" hidden="1" x14ac:dyDescent="0.3">
      <c r="A408" s="37">
        <v>404</v>
      </c>
      <c r="B408" s="38" t="s">
        <v>521</v>
      </c>
      <c r="C408" s="38" t="s">
        <v>46</v>
      </c>
      <c r="D408" s="38" t="s">
        <v>140</v>
      </c>
      <c r="E408" s="38" t="s">
        <v>142</v>
      </c>
      <c r="F408" s="47" t="s">
        <v>519</v>
      </c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1"/>
      <c r="T408" s="41"/>
      <c r="U408" s="41"/>
      <c r="V408" s="41"/>
      <c r="W408" s="41"/>
      <c r="X408" s="41"/>
      <c r="Y408" s="41"/>
      <c r="Z408" s="41"/>
      <c r="AA408" s="41"/>
    </row>
    <row r="409" spans="1:39" hidden="1" x14ac:dyDescent="0.3">
      <c r="A409" s="37">
        <v>405</v>
      </c>
      <c r="B409" s="38" t="s">
        <v>521</v>
      </c>
      <c r="C409" s="38" t="s">
        <v>46</v>
      </c>
      <c r="D409" s="38" t="s">
        <v>140</v>
      </c>
      <c r="E409" s="38" t="s">
        <v>142</v>
      </c>
      <c r="F409" s="47" t="s">
        <v>520</v>
      </c>
      <c r="G409" s="40">
        <v>615</v>
      </c>
      <c r="H409" s="40">
        <v>289</v>
      </c>
      <c r="I409" s="40">
        <v>104</v>
      </c>
      <c r="J409" s="40">
        <v>222</v>
      </c>
      <c r="K409" s="40">
        <v>982</v>
      </c>
      <c r="L409" s="40">
        <v>502</v>
      </c>
      <c r="M409" s="40">
        <v>187</v>
      </c>
      <c r="N409" s="40">
        <v>293</v>
      </c>
      <c r="O409" s="40">
        <v>1656</v>
      </c>
      <c r="P409" s="40">
        <v>735</v>
      </c>
      <c r="Q409" s="40">
        <v>260</v>
      </c>
      <c r="R409" s="40">
        <v>661</v>
      </c>
      <c r="S409" s="41">
        <v>46.991869899999998</v>
      </c>
      <c r="T409" s="41">
        <v>16.9105691</v>
      </c>
      <c r="U409" s="41">
        <v>36.097560999999999</v>
      </c>
      <c r="V409" s="41">
        <v>51.120162899999997</v>
      </c>
      <c r="W409" s="41">
        <v>19.0427699</v>
      </c>
      <c r="X409" s="41">
        <v>29.8370672</v>
      </c>
      <c r="Y409" s="41">
        <v>44.384058000000003</v>
      </c>
      <c r="Z409" s="41">
        <v>15.7004831</v>
      </c>
      <c r="AA409" s="41">
        <v>39.915458899999997</v>
      </c>
    </row>
    <row r="410" spans="1:39" hidden="1" x14ac:dyDescent="0.3">
      <c r="A410" s="32">
        <v>406</v>
      </c>
      <c r="B410" s="33" t="s">
        <v>1</v>
      </c>
      <c r="C410" s="49" t="s">
        <v>46</v>
      </c>
      <c r="D410" s="49" t="s">
        <v>143</v>
      </c>
      <c r="E410" s="49"/>
      <c r="F410" s="34" t="s">
        <v>143</v>
      </c>
      <c r="G410" s="35">
        <v>7025</v>
      </c>
      <c r="H410" s="35">
        <v>4423</v>
      </c>
      <c r="I410" s="35">
        <v>1124</v>
      </c>
      <c r="J410" s="35">
        <v>1478</v>
      </c>
      <c r="K410" s="35">
        <v>8906</v>
      </c>
      <c r="L410" s="35">
        <v>6331</v>
      </c>
      <c r="M410" s="35">
        <v>1231</v>
      </c>
      <c r="N410" s="35">
        <v>1344</v>
      </c>
      <c r="O410" s="35">
        <v>11922</v>
      </c>
      <c r="P410" s="35">
        <v>8592</v>
      </c>
      <c r="Q410" s="35">
        <v>1364</v>
      </c>
      <c r="R410" s="35">
        <v>1966</v>
      </c>
      <c r="S410" s="36">
        <v>62.960854099999999</v>
      </c>
      <c r="T410" s="36">
        <v>16</v>
      </c>
      <c r="U410" s="36">
        <v>21.039145900000001</v>
      </c>
      <c r="V410" s="36">
        <v>71.086907699999998</v>
      </c>
      <c r="W410" s="36">
        <v>13.822142400000001</v>
      </c>
      <c r="X410" s="36">
        <v>15.0909499</v>
      </c>
      <c r="Y410" s="36">
        <v>72.068444900000003</v>
      </c>
      <c r="Z410" s="36">
        <v>11.4410334</v>
      </c>
      <c r="AA410" s="36">
        <v>16.490521699999999</v>
      </c>
    </row>
    <row r="411" spans="1:39" hidden="1" x14ac:dyDescent="0.3">
      <c r="A411" s="37">
        <v>407</v>
      </c>
      <c r="B411" s="38" t="s">
        <v>1</v>
      </c>
      <c r="C411" s="38" t="s">
        <v>46</v>
      </c>
      <c r="D411" s="38" t="s">
        <v>143</v>
      </c>
      <c r="E411" s="38"/>
      <c r="F411" s="39" t="s">
        <v>519</v>
      </c>
      <c r="G411" s="40">
        <v>1153</v>
      </c>
      <c r="H411" s="40">
        <v>720</v>
      </c>
      <c r="I411" s="40">
        <v>195</v>
      </c>
      <c r="J411" s="40">
        <v>238</v>
      </c>
      <c r="K411" s="40">
        <v>2539</v>
      </c>
      <c r="L411" s="40">
        <v>1685</v>
      </c>
      <c r="M411" s="40">
        <v>390</v>
      </c>
      <c r="N411" s="40">
        <v>464</v>
      </c>
      <c r="O411" s="40">
        <v>2973</v>
      </c>
      <c r="P411" s="40">
        <v>2098</v>
      </c>
      <c r="Q411" s="40">
        <v>277</v>
      </c>
      <c r="R411" s="40">
        <v>598</v>
      </c>
      <c r="S411" s="41">
        <v>62.445793600000002</v>
      </c>
      <c r="T411" s="41">
        <v>16.912402400000001</v>
      </c>
      <c r="U411" s="41">
        <v>20.641804</v>
      </c>
      <c r="V411" s="41">
        <v>66.364710500000001</v>
      </c>
      <c r="W411" s="41">
        <v>15.3603781</v>
      </c>
      <c r="X411" s="41">
        <v>18.274911400000001</v>
      </c>
      <c r="Y411" s="41">
        <v>70.568449400000006</v>
      </c>
      <c r="Z411" s="41">
        <v>9.3171879999999998</v>
      </c>
      <c r="AA411" s="41">
        <v>20.1143626</v>
      </c>
    </row>
    <row r="412" spans="1:39" hidden="1" x14ac:dyDescent="0.3">
      <c r="A412" s="37">
        <v>408</v>
      </c>
      <c r="B412" s="38" t="s">
        <v>1</v>
      </c>
      <c r="C412" s="38" t="s">
        <v>46</v>
      </c>
      <c r="D412" s="38" t="s">
        <v>143</v>
      </c>
      <c r="E412" s="38"/>
      <c r="F412" s="39" t="s">
        <v>520</v>
      </c>
      <c r="G412" s="40">
        <v>5872</v>
      </c>
      <c r="H412" s="40">
        <v>3703</v>
      </c>
      <c r="I412" s="40">
        <v>929</v>
      </c>
      <c r="J412" s="40">
        <v>1240</v>
      </c>
      <c r="K412" s="40">
        <v>6367</v>
      </c>
      <c r="L412" s="40">
        <v>4646</v>
      </c>
      <c r="M412" s="40">
        <v>841</v>
      </c>
      <c r="N412" s="40">
        <v>880</v>
      </c>
      <c r="O412" s="40">
        <v>8949</v>
      </c>
      <c r="P412" s="40">
        <v>6494</v>
      </c>
      <c r="Q412" s="40">
        <v>1087</v>
      </c>
      <c r="R412" s="40">
        <v>1368</v>
      </c>
      <c r="S412" s="41">
        <v>63.061989099999998</v>
      </c>
      <c r="T412" s="41">
        <v>15.8208447</v>
      </c>
      <c r="U412" s="41">
        <v>21.1171662</v>
      </c>
      <c r="V412" s="41">
        <v>72.970001600000003</v>
      </c>
      <c r="W412" s="41">
        <v>13.2087325</v>
      </c>
      <c r="X412" s="41">
        <v>13.8212659</v>
      </c>
      <c r="Y412" s="41">
        <v>72.566767200000001</v>
      </c>
      <c r="Z412" s="41">
        <v>12.1466086</v>
      </c>
      <c r="AA412" s="41">
        <v>15.2866242</v>
      </c>
    </row>
    <row r="413" spans="1:39" hidden="1" x14ac:dyDescent="0.3">
      <c r="A413" s="42">
        <v>409</v>
      </c>
      <c r="B413" s="43" t="s">
        <v>521</v>
      </c>
      <c r="C413" s="50" t="s">
        <v>46</v>
      </c>
      <c r="D413" s="50" t="s">
        <v>143</v>
      </c>
      <c r="E413" s="50" t="s">
        <v>144</v>
      </c>
      <c r="F413" s="51" t="s">
        <v>144</v>
      </c>
      <c r="G413" s="45">
        <v>4085</v>
      </c>
      <c r="H413" s="45">
        <v>2350</v>
      </c>
      <c r="I413" s="45">
        <v>733</v>
      </c>
      <c r="J413" s="45">
        <v>1002</v>
      </c>
      <c r="K413" s="45">
        <v>5144</v>
      </c>
      <c r="L413" s="45">
        <v>3831</v>
      </c>
      <c r="M413" s="45">
        <v>672</v>
      </c>
      <c r="N413" s="45">
        <v>641</v>
      </c>
      <c r="O413" s="45">
        <v>6817</v>
      </c>
      <c r="P413" s="45">
        <v>5161</v>
      </c>
      <c r="Q413" s="45">
        <v>691</v>
      </c>
      <c r="R413" s="45">
        <v>965</v>
      </c>
      <c r="S413" s="46">
        <v>57.5275398</v>
      </c>
      <c r="T413" s="46">
        <v>17.943696500000001</v>
      </c>
      <c r="U413" s="46">
        <v>24.5287638</v>
      </c>
      <c r="V413" s="46">
        <v>74.475116600000007</v>
      </c>
      <c r="W413" s="46">
        <v>13.0637636</v>
      </c>
      <c r="X413" s="46">
        <v>12.461119800000001</v>
      </c>
      <c r="Y413" s="46">
        <v>75.707789399999996</v>
      </c>
      <c r="Z413" s="46">
        <v>10.136423600000001</v>
      </c>
      <c r="AA413" s="46">
        <v>14.155787</v>
      </c>
      <c r="AB413" s="26">
        <f>SUM(W413:X413)</f>
        <v>25.5248834</v>
      </c>
      <c r="AC413" s="26">
        <f>SUM(Z413:AA413)</f>
        <v>24.292210600000001</v>
      </c>
      <c r="AD413" s="57">
        <f>M413+N413</f>
        <v>1313</v>
      </c>
      <c r="AE413" s="57">
        <f>Q413+R413</f>
        <v>1656</v>
      </c>
      <c r="AF413" s="26">
        <f>W413</f>
        <v>13.0637636</v>
      </c>
      <c r="AG413" s="26">
        <f>Z413</f>
        <v>10.136423600000001</v>
      </c>
      <c r="AH413" s="26">
        <f>M413</f>
        <v>672</v>
      </c>
      <c r="AI413" s="26">
        <f>Q413</f>
        <v>691</v>
      </c>
      <c r="AJ413" s="26">
        <f>X413</f>
        <v>12.461119800000001</v>
      </c>
      <c r="AK413" s="26">
        <f>AA413</f>
        <v>14.155787</v>
      </c>
      <c r="AL413" s="57">
        <f>N413</f>
        <v>641</v>
      </c>
      <c r="AM413" s="57">
        <f>R413</f>
        <v>965</v>
      </c>
    </row>
    <row r="414" spans="1:39" hidden="1" x14ac:dyDescent="0.3">
      <c r="A414" s="37">
        <v>410</v>
      </c>
      <c r="B414" s="38" t="s">
        <v>521</v>
      </c>
      <c r="C414" s="38" t="s">
        <v>46</v>
      </c>
      <c r="D414" s="38" t="s">
        <v>143</v>
      </c>
      <c r="E414" s="38" t="s">
        <v>144</v>
      </c>
      <c r="F414" s="47" t="s">
        <v>519</v>
      </c>
      <c r="G414" s="40">
        <v>1153</v>
      </c>
      <c r="H414" s="40">
        <v>720</v>
      </c>
      <c r="I414" s="40">
        <v>195</v>
      </c>
      <c r="J414" s="40">
        <v>238</v>
      </c>
      <c r="K414" s="40">
        <v>1923</v>
      </c>
      <c r="L414" s="40">
        <v>1470</v>
      </c>
      <c r="M414" s="40">
        <v>220</v>
      </c>
      <c r="N414" s="40">
        <v>233</v>
      </c>
      <c r="O414" s="40">
        <v>2502</v>
      </c>
      <c r="P414" s="40">
        <v>2005</v>
      </c>
      <c r="Q414" s="40">
        <v>195</v>
      </c>
      <c r="R414" s="40">
        <v>302</v>
      </c>
      <c r="S414" s="41">
        <v>62.445793600000002</v>
      </c>
      <c r="T414" s="41">
        <v>16.912402400000001</v>
      </c>
      <c r="U414" s="41">
        <v>20.641804</v>
      </c>
      <c r="V414" s="41">
        <v>76.443057699999997</v>
      </c>
      <c r="W414" s="41">
        <v>11.4404576</v>
      </c>
      <c r="X414" s="41">
        <v>12.116484700000001</v>
      </c>
      <c r="Y414" s="41">
        <v>80.135891299999997</v>
      </c>
      <c r="Z414" s="41">
        <v>7.7937649999999996</v>
      </c>
      <c r="AA414" s="41">
        <v>12.0703437</v>
      </c>
    </row>
    <row r="415" spans="1:39" hidden="1" x14ac:dyDescent="0.3">
      <c r="A415" s="37">
        <v>411</v>
      </c>
      <c r="B415" s="38" t="s">
        <v>521</v>
      </c>
      <c r="C415" s="38" t="s">
        <v>46</v>
      </c>
      <c r="D415" s="38" t="s">
        <v>143</v>
      </c>
      <c r="E415" s="38" t="s">
        <v>144</v>
      </c>
      <c r="F415" s="47" t="s">
        <v>520</v>
      </c>
      <c r="G415" s="40">
        <v>2932</v>
      </c>
      <c r="H415" s="40">
        <v>1630</v>
      </c>
      <c r="I415" s="40">
        <v>538</v>
      </c>
      <c r="J415" s="40">
        <v>764</v>
      </c>
      <c r="K415" s="40">
        <v>3221</v>
      </c>
      <c r="L415" s="40">
        <v>2361</v>
      </c>
      <c r="M415" s="40">
        <v>452</v>
      </c>
      <c r="N415" s="40">
        <v>408</v>
      </c>
      <c r="O415" s="40">
        <v>4315</v>
      </c>
      <c r="P415" s="40">
        <v>3156</v>
      </c>
      <c r="Q415" s="40">
        <v>496</v>
      </c>
      <c r="R415" s="40">
        <v>663</v>
      </c>
      <c r="S415" s="41">
        <v>55.593451600000002</v>
      </c>
      <c r="T415" s="41">
        <v>18.349249700000001</v>
      </c>
      <c r="U415" s="41">
        <v>26.057298800000002</v>
      </c>
      <c r="V415" s="41">
        <v>73.3002173</v>
      </c>
      <c r="W415" s="41">
        <v>14.032909</v>
      </c>
      <c r="X415" s="41">
        <v>12.666873600000001</v>
      </c>
      <c r="Y415" s="41">
        <v>73.140208599999994</v>
      </c>
      <c r="Z415" s="41">
        <v>11.4947856</v>
      </c>
      <c r="AA415" s="41">
        <v>15.3650058</v>
      </c>
    </row>
    <row r="416" spans="1:39" hidden="1" x14ac:dyDescent="0.3">
      <c r="A416" s="42">
        <v>412</v>
      </c>
      <c r="B416" s="43" t="s">
        <v>521</v>
      </c>
      <c r="C416" s="50" t="s">
        <v>46</v>
      </c>
      <c r="D416" s="50" t="s">
        <v>143</v>
      </c>
      <c r="E416" s="50" t="s">
        <v>145</v>
      </c>
      <c r="F416" s="51" t="s">
        <v>145</v>
      </c>
      <c r="G416" s="45">
        <v>2171</v>
      </c>
      <c r="H416" s="45">
        <v>1571</v>
      </c>
      <c r="I416" s="45">
        <v>269</v>
      </c>
      <c r="J416" s="45">
        <v>331</v>
      </c>
      <c r="K416" s="45">
        <v>2467</v>
      </c>
      <c r="L416" s="45">
        <v>1973</v>
      </c>
      <c r="M416" s="45">
        <v>240</v>
      </c>
      <c r="N416" s="45">
        <v>254</v>
      </c>
      <c r="O416" s="45">
        <v>3631</v>
      </c>
      <c r="P416" s="45">
        <v>2854</v>
      </c>
      <c r="Q416" s="45">
        <v>391</v>
      </c>
      <c r="R416" s="45">
        <v>386</v>
      </c>
      <c r="S416" s="46">
        <v>72.362966400000005</v>
      </c>
      <c r="T416" s="46">
        <v>12.3906034</v>
      </c>
      <c r="U416" s="46">
        <v>15.246430200000001</v>
      </c>
      <c r="V416" s="46">
        <v>79.975679</v>
      </c>
      <c r="W416" s="46">
        <v>9.7284150999999994</v>
      </c>
      <c r="X416" s="46">
        <v>10.295906</v>
      </c>
      <c r="Y416" s="46">
        <v>78.600936399999995</v>
      </c>
      <c r="Z416" s="46">
        <v>10.768383399999999</v>
      </c>
      <c r="AA416" s="46">
        <v>10.6306803</v>
      </c>
      <c r="AB416" s="26">
        <f>SUM(W416:X416)</f>
        <v>20.024321100000002</v>
      </c>
      <c r="AC416" s="26">
        <f>SUM(Z416:AA416)</f>
        <v>21.399063699999999</v>
      </c>
      <c r="AD416" s="57">
        <f>M416+N416</f>
        <v>494</v>
      </c>
      <c r="AE416" s="57">
        <f>Q416+R416</f>
        <v>777</v>
      </c>
      <c r="AF416" s="26">
        <f>W416</f>
        <v>9.7284150999999994</v>
      </c>
      <c r="AG416" s="26">
        <f>Z416</f>
        <v>10.768383399999999</v>
      </c>
      <c r="AH416" s="26">
        <f>M416</f>
        <v>240</v>
      </c>
      <c r="AI416" s="26">
        <f>Q416</f>
        <v>391</v>
      </c>
      <c r="AJ416" s="26">
        <f>X416</f>
        <v>10.295906</v>
      </c>
      <c r="AK416" s="26">
        <f>AA416</f>
        <v>10.6306803</v>
      </c>
      <c r="AL416" s="57">
        <f>N416</f>
        <v>254</v>
      </c>
      <c r="AM416" s="57">
        <f>R416</f>
        <v>386</v>
      </c>
    </row>
    <row r="417" spans="1:39" hidden="1" x14ac:dyDescent="0.3">
      <c r="A417" s="37">
        <v>413</v>
      </c>
      <c r="B417" s="38" t="s">
        <v>521</v>
      </c>
      <c r="C417" s="38" t="s">
        <v>46</v>
      </c>
      <c r="D417" s="38" t="s">
        <v>143</v>
      </c>
      <c r="E417" s="38" t="s">
        <v>145</v>
      </c>
      <c r="F417" s="47" t="s">
        <v>519</v>
      </c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1"/>
      <c r="T417" s="41"/>
      <c r="U417" s="41"/>
      <c r="V417" s="41"/>
      <c r="W417" s="41"/>
      <c r="X417" s="41"/>
      <c r="Y417" s="41"/>
      <c r="Z417" s="41"/>
      <c r="AA417" s="41"/>
    </row>
    <row r="418" spans="1:39" hidden="1" x14ac:dyDescent="0.3">
      <c r="A418" s="37">
        <v>414</v>
      </c>
      <c r="B418" s="38" t="s">
        <v>521</v>
      </c>
      <c r="C418" s="38" t="s">
        <v>46</v>
      </c>
      <c r="D418" s="38" t="s">
        <v>143</v>
      </c>
      <c r="E418" s="38" t="s">
        <v>145</v>
      </c>
      <c r="F418" s="47" t="s">
        <v>520</v>
      </c>
      <c r="G418" s="40">
        <v>2171</v>
      </c>
      <c r="H418" s="40">
        <v>1571</v>
      </c>
      <c r="I418" s="40">
        <v>269</v>
      </c>
      <c r="J418" s="40">
        <v>331</v>
      </c>
      <c r="K418" s="40">
        <v>2467</v>
      </c>
      <c r="L418" s="40">
        <v>1973</v>
      </c>
      <c r="M418" s="40">
        <v>240</v>
      </c>
      <c r="N418" s="40">
        <v>254</v>
      </c>
      <c r="O418" s="40">
        <v>3631</v>
      </c>
      <c r="P418" s="40">
        <v>2854</v>
      </c>
      <c r="Q418" s="40">
        <v>391</v>
      </c>
      <c r="R418" s="40">
        <v>386</v>
      </c>
      <c r="S418" s="41">
        <v>72.362966400000005</v>
      </c>
      <c r="T418" s="41">
        <v>12.3906034</v>
      </c>
      <c r="U418" s="41">
        <v>15.246430200000001</v>
      </c>
      <c r="V418" s="41">
        <v>79.975679</v>
      </c>
      <c r="W418" s="41">
        <v>9.7284150999999994</v>
      </c>
      <c r="X418" s="41">
        <v>10.295906</v>
      </c>
      <c r="Y418" s="41">
        <v>78.600936399999995</v>
      </c>
      <c r="Z418" s="41">
        <v>10.768383399999999</v>
      </c>
      <c r="AA418" s="41">
        <v>10.6306803</v>
      </c>
    </row>
    <row r="419" spans="1:39" hidden="1" x14ac:dyDescent="0.3">
      <c r="A419" s="42">
        <v>415</v>
      </c>
      <c r="B419" s="43" t="s">
        <v>521</v>
      </c>
      <c r="C419" s="50" t="s">
        <v>46</v>
      </c>
      <c r="D419" s="50" t="s">
        <v>143</v>
      </c>
      <c r="E419" s="50" t="s">
        <v>146</v>
      </c>
      <c r="F419" s="51" t="s">
        <v>146</v>
      </c>
      <c r="G419" s="45">
        <v>769</v>
      </c>
      <c r="H419" s="45">
        <v>502</v>
      </c>
      <c r="I419" s="45">
        <v>122</v>
      </c>
      <c r="J419" s="45">
        <v>145</v>
      </c>
      <c r="K419" s="45">
        <v>1295</v>
      </c>
      <c r="L419" s="45">
        <v>527</v>
      </c>
      <c r="M419" s="45">
        <v>319</v>
      </c>
      <c r="N419" s="45">
        <v>449</v>
      </c>
      <c r="O419" s="45">
        <v>1474</v>
      </c>
      <c r="P419" s="45">
        <v>577</v>
      </c>
      <c r="Q419" s="45">
        <v>282</v>
      </c>
      <c r="R419" s="45">
        <v>615</v>
      </c>
      <c r="S419" s="46">
        <v>65.279583900000006</v>
      </c>
      <c r="T419" s="46">
        <v>15.864759400000001</v>
      </c>
      <c r="U419" s="46">
        <v>18.855656700000001</v>
      </c>
      <c r="V419" s="46">
        <v>40.694980700000002</v>
      </c>
      <c r="W419" s="46">
        <v>24.633204599999999</v>
      </c>
      <c r="X419" s="46">
        <v>34.671814699999999</v>
      </c>
      <c r="Y419" s="46">
        <v>39.145183199999998</v>
      </c>
      <c r="Z419" s="46">
        <v>19.1316147</v>
      </c>
      <c r="AA419" s="46">
        <v>41.723202200000003</v>
      </c>
      <c r="AB419" s="26">
        <f>SUM(W419:X419)</f>
        <v>59.305019299999998</v>
      </c>
      <c r="AC419" s="26">
        <f>SUM(Z419:AA419)</f>
        <v>60.854816900000003</v>
      </c>
      <c r="AD419" s="57">
        <f>M419+N419</f>
        <v>768</v>
      </c>
      <c r="AE419" s="57">
        <f>Q419+R419</f>
        <v>897</v>
      </c>
      <c r="AF419" s="26">
        <f>W419</f>
        <v>24.633204599999999</v>
      </c>
      <c r="AG419" s="26">
        <f>Z419</f>
        <v>19.1316147</v>
      </c>
      <c r="AH419" s="26">
        <f>M419</f>
        <v>319</v>
      </c>
      <c r="AI419" s="26">
        <f>Q419</f>
        <v>282</v>
      </c>
      <c r="AJ419" s="26">
        <f>X419</f>
        <v>34.671814699999999</v>
      </c>
      <c r="AK419" s="26">
        <f>AA419</f>
        <v>41.723202200000003</v>
      </c>
      <c r="AL419" s="57">
        <f>N419</f>
        <v>449</v>
      </c>
      <c r="AM419" s="57">
        <f>R419</f>
        <v>615</v>
      </c>
    </row>
    <row r="420" spans="1:39" hidden="1" x14ac:dyDescent="0.3">
      <c r="A420" s="37">
        <v>416</v>
      </c>
      <c r="B420" s="38" t="s">
        <v>521</v>
      </c>
      <c r="C420" s="38" t="s">
        <v>46</v>
      </c>
      <c r="D420" s="38" t="s">
        <v>143</v>
      </c>
      <c r="E420" s="38" t="s">
        <v>146</v>
      </c>
      <c r="F420" s="47" t="s">
        <v>519</v>
      </c>
      <c r="G420" s="40"/>
      <c r="H420" s="40"/>
      <c r="I420" s="40"/>
      <c r="J420" s="40"/>
      <c r="K420" s="40">
        <v>616</v>
      </c>
      <c r="L420" s="40">
        <v>215</v>
      </c>
      <c r="M420" s="40">
        <v>170</v>
      </c>
      <c r="N420" s="40">
        <v>231</v>
      </c>
      <c r="O420" s="40">
        <v>471</v>
      </c>
      <c r="P420" s="40">
        <v>93</v>
      </c>
      <c r="Q420" s="40">
        <v>82</v>
      </c>
      <c r="R420" s="40">
        <v>296</v>
      </c>
      <c r="S420" s="41"/>
      <c r="T420" s="41"/>
      <c r="U420" s="41"/>
      <c r="V420" s="41">
        <v>34.902597399999998</v>
      </c>
      <c r="W420" s="41">
        <v>27.597402599999999</v>
      </c>
      <c r="X420" s="41">
        <v>37.5</v>
      </c>
      <c r="Y420" s="41">
        <v>19.745222900000002</v>
      </c>
      <c r="Z420" s="41">
        <v>17.4097665</v>
      </c>
      <c r="AA420" s="41">
        <v>62.845010600000002</v>
      </c>
    </row>
    <row r="421" spans="1:39" hidden="1" x14ac:dyDescent="0.3">
      <c r="A421" s="37">
        <v>417</v>
      </c>
      <c r="B421" s="38" t="s">
        <v>521</v>
      </c>
      <c r="C421" s="38" t="s">
        <v>46</v>
      </c>
      <c r="D421" s="38" t="s">
        <v>143</v>
      </c>
      <c r="E421" s="38" t="s">
        <v>146</v>
      </c>
      <c r="F421" s="47" t="s">
        <v>520</v>
      </c>
      <c r="G421" s="40">
        <v>769</v>
      </c>
      <c r="H421" s="40">
        <v>502</v>
      </c>
      <c r="I421" s="40">
        <v>122</v>
      </c>
      <c r="J421" s="40">
        <v>145</v>
      </c>
      <c r="K421" s="40">
        <v>679</v>
      </c>
      <c r="L421" s="40">
        <v>312</v>
      </c>
      <c r="M421" s="40">
        <v>149</v>
      </c>
      <c r="N421" s="40">
        <v>218</v>
      </c>
      <c r="O421" s="40">
        <v>1003</v>
      </c>
      <c r="P421" s="40">
        <v>484</v>
      </c>
      <c r="Q421" s="40">
        <v>200</v>
      </c>
      <c r="R421" s="40">
        <v>319</v>
      </c>
      <c r="S421" s="41">
        <v>65.279583900000006</v>
      </c>
      <c r="T421" s="41">
        <v>15.864759400000001</v>
      </c>
      <c r="U421" s="41">
        <v>18.855656700000001</v>
      </c>
      <c r="V421" s="41">
        <v>45.949926400000003</v>
      </c>
      <c r="W421" s="41">
        <v>21.944035299999999</v>
      </c>
      <c r="X421" s="41">
        <v>32.106038300000002</v>
      </c>
      <c r="Y421" s="41">
        <v>48.255234299999998</v>
      </c>
      <c r="Z421" s="41">
        <v>19.940179499999999</v>
      </c>
      <c r="AA421" s="41">
        <v>31.804586199999999</v>
      </c>
    </row>
    <row r="422" spans="1:39" hidden="1" x14ac:dyDescent="0.3">
      <c r="A422" s="32">
        <v>418</v>
      </c>
      <c r="B422" s="33" t="s">
        <v>1</v>
      </c>
      <c r="C422" s="49" t="s">
        <v>46</v>
      </c>
      <c r="D422" s="49" t="s">
        <v>147</v>
      </c>
      <c r="E422" s="49"/>
      <c r="F422" s="34" t="s">
        <v>147</v>
      </c>
      <c r="G422" s="35">
        <v>4494</v>
      </c>
      <c r="H422" s="35">
        <v>2239</v>
      </c>
      <c r="I422" s="35">
        <v>700</v>
      </c>
      <c r="J422" s="35">
        <v>1555</v>
      </c>
      <c r="K422" s="35">
        <v>6026</v>
      </c>
      <c r="L422" s="35">
        <v>3603</v>
      </c>
      <c r="M422" s="35">
        <v>901</v>
      </c>
      <c r="N422" s="35">
        <v>1522</v>
      </c>
      <c r="O422" s="35">
        <v>7253</v>
      </c>
      <c r="P422" s="35">
        <v>4740</v>
      </c>
      <c r="Q422" s="35">
        <v>973</v>
      </c>
      <c r="R422" s="35">
        <v>1540</v>
      </c>
      <c r="S422" s="36">
        <v>49.821984899999997</v>
      </c>
      <c r="T422" s="36">
        <v>15.576324</v>
      </c>
      <c r="U422" s="36">
        <v>34.601691099999996</v>
      </c>
      <c r="V422" s="36">
        <v>59.790906100000001</v>
      </c>
      <c r="W422" s="36">
        <v>14.9518752</v>
      </c>
      <c r="X422" s="36">
        <v>25.257218699999999</v>
      </c>
      <c r="Y422" s="36">
        <v>65.352267999999995</v>
      </c>
      <c r="Z422" s="36">
        <v>13.415138600000001</v>
      </c>
      <c r="AA422" s="36">
        <v>21.232593399999999</v>
      </c>
    </row>
    <row r="423" spans="1:39" hidden="1" x14ac:dyDescent="0.3">
      <c r="A423" s="37">
        <v>419</v>
      </c>
      <c r="B423" s="38" t="s">
        <v>1</v>
      </c>
      <c r="C423" s="38" t="s">
        <v>46</v>
      </c>
      <c r="D423" s="38" t="s">
        <v>147</v>
      </c>
      <c r="E423" s="38"/>
      <c r="F423" s="39" t="s">
        <v>519</v>
      </c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1"/>
      <c r="T423" s="41"/>
      <c r="U423" s="41"/>
      <c r="V423" s="41"/>
      <c r="W423" s="41"/>
      <c r="X423" s="41"/>
      <c r="Y423" s="41"/>
      <c r="Z423" s="41"/>
      <c r="AA423" s="41"/>
    </row>
    <row r="424" spans="1:39" hidden="1" x14ac:dyDescent="0.3">
      <c r="A424" s="37">
        <v>420</v>
      </c>
      <c r="B424" s="38" t="s">
        <v>1</v>
      </c>
      <c r="C424" s="38" t="s">
        <v>46</v>
      </c>
      <c r="D424" s="38" t="s">
        <v>147</v>
      </c>
      <c r="E424" s="38"/>
      <c r="F424" s="39" t="s">
        <v>520</v>
      </c>
      <c r="G424" s="40">
        <v>4494</v>
      </c>
      <c r="H424" s="40">
        <v>2239</v>
      </c>
      <c r="I424" s="40">
        <v>700</v>
      </c>
      <c r="J424" s="40">
        <v>1555</v>
      </c>
      <c r="K424" s="40">
        <v>6026</v>
      </c>
      <c r="L424" s="40">
        <v>3603</v>
      </c>
      <c r="M424" s="40">
        <v>901</v>
      </c>
      <c r="N424" s="40">
        <v>1522</v>
      </c>
      <c r="O424" s="40">
        <v>7253</v>
      </c>
      <c r="P424" s="40">
        <v>4740</v>
      </c>
      <c r="Q424" s="40">
        <v>973</v>
      </c>
      <c r="R424" s="40">
        <v>1540</v>
      </c>
      <c r="S424" s="41">
        <v>49.821984899999997</v>
      </c>
      <c r="T424" s="41">
        <v>15.576324</v>
      </c>
      <c r="U424" s="41">
        <v>34.601691099999996</v>
      </c>
      <c r="V424" s="41">
        <v>59.790906100000001</v>
      </c>
      <c r="W424" s="41">
        <v>14.9518752</v>
      </c>
      <c r="X424" s="41">
        <v>25.257218699999999</v>
      </c>
      <c r="Y424" s="41">
        <v>65.352267999999995</v>
      </c>
      <c r="Z424" s="41">
        <v>13.415138600000001</v>
      </c>
      <c r="AA424" s="41">
        <v>21.232593399999999</v>
      </c>
    </row>
    <row r="425" spans="1:39" hidden="1" x14ac:dyDescent="0.3">
      <c r="A425" s="42">
        <v>421</v>
      </c>
      <c r="B425" s="43" t="s">
        <v>521</v>
      </c>
      <c r="C425" s="50" t="s">
        <v>46</v>
      </c>
      <c r="D425" s="50" t="s">
        <v>147</v>
      </c>
      <c r="E425" s="50" t="s">
        <v>148</v>
      </c>
      <c r="F425" s="51" t="s">
        <v>148</v>
      </c>
      <c r="G425" s="45">
        <v>2173</v>
      </c>
      <c r="H425" s="45">
        <v>995</v>
      </c>
      <c r="I425" s="45">
        <v>352</v>
      </c>
      <c r="J425" s="45">
        <v>826</v>
      </c>
      <c r="K425" s="45">
        <v>2828</v>
      </c>
      <c r="L425" s="45">
        <v>1621</v>
      </c>
      <c r="M425" s="45">
        <v>443</v>
      </c>
      <c r="N425" s="45">
        <v>764</v>
      </c>
      <c r="O425" s="45">
        <v>3484</v>
      </c>
      <c r="P425" s="45">
        <v>2197</v>
      </c>
      <c r="Q425" s="45">
        <v>443</v>
      </c>
      <c r="R425" s="45">
        <v>844</v>
      </c>
      <c r="S425" s="46">
        <v>45.7892315</v>
      </c>
      <c r="T425" s="46">
        <v>16.1988035</v>
      </c>
      <c r="U425" s="46">
        <v>38.011964999999996</v>
      </c>
      <c r="V425" s="46">
        <v>57.319660499999998</v>
      </c>
      <c r="W425" s="46">
        <v>15.664780800000001</v>
      </c>
      <c r="X425" s="46">
        <v>27.0155587</v>
      </c>
      <c r="Y425" s="46">
        <v>63.059701500000003</v>
      </c>
      <c r="Z425" s="46">
        <v>12.7152698</v>
      </c>
      <c r="AA425" s="46">
        <v>24.225028699999999</v>
      </c>
      <c r="AB425" s="26">
        <f>SUM(W425:X425)</f>
        <v>42.680339500000002</v>
      </c>
      <c r="AC425" s="26">
        <f>SUM(Z425:AA425)</f>
        <v>36.940298499999997</v>
      </c>
      <c r="AD425" s="57">
        <f>M425+N425</f>
        <v>1207</v>
      </c>
      <c r="AE425" s="57">
        <f>Q425+R425</f>
        <v>1287</v>
      </c>
      <c r="AF425" s="26">
        <f>W425</f>
        <v>15.664780800000001</v>
      </c>
      <c r="AG425" s="26">
        <f>Z425</f>
        <v>12.7152698</v>
      </c>
      <c r="AH425" s="26">
        <f>M425</f>
        <v>443</v>
      </c>
      <c r="AI425" s="26">
        <f>Q425</f>
        <v>443</v>
      </c>
      <c r="AJ425" s="26">
        <f>X425</f>
        <v>27.0155587</v>
      </c>
      <c r="AK425" s="26">
        <f>AA425</f>
        <v>24.225028699999999</v>
      </c>
      <c r="AL425" s="57">
        <f>N425</f>
        <v>764</v>
      </c>
      <c r="AM425" s="57">
        <f>R425</f>
        <v>844</v>
      </c>
    </row>
    <row r="426" spans="1:39" hidden="1" x14ac:dyDescent="0.3">
      <c r="A426" s="37">
        <v>422</v>
      </c>
      <c r="B426" s="38" t="s">
        <v>521</v>
      </c>
      <c r="C426" s="38" t="s">
        <v>46</v>
      </c>
      <c r="D426" s="38" t="s">
        <v>147</v>
      </c>
      <c r="E426" s="38" t="s">
        <v>148</v>
      </c>
      <c r="F426" s="47" t="s">
        <v>519</v>
      </c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1"/>
      <c r="T426" s="41"/>
      <c r="U426" s="41"/>
      <c r="V426" s="41"/>
      <c r="W426" s="41"/>
      <c r="X426" s="41"/>
      <c r="Y426" s="41"/>
      <c r="Z426" s="41"/>
      <c r="AA426" s="41"/>
    </row>
    <row r="427" spans="1:39" hidden="1" x14ac:dyDescent="0.3">
      <c r="A427" s="37">
        <v>423</v>
      </c>
      <c r="B427" s="38" t="s">
        <v>521</v>
      </c>
      <c r="C427" s="38" t="s">
        <v>46</v>
      </c>
      <c r="D427" s="38" t="s">
        <v>147</v>
      </c>
      <c r="E427" s="38" t="s">
        <v>148</v>
      </c>
      <c r="F427" s="47" t="s">
        <v>520</v>
      </c>
      <c r="G427" s="40">
        <v>2173</v>
      </c>
      <c r="H427" s="40">
        <v>995</v>
      </c>
      <c r="I427" s="40">
        <v>352</v>
      </c>
      <c r="J427" s="40">
        <v>826</v>
      </c>
      <c r="K427" s="40">
        <v>2828</v>
      </c>
      <c r="L427" s="40">
        <v>1621</v>
      </c>
      <c r="M427" s="40">
        <v>443</v>
      </c>
      <c r="N427" s="40">
        <v>764</v>
      </c>
      <c r="O427" s="40">
        <v>3484</v>
      </c>
      <c r="P427" s="40">
        <v>2197</v>
      </c>
      <c r="Q427" s="40">
        <v>443</v>
      </c>
      <c r="R427" s="40">
        <v>844</v>
      </c>
      <c r="S427" s="41">
        <v>45.7892315</v>
      </c>
      <c r="T427" s="41">
        <v>16.1988035</v>
      </c>
      <c r="U427" s="41">
        <v>38.011964999999996</v>
      </c>
      <c r="V427" s="41">
        <v>57.319660499999998</v>
      </c>
      <c r="W427" s="41">
        <v>15.664780800000001</v>
      </c>
      <c r="X427" s="41">
        <v>27.0155587</v>
      </c>
      <c r="Y427" s="41">
        <v>63.059701500000003</v>
      </c>
      <c r="Z427" s="41">
        <v>12.7152698</v>
      </c>
      <c r="AA427" s="41">
        <v>24.225028699999999</v>
      </c>
    </row>
    <row r="428" spans="1:39" hidden="1" x14ac:dyDescent="0.3">
      <c r="A428" s="42">
        <v>424</v>
      </c>
      <c r="B428" s="43" t="s">
        <v>521</v>
      </c>
      <c r="C428" s="50" t="s">
        <v>46</v>
      </c>
      <c r="D428" s="50" t="s">
        <v>147</v>
      </c>
      <c r="E428" s="50" t="s">
        <v>150</v>
      </c>
      <c r="F428" s="51" t="s">
        <v>150</v>
      </c>
      <c r="G428" s="45">
        <v>1808</v>
      </c>
      <c r="H428" s="45">
        <v>934</v>
      </c>
      <c r="I428" s="45">
        <v>274</v>
      </c>
      <c r="J428" s="45">
        <v>600</v>
      </c>
      <c r="K428" s="45">
        <v>2429</v>
      </c>
      <c r="L428" s="45">
        <v>1476</v>
      </c>
      <c r="M428" s="45">
        <v>351</v>
      </c>
      <c r="N428" s="45">
        <v>602</v>
      </c>
      <c r="O428" s="45">
        <v>2888</v>
      </c>
      <c r="P428" s="45">
        <v>1944</v>
      </c>
      <c r="Q428" s="45">
        <v>399</v>
      </c>
      <c r="R428" s="45">
        <v>545</v>
      </c>
      <c r="S428" s="46">
        <v>51.659292000000001</v>
      </c>
      <c r="T428" s="46">
        <v>15.154867299999999</v>
      </c>
      <c r="U428" s="46">
        <v>33.1858407</v>
      </c>
      <c r="V428" s="46">
        <v>60.7657472</v>
      </c>
      <c r="W428" s="46">
        <v>14.450391099999999</v>
      </c>
      <c r="X428" s="46">
        <v>24.783861699999999</v>
      </c>
      <c r="Y428" s="46">
        <v>67.313019400000002</v>
      </c>
      <c r="Z428" s="46">
        <v>13.815789499999999</v>
      </c>
      <c r="AA428" s="46">
        <v>18.871191100000001</v>
      </c>
      <c r="AB428" s="26">
        <f>SUM(W428:X428)</f>
        <v>39.2342528</v>
      </c>
      <c r="AC428" s="26">
        <f>SUM(Z428:AA428)</f>
        <v>32.686980599999998</v>
      </c>
      <c r="AD428" s="57">
        <f>M428+N428</f>
        <v>953</v>
      </c>
      <c r="AE428" s="57">
        <f>Q428+R428</f>
        <v>944</v>
      </c>
      <c r="AF428" s="26">
        <f>W428</f>
        <v>14.450391099999999</v>
      </c>
      <c r="AG428" s="26">
        <f>Z428</f>
        <v>13.815789499999999</v>
      </c>
      <c r="AH428" s="26">
        <f>M428</f>
        <v>351</v>
      </c>
      <c r="AI428" s="26">
        <f>Q428</f>
        <v>399</v>
      </c>
      <c r="AJ428" s="26">
        <f>X428</f>
        <v>24.783861699999999</v>
      </c>
      <c r="AK428" s="26">
        <f>AA428</f>
        <v>18.871191100000001</v>
      </c>
      <c r="AL428" s="57">
        <f>N428</f>
        <v>602</v>
      </c>
      <c r="AM428" s="57">
        <f>R428</f>
        <v>545</v>
      </c>
    </row>
    <row r="429" spans="1:39" hidden="1" x14ac:dyDescent="0.3">
      <c r="A429" s="37">
        <v>425</v>
      </c>
      <c r="B429" s="38" t="s">
        <v>521</v>
      </c>
      <c r="C429" s="38" t="s">
        <v>46</v>
      </c>
      <c r="D429" s="38" t="s">
        <v>147</v>
      </c>
      <c r="E429" s="38" t="s">
        <v>150</v>
      </c>
      <c r="F429" s="47" t="s">
        <v>519</v>
      </c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1"/>
      <c r="T429" s="41"/>
      <c r="U429" s="41"/>
      <c r="V429" s="41"/>
      <c r="W429" s="41"/>
      <c r="X429" s="41"/>
      <c r="Y429" s="41"/>
      <c r="Z429" s="41"/>
      <c r="AA429" s="41"/>
    </row>
    <row r="430" spans="1:39" hidden="1" x14ac:dyDescent="0.3">
      <c r="A430" s="37">
        <v>426</v>
      </c>
      <c r="B430" s="38" t="s">
        <v>521</v>
      </c>
      <c r="C430" s="38" t="s">
        <v>46</v>
      </c>
      <c r="D430" s="38" t="s">
        <v>147</v>
      </c>
      <c r="E430" s="38" t="s">
        <v>150</v>
      </c>
      <c r="F430" s="47" t="s">
        <v>520</v>
      </c>
      <c r="G430" s="40">
        <v>1808</v>
      </c>
      <c r="H430" s="40">
        <v>934</v>
      </c>
      <c r="I430" s="40">
        <v>274</v>
      </c>
      <c r="J430" s="40">
        <v>600</v>
      </c>
      <c r="K430" s="40">
        <v>2429</v>
      </c>
      <c r="L430" s="40">
        <v>1476</v>
      </c>
      <c r="M430" s="40">
        <v>351</v>
      </c>
      <c r="N430" s="40">
        <v>602</v>
      </c>
      <c r="O430" s="40">
        <v>2888</v>
      </c>
      <c r="P430" s="40">
        <v>1944</v>
      </c>
      <c r="Q430" s="40">
        <v>399</v>
      </c>
      <c r="R430" s="40">
        <v>545</v>
      </c>
      <c r="S430" s="41">
        <v>51.659292000000001</v>
      </c>
      <c r="T430" s="41">
        <v>15.154867299999999</v>
      </c>
      <c r="U430" s="41">
        <v>33.1858407</v>
      </c>
      <c r="V430" s="41">
        <v>60.7657472</v>
      </c>
      <c r="W430" s="41">
        <v>14.450391099999999</v>
      </c>
      <c r="X430" s="41">
        <v>24.783861699999999</v>
      </c>
      <c r="Y430" s="41">
        <v>67.313019400000002</v>
      </c>
      <c r="Z430" s="41">
        <v>13.815789499999999</v>
      </c>
      <c r="AA430" s="41">
        <v>18.871191100000001</v>
      </c>
    </row>
    <row r="431" spans="1:39" hidden="1" x14ac:dyDescent="0.3">
      <c r="A431" s="42">
        <v>427</v>
      </c>
      <c r="B431" s="43" t="s">
        <v>521</v>
      </c>
      <c r="C431" s="50" t="s">
        <v>46</v>
      </c>
      <c r="D431" s="50" t="s">
        <v>147</v>
      </c>
      <c r="E431" s="50" t="s">
        <v>151</v>
      </c>
      <c r="F431" s="51" t="s">
        <v>151</v>
      </c>
      <c r="G431" s="45">
        <v>513</v>
      </c>
      <c r="H431" s="45">
        <v>310</v>
      </c>
      <c r="I431" s="45">
        <v>74</v>
      </c>
      <c r="J431" s="45">
        <v>129</v>
      </c>
      <c r="K431" s="45">
        <v>769</v>
      </c>
      <c r="L431" s="45">
        <v>506</v>
      </c>
      <c r="M431" s="45">
        <v>107</v>
      </c>
      <c r="N431" s="45">
        <v>156</v>
      </c>
      <c r="O431" s="45">
        <v>881</v>
      </c>
      <c r="P431" s="45">
        <v>599</v>
      </c>
      <c r="Q431" s="45">
        <v>131</v>
      </c>
      <c r="R431" s="45">
        <v>151</v>
      </c>
      <c r="S431" s="46">
        <v>60.428849900000003</v>
      </c>
      <c r="T431" s="46">
        <v>14.4249513</v>
      </c>
      <c r="U431" s="46">
        <v>25.146198800000001</v>
      </c>
      <c r="V431" s="46">
        <v>65.799739900000006</v>
      </c>
      <c r="W431" s="46">
        <v>13.914174300000001</v>
      </c>
      <c r="X431" s="46">
        <v>20.286085799999999</v>
      </c>
      <c r="Y431" s="46">
        <v>67.990919399999996</v>
      </c>
      <c r="Z431" s="46">
        <v>14.8694665</v>
      </c>
      <c r="AA431" s="46">
        <v>17.139614099999999</v>
      </c>
      <c r="AB431" s="26">
        <f>SUM(W431:X431)</f>
        <v>34.200260100000001</v>
      </c>
      <c r="AC431" s="26">
        <f>SUM(Z431:AA431)</f>
        <v>32.009080599999997</v>
      </c>
      <c r="AD431" s="57">
        <f>M431+N431</f>
        <v>263</v>
      </c>
      <c r="AE431" s="57">
        <f>Q431+R431</f>
        <v>282</v>
      </c>
      <c r="AF431" s="26">
        <f>W431</f>
        <v>13.914174300000001</v>
      </c>
      <c r="AG431" s="26">
        <f>Z431</f>
        <v>14.8694665</v>
      </c>
      <c r="AH431" s="26">
        <f>M431</f>
        <v>107</v>
      </c>
      <c r="AI431" s="26">
        <f>Q431</f>
        <v>131</v>
      </c>
      <c r="AJ431" s="26">
        <f>X431</f>
        <v>20.286085799999999</v>
      </c>
      <c r="AK431" s="26">
        <f>AA431</f>
        <v>17.139614099999999</v>
      </c>
      <c r="AL431" s="57">
        <f>N431</f>
        <v>156</v>
      </c>
      <c r="AM431" s="57">
        <f>R431</f>
        <v>151</v>
      </c>
    </row>
    <row r="432" spans="1:39" hidden="1" x14ac:dyDescent="0.3">
      <c r="A432" s="37">
        <v>428</v>
      </c>
      <c r="B432" s="38" t="s">
        <v>521</v>
      </c>
      <c r="C432" s="38" t="s">
        <v>46</v>
      </c>
      <c r="D432" s="38" t="s">
        <v>147</v>
      </c>
      <c r="E432" s="38" t="s">
        <v>151</v>
      </c>
      <c r="F432" s="47" t="s">
        <v>519</v>
      </c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1"/>
      <c r="T432" s="41"/>
      <c r="U432" s="41"/>
      <c r="V432" s="41"/>
      <c r="W432" s="41"/>
      <c r="X432" s="41"/>
      <c r="Y432" s="41"/>
      <c r="Z432" s="41"/>
      <c r="AA432" s="41"/>
    </row>
    <row r="433" spans="1:39" hidden="1" x14ac:dyDescent="0.3">
      <c r="A433" s="37">
        <v>429</v>
      </c>
      <c r="B433" s="38" t="s">
        <v>521</v>
      </c>
      <c r="C433" s="38" t="s">
        <v>46</v>
      </c>
      <c r="D433" s="38" t="s">
        <v>147</v>
      </c>
      <c r="E433" s="38" t="s">
        <v>151</v>
      </c>
      <c r="F433" s="47" t="s">
        <v>520</v>
      </c>
      <c r="G433" s="40">
        <v>513</v>
      </c>
      <c r="H433" s="40">
        <v>310</v>
      </c>
      <c r="I433" s="40">
        <v>74</v>
      </c>
      <c r="J433" s="40">
        <v>129</v>
      </c>
      <c r="K433" s="40">
        <v>769</v>
      </c>
      <c r="L433" s="40">
        <v>506</v>
      </c>
      <c r="M433" s="40">
        <v>107</v>
      </c>
      <c r="N433" s="40">
        <v>156</v>
      </c>
      <c r="O433" s="40">
        <v>881</v>
      </c>
      <c r="P433" s="40">
        <v>599</v>
      </c>
      <c r="Q433" s="40">
        <v>131</v>
      </c>
      <c r="R433" s="40">
        <v>151</v>
      </c>
      <c r="S433" s="41">
        <v>60.428849900000003</v>
      </c>
      <c r="T433" s="41">
        <v>14.4249513</v>
      </c>
      <c r="U433" s="41">
        <v>25.146198800000001</v>
      </c>
      <c r="V433" s="41">
        <v>65.799739900000006</v>
      </c>
      <c r="W433" s="41">
        <v>13.914174300000001</v>
      </c>
      <c r="X433" s="41">
        <v>20.286085799999999</v>
      </c>
      <c r="Y433" s="41">
        <v>67.990919399999996</v>
      </c>
      <c r="Z433" s="41">
        <v>14.8694665</v>
      </c>
      <c r="AA433" s="41">
        <v>17.139614099999999</v>
      </c>
    </row>
    <row r="434" spans="1:39" hidden="1" x14ac:dyDescent="0.3">
      <c r="A434" s="32">
        <v>430</v>
      </c>
      <c r="B434" s="33" t="s">
        <v>1</v>
      </c>
      <c r="C434" s="49" t="s">
        <v>46</v>
      </c>
      <c r="D434" s="49" t="s">
        <v>152</v>
      </c>
      <c r="E434" s="49"/>
      <c r="F434" s="34" t="s">
        <v>152</v>
      </c>
      <c r="G434" s="35">
        <v>2089</v>
      </c>
      <c r="H434" s="35">
        <v>1248</v>
      </c>
      <c r="I434" s="35">
        <v>299</v>
      </c>
      <c r="J434" s="35">
        <v>542</v>
      </c>
      <c r="K434" s="35">
        <v>2566</v>
      </c>
      <c r="L434" s="35">
        <v>1515</v>
      </c>
      <c r="M434" s="35">
        <v>427</v>
      </c>
      <c r="N434" s="35">
        <v>624</v>
      </c>
      <c r="O434" s="35">
        <v>4651</v>
      </c>
      <c r="P434" s="35">
        <v>2857</v>
      </c>
      <c r="Q434" s="35">
        <v>649</v>
      </c>
      <c r="R434" s="35">
        <v>1145</v>
      </c>
      <c r="S434" s="36">
        <v>59.741503100000003</v>
      </c>
      <c r="T434" s="36">
        <v>14.3130685</v>
      </c>
      <c r="U434" s="36">
        <v>25.945428400000001</v>
      </c>
      <c r="V434" s="36">
        <v>59.041309400000003</v>
      </c>
      <c r="W434" s="36">
        <v>16.640685900000001</v>
      </c>
      <c r="X434" s="36">
        <v>24.318004699999999</v>
      </c>
      <c r="Y434" s="36">
        <v>61.42765</v>
      </c>
      <c r="Z434" s="36">
        <v>13.9539884</v>
      </c>
      <c r="AA434" s="36">
        <v>24.6183616</v>
      </c>
    </row>
    <row r="435" spans="1:39" hidden="1" x14ac:dyDescent="0.3">
      <c r="A435" s="37">
        <v>431</v>
      </c>
      <c r="B435" s="38" t="s">
        <v>1</v>
      </c>
      <c r="C435" s="38" t="s">
        <v>46</v>
      </c>
      <c r="D435" s="38" t="s">
        <v>152</v>
      </c>
      <c r="E435" s="38"/>
      <c r="F435" s="39" t="s">
        <v>519</v>
      </c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1"/>
      <c r="T435" s="41"/>
      <c r="U435" s="41"/>
      <c r="V435" s="41"/>
      <c r="W435" s="41"/>
      <c r="X435" s="41"/>
      <c r="Y435" s="41"/>
      <c r="Z435" s="41"/>
      <c r="AA435" s="41"/>
    </row>
    <row r="436" spans="1:39" hidden="1" x14ac:dyDescent="0.3">
      <c r="A436" s="37">
        <v>432</v>
      </c>
      <c r="B436" s="38" t="s">
        <v>1</v>
      </c>
      <c r="C436" s="38" t="s">
        <v>46</v>
      </c>
      <c r="D436" s="38" t="s">
        <v>152</v>
      </c>
      <c r="E436" s="38"/>
      <c r="F436" s="39" t="s">
        <v>520</v>
      </c>
      <c r="G436" s="40">
        <v>2089</v>
      </c>
      <c r="H436" s="40">
        <v>1248</v>
      </c>
      <c r="I436" s="40">
        <v>299</v>
      </c>
      <c r="J436" s="40">
        <v>542</v>
      </c>
      <c r="K436" s="40">
        <v>2566</v>
      </c>
      <c r="L436" s="40">
        <v>1515</v>
      </c>
      <c r="M436" s="40">
        <v>427</v>
      </c>
      <c r="N436" s="40">
        <v>624</v>
      </c>
      <c r="O436" s="40">
        <v>4651</v>
      </c>
      <c r="P436" s="40">
        <v>2857</v>
      </c>
      <c r="Q436" s="40">
        <v>649</v>
      </c>
      <c r="R436" s="40">
        <v>1145</v>
      </c>
      <c r="S436" s="41">
        <v>59.741503100000003</v>
      </c>
      <c r="T436" s="41">
        <v>14.3130685</v>
      </c>
      <c r="U436" s="41">
        <v>25.945428400000001</v>
      </c>
      <c r="V436" s="41">
        <v>59.041309400000003</v>
      </c>
      <c r="W436" s="41">
        <v>16.640685900000001</v>
      </c>
      <c r="X436" s="41">
        <v>24.318004699999999</v>
      </c>
      <c r="Y436" s="41">
        <v>61.42765</v>
      </c>
      <c r="Z436" s="41">
        <v>13.9539884</v>
      </c>
      <c r="AA436" s="41">
        <v>24.6183616</v>
      </c>
    </row>
    <row r="437" spans="1:39" hidden="1" x14ac:dyDescent="0.3">
      <c r="A437" s="42">
        <v>433</v>
      </c>
      <c r="B437" s="43" t="s">
        <v>521</v>
      </c>
      <c r="C437" s="50" t="s">
        <v>46</v>
      </c>
      <c r="D437" s="50" t="s">
        <v>152</v>
      </c>
      <c r="E437" s="50" t="s">
        <v>153</v>
      </c>
      <c r="F437" s="51" t="s">
        <v>153</v>
      </c>
      <c r="G437" s="45">
        <v>1608</v>
      </c>
      <c r="H437" s="45">
        <v>1033</v>
      </c>
      <c r="I437" s="45">
        <v>222</v>
      </c>
      <c r="J437" s="45">
        <v>353</v>
      </c>
      <c r="K437" s="45">
        <v>1830</v>
      </c>
      <c r="L437" s="45">
        <v>1250</v>
      </c>
      <c r="M437" s="45">
        <v>271</v>
      </c>
      <c r="N437" s="45">
        <v>309</v>
      </c>
      <c r="O437" s="45">
        <v>2956</v>
      </c>
      <c r="P437" s="45">
        <v>2064</v>
      </c>
      <c r="Q437" s="45">
        <v>353</v>
      </c>
      <c r="R437" s="45">
        <v>539</v>
      </c>
      <c r="S437" s="46">
        <v>64.241293499999998</v>
      </c>
      <c r="T437" s="46">
        <v>13.8059701</v>
      </c>
      <c r="U437" s="46">
        <v>21.952736300000002</v>
      </c>
      <c r="V437" s="46">
        <v>68.306010900000004</v>
      </c>
      <c r="W437" s="46">
        <v>14.8087432</v>
      </c>
      <c r="X437" s="46">
        <v>16.885245900000001</v>
      </c>
      <c r="Y437" s="46">
        <v>69.824086600000001</v>
      </c>
      <c r="Z437" s="46">
        <v>11.9418133</v>
      </c>
      <c r="AA437" s="46">
        <v>18.234100099999999</v>
      </c>
      <c r="AB437" s="26">
        <f>SUM(W437:X437)</f>
        <v>31.693989100000003</v>
      </c>
      <c r="AC437" s="26">
        <f>SUM(Z437:AA437)</f>
        <v>30.175913399999999</v>
      </c>
      <c r="AD437" s="57">
        <f>M437+N437</f>
        <v>580</v>
      </c>
      <c r="AE437" s="57">
        <f>Q437+R437</f>
        <v>892</v>
      </c>
      <c r="AF437" s="26">
        <f>W437</f>
        <v>14.8087432</v>
      </c>
      <c r="AG437" s="26">
        <f>Z437</f>
        <v>11.9418133</v>
      </c>
      <c r="AH437" s="26">
        <f>M437</f>
        <v>271</v>
      </c>
      <c r="AI437" s="26">
        <f>Q437</f>
        <v>353</v>
      </c>
      <c r="AJ437" s="26">
        <f>X437</f>
        <v>16.885245900000001</v>
      </c>
      <c r="AK437" s="26">
        <f>AA437</f>
        <v>18.234100099999999</v>
      </c>
      <c r="AL437" s="57">
        <f>N437</f>
        <v>309</v>
      </c>
      <c r="AM437" s="57">
        <f>R437</f>
        <v>539</v>
      </c>
    </row>
    <row r="438" spans="1:39" hidden="1" x14ac:dyDescent="0.3">
      <c r="A438" s="37">
        <v>434</v>
      </c>
      <c r="B438" s="38" t="s">
        <v>521</v>
      </c>
      <c r="C438" s="38" t="s">
        <v>46</v>
      </c>
      <c r="D438" s="38" t="s">
        <v>152</v>
      </c>
      <c r="E438" s="38" t="s">
        <v>153</v>
      </c>
      <c r="F438" s="47" t="s">
        <v>519</v>
      </c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1"/>
      <c r="T438" s="41"/>
      <c r="U438" s="41"/>
      <c r="V438" s="41"/>
      <c r="W438" s="41"/>
      <c r="X438" s="41"/>
      <c r="Y438" s="41"/>
      <c r="Z438" s="41"/>
      <c r="AA438" s="41"/>
    </row>
    <row r="439" spans="1:39" hidden="1" x14ac:dyDescent="0.3">
      <c r="A439" s="37">
        <v>435</v>
      </c>
      <c r="B439" s="38" t="s">
        <v>521</v>
      </c>
      <c r="C439" s="38" t="s">
        <v>46</v>
      </c>
      <c r="D439" s="38" t="s">
        <v>152</v>
      </c>
      <c r="E439" s="38" t="s">
        <v>153</v>
      </c>
      <c r="F439" s="47" t="s">
        <v>520</v>
      </c>
      <c r="G439" s="40">
        <v>1608</v>
      </c>
      <c r="H439" s="40">
        <v>1033</v>
      </c>
      <c r="I439" s="40">
        <v>222</v>
      </c>
      <c r="J439" s="40">
        <v>353</v>
      </c>
      <c r="K439" s="40">
        <v>1830</v>
      </c>
      <c r="L439" s="40">
        <v>1250</v>
      </c>
      <c r="M439" s="40">
        <v>271</v>
      </c>
      <c r="N439" s="40">
        <v>309</v>
      </c>
      <c r="O439" s="40">
        <v>2956</v>
      </c>
      <c r="P439" s="40">
        <v>2064</v>
      </c>
      <c r="Q439" s="40">
        <v>353</v>
      </c>
      <c r="R439" s="40">
        <v>539</v>
      </c>
      <c r="S439" s="41">
        <v>64.241293499999998</v>
      </c>
      <c r="T439" s="41">
        <v>13.8059701</v>
      </c>
      <c r="U439" s="41">
        <v>21.952736300000002</v>
      </c>
      <c r="V439" s="41">
        <v>68.306010900000004</v>
      </c>
      <c r="W439" s="41">
        <v>14.8087432</v>
      </c>
      <c r="X439" s="41">
        <v>16.885245900000001</v>
      </c>
      <c r="Y439" s="41">
        <v>69.824086600000001</v>
      </c>
      <c r="Z439" s="41">
        <v>11.9418133</v>
      </c>
      <c r="AA439" s="41">
        <v>18.234100099999999</v>
      </c>
    </row>
    <row r="440" spans="1:39" hidden="1" x14ac:dyDescent="0.3">
      <c r="A440" s="42">
        <v>436</v>
      </c>
      <c r="B440" s="43" t="s">
        <v>521</v>
      </c>
      <c r="C440" s="50" t="s">
        <v>46</v>
      </c>
      <c r="D440" s="50" t="s">
        <v>152</v>
      </c>
      <c r="E440" s="50" t="s">
        <v>154</v>
      </c>
      <c r="F440" s="51" t="s">
        <v>154</v>
      </c>
      <c r="G440" s="45">
        <v>481</v>
      </c>
      <c r="H440" s="45">
        <v>215</v>
      </c>
      <c r="I440" s="45">
        <v>77</v>
      </c>
      <c r="J440" s="45">
        <v>189</v>
      </c>
      <c r="K440" s="45">
        <v>736</v>
      </c>
      <c r="L440" s="45">
        <v>265</v>
      </c>
      <c r="M440" s="45">
        <v>156</v>
      </c>
      <c r="N440" s="45">
        <v>315</v>
      </c>
      <c r="O440" s="45">
        <v>1695</v>
      </c>
      <c r="P440" s="45">
        <v>793</v>
      </c>
      <c r="Q440" s="45">
        <v>296</v>
      </c>
      <c r="R440" s="45">
        <v>606</v>
      </c>
      <c r="S440" s="46">
        <v>44.698544699999999</v>
      </c>
      <c r="T440" s="46">
        <v>16.008316000000001</v>
      </c>
      <c r="U440" s="46">
        <v>39.2931393</v>
      </c>
      <c r="V440" s="46">
        <v>36.005434800000003</v>
      </c>
      <c r="W440" s="46">
        <v>21.195652200000001</v>
      </c>
      <c r="X440" s="46">
        <v>42.798912999999999</v>
      </c>
      <c r="Y440" s="46">
        <v>46.784660799999997</v>
      </c>
      <c r="Z440" s="46">
        <v>17.463126800000001</v>
      </c>
      <c r="AA440" s="46">
        <v>35.752212399999998</v>
      </c>
      <c r="AB440" s="26">
        <f>SUM(W440:X440)</f>
        <v>63.994565199999997</v>
      </c>
      <c r="AC440" s="26">
        <f>SUM(Z440:AA440)</f>
        <v>53.215339200000003</v>
      </c>
      <c r="AD440" s="57">
        <f>M440+N440</f>
        <v>471</v>
      </c>
      <c r="AE440" s="57">
        <f>Q440+R440</f>
        <v>902</v>
      </c>
      <c r="AF440" s="26">
        <f>W440</f>
        <v>21.195652200000001</v>
      </c>
      <c r="AG440" s="26">
        <f>Z440</f>
        <v>17.463126800000001</v>
      </c>
      <c r="AH440" s="26">
        <f>M440</f>
        <v>156</v>
      </c>
      <c r="AI440" s="26">
        <f>Q440</f>
        <v>296</v>
      </c>
      <c r="AJ440" s="26">
        <f>X440</f>
        <v>42.798912999999999</v>
      </c>
      <c r="AK440" s="26">
        <f>AA440</f>
        <v>35.752212399999998</v>
      </c>
      <c r="AL440" s="57">
        <f>N440</f>
        <v>315</v>
      </c>
      <c r="AM440" s="57">
        <f>R440</f>
        <v>606</v>
      </c>
    </row>
    <row r="441" spans="1:39" hidden="1" x14ac:dyDescent="0.3">
      <c r="A441" s="37">
        <v>437</v>
      </c>
      <c r="B441" s="38" t="s">
        <v>521</v>
      </c>
      <c r="C441" s="38" t="s">
        <v>46</v>
      </c>
      <c r="D441" s="38" t="s">
        <v>152</v>
      </c>
      <c r="E441" s="38" t="s">
        <v>154</v>
      </c>
      <c r="F441" s="47" t="s">
        <v>519</v>
      </c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1"/>
      <c r="T441" s="41"/>
      <c r="U441" s="41"/>
      <c r="V441" s="41"/>
      <c r="W441" s="41"/>
      <c r="X441" s="41"/>
      <c r="Y441" s="41"/>
      <c r="Z441" s="41"/>
      <c r="AA441" s="41"/>
    </row>
    <row r="442" spans="1:39" hidden="1" x14ac:dyDescent="0.3">
      <c r="A442" s="37">
        <v>438</v>
      </c>
      <c r="B442" s="38" t="s">
        <v>521</v>
      </c>
      <c r="C442" s="38" t="s">
        <v>46</v>
      </c>
      <c r="D442" s="38" t="s">
        <v>152</v>
      </c>
      <c r="E442" s="38" t="s">
        <v>154</v>
      </c>
      <c r="F442" s="47" t="s">
        <v>520</v>
      </c>
      <c r="G442" s="40">
        <v>481</v>
      </c>
      <c r="H442" s="40">
        <v>215</v>
      </c>
      <c r="I442" s="40">
        <v>77</v>
      </c>
      <c r="J442" s="40">
        <v>189</v>
      </c>
      <c r="K442" s="40">
        <v>736</v>
      </c>
      <c r="L442" s="40">
        <v>265</v>
      </c>
      <c r="M442" s="40">
        <v>156</v>
      </c>
      <c r="N442" s="40">
        <v>315</v>
      </c>
      <c r="O442" s="40">
        <v>1695</v>
      </c>
      <c r="P442" s="40">
        <v>793</v>
      </c>
      <c r="Q442" s="40">
        <v>296</v>
      </c>
      <c r="R442" s="40">
        <v>606</v>
      </c>
      <c r="S442" s="41">
        <v>44.698544699999999</v>
      </c>
      <c r="T442" s="41">
        <v>16.008316000000001</v>
      </c>
      <c r="U442" s="41">
        <v>39.2931393</v>
      </c>
      <c r="V442" s="41">
        <v>36.005434800000003</v>
      </c>
      <c r="W442" s="41">
        <v>21.195652200000001</v>
      </c>
      <c r="X442" s="41">
        <v>42.798912999999999</v>
      </c>
      <c r="Y442" s="41">
        <v>46.784660799999997</v>
      </c>
      <c r="Z442" s="41">
        <v>17.463126800000001</v>
      </c>
      <c r="AA442" s="41">
        <v>35.752212399999998</v>
      </c>
    </row>
    <row r="443" spans="1:39" hidden="1" x14ac:dyDescent="0.3">
      <c r="A443" s="32">
        <v>439</v>
      </c>
      <c r="B443" s="33" t="s">
        <v>1</v>
      </c>
      <c r="C443" s="49" t="s">
        <v>46</v>
      </c>
      <c r="D443" s="49" t="s">
        <v>155</v>
      </c>
      <c r="E443" s="49"/>
      <c r="F443" s="34" t="s">
        <v>155</v>
      </c>
      <c r="G443" s="35">
        <v>14293</v>
      </c>
      <c r="H443" s="35">
        <v>7387</v>
      </c>
      <c r="I443" s="35">
        <v>2551</v>
      </c>
      <c r="J443" s="35">
        <v>4355</v>
      </c>
      <c r="K443" s="35">
        <v>21231</v>
      </c>
      <c r="L443" s="35">
        <v>13720</v>
      </c>
      <c r="M443" s="35">
        <v>3517</v>
      </c>
      <c r="N443" s="35">
        <v>3994</v>
      </c>
      <c r="O443" s="35">
        <v>25572</v>
      </c>
      <c r="P443" s="35">
        <v>17158</v>
      </c>
      <c r="Q443" s="35">
        <v>3616</v>
      </c>
      <c r="R443" s="35">
        <v>4798</v>
      </c>
      <c r="S443" s="36">
        <v>51.6826419</v>
      </c>
      <c r="T443" s="36">
        <v>17.8478976</v>
      </c>
      <c r="U443" s="36">
        <v>30.469460600000001</v>
      </c>
      <c r="V443" s="36">
        <v>64.622485999999995</v>
      </c>
      <c r="W443" s="36">
        <v>16.5653997</v>
      </c>
      <c r="X443" s="36">
        <v>18.812114399999999</v>
      </c>
      <c r="Y443" s="36">
        <v>67.096824699999999</v>
      </c>
      <c r="Z443" s="36">
        <v>14.140466099999999</v>
      </c>
      <c r="AA443" s="36">
        <v>18.7627092</v>
      </c>
    </row>
    <row r="444" spans="1:39" hidden="1" x14ac:dyDescent="0.3">
      <c r="A444" s="37">
        <v>440</v>
      </c>
      <c r="B444" s="38" t="s">
        <v>1</v>
      </c>
      <c r="C444" s="38" t="s">
        <v>46</v>
      </c>
      <c r="D444" s="38" t="s">
        <v>155</v>
      </c>
      <c r="E444" s="38"/>
      <c r="F444" s="39" t="s">
        <v>519</v>
      </c>
      <c r="G444" s="40">
        <v>3006</v>
      </c>
      <c r="H444" s="40">
        <v>1414</v>
      </c>
      <c r="I444" s="40">
        <v>560</v>
      </c>
      <c r="J444" s="40">
        <v>1032</v>
      </c>
      <c r="K444" s="40">
        <v>4460</v>
      </c>
      <c r="L444" s="40">
        <v>3129</v>
      </c>
      <c r="M444" s="40">
        <v>643</v>
      </c>
      <c r="N444" s="40">
        <v>688</v>
      </c>
      <c r="O444" s="40">
        <v>7802</v>
      </c>
      <c r="P444" s="40">
        <v>5753</v>
      </c>
      <c r="Q444" s="40">
        <v>857</v>
      </c>
      <c r="R444" s="40">
        <v>1192</v>
      </c>
      <c r="S444" s="41">
        <v>47.039254800000002</v>
      </c>
      <c r="T444" s="41">
        <v>18.6294079</v>
      </c>
      <c r="U444" s="41">
        <v>34.331337300000001</v>
      </c>
      <c r="V444" s="41">
        <v>70.156950699999996</v>
      </c>
      <c r="W444" s="41">
        <v>14.417040399999999</v>
      </c>
      <c r="X444" s="41">
        <v>15.426009000000001</v>
      </c>
      <c r="Y444" s="41">
        <v>73.737503200000006</v>
      </c>
      <c r="Z444" s="41">
        <v>10.984363</v>
      </c>
      <c r="AA444" s="41">
        <v>15.278133800000001</v>
      </c>
    </row>
    <row r="445" spans="1:39" hidden="1" x14ac:dyDescent="0.3">
      <c r="A445" s="37">
        <v>441</v>
      </c>
      <c r="B445" s="38" t="s">
        <v>1</v>
      </c>
      <c r="C445" s="38" t="s">
        <v>46</v>
      </c>
      <c r="D445" s="38" t="s">
        <v>155</v>
      </c>
      <c r="E445" s="38"/>
      <c r="F445" s="39" t="s">
        <v>520</v>
      </c>
      <c r="G445" s="40">
        <v>11287</v>
      </c>
      <c r="H445" s="40">
        <v>5973</v>
      </c>
      <c r="I445" s="40">
        <v>1991</v>
      </c>
      <c r="J445" s="40">
        <v>3323</v>
      </c>
      <c r="K445" s="40">
        <v>16771</v>
      </c>
      <c r="L445" s="40">
        <v>10591</v>
      </c>
      <c r="M445" s="40">
        <v>2874</v>
      </c>
      <c r="N445" s="40">
        <v>3306</v>
      </c>
      <c r="O445" s="40">
        <v>17770</v>
      </c>
      <c r="P445" s="40">
        <v>11405</v>
      </c>
      <c r="Q445" s="40">
        <v>2759</v>
      </c>
      <c r="R445" s="40">
        <v>3606</v>
      </c>
      <c r="S445" s="41">
        <v>52.919287699999998</v>
      </c>
      <c r="T445" s="41">
        <v>17.639762600000001</v>
      </c>
      <c r="U445" s="41">
        <v>29.440949799999999</v>
      </c>
      <c r="V445" s="41">
        <v>63.150676799999999</v>
      </c>
      <c r="W445" s="41">
        <v>17.136724099999999</v>
      </c>
      <c r="X445" s="41">
        <v>19.712599099999998</v>
      </c>
      <c r="Y445" s="41">
        <v>64.181204300000005</v>
      </c>
      <c r="Z445" s="41">
        <v>15.5261677</v>
      </c>
      <c r="AA445" s="41">
        <v>20.292628000000001</v>
      </c>
    </row>
    <row r="446" spans="1:39" hidden="1" x14ac:dyDescent="0.3">
      <c r="A446" s="42">
        <v>442</v>
      </c>
      <c r="B446" s="43" t="s">
        <v>521</v>
      </c>
      <c r="C446" s="50" t="s">
        <v>46</v>
      </c>
      <c r="D446" s="50" t="s">
        <v>155</v>
      </c>
      <c r="E446" s="50" t="s">
        <v>155</v>
      </c>
      <c r="F446" s="51" t="s">
        <v>155</v>
      </c>
      <c r="G446" s="45">
        <v>12215</v>
      </c>
      <c r="H446" s="45">
        <v>6316</v>
      </c>
      <c r="I446" s="45">
        <v>2186</v>
      </c>
      <c r="J446" s="45">
        <v>3713</v>
      </c>
      <c r="K446" s="45">
        <v>17021</v>
      </c>
      <c r="L446" s="45">
        <v>10878</v>
      </c>
      <c r="M446" s="45">
        <v>2828</v>
      </c>
      <c r="N446" s="45">
        <v>3315</v>
      </c>
      <c r="O446" s="45">
        <v>21081</v>
      </c>
      <c r="P446" s="45">
        <v>14012</v>
      </c>
      <c r="Q446" s="45">
        <v>3110</v>
      </c>
      <c r="R446" s="45">
        <v>3959</v>
      </c>
      <c r="S446" s="46">
        <v>51.706917699999998</v>
      </c>
      <c r="T446" s="46">
        <v>17.896029500000001</v>
      </c>
      <c r="U446" s="46">
        <v>30.397052800000001</v>
      </c>
      <c r="V446" s="46">
        <v>63.909288500000002</v>
      </c>
      <c r="W446" s="46">
        <v>16.61477</v>
      </c>
      <c r="X446" s="46">
        <v>19.475941500000001</v>
      </c>
      <c r="Y446" s="46">
        <v>66.467435100000003</v>
      </c>
      <c r="Z446" s="46">
        <v>14.752620800000001</v>
      </c>
      <c r="AA446" s="46">
        <v>18.779944</v>
      </c>
      <c r="AB446" s="26">
        <f>SUM(W446:X446)</f>
        <v>36.090711499999998</v>
      </c>
      <c r="AC446" s="26">
        <f>SUM(Z446:AA446)</f>
        <v>33.532564800000003</v>
      </c>
      <c r="AD446" s="57">
        <f>M446+N446</f>
        <v>6143</v>
      </c>
      <c r="AE446" s="57">
        <f>Q446+R446</f>
        <v>7069</v>
      </c>
      <c r="AF446" s="26">
        <f>W446</f>
        <v>16.61477</v>
      </c>
      <c r="AG446" s="26">
        <f>Z446</f>
        <v>14.752620800000001</v>
      </c>
      <c r="AH446" s="26">
        <f>M446</f>
        <v>2828</v>
      </c>
      <c r="AI446" s="26">
        <f>Q446</f>
        <v>3110</v>
      </c>
      <c r="AJ446" s="26">
        <f>X446</f>
        <v>19.475941500000001</v>
      </c>
      <c r="AK446" s="26">
        <f>AA446</f>
        <v>18.779944</v>
      </c>
      <c r="AL446" s="57">
        <f>N446</f>
        <v>3315</v>
      </c>
      <c r="AM446" s="57">
        <f>R446</f>
        <v>3959</v>
      </c>
    </row>
    <row r="447" spans="1:39" hidden="1" x14ac:dyDescent="0.3">
      <c r="A447" s="37">
        <v>443</v>
      </c>
      <c r="B447" s="38" t="s">
        <v>521</v>
      </c>
      <c r="C447" s="38" t="s">
        <v>46</v>
      </c>
      <c r="D447" s="38" t="s">
        <v>155</v>
      </c>
      <c r="E447" s="38" t="s">
        <v>155</v>
      </c>
      <c r="F447" s="47" t="s">
        <v>519</v>
      </c>
      <c r="G447" s="40">
        <v>3006</v>
      </c>
      <c r="H447" s="40">
        <v>1414</v>
      </c>
      <c r="I447" s="40">
        <v>560</v>
      </c>
      <c r="J447" s="40">
        <v>1032</v>
      </c>
      <c r="K447" s="40">
        <v>4460</v>
      </c>
      <c r="L447" s="40">
        <v>3129</v>
      </c>
      <c r="M447" s="40">
        <v>643</v>
      </c>
      <c r="N447" s="40">
        <v>688</v>
      </c>
      <c r="O447" s="40">
        <v>7802</v>
      </c>
      <c r="P447" s="40">
        <v>5753</v>
      </c>
      <c r="Q447" s="40">
        <v>857</v>
      </c>
      <c r="R447" s="40">
        <v>1192</v>
      </c>
      <c r="S447" s="41">
        <v>47.039254800000002</v>
      </c>
      <c r="T447" s="41">
        <v>18.6294079</v>
      </c>
      <c r="U447" s="41">
        <v>34.331337300000001</v>
      </c>
      <c r="V447" s="41">
        <v>70.156950699999996</v>
      </c>
      <c r="W447" s="41">
        <v>14.417040399999999</v>
      </c>
      <c r="X447" s="41">
        <v>15.426009000000001</v>
      </c>
      <c r="Y447" s="41">
        <v>73.737503200000006</v>
      </c>
      <c r="Z447" s="41">
        <v>10.984363</v>
      </c>
      <c r="AA447" s="41">
        <v>15.278133800000001</v>
      </c>
    </row>
    <row r="448" spans="1:39" hidden="1" x14ac:dyDescent="0.3">
      <c r="A448" s="37">
        <v>444</v>
      </c>
      <c r="B448" s="38" t="s">
        <v>521</v>
      </c>
      <c r="C448" s="38" t="s">
        <v>46</v>
      </c>
      <c r="D448" s="38" t="s">
        <v>155</v>
      </c>
      <c r="E448" s="38" t="s">
        <v>155</v>
      </c>
      <c r="F448" s="47" t="s">
        <v>520</v>
      </c>
      <c r="G448" s="40">
        <v>9209</v>
      </c>
      <c r="H448" s="40">
        <v>4902</v>
      </c>
      <c r="I448" s="40">
        <v>1626</v>
      </c>
      <c r="J448" s="40">
        <v>2681</v>
      </c>
      <c r="K448" s="40">
        <v>12561</v>
      </c>
      <c r="L448" s="40">
        <v>7749</v>
      </c>
      <c r="M448" s="40">
        <v>2185</v>
      </c>
      <c r="N448" s="40">
        <v>2627</v>
      </c>
      <c r="O448" s="40">
        <v>13279</v>
      </c>
      <c r="P448" s="40">
        <v>8259</v>
      </c>
      <c r="Q448" s="40">
        <v>2253</v>
      </c>
      <c r="R448" s="40">
        <v>2767</v>
      </c>
      <c r="S448" s="41">
        <v>53.2305353</v>
      </c>
      <c r="T448" s="41">
        <v>17.656640199999998</v>
      </c>
      <c r="U448" s="41">
        <v>29.112824400000001</v>
      </c>
      <c r="V448" s="41">
        <v>61.690948200000001</v>
      </c>
      <c r="W448" s="41">
        <v>17.3951119</v>
      </c>
      <c r="X448" s="41">
        <v>20.91394</v>
      </c>
      <c r="Y448" s="41">
        <v>62.1959485</v>
      </c>
      <c r="Z448" s="41">
        <v>16.966639099999998</v>
      </c>
      <c r="AA448" s="41">
        <v>20.837412499999999</v>
      </c>
    </row>
    <row r="449" spans="1:39" hidden="1" x14ac:dyDescent="0.3">
      <c r="A449" s="42">
        <v>445</v>
      </c>
      <c r="B449" s="43" t="s">
        <v>521</v>
      </c>
      <c r="C449" s="50" t="s">
        <v>46</v>
      </c>
      <c r="D449" s="50" t="s">
        <v>155</v>
      </c>
      <c r="E449" s="50" t="s">
        <v>156</v>
      </c>
      <c r="F449" s="51" t="s">
        <v>156</v>
      </c>
      <c r="G449" s="45">
        <v>2078</v>
      </c>
      <c r="H449" s="45">
        <v>1071</v>
      </c>
      <c r="I449" s="45">
        <v>365</v>
      </c>
      <c r="J449" s="45">
        <v>642</v>
      </c>
      <c r="K449" s="45">
        <v>4210</v>
      </c>
      <c r="L449" s="45">
        <v>2842</v>
      </c>
      <c r="M449" s="45">
        <v>689</v>
      </c>
      <c r="N449" s="45">
        <v>679</v>
      </c>
      <c r="O449" s="45">
        <v>4491</v>
      </c>
      <c r="P449" s="45">
        <v>3146</v>
      </c>
      <c r="Q449" s="45">
        <v>506</v>
      </c>
      <c r="R449" s="45">
        <v>839</v>
      </c>
      <c r="S449" s="46">
        <v>51.5399423</v>
      </c>
      <c r="T449" s="46">
        <v>17.564966299999998</v>
      </c>
      <c r="U449" s="46">
        <v>30.895091399999998</v>
      </c>
      <c r="V449" s="46">
        <v>67.505938200000003</v>
      </c>
      <c r="W449" s="46">
        <v>16.3657957</v>
      </c>
      <c r="X449" s="46">
        <v>16.128266</v>
      </c>
      <c r="Y449" s="46">
        <v>70.051213500000003</v>
      </c>
      <c r="Z449" s="46">
        <v>11.266978399999999</v>
      </c>
      <c r="AA449" s="46">
        <v>18.681808100000001</v>
      </c>
      <c r="AB449" s="26">
        <f>SUM(W449:X449)</f>
        <v>32.494061700000003</v>
      </c>
      <c r="AC449" s="26">
        <f>SUM(Z449:AA449)</f>
        <v>29.948786500000001</v>
      </c>
      <c r="AD449" s="57">
        <f>M449+N449</f>
        <v>1368</v>
      </c>
      <c r="AE449" s="57">
        <f>Q449+R449</f>
        <v>1345</v>
      </c>
      <c r="AF449" s="26">
        <f>W449</f>
        <v>16.3657957</v>
      </c>
      <c r="AG449" s="26">
        <f>Z449</f>
        <v>11.266978399999999</v>
      </c>
      <c r="AH449" s="26">
        <f>M449</f>
        <v>689</v>
      </c>
      <c r="AI449" s="26">
        <f>Q449</f>
        <v>506</v>
      </c>
      <c r="AJ449" s="26">
        <f>X449</f>
        <v>16.128266</v>
      </c>
      <c r="AK449" s="26">
        <f>AA449</f>
        <v>18.681808100000001</v>
      </c>
      <c r="AL449" s="57">
        <f>N449</f>
        <v>679</v>
      </c>
      <c r="AM449" s="57">
        <f>R449</f>
        <v>839</v>
      </c>
    </row>
    <row r="450" spans="1:39" hidden="1" x14ac:dyDescent="0.3">
      <c r="A450" s="37">
        <v>446</v>
      </c>
      <c r="B450" s="38" t="s">
        <v>521</v>
      </c>
      <c r="C450" s="38" t="s">
        <v>46</v>
      </c>
      <c r="D450" s="38" t="s">
        <v>155</v>
      </c>
      <c r="E450" s="38" t="s">
        <v>156</v>
      </c>
      <c r="F450" s="47" t="s">
        <v>519</v>
      </c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1"/>
      <c r="T450" s="41"/>
      <c r="U450" s="41"/>
      <c r="V450" s="41"/>
      <c r="W450" s="41"/>
      <c r="X450" s="41"/>
      <c r="Y450" s="41"/>
      <c r="Z450" s="41"/>
      <c r="AA450" s="41"/>
    </row>
    <row r="451" spans="1:39" hidden="1" x14ac:dyDescent="0.3">
      <c r="A451" s="37">
        <v>447</v>
      </c>
      <c r="B451" s="38" t="s">
        <v>521</v>
      </c>
      <c r="C451" s="38" t="s">
        <v>46</v>
      </c>
      <c r="D451" s="38" t="s">
        <v>155</v>
      </c>
      <c r="E451" s="38" t="s">
        <v>156</v>
      </c>
      <c r="F451" s="47" t="s">
        <v>520</v>
      </c>
      <c r="G451" s="40">
        <v>2078</v>
      </c>
      <c r="H451" s="40">
        <v>1071</v>
      </c>
      <c r="I451" s="40">
        <v>365</v>
      </c>
      <c r="J451" s="40">
        <v>642</v>
      </c>
      <c r="K451" s="40">
        <v>4210</v>
      </c>
      <c r="L451" s="40">
        <v>2842</v>
      </c>
      <c r="M451" s="40">
        <v>689</v>
      </c>
      <c r="N451" s="40">
        <v>679</v>
      </c>
      <c r="O451" s="40">
        <v>4491</v>
      </c>
      <c r="P451" s="40">
        <v>3146</v>
      </c>
      <c r="Q451" s="40">
        <v>506</v>
      </c>
      <c r="R451" s="40">
        <v>839</v>
      </c>
      <c r="S451" s="41">
        <v>51.5399423</v>
      </c>
      <c r="T451" s="41">
        <v>17.564966299999998</v>
      </c>
      <c r="U451" s="41">
        <v>30.895091399999998</v>
      </c>
      <c r="V451" s="41">
        <v>67.505938200000003</v>
      </c>
      <c r="W451" s="41">
        <v>16.3657957</v>
      </c>
      <c r="X451" s="41">
        <v>16.128266</v>
      </c>
      <c r="Y451" s="41">
        <v>70.051213500000003</v>
      </c>
      <c r="Z451" s="41">
        <v>11.266978399999999</v>
      </c>
      <c r="AA451" s="41">
        <v>18.681808100000001</v>
      </c>
    </row>
    <row r="452" spans="1:39" x14ac:dyDescent="0.3">
      <c r="A452" s="21">
        <v>448</v>
      </c>
      <c r="B452" s="22" t="s">
        <v>464</v>
      </c>
      <c r="C452" s="22" t="s">
        <v>157</v>
      </c>
      <c r="D452" s="22"/>
      <c r="E452" s="22"/>
      <c r="F452" s="23" t="s">
        <v>157</v>
      </c>
      <c r="G452" s="24">
        <v>352411</v>
      </c>
      <c r="H452" s="24">
        <v>186935</v>
      </c>
      <c r="I452" s="24">
        <v>68468</v>
      </c>
      <c r="J452" s="24">
        <v>97008</v>
      </c>
      <c r="K452" s="24">
        <v>516608</v>
      </c>
      <c r="L452" s="24">
        <v>354769</v>
      </c>
      <c r="M452" s="24">
        <v>78249</v>
      </c>
      <c r="N452" s="24">
        <v>83590</v>
      </c>
      <c r="O452" s="24">
        <v>675064</v>
      </c>
      <c r="P452" s="24">
        <v>513952</v>
      </c>
      <c r="Q452" s="24">
        <v>76384</v>
      </c>
      <c r="R452" s="24">
        <v>84728</v>
      </c>
      <c r="S452" s="25">
        <v>53.044598499999999</v>
      </c>
      <c r="T452" s="25">
        <v>19.4284514</v>
      </c>
      <c r="U452" s="25">
        <v>27.526950100000001</v>
      </c>
      <c r="V452" s="25">
        <v>68.672765400000003</v>
      </c>
      <c r="W452" s="25">
        <v>15.1466876</v>
      </c>
      <c r="X452" s="25">
        <v>16.180547000000001</v>
      </c>
      <c r="Y452" s="25">
        <v>76.133818399999996</v>
      </c>
      <c r="Z452" s="25">
        <v>11.3150753</v>
      </c>
      <c r="AA452" s="25">
        <v>12.551106300000001</v>
      </c>
      <c r="AC452" s="26">
        <f>W452+X452</f>
        <v>31.327234600000001</v>
      </c>
      <c r="AD452" s="26">
        <f>Z452+AA452</f>
        <v>23.866181600000001</v>
      </c>
      <c r="AE452" s="57">
        <f>M452+N452</f>
        <v>161839</v>
      </c>
      <c r="AF452" s="57">
        <f>Q452+R452</f>
        <v>161112</v>
      </c>
    </row>
    <row r="453" spans="1:39" hidden="1" x14ac:dyDescent="0.3">
      <c r="A453" s="27">
        <v>449</v>
      </c>
      <c r="B453" s="28" t="s">
        <v>464</v>
      </c>
      <c r="C453" s="48" t="s">
        <v>157</v>
      </c>
      <c r="D453" s="48"/>
      <c r="E453" s="48"/>
      <c r="F453" s="29" t="s">
        <v>519</v>
      </c>
      <c r="G453" s="30">
        <v>201445</v>
      </c>
      <c r="H453" s="30">
        <v>116535</v>
      </c>
      <c r="I453" s="30">
        <v>40131</v>
      </c>
      <c r="J453" s="30">
        <v>44779</v>
      </c>
      <c r="K453" s="30">
        <v>330051</v>
      </c>
      <c r="L453" s="30">
        <v>232655</v>
      </c>
      <c r="M453" s="30">
        <v>50648</v>
      </c>
      <c r="N453" s="30">
        <v>46748</v>
      </c>
      <c r="O453" s="30">
        <v>442960</v>
      </c>
      <c r="P453" s="30">
        <v>349392</v>
      </c>
      <c r="Q453" s="30">
        <v>48955</v>
      </c>
      <c r="R453" s="30">
        <v>44613</v>
      </c>
      <c r="S453" s="31">
        <v>57.849537099999999</v>
      </c>
      <c r="T453" s="31">
        <v>19.9215667</v>
      </c>
      <c r="U453" s="31">
        <v>22.228896200000001</v>
      </c>
      <c r="V453" s="31">
        <v>70.490621099999998</v>
      </c>
      <c r="W453" s="31">
        <v>15.3455072</v>
      </c>
      <c r="X453" s="31">
        <v>14.1638716</v>
      </c>
      <c r="Y453" s="31">
        <v>78.876648000000003</v>
      </c>
      <c r="Z453" s="31">
        <v>11.051788</v>
      </c>
      <c r="AA453" s="31">
        <v>10.071564</v>
      </c>
    </row>
    <row r="454" spans="1:39" hidden="1" x14ac:dyDescent="0.3">
      <c r="A454" s="27">
        <v>450</v>
      </c>
      <c r="B454" s="28" t="s">
        <v>464</v>
      </c>
      <c r="C454" s="48" t="s">
        <v>157</v>
      </c>
      <c r="D454" s="48"/>
      <c r="E454" s="48"/>
      <c r="F454" s="29" t="s">
        <v>520</v>
      </c>
      <c r="G454" s="30">
        <v>150966</v>
      </c>
      <c r="H454" s="30">
        <v>70400</v>
      </c>
      <c r="I454" s="30">
        <v>28337</v>
      </c>
      <c r="J454" s="30">
        <v>52229</v>
      </c>
      <c r="K454" s="30">
        <v>186557</v>
      </c>
      <c r="L454" s="30">
        <v>122114</v>
      </c>
      <c r="M454" s="30">
        <v>27601</v>
      </c>
      <c r="N454" s="30">
        <v>36842</v>
      </c>
      <c r="O454" s="30">
        <v>232104</v>
      </c>
      <c r="P454" s="30">
        <v>164560</v>
      </c>
      <c r="Q454" s="30">
        <v>27429</v>
      </c>
      <c r="R454" s="30">
        <v>40115</v>
      </c>
      <c r="S454" s="31">
        <v>46.633016699999999</v>
      </c>
      <c r="T454" s="31">
        <v>18.770451600000001</v>
      </c>
      <c r="U454" s="31">
        <v>34.5965317</v>
      </c>
      <c r="V454" s="31">
        <v>65.456670099999997</v>
      </c>
      <c r="W454" s="31">
        <v>14.794942000000001</v>
      </c>
      <c r="X454" s="31">
        <v>19.748387900000001</v>
      </c>
      <c r="Y454" s="31">
        <v>70.899252099999998</v>
      </c>
      <c r="Z454" s="31">
        <v>11.817547299999999</v>
      </c>
      <c r="AA454" s="31">
        <v>17.283200600000001</v>
      </c>
    </row>
    <row r="455" spans="1:39" hidden="1" x14ac:dyDescent="0.3">
      <c r="A455" s="32">
        <v>451</v>
      </c>
      <c r="B455" s="33" t="s">
        <v>1</v>
      </c>
      <c r="C455" s="49" t="s">
        <v>157</v>
      </c>
      <c r="D455" s="49" t="s">
        <v>158</v>
      </c>
      <c r="E455" s="49"/>
      <c r="F455" s="34" t="s">
        <v>158</v>
      </c>
      <c r="G455" s="35">
        <v>123477</v>
      </c>
      <c r="H455" s="35">
        <v>74448</v>
      </c>
      <c r="I455" s="35">
        <v>23680</v>
      </c>
      <c r="J455" s="35">
        <v>25349</v>
      </c>
      <c r="K455" s="35">
        <v>177376</v>
      </c>
      <c r="L455" s="35">
        <v>128526</v>
      </c>
      <c r="M455" s="35">
        <v>25583</v>
      </c>
      <c r="N455" s="35">
        <v>23267</v>
      </c>
      <c r="O455" s="35">
        <v>212273</v>
      </c>
      <c r="P455" s="35">
        <v>172529</v>
      </c>
      <c r="Q455" s="35">
        <v>21021</v>
      </c>
      <c r="R455" s="35">
        <v>18723</v>
      </c>
      <c r="S455" s="36">
        <v>60.293010000000002</v>
      </c>
      <c r="T455" s="36">
        <v>19.177660599999999</v>
      </c>
      <c r="U455" s="36">
        <v>20.529329300000001</v>
      </c>
      <c r="V455" s="36">
        <v>72.459633800000006</v>
      </c>
      <c r="W455" s="36">
        <v>14.4230336</v>
      </c>
      <c r="X455" s="36">
        <v>13.1173327</v>
      </c>
      <c r="Y455" s="36">
        <v>81.276940499999995</v>
      </c>
      <c r="Z455" s="36">
        <v>9.9028138000000006</v>
      </c>
      <c r="AA455" s="36">
        <v>8.8202455999999998</v>
      </c>
    </row>
    <row r="456" spans="1:39" hidden="1" x14ac:dyDescent="0.3">
      <c r="A456" s="37">
        <v>452</v>
      </c>
      <c r="B456" s="38" t="s">
        <v>1</v>
      </c>
      <c r="C456" s="38" t="s">
        <v>157</v>
      </c>
      <c r="D456" s="38" t="s">
        <v>158</v>
      </c>
      <c r="E456" s="38"/>
      <c r="F456" s="39" t="s">
        <v>519</v>
      </c>
      <c r="G456" s="40">
        <v>123391</v>
      </c>
      <c r="H456" s="40">
        <v>74395</v>
      </c>
      <c r="I456" s="40">
        <v>23662</v>
      </c>
      <c r="J456" s="40">
        <v>25334</v>
      </c>
      <c r="K456" s="40">
        <v>177376</v>
      </c>
      <c r="L456" s="40">
        <v>128526</v>
      </c>
      <c r="M456" s="40">
        <v>25583</v>
      </c>
      <c r="N456" s="40">
        <v>23267</v>
      </c>
      <c r="O456" s="40">
        <v>212257</v>
      </c>
      <c r="P456" s="40">
        <v>172516</v>
      </c>
      <c r="Q456" s="40">
        <v>21020</v>
      </c>
      <c r="R456" s="40">
        <v>18721</v>
      </c>
      <c r="S456" s="41">
        <v>60.292079600000001</v>
      </c>
      <c r="T456" s="41">
        <v>19.1764391</v>
      </c>
      <c r="U456" s="41">
        <v>20.531481200000002</v>
      </c>
      <c r="V456" s="41">
        <v>72.459633800000006</v>
      </c>
      <c r="W456" s="41">
        <v>14.4230336</v>
      </c>
      <c r="X456" s="41">
        <v>13.1173327</v>
      </c>
      <c r="Y456" s="41">
        <v>81.276942599999998</v>
      </c>
      <c r="Z456" s="41">
        <v>9.9030892000000001</v>
      </c>
      <c r="AA456" s="41">
        <v>8.8199681999999999</v>
      </c>
    </row>
    <row r="457" spans="1:39" hidden="1" x14ac:dyDescent="0.3">
      <c r="A457" s="37">
        <v>453</v>
      </c>
      <c r="B457" s="38" t="s">
        <v>1</v>
      </c>
      <c r="C457" s="38" t="s">
        <v>157</v>
      </c>
      <c r="D457" s="38" t="s">
        <v>158</v>
      </c>
      <c r="E457" s="38"/>
      <c r="F457" s="39" t="s">
        <v>520</v>
      </c>
      <c r="G457" s="40">
        <v>86</v>
      </c>
      <c r="H457" s="40">
        <v>53</v>
      </c>
      <c r="I457" s="40">
        <v>18</v>
      </c>
      <c r="J457" s="40">
        <v>15</v>
      </c>
      <c r="K457" s="40"/>
      <c r="L457" s="40"/>
      <c r="M457" s="40"/>
      <c r="N457" s="40"/>
      <c r="O457" s="40">
        <v>16</v>
      </c>
      <c r="P457" s="40">
        <v>13</v>
      </c>
      <c r="Q457" s="40">
        <v>1</v>
      </c>
      <c r="R457" s="40">
        <v>2</v>
      </c>
      <c r="S457" s="41">
        <v>61.627907</v>
      </c>
      <c r="T457" s="41">
        <v>20.9302326</v>
      </c>
      <c r="U457" s="41">
        <v>17.441860500000001</v>
      </c>
      <c r="V457" s="41"/>
      <c r="W457" s="41"/>
      <c r="X457" s="41"/>
      <c r="Y457" s="41">
        <v>81.25</v>
      </c>
      <c r="Z457" s="41">
        <v>6.25</v>
      </c>
      <c r="AA457" s="41">
        <v>12.5</v>
      </c>
    </row>
    <row r="458" spans="1:39" hidden="1" x14ac:dyDescent="0.3">
      <c r="A458" s="42">
        <v>454</v>
      </c>
      <c r="B458" s="43" t="s">
        <v>521</v>
      </c>
      <c r="C458" s="50" t="s">
        <v>157</v>
      </c>
      <c r="D458" s="50" t="s">
        <v>158</v>
      </c>
      <c r="E458" s="50" t="s">
        <v>157</v>
      </c>
      <c r="F458" s="51" t="s">
        <v>157</v>
      </c>
      <c r="G458" s="45">
        <v>123477</v>
      </c>
      <c r="H458" s="45">
        <v>74448</v>
      </c>
      <c r="I458" s="45">
        <v>23680</v>
      </c>
      <c r="J458" s="45">
        <v>25349</v>
      </c>
      <c r="K458" s="45">
        <v>177376</v>
      </c>
      <c r="L458" s="45">
        <v>128526</v>
      </c>
      <c r="M458" s="45">
        <v>25583</v>
      </c>
      <c r="N458" s="45">
        <v>23267</v>
      </c>
      <c r="O458" s="45">
        <v>212273</v>
      </c>
      <c r="P458" s="45">
        <v>172529</v>
      </c>
      <c r="Q458" s="45">
        <v>21021</v>
      </c>
      <c r="R458" s="45">
        <v>18723</v>
      </c>
      <c r="S458" s="46">
        <v>60.293010000000002</v>
      </c>
      <c r="T458" s="46">
        <v>19.177660599999999</v>
      </c>
      <c r="U458" s="46">
        <v>20.529329300000001</v>
      </c>
      <c r="V458" s="46">
        <v>72.459633800000006</v>
      </c>
      <c r="W458" s="46">
        <v>14.4230336</v>
      </c>
      <c r="X458" s="46">
        <v>13.1173327</v>
      </c>
      <c r="Y458" s="46">
        <v>81.276940499999995</v>
      </c>
      <c r="Z458" s="46">
        <v>9.9028138000000006</v>
      </c>
      <c r="AA458" s="46">
        <v>8.8202455999999998</v>
      </c>
      <c r="AB458" s="26">
        <f>SUM(W458:X458)</f>
        <v>27.540366300000002</v>
      </c>
      <c r="AC458" s="26">
        <f>SUM(Z458:AA458)</f>
        <v>18.7230594</v>
      </c>
      <c r="AD458" s="57">
        <f>M458+N458</f>
        <v>48850</v>
      </c>
      <c r="AE458" s="57">
        <f>Q458+R458</f>
        <v>39744</v>
      </c>
      <c r="AF458" s="26">
        <f>W458</f>
        <v>14.4230336</v>
      </c>
      <c r="AG458" s="26">
        <f>Z458</f>
        <v>9.9028138000000006</v>
      </c>
      <c r="AH458" s="26">
        <f>M458</f>
        <v>25583</v>
      </c>
      <c r="AI458" s="26">
        <f>Q458</f>
        <v>21021</v>
      </c>
      <c r="AJ458" s="26">
        <f>X458</f>
        <v>13.1173327</v>
      </c>
      <c r="AK458" s="26">
        <f>AA458</f>
        <v>8.8202455999999998</v>
      </c>
      <c r="AL458" s="57">
        <f>N458</f>
        <v>23267</v>
      </c>
      <c r="AM458" s="57">
        <f>R458</f>
        <v>18723</v>
      </c>
    </row>
    <row r="459" spans="1:39" hidden="1" x14ac:dyDescent="0.3">
      <c r="A459" s="37">
        <v>455</v>
      </c>
      <c r="B459" s="38" t="s">
        <v>521</v>
      </c>
      <c r="C459" s="38" t="s">
        <v>157</v>
      </c>
      <c r="D459" s="38" t="s">
        <v>158</v>
      </c>
      <c r="E459" s="38" t="s">
        <v>157</v>
      </c>
      <c r="F459" s="47" t="s">
        <v>519</v>
      </c>
      <c r="G459" s="40">
        <v>123391</v>
      </c>
      <c r="H459" s="40">
        <v>74395</v>
      </c>
      <c r="I459" s="40">
        <v>23662</v>
      </c>
      <c r="J459" s="40">
        <v>25334</v>
      </c>
      <c r="K459" s="40">
        <v>177376</v>
      </c>
      <c r="L459" s="40">
        <v>128526</v>
      </c>
      <c r="M459" s="40">
        <v>25583</v>
      </c>
      <c r="N459" s="40">
        <v>23267</v>
      </c>
      <c r="O459" s="40">
        <v>212257</v>
      </c>
      <c r="P459" s="40">
        <v>172516</v>
      </c>
      <c r="Q459" s="40">
        <v>21020</v>
      </c>
      <c r="R459" s="40">
        <v>18721</v>
      </c>
      <c r="S459" s="41">
        <v>60.292079600000001</v>
      </c>
      <c r="T459" s="41">
        <v>19.1764391</v>
      </c>
      <c r="U459" s="41">
        <v>20.531481200000002</v>
      </c>
      <c r="V459" s="41">
        <v>72.459633800000006</v>
      </c>
      <c r="W459" s="41">
        <v>14.4230336</v>
      </c>
      <c r="X459" s="41">
        <v>13.1173327</v>
      </c>
      <c r="Y459" s="41">
        <v>81.276942599999998</v>
      </c>
      <c r="Z459" s="41">
        <v>9.9030892000000001</v>
      </c>
      <c r="AA459" s="41">
        <v>8.8199681999999999</v>
      </c>
    </row>
    <row r="460" spans="1:39" hidden="1" x14ac:dyDescent="0.3">
      <c r="A460" s="37">
        <v>456</v>
      </c>
      <c r="B460" s="38" t="s">
        <v>521</v>
      </c>
      <c r="C460" s="38" t="s">
        <v>157</v>
      </c>
      <c r="D460" s="38" t="s">
        <v>158</v>
      </c>
      <c r="E460" s="38" t="s">
        <v>157</v>
      </c>
      <c r="F460" s="47" t="s">
        <v>520</v>
      </c>
      <c r="G460" s="40">
        <v>86</v>
      </c>
      <c r="H460" s="40">
        <v>53</v>
      </c>
      <c r="I460" s="40">
        <v>18</v>
      </c>
      <c r="J460" s="40">
        <v>15</v>
      </c>
      <c r="K460" s="40"/>
      <c r="L460" s="40"/>
      <c r="M460" s="40"/>
      <c r="N460" s="40"/>
      <c r="O460" s="40">
        <v>16</v>
      </c>
      <c r="P460" s="40">
        <v>13</v>
      </c>
      <c r="Q460" s="40">
        <v>1</v>
      </c>
      <c r="R460" s="40">
        <v>2</v>
      </c>
      <c r="S460" s="41">
        <v>61.627907</v>
      </c>
      <c r="T460" s="41">
        <v>20.9302326</v>
      </c>
      <c r="U460" s="41">
        <v>17.441860500000001</v>
      </c>
      <c r="V460" s="41"/>
      <c r="W460" s="41"/>
      <c r="X460" s="41"/>
      <c r="Y460" s="41">
        <v>81.25</v>
      </c>
      <c r="Z460" s="41">
        <v>6.25</v>
      </c>
      <c r="AA460" s="41">
        <v>12.5</v>
      </c>
    </row>
    <row r="461" spans="1:39" hidden="1" x14ac:dyDescent="0.3">
      <c r="A461" s="32">
        <v>457</v>
      </c>
      <c r="B461" s="33" t="s">
        <v>1</v>
      </c>
      <c r="C461" s="49" t="s">
        <v>157</v>
      </c>
      <c r="D461" s="49" t="s">
        <v>159</v>
      </c>
      <c r="E461" s="49"/>
      <c r="F461" s="34" t="s">
        <v>159</v>
      </c>
      <c r="G461" s="35">
        <v>8611</v>
      </c>
      <c r="H461" s="35">
        <v>3654</v>
      </c>
      <c r="I461" s="35">
        <v>1667</v>
      </c>
      <c r="J461" s="35">
        <v>3290</v>
      </c>
      <c r="K461" s="35">
        <v>9470</v>
      </c>
      <c r="L461" s="35">
        <v>5354</v>
      </c>
      <c r="M461" s="35">
        <v>1731</v>
      </c>
      <c r="N461" s="35">
        <v>2385</v>
      </c>
      <c r="O461" s="35">
        <v>10796</v>
      </c>
      <c r="P461" s="35">
        <v>7251</v>
      </c>
      <c r="Q461" s="35">
        <v>1688</v>
      </c>
      <c r="R461" s="35">
        <v>1857</v>
      </c>
      <c r="S461" s="36">
        <v>42.434095900000003</v>
      </c>
      <c r="T461" s="36">
        <v>19.358959500000001</v>
      </c>
      <c r="U461" s="36">
        <v>38.2069446</v>
      </c>
      <c r="V461" s="36">
        <v>56.536430799999998</v>
      </c>
      <c r="W461" s="36">
        <v>18.278775100000001</v>
      </c>
      <c r="X461" s="36">
        <v>25.184794100000001</v>
      </c>
      <c r="Y461" s="36">
        <v>67.163764400000005</v>
      </c>
      <c r="Z461" s="36">
        <v>15.6354205</v>
      </c>
      <c r="AA461" s="36">
        <v>17.2008151</v>
      </c>
    </row>
    <row r="462" spans="1:39" hidden="1" x14ac:dyDescent="0.3">
      <c r="A462" s="37">
        <v>458</v>
      </c>
      <c r="B462" s="38" t="s">
        <v>1</v>
      </c>
      <c r="C462" s="38" t="s">
        <v>157</v>
      </c>
      <c r="D462" s="38" t="s">
        <v>159</v>
      </c>
      <c r="E462" s="38"/>
      <c r="F462" s="39" t="s">
        <v>519</v>
      </c>
      <c r="G462" s="40">
        <v>1725</v>
      </c>
      <c r="H462" s="40">
        <v>900</v>
      </c>
      <c r="I462" s="40">
        <v>344</v>
      </c>
      <c r="J462" s="40">
        <v>481</v>
      </c>
      <c r="K462" s="40">
        <v>2826</v>
      </c>
      <c r="L462" s="40">
        <v>1802</v>
      </c>
      <c r="M462" s="40">
        <v>480</v>
      </c>
      <c r="N462" s="40">
        <v>544</v>
      </c>
      <c r="O462" s="40">
        <v>3351</v>
      </c>
      <c r="P462" s="40">
        <v>2469</v>
      </c>
      <c r="Q462" s="40">
        <v>448</v>
      </c>
      <c r="R462" s="40">
        <v>434</v>
      </c>
      <c r="S462" s="41">
        <v>52.173912999999999</v>
      </c>
      <c r="T462" s="41">
        <v>19.942029000000002</v>
      </c>
      <c r="U462" s="41">
        <v>27.884058</v>
      </c>
      <c r="V462" s="41">
        <v>63.7650389</v>
      </c>
      <c r="W462" s="41">
        <v>16.985137999999999</v>
      </c>
      <c r="X462" s="41">
        <v>19.2498231</v>
      </c>
      <c r="Y462" s="41">
        <v>73.679498699999996</v>
      </c>
      <c r="Z462" s="41">
        <v>13.3691435</v>
      </c>
      <c r="AA462" s="41">
        <v>12.9513578</v>
      </c>
    </row>
    <row r="463" spans="1:39" hidden="1" x14ac:dyDescent="0.3">
      <c r="A463" s="37">
        <v>459</v>
      </c>
      <c r="B463" s="38" t="s">
        <v>1</v>
      </c>
      <c r="C463" s="38" t="s">
        <v>157</v>
      </c>
      <c r="D463" s="38" t="s">
        <v>159</v>
      </c>
      <c r="E463" s="38"/>
      <c r="F463" s="39" t="s">
        <v>520</v>
      </c>
      <c r="G463" s="40">
        <v>6886</v>
      </c>
      <c r="H463" s="40">
        <v>2754</v>
      </c>
      <c r="I463" s="40">
        <v>1323</v>
      </c>
      <c r="J463" s="40">
        <v>2809</v>
      </c>
      <c r="K463" s="40">
        <v>6644</v>
      </c>
      <c r="L463" s="40">
        <v>3552</v>
      </c>
      <c r="M463" s="40">
        <v>1251</v>
      </c>
      <c r="N463" s="40">
        <v>1841</v>
      </c>
      <c r="O463" s="40">
        <v>7445</v>
      </c>
      <c r="P463" s="40">
        <v>4782</v>
      </c>
      <c r="Q463" s="40">
        <v>1240</v>
      </c>
      <c r="R463" s="40">
        <v>1423</v>
      </c>
      <c r="S463" s="41">
        <v>39.994191100000002</v>
      </c>
      <c r="T463" s="41">
        <v>19.212895700000001</v>
      </c>
      <c r="U463" s="41">
        <v>40.792913200000001</v>
      </c>
      <c r="V463" s="41">
        <v>53.461770000000001</v>
      </c>
      <c r="W463" s="41">
        <v>18.829018699999999</v>
      </c>
      <c r="X463" s="41">
        <v>27.7092113</v>
      </c>
      <c r="Y463" s="41">
        <v>64.231027499999996</v>
      </c>
      <c r="Z463" s="41">
        <v>16.655473499999999</v>
      </c>
      <c r="AA463" s="41">
        <v>19.113499000000001</v>
      </c>
    </row>
    <row r="464" spans="1:39" hidden="1" x14ac:dyDescent="0.3">
      <c r="A464" s="42">
        <v>460</v>
      </c>
      <c r="B464" s="43" t="s">
        <v>521</v>
      </c>
      <c r="C464" s="50" t="s">
        <v>157</v>
      </c>
      <c r="D464" s="50" t="s">
        <v>159</v>
      </c>
      <c r="E464" s="50" t="s">
        <v>160</v>
      </c>
      <c r="F464" s="51" t="s">
        <v>160</v>
      </c>
      <c r="G464" s="45">
        <v>6118</v>
      </c>
      <c r="H464" s="45">
        <v>2656</v>
      </c>
      <c r="I464" s="45">
        <v>1199</v>
      </c>
      <c r="J464" s="45">
        <v>2263</v>
      </c>
      <c r="K464" s="45">
        <v>6499</v>
      </c>
      <c r="L464" s="45">
        <v>3842</v>
      </c>
      <c r="M464" s="45">
        <v>1142</v>
      </c>
      <c r="N464" s="45">
        <v>1515</v>
      </c>
      <c r="O464" s="45">
        <v>7123</v>
      </c>
      <c r="P464" s="45">
        <v>4944</v>
      </c>
      <c r="Q464" s="45">
        <v>1041</v>
      </c>
      <c r="R464" s="45">
        <v>1138</v>
      </c>
      <c r="S464" s="46">
        <v>43.412880000000001</v>
      </c>
      <c r="T464" s="46">
        <v>19.597907800000002</v>
      </c>
      <c r="U464" s="46">
        <v>36.989212199999997</v>
      </c>
      <c r="V464" s="46">
        <v>59.116787199999997</v>
      </c>
      <c r="W464" s="46">
        <v>17.5719341</v>
      </c>
      <c r="X464" s="46">
        <v>23.311278699999999</v>
      </c>
      <c r="Y464" s="46">
        <v>69.408956900000007</v>
      </c>
      <c r="Z464" s="46">
        <v>14.614628700000001</v>
      </c>
      <c r="AA464" s="46">
        <v>15.976414399999999</v>
      </c>
      <c r="AB464" s="26">
        <f>SUM(W464:X464)</f>
        <v>40.883212799999995</v>
      </c>
      <c r="AC464" s="26">
        <f>SUM(Z464:AA464)</f>
        <v>30.5910431</v>
      </c>
      <c r="AD464" s="57">
        <f>M464+N464</f>
        <v>2657</v>
      </c>
      <c r="AE464" s="57">
        <f>Q464+R464</f>
        <v>2179</v>
      </c>
      <c r="AF464" s="26">
        <f>W464</f>
        <v>17.5719341</v>
      </c>
      <c r="AG464" s="26">
        <f>Z464</f>
        <v>14.614628700000001</v>
      </c>
      <c r="AH464" s="26">
        <f>M464</f>
        <v>1142</v>
      </c>
      <c r="AI464" s="26">
        <f>Q464</f>
        <v>1041</v>
      </c>
      <c r="AJ464" s="26">
        <f>X464</f>
        <v>23.311278699999999</v>
      </c>
      <c r="AK464" s="26">
        <f>AA464</f>
        <v>15.976414399999999</v>
      </c>
      <c r="AL464" s="57">
        <f>N464</f>
        <v>1515</v>
      </c>
      <c r="AM464" s="57">
        <f>R464</f>
        <v>1138</v>
      </c>
    </row>
    <row r="465" spans="1:39" hidden="1" x14ac:dyDescent="0.3">
      <c r="A465" s="37">
        <v>461</v>
      </c>
      <c r="B465" s="38" t="s">
        <v>521</v>
      </c>
      <c r="C465" s="38" t="s">
        <v>157</v>
      </c>
      <c r="D465" s="38" t="s">
        <v>159</v>
      </c>
      <c r="E465" s="38" t="s">
        <v>160</v>
      </c>
      <c r="F465" s="47" t="s">
        <v>519</v>
      </c>
      <c r="G465" s="40">
        <v>1725</v>
      </c>
      <c r="H465" s="40">
        <v>900</v>
      </c>
      <c r="I465" s="40">
        <v>344</v>
      </c>
      <c r="J465" s="40">
        <v>481</v>
      </c>
      <c r="K465" s="40">
        <v>2282</v>
      </c>
      <c r="L465" s="40">
        <v>1566</v>
      </c>
      <c r="M465" s="40">
        <v>366</v>
      </c>
      <c r="N465" s="40">
        <v>350</v>
      </c>
      <c r="O465" s="40">
        <v>2680</v>
      </c>
      <c r="P465" s="40">
        <v>2009</v>
      </c>
      <c r="Q465" s="40">
        <v>333</v>
      </c>
      <c r="R465" s="40">
        <v>338</v>
      </c>
      <c r="S465" s="41">
        <v>52.173912999999999</v>
      </c>
      <c r="T465" s="41">
        <v>19.942029000000002</v>
      </c>
      <c r="U465" s="41">
        <v>27.884058</v>
      </c>
      <c r="V465" s="41">
        <v>68.624014000000003</v>
      </c>
      <c r="W465" s="41">
        <v>16.0385627</v>
      </c>
      <c r="X465" s="41">
        <v>15.337423299999999</v>
      </c>
      <c r="Y465" s="41">
        <v>74.962686599999998</v>
      </c>
      <c r="Z465" s="41">
        <v>12.4253731</v>
      </c>
      <c r="AA465" s="41">
        <v>12.611940300000001</v>
      </c>
    </row>
    <row r="466" spans="1:39" hidden="1" x14ac:dyDescent="0.3">
      <c r="A466" s="37">
        <v>462</v>
      </c>
      <c r="B466" s="38" t="s">
        <v>521</v>
      </c>
      <c r="C466" s="38" t="s">
        <v>157</v>
      </c>
      <c r="D466" s="38" t="s">
        <v>159</v>
      </c>
      <c r="E466" s="38" t="s">
        <v>160</v>
      </c>
      <c r="F466" s="47" t="s">
        <v>520</v>
      </c>
      <c r="G466" s="40">
        <v>4393</v>
      </c>
      <c r="H466" s="40">
        <v>1756</v>
      </c>
      <c r="I466" s="40">
        <v>855</v>
      </c>
      <c r="J466" s="40">
        <v>1782</v>
      </c>
      <c r="K466" s="40">
        <v>4217</v>
      </c>
      <c r="L466" s="40">
        <v>2276</v>
      </c>
      <c r="M466" s="40">
        <v>776</v>
      </c>
      <c r="N466" s="40">
        <v>1165</v>
      </c>
      <c r="O466" s="40">
        <v>4443</v>
      </c>
      <c r="P466" s="40">
        <v>2935</v>
      </c>
      <c r="Q466" s="40">
        <v>708</v>
      </c>
      <c r="R466" s="40">
        <v>800</v>
      </c>
      <c r="S466" s="41">
        <v>39.972683799999999</v>
      </c>
      <c r="T466" s="41">
        <v>19.462781700000001</v>
      </c>
      <c r="U466" s="41">
        <v>40.564534500000001</v>
      </c>
      <c r="V466" s="41">
        <v>53.972017999999998</v>
      </c>
      <c r="W466" s="41">
        <v>18.401707399999999</v>
      </c>
      <c r="X466" s="41">
        <v>27.626274599999999</v>
      </c>
      <c r="Y466" s="41">
        <v>66.058969200000007</v>
      </c>
      <c r="Z466" s="41">
        <v>15.9351789</v>
      </c>
      <c r="AA466" s="41">
        <v>18.0058519</v>
      </c>
    </row>
    <row r="467" spans="1:39" hidden="1" x14ac:dyDescent="0.3">
      <c r="A467" s="42">
        <v>463</v>
      </c>
      <c r="B467" s="43" t="s">
        <v>521</v>
      </c>
      <c r="C467" s="50" t="s">
        <v>157</v>
      </c>
      <c r="D467" s="50" t="s">
        <v>159</v>
      </c>
      <c r="E467" s="50" t="s">
        <v>161</v>
      </c>
      <c r="F467" s="51" t="s">
        <v>161</v>
      </c>
      <c r="G467" s="45">
        <v>1099</v>
      </c>
      <c r="H467" s="45">
        <v>469</v>
      </c>
      <c r="I467" s="45">
        <v>184</v>
      </c>
      <c r="J467" s="45">
        <v>446</v>
      </c>
      <c r="K467" s="45">
        <v>1537</v>
      </c>
      <c r="L467" s="45">
        <v>742</v>
      </c>
      <c r="M467" s="45">
        <v>320</v>
      </c>
      <c r="N467" s="45">
        <v>475</v>
      </c>
      <c r="O467" s="45">
        <v>1753</v>
      </c>
      <c r="P467" s="45">
        <v>1093</v>
      </c>
      <c r="Q467" s="45">
        <v>299</v>
      </c>
      <c r="R467" s="45">
        <v>361</v>
      </c>
      <c r="S467" s="46">
        <v>42.675159200000003</v>
      </c>
      <c r="T467" s="46">
        <v>16.742493199999998</v>
      </c>
      <c r="U467" s="46">
        <v>40.582347599999999</v>
      </c>
      <c r="V467" s="46">
        <v>48.275862099999998</v>
      </c>
      <c r="W467" s="46">
        <v>20.819778800000002</v>
      </c>
      <c r="X467" s="46">
        <v>30.904359100000001</v>
      </c>
      <c r="Y467" s="46">
        <v>62.350256700000003</v>
      </c>
      <c r="Z467" s="46">
        <v>17.056474600000001</v>
      </c>
      <c r="AA467" s="46">
        <v>20.593268699999999</v>
      </c>
      <c r="AB467" s="26">
        <f>SUM(W467:X467)</f>
        <v>51.724137900000002</v>
      </c>
      <c r="AC467" s="26">
        <f>SUM(Z467:AA467)</f>
        <v>37.649743299999997</v>
      </c>
      <c r="AD467" s="57">
        <f>M467+N467</f>
        <v>795</v>
      </c>
      <c r="AE467" s="57">
        <f>Q467+R467</f>
        <v>660</v>
      </c>
      <c r="AF467" s="26">
        <f>W467</f>
        <v>20.819778800000002</v>
      </c>
      <c r="AG467" s="26">
        <f>Z467</f>
        <v>17.056474600000001</v>
      </c>
      <c r="AH467" s="26">
        <f>M467</f>
        <v>320</v>
      </c>
      <c r="AI467" s="26">
        <f>Q467</f>
        <v>299</v>
      </c>
      <c r="AJ467" s="26">
        <f>X467</f>
        <v>30.904359100000001</v>
      </c>
      <c r="AK467" s="26">
        <f>AA467</f>
        <v>20.593268699999999</v>
      </c>
      <c r="AL467" s="57">
        <f>N467</f>
        <v>475</v>
      </c>
      <c r="AM467" s="57">
        <f>R467</f>
        <v>361</v>
      </c>
    </row>
    <row r="468" spans="1:39" hidden="1" x14ac:dyDescent="0.3">
      <c r="A468" s="37">
        <v>464</v>
      </c>
      <c r="B468" s="38" t="s">
        <v>521</v>
      </c>
      <c r="C468" s="38" t="s">
        <v>157</v>
      </c>
      <c r="D468" s="38" t="s">
        <v>159</v>
      </c>
      <c r="E468" s="38" t="s">
        <v>161</v>
      </c>
      <c r="F468" s="47" t="s">
        <v>519</v>
      </c>
      <c r="G468" s="40"/>
      <c r="H468" s="40"/>
      <c r="I468" s="40"/>
      <c r="J468" s="40"/>
      <c r="K468" s="40">
        <v>544</v>
      </c>
      <c r="L468" s="40">
        <v>236</v>
      </c>
      <c r="M468" s="40">
        <v>114</v>
      </c>
      <c r="N468" s="40">
        <v>194</v>
      </c>
      <c r="O468" s="40">
        <v>671</v>
      </c>
      <c r="P468" s="40">
        <v>460</v>
      </c>
      <c r="Q468" s="40">
        <v>115</v>
      </c>
      <c r="R468" s="40">
        <v>96</v>
      </c>
      <c r="S468" s="41"/>
      <c r="T468" s="41"/>
      <c r="U468" s="41"/>
      <c r="V468" s="41">
        <v>43.382352900000001</v>
      </c>
      <c r="W468" s="41">
        <v>20.9558824</v>
      </c>
      <c r="X468" s="41">
        <v>35.661764699999999</v>
      </c>
      <c r="Y468" s="41">
        <v>68.554396400000002</v>
      </c>
      <c r="Z468" s="41">
        <v>17.1385991</v>
      </c>
      <c r="AA468" s="41">
        <v>14.3070045</v>
      </c>
    </row>
    <row r="469" spans="1:39" hidden="1" x14ac:dyDescent="0.3">
      <c r="A469" s="37">
        <v>465</v>
      </c>
      <c r="B469" s="38" t="s">
        <v>521</v>
      </c>
      <c r="C469" s="38" t="s">
        <v>157</v>
      </c>
      <c r="D469" s="38" t="s">
        <v>159</v>
      </c>
      <c r="E469" s="38" t="s">
        <v>161</v>
      </c>
      <c r="F469" s="47" t="s">
        <v>520</v>
      </c>
      <c r="G469" s="40">
        <v>1099</v>
      </c>
      <c r="H469" s="40">
        <v>469</v>
      </c>
      <c r="I469" s="40">
        <v>184</v>
      </c>
      <c r="J469" s="40">
        <v>446</v>
      </c>
      <c r="K469" s="40">
        <v>993</v>
      </c>
      <c r="L469" s="40">
        <v>506</v>
      </c>
      <c r="M469" s="40">
        <v>206</v>
      </c>
      <c r="N469" s="40">
        <v>281</v>
      </c>
      <c r="O469" s="40">
        <v>1082</v>
      </c>
      <c r="P469" s="40">
        <v>633</v>
      </c>
      <c r="Q469" s="40">
        <v>184</v>
      </c>
      <c r="R469" s="40">
        <v>265</v>
      </c>
      <c r="S469" s="41">
        <v>42.675159200000003</v>
      </c>
      <c r="T469" s="41">
        <v>16.742493199999998</v>
      </c>
      <c r="U469" s="41">
        <v>40.582347599999999</v>
      </c>
      <c r="V469" s="41">
        <v>50.956696899999997</v>
      </c>
      <c r="W469" s="41">
        <v>20.745216500000002</v>
      </c>
      <c r="X469" s="41">
        <v>28.298086600000001</v>
      </c>
      <c r="Y469" s="41">
        <v>58.5027726</v>
      </c>
      <c r="Z469" s="41">
        <v>17.005545300000001</v>
      </c>
      <c r="AA469" s="41">
        <v>24.491682099999998</v>
      </c>
    </row>
    <row r="470" spans="1:39" hidden="1" x14ac:dyDescent="0.3">
      <c r="A470" s="42">
        <v>466</v>
      </c>
      <c r="B470" s="43" t="s">
        <v>521</v>
      </c>
      <c r="C470" s="50" t="s">
        <v>157</v>
      </c>
      <c r="D470" s="50" t="s">
        <v>159</v>
      </c>
      <c r="E470" s="50" t="s">
        <v>162</v>
      </c>
      <c r="F470" s="51" t="s">
        <v>162</v>
      </c>
      <c r="G470" s="45">
        <v>1394</v>
      </c>
      <c r="H470" s="45">
        <v>529</v>
      </c>
      <c r="I470" s="45">
        <v>284</v>
      </c>
      <c r="J470" s="45">
        <v>581</v>
      </c>
      <c r="K470" s="45">
        <v>1434</v>
      </c>
      <c r="L470" s="45">
        <v>770</v>
      </c>
      <c r="M470" s="45">
        <v>269</v>
      </c>
      <c r="N470" s="45">
        <v>395</v>
      </c>
      <c r="O470" s="45">
        <v>1920</v>
      </c>
      <c r="P470" s="45">
        <v>1214</v>
      </c>
      <c r="Q470" s="45">
        <v>348</v>
      </c>
      <c r="R470" s="45">
        <v>358</v>
      </c>
      <c r="S470" s="46">
        <v>37.948350099999999</v>
      </c>
      <c r="T470" s="46">
        <v>20.3730273</v>
      </c>
      <c r="U470" s="46">
        <v>41.678622699999998</v>
      </c>
      <c r="V470" s="46">
        <v>53.695955400000003</v>
      </c>
      <c r="W470" s="46">
        <v>18.7587169</v>
      </c>
      <c r="X470" s="46">
        <v>27.545327799999999</v>
      </c>
      <c r="Y470" s="46">
        <v>63.2291667</v>
      </c>
      <c r="Z470" s="46">
        <v>18.125</v>
      </c>
      <c r="AA470" s="46">
        <v>18.6458333</v>
      </c>
      <c r="AB470" s="26">
        <f>SUM(W470:X470)</f>
        <v>46.304044699999999</v>
      </c>
      <c r="AC470" s="26">
        <f>SUM(Z470:AA470)</f>
        <v>36.7708333</v>
      </c>
      <c r="AD470" s="57">
        <f>M470+N470</f>
        <v>664</v>
      </c>
      <c r="AE470" s="57">
        <f>Q470+R470</f>
        <v>706</v>
      </c>
      <c r="AF470" s="26">
        <f>W470</f>
        <v>18.7587169</v>
      </c>
      <c r="AG470" s="26">
        <f>Z470</f>
        <v>18.125</v>
      </c>
      <c r="AH470" s="26">
        <f>M470</f>
        <v>269</v>
      </c>
      <c r="AI470" s="26">
        <f>Q470</f>
        <v>348</v>
      </c>
      <c r="AJ470" s="26">
        <f>X470</f>
        <v>27.545327799999999</v>
      </c>
      <c r="AK470" s="26">
        <f>AA470</f>
        <v>18.6458333</v>
      </c>
      <c r="AL470" s="57">
        <f>N470</f>
        <v>395</v>
      </c>
      <c r="AM470" s="57">
        <f>R470</f>
        <v>358</v>
      </c>
    </row>
    <row r="471" spans="1:39" hidden="1" x14ac:dyDescent="0.3">
      <c r="A471" s="37">
        <v>467</v>
      </c>
      <c r="B471" s="38" t="s">
        <v>521</v>
      </c>
      <c r="C471" s="38" t="s">
        <v>157</v>
      </c>
      <c r="D471" s="38" t="s">
        <v>159</v>
      </c>
      <c r="E471" s="38" t="s">
        <v>162</v>
      </c>
      <c r="F471" s="47" t="s">
        <v>519</v>
      </c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1"/>
      <c r="T471" s="41"/>
      <c r="U471" s="41"/>
      <c r="V471" s="41"/>
      <c r="W471" s="41"/>
      <c r="X471" s="41"/>
      <c r="Y471" s="41"/>
      <c r="Z471" s="41"/>
      <c r="AA471" s="41"/>
    </row>
    <row r="472" spans="1:39" hidden="1" x14ac:dyDescent="0.3">
      <c r="A472" s="37">
        <v>468</v>
      </c>
      <c r="B472" s="38" t="s">
        <v>521</v>
      </c>
      <c r="C472" s="38" t="s">
        <v>157</v>
      </c>
      <c r="D472" s="38" t="s">
        <v>159</v>
      </c>
      <c r="E472" s="38" t="s">
        <v>162</v>
      </c>
      <c r="F472" s="47" t="s">
        <v>520</v>
      </c>
      <c r="G472" s="40">
        <v>1394</v>
      </c>
      <c r="H472" s="40">
        <v>529</v>
      </c>
      <c r="I472" s="40">
        <v>284</v>
      </c>
      <c r="J472" s="40">
        <v>581</v>
      </c>
      <c r="K472" s="40">
        <v>1434</v>
      </c>
      <c r="L472" s="40">
        <v>770</v>
      </c>
      <c r="M472" s="40">
        <v>269</v>
      </c>
      <c r="N472" s="40">
        <v>395</v>
      </c>
      <c r="O472" s="40">
        <v>1920</v>
      </c>
      <c r="P472" s="40">
        <v>1214</v>
      </c>
      <c r="Q472" s="40">
        <v>348</v>
      </c>
      <c r="R472" s="40">
        <v>358</v>
      </c>
      <c r="S472" s="41">
        <v>37.948350099999999</v>
      </c>
      <c r="T472" s="41">
        <v>20.3730273</v>
      </c>
      <c r="U472" s="41">
        <v>41.678622699999998</v>
      </c>
      <c r="V472" s="41">
        <v>53.695955400000003</v>
      </c>
      <c r="W472" s="41">
        <v>18.7587169</v>
      </c>
      <c r="X472" s="41">
        <v>27.545327799999999</v>
      </c>
      <c r="Y472" s="41">
        <v>63.2291667</v>
      </c>
      <c r="Z472" s="41">
        <v>18.125</v>
      </c>
      <c r="AA472" s="41">
        <v>18.6458333</v>
      </c>
    </row>
    <row r="473" spans="1:39" hidden="1" x14ac:dyDescent="0.3">
      <c r="A473" s="32">
        <v>469</v>
      </c>
      <c r="B473" s="33" t="s">
        <v>1</v>
      </c>
      <c r="C473" s="49" t="s">
        <v>157</v>
      </c>
      <c r="D473" s="49" t="s">
        <v>163</v>
      </c>
      <c r="E473" s="49"/>
      <c r="F473" s="34" t="s">
        <v>163</v>
      </c>
      <c r="G473" s="35">
        <v>14144</v>
      </c>
      <c r="H473" s="35">
        <v>4955</v>
      </c>
      <c r="I473" s="35">
        <v>2766</v>
      </c>
      <c r="J473" s="35">
        <v>6423</v>
      </c>
      <c r="K473" s="35">
        <v>16203</v>
      </c>
      <c r="L473" s="35">
        <v>9125</v>
      </c>
      <c r="M473" s="35">
        <v>2701</v>
      </c>
      <c r="N473" s="35">
        <v>4377</v>
      </c>
      <c r="O473" s="35">
        <v>21034</v>
      </c>
      <c r="P473" s="35">
        <v>13679</v>
      </c>
      <c r="Q473" s="35">
        <v>2893</v>
      </c>
      <c r="R473" s="35">
        <v>4462</v>
      </c>
      <c r="S473" s="36">
        <v>35.0325226</v>
      </c>
      <c r="T473" s="36">
        <v>19.555995500000002</v>
      </c>
      <c r="U473" s="36">
        <v>45.411481899999998</v>
      </c>
      <c r="V473" s="36">
        <v>56.316731500000003</v>
      </c>
      <c r="W473" s="36">
        <v>16.669752500000001</v>
      </c>
      <c r="X473" s="36">
        <v>27.013515999999999</v>
      </c>
      <c r="Y473" s="36">
        <v>65.032803999999999</v>
      </c>
      <c r="Z473" s="36">
        <v>13.7539222</v>
      </c>
      <c r="AA473" s="36">
        <v>21.213273699999998</v>
      </c>
    </row>
    <row r="474" spans="1:39" hidden="1" x14ac:dyDescent="0.3">
      <c r="A474" s="37">
        <v>470</v>
      </c>
      <c r="B474" s="38" t="s">
        <v>1</v>
      </c>
      <c r="C474" s="38" t="s">
        <v>157</v>
      </c>
      <c r="D474" s="38" t="s">
        <v>163</v>
      </c>
      <c r="E474" s="38"/>
      <c r="F474" s="39" t="s">
        <v>519</v>
      </c>
      <c r="G474" s="40">
        <v>502</v>
      </c>
      <c r="H474" s="40">
        <v>237</v>
      </c>
      <c r="I474" s="40">
        <v>104</v>
      </c>
      <c r="J474" s="40">
        <v>161</v>
      </c>
      <c r="K474" s="40"/>
      <c r="L474" s="40"/>
      <c r="M474" s="40"/>
      <c r="N474" s="40"/>
      <c r="O474" s="40"/>
      <c r="P474" s="40"/>
      <c r="Q474" s="40"/>
      <c r="R474" s="40"/>
      <c r="S474" s="41">
        <v>47.211155400000003</v>
      </c>
      <c r="T474" s="41">
        <v>20.717131500000001</v>
      </c>
      <c r="U474" s="41">
        <v>32.071713099999997</v>
      </c>
      <c r="V474" s="41"/>
      <c r="W474" s="41"/>
      <c r="X474" s="41"/>
      <c r="Y474" s="41"/>
      <c r="Z474" s="41"/>
      <c r="AA474" s="41"/>
    </row>
    <row r="475" spans="1:39" hidden="1" x14ac:dyDescent="0.3">
      <c r="A475" s="37">
        <v>471</v>
      </c>
      <c r="B475" s="38" t="s">
        <v>1</v>
      </c>
      <c r="C475" s="38" t="s">
        <v>157</v>
      </c>
      <c r="D475" s="38" t="s">
        <v>163</v>
      </c>
      <c r="E475" s="38"/>
      <c r="F475" s="39" t="s">
        <v>520</v>
      </c>
      <c r="G475" s="40">
        <v>13642</v>
      </c>
      <c r="H475" s="40">
        <v>4718</v>
      </c>
      <c r="I475" s="40">
        <v>2662</v>
      </c>
      <c r="J475" s="40">
        <v>6262</v>
      </c>
      <c r="K475" s="40">
        <v>16203</v>
      </c>
      <c r="L475" s="40">
        <v>9125</v>
      </c>
      <c r="M475" s="40">
        <v>2701</v>
      </c>
      <c r="N475" s="40">
        <v>4377</v>
      </c>
      <c r="O475" s="40">
        <v>21034</v>
      </c>
      <c r="P475" s="40">
        <v>13679</v>
      </c>
      <c r="Q475" s="40">
        <v>2893</v>
      </c>
      <c r="R475" s="40">
        <v>4462</v>
      </c>
      <c r="S475" s="41">
        <v>34.5843718</v>
      </c>
      <c r="T475" s="41">
        <v>19.513267800000001</v>
      </c>
      <c r="U475" s="41">
        <v>45.902360399999999</v>
      </c>
      <c r="V475" s="41">
        <v>56.316731500000003</v>
      </c>
      <c r="W475" s="41">
        <v>16.669752500000001</v>
      </c>
      <c r="X475" s="41">
        <v>27.013515999999999</v>
      </c>
      <c r="Y475" s="41">
        <v>65.032803999999999</v>
      </c>
      <c r="Z475" s="41">
        <v>13.7539222</v>
      </c>
      <c r="AA475" s="41">
        <v>21.213273699999998</v>
      </c>
    </row>
    <row r="476" spans="1:39" hidden="1" x14ac:dyDescent="0.3">
      <c r="A476" s="42">
        <v>472</v>
      </c>
      <c r="B476" s="43" t="s">
        <v>521</v>
      </c>
      <c r="C476" s="50" t="s">
        <v>157</v>
      </c>
      <c r="D476" s="50" t="s">
        <v>163</v>
      </c>
      <c r="E476" s="50" t="s">
        <v>163</v>
      </c>
      <c r="F476" s="51" t="s">
        <v>163</v>
      </c>
      <c r="G476" s="45">
        <v>6398</v>
      </c>
      <c r="H476" s="45">
        <v>2312</v>
      </c>
      <c r="I476" s="45">
        <v>1193</v>
      </c>
      <c r="J476" s="45">
        <v>2893</v>
      </c>
      <c r="K476" s="45">
        <v>7347</v>
      </c>
      <c r="L476" s="45">
        <v>4217</v>
      </c>
      <c r="M476" s="45">
        <v>1213</v>
      </c>
      <c r="N476" s="45">
        <v>1917</v>
      </c>
      <c r="O476" s="45">
        <v>8442</v>
      </c>
      <c r="P476" s="45">
        <v>5613</v>
      </c>
      <c r="Q476" s="45">
        <v>1114</v>
      </c>
      <c r="R476" s="45">
        <v>1715</v>
      </c>
      <c r="S476" s="46">
        <v>36.136292599999997</v>
      </c>
      <c r="T476" s="46">
        <v>18.646452</v>
      </c>
      <c r="U476" s="46">
        <v>45.217255399999999</v>
      </c>
      <c r="V476" s="46">
        <v>57.397577200000001</v>
      </c>
      <c r="W476" s="46">
        <v>16.510140199999999</v>
      </c>
      <c r="X476" s="46">
        <v>26.092282600000001</v>
      </c>
      <c r="Y476" s="46">
        <v>66.488983700000006</v>
      </c>
      <c r="Z476" s="46">
        <v>13.1959251</v>
      </c>
      <c r="AA476" s="46">
        <v>20.315091200000001</v>
      </c>
      <c r="AB476" s="26">
        <f>SUM(W476:X476)</f>
        <v>42.602422799999999</v>
      </c>
      <c r="AC476" s="26">
        <f>SUM(Z476:AA476)</f>
        <v>33.511016300000001</v>
      </c>
      <c r="AD476" s="57">
        <f>M476+N476</f>
        <v>3130</v>
      </c>
      <c r="AE476" s="57">
        <f>Q476+R476</f>
        <v>2829</v>
      </c>
      <c r="AF476" s="26">
        <f>W476</f>
        <v>16.510140199999999</v>
      </c>
      <c r="AG476" s="26">
        <f>Z476</f>
        <v>13.1959251</v>
      </c>
      <c r="AH476" s="26">
        <f>M476</f>
        <v>1213</v>
      </c>
      <c r="AI476" s="26">
        <f>Q476</f>
        <v>1114</v>
      </c>
      <c r="AJ476" s="26">
        <f>X476</f>
        <v>26.092282600000001</v>
      </c>
      <c r="AK476" s="26">
        <f>AA476</f>
        <v>20.315091200000001</v>
      </c>
      <c r="AL476" s="57">
        <f>N476</f>
        <v>1917</v>
      </c>
      <c r="AM476" s="57">
        <f>R476</f>
        <v>1715</v>
      </c>
    </row>
    <row r="477" spans="1:39" hidden="1" x14ac:dyDescent="0.3">
      <c r="A477" s="37">
        <v>473</v>
      </c>
      <c r="B477" s="38" t="s">
        <v>521</v>
      </c>
      <c r="C477" s="38" t="s">
        <v>157</v>
      </c>
      <c r="D477" s="38" t="s">
        <v>163</v>
      </c>
      <c r="E477" s="38" t="s">
        <v>163</v>
      </c>
      <c r="F477" s="47" t="s">
        <v>519</v>
      </c>
      <c r="G477" s="40">
        <v>502</v>
      </c>
      <c r="H477" s="40">
        <v>237</v>
      </c>
      <c r="I477" s="40">
        <v>104</v>
      </c>
      <c r="J477" s="40">
        <v>161</v>
      </c>
      <c r="K477" s="40"/>
      <c r="L477" s="40"/>
      <c r="M477" s="40"/>
      <c r="N477" s="40"/>
      <c r="O477" s="40"/>
      <c r="P477" s="40"/>
      <c r="Q477" s="40"/>
      <c r="R477" s="40"/>
      <c r="S477" s="41">
        <v>47.211155400000003</v>
      </c>
      <c r="T477" s="41">
        <v>20.717131500000001</v>
      </c>
      <c r="U477" s="41">
        <v>32.071713099999997</v>
      </c>
      <c r="V477" s="41"/>
      <c r="W477" s="41"/>
      <c r="X477" s="41"/>
      <c r="Y477" s="41"/>
      <c r="Z477" s="41"/>
      <c r="AA477" s="41"/>
    </row>
    <row r="478" spans="1:39" hidden="1" x14ac:dyDescent="0.3">
      <c r="A478" s="37">
        <v>474</v>
      </c>
      <c r="B478" s="38" t="s">
        <v>521</v>
      </c>
      <c r="C478" s="38" t="s">
        <v>157</v>
      </c>
      <c r="D478" s="38" t="s">
        <v>163</v>
      </c>
      <c r="E478" s="38" t="s">
        <v>163</v>
      </c>
      <c r="F478" s="47" t="s">
        <v>520</v>
      </c>
      <c r="G478" s="40">
        <v>5896</v>
      </c>
      <c r="H478" s="40">
        <v>2075</v>
      </c>
      <c r="I478" s="40">
        <v>1089</v>
      </c>
      <c r="J478" s="40">
        <v>2732</v>
      </c>
      <c r="K478" s="40">
        <v>7347</v>
      </c>
      <c r="L478" s="40">
        <v>4217</v>
      </c>
      <c r="M478" s="40">
        <v>1213</v>
      </c>
      <c r="N478" s="40">
        <v>1917</v>
      </c>
      <c r="O478" s="40">
        <v>8442</v>
      </c>
      <c r="P478" s="40">
        <v>5613</v>
      </c>
      <c r="Q478" s="40">
        <v>1114</v>
      </c>
      <c r="R478" s="40">
        <v>1715</v>
      </c>
      <c r="S478" s="41">
        <v>35.193351399999997</v>
      </c>
      <c r="T478" s="41">
        <v>18.470149299999999</v>
      </c>
      <c r="U478" s="41">
        <v>46.3364993</v>
      </c>
      <c r="V478" s="41">
        <v>57.397577200000001</v>
      </c>
      <c r="W478" s="41">
        <v>16.510140199999999</v>
      </c>
      <c r="X478" s="41">
        <v>26.092282600000001</v>
      </c>
      <c r="Y478" s="41">
        <v>66.488983700000006</v>
      </c>
      <c r="Z478" s="41">
        <v>13.1959251</v>
      </c>
      <c r="AA478" s="41">
        <v>20.315091200000001</v>
      </c>
    </row>
    <row r="479" spans="1:39" hidden="1" x14ac:dyDescent="0.3">
      <c r="A479" s="42">
        <v>475</v>
      </c>
      <c r="B479" s="43" t="s">
        <v>521</v>
      </c>
      <c r="C479" s="50" t="s">
        <v>157</v>
      </c>
      <c r="D479" s="50" t="s">
        <v>163</v>
      </c>
      <c r="E479" s="50" t="s">
        <v>165</v>
      </c>
      <c r="F479" s="51" t="s">
        <v>165</v>
      </c>
      <c r="G479" s="45">
        <v>3875</v>
      </c>
      <c r="H479" s="45">
        <v>1342</v>
      </c>
      <c r="I479" s="45">
        <v>799</v>
      </c>
      <c r="J479" s="45">
        <v>1734</v>
      </c>
      <c r="K479" s="45">
        <v>3936</v>
      </c>
      <c r="L479" s="45">
        <v>2390</v>
      </c>
      <c r="M479" s="45">
        <v>620</v>
      </c>
      <c r="N479" s="45">
        <v>926</v>
      </c>
      <c r="O479" s="45">
        <v>5081</v>
      </c>
      <c r="P479" s="45">
        <v>3219</v>
      </c>
      <c r="Q479" s="45">
        <v>767</v>
      </c>
      <c r="R479" s="45">
        <v>1095</v>
      </c>
      <c r="S479" s="46">
        <v>34.632258100000001</v>
      </c>
      <c r="T479" s="46">
        <v>20.6193548</v>
      </c>
      <c r="U479" s="46">
        <v>44.748387100000002</v>
      </c>
      <c r="V479" s="46">
        <v>60.721544700000003</v>
      </c>
      <c r="W479" s="46">
        <v>15.7520325</v>
      </c>
      <c r="X479" s="46">
        <v>23.526422799999999</v>
      </c>
      <c r="Y479" s="46">
        <v>63.3536705</v>
      </c>
      <c r="Z479" s="46">
        <v>15.0954537</v>
      </c>
      <c r="AA479" s="46">
        <v>21.5508758</v>
      </c>
      <c r="AB479" s="26">
        <f>SUM(W479:X479)</f>
        <v>39.278455299999997</v>
      </c>
      <c r="AC479" s="26">
        <f>SUM(Z479:AA479)</f>
        <v>36.6463295</v>
      </c>
      <c r="AD479" s="57">
        <f>M479+N479</f>
        <v>1546</v>
      </c>
      <c r="AE479" s="57">
        <f>Q479+R479</f>
        <v>1862</v>
      </c>
      <c r="AF479" s="26">
        <f>W479</f>
        <v>15.7520325</v>
      </c>
      <c r="AG479" s="26">
        <f>Z479</f>
        <v>15.0954537</v>
      </c>
      <c r="AH479" s="26">
        <f>M479</f>
        <v>620</v>
      </c>
      <c r="AI479" s="26">
        <f>Q479</f>
        <v>767</v>
      </c>
      <c r="AJ479" s="26">
        <f>X479</f>
        <v>23.526422799999999</v>
      </c>
      <c r="AK479" s="26">
        <f>AA479</f>
        <v>21.5508758</v>
      </c>
      <c r="AL479" s="57">
        <f>N479</f>
        <v>926</v>
      </c>
      <c r="AM479" s="57">
        <f>R479</f>
        <v>1095</v>
      </c>
    </row>
    <row r="480" spans="1:39" hidden="1" x14ac:dyDescent="0.3">
      <c r="A480" s="37">
        <v>476</v>
      </c>
      <c r="B480" s="38" t="s">
        <v>521</v>
      </c>
      <c r="C480" s="38" t="s">
        <v>157</v>
      </c>
      <c r="D480" s="38" t="s">
        <v>163</v>
      </c>
      <c r="E480" s="38" t="s">
        <v>165</v>
      </c>
      <c r="F480" s="47" t="s">
        <v>519</v>
      </c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1"/>
      <c r="T480" s="41"/>
      <c r="U480" s="41"/>
      <c r="V480" s="41"/>
      <c r="W480" s="41"/>
      <c r="X480" s="41"/>
      <c r="Y480" s="41"/>
      <c r="Z480" s="41"/>
      <c r="AA480" s="41"/>
    </row>
    <row r="481" spans="1:39" hidden="1" x14ac:dyDescent="0.3">
      <c r="A481" s="37">
        <v>477</v>
      </c>
      <c r="B481" s="38" t="s">
        <v>521</v>
      </c>
      <c r="C481" s="38" t="s">
        <v>157</v>
      </c>
      <c r="D481" s="38" t="s">
        <v>163</v>
      </c>
      <c r="E481" s="38" t="s">
        <v>165</v>
      </c>
      <c r="F481" s="47" t="s">
        <v>520</v>
      </c>
      <c r="G481" s="40">
        <v>3875</v>
      </c>
      <c r="H481" s="40">
        <v>1342</v>
      </c>
      <c r="I481" s="40">
        <v>799</v>
      </c>
      <c r="J481" s="40">
        <v>1734</v>
      </c>
      <c r="K481" s="40">
        <v>3936</v>
      </c>
      <c r="L481" s="40">
        <v>2390</v>
      </c>
      <c r="M481" s="40">
        <v>620</v>
      </c>
      <c r="N481" s="40">
        <v>926</v>
      </c>
      <c r="O481" s="40">
        <v>5081</v>
      </c>
      <c r="P481" s="40">
        <v>3219</v>
      </c>
      <c r="Q481" s="40">
        <v>767</v>
      </c>
      <c r="R481" s="40">
        <v>1095</v>
      </c>
      <c r="S481" s="41">
        <v>34.632258100000001</v>
      </c>
      <c r="T481" s="41">
        <v>20.6193548</v>
      </c>
      <c r="U481" s="41">
        <v>44.748387100000002</v>
      </c>
      <c r="V481" s="41">
        <v>60.721544700000003</v>
      </c>
      <c r="W481" s="41">
        <v>15.7520325</v>
      </c>
      <c r="X481" s="41">
        <v>23.526422799999999</v>
      </c>
      <c r="Y481" s="41">
        <v>63.3536705</v>
      </c>
      <c r="Z481" s="41">
        <v>15.0954537</v>
      </c>
      <c r="AA481" s="41">
        <v>21.5508758</v>
      </c>
    </row>
    <row r="482" spans="1:39" hidden="1" x14ac:dyDescent="0.3">
      <c r="A482" s="42">
        <v>478</v>
      </c>
      <c r="B482" s="43" t="s">
        <v>521</v>
      </c>
      <c r="C482" s="50" t="s">
        <v>157</v>
      </c>
      <c r="D482" s="50" t="s">
        <v>163</v>
      </c>
      <c r="E482" s="50" t="s">
        <v>166</v>
      </c>
      <c r="F482" s="51" t="s">
        <v>166</v>
      </c>
      <c r="G482" s="45">
        <v>3871</v>
      </c>
      <c r="H482" s="45">
        <v>1301</v>
      </c>
      <c r="I482" s="45">
        <v>774</v>
      </c>
      <c r="J482" s="45">
        <v>1796</v>
      </c>
      <c r="K482" s="45">
        <v>4920</v>
      </c>
      <c r="L482" s="45">
        <v>2518</v>
      </c>
      <c r="M482" s="45">
        <v>868</v>
      </c>
      <c r="N482" s="45">
        <v>1534</v>
      </c>
      <c r="O482" s="45">
        <v>7511</v>
      </c>
      <c r="P482" s="45">
        <v>4847</v>
      </c>
      <c r="Q482" s="45">
        <v>1012</v>
      </c>
      <c r="R482" s="45">
        <v>1652</v>
      </c>
      <c r="S482" s="46">
        <v>33.608886599999998</v>
      </c>
      <c r="T482" s="46">
        <v>19.994833400000001</v>
      </c>
      <c r="U482" s="46">
        <v>46.396279999999997</v>
      </c>
      <c r="V482" s="46">
        <v>51.1788618</v>
      </c>
      <c r="W482" s="46">
        <v>17.6422764</v>
      </c>
      <c r="X482" s="46">
        <v>31.1788618</v>
      </c>
      <c r="Y482" s="46">
        <v>64.532019700000006</v>
      </c>
      <c r="Z482" s="46">
        <v>13.4735721</v>
      </c>
      <c r="AA482" s="46">
        <v>21.994408199999999</v>
      </c>
      <c r="AB482" s="26">
        <f>SUM(W482:X482)</f>
        <v>48.8211382</v>
      </c>
      <c r="AC482" s="26">
        <f>SUM(Z482:AA482)</f>
        <v>35.467980300000001</v>
      </c>
      <c r="AD482" s="57">
        <f>M482+N482</f>
        <v>2402</v>
      </c>
      <c r="AE482" s="57">
        <f>Q482+R482</f>
        <v>2664</v>
      </c>
      <c r="AF482" s="26">
        <f>W482</f>
        <v>17.6422764</v>
      </c>
      <c r="AG482" s="26">
        <f>Z482</f>
        <v>13.4735721</v>
      </c>
      <c r="AH482" s="26">
        <f>M482</f>
        <v>868</v>
      </c>
      <c r="AI482" s="26">
        <f>Q482</f>
        <v>1012</v>
      </c>
      <c r="AJ482" s="26">
        <f>X482</f>
        <v>31.1788618</v>
      </c>
      <c r="AK482" s="26">
        <f>AA482</f>
        <v>21.994408199999999</v>
      </c>
      <c r="AL482" s="57">
        <f>N482</f>
        <v>1534</v>
      </c>
      <c r="AM482" s="57">
        <f>R482</f>
        <v>1652</v>
      </c>
    </row>
    <row r="483" spans="1:39" hidden="1" x14ac:dyDescent="0.3">
      <c r="A483" s="37">
        <v>479</v>
      </c>
      <c r="B483" s="38" t="s">
        <v>521</v>
      </c>
      <c r="C483" s="38" t="s">
        <v>157</v>
      </c>
      <c r="D483" s="38" t="s">
        <v>163</v>
      </c>
      <c r="E483" s="38" t="s">
        <v>166</v>
      </c>
      <c r="F483" s="47" t="s">
        <v>519</v>
      </c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1"/>
      <c r="T483" s="41"/>
      <c r="U483" s="41"/>
      <c r="V483" s="41"/>
      <c r="W483" s="41"/>
      <c r="X483" s="41"/>
      <c r="Y483" s="41"/>
      <c r="Z483" s="41"/>
      <c r="AA483" s="41"/>
    </row>
    <row r="484" spans="1:39" hidden="1" x14ac:dyDescent="0.3">
      <c r="A484" s="37">
        <v>480</v>
      </c>
      <c r="B484" s="38" t="s">
        <v>521</v>
      </c>
      <c r="C484" s="38" t="s">
        <v>157</v>
      </c>
      <c r="D484" s="38" t="s">
        <v>163</v>
      </c>
      <c r="E484" s="38" t="s">
        <v>166</v>
      </c>
      <c r="F484" s="47" t="s">
        <v>520</v>
      </c>
      <c r="G484" s="40">
        <v>3871</v>
      </c>
      <c r="H484" s="40">
        <v>1301</v>
      </c>
      <c r="I484" s="40">
        <v>774</v>
      </c>
      <c r="J484" s="40">
        <v>1796</v>
      </c>
      <c r="K484" s="40">
        <v>4920</v>
      </c>
      <c r="L484" s="40">
        <v>2518</v>
      </c>
      <c r="M484" s="40">
        <v>868</v>
      </c>
      <c r="N484" s="40">
        <v>1534</v>
      </c>
      <c r="O484" s="40">
        <v>7511</v>
      </c>
      <c r="P484" s="40">
        <v>4847</v>
      </c>
      <c r="Q484" s="40">
        <v>1012</v>
      </c>
      <c r="R484" s="40">
        <v>1652</v>
      </c>
      <c r="S484" s="41">
        <v>33.608886599999998</v>
      </c>
      <c r="T484" s="41">
        <v>19.994833400000001</v>
      </c>
      <c r="U484" s="41">
        <v>46.396279999999997</v>
      </c>
      <c r="V484" s="41">
        <v>51.1788618</v>
      </c>
      <c r="W484" s="41">
        <v>17.6422764</v>
      </c>
      <c r="X484" s="41">
        <v>31.1788618</v>
      </c>
      <c r="Y484" s="41">
        <v>64.532019700000006</v>
      </c>
      <c r="Z484" s="41">
        <v>13.4735721</v>
      </c>
      <c r="AA484" s="41">
        <v>21.994408199999999</v>
      </c>
    </row>
    <row r="485" spans="1:39" hidden="1" x14ac:dyDescent="0.3">
      <c r="A485" s="32">
        <v>481</v>
      </c>
      <c r="B485" s="33" t="s">
        <v>1</v>
      </c>
      <c r="C485" s="49" t="s">
        <v>157</v>
      </c>
      <c r="D485" s="49" t="s">
        <v>167</v>
      </c>
      <c r="E485" s="49"/>
      <c r="F485" s="34" t="s">
        <v>167</v>
      </c>
      <c r="G485" s="35">
        <v>8623</v>
      </c>
      <c r="H485" s="35">
        <v>5099</v>
      </c>
      <c r="I485" s="35">
        <v>1617</v>
      </c>
      <c r="J485" s="35">
        <v>1907</v>
      </c>
      <c r="K485" s="35">
        <v>12234</v>
      </c>
      <c r="L485" s="35">
        <v>8825</v>
      </c>
      <c r="M485" s="35">
        <v>1577</v>
      </c>
      <c r="N485" s="35">
        <v>1832</v>
      </c>
      <c r="O485" s="35">
        <v>20096</v>
      </c>
      <c r="P485" s="35">
        <v>14550</v>
      </c>
      <c r="Q485" s="35">
        <v>2191</v>
      </c>
      <c r="R485" s="35">
        <v>3355</v>
      </c>
      <c r="S485" s="36">
        <v>59.132552500000003</v>
      </c>
      <c r="T485" s="36">
        <v>18.752174400000001</v>
      </c>
      <c r="U485" s="36">
        <v>22.1152731</v>
      </c>
      <c r="V485" s="36">
        <v>72.135033500000006</v>
      </c>
      <c r="W485" s="36">
        <v>12.890305700000001</v>
      </c>
      <c r="X485" s="36">
        <v>14.974660800000001</v>
      </c>
      <c r="Y485" s="36">
        <v>72.402468200000001</v>
      </c>
      <c r="Z485" s="36">
        <v>10.9026672</v>
      </c>
      <c r="AA485" s="36">
        <v>16.694864599999999</v>
      </c>
    </row>
    <row r="486" spans="1:39" hidden="1" x14ac:dyDescent="0.3">
      <c r="A486" s="37">
        <v>482</v>
      </c>
      <c r="B486" s="38" t="s">
        <v>1</v>
      </c>
      <c r="C486" s="38" t="s">
        <v>157</v>
      </c>
      <c r="D486" s="38" t="s">
        <v>167</v>
      </c>
      <c r="E486" s="38"/>
      <c r="F486" s="39" t="s">
        <v>519</v>
      </c>
      <c r="G486" s="40">
        <v>839</v>
      </c>
      <c r="H486" s="40">
        <v>526</v>
      </c>
      <c r="I486" s="40">
        <v>138</v>
      </c>
      <c r="J486" s="40">
        <v>175</v>
      </c>
      <c r="K486" s="40">
        <v>2238</v>
      </c>
      <c r="L486" s="40">
        <v>1669</v>
      </c>
      <c r="M486" s="40">
        <v>283</v>
      </c>
      <c r="N486" s="40">
        <v>286</v>
      </c>
      <c r="O486" s="40">
        <v>8824</v>
      </c>
      <c r="P486" s="40">
        <v>5936</v>
      </c>
      <c r="Q486" s="40">
        <v>1037</v>
      </c>
      <c r="R486" s="40">
        <v>1851</v>
      </c>
      <c r="S486" s="41">
        <v>62.693683</v>
      </c>
      <c r="T486" s="41">
        <v>16.4481526</v>
      </c>
      <c r="U486" s="41">
        <v>20.858164500000001</v>
      </c>
      <c r="V486" s="41">
        <v>74.575513900000004</v>
      </c>
      <c r="W486" s="41">
        <v>12.6452189</v>
      </c>
      <c r="X486" s="41">
        <v>12.7792672</v>
      </c>
      <c r="Y486" s="41">
        <v>67.271078900000006</v>
      </c>
      <c r="Z486" s="41">
        <v>11.7520399</v>
      </c>
      <c r="AA486" s="41">
        <v>20.976881200000001</v>
      </c>
    </row>
    <row r="487" spans="1:39" hidden="1" x14ac:dyDescent="0.3">
      <c r="A487" s="37">
        <v>483</v>
      </c>
      <c r="B487" s="38" t="s">
        <v>1</v>
      </c>
      <c r="C487" s="38" t="s">
        <v>157</v>
      </c>
      <c r="D487" s="38" t="s">
        <v>167</v>
      </c>
      <c r="E487" s="38"/>
      <c r="F487" s="39" t="s">
        <v>520</v>
      </c>
      <c r="G487" s="40">
        <v>7784</v>
      </c>
      <c r="H487" s="40">
        <v>4573</v>
      </c>
      <c r="I487" s="40">
        <v>1479</v>
      </c>
      <c r="J487" s="40">
        <v>1732</v>
      </c>
      <c r="K487" s="40">
        <v>9996</v>
      </c>
      <c r="L487" s="40">
        <v>7156</v>
      </c>
      <c r="M487" s="40">
        <v>1294</v>
      </c>
      <c r="N487" s="40">
        <v>1546</v>
      </c>
      <c r="O487" s="40">
        <v>11272</v>
      </c>
      <c r="P487" s="40">
        <v>8614</v>
      </c>
      <c r="Q487" s="40">
        <v>1154</v>
      </c>
      <c r="R487" s="40">
        <v>1504</v>
      </c>
      <c r="S487" s="41">
        <v>58.748715300000001</v>
      </c>
      <c r="T487" s="41">
        <v>19.000513900000001</v>
      </c>
      <c r="U487" s="41">
        <v>22.250770800000002</v>
      </c>
      <c r="V487" s="41">
        <v>71.588635499999995</v>
      </c>
      <c r="W487" s="41">
        <v>12.9451781</v>
      </c>
      <c r="X487" s="41">
        <v>15.466186499999999</v>
      </c>
      <c r="Y487" s="41">
        <v>76.419446399999998</v>
      </c>
      <c r="Z487" s="41">
        <v>10.2377573</v>
      </c>
      <c r="AA487" s="41">
        <v>13.3427963</v>
      </c>
    </row>
    <row r="488" spans="1:39" hidden="1" x14ac:dyDescent="0.3">
      <c r="A488" s="42">
        <v>484</v>
      </c>
      <c r="B488" s="43" t="s">
        <v>521</v>
      </c>
      <c r="C488" s="50" t="s">
        <v>157</v>
      </c>
      <c r="D488" s="50" t="s">
        <v>167</v>
      </c>
      <c r="E488" s="50" t="s">
        <v>168</v>
      </c>
      <c r="F488" s="51" t="s">
        <v>168</v>
      </c>
      <c r="G488" s="45">
        <v>2246</v>
      </c>
      <c r="H488" s="45">
        <v>1285</v>
      </c>
      <c r="I488" s="45">
        <v>441</v>
      </c>
      <c r="J488" s="45">
        <v>520</v>
      </c>
      <c r="K488" s="45">
        <v>2593</v>
      </c>
      <c r="L488" s="45">
        <v>1974</v>
      </c>
      <c r="M488" s="45">
        <v>311</v>
      </c>
      <c r="N488" s="45">
        <v>308</v>
      </c>
      <c r="O488" s="45">
        <v>4030</v>
      </c>
      <c r="P488" s="45">
        <v>3166</v>
      </c>
      <c r="Q488" s="45">
        <v>411</v>
      </c>
      <c r="R488" s="45">
        <v>453</v>
      </c>
      <c r="S488" s="46">
        <v>57.212822799999998</v>
      </c>
      <c r="T488" s="46">
        <v>19.6349065</v>
      </c>
      <c r="U488" s="46">
        <v>23.152270699999999</v>
      </c>
      <c r="V488" s="46">
        <v>76.128037000000006</v>
      </c>
      <c r="W488" s="46">
        <v>11.9938295</v>
      </c>
      <c r="X488" s="46">
        <v>11.878133399999999</v>
      </c>
      <c r="Y488" s="46">
        <v>78.560794000000001</v>
      </c>
      <c r="Z488" s="46">
        <v>10.1985112</v>
      </c>
      <c r="AA488" s="46">
        <v>11.2406948</v>
      </c>
      <c r="AB488" s="26">
        <f>SUM(W488:X488)</f>
        <v>23.8719629</v>
      </c>
      <c r="AC488" s="26">
        <f>SUM(Z488:AA488)</f>
        <v>21.439205999999999</v>
      </c>
      <c r="AD488" s="57">
        <f>M488+N488</f>
        <v>619</v>
      </c>
      <c r="AE488" s="57">
        <f>Q488+R488</f>
        <v>864</v>
      </c>
      <c r="AF488" s="26">
        <f>W488</f>
        <v>11.9938295</v>
      </c>
      <c r="AG488" s="26">
        <f>Z488</f>
        <v>10.1985112</v>
      </c>
      <c r="AH488" s="26">
        <f>M488</f>
        <v>311</v>
      </c>
      <c r="AI488" s="26">
        <f>Q488</f>
        <v>411</v>
      </c>
      <c r="AJ488" s="26">
        <f>X488</f>
        <v>11.878133399999999</v>
      </c>
      <c r="AK488" s="26">
        <f>AA488</f>
        <v>11.2406948</v>
      </c>
      <c r="AL488" s="57">
        <f>N488</f>
        <v>308</v>
      </c>
      <c r="AM488" s="57">
        <f>R488</f>
        <v>453</v>
      </c>
    </row>
    <row r="489" spans="1:39" hidden="1" x14ac:dyDescent="0.3">
      <c r="A489" s="37">
        <v>485</v>
      </c>
      <c r="B489" s="38" t="s">
        <v>521</v>
      </c>
      <c r="C489" s="38" t="s">
        <v>157</v>
      </c>
      <c r="D489" s="38" t="s">
        <v>167</v>
      </c>
      <c r="E489" s="38" t="s">
        <v>168</v>
      </c>
      <c r="F489" s="47" t="s">
        <v>519</v>
      </c>
      <c r="G489" s="40">
        <v>839</v>
      </c>
      <c r="H489" s="40">
        <v>526</v>
      </c>
      <c r="I489" s="40">
        <v>138</v>
      </c>
      <c r="J489" s="40">
        <v>175</v>
      </c>
      <c r="K489" s="40">
        <v>1084</v>
      </c>
      <c r="L489" s="40">
        <v>866</v>
      </c>
      <c r="M489" s="40">
        <v>113</v>
      </c>
      <c r="N489" s="40">
        <v>105</v>
      </c>
      <c r="O489" s="40">
        <v>1431</v>
      </c>
      <c r="P489" s="40">
        <v>1189</v>
      </c>
      <c r="Q489" s="40">
        <v>119</v>
      </c>
      <c r="R489" s="40">
        <v>123</v>
      </c>
      <c r="S489" s="41">
        <v>62.693683</v>
      </c>
      <c r="T489" s="41">
        <v>16.4481526</v>
      </c>
      <c r="U489" s="41">
        <v>20.858164500000001</v>
      </c>
      <c r="V489" s="41">
        <v>79.8892989</v>
      </c>
      <c r="W489" s="41">
        <v>10.4243542</v>
      </c>
      <c r="X489" s="41">
        <v>9.6863469000000002</v>
      </c>
      <c r="Y489" s="41">
        <v>83.088749100000001</v>
      </c>
      <c r="Z489" s="41">
        <v>8.3158630000000002</v>
      </c>
      <c r="AA489" s="41">
        <v>8.5953877999999992</v>
      </c>
    </row>
    <row r="490" spans="1:39" hidden="1" x14ac:dyDescent="0.3">
      <c r="A490" s="37">
        <v>486</v>
      </c>
      <c r="B490" s="38" t="s">
        <v>521</v>
      </c>
      <c r="C490" s="38" t="s">
        <v>157</v>
      </c>
      <c r="D490" s="38" t="s">
        <v>167</v>
      </c>
      <c r="E490" s="38" t="s">
        <v>168</v>
      </c>
      <c r="F490" s="47" t="s">
        <v>520</v>
      </c>
      <c r="G490" s="40">
        <v>1407</v>
      </c>
      <c r="H490" s="40">
        <v>759</v>
      </c>
      <c r="I490" s="40">
        <v>303</v>
      </c>
      <c r="J490" s="40">
        <v>345</v>
      </c>
      <c r="K490" s="40">
        <v>1509</v>
      </c>
      <c r="L490" s="40">
        <v>1108</v>
      </c>
      <c r="M490" s="40">
        <v>198</v>
      </c>
      <c r="N490" s="40">
        <v>203</v>
      </c>
      <c r="O490" s="40">
        <v>2599</v>
      </c>
      <c r="P490" s="40">
        <v>1977</v>
      </c>
      <c r="Q490" s="40">
        <v>292</v>
      </c>
      <c r="R490" s="40">
        <v>330</v>
      </c>
      <c r="S490" s="41">
        <v>53.944562900000001</v>
      </c>
      <c r="T490" s="41">
        <v>21.5351812</v>
      </c>
      <c r="U490" s="41">
        <v>24.520255899999999</v>
      </c>
      <c r="V490" s="41">
        <v>73.426109999999994</v>
      </c>
      <c r="W490" s="41">
        <v>13.121272400000001</v>
      </c>
      <c r="X490" s="41">
        <v>13.4526176</v>
      </c>
      <c r="Y490" s="41">
        <v>76.067718400000004</v>
      </c>
      <c r="Z490" s="41">
        <v>11.235090400000001</v>
      </c>
      <c r="AA490" s="41">
        <v>12.697191200000001</v>
      </c>
    </row>
    <row r="491" spans="1:39" hidden="1" x14ac:dyDescent="0.3">
      <c r="A491" s="42">
        <v>487</v>
      </c>
      <c r="B491" s="43" t="s">
        <v>521</v>
      </c>
      <c r="C491" s="50" t="s">
        <v>157</v>
      </c>
      <c r="D491" s="50" t="s">
        <v>167</v>
      </c>
      <c r="E491" s="50" t="s">
        <v>169</v>
      </c>
      <c r="F491" s="51" t="s">
        <v>169</v>
      </c>
      <c r="G491" s="45">
        <v>2650</v>
      </c>
      <c r="H491" s="45">
        <v>1479</v>
      </c>
      <c r="I491" s="45">
        <v>479</v>
      </c>
      <c r="J491" s="45">
        <v>692</v>
      </c>
      <c r="K491" s="45">
        <v>2636</v>
      </c>
      <c r="L491" s="45">
        <v>1923</v>
      </c>
      <c r="M491" s="45">
        <v>322</v>
      </c>
      <c r="N491" s="45">
        <v>391</v>
      </c>
      <c r="O491" s="45">
        <v>3362</v>
      </c>
      <c r="P491" s="45">
        <v>2610</v>
      </c>
      <c r="Q491" s="45">
        <v>309</v>
      </c>
      <c r="R491" s="45">
        <v>443</v>
      </c>
      <c r="S491" s="46">
        <v>55.811320799999997</v>
      </c>
      <c r="T491" s="46">
        <v>18.075471700000001</v>
      </c>
      <c r="U491" s="46">
        <v>26.113207500000001</v>
      </c>
      <c r="V491" s="46">
        <v>72.951441599999995</v>
      </c>
      <c r="W491" s="46">
        <v>12.215477999999999</v>
      </c>
      <c r="X491" s="46">
        <v>14.8330804</v>
      </c>
      <c r="Y491" s="46">
        <v>77.632361700000004</v>
      </c>
      <c r="Z491" s="46">
        <v>9.1909577999999996</v>
      </c>
      <c r="AA491" s="46">
        <v>13.1766805</v>
      </c>
      <c r="AB491" s="26">
        <f>SUM(W491:X491)</f>
        <v>27.048558399999997</v>
      </c>
      <c r="AC491" s="26">
        <f>SUM(Z491:AA491)</f>
        <v>22.367638299999999</v>
      </c>
      <c r="AD491" s="57">
        <f>M491+N491</f>
        <v>713</v>
      </c>
      <c r="AE491" s="57">
        <f>Q491+R491</f>
        <v>752</v>
      </c>
      <c r="AF491" s="26">
        <f>W491</f>
        <v>12.215477999999999</v>
      </c>
      <c r="AG491" s="26">
        <f>Z491</f>
        <v>9.1909577999999996</v>
      </c>
      <c r="AH491" s="26">
        <f>M491</f>
        <v>322</v>
      </c>
      <c r="AI491" s="26">
        <f>Q491</f>
        <v>309</v>
      </c>
      <c r="AJ491" s="26">
        <f>X491</f>
        <v>14.8330804</v>
      </c>
      <c r="AK491" s="26">
        <f>AA491</f>
        <v>13.1766805</v>
      </c>
      <c r="AL491" s="57">
        <f>N491</f>
        <v>391</v>
      </c>
      <c r="AM491" s="57">
        <f>R491</f>
        <v>443</v>
      </c>
    </row>
    <row r="492" spans="1:39" hidden="1" x14ac:dyDescent="0.3">
      <c r="A492" s="37">
        <v>488</v>
      </c>
      <c r="B492" s="38" t="s">
        <v>521</v>
      </c>
      <c r="C492" s="38" t="s">
        <v>157</v>
      </c>
      <c r="D492" s="38" t="s">
        <v>167</v>
      </c>
      <c r="E492" s="38" t="s">
        <v>169</v>
      </c>
      <c r="F492" s="47" t="s">
        <v>519</v>
      </c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1"/>
      <c r="T492" s="41"/>
      <c r="U492" s="41"/>
      <c r="V492" s="41"/>
      <c r="W492" s="41"/>
      <c r="X492" s="41"/>
      <c r="Y492" s="41"/>
      <c r="Z492" s="41"/>
      <c r="AA492" s="41"/>
    </row>
    <row r="493" spans="1:39" hidden="1" x14ac:dyDescent="0.3">
      <c r="A493" s="37">
        <v>489</v>
      </c>
      <c r="B493" s="38" t="s">
        <v>521</v>
      </c>
      <c r="C493" s="38" t="s">
        <v>157</v>
      </c>
      <c r="D493" s="38" t="s">
        <v>167</v>
      </c>
      <c r="E493" s="38" t="s">
        <v>169</v>
      </c>
      <c r="F493" s="47" t="s">
        <v>520</v>
      </c>
      <c r="G493" s="40">
        <v>2650</v>
      </c>
      <c r="H493" s="40">
        <v>1479</v>
      </c>
      <c r="I493" s="40">
        <v>479</v>
      </c>
      <c r="J493" s="40">
        <v>692</v>
      </c>
      <c r="K493" s="40">
        <v>2636</v>
      </c>
      <c r="L493" s="40">
        <v>1923</v>
      </c>
      <c r="M493" s="40">
        <v>322</v>
      </c>
      <c r="N493" s="40">
        <v>391</v>
      </c>
      <c r="O493" s="40">
        <v>3362</v>
      </c>
      <c r="P493" s="40">
        <v>2610</v>
      </c>
      <c r="Q493" s="40">
        <v>309</v>
      </c>
      <c r="R493" s="40">
        <v>443</v>
      </c>
      <c r="S493" s="41">
        <v>55.811320799999997</v>
      </c>
      <c r="T493" s="41">
        <v>18.075471700000001</v>
      </c>
      <c r="U493" s="41">
        <v>26.113207500000001</v>
      </c>
      <c r="V493" s="41">
        <v>72.951441599999995</v>
      </c>
      <c r="W493" s="41">
        <v>12.215477999999999</v>
      </c>
      <c r="X493" s="41">
        <v>14.8330804</v>
      </c>
      <c r="Y493" s="41">
        <v>77.632361700000004</v>
      </c>
      <c r="Z493" s="41">
        <v>9.1909577999999996</v>
      </c>
      <c r="AA493" s="41">
        <v>13.1766805</v>
      </c>
    </row>
    <row r="494" spans="1:39" hidden="1" x14ac:dyDescent="0.3">
      <c r="A494" s="42">
        <v>490</v>
      </c>
      <c r="B494" s="43" t="s">
        <v>521</v>
      </c>
      <c r="C494" s="50" t="s">
        <v>157</v>
      </c>
      <c r="D494" s="50" t="s">
        <v>167</v>
      </c>
      <c r="E494" s="50" t="s">
        <v>171</v>
      </c>
      <c r="F494" s="51" t="s">
        <v>171</v>
      </c>
      <c r="G494" s="45">
        <v>2538</v>
      </c>
      <c r="H494" s="45">
        <v>1697</v>
      </c>
      <c r="I494" s="45">
        <v>461</v>
      </c>
      <c r="J494" s="45">
        <v>380</v>
      </c>
      <c r="K494" s="45">
        <v>5532</v>
      </c>
      <c r="L494" s="45">
        <v>3909</v>
      </c>
      <c r="M494" s="45">
        <v>752</v>
      </c>
      <c r="N494" s="45">
        <v>871</v>
      </c>
      <c r="O494" s="45">
        <v>10848</v>
      </c>
      <c r="P494" s="45">
        <v>7485</v>
      </c>
      <c r="Q494" s="45">
        <v>1238</v>
      </c>
      <c r="R494" s="45">
        <v>2125</v>
      </c>
      <c r="S494" s="46">
        <v>66.863672199999996</v>
      </c>
      <c r="T494" s="46">
        <v>18.163908599999999</v>
      </c>
      <c r="U494" s="46">
        <v>14.972419199999999</v>
      </c>
      <c r="V494" s="46">
        <v>70.661605199999997</v>
      </c>
      <c r="W494" s="46">
        <v>13.593636999999999</v>
      </c>
      <c r="X494" s="46">
        <v>15.7447578</v>
      </c>
      <c r="Y494" s="46">
        <v>68.998893800000005</v>
      </c>
      <c r="Z494" s="46">
        <v>11.4122419</v>
      </c>
      <c r="AA494" s="46">
        <v>19.588864300000001</v>
      </c>
      <c r="AB494" s="26">
        <f>SUM(W494:X494)</f>
        <v>29.3383948</v>
      </c>
      <c r="AC494" s="26">
        <f>SUM(Z494:AA494)</f>
        <v>31.001106200000002</v>
      </c>
      <c r="AD494" s="57">
        <f>M494+N494</f>
        <v>1623</v>
      </c>
      <c r="AE494" s="57">
        <f>Q494+R494</f>
        <v>3363</v>
      </c>
      <c r="AF494" s="26">
        <f>W494</f>
        <v>13.593636999999999</v>
      </c>
      <c r="AG494" s="26">
        <f>Z494</f>
        <v>11.4122419</v>
      </c>
      <c r="AH494" s="26">
        <f>M494</f>
        <v>752</v>
      </c>
      <c r="AI494" s="26">
        <f>Q494</f>
        <v>1238</v>
      </c>
      <c r="AJ494" s="26">
        <f>X494</f>
        <v>15.7447578</v>
      </c>
      <c r="AK494" s="26">
        <f>AA494</f>
        <v>19.588864300000001</v>
      </c>
      <c r="AL494" s="57">
        <f>N494</f>
        <v>871</v>
      </c>
      <c r="AM494" s="57">
        <f>R494</f>
        <v>2125</v>
      </c>
    </row>
    <row r="495" spans="1:39" hidden="1" x14ac:dyDescent="0.3">
      <c r="A495" s="37">
        <v>491</v>
      </c>
      <c r="B495" s="38" t="s">
        <v>521</v>
      </c>
      <c r="C495" s="38" t="s">
        <v>157</v>
      </c>
      <c r="D495" s="38" t="s">
        <v>167</v>
      </c>
      <c r="E495" s="38" t="s">
        <v>171</v>
      </c>
      <c r="F495" s="47" t="s">
        <v>519</v>
      </c>
      <c r="G495" s="40"/>
      <c r="H495" s="40"/>
      <c r="I495" s="40"/>
      <c r="J495" s="40"/>
      <c r="K495" s="40">
        <v>1154</v>
      </c>
      <c r="L495" s="40">
        <v>803</v>
      </c>
      <c r="M495" s="40">
        <v>170</v>
      </c>
      <c r="N495" s="40">
        <v>181</v>
      </c>
      <c r="O495" s="40">
        <v>7393</v>
      </c>
      <c r="P495" s="40">
        <v>4747</v>
      </c>
      <c r="Q495" s="40">
        <v>918</v>
      </c>
      <c r="R495" s="40">
        <v>1728</v>
      </c>
      <c r="S495" s="41"/>
      <c r="T495" s="41"/>
      <c r="U495" s="41"/>
      <c r="V495" s="41">
        <v>69.584055500000005</v>
      </c>
      <c r="W495" s="41">
        <v>14.7313692</v>
      </c>
      <c r="X495" s="41">
        <v>15.6845754</v>
      </c>
      <c r="Y495" s="41">
        <v>64.209387300000003</v>
      </c>
      <c r="Z495" s="41">
        <v>12.4171514</v>
      </c>
      <c r="AA495" s="41">
        <v>23.3734614</v>
      </c>
    </row>
    <row r="496" spans="1:39" hidden="1" x14ac:dyDescent="0.3">
      <c r="A496" s="37">
        <v>492</v>
      </c>
      <c r="B496" s="38" t="s">
        <v>521</v>
      </c>
      <c r="C496" s="38" t="s">
        <v>157</v>
      </c>
      <c r="D496" s="38" t="s">
        <v>167</v>
      </c>
      <c r="E496" s="38" t="s">
        <v>171</v>
      </c>
      <c r="F496" s="47" t="s">
        <v>520</v>
      </c>
      <c r="G496" s="40">
        <v>2538</v>
      </c>
      <c r="H496" s="40">
        <v>1697</v>
      </c>
      <c r="I496" s="40">
        <v>461</v>
      </c>
      <c r="J496" s="40">
        <v>380</v>
      </c>
      <c r="K496" s="40">
        <v>4378</v>
      </c>
      <c r="L496" s="40">
        <v>3106</v>
      </c>
      <c r="M496" s="40">
        <v>582</v>
      </c>
      <c r="N496" s="40">
        <v>690</v>
      </c>
      <c r="O496" s="40">
        <v>3455</v>
      </c>
      <c r="P496" s="40">
        <v>2738</v>
      </c>
      <c r="Q496" s="40">
        <v>320</v>
      </c>
      <c r="R496" s="40">
        <v>397</v>
      </c>
      <c r="S496" s="41">
        <v>66.863672199999996</v>
      </c>
      <c r="T496" s="41">
        <v>18.163908599999999</v>
      </c>
      <c r="U496" s="41">
        <v>14.972419199999999</v>
      </c>
      <c r="V496" s="41">
        <v>70.945637300000001</v>
      </c>
      <c r="W496" s="41">
        <v>13.2937414</v>
      </c>
      <c r="X496" s="41">
        <v>15.7606213</v>
      </c>
      <c r="Y496" s="41">
        <v>79.247467400000005</v>
      </c>
      <c r="Z496" s="41">
        <v>9.2619392000000005</v>
      </c>
      <c r="AA496" s="41">
        <v>11.4905933</v>
      </c>
    </row>
    <row r="497" spans="1:39" hidden="1" x14ac:dyDescent="0.3">
      <c r="A497" s="42">
        <v>493</v>
      </c>
      <c r="B497" s="43" t="s">
        <v>521</v>
      </c>
      <c r="C497" s="50" t="s">
        <v>157</v>
      </c>
      <c r="D497" s="50" t="s">
        <v>167</v>
      </c>
      <c r="E497" s="50" t="s">
        <v>172</v>
      </c>
      <c r="F497" s="51" t="s">
        <v>172</v>
      </c>
      <c r="G497" s="45">
        <v>1189</v>
      </c>
      <c r="H497" s="45">
        <v>638</v>
      </c>
      <c r="I497" s="45">
        <v>236</v>
      </c>
      <c r="J497" s="45">
        <v>315</v>
      </c>
      <c r="K497" s="45">
        <v>1473</v>
      </c>
      <c r="L497" s="45">
        <v>1019</v>
      </c>
      <c r="M497" s="45">
        <v>192</v>
      </c>
      <c r="N497" s="45">
        <v>262</v>
      </c>
      <c r="O497" s="45">
        <v>1856</v>
      </c>
      <c r="P497" s="45">
        <v>1289</v>
      </c>
      <c r="Q497" s="45">
        <v>233</v>
      </c>
      <c r="R497" s="45">
        <v>334</v>
      </c>
      <c r="S497" s="46">
        <v>53.658536599999998</v>
      </c>
      <c r="T497" s="46">
        <v>19.848612299999999</v>
      </c>
      <c r="U497" s="46">
        <v>26.492851099999999</v>
      </c>
      <c r="V497" s="46">
        <v>69.178547199999997</v>
      </c>
      <c r="W497" s="46">
        <v>13.0346232</v>
      </c>
      <c r="X497" s="46">
        <v>17.786829600000001</v>
      </c>
      <c r="Y497" s="46">
        <v>69.450430999999995</v>
      </c>
      <c r="Z497" s="46">
        <v>12.5538793</v>
      </c>
      <c r="AA497" s="46">
        <v>17.9956897</v>
      </c>
      <c r="AB497" s="26">
        <f>SUM(W497:X497)</f>
        <v>30.821452800000003</v>
      </c>
      <c r="AC497" s="26">
        <f>SUM(Z497:AA497)</f>
        <v>30.549568999999998</v>
      </c>
      <c r="AD497" s="57">
        <f>M497+N497</f>
        <v>454</v>
      </c>
      <c r="AE497" s="57">
        <f>Q497+R497</f>
        <v>567</v>
      </c>
      <c r="AF497" s="26">
        <f>W497</f>
        <v>13.0346232</v>
      </c>
      <c r="AG497" s="26">
        <f>Z497</f>
        <v>12.5538793</v>
      </c>
      <c r="AH497" s="26">
        <f>M497</f>
        <v>192</v>
      </c>
      <c r="AI497" s="26">
        <f>Q497</f>
        <v>233</v>
      </c>
      <c r="AJ497" s="26">
        <f>X497</f>
        <v>17.786829600000001</v>
      </c>
      <c r="AK497" s="26">
        <f>AA497</f>
        <v>17.9956897</v>
      </c>
      <c r="AL497" s="57">
        <f>N497</f>
        <v>262</v>
      </c>
      <c r="AM497" s="57">
        <f>R497</f>
        <v>334</v>
      </c>
    </row>
    <row r="498" spans="1:39" hidden="1" x14ac:dyDescent="0.3">
      <c r="A498" s="37">
        <v>494</v>
      </c>
      <c r="B498" s="38" t="s">
        <v>521</v>
      </c>
      <c r="C498" s="38" t="s">
        <v>157</v>
      </c>
      <c r="D498" s="38" t="s">
        <v>167</v>
      </c>
      <c r="E498" s="38" t="s">
        <v>172</v>
      </c>
      <c r="F498" s="47" t="s">
        <v>519</v>
      </c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1"/>
      <c r="T498" s="41"/>
      <c r="U498" s="41"/>
      <c r="V498" s="41"/>
      <c r="W498" s="41"/>
      <c r="X498" s="41"/>
      <c r="Y498" s="41"/>
      <c r="Z498" s="41"/>
      <c r="AA498" s="41"/>
    </row>
    <row r="499" spans="1:39" hidden="1" x14ac:dyDescent="0.3">
      <c r="A499" s="37">
        <v>495</v>
      </c>
      <c r="B499" s="38" t="s">
        <v>521</v>
      </c>
      <c r="C499" s="38" t="s">
        <v>157</v>
      </c>
      <c r="D499" s="38" t="s">
        <v>167</v>
      </c>
      <c r="E499" s="38" t="s">
        <v>172</v>
      </c>
      <c r="F499" s="47" t="s">
        <v>520</v>
      </c>
      <c r="G499" s="40">
        <v>1189</v>
      </c>
      <c r="H499" s="40">
        <v>638</v>
      </c>
      <c r="I499" s="40">
        <v>236</v>
      </c>
      <c r="J499" s="40">
        <v>315</v>
      </c>
      <c r="K499" s="40">
        <v>1473</v>
      </c>
      <c r="L499" s="40">
        <v>1019</v>
      </c>
      <c r="M499" s="40">
        <v>192</v>
      </c>
      <c r="N499" s="40">
        <v>262</v>
      </c>
      <c r="O499" s="40">
        <v>1856</v>
      </c>
      <c r="P499" s="40">
        <v>1289</v>
      </c>
      <c r="Q499" s="40">
        <v>233</v>
      </c>
      <c r="R499" s="40">
        <v>334</v>
      </c>
      <c r="S499" s="41">
        <v>53.658536599999998</v>
      </c>
      <c r="T499" s="41">
        <v>19.848612299999999</v>
      </c>
      <c r="U499" s="41">
        <v>26.492851099999999</v>
      </c>
      <c r="V499" s="41">
        <v>69.178547199999997</v>
      </c>
      <c r="W499" s="41">
        <v>13.0346232</v>
      </c>
      <c r="X499" s="41">
        <v>17.786829600000001</v>
      </c>
      <c r="Y499" s="41">
        <v>69.450430999999995</v>
      </c>
      <c r="Z499" s="41">
        <v>12.5538793</v>
      </c>
      <c r="AA499" s="41">
        <v>17.9956897</v>
      </c>
    </row>
    <row r="500" spans="1:39" hidden="1" x14ac:dyDescent="0.3">
      <c r="A500" s="32">
        <v>496</v>
      </c>
      <c r="B500" s="33" t="s">
        <v>1</v>
      </c>
      <c r="C500" s="49" t="s">
        <v>157</v>
      </c>
      <c r="D500" s="49" t="s">
        <v>173</v>
      </c>
      <c r="E500" s="49"/>
      <c r="F500" s="34" t="s">
        <v>173</v>
      </c>
      <c r="G500" s="35">
        <v>6290</v>
      </c>
      <c r="H500" s="35">
        <v>3418</v>
      </c>
      <c r="I500" s="35">
        <v>1309</v>
      </c>
      <c r="J500" s="35">
        <v>1563</v>
      </c>
      <c r="K500" s="35">
        <v>6346</v>
      </c>
      <c r="L500" s="35">
        <v>4824</v>
      </c>
      <c r="M500" s="35">
        <v>769</v>
      </c>
      <c r="N500" s="35">
        <v>753</v>
      </c>
      <c r="O500" s="35">
        <v>7847</v>
      </c>
      <c r="P500" s="35">
        <v>6306</v>
      </c>
      <c r="Q500" s="35">
        <v>724</v>
      </c>
      <c r="R500" s="35">
        <v>817</v>
      </c>
      <c r="S500" s="36">
        <v>54.340222599999997</v>
      </c>
      <c r="T500" s="36">
        <v>20.810810799999999</v>
      </c>
      <c r="U500" s="36">
        <v>24.848966600000001</v>
      </c>
      <c r="V500" s="36">
        <v>76.016388300000003</v>
      </c>
      <c r="W500" s="36">
        <v>12.117869499999999</v>
      </c>
      <c r="X500" s="36">
        <v>11.8657422</v>
      </c>
      <c r="Y500" s="36">
        <v>80.361921800000005</v>
      </c>
      <c r="Z500" s="36">
        <v>9.2264560000000007</v>
      </c>
      <c r="AA500" s="36">
        <v>10.411622299999999</v>
      </c>
    </row>
    <row r="501" spans="1:39" hidden="1" x14ac:dyDescent="0.3">
      <c r="A501" s="37">
        <v>497</v>
      </c>
      <c r="B501" s="38" t="s">
        <v>1</v>
      </c>
      <c r="C501" s="38" t="s">
        <v>157</v>
      </c>
      <c r="D501" s="38" t="s">
        <v>173</v>
      </c>
      <c r="E501" s="38"/>
      <c r="F501" s="39" t="s">
        <v>519</v>
      </c>
      <c r="G501" s="40">
        <v>883</v>
      </c>
      <c r="H501" s="40">
        <v>506</v>
      </c>
      <c r="I501" s="40">
        <v>173</v>
      </c>
      <c r="J501" s="40">
        <v>204</v>
      </c>
      <c r="K501" s="40">
        <v>1047</v>
      </c>
      <c r="L501" s="40">
        <v>783</v>
      </c>
      <c r="M501" s="40">
        <v>149</v>
      </c>
      <c r="N501" s="40">
        <v>115</v>
      </c>
      <c r="O501" s="40">
        <v>1373</v>
      </c>
      <c r="P501" s="40">
        <v>1120</v>
      </c>
      <c r="Q501" s="40">
        <v>136</v>
      </c>
      <c r="R501" s="40">
        <v>117</v>
      </c>
      <c r="S501" s="41">
        <v>57.304643300000002</v>
      </c>
      <c r="T501" s="41">
        <v>19.592299000000001</v>
      </c>
      <c r="U501" s="41">
        <v>23.103057799999998</v>
      </c>
      <c r="V501" s="41">
        <v>74.785100299999996</v>
      </c>
      <c r="W501" s="41">
        <v>14.231136599999999</v>
      </c>
      <c r="X501" s="41">
        <v>10.983763099999999</v>
      </c>
      <c r="Y501" s="41">
        <v>81.573197399999998</v>
      </c>
      <c r="Z501" s="41">
        <v>9.9053167999999996</v>
      </c>
      <c r="AA501" s="41">
        <v>8.5214858000000007</v>
      </c>
    </row>
    <row r="502" spans="1:39" hidden="1" x14ac:dyDescent="0.3">
      <c r="A502" s="37">
        <v>498</v>
      </c>
      <c r="B502" s="38" t="s">
        <v>1</v>
      </c>
      <c r="C502" s="38" t="s">
        <v>157</v>
      </c>
      <c r="D502" s="38" t="s">
        <v>173</v>
      </c>
      <c r="E502" s="38"/>
      <c r="F502" s="39" t="s">
        <v>520</v>
      </c>
      <c r="G502" s="40">
        <v>5407</v>
      </c>
      <c r="H502" s="40">
        <v>2912</v>
      </c>
      <c r="I502" s="40">
        <v>1136</v>
      </c>
      <c r="J502" s="40">
        <v>1359</v>
      </c>
      <c r="K502" s="40">
        <v>5299</v>
      </c>
      <c r="L502" s="40">
        <v>4041</v>
      </c>
      <c r="M502" s="40">
        <v>620</v>
      </c>
      <c r="N502" s="40">
        <v>638</v>
      </c>
      <c r="O502" s="40">
        <v>6474</v>
      </c>
      <c r="P502" s="40">
        <v>5186</v>
      </c>
      <c r="Q502" s="40">
        <v>588</v>
      </c>
      <c r="R502" s="40">
        <v>700</v>
      </c>
      <c r="S502" s="41">
        <v>53.856112400000001</v>
      </c>
      <c r="T502" s="41">
        <v>21.009802100000002</v>
      </c>
      <c r="U502" s="41">
        <v>25.1340854</v>
      </c>
      <c r="V502" s="41">
        <v>76.259671600000004</v>
      </c>
      <c r="W502" s="41">
        <v>11.7003208</v>
      </c>
      <c r="X502" s="41">
        <v>12.0400075</v>
      </c>
      <c r="Y502" s="41">
        <v>80.1050355</v>
      </c>
      <c r="Z502" s="41">
        <v>9.0824838000000003</v>
      </c>
      <c r="AA502" s="41">
        <v>10.8124807</v>
      </c>
    </row>
    <row r="503" spans="1:39" hidden="1" x14ac:dyDescent="0.3">
      <c r="A503" s="42">
        <v>499</v>
      </c>
      <c r="B503" s="43" t="s">
        <v>521</v>
      </c>
      <c r="C503" s="50" t="s">
        <v>157</v>
      </c>
      <c r="D503" s="50" t="s">
        <v>173</v>
      </c>
      <c r="E503" s="50" t="s">
        <v>173</v>
      </c>
      <c r="F503" s="51" t="s">
        <v>173</v>
      </c>
      <c r="G503" s="45">
        <v>3081</v>
      </c>
      <c r="H503" s="45">
        <v>1823</v>
      </c>
      <c r="I503" s="45">
        <v>591</v>
      </c>
      <c r="J503" s="45">
        <v>667</v>
      </c>
      <c r="K503" s="45">
        <v>3144</v>
      </c>
      <c r="L503" s="45">
        <v>2408</v>
      </c>
      <c r="M503" s="45">
        <v>389</v>
      </c>
      <c r="N503" s="45">
        <v>347</v>
      </c>
      <c r="O503" s="45">
        <v>4241</v>
      </c>
      <c r="P503" s="45">
        <v>3381</v>
      </c>
      <c r="Q503" s="45">
        <v>401</v>
      </c>
      <c r="R503" s="45">
        <v>459</v>
      </c>
      <c r="S503" s="46">
        <v>59.169100899999997</v>
      </c>
      <c r="T503" s="46">
        <v>19.1820837</v>
      </c>
      <c r="U503" s="46">
        <v>21.648815299999999</v>
      </c>
      <c r="V503" s="46">
        <v>76.590330800000004</v>
      </c>
      <c r="W503" s="46">
        <v>12.372773499999999</v>
      </c>
      <c r="X503" s="46">
        <v>11.036895700000001</v>
      </c>
      <c r="Y503" s="46">
        <v>79.721763699999997</v>
      </c>
      <c r="Z503" s="46">
        <v>9.4553171000000003</v>
      </c>
      <c r="AA503" s="46">
        <v>10.8229191</v>
      </c>
      <c r="AB503" s="26">
        <f>SUM(W503:X503)</f>
        <v>23.4096692</v>
      </c>
      <c r="AC503" s="26">
        <f>SUM(Z503:AA503)</f>
        <v>20.278236200000002</v>
      </c>
      <c r="AD503" s="57">
        <f>M503+N503</f>
        <v>736</v>
      </c>
      <c r="AE503" s="57">
        <f>Q503+R503</f>
        <v>860</v>
      </c>
      <c r="AF503" s="26">
        <f>W503</f>
        <v>12.372773499999999</v>
      </c>
      <c r="AG503" s="26">
        <f>Z503</f>
        <v>9.4553171000000003</v>
      </c>
      <c r="AH503" s="26">
        <f>M503</f>
        <v>389</v>
      </c>
      <c r="AI503" s="26">
        <f>Q503</f>
        <v>401</v>
      </c>
      <c r="AJ503" s="26">
        <f>X503</f>
        <v>11.036895700000001</v>
      </c>
      <c r="AK503" s="26">
        <f>AA503</f>
        <v>10.8229191</v>
      </c>
      <c r="AL503" s="57">
        <f>N503</f>
        <v>347</v>
      </c>
      <c r="AM503" s="57">
        <f>R503</f>
        <v>459</v>
      </c>
    </row>
    <row r="504" spans="1:39" hidden="1" x14ac:dyDescent="0.3">
      <c r="A504" s="37">
        <v>500</v>
      </c>
      <c r="B504" s="38" t="s">
        <v>521</v>
      </c>
      <c r="C504" s="38" t="s">
        <v>157</v>
      </c>
      <c r="D504" s="38" t="s">
        <v>173</v>
      </c>
      <c r="E504" s="38" t="s">
        <v>173</v>
      </c>
      <c r="F504" s="47" t="s">
        <v>519</v>
      </c>
      <c r="G504" s="40">
        <v>883</v>
      </c>
      <c r="H504" s="40">
        <v>506</v>
      </c>
      <c r="I504" s="40">
        <v>173</v>
      </c>
      <c r="J504" s="40">
        <v>204</v>
      </c>
      <c r="K504" s="40">
        <v>1047</v>
      </c>
      <c r="L504" s="40">
        <v>783</v>
      </c>
      <c r="M504" s="40">
        <v>149</v>
      </c>
      <c r="N504" s="40">
        <v>115</v>
      </c>
      <c r="O504" s="40">
        <v>1373</v>
      </c>
      <c r="P504" s="40">
        <v>1120</v>
      </c>
      <c r="Q504" s="40">
        <v>136</v>
      </c>
      <c r="R504" s="40">
        <v>117</v>
      </c>
      <c r="S504" s="41">
        <v>57.304643300000002</v>
      </c>
      <c r="T504" s="41">
        <v>19.592299000000001</v>
      </c>
      <c r="U504" s="41">
        <v>23.103057799999998</v>
      </c>
      <c r="V504" s="41">
        <v>74.785100299999996</v>
      </c>
      <c r="W504" s="41">
        <v>14.231136599999999</v>
      </c>
      <c r="X504" s="41">
        <v>10.983763099999999</v>
      </c>
      <c r="Y504" s="41">
        <v>81.573197399999998</v>
      </c>
      <c r="Z504" s="41">
        <v>9.9053167999999996</v>
      </c>
      <c r="AA504" s="41">
        <v>8.5214858000000007</v>
      </c>
    </row>
    <row r="505" spans="1:39" hidden="1" x14ac:dyDescent="0.3">
      <c r="A505" s="37">
        <v>501</v>
      </c>
      <c r="B505" s="38" t="s">
        <v>521</v>
      </c>
      <c r="C505" s="38" t="s">
        <v>157</v>
      </c>
      <c r="D505" s="38" t="s">
        <v>173</v>
      </c>
      <c r="E505" s="38" t="s">
        <v>173</v>
      </c>
      <c r="F505" s="47" t="s">
        <v>520</v>
      </c>
      <c r="G505" s="40">
        <v>2198</v>
      </c>
      <c r="H505" s="40">
        <v>1317</v>
      </c>
      <c r="I505" s="40">
        <v>418</v>
      </c>
      <c r="J505" s="40">
        <v>463</v>
      </c>
      <c r="K505" s="40">
        <v>2097</v>
      </c>
      <c r="L505" s="40">
        <v>1625</v>
      </c>
      <c r="M505" s="40">
        <v>240</v>
      </c>
      <c r="N505" s="40">
        <v>232</v>
      </c>
      <c r="O505" s="40">
        <v>2868</v>
      </c>
      <c r="P505" s="40">
        <v>2261</v>
      </c>
      <c r="Q505" s="40">
        <v>265</v>
      </c>
      <c r="R505" s="40">
        <v>342</v>
      </c>
      <c r="S505" s="41">
        <v>59.918107399999997</v>
      </c>
      <c r="T505" s="41">
        <v>19.017288400000002</v>
      </c>
      <c r="U505" s="41">
        <v>21.064604200000002</v>
      </c>
      <c r="V505" s="41">
        <v>77.491654699999998</v>
      </c>
      <c r="W505" s="41">
        <v>11.444921300000001</v>
      </c>
      <c r="X505" s="41">
        <v>11.0634239</v>
      </c>
      <c r="Y505" s="41">
        <v>78.835425400000005</v>
      </c>
      <c r="Z505" s="41">
        <v>9.2398883999999999</v>
      </c>
      <c r="AA505" s="41">
        <v>11.9246862</v>
      </c>
    </row>
    <row r="506" spans="1:39" hidden="1" x14ac:dyDescent="0.3">
      <c r="A506" s="42">
        <v>502</v>
      </c>
      <c r="B506" s="43" t="s">
        <v>521</v>
      </c>
      <c r="C506" s="50" t="s">
        <v>157</v>
      </c>
      <c r="D506" s="50" t="s">
        <v>173</v>
      </c>
      <c r="E506" s="50" t="s">
        <v>174</v>
      </c>
      <c r="F506" s="51" t="s">
        <v>174</v>
      </c>
      <c r="G506" s="45">
        <v>3209</v>
      </c>
      <c r="H506" s="45">
        <v>1595</v>
      </c>
      <c r="I506" s="45">
        <v>718</v>
      </c>
      <c r="J506" s="45">
        <v>896</v>
      </c>
      <c r="K506" s="45">
        <v>3202</v>
      </c>
      <c r="L506" s="45">
        <v>2416</v>
      </c>
      <c r="M506" s="45">
        <v>380</v>
      </c>
      <c r="N506" s="45">
        <v>406</v>
      </c>
      <c r="O506" s="45">
        <v>3606</v>
      </c>
      <c r="P506" s="45">
        <v>2925</v>
      </c>
      <c r="Q506" s="45">
        <v>323</v>
      </c>
      <c r="R506" s="45">
        <v>358</v>
      </c>
      <c r="S506" s="46">
        <v>49.703957600000003</v>
      </c>
      <c r="T506" s="46">
        <v>22.374571499999998</v>
      </c>
      <c r="U506" s="46">
        <v>27.921470899999999</v>
      </c>
      <c r="V506" s="46">
        <v>75.452842000000004</v>
      </c>
      <c r="W506" s="46">
        <v>11.867582799999999</v>
      </c>
      <c r="X506" s="46">
        <v>12.6795753</v>
      </c>
      <c r="Y506" s="46">
        <v>81.114808699999998</v>
      </c>
      <c r="Z506" s="46">
        <v>8.9572933999999993</v>
      </c>
      <c r="AA506" s="46">
        <v>9.9278978999999996</v>
      </c>
      <c r="AB506" s="26">
        <f>SUM(W506:X506)</f>
        <v>24.547158099999997</v>
      </c>
      <c r="AC506" s="26">
        <f>SUM(Z506:AA506)</f>
        <v>18.885191299999999</v>
      </c>
      <c r="AD506" s="57">
        <f>M506+N506</f>
        <v>786</v>
      </c>
      <c r="AE506" s="57">
        <f>Q506+R506</f>
        <v>681</v>
      </c>
      <c r="AF506" s="26">
        <f>W506</f>
        <v>11.867582799999999</v>
      </c>
      <c r="AG506" s="26">
        <f>Z506</f>
        <v>8.9572933999999993</v>
      </c>
      <c r="AH506" s="26">
        <f>M506</f>
        <v>380</v>
      </c>
      <c r="AI506" s="26">
        <f>Q506</f>
        <v>323</v>
      </c>
      <c r="AJ506" s="26">
        <f>X506</f>
        <v>12.6795753</v>
      </c>
      <c r="AK506" s="26">
        <f>AA506</f>
        <v>9.9278978999999996</v>
      </c>
      <c r="AL506" s="57">
        <f>N506</f>
        <v>406</v>
      </c>
      <c r="AM506" s="57">
        <f>R506</f>
        <v>358</v>
      </c>
    </row>
    <row r="507" spans="1:39" hidden="1" x14ac:dyDescent="0.3">
      <c r="A507" s="37">
        <v>503</v>
      </c>
      <c r="B507" s="38" t="s">
        <v>521</v>
      </c>
      <c r="C507" s="38" t="s">
        <v>157</v>
      </c>
      <c r="D507" s="38" t="s">
        <v>173</v>
      </c>
      <c r="E507" s="38" t="s">
        <v>174</v>
      </c>
      <c r="F507" s="47" t="s">
        <v>519</v>
      </c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1"/>
      <c r="T507" s="41"/>
      <c r="U507" s="41"/>
      <c r="V507" s="41"/>
      <c r="W507" s="41"/>
      <c r="X507" s="41"/>
      <c r="Y507" s="41"/>
      <c r="Z507" s="41"/>
      <c r="AA507" s="41"/>
    </row>
    <row r="508" spans="1:39" hidden="1" x14ac:dyDescent="0.3">
      <c r="A508" s="37">
        <v>504</v>
      </c>
      <c r="B508" s="38" t="s">
        <v>521</v>
      </c>
      <c r="C508" s="38" t="s">
        <v>157</v>
      </c>
      <c r="D508" s="38" t="s">
        <v>173</v>
      </c>
      <c r="E508" s="38" t="s">
        <v>174</v>
      </c>
      <c r="F508" s="47" t="s">
        <v>520</v>
      </c>
      <c r="G508" s="40">
        <v>3209</v>
      </c>
      <c r="H508" s="40">
        <v>1595</v>
      </c>
      <c r="I508" s="40">
        <v>718</v>
      </c>
      <c r="J508" s="40">
        <v>896</v>
      </c>
      <c r="K508" s="40">
        <v>3202</v>
      </c>
      <c r="L508" s="40">
        <v>2416</v>
      </c>
      <c r="M508" s="40">
        <v>380</v>
      </c>
      <c r="N508" s="40">
        <v>406</v>
      </c>
      <c r="O508" s="40">
        <v>3606</v>
      </c>
      <c r="P508" s="40">
        <v>2925</v>
      </c>
      <c r="Q508" s="40">
        <v>323</v>
      </c>
      <c r="R508" s="40">
        <v>358</v>
      </c>
      <c r="S508" s="41">
        <v>49.703957600000003</v>
      </c>
      <c r="T508" s="41">
        <v>22.374571499999998</v>
      </c>
      <c r="U508" s="41">
        <v>27.921470899999999</v>
      </c>
      <c r="V508" s="41">
        <v>75.452842000000004</v>
      </c>
      <c r="W508" s="41">
        <v>11.867582799999999</v>
      </c>
      <c r="X508" s="41">
        <v>12.6795753</v>
      </c>
      <c r="Y508" s="41">
        <v>81.114808699999998</v>
      </c>
      <c r="Z508" s="41">
        <v>8.9572933999999993</v>
      </c>
      <c r="AA508" s="41">
        <v>9.9278978999999996</v>
      </c>
    </row>
    <row r="509" spans="1:39" hidden="1" x14ac:dyDescent="0.3">
      <c r="A509" s="32">
        <v>505</v>
      </c>
      <c r="B509" s="33" t="s">
        <v>1</v>
      </c>
      <c r="C509" s="49" t="s">
        <v>157</v>
      </c>
      <c r="D509" s="49" t="s">
        <v>175</v>
      </c>
      <c r="E509" s="49"/>
      <c r="F509" s="34" t="s">
        <v>175</v>
      </c>
      <c r="G509" s="35">
        <v>6117</v>
      </c>
      <c r="H509" s="35">
        <v>2549</v>
      </c>
      <c r="I509" s="35">
        <v>1155</v>
      </c>
      <c r="J509" s="35">
        <v>2413</v>
      </c>
      <c r="K509" s="35">
        <v>6640</v>
      </c>
      <c r="L509" s="35">
        <v>4091</v>
      </c>
      <c r="M509" s="35">
        <v>1026</v>
      </c>
      <c r="N509" s="35">
        <v>1523</v>
      </c>
      <c r="O509" s="35">
        <v>8126</v>
      </c>
      <c r="P509" s="35">
        <v>5450</v>
      </c>
      <c r="Q509" s="35">
        <v>1110</v>
      </c>
      <c r="R509" s="35">
        <v>1566</v>
      </c>
      <c r="S509" s="36">
        <v>41.670753599999998</v>
      </c>
      <c r="T509" s="36">
        <v>18.881804800000001</v>
      </c>
      <c r="U509" s="36">
        <v>39.447441599999998</v>
      </c>
      <c r="V509" s="36">
        <v>61.611445799999998</v>
      </c>
      <c r="W509" s="36">
        <v>15.451807199999999</v>
      </c>
      <c r="X509" s="36">
        <v>22.936747</v>
      </c>
      <c r="Y509" s="36">
        <v>67.068668500000001</v>
      </c>
      <c r="Z509" s="36">
        <v>13.659857199999999</v>
      </c>
      <c r="AA509" s="36">
        <v>19.271474300000001</v>
      </c>
    </row>
    <row r="510" spans="1:39" hidden="1" x14ac:dyDescent="0.3">
      <c r="A510" s="37">
        <v>506</v>
      </c>
      <c r="B510" s="38" t="s">
        <v>1</v>
      </c>
      <c r="C510" s="38" t="s">
        <v>157</v>
      </c>
      <c r="D510" s="38" t="s">
        <v>175</v>
      </c>
      <c r="E510" s="38"/>
      <c r="F510" s="39" t="s">
        <v>519</v>
      </c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1"/>
      <c r="T510" s="41"/>
      <c r="U510" s="41"/>
      <c r="V510" s="41"/>
      <c r="W510" s="41"/>
      <c r="X510" s="41"/>
      <c r="Y510" s="41"/>
      <c r="Z510" s="41"/>
      <c r="AA510" s="41"/>
    </row>
    <row r="511" spans="1:39" hidden="1" x14ac:dyDescent="0.3">
      <c r="A511" s="37">
        <v>507</v>
      </c>
      <c r="B511" s="38" t="s">
        <v>1</v>
      </c>
      <c r="C511" s="38" t="s">
        <v>157</v>
      </c>
      <c r="D511" s="38" t="s">
        <v>175</v>
      </c>
      <c r="E511" s="38"/>
      <c r="F511" s="39" t="s">
        <v>520</v>
      </c>
      <c r="G511" s="40">
        <v>6117</v>
      </c>
      <c r="H511" s="40">
        <v>2549</v>
      </c>
      <c r="I511" s="40">
        <v>1155</v>
      </c>
      <c r="J511" s="40">
        <v>2413</v>
      </c>
      <c r="K511" s="40">
        <v>6640</v>
      </c>
      <c r="L511" s="40">
        <v>4091</v>
      </c>
      <c r="M511" s="40">
        <v>1026</v>
      </c>
      <c r="N511" s="40">
        <v>1523</v>
      </c>
      <c r="O511" s="40">
        <v>8126</v>
      </c>
      <c r="P511" s="40">
        <v>5450</v>
      </c>
      <c r="Q511" s="40">
        <v>1110</v>
      </c>
      <c r="R511" s="40">
        <v>1566</v>
      </c>
      <c r="S511" s="41">
        <v>41.670753599999998</v>
      </c>
      <c r="T511" s="41">
        <v>18.881804800000001</v>
      </c>
      <c r="U511" s="41">
        <v>39.447441599999998</v>
      </c>
      <c r="V511" s="41">
        <v>61.611445799999998</v>
      </c>
      <c r="W511" s="41">
        <v>15.451807199999999</v>
      </c>
      <c r="X511" s="41">
        <v>22.936747</v>
      </c>
      <c r="Y511" s="41">
        <v>67.068668500000001</v>
      </c>
      <c r="Z511" s="41">
        <v>13.659857199999999</v>
      </c>
      <c r="AA511" s="41">
        <v>19.271474300000001</v>
      </c>
    </row>
    <row r="512" spans="1:39" hidden="1" x14ac:dyDescent="0.3">
      <c r="A512" s="42">
        <v>508</v>
      </c>
      <c r="B512" s="43" t="s">
        <v>521</v>
      </c>
      <c r="C512" s="50" t="s">
        <v>157</v>
      </c>
      <c r="D512" s="50" t="s">
        <v>175</v>
      </c>
      <c r="E512" s="50" t="s">
        <v>175</v>
      </c>
      <c r="F512" s="51" t="s">
        <v>175</v>
      </c>
      <c r="G512" s="45">
        <v>2989</v>
      </c>
      <c r="H512" s="45">
        <v>1199</v>
      </c>
      <c r="I512" s="45">
        <v>522</v>
      </c>
      <c r="J512" s="45">
        <v>1268</v>
      </c>
      <c r="K512" s="45">
        <v>3303</v>
      </c>
      <c r="L512" s="45">
        <v>1983</v>
      </c>
      <c r="M512" s="45">
        <v>494</v>
      </c>
      <c r="N512" s="45">
        <v>826</v>
      </c>
      <c r="O512" s="45">
        <v>3900</v>
      </c>
      <c r="P512" s="45">
        <v>2524</v>
      </c>
      <c r="Q512" s="45">
        <v>549</v>
      </c>
      <c r="R512" s="45">
        <v>827</v>
      </c>
      <c r="S512" s="46">
        <v>40.113750400000001</v>
      </c>
      <c r="T512" s="46">
        <v>17.4640348</v>
      </c>
      <c r="U512" s="46">
        <v>42.422214799999999</v>
      </c>
      <c r="V512" s="46">
        <v>60.036330599999999</v>
      </c>
      <c r="W512" s="46">
        <v>14.9561005</v>
      </c>
      <c r="X512" s="46">
        <v>25.007568899999999</v>
      </c>
      <c r="Y512" s="46">
        <v>64.717948699999994</v>
      </c>
      <c r="Z512" s="46">
        <v>14.0769231</v>
      </c>
      <c r="AA512" s="46">
        <v>21.205128200000001</v>
      </c>
      <c r="AB512" s="26">
        <f>SUM(W512:X512)</f>
        <v>39.963669400000001</v>
      </c>
      <c r="AC512" s="26">
        <f>SUM(Z512:AA512)</f>
        <v>35.282051299999999</v>
      </c>
      <c r="AD512" s="57">
        <f>M512+N512</f>
        <v>1320</v>
      </c>
      <c r="AE512" s="57">
        <f>Q512+R512</f>
        <v>1376</v>
      </c>
      <c r="AF512" s="26">
        <f>W512</f>
        <v>14.9561005</v>
      </c>
      <c r="AG512" s="26">
        <f>Z512</f>
        <v>14.0769231</v>
      </c>
      <c r="AH512" s="26">
        <f>M512</f>
        <v>494</v>
      </c>
      <c r="AI512" s="26">
        <f>Q512</f>
        <v>549</v>
      </c>
      <c r="AJ512" s="26">
        <f>X512</f>
        <v>25.007568899999999</v>
      </c>
      <c r="AK512" s="26">
        <f>AA512</f>
        <v>21.205128200000001</v>
      </c>
      <c r="AL512" s="57">
        <f>N512</f>
        <v>826</v>
      </c>
      <c r="AM512" s="57">
        <f>R512</f>
        <v>827</v>
      </c>
    </row>
    <row r="513" spans="1:39" hidden="1" x14ac:dyDescent="0.3">
      <c r="A513" s="37">
        <v>509</v>
      </c>
      <c r="B513" s="38" t="s">
        <v>521</v>
      </c>
      <c r="C513" s="38" t="s">
        <v>157</v>
      </c>
      <c r="D513" s="38" t="s">
        <v>175</v>
      </c>
      <c r="E513" s="38" t="s">
        <v>175</v>
      </c>
      <c r="F513" s="47" t="s">
        <v>519</v>
      </c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1"/>
      <c r="T513" s="41"/>
      <c r="U513" s="41"/>
      <c r="V513" s="41"/>
      <c r="W513" s="41"/>
      <c r="X513" s="41"/>
      <c r="Y513" s="41"/>
      <c r="Z513" s="41"/>
      <c r="AA513" s="41"/>
    </row>
    <row r="514" spans="1:39" hidden="1" x14ac:dyDescent="0.3">
      <c r="A514" s="37">
        <v>510</v>
      </c>
      <c r="B514" s="38" t="s">
        <v>521</v>
      </c>
      <c r="C514" s="38" t="s">
        <v>157</v>
      </c>
      <c r="D514" s="38" t="s">
        <v>175</v>
      </c>
      <c r="E514" s="38" t="s">
        <v>175</v>
      </c>
      <c r="F514" s="47" t="s">
        <v>520</v>
      </c>
      <c r="G514" s="40">
        <v>2989</v>
      </c>
      <c r="H514" s="40">
        <v>1199</v>
      </c>
      <c r="I514" s="40">
        <v>522</v>
      </c>
      <c r="J514" s="40">
        <v>1268</v>
      </c>
      <c r="K514" s="40">
        <v>3303</v>
      </c>
      <c r="L514" s="40">
        <v>1983</v>
      </c>
      <c r="M514" s="40">
        <v>494</v>
      </c>
      <c r="N514" s="40">
        <v>826</v>
      </c>
      <c r="O514" s="40">
        <v>3900</v>
      </c>
      <c r="P514" s="40">
        <v>2524</v>
      </c>
      <c r="Q514" s="40">
        <v>549</v>
      </c>
      <c r="R514" s="40">
        <v>827</v>
      </c>
      <c r="S514" s="41">
        <v>40.113750400000001</v>
      </c>
      <c r="T514" s="41">
        <v>17.4640348</v>
      </c>
      <c r="U514" s="41">
        <v>42.422214799999999</v>
      </c>
      <c r="V514" s="41">
        <v>60.036330599999999</v>
      </c>
      <c r="W514" s="41">
        <v>14.9561005</v>
      </c>
      <c r="X514" s="41">
        <v>25.007568899999999</v>
      </c>
      <c r="Y514" s="41">
        <v>64.717948699999994</v>
      </c>
      <c r="Z514" s="41">
        <v>14.0769231</v>
      </c>
      <c r="AA514" s="41">
        <v>21.205128200000001</v>
      </c>
    </row>
    <row r="515" spans="1:39" hidden="1" x14ac:dyDescent="0.3">
      <c r="A515" s="42">
        <v>511</v>
      </c>
      <c r="B515" s="43" t="s">
        <v>521</v>
      </c>
      <c r="C515" s="50" t="s">
        <v>157</v>
      </c>
      <c r="D515" s="50" t="s">
        <v>175</v>
      </c>
      <c r="E515" s="50" t="s">
        <v>177</v>
      </c>
      <c r="F515" s="51" t="s">
        <v>177</v>
      </c>
      <c r="G515" s="45">
        <v>3128</v>
      </c>
      <c r="H515" s="45">
        <v>1350</v>
      </c>
      <c r="I515" s="45">
        <v>633</v>
      </c>
      <c r="J515" s="45">
        <v>1145</v>
      </c>
      <c r="K515" s="45">
        <v>3337</v>
      </c>
      <c r="L515" s="45">
        <v>2108</v>
      </c>
      <c r="M515" s="45">
        <v>532</v>
      </c>
      <c r="N515" s="45">
        <v>697</v>
      </c>
      <c r="O515" s="45">
        <v>4226</v>
      </c>
      <c r="P515" s="45">
        <v>2926</v>
      </c>
      <c r="Q515" s="45">
        <v>561</v>
      </c>
      <c r="R515" s="45">
        <v>739</v>
      </c>
      <c r="S515" s="46">
        <v>43.1585678</v>
      </c>
      <c r="T515" s="46">
        <v>20.236572899999999</v>
      </c>
      <c r="U515" s="46">
        <v>36.604859300000001</v>
      </c>
      <c r="V515" s="46">
        <v>63.1705124</v>
      </c>
      <c r="W515" s="46">
        <v>15.9424633</v>
      </c>
      <c r="X515" s="46">
        <v>20.8870243</v>
      </c>
      <c r="Y515" s="46">
        <v>69.238050200000004</v>
      </c>
      <c r="Z515" s="46">
        <v>13.274964499999999</v>
      </c>
      <c r="AA515" s="46">
        <v>17.486985300000001</v>
      </c>
      <c r="AB515" s="26">
        <f>SUM(W515:X515)</f>
        <v>36.8294876</v>
      </c>
      <c r="AC515" s="26">
        <f>SUM(Z515:AA515)</f>
        <v>30.7619498</v>
      </c>
      <c r="AD515" s="57">
        <f>M515+N515</f>
        <v>1229</v>
      </c>
      <c r="AE515" s="57">
        <f>Q515+R515</f>
        <v>1300</v>
      </c>
      <c r="AF515" s="26">
        <f>W515</f>
        <v>15.9424633</v>
      </c>
      <c r="AG515" s="26">
        <f>Z515</f>
        <v>13.274964499999999</v>
      </c>
      <c r="AH515" s="26">
        <f>M515</f>
        <v>532</v>
      </c>
      <c r="AI515" s="26">
        <f>Q515</f>
        <v>561</v>
      </c>
      <c r="AJ515" s="26">
        <f>X515</f>
        <v>20.8870243</v>
      </c>
      <c r="AK515" s="26">
        <f>AA515</f>
        <v>17.486985300000001</v>
      </c>
      <c r="AL515" s="57">
        <f>N515</f>
        <v>697</v>
      </c>
      <c r="AM515" s="57">
        <f>R515</f>
        <v>739</v>
      </c>
    </row>
    <row r="516" spans="1:39" hidden="1" x14ac:dyDescent="0.3">
      <c r="A516" s="37">
        <v>512</v>
      </c>
      <c r="B516" s="38" t="s">
        <v>521</v>
      </c>
      <c r="C516" s="38" t="s">
        <v>157</v>
      </c>
      <c r="D516" s="38" t="s">
        <v>175</v>
      </c>
      <c r="E516" s="38" t="s">
        <v>177</v>
      </c>
      <c r="F516" s="47" t="s">
        <v>519</v>
      </c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1"/>
      <c r="T516" s="41"/>
      <c r="U516" s="41"/>
      <c r="V516" s="41"/>
      <c r="W516" s="41"/>
      <c r="X516" s="41"/>
      <c r="Y516" s="41"/>
      <c r="Z516" s="41"/>
      <c r="AA516" s="41"/>
    </row>
    <row r="517" spans="1:39" hidden="1" x14ac:dyDescent="0.3">
      <c r="A517" s="37">
        <v>513</v>
      </c>
      <c r="B517" s="38" t="s">
        <v>521</v>
      </c>
      <c r="C517" s="38" t="s">
        <v>157</v>
      </c>
      <c r="D517" s="38" t="s">
        <v>175</v>
      </c>
      <c r="E517" s="38" t="s">
        <v>177</v>
      </c>
      <c r="F517" s="47" t="s">
        <v>520</v>
      </c>
      <c r="G517" s="40">
        <v>3128</v>
      </c>
      <c r="H517" s="40">
        <v>1350</v>
      </c>
      <c r="I517" s="40">
        <v>633</v>
      </c>
      <c r="J517" s="40">
        <v>1145</v>
      </c>
      <c r="K517" s="40">
        <v>3337</v>
      </c>
      <c r="L517" s="40">
        <v>2108</v>
      </c>
      <c r="M517" s="40">
        <v>532</v>
      </c>
      <c r="N517" s="40">
        <v>697</v>
      </c>
      <c r="O517" s="40">
        <v>4226</v>
      </c>
      <c r="P517" s="40">
        <v>2926</v>
      </c>
      <c r="Q517" s="40">
        <v>561</v>
      </c>
      <c r="R517" s="40">
        <v>739</v>
      </c>
      <c r="S517" s="41">
        <v>43.1585678</v>
      </c>
      <c r="T517" s="41">
        <v>20.236572899999999</v>
      </c>
      <c r="U517" s="41">
        <v>36.604859300000001</v>
      </c>
      <c r="V517" s="41">
        <v>63.1705124</v>
      </c>
      <c r="W517" s="41">
        <v>15.9424633</v>
      </c>
      <c r="X517" s="41">
        <v>20.8870243</v>
      </c>
      <c r="Y517" s="41">
        <v>69.238050200000004</v>
      </c>
      <c r="Z517" s="41">
        <v>13.274964499999999</v>
      </c>
      <c r="AA517" s="41">
        <v>17.486985300000001</v>
      </c>
    </row>
    <row r="518" spans="1:39" hidden="1" x14ac:dyDescent="0.3">
      <c r="A518" s="32">
        <v>514</v>
      </c>
      <c r="B518" s="33" t="s">
        <v>1</v>
      </c>
      <c r="C518" s="49" t="s">
        <v>157</v>
      </c>
      <c r="D518" s="49" t="s">
        <v>178</v>
      </c>
      <c r="E518" s="49"/>
      <c r="F518" s="34" t="s">
        <v>178</v>
      </c>
      <c r="G518" s="35">
        <v>6683</v>
      </c>
      <c r="H518" s="35">
        <v>3513</v>
      </c>
      <c r="I518" s="35">
        <v>1327</v>
      </c>
      <c r="J518" s="35">
        <v>1843</v>
      </c>
      <c r="K518" s="35">
        <v>9414</v>
      </c>
      <c r="L518" s="35">
        <v>6577</v>
      </c>
      <c r="M518" s="35">
        <v>1380</v>
      </c>
      <c r="N518" s="35">
        <v>1457</v>
      </c>
      <c r="O518" s="35">
        <v>11318</v>
      </c>
      <c r="P518" s="35">
        <v>8809</v>
      </c>
      <c r="Q518" s="35">
        <v>1227</v>
      </c>
      <c r="R518" s="35">
        <v>1282</v>
      </c>
      <c r="S518" s="36">
        <v>52.566212800000002</v>
      </c>
      <c r="T518" s="36">
        <v>19.8563519</v>
      </c>
      <c r="U518" s="36">
        <v>27.577435300000001</v>
      </c>
      <c r="V518" s="36">
        <v>69.864032300000005</v>
      </c>
      <c r="W518" s="36">
        <v>14.6590185</v>
      </c>
      <c r="X518" s="36">
        <v>15.4769492</v>
      </c>
      <c r="Y518" s="36">
        <v>77.831772400000006</v>
      </c>
      <c r="Z518" s="36">
        <v>10.841138000000001</v>
      </c>
      <c r="AA518" s="36">
        <v>11.327089600000001</v>
      </c>
    </row>
    <row r="519" spans="1:39" hidden="1" x14ac:dyDescent="0.3">
      <c r="A519" s="37">
        <v>515</v>
      </c>
      <c r="B519" s="38" t="s">
        <v>1</v>
      </c>
      <c r="C519" s="38" t="s">
        <v>157</v>
      </c>
      <c r="D519" s="38" t="s">
        <v>178</v>
      </c>
      <c r="E519" s="38"/>
      <c r="F519" s="39" t="s">
        <v>519</v>
      </c>
      <c r="G519" s="40">
        <v>1803</v>
      </c>
      <c r="H519" s="40">
        <v>996</v>
      </c>
      <c r="I519" s="40">
        <v>389</v>
      </c>
      <c r="J519" s="40">
        <v>418</v>
      </c>
      <c r="K519" s="40">
        <v>2560</v>
      </c>
      <c r="L519" s="40">
        <v>1754</v>
      </c>
      <c r="M519" s="40">
        <v>412</v>
      </c>
      <c r="N519" s="40">
        <v>394</v>
      </c>
      <c r="O519" s="40">
        <v>2765</v>
      </c>
      <c r="P519" s="40">
        <v>2245</v>
      </c>
      <c r="Q519" s="40">
        <v>285</v>
      </c>
      <c r="R519" s="40">
        <v>235</v>
      </c>
      <c r="S519" s="41">
        <v>55.241264600000001</v>
      </c>
      <c r="T519" s="41">
        <v>21.575152500000002</v>
      </c>
      <c r="U519" s="41">
        <v>23.183582900000001</v>
      </c>
      <c r="V519" s="41">
        <v>68.515625</v>
      </c>
      <c r="W519" s="41">
        <v>16.09375</v>
      </c>
      <c r="X519" s="41">
        <v>15.390625</v>
      </c>
      <c r="Y519" s="41">
        <v>81.193490100000005</v>
      </c>
      <c r="Z519" s="41">
        <v>10.307414100000001</v>
      </c>
      <c r="AA519" s="41">
        <v>8.4990957999999992</v>
      </c>
    </row>
    <row r="520" spans="1:39" hidden="1" x14ac:dyDescent="0.3">
      <c r="A520" s="37">
        <v>516</v>
      </c>
      <c r="B520" s="38" t="s">
        <v>1</v>
      </c>
      <c r="C520" s="38" t="s">
        <v>157</v>
      </c>
      <c r="D520" s="38" t="s">
        <v>178</v>
      </c>
      <c r="E520" s="38"/>
      <c r="F520" s="39" t="s">
        <v>520</v>
      </c>
      <c r="G520" s="40">
        <v>4880</v>
      </c>
      <c r="H520" s="40">
        <v>2517</v>
      </c>
      <c r="I520" s="40">
        <v>938</v>
      </c>
      <c r="J520" s="40">
        <v>1425</v>
      </c>
      <c r="K520" s="40">
        <v>6854</v>
      </c>
      <c r="L520" s="40">
        <v>4823</v>
      </c>
      <c r="M520" s="40">
        <v>968</v>
      </c>
      <c r="N520" s="40">
        <v>1063</v>
      </c>
      <c r="O520" s="40">
        <v>8553</v>
      </c>
      <c r="P520" s="40">
        <v>6564</v>
      </c>
      <c r="Q520" s="40">
        <v>942</v>
      </c>
      <c r="R520" s="40">
        <v>1047</v>
      </c>
      <c r="S520" s="41">
        <v>51.577868899999999</v>
      </c>
      <c r="T520" s="41">
        <v>19.221311499999999</v>
      </c>
      <c r="U520" s="41">
        <v>29.2008197</v>
      </c>
      <c r="V520" s="41">
        <v>70.367668499999994</v>
      </c>
      <c r="W520" s="41">
        <v>14.123139800000001</v>
      </c>
      <c r="X520" s="41">
        <v>15.509191700000001</v>
      </c>
      <c r="Y520" s="41">
        <v>76.745001799999997</v>
      </c>
      <c r="Z520" s="41">
        <v>11.013679399999999</v>
      </c>
      <c r="AA520" s="41">
        <v>12.2413188</v>
      </c>
    </row>
    <row r="521" spans="1:39" hidden="1" x14ac:dyDescent="0.3">
      <c r="A521" s="42">
        <v>517</v>
      </c>
      <c r="B521" s="43" t="s">
        <v>521</v>
      </c>
      <c r="C521" s="50" t="s">
        <v>157</v>
      </c>
      <c r="D521" s="50" t="s">
        <v>178</v>
      </c>
      <c r="E521" s="50" t="s">
        <v>178</v>
      </c>
      <c r="F521" s="51" t="s">
        <v>178</v>
      </c>
      <c r="G521" s="45">
        <v>4283</v>
      </c>
      <c r="H521" s="45">
        <v>2168</v>
      </c>
      <c r="I521" s="45">
        <v>871</v>
      </c>
      <c r="J521" s="45">
        <v>1244</v>
      </c>
      <c r="K521" s="45">
        <v>5928</v>
      </c>
      <c r="L521" s="45">
        <v>4067</v>
      </c>
      <c r="M521" s="45">
        <v>910</v>
      </c>
      <c r="N521" s="45">
        <v>951</v>
      </c>
      <c r="O521" s="45">
        <v>6991</v>
      </c>
      <c r="P521" s="45">
        <v>5576</v>
      </c>
      <c r="Q521" s="45">
        <v>724</v>
      </c>
      <c r="R521" s="45">
        <v>691</v>
      </c>
      <c r="S521" s="46">
        <v>50.6187252</v>
      </c>
      <c r="T521" s="46">
        <v>20.3362129</v>
      </c>
      <c r="U521" s="46">
        <v>29.0450619</v>
      </c>
      <c r="V521" s="46">
        <v>68.606612699999999</v>
      </c>
      <c r="W521" s="46">
        <v>15.350877199999999</v>
      </c>
      <c r="X521" s="46">
        <v>16.042510100000001</v>
      </c>
      <c r="Y521" s="46">
        <v>79.759691000000004</v>
      </c>
      <c r="Z521" s="46">
        <v>10.3561722</v>
      </c>
      <c r="AA521" s="46">
        <v>9.8841367000000009</v>
      </c>
      <c r="AB521" s="26">
        <f>SUM(W521:X521)</f>
        <v>31.393387300000001</v>
      </c>
      <c r="AC521" s="26">
        <f>SUM(Z521:AA521)</f>
        <v>20.240308900000002</v>
      </c>
      <c r="AD521" s="57">
        <f>M521+N521</f>
        <v>1861</v>
      </c>
      <c r="AE521" s="57">
        <f>Q521+R521</f>
        <v>1415</v>
      </c>
      <c r="AF521" s="26">
        <f>W521</f>
        <v>15.350877199999999</v>
      </c>
      <c r="AG521" s="26">
        <f>Z521</f>
        <v>10.3561722</v>
      </c>
      <c r="AH521" s="26">
        <f>M521</f>
        <v>910</v>
      </c>
      <c r="AI521" s="26">
        <f>Q521</f>
        <v>724</v>
      </c>
      <c r="AJ521" s="26">
        <f>X521</f>
        <v>16.042510100000001</v>
      </c>
      <c r="AK521" s="26">
        <f>AA521</f>
        <v>9.8841367000000009</v>
      </c>
      <c r="AL521" s="57">
        <f>N521</f>
        <v>951</v>
      </c>
      <c r="AM521" s="57">
        <f>R521</f>
        <v>691</v>
      </c>
    </row>
    <row r="522" spans="1:39" hidden="1" x14ac:dyDescent="0.3">
      <c r="A522" s="37">
        <v>518</v>
      </c>
      <c r="B522" s="38" t="s">
        <v>521</v>
      </c>
      <c r="C522" s="38" t="s">
        <v>157</v>
      </c>
      <c r="D522" s="38" t="s">
        <v>178</v>
      </c>
      <c r="E522" s="38" t="s">
        <v>178</v>
      </c>
      <c r="F522" s="47" t="s">
        <v>519</v>
      </c>
      <c r="G522" s="40">
        <v>1803</v>
      </c>
      <c r="H522" s="40">
        <v>996</v>
      </c>
      <c r="I522" s="40">
        <v>389</v>
      </c>
      <c r="J522" s="40">
        <v>418</v>
      </c>
      <c r="K522" s="40">
        <v>2560</v>
      </c>
      <c r="L522" s="40">
        <v>1754</v>
      </c>
      <c r="M522" s="40">
        <v>412</v>
      </c>
      <c r="N522" s="40">
        <v>394</v>
      </c>
      <c r="O522" s="40">
        <v>2765</v>
      </c>
      <c r="P522" s="40">
        <v>2245</v>
      </c>
      <c r="Q522" s="40">
        <v>285</v>
      </c>
      <c r="R522" s="40">
        <v>235</v>
      </c>
      <c r="S522" s="41">
        <v>55.241264600000001</v>
      </c>
      <c r="T522" s="41">
        <v>21.575152500000002</v>
      </c>
      <c r="U522" s="41">
        <v>23.183582900000001</v>
      </c>
      <c r="V522" s="41">
        <v>68.515625</v>
      </c>
      <c r="W522" s="41">
        <v>16.09375</v>
      </c>
      <c r="X522" s="41">
        <v>15.390625</v>
      </c>
      <c r="Y522" s="41">
        <v>81.193490100000005</v>
      </c>
      <c r="Z522" s="41">
        <v>10.307414100000001</v>
      </c>
      <c r="AA522" s="41">
        <v>8.4990957999999992</v>
      </c>
    </row>
    <row r="523" spans="1:39" hidden="1" x14ac:dyDescent="0.3">
      <c r="A523" s="37">
        <v>519</v>
      </c>
      <c r="B523" s="38" t="s">
        <v>521</v>
      </c>
      <c r="C523" s="38" t="s">
        <v>157</v>
      </c>
      <c r="D523" s="38" t="s">
        <v>178</v>
      </c>
      <c r="E523" s="38" t="s">
        <v>178</v>
      </c>
      <c r="F523" s="47" t="s">
        <v>520</v>
      </c>
      <c r="G523" s="40">
        <v>2480</v>
      </c>
      <c r="H523" s="40">
        <v>1172</v>
      </c>
      <c r="I523" s="40">
        <v>482</v>
      </c>
      <c r="J523" s="40">
        <v>826</v>
      </c>
      <c r="K523" s="40">
        <v>3368</v>
      </c>
      <c r="L523" s="40">
        <v>2313</v>
      </c>
      <c r="M523" s="40">
        <v>498</v>
      </c>
      <c r="N523" s="40">
        <v>557</v>
      </c>
      <c r="O523" s="40">
        <v>4226</v>
      </c>
      <c r="P523" s="40">
        <v>3331</v>
      </c>
      <c r="Q523" s="40">
        <v>439</v>
      </c>
      <c r="R523" s="40">
        <v>456</v>
      </c>
      <c r="S523" s="41">
        <v>47.258064500000003</v>
      </c>
      <c r="T523" s="41">
        <v>19.435483900000001</v>
      </c>
      <c r="U523" s="41">
        <v>33.306451600000003</v>
      </c>
      <c r="V523" s="41">
        <v>68.675771999999995</v>
      </c>
      <c r="W523" s="41">
        <v>14.7862233</v>
      </c>
      <c r="X523" s="41">
        <v>16.5380048</v>
      </c>
      <c r="Y523" s="41">
        <v>78.821580699999998</v>
      </c>
      <c r="Z523" s="41">
        <v>10.388073800000001</v>
      </c>
      <c r="AA523" s="41">
        <v>10.790345500000001</v>
      </c>
    </row>
    <row r="524" spans="1:39" hidden="1" x14ac:dyDescent="0.3">
      <c r="A524" s="42">
        <v>520</v>
      </c>
      <c r="B524" s="43" t="s">
        <v>521</v>
      </c>
      <c r="C524" s="50" t="s">
        <v>157</v>
      </c>
      <c r="D524" s="50" t="s">
        <v>178</v>
      </c>
      <c r="E524" s="50" t="s">
        <v>482</v>
      </c>
      <c r="F524" s="51" t="s">
        <v>482</v>
      </c>
      <c r="G524" s="45">
        <v>1780</v>
      </c>
      <c r="H524" s="45">
        <v>1052</v>
      </c>
      <c r="I524" s="45">
        <v>353</v>
      </c>
      <c r="J524" s="45">
        <v>375</v>
      </c>
      <c r="K524" s="45">
        <v>2403</v>
      </c>
      <c r="L524" s="45">
        <v>1919</v>
      </c>
      <c r="M524" s="45">
        <v>266</v>
      </c>
      <c r="N524" s="45">
        <v>218</v>
      </c>
      <c r="O524" s="45">
        <v>3008</v>
      </c>
      <c r="P524" s="45">
        <v>2365</v>
      </c>
      <c r="Q524" s="45">
        <v>273</v>
      </c>
      <c r="R524" s="45">
        <v>370</v>
      </c>
      <c r="S524" s="46">
        <v>59.101123600000001</v>
      </c>
      <c r="T524" s="46">
        <v>19.831460700000001</v>
      </c>
      <c r="U524" s="46">
        <v>21.067415700000002</v>
      </c>
      <c r="V524" s="46">
        <v>79.858510199999998</v>
      </c>
      <c r="W524" s="46">
        <v>11.0694965</v>
      </c>
      <c r="X524" s="46">
        <v>9.0719933000000008</v>
      </c>
      <c r="Y524" s="46">
        <v>78.623670200000007</v>
      </c>
      <c r="Z524" s="46">
        <v>9.0757978999999995</v>
      </c>
      <c r="AA524" s="46">
        <v>12.300531899999999</v>
      </c>
      <c r="AB524" s="26">
        <f>SUM(W524:X524)</f>
        <v>20.141489800000002</v>
      </c>
      <c r="AC524" s="26">
        <f>SUM(Z524:AA524)</f>
        <v>21.376329800000001</v>
      </c>
      <c r="AD524" s="57">
        <f>M524+N524</f>
        <v>484</v>
      </c>
      <c r="AE524" s="57">
        <f>Q524+R524</f>
        <v>643</v>
      </c>
      <c r="AF524" s="26">
        <f>W524</f>
        <v>11.0694965</v>
      </c>
      <c r="AG524" s="26">
        <f>Z524</f>
        <v>9.0757978999999995</v>
      </c>
      <c r="AH524" s="26">
        <f>M524</f>
        <v>266</v>
      </c>
      <c r="AI524" s="26">
        <f>Q524</f>
        <v>273</v>
      </c>
      <c r="AJ524" s="26">
        <f>X524</f>
        <v>9.0719933000000008</v>
      </c>
      <c r="AK524" s="26">
        <f>AA524</f>
        <v>12.300531899999999</v>
      </c>
      <c r="AL524" s="57">
        <f>N524</f>
        <v>218</v>
      </c>
      <c r="AM524" s="57">
        <f>R524</f>
        <v>370</v>
      </c>
    </row>
    <row r="525" spans="1:39" hidden="1" x14ac:dyDescent="0.3">
      <c r="A525" s="37">
        <v>521</v>
      </c>
      <c r="B525" s="38" t="s">
        <v>521</v>
      </c>
      <c r="C525" s="38" t="s">
        <v>157</v>
      </c>
      <c r="D525" s="38" t="s">
        <v>178</v>
      </c>
      <c r="E525" s="38" t="s">
        <v>482</v>
      </c>
      <c r="F525" s="47" t="s">
        <v>519</v>
      </c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1"/>
      <c r="T525" s="41"/>
      <c r="U525" s="41"/>
      <c r="V525" s="41"/>
      <c r="W525" s="41"/>
      <c r="X525" s="41"/>
      <c r="Y525" s="41"/>
      <c r="Z525" s="41"/>
      <c r="AA525" s="41"/>
    </row>
    <row r="526" spans="1:39" hidden="1" x14ac:dyDescent="0.3">
      <c r="A526" s="37">
        <v>522</v>
      </c>
      <c r="B526" s="38" t="s">
        <v>521</v>
      </c>
      <c r="C526" s="38" t="s">
        <v>157</v>
      </c>
      <c r="D526" s="38" t="s">
        <v>178</v>
      </c>
      <c r="E526" s="38" t="s">
        <v>482</v>
      </c>
      <c r="F526" s="47" t="s">
        <v>520</v>
      </c>
      <c r="G526" s="40">
        <v>1780</v>
      </c>
      <c r="H526" s="40">
        <v>1052</v>
      </c>
      <c r="I526" s="40">
        <v>353</v>
      </c>
      <c r="J526" s="40">
        <v>375</v>
      </c>
      <c r="K526" s="40">
        <v>2403</v>
      </c>
      <c r="L526" s="40">
        <v>1919</v>
      </c>
      <c r="M526" s="40">
        <v>266</v>
      </c>
      <c r="N526" s="40">
        <v>218</v>
      </c>
      <c r="O526" s="40">
        <v>3008</v>
      </c>
      <c r="P526" s="40">
        <v>2365</v>
      </c>
      <c r="Q526" s="40">
        <v>273</v>
      </c>
      <c r="R526" s="40">
        <v>370</v>
      </c>
      <c r="S526" s="41">
        <v>59.101123600000001</v>
      </c>
      <c r="T526" s="41">
        <v>19.831460700000001</v>
      </c>
      <c r="U526" s="41">
        <v>21.067415700000002</v>
      </c>
      <c r="V526" s="41">
        <v>79.858510199999998</v>
      </c>
      <c r="W526" s="41">
        <v>11.0694965</v>
      </c>
      <c r="X526" s="41">
        <v>9.0719933000000008</v>
      </c>
      <c r="Y526" s="41">
        <v>78.623670200000007</v>
      </c>
      <c r="Z526" s="41">
        <v>9.0757978999999995</v>
      </c>
      <c r="AA526" s="41">
        <v>12.300531899999999</v>
      </c>
    </row>
    <row r="527" spans="1:39" hidden="1" x14ac:dyDescent="0.3">
      <c r="A527" s="42">
        <v>523</v>
      </c>
      <c r="B527" s="43" t="s">
        <v>521</v>
      </c>
      <c r="C527" s="50" t="s">
        <v>157</v>
      </c>
      <c r="D527" s="50" t="s">
        <v>178</v>
      </c>
      <c r="E527" s="50" t="s">
        <v>180</v>
      </c>
      <c r="F527" s="51" t="s">
        <v>180</v>
      </c>
      <c r="G527" s="45">
        <v>620</v>
      </c>
      <c r="H527" s="45">
        <v>293</v>
      </c>
      <c r="I527" s="45">
        <v>103</v>
      </c>
      <c r="J527" s="45">
        <v>224</v>
      </c>
      <c r="K527" s="45">
        <v>1083</v>
      </c>
      <c r="L527" s="45">
        <v>591</v>
      </c>
      <c r="M527" s="45">
        <v>204</v>
      </c>
      <c r="N527" s="45">
        <v>288</v>
      </c>
      <c r="O527" s="45">
        <v>1319</v>
      </c>
      <c r="P527" s="45">
        <v>868</v>
      </c>
      <c r="Q527" s="45">
        <v>230</v>
      </c>
      <c r="R527" s="45">
        <v>221</v>
      </c>
      <c r="S527" s="46">
        <v>47.258064500000003</v>
      </c>
      <c r="T527" s="46">
        <v>16.612903200000002</v>
      </c>
      <c r="U527" s="46">
        <v>36.129032299999999</v>
      </c>
      <c r="V527" s="46">
        <v>54.570637099999999</v>
      </c>
      <c r="W527" s="46">
        <v>18.836565100000001</v>
      </c>
      <c r="X527" s="46">
        <v>26.5927978</v>
      </c>
      <c r="Y527" s="46">
        <v>65.807429900000002</v>
      </c>
      <c r="Z527" s="46">
        <v>17.4374526</v>
      </c>
      <c r="AA527" s="46">
        <v>16.755117500000001</v>
      </c>
      <c r="AB527" s="26">
        <f>SUM(W527:X527)</f>
        <v>45.429362900000001</v>
      </c>
      <c r="AC527" s="26">
        <f>SUM(Z527:AA527)</f>
        <v>34.192570099999998</v>
      </c>
      <c r="AD527" s="57">
        <f>M527+N527</f>
        <v>492</v>
      </c>
      <c r="AE527" s="57">
        <f>Q527+R527</f>
        <v>451</v>
      </c>
      <c r="AF527" s="26">
        <f>W527</f>
        <v>18.836565100000001</v>
      </c>
      <c r="AG527" s="26">
        <f>Z527</f>
        <v>17.4374526</v>
      </c>
      <c r="AH527" s="26">
        <f>M527</f>
        <v>204</v>
      </c>
      <c r="AI527" s="26">
        <f>Q527</f>
        <v>230</v>
      </c>
      <c r="AJ527" s="26">
        <f>X527</f>
        <v>26.5927978</v>
      </c>
      <c r="AK527" s="26">
        <f>AA527</f>
        <v>16.755117500000001</v>
      </c>
      <c r="AL527" s="57">
        <f>N527</f>
        <v>288</v>
      </c>
      <c r="AM527" s="57">
        <f>R527</f>
        <v>221</v>
      </c>
    </row>
    <row r="528" spans="1:39" hidden="1" x14ac:dyDescent="0.3">
      <c r="A528" s="37">
        <v>524</v>
      </c>
      <c r="B528" s="38" t="s">
        <v>521</v>
      </c>
      <c r="C528" s="38" t="s">
        <v>157</v>
      </c>
      <c r="D528" s="38" t="s">
        <v>178</v>
      </c>
      <c r="E528" s="38" t="s">
        <v>180</v>
      </c>
      <c r="F528" s="47" t="s">
        <v>519</v>
      </c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1"/>
      <c r="T528" s="41"/>
      <c r="U528" s="41"/>
      <c r="V528" s="41"/>
      <c r="W528" s="41"/>
      <c r="X528" s="41"/>
      <c r="Y528" s="41"/>
      <c r="Z528" s="41"/>
      <c r="AA528" s="41"/>
    </row>
    <row r="529" spans="1:39" hidden="1" x14ac:dyDescent="0.3">
      <c r="A529" s="37">
        <v>525</v>
      </c>
      <c r="B529" s="38" t="s">
        <v>521</v>
      </c>
      <c r="C529" s="38" t="s">
        <v>157</v>
      </c>
      <c r="D529" s="38" t="s">
        <v>178</v>
      </c>
      <c r="E529" s="38" t="s">
        <v>180</v>
      </c>
      <c r="F529" s="47" t="s">
        <v>520</v>
      </c>
      <c r="G529" s="40">
        <v>620</v>
      </c>
      <c r="H529" s="40">
        <v>293</v>
      </c>
      <c r="I529" s="40">
        <v>103</v>
      </c>
      <c r="J529" s="40">
        <v>224</v>
      </c>
      <c r="K529" s="40">
        <v>1083</v>
      </c>
      <c r="L529" s="40">
        <v>591</v>
      </c>
      <c r="M529" s="40">
        <v>204</v>
      </c>
      <c r="N529" s="40">
        <v>288</v>
      </c>
      <c r="O529" s="40">
        <v>1319</v>
      </c>
      <c r="P529" s="40">
        <v>868</v>
      </c>
      <c r="Q529" s="40">
        <v>230</v>
      </c>
      <c r="R529" s="40">
        <v>221</v>
      </c>
      <c r="S529" s="41">
        <v>47.258064500000003</v>
      </c>
      <c r="T529" s="41">
        <v>16.612903200000002</v>
      </c>
      <c r="U529" s="41">
        <v>36.129032299999999</v>
      </c>
      <c r="V529" s="41">
        <v>54.570637099999999</v>
      </c>
      <c r="W529" s="41">
        <v>18.836565100000001</v>
      </c>
      <c r="X529" s="41">
        <v>26.5927978</v>
      </c>
      <c r="Y529" s="41">
        <v>65.807429900000002</v>
      </c>
      <c r="Z529" s="41">
        <v>17.4374526</v>
      </c>
      <c r="AA529" s="41">
        <v>16.755117500000001</v>
      </c>
    </row>
    <row r="530" spans="1:39" hidden="1" x14ac:dyDescent="0.3">
      <c r="A530" s="32">
        <v>526</v>
      </c>
      <c r="B530" s="33" t="s">
        <v>1</v>
      </c>
      <c r="C530" s="49" t="s">
        <v>157</v>
      </c>
      <c r="D530" s="49" t="s">
        <v>181</v>
      </c>
      <c r="E530" s="49"/>
      <c r="F530" s="34" t="s">
        <v>181</v>
      </c>
      <c r="G530" s="35">
        <v>7635</v>
      </c>
      <c r="H530" s="35">
        <v>4663</v>
      </c>
      <c r="I530" s="35">
        <v>1514</v>
      </c>
      <c r="J530" s="35">
        <v>1458</v>
      </c>
      <c r="K530" s="35">
        <v>9491</v>
      </c>
      <c r="L530" s="35">
        <v>6856</v>
      </c>
      <c r="M530" s="35">
        <v>1392</v>
      </c>
      <c r="N530" s="35">
        <v>1243</v>
      </c>
      <c r="O530" s="35">
        <v>11426</v>
      </c>
      <c r="P530" s="35">
        <v>8694</v>
      </c>
      <c r="Q530" s="35">
        <v>1359</v>
      </c>
      <c r="R530" s="35">
        <v>1373</v>
      </c>
      <c r="S530" s="36">
        <v>61.074001299999999</v>
      </c>
      <c r="T530" s="36">
        <v>19.829731500000001</v>
      </c>
      <c r="U530" s="36">
        <v>19.0962672</v>
      </c>
      <c r="V530" s="36">
        <v>72.236856000000003</v>
      </c>
      <c r="W530" s="36">
        <v>14.6665262</v>
      </c>
      <c r="X530" s="36">
        <v>13.096617800000001</v>
      </c>
      <c r="Y530" s="36">
        <v>76.089620199999999</v>
      </c>
      <c r="Z530" s="36">
        <v>11.8939261</v>
      </c>
      <c r="AA530" s="36">
        <v>12.0164537</v>
      </c>
    </row>
    <row r="531" spans="1:39" hidden="1" x14ac:dyDescent="0.3">
      <c r="A531" s="37">
        <v>527</v>
      </c>
      <c r="B531" s="38" t="s">
        <v>1</v>
      </c>
      <c r="C531" s="38" t="s">
        <v>157</v>
      </c>
      <c r="D531" s="38" t="s">
        <v>181</v>
      </c>
      <c r="E531" s="38"/>
      <c r="F531" s="39" t="s">
        <v>519</v>
      </c>
      <c r="G531" s="40">
        <v>2445</v>
      </c>
      <c r="H531" s="40">
        <v>1441</v>
      </c>
      <c r="I531" s="40">
        <v>513</v>
      </c>
      <c r="J531" s="40">
        <v>491</v>
      </c>
      <c r="K531" s="40">
        <v>3807</v>
      </c>
      <c r="L531" s="40">
        <v>2717</v>
      </c>
      <c r="M531" s="40">
        <v>565</v>
      </c>
      <c r="N531" s="40">
        <v>525</v>
      </c>
      <c r="O531" s="40">
        <v>3701</v>
      </c>
      <c r="P531" s="40">
        <v>2880</v>
      </c>
      <c r="Q531" s="40">
        <v>455</v>
      </c>
      <c r="R531" s="40">
        <v>366</v>
      </c>
      <c r="S531" s="41">
        <v>58.936605299999997</v>
      </c>
      <c r="T531" s="41">
        <v>20.9815951</v>
      </c>
      <c r="U531" s="41">
        <v>20.0817996</v>
      </c>
      <c r="V531" s="41">
        <v>71.368531700000005</v>
      </c>
      <c r="W531" s="41">
        <v>14.841082200000001</v>
      </c>
      <c r="X531" s="41">
        <v>13.790386099999999</v>
      </c>
      <c r="Y531" s="41">
        <v>77.816806299999996</v>
      </c>
      <c r="Z531" s="41">
        <v>12.2939746</v>
      </c>
      <c r="AA531" s="41">
        <v>9.8892191</v>
      </c>
    </row>
    <row r="532" spans="1:39" hidden="1" x14ac:dyDescent="0.3">
      <c r="A532" s="37">
        <v>528</v>
      </c>
      <c r="B532" s="38" t="s">
        <v>1</v>
      </c>
      <c r="C532" s="38" t="s">
        <v>157</v>
      </c>
      <c r="D532" s="38" t="s">
        <v>181</v>
      </c>
      <c r="E532" s="38"/>
      <c r="F532" s="39" t="s">
        <v>520</v>
      </c>
      <c r="G532" s="40">
        <v>5190</v>
      </c>
      <c r="H532" s="40">
        <v>3222</v>
      </c>
      <c r="I532" s="40">
        <v>1001</v>
      </c>
      <c r="J532" s="40">
        <v>967</v>
      </c>
      <c r="K532" s="40">
        <v>5684</v>
      </c>
      <c r="L532" s="40">
        <v>4139</v>
      </c>
      <c r="M532" s="40">
        <v>827</v>
      </c>
      <c r="N532" s="40">
        <v>718</v>
      </c>
      <c r="O532" s="40">
        <v>7725</v>
      </c>
      <c r="P532" s="40">
        <v>5814</v>
      </c>
      <c r="Q532" s="40">
        <v>904</v>
      </c>
      <c r="R532" s="40">
        <v>1007</v>
      </c>
      <c r="S532" s="41">
        <v>62.080924899999999</v>
      </c>
      <c r="T532" s="41">
        <v>19.287090599999999</v>
      </c>
      <c r="U532" s="41">
        <v>18.631984599999999</v>
      </c>
      <c r="V532" s="41">
        <v>72.818437700000004</v>
      </c>
      <c r="W532" s="41">
        <v>14.5496129</v>
      </c>
      <c r="X532" s="41">
        <v>12.6319493</v>
      </c>
      <c r="Y532" s="41">
        <v>75.262135900000004</v>
      </c>
      <c r="Z532" s="41">
        <v>11.7022654</v>
      </c>
      <c r="AA532" s="41">
        <v>13.0355987</v>
      </c>
    </row>
    <row r="533" spans="1:39" hidden="1" x14ac:dyDescent="0.3">
      <c r="A533" s="42">
        <v>529</v>
      </c>
      <c r="B533" s="43" t="s">
        <v>521</v>
      </c>
      <c r="C533" s="50" t="s">
        <v>157</v>
      </c>
      <c r="D533" s="50" t="s">
        <v>181</v>
      </c>
      <c r="E533" s="50" t="s">
        <v>182</v>
      </c>
      <c r="F533" s="51" t="s">
        <v>182</v>
      </c>
      <c r="G533" s="45">
        <v>4761</v>
      </c>
      <c r="H533" s="45">
        <v>2882</v>
      </c>
      <c r="I533" s="45">
        <v>975</v>
      </c>
      <c r="J533" s="45">
        <v>904</v>
      </c>
      <c r="K533" s="45">
        <v>5960</v>
      </c>
      <c r="L533" s="45">
        <v>4279</v>
      </c>
      <c r="M533" s="45">
        <v>909</v>
      </c>
      <c r="N533" s="45">
        <v>772</v>
      </c>
      <c r="O533" s="45">
        <v>6338</v>
      </c>
      <c r="P533" s="45">
        <v>4955</v>
      </c>
      <c r="Q533" s="45">
        <v>730</v>
      </c>
      <c r="R533" s="45">
        <v>653</v>
      </c>
      <c r="S533" s="46">
        <v>60.533501399999999</v>
      </c>
      <c r="T533" s="46">
        <v>20.478891000000001</v>
      </c>
      <c r="U533" s="46">
        <v>18.9876076</v>
      </c>
      <c r="V533" s="46">
        <v>71.795302000000007</v>
      </c>
      <c r="W533" s="46">
        <v>15.251677900000001</v>
      </c>
      <c r="X533" s="46">
        <v>12.9530201</v>
      </c>
      <c r="Y533" s="46">
        <v>78.179236399999994</v>
      </c>
      <c r="Z533" s="46">
        <v>11.517829000000001</v>
      </c>
      <c r="AA533" s="46">
        <v>10.3029347</v>
      </c>
      <c r="AB533" s="26">
        <f>SUM(W533:X533)</f>
        <v>28.204698</v>
      </c>
      <c r="AC533" s="26">
        <f>SUM(Z533:AA533)</f>
        <v>21.820763700000001</v>
      </c>
      <c r="AD533" s="57">
        <f>M533+N533</f>
        <v>1681</v>
      </c>
      <c r="AE533" s="57">
        <f>Q533+R533</f>
        <v>1383</v>
      </c>
      <c r="AF533" s="26">
        <f>W533</f>
        <v>15.251677900000001</v>
      </c>
      <c r="AG533" s="26">
        <f>Z533</f>
        <v>11.517829000000001</v>
      </c>
      <c r="AH533" s="26">
        <f>M533</f>
        <v>909</v>
      </c>
      <c r="AI533" s="26">
        <f>Q533</f>
        <v>730</v>
      </c>
      <c r="AJ533" s="26">
        <f>X533</f>
        <v>12.9530201</v>
      </c>
      <c r="AK533" s="26">
        <f>AA533</f>
        <v>10.3029347</v>
      </c>
      <c r="AL533" s="57">
        <f>N533</f>
        <v>772</v>
      </c>
      <c r="AM533" s="57">
        <f>R533</f>
        <v>653</v>
      </c>
    </row>
    <row r="534" spans="1:39" hidden="1" x14ac:dyDescent="0.3">
      <c r="A534" s="37">
        <v>530</v>
      </c>
      <c r="B534" s="38" t="s">
        <v>521</v>
      </c>
      <c r="C534" s="38" t="s">
        <v>157</v>
      </c>
      <c r="D534" s="38" t="s">
        <v>181</v>
      </c>
      <c r="E534" s="38" t="s">
        <v>182</v>
      </c>
      <c r="F534" s="47" t="s">
        <v>519</v>
      </c>
      <c r="G534" s="40">
        <v>2041</v>
      </c>
      <c r="H534" s="40">
        <v>1222</v>
      </c>
      <c r="I534" s="40">
        <v>429</v>
      </c>
      <c r="J534" s="40">
        <v>390</v>
      </c>
      <c r="K534" s="40">
        <v>2937</v>
      </c>
      <c r="L534" s="40">
        <v>2095</v>
      </c>
      <c r="M534" s="40">
        <v>442</v>
      </c>
      <c r="N534" s="40">
        <v>400</v>
      </c>
      <c r="O534" s="40">
        <v>3096</v>
      </c>
      <c r="P534" s="40">
        <v>2417</v>
      </c>
      <c r="Q534" s="40">
        <v>372</v>
      </c>
      <c r="R534" s="40">
        <v>307</v>
      </c>
      <c r="S534" s="41">
        <v>59.872611499999998</v>
      </c>
      <c r="T534" s="41">
        <v>21.019108299999999</v>
      </c>
      <c r="U534" s="41">
        <v>19.108280300000001</v>
      </c>
      <c r="V534" s="41">
        <v>71.3312904</v>
      </c>
      <c r="W534" s="41">
        <v>15.049370100000001</v>
      </c>
      <c r="X534" s="41">
        <v>13.619339500000001</v>
      </c>
      <c r="Y534" s="41">
        <v>78.068475500000005</v>
      </c>
      <c r="Z534" s="41">
        <v>12.015503900000001</v>
      </c>
      <c r="AA534" s="41">
        <v>9.9160207000000007</v>
      </c>
    </row>
    <row r="535" spans="1:39" hidden="1" x14ac:dyDescent="0.3">
      <c r="A535" s="37">
        <v>531</v>
      </c>
      <c r="B535" s="38" t="s">
        <v>521</v>
      </c>
      <c r="C535" s="38" t="s">
        <v>157</v>
      </c>
      <c r="D535" s="38" t="s">
        <v>181</v>
      </c>
      <c r="E535" s="38" t="s">
        <v>182</v>
      </c>
      <c r="F535" s="47" t="s">
        <v>520</v>
      </c>
      <c r="G535" s="40">
        <v>2720</v>
      </c>
      <c r="H535" s="40">
        <v>1660</v>
      </c>
      <c r="I535" s="40">
        <v>546</v>
      </c>
      <c r="J535" s="40">
        <v>514</v>
      </c>
      <c r="K535" s="40">
        <v>3023</v>
      </c>
      <c r="L535" s="40">
        <v>2184</v>
      </c>
      <c r="M535" s="40">
        <v>467</v>
      </c>
      <c r="N535" s="40">
        <v>372</v>
      </c>
      <c r="O535" s="40">
        <v>3242</v>
      </c>
      <c r="P535" s="40">
        <v>2538</v>
      </c>
      <c r="Q535" s="40">
        <v>358</v>
      </c>
      <c r="R535" s="40">
        <v>346</v>
      </c>
      <c r="S535" s="41">
        <v>61.029411799999998</v>
      </c>
      <c r="T535" s="41">
        <v>20.073529400000002</v>
      </c>
      <c r="U535" s="41">
        <v>18.8970588</v>
      </c>
      <c r="V535" s="41">
        <v>72.246113100000002</v>
      </c>
      <c r="W535" s="41">
        <v>15.448230199999999</v>
      </c>
      <c r="X535" s="41">
        <v>12.305656600000001</v>
      </c>
      <c r="Y535" s="41">
        <v>78.285009299999999</v>
      </c>
      <c r="Z535" s="41">
        <v>11.042566300000001</v>
      </c>
      <c r="AA535" s="41">
        <v>10.672424400000001</v>
      </c>
    </row>
    <row r="536" spans="1:39" hidden="1" x14ac:dyDescent="0.3">
      <c r="A536" s="42">
        <v>532</v>
      </c>
      <c r="B536" s="43" t="s">
        <v>521</v>
      </c>
      <c r="C536" s="50" t="s">
        <v>157</v>
      </c>
      <c r="D536" s="50" t="s">
        <v>181</v>
      </c>
      <c r="E536" s="50" t="s">
        <v>183</v>
      </c>
      <c r="F536" s="51" t="s">
        <v>183</v>
      </c>
      <c r="G536" s="45">
        <v>1794</v>
      </c>
      <c r="H536" s="45">
        <v>1186</v>
      </c>
      <c r="I536" s="45">
        <v>318</v>
      </c>
      <c r="J536" s="45">
        <v>290</v>
      </c>
      <c r="K536" s="45">
        <v>2061</v>
      </c>
      <c r="L536" s="45">
        <v>1510</v>
      </c>
      <c r="M536" s="45">
        <v>284</v>
      </c>
      <c r="N536" s="45">
        <v>267</v>
      </c>
      <c r="O536" s="45">
        <v>2572</v>
      </c>
      <c r="P536" s="45">
        <v>1916</v>
      </c>
      <c r="Q536" s="45">
        <v>309</v>
      </c>
      <c r="R536" s="45">
        <v>347</v>
      </c>
      <c r="S536" s="46">
        <v>66.109253100000004</v>
      </c>
      <c r="T536" s="46">
        <v>17.725752499999999</v>
      </c>
      <c r="U536" s="46">
        <v>16.164994400000001</v>
      </c>
      <c r="V536" s="46">
        <v>73.265405099999995</v>
      </c>
      <c r="W536" s="46">
        <v>13.779718600000001</v>
      </c>
      <c r="X536" s="46">
        <v>12.9548763</v>
      </c>
      <c r="Y536" s="46">
        <v>74.494556799999998</v>
      </c>
      <c r="Z536" s="46">
        <v>12.0139969</v>
      </c>
      <c r="AA536" s="46">
        <v>13.4914463</v>
      </c>
      <c r="AB536" s="26">
        <f>SUM(W536:X536)</f>
        <v>26.734594900000001</v>
      </c>
      <c r="AC536" s="26">
        <f>SUM(Z536:AA536)</f>
        <v>25.505443200000002</v>
      </c>
      <c r="AD536" s="57">
        <f>M536+N536</f>
        <v>551</v>
      </c>
      <c r="AE536" s="57">
        <f>Q536+R536</f>
        <v>656</v>
      </c>
      <c r="AF536" s="26">
        <f>W536</f>
        <v>13.779718600000001</v>
      </c>
      <c r="AG536" s="26">
        <f>Z536</f>
        <v>12.0139969</v>
      </c>
      <c r="AH536" s="26">
        <f>M536</f>
        <v>284</v>
      </c>
      <c r="AI536" s="26">
        <f>Q536</f>
        <v>309</v>
      </c>
      <c r="AJ536" s="26">
        <f>X536</f>
        <v>12.9548763</v>
      </c>
      <c r="AK536" s="26">
        <f>AA536</f>
        <v>13.4914463</v>
      </c>
      <c r="AL536" s="57">
        <f>N536</f>
        <v>267</v>
      </c>
      <c r="AM536" s="57">
        <f>R536</f>
        <v>347</v>
      </c>
    </row>
    <row r="537" spans="1:39" hidden="1" x14ac:dyDescent="0.3">
      <c r="A537" s="37">
        <v>533</v>
      </c>
      <c r="B537" s="38" t="s">
        <v>521</v>
      </c>
      <c r="C537" s="38" t="s">
        <v>157</v>
      </c>
      <c r="D537" s="38" t="s">
        <v>181</v>
      </c>
      <c r="E537" s="38" t="s">
        <v>183</v>
      </c>
      <c r="F537" s="47" t="s">
        <v>519</v>
      </c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1"/>
      <c r="T537" s="41"/>
      <c r="U537" s="41"/>
      <c r="V537" s="41"/>
      <c r="W537" s="41"/>
      <c r="X537" s="41"/>
      <c r="Y537" s="41"/>
      <c r="Z537" s="41"/>
      <c r="AA537" s="41"/>
    </row>
    <row r="538" spans="1:39" hidden="1" x14ac:dyDescent="0.3">
      <c r="A538" s="37">
        <v>534</v>
      </c>
      <c r="B538" s="38" t="s">
        <v>521</v>
      </c>
      <c r="C538" s="38" t="s">
        <v>157</v>
      </c>
      <c r="D538" s="38" t="s">
        <v>181</v>
      </c>
      <c r="E538" s="38" t="s">
        <v>183</v>
      </c>
      <c r="F538" s="47" t="s">
        <v>520</v>
      </c>
      <c r="G538" s="40">
        <v>1794</v>
      </c>
      <c r="H538" s="40">
        <v>1186</v>
      </c>
      <c r="I538" s="40">
        <v>318</v>
      </c>
      <c r="J538" s="40">
        <v>290</v>
      </c>
      <c r="K538" s="40">
        <v>2061</v>
      </c>
      <c r="L538" s="40">
        <v>1510</v>
      </c>
      <c r="M538" s="40">
        <v>284</v>
      </c>
      <c r="N538" s="40">
        <v>267</v>
      </c>
      <c r="O538" s="40">
        <v>2572</v>
      </c>
      <c r="P538" s="40">
        <v>1916</v>
      </c>
      <c r="Q538" s="40">
        <v>309</v>
      </c>
      <c r="R538" s="40">
        <v>347</v>
      </c>
      <c r="S538" s="41">
        <v>66.109253100000004</v>
      </c>
      <c r="T538" s="41">
        <v>17.725752499999999</v>
      </c>
      <c r="U538" s="41">
        <v>16.164994400000001</v>
      </c>
      <c r="V538" s="41">
        <v>73.265405099999995</v>
      </c>
      <c r="W538" s="41">
        <v>13.779718600000001</v>
      </c>
      <c r="X538" s="41">
        <v>12.9548763</v>
      </c>
      <c r="Y538" s="41">
        <v>74.494556799999998</v>
      </c>
      <c r="Z538" s="41">
        <v>12.0139969</v>
      </c>
      <c r="AA538" s="41">
        <v>13.4914463</v>
      </c>
    </row>
    <row r="539" spans="1:39" hidden="1" x14ac:dyDescent="0.3">
      <c r="A539" s="42">
        <v>535</v>
      </c>
      <c r="B539" s="43" t="s">
        <v>521</v>
      </c>
      <c r="C539" s="50" t="s">
        <v>157</v>
      </c>
      <c r="D539" s="50" t="s">
        <v>181</v>
      </c>
      <c r="E539" s="50" t="s">
        <v>184</v>
      </c>
      <c r="F539" s="51" t="s">
        <v>184</v>
      </c>
      <c r="G539" s="45">
        <v>1080</v>
      </c>
      <c r="H539" s="45">
        <v>595</v>
      </c>
      <c r="I539" s="45">
        <v>221</v>
      </c>
      <c r="J539" s="45">
        <v>264</v>
      </c>
      <c r="K539" s="45">
        <v>1470</v>
      </c>
      <c r="L539" s="45">
        <v>1067</v>
      </c>
      <c r="M539" s="45">
        <v>199</v>
      </c>
      <c r="N539" s="45">
        <v>204</v>
      </c>
      <c r="O539" s="45">
        <v>2516</v>
      </c>
      <c r="P539" s="45">
        <v>1823</v>
      </c>
      <c r="Q539" s="45">
        <v>320</v>
      </c>
      <c r="R539" s="45">
        <v>373</v>
      </c>
      <c r="S539" s="46">
        <v>55.092592600000003</v>
      </c>
      <c r="T539" s="46">
        <v>20.462962999999998</v>
      </c>
      <c r="U539" s="46">
        <v>24.444444399999998</v>
      </c>
      <c r="V539" s="46">
        <v>72.585033999999993</v>
      </c>
      <c r="W539" s="46">
        <v>13.537414999999999</v>
      </c>
      <c r="X539" s="46">
        <v>13.877551</v>
      </c>
      <c r="Y539" s="46">
        <v>72.456279800000004</v>
      </c>
      <c r="Z539" s="46">
        <v>12.718601</v>
      </c>
      <c r="AA539" s="46">
        <v>14.8251192</v>
      </c>
      <c r="AB539" s="26">
        <f>SUM(W539:X539)</f>
        <v>27.414966</v>
      </c>
      <c r="AC539" s="26">
        <f>SUM(Z539:AA539)</f>
        <v>27.543720199999999</v>
      </c>
      <c r="AD539" s="57">
        <f>M539+N539</f>
        <v>403</v>
      </c>
      <c r="AE539" s="57">
        <f>Q539+R539</f>
        <v>693</v>
      </c>
      <c r="AF539" s="26">
        <f>W539</f>
        <v>13.537414999999999</v>
      </c>
      <c r="AG539" s="26">
        <f>Z539</f>
        <v>12.718601</v>
      </c>
      <c r="AH539" s="26">
        <f>M539</f>
        <v>199</v>
      </c>
      <c r="AI539" s="26">
        <f>Q539</f>
        <v>320</v>
      </c>
      <c r="AJ539" s="26">
        <f>X539</f>
        <v>13.877551</v>
      </c>
      <c r="AK539" s="26">
        <f>AA539</f>
        <v>14.8251192</v>
      </c>
      <c r="AL539" s="57">
        <f>N539</f>
        <v>204</v>
      </c>
      <c r="AM539" s="57">
        <f>R539</f>
        <v>373</v>
      </c>
    </row>
    <row r="540" spans="1:39" hidden="1" x14ac:dyDescent="0.3">
      <c r="A540" s="37">
        <v>536</v>
      </c>
      <c r="B540" s="38" t="s">
        <v>521</v>
      </c>
      <c r="C540" s="38" t="s">
        <v>157</v>
      </c>
      <c r="D540" s="38" t="s">
        <v>181</v>
      </c>
      <c r="E540" s="38" t="s">
        <v>184</v>
      </c>
      <c r="F540" s="47" t="s">
        <v>519</v>
      </c>
      <c r="G540" s="40">
        <v>404</v>
      </c>
      <c r="H540" s="40">
        <v>219</v>
      </c>
      <c r="I540" s="40">
        <v>84</v>
      </c>
      <c r="J540" s="40">
        <v>101</v>
      </c>
      <c r="K540" s="40">
        <v>870</v>
      </c>
      <c r="L540" s="40">
        <v>622</v>
      </c>
      <c r="M540" s="40">
        <v>123</v>
      </c>
      <c r="N540" s="40">
        <v>125</v>
      </c>
      <c r="O540" s="40">
        <v>605</v>
      </c>
      <c r="P540" s="40">
        <v>463</v>
      </c>
      <c r="Q540" s="40">
        <v>83</v>
      </c>
      <c r="R540" s="40">
        <v>59</v>
      </c>
      <c r="S540" s="41">
        <v>54.207920799999997</v>
      </c>
      <c r="T540" s="41">
        <v>20.7920792</v>
      </c>
      <c r="U540" s="41">
        <v>25</v>
      </c>
      <c r="V540" s="41">
        <v>71.494252900000006</v>
      </c>
      <c r="W540" s="41">
        <v>14.137931</v>
      </c>
      <c r="X540" s="41">
        <v>14.367816100000001</v>
      </c>
      <c r="Y540" s="41">
        <v>76.528925599999994</v>
      </c>
      <c r="Z540" s="41">
        <v>13.7190083</v>
      </c>
      <c r="AA540" s="41">
        <v>9.7520661000000004</v>
      </c>
    </row>
    <row r="541" spans="1:39" hidden="1" x14ac:dyDescent="0.3">
      <c r="A541" s="37">
        <v>537</v>
      </c>
      <c r="B541" s="38" t="s">
        <v>521</v>
      </c>
      <c r="C541" s="38" t="s">
        <v>157</v>
      </c>
      <c r="D541" s="38" t="s">
        <v>181</v>
      </c>
      <c r="E541" s="38" t="s">
        <v>184</v>
      </c>
      <c r="F541" s="47" t="s">
        <v>520</v>
      </c>
      <c r="G541" s="40">
        <v>676</v>
      </c>
      <c r="H541" s="40">
        <v>376</v>
      </c>
      <c r="I541" s="40">
        <v>137</v>
      </c>
      <c r="J541" s="40">
        <v>163</v>
      </c>
      <c r="K541" s="40">
        <v>600</v>
      </c>
      <c r="L541" s="40">
        <v>445</v>
      </c>
      <c r="M541" s="40">
        <v>76</v>
      </c>
      <c r="N541" s="40">
        <v>79</v>
      </c>
      <c r="O541" s="40">
        <v>1911</v>
      </c>
      <c r="P541" s="40">
        <v>1360</v>
      </c>
      <c r="Q541" s="40">
        <v>237</v>
      </c>
      <c r="R541" s="40">
        <v>314</v>
      </c>
      <c r="S541" s="41">
        <v>55.621301799999998</v>
      </c>
      <c r="T541" s="41">
        <v>20.2662722</v>
      </c>
      <c r="U541" s="41">
        <v>24.112425999999999</v>
      </c>
      <c r="V541" s="41">
        <v>74.166666699999993</v>
      </c>
      <c r="W541" s="41">
        <v>12.6666667</v>
      </c>
      <c r="X541" s="41">
        <v>13.1666667</v>
      </c>
      <c r="Y541" s="41">
        <v>71.166928299999995</v>
      </c>
      <c r="Z541" s="41">
        <v>12.4018838</v>
      </c>
      <c r="AA541" s="41">
        <v>16.431187900000001</v>
      </c>
    </row>
    <row r="542" spans="1:39" hidden="1" x14ac:dyDescent="0.3">
      <c r="A542" s="32">
        <v>538</v>
      </c>
      <c r="B542" s="33" t="s">
        <v>1</v>
      </c>
      <c r="C542" s="49" t="s">
        <v>157</v>
      </c>
      <c r="D542" s="49" t="s">
        <v>185</v>
      </c>
      <c r="E542" s="49"/>
      <c r="F542" s="34" t="s">
        <v>185</v>
      </c>
      <c r="G542" s="35">
        <v>56491</v>
      </c>
      <c r="H542" s="35">
        <v>28877</v>
      </c>
      <c r="I542" s="35">
        <v>12159</v>
      </c>
      <c r="J542" s="35">
        <v>15455</v>
      </c>
      <c r="K542" s="35">
        <v>89217</v>
      </c>
      <c r="L542" s="35">
        <v>58849</v>
      </c>
      <c r="M542" s="35">
        <v>15374</v>
      </c>
      <c r="N542" s="35">
        <v>14994</v>
      </c>
      <c r="O542" s="35">
        <v>121175</v>
      </c>
      <c r="P542" s="35">
        <v>93020</v>
      </c>
      <c r="Q542" s="35">
        <v>15309</v>
      </c>
      <c r="R542" s="35">
        <v>12846</v>
      </c>
      <c r="S542" s="36">
        <v>51.117877200000002</v>
      </c>
      <c r="T542" s="36">
        <v>21.523782499999999</v>
      </c>
      <c r="U542" s="36">
        <v>27.358340299999998</v>
      </c>
      <c r="V542" s="36">
        <v>65.961644100000001</v>
      </c>
      <c r="W542" s="36">
        <v>17.232141899999998</v>
      </c>
      <c r="X542" s="36">
        <v>16.806214099999998</v>
      </c>
      <c r="Y542" s="36">
        <v>76.765009300000003</v>
      </c>
      <c r="Z542" s="36">
        <v>12.633794099999999</v>
      </c>
      <c r="AA542" s="36">
        <v>10.6011966</v>
      </c>
    </row>
    <row r="543" spans="1:39" hidden="1" x14ac:dyDescent="0.3">
      <c r="A543" s="37">
        <v>539</v>
      </c>
      <c r="B543" s="38" t="s">
        <v>1</v>
      </c>
      <c r="C543" s="38" t="s">
        <v>157</v>
      </c>
      <c r="D543" s="38" t="s">
        <v>185</v>
      </c>
      <c r="E543" s="38"/>
      <c r="F543" s="39" t="s">
        <v>519</v>
      </c>
      <c r="G543" s="40">
        <v>37384</v>
      </c>
      <c r="H543" s="40">
        <v>19623</v>
      </c>
      <c r="I543" s="40">
        <v>8142</v>
      </c>
      <c r="J543" s="40">
        <v>9619</v>
      </c>
      <c r="K543" s="40">
        <v>75248</v>
      </c>
      <c r="L543" s="40">
        <v>50216</v>
      </c>
      <c r="M543" s="40">
        <v>12924</v>
      </c>
      <c r="N543" s="40">
        <v>12108</v>
      </c>
      <c r="O543" s="40">
        <v>108515</v>
      </c>
      <c r="P543" s="40">
        <v>83950</v>
      </c>
      <c r="Q543" s="40">
        <v>13616</v>
      </c>
      <c r="R543" s="40">
        <v>10949</v>
      </c>
      <c r="S543" s="41">
        <v>52.490370200000001</v>
      </c>
      <c r="T543" s="41">
        <v>21.7793709</v>
      </c>
      <c r="U543" s="41">
        <v>25.730258899999999</v>
      </c>
      <c r="V543" s="41">
        <v>66.733999600000004</v>
      </c>
      <c r="W543" s="41">
        <v>17.1752073</v>
      </c>
      <c r="X543" s="41">
        <v>16.090793099999999</v>
      </c>
      <c r="Y543" s="41">
        <v>77.362576599999997</v>
      </c>
      <c r="Z543" s="41">
        <v>12.5475741</v>
      </c>
      <c r="AA543" s="41">
        <v>10.089849299999999</v>
      </c>
    </row>
    <row r="544" spans="1:39" hidden="1" x14ac:dyDescent="0.3">
      <c r="A544" s="37">
        <v>540</v>
      </c>
      <c r="B544" s="38" t="s">
        <v>1</v>
      </c>
      <c r="C544" s="38" t="s">
        <v>157</v>
      </c>
      <c r="D544" s="38" t="s">
        <v>185</v>
      </c>
      <c r="E544" s="38"/>
      <c r="F544" s="39" t="s">
        <v>520</v>
      </c>
      <c r="G544" s="40">
        <v>19107</v>
      </c>
      <c r="H544" s="40">
        <v>9254</v>
      </c>
      <c r="I544" s="40">
        <v>4017</v>
      </c>
      <c r="J544" s="40">
        <v>5836</v>
      </c>
      <c r="K544" s="40">
        <v>13969</v>
      </c>
      <c r="L544" s="40">
        <v>8633</v>
      </c>
      <c r="M544" s="40">
        <v>2450</v>
      </c>
      <c r="N544" s="40">
        <v>2886</v>
      </c>
      <c r="O544" s="40">
        <v>12660</v>
      </c>
      <c r="P544" s="40">
        <v>9070</v>
      </c>
      <c r="Q544" s="40">
        <v>1693</v>
      </c>
      <c r="R544" s="40">
        <v>1897</v>
      </c>
      <c r="S544" s="41">
        <v>48.432511599999998</v>
      </c>
      <c r="T544" s="41">
        <v>21.023708599999999</v>
      </c>
      <c r="U544" s="41">
        <v>30.543779799999999</v>
      </c>
      <c r="V544" s="41">
        <v>61.801131099999999</v>
      </c>
      <c r="W544" s="41">
        <v>17.538836</v>
      </c>
      <c r="X544" s="41">
        <v>20.660032900000001</v>
      </c>
      <c r="Y544" s="41">
        <v>71.642970000000005</v>
      </c>
      <c r="Z544" s="41">
        <v>13.3728278</v>
      </c>
      <c r="AA544" s="41">
        <v>14.9842022</v>
      </c>
    </row>
    <row r="545" spans="1:39" hidden="1" x14ac:dyDescent="0.3">
      <c r="A545" s="42">
        <v>541</v>
      </c>
      <c r="B545" s="43" t="s">
        <v>521</v>
      </c>
      <c r="C545" s="50" t="s">
        <v>157</v>
      </c>
      <c r="D545" s="50" t="s">
        <v>185</v>
      </c>
      <c r="E545" s="50" t="s">
        <v>185</v>
      </c>
      <c r="F545" s="51" t="s">
        <v>185</v>
      </c>
      <c r="G545" s="45">
        <v>23734</v>
      </c>
      <c r="H545" s="45">
        <v>12206</v>
      </c>
      <c r="I545" s="45">
        <v>5112</v>
      </c>
      <c r="J545" s="45">
        <v>6416</v>
      </c>
      <c r="K545" s="45">
        <v>35931</v>
      </c>
      <c r="L545" s="45">
        <v>23906</v>
      </c>
      <c r="M545" s="45">
        <v>6153</v>
      </c>
      <c r="N545" s="45">
        <v>5872</v>
      </c>
      <c r="O545" s="45">
        <v>49171</v>
      </c>
      <c r="P545" s="45">
        <v>37837</v>
      </c>
      <c r="Q545" s="45">
        <v>6247</v>
      </c>
      <c r="R545" s="45">
        <v>5087</v>
      </c>
      <c r="S545" s="46">
        <v>51.428330699999997</v>
      </c>
      <c r="T545" s="46">
        <v>21.5387208</v>
      </c>
      <c r="U545" s="46">
        <v>27.0329485</v>
      </c>
      <c r="V545" s="46">
        <v>66.533077300000002</v>
      </c>
      <c r="W545" s="46">
        <v>17.124488599999999</v>
      </c>
      <c r="X545" s="46">
        <v>16.342434099999998</v>
      </c>
      <c r="Y545" s="46">
        <v>76.949828199999999</v>
      </c>
      <c r="Z545" s="46">
        <v>12.704643000000001</v>
      </c>
      <c r="AA545" s="46">
        <v>10.3455289</v>
      </c>
      <c r="AB545" s="26">
        <f>SUM(W545:X545)</f>
        <v>33.466922699999998</v>
      </c>
      <c r="AC545" s="26">
        <f>SUM(Z545:AA545)</f>
        <v>23.050171900000002</v>
      </c>
      <c r="AD545" s="57">
        <f>M545+N545</f>
        <v>12025</v>
      </c>
      <c r="AE545" s="57">
        <f>Q545+R545</f>
        <v>11334</v>
      </c>
      <c r="AF545" s="26">
        <f>W545</f>
        <v>17.124488599999999</v>
      </c>
      <c r="AG545" s="26">
        <f>Z545</f>
        <v>12.704643000000001</v>
      </c>
      <c r="AH545" s="26">
        <f>M545</f>
        <v>6153</v>
      </c>
      <c r="AI545" s="26">
        <f>Q545</f>
        <v>6247</v>
      </c>
      <c r="AJ545" s="26">
        <f>X545</f>
        <v>16.342434099999998</v>
      </c>
      <c r="AK545" s="26">
        <f>AA545</f>
        <v>10.3455289</v>
      </c>
      <c r="AL545" s="57">
        <f>N545</f>
        <v>5872</v>
      </c>
      <c r="AM545" s="57">
        <f>R545</f>
        <v>5087</v>
      </c>
    </row>
    <row r="546" spans="1:39" hidden="1" x14ac:dyDescent="0.3">
      <c r="A546" s="37">
        <v>542</v>
      </c>
      <c r="B546" s="38" t="s">
        <v>521</v>
      </c>
      <c r="C546" s="38" t="s">
        <v>157</v>
      </c>
      <c r="D546" s="38" t="s">
        <v>185</v>
      </c>
      <c r="E546" s="38" t="s">
        <v>185</v>
      </c>
      <c r="F546" s="47" t="s">
        <v>519</v>
      </c>
      <c r="G546" s="40">
        <v>17986</v>
      </c>
      <c r="H546" s="40">
        <v>9412</v>
      </c>
      <c r="I546" s="40">
        <v>3917</v>
      </c>
      <c r="J546" s="40">
        <v>4657</v>
      </c>
      <c r="K546" s="40">
        <v>34151</v>
      </c>
      <c r="L546" s="40">
        <v>22913</v>
      </c>
      <c r="M546" s="40">
        <v>5811</v>
      </c>
      <c r="N546" s="40">
        <v>5427</v>
      </c>
      <c r="O546" s="40">
        <v>46686</v>
      </c>
      <c r="P546" s="40">
        <v>36153</v>
      </c>
      <c r="Q546" s="40">
        <v>5907</v>
      </c>
      <c r="R546" s="40">
        <v>4626</v>
      </c>
      <c r="S546" s="41">
        <v>52.3295897</v>
      </c>
      <c r="T546" s="41">
        <v>21.778049599999999</v>
      </c>
      <c r="U546" s="41">
        <v>25.892360700000001</v>
      </c>
      <c r="V546" s="41">
        <v>67.093203700000004</v>
      </c>
      <c r="W546" s="41">
        <v>17.015607200000002</v>
      </c>
      <c r="X546" s="41">
        <v>15.8911891</v>
      </c>
      <c r="Y546" s="41">
        <v>77.438632600000005</v>
      </c>
      <c r="Z546" s="41">
        <v>12.652615300000001</v>
      </c>
      <c r="AA546" s="41">
        <v>9.9087520999999992</v>
      </c>
    </row>
    <row r="547" spans="1:39" hidden="1" x14ac:dyDescent="0.3">
      <c r="A547" s="37">
        <v>543</v>
      </c>
      <c r="B547" s="38" t="s">
        <v>521</v>
      </c>
      <c r="C547" s="38" t="s">
        <v>157</v>
      </c>
      <c r="D547" s="38" t="s">
        <v>185</v>
      </c>
      <c r="E547" s="38" t="s">
        <v>185</v>
      </c>
      <c r="F547" s="47" t="s">
        <v>520</v>
      </c>
      <c r="G547" s="40">
        <v>5748</v>
      </c>
      <c r="H547" s="40">
        <v>2794</v>
      </c>
      <c r="I547" s="40">
        <v>1195</v>
      </c>
      <c r="J547" s="40">
        <v>1759</v>
      </c>
      <c r="K547" s="40">
        <v>1780</v>
      </c>
      <c r="L547" s="40">
        <v>993</v>
      </c>
      <c r="M547" s="40">
        <v>342</v>
      </c>
      <c r="N547" s="40">
        <v>445</v>
      </c>
      <c r="O547" s="40">
        <v>2485</v>
      </c>
      <c r="P547" s="40">
        <v>1684</v>
      </c>
      <c r="Q547" s="40">
        <v>340</v>
      </c>
      <c r="R547" s="40">
        <v>461</v>
      </c>
      <c r="S547" s="41">
        <v>48.608211599999997</v>
      </c>
      <c r="T547" s="41">
        <v>20.7898399</v>
      </c>
      <c r="U547" s="41">
        <v>30.601948499999999</v>
      </c>
      <c r="V547" s="41">
        <v>55.786516900000002</v>
      </c>
      <c r="W547" s="41">
        <v>19.213483100000001</v>
      </c>
      <c r="X547" s="41">
        <v>25</v>
      </c>
      <c r="Y547" s="41">
        <v>67.766599600000006</v>
      </c>
      <c r="Z547" s="41">
        <v>13.682092600000001</v>
      </c>
      <c r="AA547" s="41">
        <v>18.5513078</v>
      </c>
    </row>
    <row r="548" spans="1:39" hidden="1" x14ac:dyDescent="0.3">
      <c r="A548" s="42">
        <v>544</v>
      </c>
      <c r="B548" s="43" t="s">
        <v>521</v>
      </c>
      <c r="C548" s="50" t="s">
        <v>157</v>
      </c>
      <c r="D548" s="50" t="s">
        <v>185</v>
      </c>
      <c r="E548" s="50" t="s">
        <v>186</v>
      </c>
      <c r="F548" s="51" t="s">
        <v>186</v>
      </c>
      <c r="G548" s="45">
        <v>7647</v>
      </c>
      <c r="H548" s="45">
        <v>3815</v>
      </c>
      <c r="I548" s="45">
        <v>1566</v>
      </c>
      <c r="J548" s="45">
        <v>2266</v>
      </c>
      <c r="K548" s="45">
        <v>11603</v>
      </c>
      <c r="L548" s="45">
        <v>7264</v>
      </c>
      <c r="M548" s="45">
        <v>1973</v>
      </c>
      <c r="N548" s="45">
        <v>2366</v>
      </c>
      <c r="O548" s="45">
        <v>17824</v>
      </c>
      <c r="P548" s="45">
        <v>12957</v>
      </c>
      <c r="Q548" s="45">
        <v>2430</v>
      </c>
      <c r="R548" s="45">
        <v>2437</v>
      </c>
      <c r="S548" s="46">
        <v>49.8888453</v>
      </c>
      <c r="T548" s="46">
        <v>20.4786191</v>
      </c>
      <c r="U548" s="46">
        <v>29.632535600000001</v>
      </c>
      <c r="V548" s="46">
        <v>62.604498800000002</v>
      </c>
      <c r="W548" s="46">
        <v>17.004223</v>
      </c>
      <c r="X548" s="46">
        <v>20.391278100000001</v>
      </c>
      <c r="Y548" s="46">
        <v>72.694120299999994</v>
      </c>
      <c r="Z548" s="46">
        <v>13.633303400000001</v>
      </c>
      <c r="AA548" s="46">
        <v>13.672576299999999</v>
      </c>
      <c r="AB548" s="26">
        <f>SUM(W548:X548)</f>
        <v>37.395501100000004</v>
      </c>
      <c r="AC548" s="26">
        <f>SUM(Z548:AA548)</f>
        <v>27.305879699999998</v>
      </c>
      <c r="AD548" s="57">
        <f>M548+N548</f>
        <v>4339</v>
      </c>
      <c r="AE548" s="57">
        <f>Q548+R548</f>
        <v>4867</v>
      </c>
      <c r="AF548" s="26">
        <f>W548</f>
        <v>17.004223</v>
      </c>
      <c r="AG548" s="26">
        <f>Z548</f>
        <v>13.633303400000001</v>
      </c>
      <c r="AH548" s="26">
        <f>M548</f>
        <v>1973</v>
      </c>
      <c r="AI548" s="26">
        <f>Q548</f>
        <v>2430</v>
      </c>
      <c r="AJ548" s="26">
        <f>X548</f>
        <v>20.391278100000001</v>
      </c>
      <c r="AK548" s="26">
        <f>AA548</f>
        <v>13.672576299999999</v>
      </c>
      <c r="AL548" s="57">
        <f>N548</f>
        <v>2366</v>
      </c>
      <c r="AM548" s="57">
        <f>R548</f>
        <v>2437</v>
      </c>
    </row>
    <row r="549" spans="1:39" hidden="1" x14ac:dyDescent="0.3">
      <c r="A549" s="37">
        <v>545</v>
      </c>
      <c r="B549" s="38" t="s">
        <v>521</v>
      </c>
      <c r="C549" s="38" t="s">
        <v>157</v>
      </c>
      <c r="D549" s="38" t="s">
        <v>185</v>
      </c>
      <c r="E549" s="38" t="s">
        <v>186</v>
      </c>
      <c r="F549" s="47" t="s">
        <v>519</v>
      </c>
      <c r="G549" s="40">
        <v>752</v>
      </c>
      <c r="H549" s="40">
        <v>412</v>
      </c>
      <c r="I549" s="40">
        <v>149</v>
      </c>
      <c r="J549" s="40">
        <v>191</v>
      </c>
      <c r="K549" s="40">
        <v>3778</v>
      </c>
      <c r="L549" s="40">
        <v>2276</v>
      </c>
      <c r="M549" s="40">
        <v>676</v>
      </c>
      <c r="N549" s="40">
        <v>826</v>
      </c>
      <c r="O549" s="40">
        <v>11577</v>
      </c>
      <c r="P549" s="40">
        <v>8335</v>
      </c>
      <c r="Q549" s="40">
        <v>1655</v>
      </c>
      <c r="R549" s="40">
        <v>1587</v>
      </c>
      <c r="S549" s="41">
        <v>54.787233999999998</v>
      </c>
      <c r="T549" s="41">
        <v>19.813829800000001</v>
      </c>
      <c r="U549" s="41">
        <v>25.398936200000001</v>
      </c>
      <c r="V549" s="41">
        <v>60.243515100000003</v>
      </c>
      <c r="W549" s="41">
        <v>17.893065100000001</v>
      </c>
      <c r="X549" s="41">
        <v>21.863419799999999</v>
      </c>
      <c r="Y549" s="41">
        <v>71.996199399999995</v>
      </c>
      <c r="Z549" s="41">
        <v>14.2955861</v>
      </c>
      <c r="AA549" s="41">
        <v>13.7082146</v>
      </c>
    </row>
    <row r="550" spans="1:39" hidden="1" x14ac:dyDescent="0.3">
      <c r="A550" s="37">
        <v>546</v>
      </c>
      <c r="B550" s="38" t="s">
        <v>521</v>
      </c>
      <c r="C550" s="38" t="s">
        <v>157</v>
      </c>
      <c r="D550" s="38" t="s">
        <v>185</v>
      </c>
      <c r="E550" s="38" t="s">
        <v>186</v>
      </c>
      <c r="F550" s="47" t="s">
        <v>520</v>
      </c>
      <c r="G550" s="40">
        <v>6895</v>
      </c>
      <c r="H550" s="40">
        <v>3403</v>
      </c>
      <c r="I550" s="40">
        <v>1417</v>
      </c>
      <c r="J550" s="40">
        <v>2075</v>
      </c>
      <c r="K550" s="40">
        <v>7825</v>
      </c>
      <c r="L550" s="40">
        <v>4988</v>
      </c>
      <c r="M550" s="40">
        <v>1297</v>
      </c>
      <c r="N550" s="40">
        <v>1540</v>
      </c>
      <c r="O550" s="40">
        <v>6247</v>
      </c>
      <c r="P550" s="40">
        <v>4622</v>
      </c>
      <c r="Q550" s="40">
        <v>775</v>
      </c>
      <c r="R550" s="40">
        <v>850</v>
      </c>
      <c r="S550" s="41">
        <v>49.354604799999997</v>
      </c>
      <c r="T550" s="41">
        <v>20.551124000000002</v>
      </c>
      <c r="U550" s="41">
        <v>30.094271200000001</v>
      </c>
      <c r="V550" s="41">
        <v>63.744408900000003</v>
      </c>
      <c r="W550" s="41">
        <v>16.575079899999999</v>
      </c>
      <c r="X550" s="41">
        <v>19.680511200000002</v>
      </c>
      <c r="Y550" s="41">
        <v>73.987514000000004</v>
      </c>
      <c r="Z550" s="41">
        <v>12.405954899999999</v>
      </c>
      <c r="AA550" s="41">
        <v>13.6065311</v>
      </c>
    </row>
    <row r="551" spans="1:39" hidden="1" x14ac:dyDescent="0.3">
      <c r="A551" s="42">
        <v>547</v>
      </c>
      <c r="B551" s="43" t="s">
        <v>521</v>
      </c>
      <c r="C551" s="50" t="s">
        <v>157</v>
      </c>
      <c r="D551" s="50" t="s">
        <v>185</v>
      </c>
      <c r="E551" s="50" t="s">
        <v>187</v>
      </c>
      <c r="F551" s="51" t="s">
        <v>187</v>
      </c>
      <c r="G551" s="45">
        <v>8216</v>
      </c>
      <c r="H551" s="45">
        <v>4119</v>
      </c>
      <c r="I551" s="45">
        <v>1813</v>
      </c>
      <c r="J551" s="45">
        <v>2284</v>
      </c>
      <c r="K551" s="45">
        <v>13857</v>
      </c>
      <c r="L551" s="45">
        <v>9163</v>
      </c>
      <c r="M551" s="45">
        <v>2353</v>
      </c>
      <c r="N551" s="45">
        <v>2341</v>
      </c>
      <c r="O551" s="45">
        <v>17932</v>
      </c>
      <c r="P551" s="45">
        <v>14103</v>
      </c>
      <c r="Q551" s="45">
        <v>2086</v>
      </c>
      <c r="R551" s="45">
        <v>1743</v>
      </c>
      <c r="S551" s="46">
        <v>50.133885100000001</v>
      </c>
      <c r="T551" s="46">
        <v>22.066699100000001</v>
      </c>
      <c r="U551" s="46">
        <v>27.799415799999998</v>
      </c>
      <c r="V551" s="46">
        <v>66.125423999999995</v>
      </c>
      <c r="W551" s="46">
        <v>16.980587400000001</v>
      </c>
      <c r="X551" s="46">
        <v>16.8939886</v>
      </c>
      <c r="Y551" s="46">
        <v>78.647111300000006</v>
      </c>
      <c r="Z551" s="46">
        <v>11.632835200000001</v>
      </c>
      <c r="AA551" s="46">
        <v>9.7200535000000006</v>
      </c>
      <c r="AB551" s="26">
        <f>SUM(W551:X551)</f>
        <v>33.874576000000005</v>
      </c>
      <c r="AC551" s="26">
        <f>SUM(Z551:AA551)</f>
        <v>21.352888700000001</v>
      </c>
      <c r="AD551" s="57">
        <f>M551+N551</f>
        <v>4694</v>
      </c>
      <c r="AE551" s="57">
        <f>Q551+R551</f>
        <v>3829</v>
      </c>
      <c r="AF551" s="26">
        <f>W551</f>
        <v>16.980587400000001</v>
      </c>
      <c r="AG551" s="26">
        <f>Z551</f>
        <v>11.632835200000001</v>
      </c>
      <c r="AH551" s="26">
        <f>M551</f>
        <v>2353</v>
      </c>
      <c r="AI551" s="26">
        <f>Q551</f>
        <v>2086</v>
      </c>
      <c r="AJ551" s="26">
        <f>X551</f>
        <v>16.8939886</v>
      </c>
      <c r="AK551" s="26">
        <f>AA551</f>
        <v>9.7200535000000006</v>
      </c>
      <c r="AL551" s="57">
        <f>N551</f>
        <v>2341</v>
      </c>
      <c r="AM551" s="57">
        <f>R551</f>
        <v>1743</v>
      </c>
    </row>
    <row r="552" spans="1:39" hidden="1" x14ac:dyDescent="0.3">
      <c r="A552" s="37">
        <v>548</v>
      </c>
      <c r="B552" s="38" t="s">
        <v>521</v>
      </c>
      <c r="C552" s="38" t="s">
        <v>157</v>
      </c>
      <c r="D552" s="38" t="s">
        <v>185</v>
      </c>
      <c r="E552" s="38" t="s">
        <v>187</v>
      </c>
      <c r="F552" s="47" t="s">
        <v>519</v>
      </c>
      <c r="G552" s="40">
        <v>5829</v>
      </c>
      <c r="H552" s="40">
        <v>2936</v>
      </c>
      <c r="I552" s="40">
        <v>1308</v>
      </c>
      <c r="J552" s="40">
        <v>1585</v>
      </c>
      <c r="K552" s="40">
        <v>12525</v>
      </c>
      <c r="L552" s="40">
        <v>8399</v>
      </c>
      <c r="M552" s="40">
        <v>2108</v>
      </c>
      <c r="N552" s="40">
        <v>2018</v>
      </c>
      <c r="O552" s="40">
        <v>16820</v>
      </c>
      <c r="P552" s="40">
        <v>13411</v>
      </c>
      <c r="Q552" s="40">
        <v>1903</v>
      </c>
      <c r="R552" s="40">
        <v>1506</v>
      </c>
      <c r="S552" s="41">
        <v>50.368845399999998</v>
      </c>
      <c r="T552" s="41">
        <v>22.439526499999999</v>
      </c>
      <c r="U552" s="41">
        <v>27.191628099999999</v>
      </c>
      <c r="V552" s="41">
        <v>67.057884200000004</v>
      </c>
      <c r="W552" s="41">
        <v>16.830339299999999</v>
      </c>
      <c r="X552" s="41">
        <v>16.1117764</v>
      </c>
      <c r="Y552" s="41">
        <v>79.732461400000005</v>
      </c>
      <c r="Z552" s="41">
        <v>11.313912</v>
      </c>
      <c r="AA552" s="41">
        <v>8.9536265999999998</v>
      </c>
    </row>
    <row r="553" spans="1:39" hidden="1" x14ac:dyDescent="0.3">
      <c r="A553" s="37">
        <v>549</v>
      </c>
      <c r="B553" s="38" t="s">
        <v>521</v>
      </c>
      <c r="C553" s="38" t="s">
        <v>157</v>
      </c>
      <c r="D553" s="38" t="s">
        <v>185</v>
      </c>
      <c r="E553" s="38" t="s">
        <v>187</v>
      </c>
      <c r="F553" s="47" t="s">
        <v>520</v>
      </c>
      <c r="G553" s="40">
        <v>2387</v>
      </c>
      <c r="H553" s="40">
        <v>1183</v>
      </c>
      <c r="I553" s="40">
        <v>505</v>
      </c>
      <c r="J553" s="40">
        <v>699</v>
      </c>
      <c r="K553" s="40">
        <v>1332</v>
      </c>
      <c r="L553" s="40">
        <v>764</v>
      </c>
      <c r="M553" s="40">
        <v>245</v>
      </c>
      <c r="N553" s="40">
        <v>323</v>
      </c>
      <c r="O553" s="40">
        <v>1112</v>
      </c>
      <c r="P553" s="40">
        <v>692</v>
      </c>
      <c r="Q553" s="40">
        <v>183</v>
      </c>
      <c r="R553" s="40">
        <v>237</v>
      </c>
      <c r="S553" s="41">
        <v>49.560117300000002</v>
      </c>
      <c r="T553" s="41">
        <v>21.1562631</v>
      </c>
      <c r="U553" s="41">
        <v>29.283619600000002</v>
      </c>
      <c r="V553" s="41">
        <v>57.357357399999998</v>
      </c>
      <c r="W553" s="41">
        <v>18.393393400000001</v>
      </c>
      <c r="X553" s="41">
        <v>24.249249200000001</v>
      </c>
      <c r="Y553" s="41">
        <v>62.230215800000003</v>
      </c>
      <c r="Z553" s="41">
        <v>16.456834499999999</v>
      </c>
      <c r="AA553" s="41">
        <v>21.3129496</v>
      </c>
    </row>
    <row r="554" spans="1:39" hidden="1" x14ac:dyDescent="0.3">
      <c r="A554" s="42">
        <v>550</v>
      </c>
      <c r="B554" s="43" t="s">
        <v>521</v>
      </c>
      <c r="C554" s="50" t="s">
        <v>157</v>
      </c>
      <c r="D554" s="50" t="s">
        <v>185</v>
      </c>
      <c r="E554" s="50" t="s">
        <v>188</v>
      </c>
      <c r="F554" s="51" t="s">
        <v>188</v>
      </c>
      <c r="G554" s="45">
        <v>7399</v>
      </c>
      <c r="H554" s="45">
        <v>3613</v>
      </c>
      <c r="I554" s="45">
        <v>1607</v>
      </c>
      <c r="J554" s="45">
        <v>2179</v>
      </c>
      <c r="K554" s="45">
        <v>14312</v>
      </c>
      <c r="L554" s="45">
        <v>9118</v>
      </c>
      <c r="M554" s="45">
        <v>2643</v>
      </c>
      <c r="N554" s="45">
        <v>2551</v>
      </c>
      <c r="O554" s="45">
        <v>17058</v>
      </c>
      <c r="P554" s="45">
        <v>12752</v>
      </c>
      <c r="Q554" s="45">
        <v>2342</v>
      </c>
      <c r="R554" s="45">
        <v>1964</v>
      </c>
      <c r="S554" s="46">
        <v>48.8309231</v>
      </c>
      <c r="T554" s="46">
        <v>21.719151199999999</v>
      </c>
      <c r="U554" s="46">
        <v>29.449925700000001</v>
      </c>
      <c r="V554" s="46">
        <v>63.708775899999999</v>
      </c>
      <c r="W554" s="46">
        <v>18.467020699999999</v>
      </c>
      <c r="X554" s="46">
        <v>17.824203499999999</v>
      </c>
      <c r="Y554" s="46">
        <v>74.756712399999998</v>
      </c>
      <c r="Z554" s="46">
        <v>13.7296283</v>
      </c>
      <c r="AA554" s="46">
        <v>11.5136593</v>
      </c>
      <c r="AB554" s="26">
        <f>SUM(W554:X554)</f>
        <v>36.291224200000002</v>
      </c>
      <c r="AC554" s="26">
        <f>SUM(Z554:AA554)</f>
        <v>25.243287600000002</v>
      </c>
      <c r="AD554" s="57">
        <f>M554+N554</f>
        <v>5194</v>
      </c>
      <c r="AE554" s="57">
        <f>Q554+R554</f>
        <v>4306</v>
      </c>
      <c r="AF554" s="26">
        <f>W554</f>
        <v>18.467020699999999</v>
      </c>
      <c r="AG554" s="26">
        <f>Z554</f>
        <v>13.7296283</v>
      </c>
      <c r="AH554" s="26">
        <f>M554</f>
        <v>2643</v>
      </c>
      <c r="AI554" s="26">
        <f>Q554</f>
        <v>2342</v>
      </c>
      <c r="AJ554" s="26">
        <f>X554</f>
        <v>17.824203499999999</v>
      </c>
      <c r="AK554" s="26">
        <f>AA554</f>
        <v>11.5136593</v>
      </c>
      <c r="AL554" s="57">
        <f>N554</f>
        <v>2551</v>
      </c>
      <c r="AM554" s="57">
        <f>R554</f>
        <v>1964</v>
      </c>
    </row>
    <row r="555" spans="1:39" hidden="1" x14ac:dyDescent="0.3">
      <c r="A555" s="37">
        <v>551</v>
      </c>
      <c r="B555" s="38" t="s">
        <v>521</v>
      </c>
      <c r="C555" s="38" t="s">
        <v>157</v>
      </c>
      <c r="D555" s="38" t="s">
        <v>185</v>
      </c>
      <c r="E555" s="38" t="s">
        <v>188</v>
      </c>
      <c r="F555" s="47" t="s">
        <v>519</v>
      </c>
      <c r="G555" s="40">
        <v>3400</v>
      </c>
      <c r="H555" s="40">
        <v>1772</v>
      </c>
      <c r="I555" s="40">
        <v>730</v>
      </c>
      <c r="J555" s="40">
        <v>898</v>
      </c>
      <c r="K555" s="40">
        <v>11280</v>
      </c>
      <c r="L555" s="40">
        <v>7230</v>
      </c>
      <c r="M555" s="40">
        <v>2077</v>
      </c>
      <c r="N555" s="40">
        <v>1973</v>
      </c>
      <c r="O555" s="40">
        <v>14242</v>
      </c>
      <c r="P555" s="40">
        <v>10680</v>
      </c>
      <c r="Q555" s="40">
        <v>1947</v>
      </c>
      <c r="R555" s="40">
        <v>1615</v>
      </c>
      <c r="S555" s="41">
        <v>52.117647099999999</v>
      </c>
      <c r="T555" s="41">
        <v>21.470588200000002</v>
      </c>
      <c r="U555" s="41">
        <v>26.411764699999999</v>
      </c>
      <c r="V555" s="41">
        <v>64.095744699999997</v>
      </c>
      <c r="W555" s="41">
        <v>18.413120599999999</v>
      </c>
      <c r="X555" s="41">
        <v>17.491134800000001</v>
      </c>
      <c r="Y555" s="41">
        <v>74.9894678</v>
      </c>
      <c r="Z555" s="41">
        <v>13.6708327</v>
      </c>
      <c r="AA555" s="41">
        <v>11.3396995</v>
      </c>
    </row>
    <row r="556" spans="1:39" hidden="1" x14ac:dyDescent="0.3">
      <c r="A556" s="37">
        <v>552</v>
      </c>
      <c r="B556" s="38" t="s">
        <v>521</v>
      </c>
      <c r="C556" s="38" t="s">
        <v>157</v>
      </c>
      <c r="D556" s="38" t="s">
        <v>185</v>
      </c>
      <c r="E556" s="38" t="s">
        <v>188</v>
      </c>
      <c r="F556" s="47" t="s">
        <v>520</v>
      </c>
      <c r="G556" s="40">
        <v>3999</v>
      </c>
      <c r="H556" s="40">
        <v>1841</v>
      </c>
      <c r="I556" s="40">
        <v>877</v>
      </c>
      <c r="J556" s="40">
        <v>1281</v>
      </c>
      <c r="K556" s="40">
        <v>3032</v>
      </c>
      <c r="L556" s="40">
        <v>1888</v>
      </c>
      <c r="M556" s="40">
        <v>566</v>
      </c>
      <c r="N556" s="40">
        <v>578</v>
      </c>
      <c r="O556" s="40">
        <v>2816</v>
      </c>
      <c r="P556" s="40">
        <v>2072</v>
      </c>
      <c r="Q556" s="40">
        <v>395</v>
      </c>
      <c r="R556" s="40">
        <v>349</v>
      </c>
      <c r="S556" s="41">
        <v>46.036509100000004</v>
      </c>
      <c r="T556" s="41">
        <v>21.930482600000001</v>
      </c>
      <c r="U556" s="41">
        <v>32.033008299999999</v>
      </c>
      <c r="V556" s="41">
        <v>62.269129300000003</v>
      </c>
      <c r="W556" s="41">
        <v>18.6675462</v>
      </c>
      <c r="X556" s="41">
        <v>19.0633245</v>
      </c>
      <c r="Y556" s="41">
        <v>73.579545499999995</v>
      </c>
      <c r="Z556" s="41">
        <v>14.026988599999999</v>
      </c>
      <c r="AA556" s="41">
        <v>12.393465900000001</v>
      </c>
    </row>
    <row r="557" spans="1:39" hidden="1" x14ac:dyDescent="0.3">
      <c r="A557" s="42">
        <v>553</v>
      </c>
      <c r="B557" s="43" t="s">
        <v>521</v>
      </c>
      <c r="C557" s="50" t="s">
        <v>157</v>
      </c>
      <c r="D557" s="50" t="s">
        <v>185</v>
      </c>
      <c r="E557" s="50" t="s">
        <v>189</v>
      </c>
      <c r="F557" s="51" t="s">
        <v>189</v>
      </c>
      <c r="G557" s="45">
        <v>9495</v>
      </c>
      <c r="H557" s="45">
        <v>5124</v>
      </c>
      <c r="I557" s="45">
        <v>2061</v>
      </c>
      <c r="J557" s="45">
        <v>2310</v>
      </c>
      <c r="K557" s="45">
        <v>13514</v>
      </c>
      <c r="L557" s="45">
        <v>9398</v>
      </c>
      <c r="M557" s="45">
        <v>2252</v>
      </c>
      <c r="N557" s="45">
        <v>1864</v>
      </c>
      <c r="O557" s="45">
        <v>19190</v>
      </c>
      <c r="P557" s="45">
        <v>15371</v>
      </c>
      <c r="Q557" s="45">
        <v>2204</v>
      </c>
      <c r="R557" s="45">
        <v>1615</v>
      </c>
      <c r="S557" s="46">
        <v>53.965244900000002</v>
      </c>
      <c r="T557" s="46">
        <v>21.706161099999999</v>
      </c>
      <c r="U557" s="46">
        <v>24.328593999999999</v>
      </c>
      <c r="V557" s="46">
        <v>69.542696500000005</v>
      </c>
      <c r="W557" s="46">
        <v>16.664200099999999</v>
      </c>
      <c r="X557" s="46">
        <v>13.7931034</v>
      </c>
      <c r="Y557" s="46">
        <v>80.099009899999999</v>
      </c>
      <c r="Z557" s="46">
        <v>11.485148499999999</v>
      </c>
      <c r="AA557" s="46">
        <v>8.4158416000000003</v>
      </c>
      <c r="AB557" s="26">
        <f>SUM(W557:X557)</f>
        <v>30.457303499999998</v>
      </c>
      <c r="AC557" s="26">
        <f>SUM(Z557:AA557)</f>
        <v>19.900990100000001</v>
      </c>
      <c r="AD557" s="57">
        <f>M557+N557</f>
        <v>4116</v>
      </c>
      <c r="AE557" s="57">
        <f>Q557+R557</f>
        <v>3819</v>
      </c>
      <c r="AF557" s="26">
        <f>W557</f>
        <v>16.664200099999999</v>
      </c>
      <c r="AG557" s="26">
        <f>Z557</f>
        <v>11.485148499999999</v>
      </c>
      <c r="AH557" s="26">
        <f>M557</f>
        <v>2252</v>
      </c>
      <c r="AI557" s="26">
        <f>Q557</f>
        <v>2204</v>
      </c>
      <c r="AJ557" s="26">
        <f>X557</f>
        <v>13.7931034</v>
      </c>
      <c r="AK557" s="26">
        <f>AA557</f>
        <v>8.4158416000000003</v>
      </c>
      <c r="AL557" s="57">
        <f>N557</f>
        <v>1864</v>
      </c>
      <c r="AM557" s="57">
        <f>R557</f>
        <v>1615</v>
      </c>
    </row>
    <row r="558" spans="1:39" hidden="1" x14ac:dyDescent="0.3">
      <c r="A558" s="37">
        <v>554</v>
      </c>
      <c r="B558" s="38" t="s">
        <v>521</v>
      </c>
      <c r="C558" s="38" t="s">
        <v>157</v>
      </c>
      <c r="D558" s="38" t="s">
        <v>185</v>
      </c>
      <c r="E558" s="38" t="s">
        <v>189</v>
      </c>
      <c r="F558" s="47" t="s">
        <v>519</v>
      </c>
      <c r="G558" s="40">
        <v>9417</v>
      </c>
      <c r="H558" s="40">
        <v>5091</v>
      </c>
      <c r="I558" s="40">
        <v>2038</v>
      </c>
      <c r="J558" s="40">
        <v>2288</v>
      </c>
      <c r="K558" s="40">
        <v>13514</v>
      </c>
      <c r="L558" s="40">
        <v>9398</v>
      </c>
      <c r="M558" s="40">
        <v>2252</v>
      </c>
      <c r="N558" s="40">
        <v>1864</v>
      </c>
      <c r="O558" s="40">
        <v>19190</v>
      </c>
      <c r="P558" s="40">
        <v>15371</v>
      </c>
      <c r="Q558" s="40">
        <v>2204</v>
      </c>
      <c r="R558" s="40">
        <v>1615</v>
      </c>
      <c r="S558" s="41">
        <v>54.061803099999999</v>
      </c>
      <c r="T558" s="41">
        <v>21.641711799999999</v>
      </c>
      <c r="U558" s="41">
        <v>24.296485100000002</v>
      </c>
      <c r="V558" s="41">
        <v>69.542696500000005</v>
      </c>
      <c r="W558" s="41">
        <v>16.664200099999999</v>
      </c>
      <c r="X558" s="41">
        <v>13.7931034</v>
      </c>
      <c r="Y558" s="41">
        <v>80.099009899999999</v>
      </c>
      <c r="Z558" s="41">
        <v>11.485148499999999</v>
      </c>
      <c r="AA558" s="41">
        <v>8.4158416000000003</v>
      </c>
    </row>
    <row r="559" spans="1:39" hidden="1" x14ac:dyDescent="0.3">
      <c r="A559" s="37">
        <v>555</v>
      </c>
      <c r="B559" s="38" t="s">
        <v>521</v>
      </c>
      <c r="C559" s="38" t="s">
        <v>157</v>
      </c>
      <c r="D559" s="38" t="s">
        <v>185</v>
      </c>
      <c r="E559" s="38" t="s">
        <v>189</v>
      </c>
      <c r="F559" s="47" t="s">
        <v>520</v>
      </c>
      <c r="G559" s="40">
        <v>78</v>
      </c>
      <c r="H559" s="40">
        <v>33</v>
      </c>
      <c r="I559" s="40">
        <v>23</v>
      </c>
      <c r="J559" s="40">
        <v>22</v>
      </c>
      <c r="K559" s="40"/>
      <c r="L559" s="40"/>
      <c r="M559" s="40"/>
      <c r="N559" s="40"/>
      <c r="O559" s="40"/>
      <c r="P559" s="40"/>
      <c r="Q559" s="40"/>
      <c r="R559" s="40"/>
      <c r="S559" s="41">
        <v>42.307692299999999</v>
      </c>
      <c r="T559" s="41">
        <v>29.4871795</v>
      </c>
      <c r="U559" s="41">
        <v>28.205128200000001</v>
      </c>
      <c r="V559" s="41"/>
      <c r="W559" s="41"/>
      <c r="X559" s="41"/>
      <c r="Y559" s="41"/>
      <c r="Z559" s="41"/>
      <c r="AA559" s="41"/>
    </row>
    <row r="560" spans="1:39" hidden="1" x14ac:dyDescent="0.3">
      <c r="A560" s="32">
        <v>556</v>
      </c>
      <c r="B560" s="33" t="s">
        <v>1</v>
      </c>
      <c r="C560" s="49" t="s">
        <v>157</v>
      </c>
      <c r="D560" s="49" t="s">
        <v>190</v>
      </c>
      <c r="E560" s="49"/>
      <c r="F560" s="34" t="s">
        <v>190</v>
      </c>
      <c r="G560" s="35">
        <v>46274</v>
      </c>
      <c r="H560" s="35">
        <v>24056</v>
      </c>
      <c r="I560" s="35">
        <v>8634</v>
      </c>
      <c r="J560" s="35">
        <v>13584</v>
      </c>
      <c r="K560" s="35">
        <v>80283</v>
      </c>
      <c r="L560" s="35">
        <v>55148</v>
      </c>
      <c r="M560" s="35">
        <v>11967</v>
      </c>
      <c r="N560" s="35">
        <v>13168</v>
      </c>
      <c r="O560" s="35">
        <v>119757</v>
      </c>
      <c r="P560" s="35">
        <v>90466</v>
      </c>
      <c r="Q560" s="35">
        <v>12768</v>
      </c>
      <c r="R560" s="35">
        <v>16523</v>
      </c>
      <c r="S560" s="36">
        <v>51.985996499999999</v>
      </c>
      <c r="T560" s="36">
        <v>18.658425900000001</v>
      </c>
      <c r="U560" s="36">
        <v>29.3555776</v>
      </c>
      <c r="V560" s="36">
        <v>68.692002000000002</v>
      </c>
      <c r="W560" s="36">
        <v>14.90602</v>
      </c>
      <c r="X560" s="36">
        <v>16.401978</v>
      </c>
      <c r="Y560" s="36">
        <v>75.541304499999995</v>
      </c>
      <c r="Z560" s="36">
        <v>10.6615897</v>
      </c>
      <c r="AA560" s="36">
        <v>13.797105800000001</v>
      </c>
    </row>
    <row r="561" spans="1:39" hidden="1" x14ac:dyDescent="0.3">
      <c r="A561" s="37">
        <v>557</v>
      </c>
      <c r="B561" s="38" t="s">
        <v>1</v>
      </c>
      <c r="C561" s="38" t="s">
        <v>157</v>
      </c>
      <c r="D561" s="38" t="s">
        <v>190</v>
      </c>
      <c r="E561" s="38"/>
      <c r="F561" s="39" t="s">
        <v>519</v>
      </c>
      <c r="G561" s="40">
        <v>23025</v>
      </c>
      <c r="H561" s="40">
        <v>12994</v>
      </c>
      <c r="I561" s="40">
        <v>4741</v>
      </c>
      <c r="J561" s="40">
        <v>5290</v>
      </c>
      <c r="K561" s="40">
        <v>43500</v>
      </c>
      <c r="L561" s="40">
        <v>30550</v>
      </c>
      <c r="M561" s="40">
        <v>6851</v>
      </c>
      <c r="N561" s="40">
        <v>6099</v>
      </c>
      <c r="O561" s="40">
        <v>64168</v>
      </c>
      <c r="P561" s="40">
        <v>50716</v>
      </c>
      <c r="Q561" s="40">
        <v>6951</v>
      </c>
      <c r="R561" s="40">
        <v>6501</v>
      </c>
      <c r="S561" s="41">
        <v>56.434310500000002</v>
      </c>
      <c r="T561" s="41">
        <v>20.590662300000002</v>
      </c>
      <c r="U561" s="41">
        <v>22.975027099999998</v>
      </c>
      <c r="V561" s="41">
        <v>70.229885100000004</v>
      </c>
      <c r="W561" s="41">
        <v>15.7494253</v>
      </c>
      <c r="X561" s="41">
        <v>14.0206897</v>
      </c>
      <c r="Y561" s="41">
        <v>79.036279800000003</v>
      </c>
      <c r="Z561" s="41">
        <v>10.8325022</v>
      </c>
      <c r="AA561" s="41">
        <v>10.1312181</v>
      </c>
    </row>
    <row r="562" spans="1:39" hidden="1" x14ac:dyDescent="0.3">
      <c r="A562" s="37">
        <v>558</v>
      </c>
      <c r="B562" s="38" t="s">
        <v>1</v>
      </c>
      <c r="C562" s="38" t="s">
        <v>157</v>
      </c>
      <c r="D562" s="38" t="s">
        <v>190</v>
      </c>
      <c r="E562" s="38"/>
      <c r="F562" s="39" t="s">
        <v>520</v>
      </c>
      <c r="G562" s="40">
        <v>23249</v>
      </c>
      <c r="H562" s="40">
        <v>11062</v>
      </c>
      <c r="I562" s="40">
        <v>3893</v>
      </c>
      <c r="J562" s="40">
        <v>8294</v>
      </c>
      <c r="K562" s="40">
        <v>36783</v>
      </c>
      <c r="L562" s="40">
        <v>24598</v>
      </c>
      <c r="M562" s="40">
        <v>5116</v>
      </c>
      <c r="N562" s="40">
        <v>7069</v>
      </c>
      <c r="O562" s="40">
        <v>55589</v>
      </c>
      <c r="P562" s="40">
        <v>39750</v>
      </c>
      <c r="Q562" s="40">
        <v>5817</v>
      </c>
      <c r="R562" s="40">
        <v>10022</v>
      </c>
      <c r="S562" s="41">
        <v>47.580541099999998</v>
      </c>
      <c r="T562" s="41">
        <v>16.744806199999999</v>
      </c>
      <c r="U562" s="41">
        <v>35.674652700000003</v>
      </c>
      <c r="V562" s="41">
        <v>66.873283900000004</v>
      </c>
      <c r="W562" s="41">
        <v>13.9085991</v>
      </c>
      <c r="X562" s="41">
        <v>19.218117100000001</v>
      </c>
      <c r="Y562" s="41">
        <v>71.506952799999993</v>
      </c>
      <c r="Z562" s="41">
        <v>10.4643005</v>
      </c>
      <c r="AA562" s="41">
        <v>18.028746699999999</v>
      </c>
    </row>
    <row r="563" spans="1:39" hidden="1" x14ac:dyDescent="0.3">
      <c r="A563" s="42">
        <v>559</v>
      </c>
      <c r="B563" s="43" t="s">
        <v>521</v>
      </c>
      <c r="C563" s="50" t="s">
        <v>157</v>
      </c>
      <c r="D563" s="50" t="s">
        <v>190</v>
      </c>
      <c r="E563" s="50" t="s">
        <v>191</v>
      </c>
      <c r="F563" s="51" t="s">
        <v>191</v>
      </c>
      <c r="G563" s="45">
        <v>27384</v>
      </c>
      <c r="H563" s="45">
        <v>15135</v>
      </c>
      <c r="I563" s="45">
        <v>5619</v>
      </c>
      <c r="J563" s="45">
        <v>6630</v>
      </c>
      <c r="K563" s="45">
        <v>47536</v>
      </c>
      <c r="L563" s="45">
        <v>33471</v>
      </c>
      <c r="M563" s="45">
        <v>7377</v>
      </c>
      <c r="N563" s="45">
        <v>6688</v>
      </c>
      <c r="O563" s="45">
        <v>69313</v>
      </c>
      <c r="P563" s="45">
        <v>54450</v>
      </c>
      <c r="Q563" s="45">
        <v>7504</v>
      </c>
      <c r="R563" s="45">
        <v>7359</v>
      </c>
      <c r="S563" s="46">
        <v>55.269500399999998</v>
      </c>
      <c r="T563" s="46">
        <v>20.519281299999999</v>
      </c>
      <c r="U563" s="46">
        <v>24.211218200000001</v>
      </c>
      <c r="V563" s="46">
        <v>70.411898399999998</v>
      </c>
      <c r="W563" s="46">
        <v>15.5187647</v>
      </c>
      <c r="X563" s="46">
        <v>14.0693369</v>
      </c>
      <c r="Y563" s="46">
        <v>78.556692100000006</v>
      </c>
      <c r="Z563" s="46">
        <v>10.826251900000001</v>
      </c>
      <c r="AA563" s="46">
        <v>10.617056</v>
      </c>
      <c r="AB563" s="26">
        <f>SUM(W563:X563)</f>
        <v>29.588101600000002</v>
      </c>
      <c r="AC563" s="26">
        <f>SUM(Z563:AA563)</f>
        <v>21.443307900000001</v>
      </c>
      <c r="AD563" s="57">
        <f>M563+N563</f>
        <v>14065</v>
      </c>
      <c r="AE563" s="57">
        <f>Q563+R563</f>
        <v>14863</v>
      </c>
      <c r="AF563" s="26">
        <f>W563</f>
        <v>15.5187647</v>
      </c>
      <c r="AG563" s="26">
        <f>Z563</f>
        <v>10.826251900000001</v>
      </c>
      <c r="AH563" s="26">
        <f>M563</f>
        <v>7377</v>
      </c>
      <c r="AI563" s="26">
        <f>Q563</f>
        <v>7504</v>
      </c>
      <c r="AJ563" s="26">
        <f>X563</f>
        <v>14.0693369</v>
      </c>
      <c r="AK563" s="26">
        <f>AA563</f>
        <v>10.617056</v>
      </c>
      <c r="AL563" s="57">
        <f>N563</f>
        <v>6688</v>
      </c>
      <c r="AM563" s="57">
        <f>R563</f>
        <v>7359</v>
      </c>
    </row>
    <row r="564" spans="1:39" hidden="1" x14ac:dyDescent="0.3">
      <c r="A564" s="37">
        <v>560</v>
      </c>
      <c r="B564" s="38" t="s">
        <v>521</v>
      </c>
      <c r="C564" s="38" t="s">
        <v>157</v>
      </c>
      <c r="D564" s="38" t="s">
        <v>190</v>
      </c>
      <c r="E564" s="38" t="s">
        <v>191</v>
      </c>
      <c r="F564" s="47" t="s">
        <v>519</v>
      </c>
      <c r="G564" s="40">
        <v>21153</v>
      </c>
      <c r="H564" s="40">
        <v>12079</v>
      </c>
      <c r="I564" s="40">
        <v>4340</v>
      </c>
      <c r="J564" s="40">
        <v>4734</v>
      </c>
      <c r="K564" s="40">
        <v>40192</v>
      </c>
      <c r="L564" s="40">
        <v>28530</v>
      </c>
      <c r="M564" s="40">
        <v>6238</v>
      </c>
      <c r="N564" s="40">
        <v>5424</v>
      </c>
      <c r="O564" s="40">
        <v>59013</v>
      </c>
      <c r="P564" s="40">
        <v>47052</v>
      </c>
      <c r="Q564" s="40">
        <v>6274</v>
      </c>
      <c r="R564" s="40">
        <v>5687</v>
      </c>
      <c r="S564" s="41">
        <v>57.1030114</v>
      </c>
      <c r="T564" s="41">
        <v>20.5171843</v>
      </c>
      <c r="U564" s="41">
        <v>22.3798043</v>
      </c>
      <c r="V564" s="41">
        <v>70.984275499999995</v>
      </c>
      <c r="W564" s="41">
        <v>15.520501599999999</v>
      </c>
      <c r="X564" s="41">
        <v>13.4952229</v>
      </c>
      <c r="Y564" s="41">
        <v>79.731584600000005</v>
      </c>
      <c r="Z564" s="41">
        <v>10.631555799999999</v>
      </c>
      <c r="AA564" s="41">
        <v>9.6368597000000005</v>
      </c>
    </row>
    <row r="565" spans="1:39" hidden="1" x14ac:dyDescent="0.3">
      <c r="A565" s="37">
        <v>561</v>
      </c>
      <c r="B565" s="38" t="s">
        <v>521</v>
      </c>
      <c r="C565" s="38" t="s">
        <v>157</v>
      </c>
      <c r="D565" s="38" t="s">
        <v>190</v>
      </c>
      <c r="E565" s="38" t="s">
        <v>191</v>
      </c>
      <c r="F565" s="47" t="s">
        <v>520</v>
      </c>
      <c r="G565" s="40">
        <v>6231</v>
      </c>
      <c r="H565" s="40">
        <v>3056</v>
      </c>
      <c r="I565" s="40">
        <v>1279</v>
      </c>
      <c r="J565" s="40">
        <v>1896</v>
      </c>
      <c r="K565" s="40">
        <v>7344</v>
      </c>
      <c r="L565" s="40">
        <v>4941</v>
      </c>
      <c r="M565" s="40">
        <v>1139</v>
      </c>
      <c r="N565" s="40">
        <v>1264</v>
      </c>
      <c r="O565" s="40">
        <v>10300</v>
      </c>
      <c r="P565" s="40">
        <v>7398</v>
      </c>
      <c r="Q565" s="40">
        <v>1230</v>
      </c>
      <c r="R565" s="40">
        <v>1672</v>
      </c>
      <c r="S565" s="41">
        <v>49.0450971</v>
      </c>
      <c r="T565" s="41">
        <v>20.526400299999999</v>
      </c>
      <c r="U565" s="41">
        <v>30.428502600000002</v>
      </c>
      <c r="V565" s="41">
        <v>67.279411800000005</v>
      </c>
      <c r="W565" s="41">
        <v>15.5092593</v>
      </c>
      <c r="X565" s="41">
        <v>17.211328999999999</v>
      </c>
      <c r="Y565" s="41">
        <v>71.825242700000004</v>
      </c>
      <c r="Z565" s="41">
        <v>11.941747599999999</v>
      </c>
      <c r="AA565" s="41">
        <v>16.2330097</v>
      </c>
    </row>
    <row r="566" spans="1:39" hidden="1" x14ac:dyDescent="0.3">
      <c r="A566" s="42">
        <v>562</v>
      </c>
      <c r="B566" s="43" t="s">
        <v>521</v>
      </c>
      <c r="C566" s="50" t="s">
        <v>157</v>
      </c>
      <c r="D566" s="50" t="s">
        <v>190</v>
      </c>
      <c r="E566" s="50" t="s">
        <v>192</v>
      </c>
      <c r="F566" s="51" t="s">
        <v>192</v>
      </c>
      <c r="G566" s="45">
        <v>3887</v>
      </c>
      <c r="H566" s="45">
        <v>1578</v>
      </c>
      <c r="I566" s="45">
        <v>751</v>
      </c>
      <c r="J566" s="45">
        <v>1558</v>
      </c>
      <c r="K566" s="45">
        <v>6022</v>
      </c>
      <c r="L566" s="45">
        <v>3856</v>
      </c>
      <c r="M566" s="45">
        <v>931</v>
      </c>
      <c r="N566" s="45">
        <v>1235</v>
      </c>
      <c r="O566" s="45">
        <v>8493</v>
      </c>
      <c r="P566" s="45">
        <v>6080</v>
      </c>
      <c r="Q566" s="45">
        <v>904</v>
      </c>
      <c r="R566" s="45">
        <v>1509</v>
      </c>
      <c r="S566" s="46">
        <v>40.5968613</v>
      </c>
      <c r="T566" s="46">
        <v>19.320813000000001</v>
      </c>
      <c r="U566" s="46">
        <v>40.082325699999998</v>
      </c>
      <c r="V566" s="46">
        <v>64.031883100000002</v>
      </c>
      <c r="W566" s="46">
        <v>15.459980099999999</v>
      </c>
      <c r="X566" s="46">
        <v>20.508136799999999</v>
      </c>
      <c r="Y566" s="46">
        <v>71.588366899999997</v>
      </c>
      <c r="Z566" s="46">
        <v>10.644059800000001</v>
      </c>
      <c r="AA566" s="46">
        <v>17.767573299999999</v>
      </c>
      <c r="AB566" s="26">
        <f>SUM(W566:X566)</f>
        <v>35.968116899999998</v>
      </c>
      <c r="AC566" s="26">
        <f>SUM(Z566:AA566)</f>
        <v>28.4116331</v>
      </c>
      <c r="AD566" s="57">
        <f>M566+N566</f>
        <v>2166</v>
      </c>
      <c r="AE566" s="57">
        <f>Q566+R566</f>
        <v>2413</v>
      </c>
      <c r="AF566" s="26">
        <f>W566</f>
        <v>15.459980099999999</v>
      </c>
      <c r="AG566" s="26">
        <f>Z566</f>
        <v>10.644059800000001</v>
      </c>
      <c r="AH566" s="26">
        <f>M566</f>
        <v>931</v>
      </c>
      <c r="AI566" s="26">
        <f>Q566</f>
        <v>904</v>
      </c>
      <c r="AJ566" s="26">
        <f>X566</f>
        <v>20.508136799999999</v>
      </c>
      <c r="AK566" s="26">
        <f>AA566</f>
        <v>17.767573299999999</v>
      </c>
      <c r="AL566" s="57">
        <f>N566</f>
        <v>1235</v>
      </c>
      <c r="AM566" s="57">
        <f>R566</f>
        <v>1509</v>
      </c>
    </row>
    <row r="567" spans="1:39" hidden="1" x14ac:dyDescent="0.3">
      <c r="A567" s="37">
        <v>563</v>
      </c>
      <c r="B567" s="38" t="s">
        <v>521</v>
      </c>
      <c r="C567" s="38" t="s">
        <v>157</v>
      </c>
      <c r="D567" s="38" t="s">
        <v>190</v>
      </c>
      <c r="E567" s="38" t="s">
        <v>192</v>
      </c>
      <c r="F567" s="47" t="s">
        <v>519</v>
      </c>
      <c r="G567" s="40">
        <v>842</v>
      </c>
      <c r="H567" s="40">
        <v>415</v>
      </c>
      <c r="I567" s="40">
        <v>186</v>
      </c>
      <c r="J567" s="40">
        <v>241</v>
      </c>
      <c r="K567" s="40">
        <v>1016</v>
      </c>
      <c r="L567" s="40">
        <v>648</v>
      </c>
      <c r="M567" s="40">
        <v>183</v>
      </c>
      <c r="N567" s="40">
        <v>185</v>
      </c>
      <c r="O567" s="40">
        <v>1257</v>
      </c>
      <c r="P567" s="40">
        <v>981</v>
      </c>
      <c r="Q567" s="40">
        <v>142</v>
      </c>
      <c r="R567" s="40">
        <v>134</v>
      </c>
      <c r="S567" s="41">
        <v>49.287410899999998</v>
      </c>
      <c r="T567" s="41">
        <v>22.090261300000002</v>
      </c>
      <c r="U567" s="41">
        <v>28.622327800000001</v>
      </c>
      <c r="V567" s="41">
        <v>63.779527600000002</v>
      </c>
      <c r="W567" s="41">
        <v>18.011811000000002</v>
      </c>
      <c r="X567" s="41">
        <v>18.2086614</v>
      </c>
      <c r="Y567" s="41">
        <v>78.042959400000001</v>
      </c>
      <c r="Z567" s="41">
        <v>11.296738299999999</v>
      </c>
      <c r="AA567" s="41">
        <v>10.6603023</v>
      </c>
    </row>
    <row r="568" spans="1:39" hidden="1" x14ac:dyDescent="0.3">
      <c r="A568" s="37">
        <v>564</v>
      </c>
      <c r="B568" s="38" t="s">
        <v>521</v>
      </c>
      <c r="C568" s="38" t="s">
        <v>157</v>
      </c>
      <c r="D568" s="38" t="s">
        <v>190</v>
      </c>
      <c r="E568" s="38" t="s">
        <v>192</v>
      </c>
      <c r="F568" s="47" t="s">
        <v>520</v>
      </c>
      <c r="G568" s="40">
        <v>3045</v>
      </c>
      <c r="H568" s="40">
        <v>1163</v>
      </c>
      <c r="I568" s="40">
        <v>565</v>
      </c>
      <c r="J568" s="40">
        <v>1317</v>
      </c>
      <c r="K568" s="40">
        <v>5006</v>
      </c>
      <c r="L568" s="40">
        <v>3208</v>
      </c>
      <c r="M568" s="40">
        <v>748</v>
      </c>
      <c r="N568" s="40">
        <v>1050</v>
      </c>
      <c r="O568" s="40">
        <v>7236</v>
      </c>
      <c r="P568" s="40">
        <v>5099</v>
      </c>
      <c r="Q568" s="40">
        <v>762</v>
      </c>
      <c r="R568" s="40">
        <v>1375</v>
      </c>
      <c r="S568" s="41">
        <v>38.193760300000001</v>
      </c>
      <c r="T568" s="41">
        <v>18.5550082</v>
      </c>
      <c r="U568" s="41">
        <v>43.251231500000003</v>
      </c>
      <c r="V568" s="41">
        <v>64.083100299999998</v>
      </c>
      <c r="W568" s="41">
        <v>14.942069500000001</v>
      </c>
      <c r="X568" s="41">
        <v>20.9748302</v>
      </c>
      <c r="Y568" s="41">
        <v>70.467108899999999</v>
      </c>
      <c r="Z568" s="41">
        <v>10.530679900000001</v>
      </c>
      <c r="AA568" s="41">
        <v>19.002211200000001</v>
      </c>
    </row>
    <row r="569" spans="1:39" hidden="1" x14ac:dyDescent="0.3">
      <c r="A569" s="42">
        <v>565</v>
      </c>
      <c r="B569" s="43" t="s">
        <v>521</v>
      </c>
      <c r="C569" s="50" t="s">
        <v>157</v>
      </c>
      <c r="D569" s="50" t="s">
        <v>190</v>
      </c>
      <c r="E569" s="50" t="s">
        <v>193</v>
      </c>
      <c r="F569" s="51" t="s">
        <v>193</v>
      </c>
      <c r="G569" s="45">
        <v>15003</v>
      </c>
      <c r="H569" s="45">
        <v>7343</v>
      </c>
      <c r="I569" s="45">
        <v>2264</v>
      </c>
      <c r="J569" s="45">
        <v>5396</v>
      </c>
      <c r="K569" s="45">
        <v>26725</v>
      </c>
      <c r="L569" s="45">
        <v>17821</v>
      </c>
      <c r="M569" s="45">
        <v>3659</v>
      </c>
      <c r="N569" s="45">
        <v>5245</v>
      </c>
      <c r="O569" s="45">
        <v>41951</v>
      </c>
      <c r="P569" s="45">
        <v>29936</v>
      </c>
      <c r="Q569" s="45">
        <v>4360</v>
      </c>
      <c r="R569" s="45">
        <v>7655</v>
      </c>
      <c r="S569" s="46">
        <v>48.943544600000003</v>
      </c>
      <c r="T569" s="46">
        <v>15.0903153</v>
      </c>
      <c r="U569" s="46">
        <v>35.966140099999997</v>
      </c>
      <c r="V569" s="46">
        <v>66.682881199999997</v>
      </c>
      <c r="W569" s="46">
        <v>13.6913003</v>
      </c>
      <c r="X569" s="46">
        <v>19.625818500000001</v>
      </c>
      <c r="Y569" s="46">
        <v>71.359443200000001</v>
      </c>
      <c r="Z569" s="46">
        <v>10.3930776</v>
      </c>
      <c r="AA569" s="46">
        <v>18.247479200000001</v>
      </c>
      <c r="AB569" s="26">
        <f>SUM(W569:X569)</f>
        <v>33.317118800000003</v>
      </c>
      <c r="AC569" s="26">
        <f>SUM(Z569:AA569)</f>
        <v>28.640556799999999</v>
      </c>
      <c r="AD569" s="57">
        <f>M569+N569</f>
        <v>8904</v>
      </c>
      <c r="AE569" s="57">
        <f>Q569+R569</f>
        <v>12015</v>
      </c>
      <c r="AF569" s="26">
        <f>W569</f>
        <v>13.6913003</v>
      </c>
      <c r="AG569" s="26">
        <f>Z569</f>
        <v>10.3930776</v>
      </c>
      <c r="AH569" s="26">
        <f>M569</f>
        <v>3659</v>
      </c>
      <c r="AI569" s="26">
        <f>Q569</f>
        <v>4360</v>
      </c>
      <c r="AJ569" s="26">
        <f>X569</f>
        <v>19.625818500000001</v>
      </c>
      <c r="AK569" s="26">
        <f>AA569</f>
        <v>18.247479200000001</v>
      </c>
      <c r="AL569" s="57">
        <f>N569</f>
        <v>5245</v>
      </c>
      <c r="AM569" s="57">
        <f>R569</f>
        <v>7655</v>
      </c>
    </row>
    <row r="570" spans="1:39" hidden="1" x14ac:dyDescent="0.3">
      <c r="A570" s="37">
        <v>566</v>
      </c>
      <c r="B570" s="38" t="s">
        <v>521</v>
      </c>
      <c r="C570" s="38" t="s">
        <v>157</v>
      </c>
      <c r="D570" s="38" t="s">
        <v>190</v>
      </c>
      <c r="E570" s="38" t="s">
        <v>193</v>
      </c>
      <c r="F570" s="47" t="s">
        <v>519</v>
      </c>
      <c r="G570" s="40">
        <v>1030</v>
      </c>
      <c r="H570" s="40">
        <v>500</v>
      </c>
      <c r="I570" s="40">
        <v>215</v>
      </c>
      <c r="J570" s="40">
        <v>315</v>
      </c>
      <c r="K570" s="40">
        <v>2292</v>
      </c>
      <c r="L570" s="40">
        <v>1372</v>
      </c>
      <c r="M570" s="40">
        <v>430</v>
      </c>
      <c r="N570" s="40">
        <v>490</v>
      </c>
      <c r="O570" s="40">
        <v>3898</v>
      </c>
      <c r="P570" s="40">
        <v>2683</v>
      </c>
      <c r="Q570" s="40">
        <v>535</v>
      </c>
      <c r="R570" s="40">
        <v>680</v>
      </c>
      <c r="S570" s="41">
        <v>48.543689299999997</v>
      </c>
      <c r="T570" s="41">
        <v>20.8737864</v>
      </c>
      <c r="U570" s="41">
        <v>30.582524299999999</v>
      </c>
      <c r="V570" s="41">
        <v>59.860383900000002</v>
      </c>
      <c r="W570" s="41">
        <v>18.760907499999998</v>
      </c>
      <c r="X570" s="41">
        <v>21.3787086</v>
      </c>
      <c r="Y570" s="41">
        <v>68.830169299999994</v>
      </c>
      <c r="Z570" s="41">
        <v>13.724987199999999</v>
      </c>
      <c r="AA570" s="41">
        <v>17.444843500000001</v>
      </c>
    </row>
    <row r="571" spans="1:39" hidden="1" x14ac:dyDescent="0.3">
      <c r="A571" s="37">
        <v>567</v>
      </c>
      <c r="B571" s="38" t="s">
        <v>521</v>
      </c>
      <c r="C571" s="38" t="s">
        <v>157</v>
      </c>
      <c r="D571" s="38" t="s">
        <v>190</v>
      </c>
      <c r="E571" s="38" t="s">
        <v>193</v>
      </c>
      <c r="F571" s="47" t="s">
        <v>520</v>
      </c>
      <c r="G571" s="40">
        <v>13973</v>
      </c>
      <c r="H571" s="40">
        <v>6843</v>
      </c>
      <c r="I571" s="40">
        <v>2049</v>
      </c>
      <c r="J571" s="40">
        <v>5081</v>
      </c>
      <c r="K571" s="40">
        <v>24433</v>
      </c>
      <c r="L571" s="40">
        <v>16449</v>
      </c>
      <c r="M571" s="40">
        <v>3229</v>
      </c>
      <c r="N571" s="40">
        <v>4755</v>
      </c>
      <c r="O571" s="40">
        <v>38053</v>
      </c>
      <c r="P571" s="40">
        <v>27253</v>
      </c>
      <c r="Q571" s="40">
        <v>3825</v>
      </c>
      <c r="R571" s="40">
        <v>6975</v>
      </c>
      <c r="S571" s="41">
        <v>48.973019399999998</v>
      </c>
      <c r="T571" s="41">
        <v>14.663994799999999</v>
      </c>
      <c r="U571" s="41">
        <v>36.362985799999997</v>
      </c>
      <c r="V571" s="41">
        <v>67.322883000000004</v>
      </c>
      <c r="W571" s="41">
        <v>13.2157328</v>
      </c>
      <c r="X571" s="41">
        <v>19.461384200000001</v>
      </c>
      <c r="Y571" s="41">
        <v>71.618532000000002</v>
      </c>
      <c r="Z571" s="41">
        <v>10.0517699</v>
      </c>
      <c r="AA571" s="41">
        <v>18.329698100000002</v>
      </c>
    </row>
    <row r="572" spans="1:39" hidden="1" x14ac:dyDescent="0.3">
      <c r="A572" s="32">
        <v>568</v>
      </c>
      <c r="B572" s="33" t="s">
        <v>1</v>
      </c>
      <c r="C572" s="49" t="s">
        <v>157</v>
      </c>
      <c r="D572" s="49" t="s">
        <v>194</v>
      </c>
      <c r="E572" s="49"/>
      <c r="F572" s="34" t="s">
        <v>194</v>
      </c>
      <c r="G572" s="35">
        <v>6616</v>
      </c>
      <c r="H572" s="35">
        <v>2753</v>
      </c>
      <c r="I572" s="35">
        <v>1127</v>
      </c>
      <c r="J572" s="35">
        <v>2736</v>
      </c>
      <c r="K572" s="35">
        <v>8113</v>
      </c>
      <c r="L572" s="35">
        <v>4751</v>
      </c>
      <c r="M572" s="35">
        <v>1411</v>
      </c>
      <c r="N572" s="35">
        <v>1951</v>
      </c>
      <c r="O572" s="35">
        <v>9638</v>
      </c>
      <c r="P572" s="35">
        <v>6230</v>
      </c>
      <c r="Q572" s="35">
        <v>1223</v>
      </c>
      <c r="R572" s="35">
        <v>2185</v>
      </c>
      <c r="S572" s="36">
        <v>41.611245500000003</v>
      </c>
      <c r="T572" s="36">
        <v>17.0344619</v>
      </c>
      <c r="U572" s="36">
        <v>41.354292600000001</v>
      </c>
      <c r="V572" s="36">
        <v>58.560335299999998</v>
      </c>
      <c r="W572" s="36">
        <v>17.391840299999998</v>
      </c>
      <c r="X572" s="36">
        <v>24.047824500000001</v>
      </c>
      <c r="Y572" s="36">
        <v>64.639966799999996</v>
      </c>
      <c r="Z572" s="36">
        <v>12.6893546</v>
      </c>
      <c r="AA572" s="36">
        <v>22.670678599999999</v>
      </c>
    </row>
    <row r="573" spans="1:39" hidden="1" x14ac:dyDescent="0.3">
      <c r="A573" s="37">
        <v>569</v>
      </c>
      <c r="B573" s="38" t="s">
        <v>1</v>
      </c>
      <c r="C573" s="38" t="s">
        <v>157</v>
      </c>
      <c r="D573" s="38" t="s">
        <v>194</v>
      </c>
      <c r="E573" s="38"/>
      <c r="F573" s="39" t="s">
        <v>519</v>
      </c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1"/>
      <c r="T573" s="41"/>
      <c r="U573" s="41"/>
      <c r="V573" s="41"/>
      <c r="W573" s="41"/>
      <c r="X573" s="41"/>
      <c r="Y573" s="41"/>
      <c r="Z573" s="41"/>
      <c r="AA573" s="41"/>
    </row>
    <row r="574" spans="1:39" hidden="1" x14ac:dyDescent="0.3">
      <c r="A574" s="37">
        <v>570</v>
      </c>
      <c r="B574" s="38" t="s">
        <v>1</v>
      </c>
      <c r="C574" s="38" t="s">
        <v>157</v>
      </c>
      <c r="D574" s="38" t="s">
        <v>194</v>
      </c>
      <c r="E574" s="38"/>
      <c r="F574" s="39" t="s">
        <v>520</v>
      </c>
      <c r="G574" s="40">
        <v>6616</v>
      </c>
      <c r="H574" s="40">
        <v>2753</v>
      </c>
      <c r="I574" s="40">
        <v>1127</v>
      </c>
      <c r="J574" s="40">
        <v>2736</v>
      </c>
      <c r="K574" s="40">
        <v>8113</v>
      </c>
      <c r="L574" s="40">
        <v>4751</v>
      </c>
      <c r="M574" s="40">
        <v>1411</v>
      </c>
      <c r="N574" s="40">
        <v>1951</v>
      </c>
      <c r="O574" s="40">
        <v>9638</v>
      </c>
      <c r="P574" s="40">
        <v>6230</v>
      </c>
      <c r="Q574" s="40">
        <v>1223</v>
      </c>
      <c r="R574" s="40">
        <v>2185</v>
      </c>
      <c r="S574" s="41">
        <v>41.611245500000003</v>
      </c>
      <c r="T574" s="41">
        <v>17.0344619</v>
      </c>
      <c r="U574" s="41">
        <v>41.354292600000001</v>
      </c>
      <c r="V574" s="41">
        <v>58.560335299999998</v>
      </c>
      <c r="W574" s="41">
        <v>17.391840299999998</v>
      </c>
      <c r="X574" s="41">
        <v>24.047824500000001</v>
      </c>
      <c r="Y574" s="41">
        <v>64.639966799999996</v>
      </c>
      <c r="Z574" s="41">
        <v>12.6893546</v>
      </c>
      <c r="AA574" s="41">
        <v>22.670678599999999</v>
      </c>
    </row>
    <row r="575" spans="1:39" hidden="1" x14ac:dyDescent="0.3">
      <c r="A575" s="42">
        <v>571</v>
      </c>
      <c r="B575" s="43" t="s">
        <v>521</v>
      </c>
      <c r="C575" s="50" t="s">
        <v>157</v>
      </c>
      <c r="D575" s="50" t="s">
        <v>194</v>
      </c>
      <c r="E575" s="50" t="s">
        <v>194</v>
      </c>
      <c r="F575" s="51" t="s">
        <v>194</v>
      </c>
      <c r="G575" s="45">
        <v>6616</v>
      </c>
      <c r="H575" s="45">
        <v>2753</v>
      </c>
      <c r="I575" s="45">
        <v>1127</v>
      </c>
      <c r="J575" s="45">
        <v>2736</v>
      </c>
      <c r="K575" s="45">
        <v>8113</v>
      </c>
      <c r="L575" s="45">
        <v>4751</v>
      </c>
      <c r="M575" s="45">
        <v>1411</v>
      </c>
      <c r="N575" s="45">
        <v>1951</v>
      </c>
      <c r="O575" s="45">
        <v>9638</v>
      </c>
      <c r="P575" s="45">
        <v>6230</v>
      </c>
      <c r="Q575" s="45">
        <v>1223</v>
      </c>
      <c r="R575" s="45">
        <v>2185</v>
      </c>
      <c r="S575" s="46">
        <v>41.611245500000003</v>
      </c>
      <c r="T575" s="46">
        <v>17.0344619</v>
      </c>
      <c r="U575" s="46">
        <v>41.354292600000001</v>
      </c>
      <c r="V575" s="46">
        <v>58.560335299999998</v>
      </c>
      <c r="W575" s="46">
        <v>17.391840299999998</v>
      </c>
      <c r="X575" s="46">
        <v>24.047824500000001</v>
      </c>
      <c r="Y575" s="46">
        <v>64.639966799999996</v>
      </c>
      <c r="Z575" s="46">
        <v>12.6893546</v>
      </c>
      <c r="AA575" s="46">
        <v>22.670678599999999</v>
      </c>
      <c r="AB575" s="26">
        <f>SUM(W575:X575)</f>
        <v>41.439664800000003</v>
      </c>
      <c r="AC575" s="26">
        <f>SUM(Z575:AA575)</f>
        <v>35.360033199999997</v>
      </c>
      <c r="AD575" s="57">
        <f>M575+N575</f>
        <v>3362</v>
      </c>
      <c r="AE575" s="57">
        <f>Q575+R575</f>
        <v>3408</v>
      </c>
      <c r="AF575" s="26">
        <f>W575</f>
        <v>17.391840299999998</v>
      </c>
      <c r="AG575" s="26">
        <f>Z575</f>
        <v>12.6893546</v>
      </c>
      <c r="AH575" s="26">
        <f>M575</f>
        <v>1411</v>
      </c>
      <c r="AI575" s="26">
        <f>Q575</f>
        <v>1223</v>
      </c>
      <c r="AJ575" s="26">
        <f>X575</f>
        <v>24.047824500000001</v>
      </c>
      <c r="AK575" s="26">
        <f>AA575</f>
        <v>22.670678599999999</v>
      </c>
      <c r="AL575" s="57">
        <f>N575</f>
        <v>1951</v>
      </c>
      <c r="AM575" s="57">
        <f>R575</f>
        <v>2185</v>
      </c>
    </row>
    <row r="576" spans="1:39" hidden="1" x14ac:dyDescent="0.3">
      <c r="A576" s="37">
        <v>572</v>
      </c>
      <c r="B576" s="38" t="s">
        <v>521</v>
      </c>
      <c r="C576" s="38" t="s">
        <v>157</v>
      </c>
      <c r="D576" s="38" t="s">
        <v>194</v>
      </c>
      <c r="E576" s="38" t="s">
        <v>194</v>
      </c>
      <c r="F576" s="47" t="s">
        <v>519</v>
      </c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1"/>
      <c r="T576" s="41"/>
      <c r="U576" s="41"/>
      <c r="V576" s="41"/>
      <c r="W576" s="41"/>
      <c r="X576" s="41"/>
      <c r="Y576" s="41"/>
      <c r="Z576" s="41"/>
      <c r="AA576" s="41"/>
    </row>
    <row r="577" spans="1:39" hidden="1" x14ac:dyDescent="0.3">
      <c r="A577" s="37">
        <v>573</v>
      </c>
      <c r="B577" s="38" t="s">
        <v>521</v>
      </c>
      <c r="C577" s="38" t="s">
        <v>157</v>
      </c>
      <c r="D577" s="38" t="s">
        <v>194</v>
      </c>
      <c r="E577" s="38" t="s">
        <v>194</v>
      </c>
      <c r="F577" s="47" t="s">
        <v>520</v>
      </c>
      <c r="G577" s="40">
        <v>6616</v>
      </c>
      <c r="H577" s="40">
        <v>2753</v>
      </c>
      <c r="I577" s="40">
        <v>1127</v>
      </c>
      <c r="J577" s="40">
        <v>2736</v>
      </c>
      <c r="K577" s="40">
        <v>8113</v>
      </c>
      <c r="L577" s="40">
        <v>4751</v>
      </c>
      <c r="M577" s="40">
        <v>1411</v>
      </c>
      <c r="N577" s="40">
        <v>1951</v>
      </c>
      <c r="O577" s="40">
        <v>9638</v>
      </c>
      <c r="P577" s="40">
        <v>6230</v>
      </c>
      <c r="Q577" s="40">
        <v>1223</v>
      </c>
      <c r="R577" s="40">
        <v>2185</v>
      </c>
      <c r="S577" s="41">
        <v>41.611245500000003</v>
      </c>
      <c r="T577" s="41">
        <v>17.0344619</v>
      </c>
      <c r="U577" s="41">
        <v>41.354292600000001</v>
      </c>
      <c r="V577" s="41">
        <v>58.560335299999998</v>
      </c>
      <c r="W577" s="41">
        <v>17.391840299999998</v>
      </c>
      <c r="X577" s="41">
        <v>24.047824500000001</v>
      </c>
      <c r="Y577" s="41">
        <v>64.639966799999996</v>
      </c>
      <c r="Z577" s="41">
        <v>12.6893546</v>
      </c>
      <c r="AA577" s="41">
        <v>22.670678599999999</v>
      </c>
    </row>
    <row r="578" spans="1:39" hidden="1" x14ac:dyDescent="0.3">
      <c r="A578" s="32">
        <v>574</v>
      </c>
      <c r="B578" s="33" t="s">
        <v>1</v>
      </c>
      <c r="C578" s="49" t="s">
        <v>157</v>
      </c>
      <c r="D578" s="49" t="s">
        <v>195</v>
      </c>
      <c r="E578" s="49"/>
      <c r="F578" s="34" t="s">
        <v>195</v>
      </c>
      <c r="G578" s="35">
        <v>29001</v>
      </c>
      <c r="H578" s="35">
        <v>12496</v>
      </c>
      <c r="I578" s="35">
        <v>5059</v>
      </c>
      <c r="J578" s="35">
        <v>11446</v>
      </c>
      <c r="K578" s="35">
        <v>47965</v>
      </c>
      <c r="L578" s="35">
        <v>32227</v>
      </c>
      <c r="M578" s="35">
        <v>6901</v>
      </c>
      <c r="N578" s="35">
        <v>8837</v>
      </c>
      <c r="O578" s="35">
        <v>68141</v>
      </c>
      <c r="P578" s="35">
        <v>47538</v>
      </c>
      <c r="Q578" s="35">
        <v>8289</v>
      </c>
      <c r="R578" s="35">
        <v>12314</v>
      </c>
      <c r="S578" s="36">
        <v>43.088169399999998</v>
      </c>
      <c r="T578" s="36">
        <v>17.444226100000002</v>
      </c>
      <c r="U578" s="36">
        <v>39.467604600000001</v>
      </c>
      <c r="V578" s="36">
        <v>67.188575</v>
      </c>
      <c r="W578" s="36">
        <v>14.387574300000001</v>
      </c>
      <c r="X578" s="36">
        <v>18.423850699999999</v>
      </c>
      <c r="Y578" s="36">
        <v>69.764165500000004</v>
      </c>
      <c r="Z578" s="36">
        <v>12.1644825</v>
      </c>
      <c r="AA578" s="36">
        <v>18.071352000000001</v>
      </c>
    </row>
    <row r="579" spans="1:39" hidden="1" x14ac:dyDescent="0.3">
      <c r="A579" s="37">
        <v>575</v>
      </c>
      <c r="B579" s="38" t="s">
        <v>1</v>
      </c>
      <c r="C579" s="38" t="s">
        <v>157</v>
      </c>
      <c r="D579" s="38" t="s">
        <v>195</v>
      </c>
      <c r="E579" s="38"/>
      <c r="F579" s="39" t="s">
        <v>519</v>
      </c>
      <c r="G579" s="40">
        <v>3549</v>
      </c>
      <c r="H579" s="40">
        <v>1502</v>
      </c>
      <c r="I579" s="40">
        <v>764</v>
      </c>
      <c r="J579" s="40">
        <v>1283</v>
      </c>
      <c r="K579" s="40">
        <v>10006</v>
      </c>
      <c r="L579" s="40">
        <v>6432</v>
      </c>
      <c r="M579" s="40">
        <v>1716</v>
      </c>
      <c r="N579" s="40">
        <v>1858</v>
      </c>
      <c r="O579" s="40">
        <v>20306</v>
      </c>
      <c r="P579" s="40">
        <v>14042</v>
      </c>
      <c r="Q579" s="40">
        <v>2860</v>
      </c>
      <c r="R579" s="40">
        <v>3404</v>
      </c>
      <c r="S579" s="41">
        <v>42.321780799999999</v>
      </c>
      <c r="T579" s="41">
        <v>21.5271908</v>
      </c>
      <c r="U579" s="41">
        <v>36.151028500000002</v>
      </c>
      <c r="V579" s="41">
        <v>64.281431100000006</v>
      </c>
      <c r="W579" s="41">
        <v>17.149710200000001</v>
      </c>
      <c r="X579" s="41">
        <v>18.5688587</v>
      </c>
      <c r="Y579" s="41">
        <v>69.151974800000005</v>
      </c>
      <c r="Z579" s="41">
        <v>14.084507</v>
      </c>
      <c r="AA579" s="41">
        <v>16.7635182</v>
      </c>
    </row>
    <row r="580" spans="1:39" hidden="1" x14ac:dyDescent="0.3">
      <c r="A580" s="37">
        <v>576</v>
      </c>
      <c r="B580" s="38" t="s">
        <v>1</v>
      </c>
      <c r="C580" s="38" t="s">
        <v>157</v>
      </c>
      <c r="D580" s="38" t="s">
        <v>195</v>
      </c>
      <c r="E580" s="38"/>
      <c r="F580" s="39" t="s">
        <v>520</v>
      </c>
      <c r="G580" s="40">
        <v>25452</v>
      </c>
      <c r="H580" s="40">
        <v>10994</v>
      </c>
      <c r="I580" s="40">
        <v>4295</v>
      </c>
      <c r="J580" s="40">
        <v>10163</v>
      </c>
      <c r="K580" s="40">
        <v>37959</v>
      </c>
      <c r="L580" s="40">
        <v>25795</v>
      </c>
      <c r="M580" s="40">
        <v>5185</v>
      </c>
      <c r="N580" s="40">
        <v>6979</v>
      </c>
      <c r="O580" s="40">
        <v>47835</v>
      </c>
      <c r="P580" s="40">
        <v>33496</v>
      </c>
      <c r="Q580" s="40">
        <v>5429</v>
      </c>
      <c r="R580" s="40">
        <v>8910</v>
      </c>
      <c r="S580" s="41">
        <v>43.195033799999997</v>
      </c>
      <c r="T580" s="41">
        <v>16.8749018</v>
      </c>
      <c r="U580" s="41">
        <v>39.930064399999999</v>
      </c>
      <c r="V580" s="41">
        <v>67.954898700000001</v>
      </c>
      <c r="W580" s="41">
        <v>13.659474700000001</v>
      </c>
      <c r="X580" s="41">
        <v>18.385626599999998</v>
      </c>
      <c r="Y580" s="41">
        <v>70.024040999999997</v>
      </c>
      <c r="Z580" s="41">
        <v>11.3494303</v>
      </c>
      <c r="AA580" s="41">
        <v>18.626528700000001</v>
      </c>
    </row>
    <row r="581" spans="1:39" hidden="1" x14ac:dyDescent="0.3">
      <c r="A581" s="42">
        <v>577</v>
      </c>
      <c r="B581" s="43" t="s">
        <v>521</v>
      </c>
      <c r="C581" s="50" t="s">
        <v>157</v>
      </c>
      <c r="D581" s="50" t="s">
        <v>195</v>
      </c>
      <c r="E581" s="50" t="s">
        <v>196</v>
      </c>
      <c r="F581" s="51" t="s">
        <v>196</v>
      </c>
      <c r="G581" s="45">
        <v>3178</v>
      </c>
      <c r="H581" s="45">
        <v>1361</v>
      </c>
      <c r="I581" s="45">
        <v>589</v>
      </c>
      <c r="J581" s="45">
        <v>1228</v>
      </c>
      <c r="K581" s="45">
        <v>4729</v>
      </c>
      <c r="L581" s="45">
        <v>2859</v>
      </c>
      <c r="M581" s="45">
        <v>737</v>
      </c>
      <c r="N581" s="45">
        <v>1133</v>
      </c>
      <c r="O581" s="45">
        <v>5351</v>
      </c>
      <c r="P581" s="45">
        <v>3574</v>
      </c>
      <c r="Q581" s="45">
        <v>794</v>
      </c>
      <c r="R581" s="45">
        <v>983</v>
      </c>
      <c r="S581" s="46">
        <v>42.8256765</v>
      </c>
      <c r="T581" s="46">
        <v>18.533669</v>
      </c>
      <c r="U581" s="46">
        <v>38.640654499999997</v>
      </c>
      <c r="V581" s="46">
        <v>60.456756200000001</v>
      </c>
      <c r="W581" s="46">
        <v>15.584690200000001</v>
      </c>
      <c r="X581" s="46">
        <v>23.958553599999998</v>
      </c>
      <c r="Y581" s="46">
        <v>66.791253999999995</v>
      </c>
      <c r="Z581" s="46">
        <v>14.838348</v>
      </c>
      <c r="AA581" s="46">
        <v>18.370398099999999</v>
      </c>
      <c r="AB581" s="26">
        <f>SUM(W581:X581)</f>
        <v>39.543243799999999</v>
      </c>
      <c r="AC581" s="26">
        <f>SUM(Z581:AA581)</f>
        <v>33.208746099999999</v>
      </c>
      <c r="AD581" s="57">
        <f>M581+N581</f>
        <v>1870</v>
      </c>
      <c r="AE581" s="57">
        <f>Q581+R581</f>
        <v>1777</v>
      </c>
      <c r="AF581" s="26">
        <f>W581</f>
        <v>15.584690200000001</v>
      </c>
      <c r="AG581" s="26">
        <f>Z581</f>
        <v>14.838348</v>
      </c>
      <c r="AH581" s="26">
        <f>M581</f>
        <v>737</v>
      </c>
      <c r="AI581" s="26">
        <f>Q581</f>
        <v>794</v>
      </c>
      <c r="AJ581" s="26">
        <f>X581</f>
        <v>23.958553599999998</v>
      </c>
      <c r="AK581" s="26">
        <f>AA581</f>
        <v>18.370398099999999</v>
      </c>
      <c r="AL581" s="57">
        <f>N581</f>
        <v>1133</v>
      </c>
      <c r="AM581" s="57">
        <f>R581</f>
        <v>983</v>
      </c>
    </row>
    <row r="582" spans="1:39" hidden="1" x14ac:dyDescent="0.3">
      <c r="A582" s="37">
        <v>578</v>
      </c>
      <c r="B582" s="38" t="s">
        <v>521</v>
      </c>
      <c r="C582" s="38" t="s">
        <v>157</v>
      </c>
      <c r="D582" s="38" t="s">
        <v>195</v>
      </c>
      <c r="E582" s="38" t="s">
        <v>196</v>
      </c>
      <c r="F582" s="47" t="s">
        <v>519</v>
      </c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1"/>
      <c r="T582" s="41"/>
      <c r="U582" s="41"/>
      <c r="V582" s="41"/>
      <c r="W582" s="41"/>
      <c r="X582" s="41"/>
      <c r="Y582" s="41"/>
      <c r="Z582" s="41"/>
      <c r="AA582" s="41"/>
    </row>
    <row r="583" spans="1:39" hidden="1" x14ac:dyDescent="0.3">
      <c r="A583" s="37">
        <v>579</v>
      </c>
      <c r="B583" s="38" t="s">
        <v>521</v>
      </c>
      <c r="C583" s="38" t="s">
        <v>157</v>
      </c>
      <c r="D583" s="38" t="s">
        <v>195</v>
      </c>
      <c r="E583" s="38" t="s">
        <v>196</v>
      </c>
      <c r="F583" s="47" t="s">
        <v>520</v>
      </c>
      <c r="G583" s="40">
        <v>3178</v>
      </c>
      <c r="H583" s="40">
        <v>1361</v>
      </c>
      <c r="I583" s="40">
        <v>589</v>
      </c>
      <c r="J583" s="40">
        <v>1228</v>
      </c>
      <c r="K583" s="40">
        <v>4729</v>
      </c>
      <c r="L583" s="40">
        <v>2859</v>
      </c>
      <c r="M583" s="40">
        <v>737</v>
      </c>
      <c r="N583" s="40">
        <v>1133</v>
      </c>
      <c r="O583" s="40">
        <v>5351</v>
      </c>
      <c r="P583" s="40">
        <v>3574</v>
      </c>
      <c r="Q583" s="40">
        <v>794</v>
      </c>
      <c r="R583" s="40">
        <v>983</v>
      </c>
      <c r="S583" s="41">
        <v>42.8256765</v>
      </c>
      <c r="T583" s="41">
        <v>18.533669</v>
      </c>
      <c r="U583" s="41">
        <v>38.640654499999997</v>
      </c>
      <c r="V583" s="41">
        <v>60.456756200000001</v>
      </c>
      <c r="W583" s="41">
        <v>15.584690200000001</v>
      </c>
      <c r="X583" s="41">
        <v>23.958553599999998</v>
      </c>
      <c r="Y583" s="41">
        <v>66.791253999999995</v>
      </c>
      <c r="Z583" s="41">
        <v>14.838348</v>
      </c>
      <c r="AA583" s="41">
        <v>18.370398099999999</v>
      </c>
    </row>
    <row r="584" spans="1:39" hidden="1" x14ac:dyDescent="0.3">
      <c r="A584" s="42">
        <v>580</v>
      </c>
      <c r="B584" s="43" t="s">
        <v>521</v>
      </c>
      <c r="C584" s="50" t="s">
        <v>157</v>
      </c>
      <c r="D584" s="50" t="s">
        <v>195</v>
      </c>
      <c r="E584" s="50" t="s">
        <v>197</v>
      </c>
      <c r="F584" s="51" t="s">
        <v>197</v>
      </c>
      <c r="G584" s="45">
        <v>2585</v>
      </c>
      <c r="H584" s="45">
        <v>875</v>
      </c>
      <c r="I584" s="45">
        <v>497</v>
      </c>
      <c r="J584" s="45">
        <v>1213</v>
      </c>
      <c r="K584" s="45">
        <v>3003</v>
      </c>
      <c r="L584" s="45">
        <v>1659</v>
      </c>
      <c r="M584" s="45">
        <v>489</v>
      </c>
      <c r="N584" s="45">
        <v>855</v>
      </c>
      <c r="O584" s="45">
        <v>3705</v>
      </c>
      <c r="P584" s="45">
        <v>2249</v>
      </c>
      <c r="Q584" s="45">
        <v>581</v>
      </c>
      <c r="R584" s="45">
        <v>875</v>
      </c>
      <c r="S584" s="46">
        <v>33.849129599999998</v>
      </c>
      <c r="T584" s="46">
        <v>19.2263056</v>
      </c>
      <c r="U584" s="46">
        <v>46.924564799999999</v>
      </c>
      <c r="V584" s="46">
        <v>55.2447552</v>
      </c>
      <c r="W584" s="46">
        <v>16.283716299999998</v>
      </c>
      <c r="X584" s="46">
        <v>28.471528500000002</v>
      </c>
      <c r="Y584" s="46">
        <v>60.701754399999999</v>
      </c>
      <c r="Z584" s="46">
        <v>15.681511499999999</v>
      </c>
      <c r="AA584" s="46">
        <v>23.616734099999999</v>
      </c>
      <c r="AB584" s="26">
        <f>SUM(W584:X584)</f>
        <v>44.7552448</v>
      </c>
      <c r="AC584" s="26">
        <f>SUM(Z584:AA584)</f>
        <v>39.298245600000001</v>
      </c>
      <c r="AD584" s="57">
        <f>M584+N584</f>
        <v>1344</v>
      </c>
      <c r="AE584" s="57">
        <f>Q584+R584</f>
        <v>1456</v>
      </c>
      <c r="AF584" s="26">
        <f>W584</f>
        <v>16.283716299999998</v>
      </c>
      <c r="AG584" s="26">
        <f>Z584</f>
        <v>15.681511499999999</v>
      </c>
      <c r="AH584" s="26">
        <f>M584</f>
        <v>489</v>
      </c>
      <c r="AI584" s="26">
        <f>Q584</f>
        <v>581</v>
      </c>
      <c r="AJ584" s="26">
        <f>X584</f>
        <v>28.471528500000002</v>
      </c>
      <c r="AK584" s="26">
        <f>AA584</f>
        <v>23.616734099999999</v>
      </c>
      <c r="AL584" s="57">
        <f>N584</f>
        <v>855</v>
      </c>
      <c r="AM584" s="57">
        <f>R584</f>
        <v>875</v>
      </c>
    </row>
    <row r="585" spans="1:39" hidden="1" x14ac:dyDescent="0.3">
      <c r="A585" s="37">
        <v>581</v>
      </c>
      <c r="B585" s="38" t="s">
        <v>521</v>
      </c>
      <c r="C585" s="38" t="s">
        <v>157</v>
      </c>
      <c r="D585" s="38" t="s">
        <v>195</v>
      </c>
      <c r="E585" s="38" t="s">
        <v>197</v>
      </c>
      <c r="F585" s="47" t="s">
        <v>519</v>
      </c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1"/>
      <c r="T585" s="41"/>
      <c r="U585" s="41"/>
      <c r="V585" s="41"/>
      <c r="W585" s="41"/>
      <c r="X585" s="41"/>
      <c r="Y585" s="41"/>
      <c r="Z585" s="41"/>
      <c r="AA585" s="41"/>
    </row>
    <row r="586" spans="1:39" hidden="1" x14ac:dyDescent="0.3">
      <c r="A586" s="37">
        <v>582</v>
      </c>
      <c r="B586" s="38" t="s">
        <v>521</v>
      </c>
      <c r="C586" s="38" t="s">
        <v>157</v>
      </c>
      <c r="D586" s="38" t="s">
        <v>195</v>
      </c>
      <c r="E586" s="38" t="s">
        <v>197</v>
      </c>
      <c r="F586" s="47" t="s">
        <v>520</v>
      </c>
      <c r="G586" s="40">
        <v>2585</v>
      </c>
      <c r="H586" s="40">
        <v>875</v>
      </c>
      <c r="I586" s="40">
        <v>497</v>
      </c>
      <c r="J586" s="40">
        <v>1213</v>
      </c>
      <c r="K586" s="40">
        <v>3003</v>
      </c>
      <c r="L586" s="40">
        <v>1659</v>
      </c>
      <c r="M586" s="40">
        <v>489</v>
      </c>
      <c r="N586" s="40">
        <v>855</v>
      </c>
      <c r="O586" s="40">
        <v>3705</v>
      </c>
      <c r="P586" s="40">
        <v>2249</v>
      </c>
      <c r="Q586" s="40">
        <v>581</v>
      </c>
      <c r="R586" s="40">
        <v>875</v>
      </c>
      <c r="S586" s="41">
        <v>33.849129599999998</v>
      </c>
      <c r="T586" s="41">
        <v>19.2263056</v>
      </c>
      <c r="U586" s="41">
        <v>46.924564799999999</v>
      </c>
      <c r="V586" s="41">
        <v>55.2447552</v>
      </c>
      <c r="W586" s="41">
        <v>16.283716299999998</v>
      </c>
      <c r="X586" s="41">
        <v>28.471528500000002</v>
      </c>
      <c r="Y586" s="41">
        <v>60.701754399999999</v>
      </c>
      <c r="Z586" s="41">
        <v>15.681511499999999</v>
      </c>
      <c r="AA586" s="41">
        <v>23.616734099999999</v>
      </c>
    </row>
    <row r="587" spans="1:39" hidden="1" x14ac:dyDescent="0.3">
      <c r="A587" s="42">
        <v>583</v>
      </c>
      <c r="B587" s="43" t="s">
        <v>521</v>
      </c>
      <c r="C587" s="50" t="s">
        <v>157</v>
      </c>
      <c r="D587" s="50" t="s">
        <v>195</v>
      </c>
      <c r="E587" s="50" t="s">
        <v>198</v>
      </c>
      <c r="F587" s="51" t="s">
        <v>198</v>
      </c>
      <c r="G587" s="45">
        <v>3342</v>
      </c>
      <c r="H587" s="45">
        <v>1497</v>
      </c>
      <c r="I587" s="45">
        <v>630</v>
      </c>
      <c r="J587" s="45">
        <v>1215</v>
      </c>
      <c r="K587" s="45">
        <v>3544</v>
      </c>
      <c r="L587" s="45">
        <v>2350</v>
      </c>
      <c r="M587" s="45">
        <v>550</v>
      </c>
      <c r="N587" s="45">
        <v>644</v>
      </c>
      <c r="O587" s="45">
        <v>4853</v>
      </c>
      <c r="P587" s="45">
        <v>3559</v>
      </c>
      <c r="Q587" s="45">
        <v>594</v>
      </c>
      <c r="R587" s="45">
        <v>700</v>
      </c>
      <c r="S587" s="46">
        <v>44.793536799999998</v>
      </c>
      <c r="T587" s="46">
        <v>18.850987400000001</v>
      </c>
      <c r="U587" s="46">
        <v>36.355475800000001</v>
      </c>
      <c r="V587" s="46">
        <v>66.309255100000001</v>
      </c>
      <c r="W587" s="46">
        <v>15.5191874</v>
      </c>
      <c r="X587" s="46">
        <v>18.1715576</v>
      </c>
      <c r="Y587" s="46">
        <v>73.336080800000005</v>
      </c>
      <c r="Z587" s="46">
        <v>12.2398516</v>
      </c>
      <c r="AA587" s="46">
        <v>14.424067600000001</v>
      </c>
      <c r="AB587" s="26">
        <f>SUM(W587:X587)</f>
        <v>33.690745</v>
      </c>
      <c r="AC587" s="26">
        <f>SUM(Z587:AA587)</f>
        <v>26.663919200000002</v>
      </c>
      <c r="AD587" s="57">
        <f>M587+N587</f>
        <v>1194</v>
      </c>
      <c r="AE587" s="57">
        <f>Q587+R587</f>
        <v>1294</v>
      </c>
      <c r="AF587" s="26">
        <f>W587</f>
        <v>15.5191874</v>
      </c>
      <c r="AG587" s="26">
        <f>Z587</f>
        <v>12.2398516</v>
      </c>
      <c r="AH587" s="26">
        <f>M587</f>
        <v>550</v>
      </c>
      <c r="AI587" s="26">
        <f>Q587</f>
        <v>594</v>
      </c>
      <c r="AJ587" s="26">
        <f>X587</f>
        <v>18.1715576</v>
      </c>
      <c r="AK587" s="26">
        <f>AA587</f>
        <v>14.424067600000001</v>
      </c>
      <c r="AL587" s="57">
        <f>N587</f>
        <v>644</v>
      </c>
      <c r="AM587" s="57">
        <f>R587</f>
        <v>700</v>
      </c>
    </row>
    <row r="588" spans="1:39" hidden="1" x14ac:dyDescent="0.3">
      <c r="A588" s="37">
        <v>584</v>
      </c>
      <c r="B588" s="38" t="s">
        <v>521</v>
      </c>
      <c r="C588" s="38" t="s">
        <v>157</v>
      </c>
      <c r="D588" s="38" t="s">
        <v>195</v>
      </c>
      <c r="E588" s="38" t="s">
        <v>198</v>
      </c>
      <c r="F588" s="47" t="s">
        <v>519</v>
      </c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1"/>
      <c r="T588" s="41"/>
      <c r="U588" s="41"/>
      <c r="V588" s="41"/>
      <c r="W588" s="41"/>
      <c r="X588" s="41"/>
      <c r="Y588" s="41"/>
      <c r="Z588" s="41"/>
      <c r="AA588" s="41"/>
    </row>
    <row r="589" spans="1:39" hidden="1" x14ac:dyDescent="0.3">
      <c r="A589" s="37">
        <v>585</v>
      </c>
      <c r="B589" s="38" t="s">
        <v>521</v>
      </c>
      <c r="C589" s="38" t="s">
        <v>157</v>
      </c>
      <c r="D589" s="38" t="s">
        <v>195</v>
      </c>
      <c r="E589" s="38" t="s">
        <v>198</v>
      </c>
      <c r="F589" s="47" t="s">
        <v>520</v>
      </c>
      <c r="G589" s="40">
        <v>3342</v>
      </c>
      <c r="H589" s="40">
        <v>1497</v>
      </c>
      <c r="I589" s="40">
        <v>630</v>
      </c>
      <c r="J589" s="40">
        <v>1215</v>
      </c>
      <c r="K589" s="40">
        <v>3544</v>
      </c>
      <c r="L589" s="40">
        <v>2350</v>
      </c>
      <c r="M589" s="40">
        <v>550</v>
      </c>
      <c r="N589" s="40">
        <v>644</v>
      </c>
      <c r="O589" s="40">
        <v>4853</v>
      </c>
      <c r="P589" s="40">
        <v>3559</v>
      </c>
      <c r="Q589" s="40">
        <v>594</v>
      </c>
      <c r="R589" s="40">
        <v>700</v>
      </c>
      <c r="S589" s="41">
        <v>44.793536799999998</v>
      </c>
      <c r="T589" s="41">
        <v>18.850987400000001</v>
      </c>
      <c r="U589" s="41">
        <v>36.355475800000001</v>
      </c>
      <c r="V589" s="41">
        <v>66.309255100000001</v>
      </c>
      <c r="W589" s="41">
        <v>15.5191874</v>
      </c>
      <c r="X589" s="41">
        <v>18.1715576</v>
      </c>
      <c r="Y589" s="41">
        <v>73.336080800000005</v>
      </c>
      <c r="Z589" s="41">
        <v>12.2398516</v>
      </c>
      <c r="AA589" s="41">
        <v>14.424067600000001</v>
      </c>
    </row>
    <row r="590" spans="1:39" hidden="1" x14ac:dyDescent="0.3">
      <c r="A590" s="42">
        <v>586</v>
      </c>
      <c r="B590" s="43" t="s">
        <v>521</v>
      </c>
      <c r="C590" s="50" t="s">
        <v>157</v>
      </c>
      <c r="D590" s="50" t="s">
        <v>195</v>
      </c>
      <c r="E590" s="50" t="s">
        <v>199</v>
      </c>
      <c r="F590" s="51" t="s">
        <v>199</v>
      </c>
      <c r="G590" s="45">
        <v>3565</v>
      </c>
      <c r="H590" s="45">
        <v>1563</v>
      </c>
      <c r="I590" s="45">
        <v>625</v>
      </c>
      <c r="J590" s="45">
        <v>1377</v>
      </c>
      <c r="K590" s="45">
        <v>7263</v>
      </c>
      <c r="L590" s="45">
        <v>4817</v>
      </c>
      <c r="M590" s="45">
        <v>1055</v>
      </c>
      <c r="N590" s="45">
        <v>1391</v>
      </c>
      <c r="O590" s="45">
        <v>10557</v>
      </c>
      <c r="P590" s="45">
        <v>7433</v>
      </c>
      <c r="Q590" s="45">
        <v>1234</v>
      </c>
      <c r="R590" s="45">
        <v>1890</v>
      </c>
      <c r="S590" s="46">
        <v>43.842917300000003</v>
      </c>
      <c r="T590" s="46">
        <v>17.531556800000001</v>
      </c>
      <c r="U590" s="46">
        <v>38.6255259</v>
      </c>
      <c r="V590" s="46">
        <v>66.322456299999999</v>
      </c>
      <c r="W590" s="46">
        <v>14.5256781</v>
      </c>
      <c r="X590" s="46">
        <v>19.151865600000001</v>
      </c>
      <c r="Y590" s="46">
        <v>70.408259900000004</v>
      </c>
      <c r="Z590" s="46">
        <v>11.688926800000001</v>
      </c>
      <c r="AA590" s="46">
        <v>17.902813299999998</v>
      </c>
      <c r="AB590" s="26">
        <f>SUM(W590:X590)</f>
        <v>33.677543700000001</v>
      </c>
      <c r="AC590" s="26">
        <f>SUM(Z590:AA590)</f>
        <v>29.591740099999999</v>
      </c>
      <c r="AD590" s="57">
        <f>M590+N590</f>
        <v>2446</v>
      </c>
      <c r="AE590" s="57">
        <f>Q590+R590</f>
        <v>3124</v>
      </c>
      <c r="AF590" s="26">
        <f>W590</f>
        <v>14.5256781</v>
      </c>
      <c r="AG590" s="26">
        <f>Z590</f>
        <v>11.688926800000001</v>
      </c>
      <c r="AH590" s="26">
        <f>M590</f>
        <v>1055</v>
      </c>
      <c r="AI590" s="26">
        <f>Q590</f>
        <v>1234</v>
      </c>
      <c r="AJ590" s="26">
        <f>X590</f>
        <v>19.151865600000001</v>
      </c>
      <c r="AK590" s="26">
        <f>AA590</f>
        <v>17.902813299999998</v>
      </c>
      <c r="AL590" s="57">
        <f>N590</f>
        <v>1391</v>
      </c>
      <c r="AM590" s="57">
        <f>R590</f>
        <v>1890</v>
      </c>
    </row>
    <row r="591" spans="1:39" hidden="1" x14ac:dyDescent="0.3">
      <c r="A591" s="37">
        <v>587</v>
      </c>
      <c r="B591" s="38" t="s">
        <v>521</v>
      </c>
      <c r="C591" s="38" t="s">
        <v>157</v>
      </c>
      <c r="D591" s="38" t="s">
        <v>195</v>
      </c>
      <c r="E591" s="38" t="s">
        <v>199</v>
      </c>
      <c r="F591" s="47" t="s">
        <v>519</v>
      </c>
      <c r="G591" s="40">
        <v>738</v>
      </c>
      <c r="H591" s="40">
        <v>344</v>
      </c>
      <c r="I591" s="40">
        <v>178</v>
      </c>
      <c r="J591" s="40">
        <v>216</v>
      </c>
      <c r="K591" s="40">
        <v>1817</v>
      </c>
      <c r="L591" s="40">
        <v>1201</v>
      </c>
      <c r="M591" s="40">
        <v>291</v>
      </c>
      <c r="N591" s="40">
        <v>325</v>
      </c>
      <c r="O591" s="40">
        <v>3403</v>
      </c>
      <c r="P591" s="40">
        <v>2403</v>
      </c>
      <c r="Q591" s="40">
        <v>466</v>
      </c>
      <c r="R591" s="40">
        <v>534</v>
      </c>
      <c r="S591" s="41">
        <v>46.612466099999999</v>
      </c>
      <c r="T591" s="41">
        <v>24.119241200000001</v>
      </c>
      <c r="U591" s="41">
        <v>29.2682927</v>
      </c>
      <c r="V591" s="41">
        <v>66.097963699999994</v>
      </c>
      <c r="W591" s="41">
        <v>16.015409999999999</v>
      </c>
      <c r="X591" s="41">
        <v>17.8866263</v>
      </c>
      <c r="Y591" s="41">
        <v>70.614164000000002</v>
      </c>
      <c r="Z591" s="41">
        <v>13.6937996</v>
      </c>
      <c r="AA591" s="41">
        <v>15.692036399999999</v>
      </c>
    </row>
    <row r="592" spans="1:39" hidden="1" x14ac:dyDescent="0.3">
      <c r="A592" s="37">
        <v>588</v>
      </c>
      <c r="B592" s="38" t="s">
        <v>521</v>
      </c>
      <c r="C592" s="38" t="s">
        <v>157</v>
      </c>
      <c r="D592" s="38" t="s">
        <v>195</v>
      </c>
      <c r="E592" s="38" t="s">
        <v>199</v>
      </c>
      <c r="F592" s="47" t="s">
        <v>520</v>
      </c>
      <c r="G592" s="40">
        <v>2827</v>
      </c>
      <c r="H592" s="40">
        <v>1219</v>
      </c>
      <c r="I592" s="40">
        <v>447</v>
      </c>
      <c r="J592" s="40">
        <v>1161</v>
      </c>
      <c r="K592" s="40">
        <v>5446</v>
      </c>
      <c r="L592" s="40">
        <v>3616</v>
      </c>
      <c r="M592" s="40">
        <v>764</v>
      </c>
      <c r="N592" s="40">
        <v>1066</v>
      </c>
      <c r="O592" s="40">
        <v>7154</v>
      </c>
      <c r="P592" s="40">
        <v>5030</v>
      </c>
      <c r="Q592" s="40">
        <v>768</v>
      </c>
      <c r="R592" s="40">
        <v>1356</v>
      </c>
      <c r="S592" s="41">
        <v>43.1199151</v>
      </c>
      <c r="T592" s="41">
        <v>15.8118146</v>
      </c>
      <c r="U592" s="41">
        <v>41.068270300000002</v>
      </c>
      <c r="V592" s="41">
        <v>66.397355899999994</v>
      </c>
      <c r="W592" s="41">
        <v>14.0286449</v>
      </c>
      <c r="X592" s="41">
        <v>19.573999300000001</v>
      </c>
      <c r="Y592" s="41">
        <v>70.310315900000006</v>
      </c>
      <c r="Z592" s="41">
        <v>10.735253</v>
      </c>
      <c r="AA592" s="41">
        <v>18.954431100000001</v>
      </c>
    </row>
    <row r="593" spans="1:39" hidden="1" x14ac:dyDescent="0.3">
      <c r="A593" s="42">
        <v>589</v>
      </c>
      <c r="B593" s="43" t="s">
        <v>521</v>
      </c>
      <c r="C593" s="50" t="s">
        <v>157</v>
      </c>
      <c r="D593" s="50" t="s">
        <v>195</v>
      </c>
      <c r="E593" s="50" t="s">
        <v>200</v>
      </c>
      <c r="F593" s="51" t="s">
        <v>200</v>
      </c>
      <c r="G593" s="45">
        <v>10829</v>
      </c>
      <c r="H593" s="45">
        <v>4920</v>
      </c>
      <c r="I593" s="45">
        <v>1731</v>
      </c>
      <c r="J593" s="45">
        <v>4178</v>
      </c>
      <c r="K593" s="45">
        <v>16951</v>
      </c>
      <c r="L593" s="45">
        <v>11298</v>
      </c>
      <c r="M593" s="45">
        <v>2482</v>
      </c>
      <c r="N593" s="45">
        <v>3171</v>
      </c>
      <c r="O593" s="45">
        <v>25497</v>
      </c>
      <c r="P593" s="45">
        <v>17611</v>
      </c>
      <c r="Q593" s="45">
        <v>3036</v>
      </c>
      <c r="R593" s="45">
        <v>4850</v>
      </c>
      <c r="S593" s="46">
        <v>45.433557999999998</v>
      </c>
      <c r="T593" s="46">
        <v>15.9848555</v>
      </c>
      <c r="U593" s="46">
        <v>38.5815865</v>
      </c>
      <c r="V593" s="46">
        <v>66.650935000000004</v>
      </c>
      <c r="W593" s="46">
        <v>14.642204</v>
      </c>
      <c r="X593" s="46">
        <v>18.706861</v>
      </c>
      <c r="Y593" s="46">
        <v>69.070871100000005</v>
      </c>
      <c r="Z593" s="46">
        <v>11.9072832</v>
      </c>
      <c r="AA593" s="46">
        <v>19.0218457</v>
      </c>
      <c r="AB593" s="26">
        <f>SUM(W593:X593)</f>
        <v>33.349064999999996</v>
      </c>
      <c r="AC593" s="26">
        <f>SUM(Z593:AA593)</f>
        <v>30.929128900000002</v>
      </c>
      <c r="AD593" s="57">
        <f>M593+N593</f>
        <v>5653</v>
      </c>
      <c r="AE593" s="57">
        <f>Q593+R593</f>
        <v>7886</v>
      </c>
      <c r="AF593" s="26">
        <f>W593</f>
        <v>14.642204</v>
      </c>
      <c r="AG593" s="26">
        <f>Z593</f>
        <v>11.9072832</v>
      </c>
      <c r="AH593" s="26">
        <f>M593</f>
        <v>2482</v>
      </c>
      <c r="AI593" s="26">
        <f>Q593</f>
        <v>3036</v>
      </c>
      <c r="AJ593" s="26">
        <f>X593</f>
        <v>18.706861</v>
      </c>
      <c r="AK593" s="26">
        <f>AA593</f>
        <v>19.0218457</v>
      </c>
      <c r="AL593" s="57">
        <f>N593</f>
        <v>3171</v>
      </c>
      <c r="AM593" s="57">
        <f>R593</f>
        <v>4850</v>
      </c>
    </row>
    <row r="594" spans="1:39" hidden="1" x14ac:dyDescent="0.3">
      <c r="A594" s="37">
        <v>590</v>
      </c>
      <c r="B594" s="38" t="s">
        <v>521</v>
      </c>
      <c r="C594" s="38" t="s">
        <v>157</v>
      </c>
      <c r="D594" s="38" t="s">
        <v>195</v>
      </c>
      <c r="E594" s="38" t="s">
        <v>200</v>
      </c>
      <c r="F594" s="47" t="s">
        <v>519</v>
      </c>
      <c r="G594" s="40">
        <v>1464</v>
      </c>
      <c r="H594" s="40">
        <v>651</v>
      </c>
      <c r="I594" s="40">
        <v>294</v>
      </c>
      <c r="J594" s="40">
        <v>519</v>
      </c>
      <c r="K594" s="40">
        <v>3793</v>
      </c>
      <c r="L594" s="40">
        <v>2312</v>
      </c>
      <c r="M594" s="40">
        <v>711</v>
      </c>
      <c r="N594" s="40">
        <v>770</v>
      </c>
      <c r="O594" s="40">
        <v>7607</v>
      </c>
      <c r="P594" s="40">
        <v>5118</v>
      </c>
      <c r="Q594" s="40">
        <v>1036</v>
      </c>
      <c r="R594" s="40">
        <v>1453</v>
      </c>
      <c r="S594" s="41">
        <v>44.467213100000002</v>
      </c>
      <c r="T594" s="41">
        <v>20.081967200000001</v>
      </c>
      <c r="U594" s="41">
        <v>35.450819699999997</v>
      </c>
      <c r="V594" s="41">
        <v>60.9543897</v>
      </c>
      <c r="W594" s="41">
        <v>18.745056699999999</v>
      </c>
      <c r="X594" s="41">
        <v>20.300553699999998</v>
      </c>
      <c r="Y594" s="41">
        <v>67.2801367</v>
      </c>
      <c r="Z594" s="41">
        <v>13.6190351</v>
      </c>
      <c r="AA594" s="41">
        <v>19.100828199999999</v>
      </c>
    </row>
    <row r="595" spans="1:39" hidden="1" x14ac:dyDescent="0.3">
      <c r="A595" s="37">
        <v>591</v>
      </c>
      <c r="B595" s="38" t="s">
        <v>521</v>
      </c>
      <c r="C595" s="38" t="s">
        <v>157</v>
      </c>
      <c r="D595" s="38" t="s">
        <v>195</v>
      </c>
      <c r="E595" s="38" t="s">
        <v>200</v>
      </c>
      <c r="F595" s="47" t="s">
        <v>520</v>
      </c>
      <c r="G595" s="40">
        <v>9365</v>
      </c>
      <c r="H595" s="40">
        <v>4269</v>
      </c>
      <c r="I595" s="40">
        <v>1437</v>
      </c>
      <c r="J595" s="40">
        <v>3659</v>
      </c>
      <c r="K595" s="40">
        <v>13158</v>
      </c>
      <c r="L595" s="40">
        <v>8986</v>
      </c>
      <c r="M595" s="40">
        <v>1771</v>
      </c>
      <c r="N595" s="40">
        <v>2401</v>
      </c>
      <c r="O595" s="40">
        <v>17890</v>
      </c>
      <c r="P595" s="40">
        <v>12493</v>
      </c>
      <c r="Q595" s="40">
        <v>2000</v>
      </c>
      <c r="R595" s="40">
        <v>3397</v>
      </c>
      <c r="S595" s="41">
        <v>45.5846236</v>
      </c>
      <c r="T595" s="41">
        <v>15.3443673</v>
      </c>
      <c r="U595" s="41">
        <v>39.071009099999998</v>
      </c>
      <c r="V595" s="41">
        <v>68.293053700000002</v>
      </c>
      <c r="W595" s="41">
        <v>13.459492300000001</v>
      </c>
      <c r="X595" s="41">
        <v>18.247454000000001</v>
      </c>
      <c r="Y595" s="41">
        <v>69.832308600000005</v>
      </c>
      <c r="Z595" s="41">
        <v>11.179429799999999</v>
      </c>
      <c r="AA595" s="41">
        <v>18.988261600000001</v>
      </c>
    </row>
    <row r="596" spans="1:39" hidden="1" x14ac:dyDescent="0.3">
      <c r="A596" s="42">
        <v>592</v>
      </c>
      <c r="B596" s="43" t="s">
        <v>521</v>
      </c>
      <c r="C596" s="50" t="s">
        <v>157</v>
      </c>
      <c r="D596" s="50" t="s">
        <v>195</v>
      </c>
      <c r="E596" s="50" t="s">
        <v>201</v>
      </c>
      <c r="F596" s="51" t="s">
        <v>201</v>
      </c>
      <c r="G596" s="45">
        <v>5502</v>
      </c>
      <c r="H596" s="45">
        <v>2280</v>
      </c>
      <c r="I596" s="45">
        <v>987</v>
      </c>
      <c r="J596" s="45">
        <v>2235</v>
      </c>
      <c r="K596" s="45">
        <v>12475</v>
      </c>
      <c r="L596" s="45">
        <v>9244</v>
      </c>
      <c r="M596" s="45">
        <v>1588</v>
      </c>
      <c r="N596" s="45">
        <v>1643</v>
      </c>
      <c r="O596" s="45">
        <v>18178</v>
      </c>
      <c r="P596" s="45">
        <v>13112</v>
      </c>
      <c r="Q596" s="45">
        <v>2050</v>
      </c>
      <c r="R596" s="45">
        <v>3016</v>
      </c>
      <c r="S596" s="46">
        <v>41.439476599999999</v>
      </c>
      <c r="T596" s="46">
        <v>17.9389313</v>
      </c>
      <c r="U596" s="46">
        <v>40.621592100000001</v>
      </c>
      <c r="V596" s="46">
        <v>74.100200400000006</v>
      </c>
      <c r="W596" s="46">
        <v>12.729458899999999</v>
      </c>
      <c r="X596" s="46">
        <v>13.170340700000001</v>
      </c>
      <c r="Y596" s="46">
        <v>72.131147499999997</v>
      </c>
      <c r="Z596" s="46">
        <v>11.2773682</v>
      </c>
      <c r="AA596" s="46">
        <v>16.5914842</v>
      </c>
      <c r="AB596" s="26">
        <f>SUM(W596:X596)</f>
        <v>25.899799600000001</v>
      </c>
      <c r="AC596" s="26">
        <f>SUM(Z596:AA596)</f>
        <v>27.868852400000002</v>
      </c>
      <c r="AD596" s="57">
        <f>M596+N596</f>
        <v>3231</v>
      </c>
      <c r="AE596" s="57">
        <f>Q596+R596</f>
        <v>5066</v>
      </c>
      <c r="AF596" s="26">
        <f>W596</f>
        <v>12.729458899999999</v>
      </c>
      <c r="AG596" s="26">
        <f>Z596</f>
        <v>11.2773682</v>
      </c>
      <c r="AH596" s="26">
        <f>M596</f>
        <v>1588</v>
      </c>
      <c r="AI596" s="26">
        <f>Q596</f>
        <v>2050</v>
      </c>
      <c r="AJ596" s="26">
        <f>X596</f>
        <v>13.170340700000001</v>
      </c>
      <c r="AK596" s="26">
        <f>AA596</f>
        <v>16.5914842</v>
      </c>
      <c r="AL596" s="57">
        <f>N596</f>
        <v>1643</v>
      </c>
      <c r="AM596" s="57">
        <f>R596</f>
        <v>3016</v>
      </c>
    </row>
    <row r="597" spans="1:39" hidden="1" x14ac:dyDescent="0.3">
      <c r="A597" s="37">
        <v>593</v>
      </c>
      <c r="B597" s="38" t="s">
        <v>521</v>
      </c>
      <c r="C597" s="38" t="s">
        <v>157</v>
      </c>
      <c r="D597" s="38" t="s">
        <v>195</v>
      </c>
      <c r="E597" s="38" t="s">
        <v>201</v>
      </c>
      <c r="F597" s="47" t="s">
        <v>519</v>
      </c>
      <c r="G597" s="40">
        <v>1347</v>
      </c>
      <c r="H597" s="40">
        <v>507</v>
      </c>
      <c r="I597" s="40">
        <v>292</v>
      </c>
      <c r="J597" s="40">
        <v>548</v>
      </c>
      <c r="K597" s="40">
        <v>4396</v>
      </c>
      <c r="L597" s="40">
        <v>2919</v>
      </c>
      <c r="M597" s="40">
        <v>714</v>
      </c>
      <c r="N597" s="40">
        <v>763</v>
      </c>
      <c r="O597" s="40">
        <v>9296</v>
      </c>
      <c r="P597" s="40">
        <v>6521</v>
      </c>
      <c r="Q597" s="40">
        <v>1358</v>
      </c>
      <c r="R597" s="40">
        <v>1417</v>
      </c>
      <c r="S597" s="41">
        <v>37.639198200000003</v>
      </c>
      <c r="T597" s="41">
        <v>21.677802499999999</v>
      </c>
      <c r="U597" s="41">
        <v>40.682999299999999</v>
      </c>
      <c r="V597" s="41">
        <v>66.401273900000007</v>
      </c>
      <c r="W597" s="41">
        <v>16.2420382</v>
      </c>
      <c r="X597" s="41">
        <v>17.356687900000001</v>
      </c>
      <c r="Y597" s="41">
        <v>70.1484509</v>
      </c>
      <c r="Z597" s="41">
        <v>14.608433700000001</v>
      </c>
      <c r="AA597" s="41">
        <v>15.243115299999999</v>
      </c>
    </row>
    <row r="598" spans="1:39" hidden="1" x14ac:dyDescent="0.3">
      <c r="A598" s="37">
        <v>594</v>
      </c>
      <c r="B598" s="38" t="s">
        <v>521</v>
      </c>
      <c r="C598" s="38" t="s">
        <v>157</v>
      </c>
      <c r="D598" s="38" t="s">
        <v>195</v>
      </c>
      <c r="E598" s="38" t="s">
        <v>201</v>
      </c>
      <c r="F598" s="47" t="s">
        <v>520</v>
      </c>
      <c r="G598" s="40">
        <v>4155</v>
      </c>
      <c r="H598" s="40">
        <v>1773</v>
      </c>
      <c r="I598" s="40">
        <v>695</v>
      </c>
      <c r="J598" s="40">
        <v>1687</v>
      </c>
      <c r="K598" s="40">
        <v>8079</v>
      </c>
      <c r="L598" s="40">
        <v>6325</v>
      </c>
      <c r="M598" s="40">
        <v>874</v>
      </c>
      <c r="N598" s="40">
        <v>880</v>
      </c>
      <c r="O598" s="40">
        <v>8882</v>
      </c>
      <c r="P598" s="40">
        <v>6591</v>
      </c>
      <c r="Q598" s="40">
        <v>692</v>
      </c>
      <c r="R598" s="40">
        <v>1599</v>
      </c>
      <c r="S598" s="41">
        <v>42.671480099999997</v>
      </c>
      <c r="T598" s="41">
        <v>16.726835099999999</v>
      </c>
      <c r="U598" s="41">
        <v>40.6016847</v>
      </c>
      <c r="V598" s="41">
        <v>78.289392300000003</v>
      </c>
      <c r="W598" s="41">
        <v>10.8181706</v>
      </c>
      <c r="X598" s="41">
        <v>10.8924372</v>
      </c>
      <c r="Y598" s="41">
        <v>74.206259900000006</v>
      </c>
      <c r="Z598" s="41">
        <v>7.7910380999999997</v>
      </c>
      <c r="AA598" s="41">
        <v>18.0027021</v>
      </c>
    </row>
    <row r="599" spans="1:39" hidden="1" x14ac:dyDescent="0.3">
      <c r="A599" s="32">
        <v>595</v>
      </c>
      <c r="B599" s="33" t="s">
        <v>1</v>
      </c>
      <c r="C599" s="49" t="s">
        <v>157</v>
      </c>
      <c r="D599" s="49" t="s">
        <v>202</v>
      </c>
      <c r="E599" s="49"/>
      <c r="F599" s="34" t="s">
        <v>202</v>
      </c>
      <c r="G599" s="35">
        <v>8619</v>
      </c>
      <c r="H599" s="35">
        <v>3417</v>
      </c>
      <c r="I599" s="35">
        <v>1716</v>
      </c>
      <c r="J599" s="35">
        <v>3486</v>
      </c>
      <c r="K599" s="35">
        <v>10573</v>
      </c>
      <c r="L599" s="35">
        <v>6165</v>
      </c>
      <c r="M599" s="35">
        <v>1748</v>
      </c>
      <c r="N599" s="35">
        <v>2660</v>
      </c>
      <c r="O599" s="35">
        <v>12668</v>
      </c>
      <c r="P599" s="35">
        <v>8677</v>
      </c>
      <c r="Q599" s="35">
        <v>1715</v>
      </c>
      <c r="R599" s="35">
        <v>2276</v>
      </c>
      <c r="S599" s="36">
        <v>39.644970399999998</v>
      </c>
      <c r="T599" s="36">
        <v>19.9095023</v>
      </c>
      <c r="U599" s="36">
        <v>40.445527300000002</v>
      </c>
      <c r="V599" s="36">
        <v>58.308900000000001</v>
      </c>
      <c r="W599" s="36">
        <v>16.5326776</v>
      </c>
      <c r="X599" s="36">
        <v>25.158422399999999</v>
      </c>
      <c r="Y599" s="36">
        <v>68.495421500000006</v>
      </c>
      <c r="Z599" s="36">
        <v>13.5380486</v>
      </c>
      <c r="AA599" s="36">
        <v>17.9665298</v>
      </c>
    </row>
    <row r="600" spans="1:39" hidden="1" x14ac:dyDescent="0.3">
      <c r="A600" s="37">
        <v>596</v>
      </c>
      <c r="B600" s="38" t="s">
        <v>1</v>
      </c>
      <c r="C600" s="38" t="s">
        <v>157</v>
      </c>
      <c r="D600" s="38" t="s">
        <v>202</v>
      </c>
      <c r="E600" s="38"/>
      <c r="F600" s="39" t="s">
        <v>519</v>
      </c>
      <c r="G600" s="40">
        <v>632</v>
      </c>
      <c r="H600" s="40">
        <v>303</v>
      </c>
      <c r="I600" s="40">
        <v>129</v>
      </c>
      <c r="J600" s="40">
        <v>200</v>
      </c>
      <c r="K600" s="40">
        <v>1008</v>
      </c>
      <c r="L600" s="40">
        <v>671</v>
      </c>
      <c r="M600" s="40">
        <v>174</v>
      </c>
      <c r="N600" s="40">
        <v>163</v>
      </c>
      <c r="O600" s="40">
        <v>1965</v>
      </c>
      <c r="P600" s="40">
        <v>1402</v>
      </c>
      <c r="Q600" s="40">
        <v>279</v>
      </c>
      <c r="R600" s="40">
        <v>284</v>
      </c>
      <c r="S600" s="41">
        <v>47.943038000000001</v>
      </c>
      <c r="T600" s="41">
        <v>20.4113924</v>
      </c>
      <c r="U600" s="41">
        <v>31.645569600000002</v>
      </c>
      <c r="V600" s="41">
        <v>66.567460299999993</v>
      </c>
      <c r="W600" s="41">
        <v>17.2619048</v>
      </c>
      <c r="X600" s="41">
        <v>16.1706349</v>
      </c>
      <c r="Y600" s="41">
        <v>71.348600500000003</v>
      </c>
      <c r="Z600" s="41">
        <v>14.1984733</v>
      </c>
      <c r="AA600" s="41">
        <v>14.4529262</v>
      </c>
    </row>
    <row r="601" spans="1:39" hidden="1" x14ac:dyDescent="0.3">
      <c r="A601" s="37">
        <v>597</v>
      </c>
      <c r="B601" s="38" t="s">
        <v>1</v>
      </c>
      <c r="C601" s="38" t="s">
        <v>157</v>
      </c>
      <c r="D601" s="38" t="s">
        <v>202</v>
      </c>
      <c r="E601" s="38"/>
      <c r="F601" s="39" t="s">
        <v>520</v>
      </c>
      <c r="G601" s="40">
        <v>7987</v>
      </c>
      <c r="H601" s="40">
        <v>3114</v>
      </c>
      <c r="I601" s="40">
        <v>1587</v>
      </c>
      <c r="J601" s="40">
        <v>3286</v>
      </c>
      <c r="K601" s="40">
        <v>9565</v>
      </c>
      <c r="L601" s="40">
        <v>5494</v>
      </c>
      <c r="M601" s="40">
        <v>1574</v>
      </c>
      <c r="N601" s="40">
        <v>2497</v>
      </c>
      <c r="O601" s="40">
        <v>10703</v>
      </c>
      <c r="P601" s="40">
        <v>7275</v>
      </c>
      <c r="Q601" s="40">
        <v>1436</v>
      </c>
      <c r="R601" s="40">
        <v>1992</v>
      </c>
      <c r="S601" s="41">
        <v>38.988356099999997</v>
      </c>
      <c r="T601" s="41">
        <v>19.869788400000001</v>
      </c>
      <c r="U601" s="41">
        <v>41.141855499999998</v>
      </c>
      <c r="V601" s="41">
        <v>57.438578100000001</v>
      </c>
      <c r="W601" s="41">
        <v>16.455828499999999</v>
      </c>
      <c r="X601" s="41">
        <v>26.105593299999999</v>
      </c>
      <c r="Y601" s="41">
        <v>67.971596700000006</v>
      </c>
      <c r="Z601" s="41">
        <v>13.416798999999999</v>
      </c>
      <c r="AA601" s="41">
        <v>18.611604199999999</v>
      </c>
    </row>
    <row r="602" spans="1:39" hidden="1" x14ac:dyDescent="0.3">
      <c r="A602" s="42">
        <v>598</v>
      </c>
      <c r="B602" s="43" t="s">
        <v>521</v>
      </c>
      <c r="C602" s="50" t="s">
        <v>157</v>
      </c>
      <c r="D602" s="50" t="s">
        <v>202</v>
      </c>
      <c r="E602" s="50" t="s">
        <v>202</v>
      </c>
      <c r="F602" s="51" t="s">
        <v>202</v>
      </c>
      <c r="G602" s="45">
        <v>5015</v>
      </c>
      <c r="H602" s="45">
        <v>2007</v>
      </c>
      <c r="I602" s="45">
        <v>1034</v>
      </c>
      <c r="J602" s="45">
        <v>1974</v>
      </c>
      <c r="K602" s="45">
        <v>5920</v>
      </c>
      <c r="L602" s="45">
        <v>3636</v>
      </c>
      <c r="M602" s="45">
        <v>999</v>
      </c>
      <c r="N602" s="45">
        <v>1285</v>
      </c>
      <c r="O602" s="45">
        <v>6879</v>
      </c>
      <c r="P602" s="45">
        <v>5011</v>
      </c>
      <c r="Q602" s="45">
        <v>891</v>
      </c>
      <c r="R602" s="45">
        <v>977</v>
      </c>
      <c r="S602" s="46">
        <v>40.019940200000001</v>
      </c>
      <c r="T602" s="46">
        <v>20.618145599999998</v>
      </c>
      <c r="U602" s="46">
        <v>39.361914300000002</v>
      </c>
      <c r="V602" s="46">
        <v>61.418918900000001</v>
      </c>
      <c r="W602" s="46">
        <v>16.875</v>
      </c>
      <c r="X602" s="46">
        <v>21.706081099999999</v>
      </c>
      <c r="Y602" s="46">
        <v>72.844890199999995</v>
      </c>
      <c r="Z602" s="46">
        <v>12.952464000000001</v>
      </c>
      <c r="AA602" s="46">
        <v>14.2026457</v>
      </c>
      <c r="AB602" s="26">
        <f>SUM(W602:X602)</f>
        <v>38.581081099999999</v>
      </c>
      <c r="AC602" s="26">
        <f>SUM(Z602:AA602)</f>
        <v>27.155109700000001</v>
      </c>
      <c r="AD602" s="57">
        <f>M602+N602</f>
        <v>2284</v>
      </c>
      <c r="AE602" s="57">
        <f>Q602+R602</f>
        <v>1868</v>
      </c>
      <c r="AF602" s="26">
        <f>W602</f>
        <v>16.875</v>
      </c>
      <c r="AG602" s="26">
        <f>Z602</f>
        <v>12.952464000000001</v>
      </c>
      <c r="AH602" s="26">
        <f>M602</f>
        <v>999</v>
      </c>
      <c r="AI602" s="26">
        <f>Q602</f>
        <v>891</v>
      </c>
      <c r="AJ602" s="26">
        <f>X602</f>
        <v>21.706081099999999</v>
      </c>
      <c r="AK602" s="26">
        <f>AA602</f>
        <v>14.2026457</v>
      </c>
      <c r="AL602" s="57">
        <f>N602</f>
        <v>1285</v>
      </c>
      <c r="AM602" s="57">
        <f>R602</f>
        <v>977</v>
      </c>
    </row>
    <row r="603" spans="1:39" hidden="1" x14ac:dyDescent="0.3">
      <c r="A603" s="37">
        <v>599</v>
      </c>
      <c r="B603" s="38" t="s">
        <v>521</v>
      </c>
      <c r="C603" s="38" t="s">
        <v>157</v>
      </c>
      <c r="D603" s="38" t="s">
        <v>202</v>
      </c>
      <c r="E603" s="38" t="s">
        <v>202</v>
      </c>
      <c r="F603" s="47" t="s">
        <v>519</v>
      </c>
      <c r="G603" s="40">
        <v>632</v>
      </c>
      <c r="H603" s="40">
        <v>303</v>
      </c>
      <c r="I603" s="40">
        <v>129</v>
      </c>
      <c r="J603" s="40">
        <v>200</v>
      </c>
      <c r="K603" s="40">
        <v>1008</v>
      </c>
      <c r="L603" s="40">
        <v>671</v>
      </c>
      <c r="M603" s="40">
        <v>174</v>
      </c>
      <c r="N603" s="40">
        <v>163</v>
      </c>
      <c r="O603" s="40">
        <v>1965</v>
      </c>
      <c r="P603" s="40">
        <v>1402</v>
      </c>
      <c r="Q603" s="40">
        <v>279</v>
      </c>
      <c r="R603" s="40">
        <v>284</v>
      </c>
      <c r="S603" s="41">
        <v>47.943038000000001</v>
      </c>
      <c r="T603" s="41">
        <v>20.4113924</v>
      </c>
      <c r="U603" s="41">
        <v>31.645569600000002</v>
      </c>
      <c r="V603" s="41">
        <v>66.567460299999993</v>
      </c>
      <c r="W603" s="41">
        <v>17.2619048</v>
      </c>
      <c r="X603" s="41">
        <v>16.1706349</v>
      </c>
      <c r="Y603" s="41">
        <v>71.348600500000003</v>
      </c>
      <c r="Z603" s="41">
        <v>14.1984733</v>
      </c>
      <c r="AA603" s="41">
        <v>14.4529262</v>
      </c>
    </row>
    <row r="604" spans="1:39" hidden="1" x14ac:dyDescent="0.3">
      <c r="A604" s="37">
        <v>600</v>
      </c>
      <c r="B604" s="38" t="s">
        <v>521</v>
      </c>
      <c r="C604" s="38" t="s">
        <v>157</v>
      </c>
      <c r="D604" s="38" t="s">
        <v>202</v>
      </c>
      <c r="E604" s="38" t="s">
        <v>202</v>
      </c>
      <c r="F604" s="47" t="s">
        <v>520</v>
      </c>
      <c r="G604" s="40">
        <v>4383</v>
      </c>
      <c r="H604" s="40">
        <v>1704</v>
      </c>
      <c r="I604" s="40">
        <v>905</v>
      </c>
      <c r="J604" s="40">
        <v>1774</v>
      </c>
      <c r="K604" s="40">
        <v>4912</v>
      </c>
      <c r="L604" s="40">
        <v>2965</v>
      </c>
      <c r="M604" s="40">
        <v>825</v>
      </c>
      <c r="N604" s="40">
        <v>1122</v>
      </c>
      <c r="O604" s="40">
        <v>4914</v>
      </c>
      <c r="P604" s="40">
        <v>3609</v>
      </c>
      <c r="Q604" s="40">
        <v>612</v>
      </c>
      <c r="R604" s="40">
        <v>693</v>
      </c>
      <c r="S604" s="41">
        <v>38.877481199999998</v>
      </c>
      <c r="T604" s="41">
        <v>20.647957999999999</v>
      </c>
      <c r="U604" s="41">
        <v>40.474560799999999</v>
      </c>
      <c r="V604" s="41">
        <v>60.362377899999998</v>
      </c>
      <c r="W604" s="41">
        <v>16.795602599999999</v>
      </c>
      <c r="X604" s="41">
        <v>22.842019499999999</v>
      </c>
      <c r="Y604" s="41">
        <v>73.443223399999994</v>
      </c>
      <c r="Z604" s="41">
        <v>12.454212500000001</v>
      </c>
      <c r="AA604" s="41">
        <v>14.1025641</v>
      </c>
    </row>
    <row r="605" spans="1:39" hidden="1" x14ac:dyDescent="0.3">
      <c r="A605" s="42">
        <v>601</v>
      </c>
      <c r="B605" s="43" t="s">
        <v>521</v>
      </c>
      <c r="C605" s="50" t="s">
        <v>157</v>
      </c>
      <c r="D605" s="50" t="s">
        <v>202</v>
      </c>
      <c r="E605" s="50" t="s">
        <v>203</v>
      </c>
      <c r="F605" s="51" t="s">
        <v>203</v>
      </c>
      <c r="G605" s="45">
        <v>1221</v>
      </c>
      <c r="H605" s="45">
        <v>594</v>
      </c>
      <c r="I605" s="45">
        <v>225</v>
      </c>
      <c r="J605" s="45">
        <v>402</v>
      </c>
      <c r="K605" s="45">
        <v>1540</v>
      </c>
      <c r="L605" s="45">
        <v>843</v>
      </c>
      <c r="M605" s="45">
        <v>228</v>
      </c>
      <c r="N605" s="45">
        <v>469</v>
      </c>
      <c r="O605" s="45">
        <v>1867</v>
      </c>
      <c r="P605" s="45">
        <v>1212</v>
      </c>
      <c r="Q605" s="45">
        <v>283</v>
      </c>
      <c r="R605" s="45">
        <v>372</v>
      </c>
      <c r="S605" s="46">
        <v>48.648648600000001</v>
      </c>
      <c r="T605" s="46">
        <v>18.4275184</v>
      </c>
      <c r="U605" s="46">
        <v>32.923832900000001</v>
      </c>
      <c r="V605" s="46">
        <v>54.740259700000003</v>
      </c>
      <c r="W605" s="46">
        <v>14.805194800000001</v>
      </c>
      <c r="X605" s="46">
        <v>30.454545499999998</v>
      </c>
      <c r="Y605" s="46">
        <v>64.916979100000006</v>
      </c>
      <c r="Z605" s="46">
        <v>15.1580075</v>
      </c>
      <c r="AA605" s="46">
        <v>19.925013400000001</v>
      </c>
      <c r="AB605" s="26">
        <f>SUM(W605:X605)</f>
        <v>45.259740299999997</v>
      </c>
      <c r="AC605" s="26">
        <f>SUM(Z605:AA605)</f>
        <v>35.083020900000001</v>
      </c>
      <c r="AD605" s="57">
        <f>M605+N605</f>
        <v>697</v>
      </c>
      <c r="AE605" s="57">
        <f>Q605+R605</f>
        <v>655</v>
      </c>
      <c r="AF605" s="26">
        <f>W605</f>
        <v>14.805194800000001</v>
      </c>
      <c r="AG605" s="26">
        <f>Z605</f>
        <v>15.1580075</v>
      </c>
      <c r="AH605" s="26">
        <f>M605</f>
        <v>228</v>
      </c>
      <c r="AI605" s="26">
        <f>Q605</f>
        <v>283</v>
      </c>
      <c r="AJ605" s="26">
        <f>X605</f>
        <v>30.454545499999998</v>
      </c>
      <c r="AK605" s="26">
        <f>AA605</f>
        <v>19.925013400000001</v>
      </c>
      <c r="AL605" s="57">
        <f>N605</f>
        <v>469</v>
      </c>
      <c r="AM605" s="57">
        <f>R605</f>
        <v>372</v>
      </c>
    </row>
    <row r="606" spans="1:39" hidden="1" x14ac:dyDescent="0.3">
      <c r="A606" s="37">
        <v>602</v>
      </c>
      <c r="B606" s="38" t="s">
        <v>521</v>
      </c>
      <c r="C606" s="38" t="s">
        <v>157</v>
      </c>
      <c r="D606" s="38" t="s">
        <v>202</v>
      </c>
      <c r="E606" s="38" t="s">
        <v>203</v>
      </c>
      <c r="F606" s="47" t="s">
        <v>519</v>
      </c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1"/>
      <c r="T606" s="41"/>
      <c r="U606" s="41"/>
      <c r="V606" s="41"/>
      <c r="W606" s="41"/>
      <c r="X606" s="41"/>
      <c r="Y606" s="41"/>
      <c r="Z606" s="41"/>
      <c r="AA606" s="41"/>
    </row>
    <row r="607" spans="1:39" hidden="1" x14ac:dyDescent="0.3">
      <c r="A607" s="37">
        <v>603</v>
      </c>
      <c r="B607" s="38" t="s">
        <v>521</v>
      </c>
      <c r="C607" s="38" t="s">
        <v>157</v>
      </c>
      <c r="D607" s="38" t="s">
        <v>202</v>
      </c>
      <c r="E607" s="38" t="s">
        <v>203</v>
      </c>
      <c r="F607" s="47" t="s">
        <v>520</v>
      </c>
      <c r="G607" s="40">
        <v>1221</v>
      </c>
      <c r="H607" s="40">
        <v>594</v>
      </c>
      <c r="I607" s="40">
        <v>225</v>
      </c>
      <c r="J607" s="40">
        <v>402</v>
      </c>
      <c r="K607" s="40">
        <v>1540</v>
      </c>
      <c r="L607" s="40">
        <v>843</v>
      </c>
      <c r="M607" s="40">
        <v>228</v>
      </c>
      <c r="N607" s="40">
        <v>469</v>
      </c>
      <c r="O607" s="40">
        <v>1867</v>
      </c>
      <c r="P607" s="40">
        <v>1212</v>
      </c>
      <c r="Q607" s="40">
        <v>283</v>
      </c>
      <c r="R607" s="40">
        <v>372</v>
      </c>
      <c r="S607" s="41">
        <v>48.648648600000001</v>
      </c>
      <c r="T607" s="41">
        <v>18.4275184</v>
      </c>
      <c r="U607" s="41">
        <v>32.923832900000001</v>
      </c>
      <c r="V607" s="41">
        <v>54.740259700000003</v>
      </c>
      <c r="W607" s="41">
        <v>14.805194800000001</v>
      </c>
      <c r="X607" s="41">
        <v>30.454545499999998</v>
      </c>
      <c r="Y607" s="41">
        <v>64.916979100000006</v>
      </c>
      <c r="Z607" s="41">
        <v>15.1580075</v>
      </c>
      <c r="AA607" s="41">
        <v>19.925013400000001</v>
      </c>
    </row>
    <row r="608" spans="1:39" hidden="1" x14ac:dyDescent="0.3">
      <c r="A608" s="42">
        <v>604</v>
      </c>
      <c r="B608" s="43" t="s">
        <v>521</v>
      </c>
      <c r="C608" s="50" t="s">
        <v>157</v>
      </c>
      <c r="D608" s="50" t="s">
        <v>202</v>
      </c>
      <c r="E608" s="50" t="s">
        <v>204</v>
      </c>
      <c r="F608" s="51" t="s">
        <v>204</v>
      </c>
      <c r="G608" s="45">
        <v>1053</v>
      </c>
      <c r="H608" s="45">
        <v>333</v>
      </c>
      <c r="I608" s="45">
        <v>188</v>
      </c>
      <c r="J608" s="45">
        <v>532</v>
      </c>
      <c r="K608" s="45">
        <v>1122</v>
      </c>
      <c r="L608" s="45">
        <v>688</v>
      </c>
      <c r="M608" s="45">
        <v>179</v>
      </c>
      <c r="N608" s="45">
        <v>255</v>
      </c>
      <c r="O608" s="45">
        <v>1278</v>
      </c>
      <c r="P608" s="45">
        <v>860</v>
      </c>
      <c r="Q608" s="45">
        <v>171</v>
      </c>
      <c r="R608" s="45">
        <v>247</v>
      </c>
      <c r="S608" s="46">
        <v>31.623931599999999</v>
      </c>
      <c r="T608" s="46">
        <v>17.853751200000001</v>
      </c>
      <c r="U608" s="46">
        <v>50.522317200000003</v>
      </c>
      <c r="V608" s="46">
        <v>61.319073099999997</v>
      </c>
      <c r="W608" s="46">
        <v>15.953654200000001</v>
      </c>
      <c r="X608" s="46">
        <v>22.7272727</v>
      </c>
      <c r="Y608" s="46">
        <v>67.292644800000005</v>
      </c>
      <c r="Z608" s="46">
        <v>13.380281699999999</v>
      </c>
      <c r="AA608" s="46">
        <v>19.327073599999999</v>
      </c>
      <c r="AB608" s="26">
        <f>SUM(W608:X608)</f>
        <v>38.680926900000003</v>
      </c>
      <c r="AC608" s="26">
        <f>SUM(Z608:AA608)</f>
        <v>32.707355299999996</v>
      </c>
      <c r="AD608" s="57">
        <f>M608+N608</f>
        <v>434</v>
      </c>
      <c r="AE608" s="57">
        <f>Q608+R608</f>
        <v>418</v>
      </c>
      <c r="AF608" s="26">
        <f>W608</f>
        <v>15.953654200000001</v>
      </c>
      <c r="AG608" s="26">
        <f>Z608</f>
        <v>13.380281699999999</v>
      </c>
      <c r="AH608" s="26">
        <f>M608</f>
        <v>179</v>
      </c>
      <c r="AI608" s="26">
        <f>Q608</f>
        <v>171</v>
      </c>
      <c r="AJ608" s="26">
        <f>X608</f>
        <v>22.7272727</v>
      </c>
      <c r="AK608" s="26">
        <f>AA608</f>
        <v>19.327073599999999</v>
      </c>
      <c r="AL608" s="57">
        <f>N608</f>
        <v>255</v>
      </c>
      <c r="AM608" s="57">
        <f>R608</f>
        <v>247</v>
      </c>
    </row>
    <row r="609" spans="1:39" hidden="1" x14ac:dyDescent="0.3">
      <c r="A609" s="37">
        <v>605</v>
      </c>
      <c r="B609" s="38" t="s">
        <v>521</v>
      </c>
      <c r="C609" s="38" t="s">
        <v>157</v>
      </c>
      <c r="D609" s="38" t="s">
        <v>202</v>
      </c>
      <c r="E609" s="38" t="s">
        <v>204</v>
      </c>
      <c r="F609" s="47" t="s">
        <v>519</v>
      </c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1"/>
      <c r="T609" s="41"/>
      <c r="U609" s="41"/>
      <c r="V609" s="41"/>
      <c r="W609" s="41"/>
      <c r="X609" s="41"/>
      <c r="Y609" s="41"/>
      <c r="Z609" s="41"/>
      <c r="AA609" s="41"/>
    </row>
    <row r="610" spans="1:39" hidden="1" x14ac:dyDescent="0.3">
      <c r="A610" s="37">
        <v>606</v>
      </c>
      <c r="B610" s="38" t="s">
        <v>521</v>
      </c>
      <c r="C610" s="38" t="s">
        <v>157</v>
      </c>
      <c r="D610" s="38" t="s">
        <v>202</v>
      </c>
      <c r="E610" s="38" t="s">
        <v>204</v>
      </c>
      <c r="F610" s="47" t="s">
        <v>520</v>
      </c>
      <c r="G610" s="40">
        <v>1053</v>
      </c>
      <c r="H610" s="40">
        <v>333</v>
      </c>
      <c r="I610" s="40">
        <v>188</v>
      </c>
      <c r="J610" s="40">
        <v>532</v>
      </c>
      <c r="K610" s="40">
        <v>1122</v>
      </c>
      <c r="L610" s="40">
        <v>688</v>
      </c>
      <c r="M610" s="40">
        <v>179</v>
      </c>
      <c r="N610" s="40">
        <v>255</v>
      </c>
      <c r="O610" s="40">
        <v>1278</v>
      </c>
      <c r="P610" s="40">
        <v>860</v>
      </c>
      <c r="Q610" s="40">
        <v>171</v>
      </c>
      <c r="R610" s="40">
        <v>247</v>
      </c>
      <c r="S610" s="41">
        <v>31.623931599999999</v>
      </c>
      <c r="T610" s="41">
        <v>17.853751200000001</v>
      </c>
      <c r="U610" s="41">
        <v>50.522317200000003</v>
      </c>
      <c r="V610" s="41">
        <v>61.319073099999997</v>
      </c>
      <c r="W610" s="41">
        <v>15.953654200000001</v>
      </c>
      <c r="X610" s="41">
        <v>22.7272727</v>
      </c>
      <c r="Y610" s="41">
        <v>67.292644800000005</v>
      </c>
      <c r="Z610" s="41">
        <v>13.380281699999999</v>
      </c>
      <c r="AA610" s="41">
        <v>19.327073599999999</v>
      </c>
    </row>
    <row r="611" spans="1:39" hidden="1" x14ac:dyDescent="0.3">
      <c r="A611" s="42">
        <v>607</v>
      </c>
      <c r="B611" s="43" t="s">
        <v>521</v>
      </c>
      <c r="C611" s="50" t="s">
        <v>157</v>
      </c>
      <c r="D611" s="50" t="s">
        <v>202</v>
      </c>
      <c r="E611" s="50" t="s">
        <v>205</v>
      </c>
      <c r="F611" s="51" t="s">
        <v>205</v>
      </c>
      <c r="G611" s="45">
        <v>1330</v>
      </c>
      <c r="H611" s="45">
        <v>483</v>
      </c>
      <c r="I611" s="45">
        <v>269</v>
      </c>
      <c r="J611" s="45">
        <v>578</v>
      </c>
      <c r="K611" s="45">
        <v>1991</v>
      </c>
      <c r="L611" s="45">
        <v>998</v>
      </c>
      <c r="M611" s="45">
        <v>342</v>
      </c>
      <c r="N611" s="45">
        <v>651</v>
      </c>
      <c r="O611" s="45">
        <v>2644</v>
      </c>
      <c r="P611" s="45">
        <v>1594</v>
      </c>
      <c r="Q611" s="45">
        <v>370</v>
      </c>
      <c r="R611" s="45">
        <v>680</v>
      </c>
      <c r="S611" s="46">
        <v>36.315789500000001</v>
      </c>
      <c r="T611" s="46">
        <v>20.225563900000001</v>
      </c>
      <c r="U611" s="46">
        <v>43.458646600000002</v>
      </c>
      <c r="V611" s="46">
        <v>50.125565000000002</v>
      </c>
      <c r="W611" s="46">
        <v>17.177297800000002</v>
      </c>
      <c r="X611" s="46">
        <v>32.697137099999999</v>
      </c>
      <c r="Y611" s="46">
        <v>60.2874433</v>
      </c>
      <c r="Z611" s="46">
        <v>13.9939486</v>
      </c>
      <c r="AA611" s="46">
        <v>25.718608199999998</v>
      </c>
      <c r="AB611" s="26">
        <f>SUM(W611:X611)</f>
        <v>49.874434899999997</v>
      </c>
      <c r="AC611" s="26">
        <f>SUM(Z611:AA611)</f>
        <v>39.712556800000002</v>
      </c>
      <c r="AD611" s="57">
        <f>M611+N611</f>
        <v>993</v>
      </c>
      <c r="AE611" s="57">
        <f>Q611+R611</f>
        <v>1050</v>
      </c>
      <c r="AF611" s="26">
        <f>W611</f>
        <v>17.177297800000002</v>
      </c>
      <c r="AG611" s="26">
        <f>Z611</f>
        <v>13.9939486</v>
      </c>
      <c r="AH611" s="26">
        <f>M611</f>
        <v>342</v>
      </c>
      <c r="AI611" s="26">
        <f>Q611</f>
        <v>370</v>
      </c>
      <c r="AJ611" s="26">
        <f>X611</f>
        <v>32.697137099999999</v>
      </c>
      <c r="AK611" s="26">
        <f>AA611</f>
        <v>25.718608199999998</v>
      </c>
      <c r="AL611" s="57">
        <f>N611</f>
        <v>651</v>
      </c>
      <c r="AM611" s="57">
        <f>R611</f>
        <v>680</v>
      </c>
    </row>
    <row r="612" spans="1:39" hidden="1" x14ac:dyDescent="0.3">
      <c r="A612" s="37">
        <v>608</v>
      </c>
      <c r="B612" s="38" t="s">
        <v>521</v>
      </c>
      <c r="C612" s="38" t="s">
        <v>157</v>
      </c>
      <c r="D612" s="38" t="s">
        <v>202</v>
      </c>
      <c r="E612" s="38" t="s">
        <v>205</v>
      </c>
      <c r="F612" s="47" t="s">
        <v>519</v>
      </c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1"/>
      <c r="T612" s="41"/>
      <c r="U612" s="41"/>
      <c r="V612" s="41"/>
      <c r="W612" s="41"/>
      <c r="X612" s="41"/>
      <c r="Y612" s="41"/>
      <c r="Z612" s="41"/>
      <c r="AA612" s="41"/>
    </row>
    <row r="613" spans="1:39" hidden="1" x14ac:dyDescent="0.3">
      <c r="A613" s="37">
        <v>609</v>
      </c>
      <c r="B613" s="38" t="s">
        <v>521</v>
      </c>
      <c r="C613" s="38" t="s">
        <v>157</v>
      </c>
      <c r="D613" s="38" t="s">
        <v>202</v>
      </c>
      <c r="E613" s="38" t="s">
        <v>205</v>
      </c>
      <c r="F613" s="47" t="s">
        <v>520</v>
      </c>
      <c r="G613" s="40">
        <v>1330</v>
      </c>
      <c r="H613" s="40">
        <v>483</v>
      </c>
      <c r="I613" s="40">
        <v>269</v>
      </c>
      <c r="J613" s="40">
        <v>578</v>
      </c>
      <c r="K613" s="40">
        <v>1991</v>
      </c>
      <c r="L613" s="40">
        <v>998</v>
      </c>
      <c r="M613" s="40">
        <v>342</v>
      </c>
      <c r="N613" s="40">
        <v>651</v>
      </c>
      <c r="O613" s="40">
        <v>2644</v>
      </c>
      <c r="P613" s="40">
        <v>1594</v>
      </c>
      <c r="Q613" s="40">
        <v>370</v>
      </c>
      <c r="R613" s="40">
        <v>680</v>
      </c>
      <c r="S613" s="41">
        <v>36.315789500000001</v>
      </c>
      <c r="T613" s="41">
        <v>20.225563900000001</v>
      </c>
      <c r="U613" s="41">
        <v>43.458646600000002</v>
      </c>
      <c r="V613" s="41">
        <v>50.125565000000002</v>
      </c>
      <c r="W613" s="41">
        <v>17.177297800000002</v>
      </c>
      <c r="X613" s="41">
        <v>32.697137099999999</v>
      </c>
      <c r="Y613" s="41">
        <v>60.2874433</v>
      </c>
      <c r="Z613" s="41">
        <v>13.9939486</v>
      </c>
      <c r="AA613" s="41">
        <v>25.718608199999998</v>
      </c>
    </row>
    <row r="614" spans="1:39" hidden="1" x14ac:dyDescent="0.3">
      <c r="A614" s="32">
        <v>610</v>
      </c>
      <c r="B614" s="33" t="s">
        <v>1</v>
      </c>
      <c r="C614" s="49" t="s">
        <v>157</v>
      </c>
      <c r="D614" s="49" t="s">
        <v>207</v>
      </c>
      <c r="E614" s="49"/>
      <c r="F614" s="34" t="s">
        <v>207</v>
      </c>
      <c r="G614" s="35">
        <v>12266</v>
      </c>
      <c r="H614" s="35">
        <v>7560</v>
      </c>
      <c r="I614" s="35">
        <v>2437</v>
      </c>
      <c r="J614" s="35">
        <v>2269</v>
      </c>
      <c r="K614" s="35">
        <v>16810</v>
      </c>
      <c r="L614" s="35">
        <v>12583</v>
      </c>
      <c r="M614" s="35">
        <v>2170</v>
      </c>
      <c r="N614" s="35">
        <v>2057</v>
      </c>
      <c r="O614" s="35">
        <v>20449</v>
      </c>
      <c r="P614" s="35">
        <v>16091</v>
      </c>
      <c r="Q614" s="35">
        <v>2302</v>
      </c>
      <c r="R614" s="35">
        <v>2056</v>
      </c>
      <c r="S614" s="36">
        <v>61.633784400000003</v>
      </c>
      <c r="T614" s="36">
        <v>19.867927600000002</v>
      </c>
      <c r="U614" s="36">
        <v>18.498287999999999</v>
      </c>
      <c r="V614" s="36">
        <v>74.854253400000005</v>
      </c>
      <c r="W614" s="36">
        <v>12.908982699999999</v>
      </c>
      <c r="X614" s="36">
        <v>12.2367638</v>
      </c>
      <c r="Y614" s="36">
        <v>78.688444399999995</v>
      </c>
      <c r="Z614" s="36">
        <v>11.257274199999999</v>
      </c>
      <c r="AA614" s="36">
        <v>10.054281400000001</v>
      </c>
    </row>
    <row r="615" spans="1:39" hidden="1" x14ac:dyDescent="0.3">
      <c r="A615" s="37">
        <v>611</v>
      </c>
      <c r="B615" s="38" t="s">
        <v>1</v>
      </c>
      <c r="C615" s="38" t="s">
        <v>157</v>
      </c>
      <c r="D615" s="38" t="s">
        <v>207</v>
      </c>
      <c r="E615" s="38"/>
      <c r="F615" s="39" t="s">
        <v>519</v>
      </c>
      <c r="G615" s="40">
        <v>4198</v>
      </c>
      <c r="H615" s="40">
        <v>2624</v>
      </c>
      <c r="I615" s="40">
        <v>812</v>
      </c>
      <c r="J615" s="40">
        <v>762</v>
      </c>
      <c r="K615" s="40">
        <v>8094</v>
      </c>
      <c r="L615" s="40">
        <v>6033</v>
      </c>
      <c r="M615" s="40">
        <v>1111</v>
      </c>
      <c r="N615" s="40">
        <v>950</v>
      </c>
      <c r="O615" s="40">
        <v>12028</v>
      </c>
      <c r="P615" s="40">
        <v>9444</v>
      </c>
      <c r="Q615" s="40">
        <v>1385</v>
      </c>
      <c r="R615" s="40">
        <v>1199</v>
      </c>
      <c r="S615" s="41">
        <v>62.505955200000002</v>
      </c>
      <c r="T615" s="41">
        <v>19.342544100000001</v>
      </c>
      <c r="U615" s="41">
        <v>18.1515007</v>
      </c>
      <c r="V615" s="41">
        <v>74.536693799999995</v>
      </c>
      <c r="W615" s="41">
        <v>13.726217</v>
      </c>
      <c r="X615" s="41">
        <v>11.7370892</v>
      </c>
      <c r="Y615" s="41">
        <v>78.516794099999998</v>
      </c>
      <c r="Z615" s="41">
        <v>11.514798799999999</v>
      </c>
      <c r="AA615" s="41">
        <v>9.9684071000000003</v>
      </c>
    </row>
    <row r="616" spans="1:39" hidden="1" x14ac:dyDescent="0.3">
      <c r="A616" s="37">
        <v>612</v>
      </c>
      <c r="B616" s="38" t="s">
        <v>1</v>
      </c>
      <c r="C616" s="38" t="s">
        <v>157</v>
      </c>
      <c r="D616" s="38" t="s">
        <v>207</v>
      </c>
      <c r="E616" s="38"/>
      <c r="F616" s="39" t="s">
        <v>520</v>
      </c>
      <c r="G616" s="40">
        <v>8068</v>
      </c>
      <c r="H616" s="40">
        <v>4936</v>
      </c>
      <c r="I616" s="40">
        <v>1625</v>
      </c>
      <c r="J616" s="40">
        <v>1507</v>
      </c>
      <c r="K616" s="40">
        <v>8716</v>
      </c>
      <c r="L616" s="40">
        <v>6550</v>
      </c>
      <c r="M616" s="40">
        <v>1059</v>
      </c>
      <c r="N616" s="40">
        <v>1107</v>
      </c>
      <c r="O616" s="40">
        <v>8421</v>
      </c>
      <c r="P616" s="40">
        <v>6647</v>
      </c>
      <c r="Q616" s="40">
        <v>917</v>
      </c>
      <c r="R616" s="40">
        <v>857</v>
      </c>
      <c r="S616" s="41">
        <v>61.179970300000001</v>
      </c>
      <c r="T616" s="41">
        <v>20.141299</v>
      </c>
      <c r="U616" s="41">
        <v>18.6787308</v>
      </c>
      <c r="V616" s="41">
        <v>75.149151000000003</v>
      </c>
      <c r="W616" s="41">
        <v>12.1500688</v>
      </c>
      <c r="X616" s="41">
        <v>12.700780200000001</v>
      </c>
      <c r="Y616" s="41">
        <v>78.933618300000006</v>
      </c>
      <c r="Z616" s="41">
        <v>10.889443099999999</v>
      </c>
      <c r="AA616" s="41">
        <v>10.1769386</v>
      </c>
    </row>
    <row r="617" spans="1:39" hidden="1" x14ac:dyDescent="0.3">
      <c r="A617" s="42">
        <v>613</v>
      </c>
      <c r="B617" s="43" t="s">
        <v>521</v>
      </c>
      <c r="C617" s="50" t="s">
        <v>157</v>
      </c>
      <c r="D617" s="50" t="s">
        <v>207</v>
      </c>
      <c r="E617" s="50" t="s">
        <v>207</v>
      </c>
      <c r="F617" s="51" t="s">
        <v>207</v>
      </c>
      <c r="G617" s="45">
        <v>6713</v>
      </c>
      <c r="H617" s="45">
        <v>4270</v>
      </c>
      <c r="I617" s="45">
        <v>1308</v>
      </c>
      <c r="J617" s="45">
        <v>1135</v>
      </c>
      <c r="K617" s="45">
        <v>8784</v>
      </c>
      <c r="L617" s="45">
        <v>6764</v>
      </c>
      <c r="M617" s="45">
        <v>1129</v>
      </c>
      <c r="N617" s="45">
        <v>891</v>
      </c>
      <c r="O617" s="45">
        <v>11318</v>
      </c>
      <c r="P617" s="45">
        <v>8938</v>
      </c>
      <c r="Q617" s="45">
        <v>1274</v>
      </c>
      <c r="R617" s="45">
        <v>1106</v>
      </c>
      <c r="S617" s="46">
        <v>63.6079249</v>
      </c>
      <c r="T617" s="46">
        <v>19.484582199999998</v>
      </c>
      <c r="U617" s="46">
        <v>16.907492900000001</v>
      </c>
      <c r="V617" s="46">
        <v>77.003642999999997</v>
      </c>
      <c r="W617" s="46">
        <v>12.8529144</v>
      </c>
      <c r="X617" s="46">
        <v>10.1434426</v>
      </c>
      <c r="Y617" s="46">
        <v>78.971549699999997</v>
      </c>
      <c r="Z617" s="46">
        <v>11.2564057</v>
      </c>
      <c r="AA617" s="46">
        <v>9.7720444999999998</v>
      </c>
      <c r="AB617" s="26">
        <f>SUM(W617:X617)</f>
        <v>22.996357</v>
      </c>
      <c r="AC617" s="26">
        <f>SUM(Z617:AA617)</f>
        <v>21.028450200000002</v>
      </c>
      <c r="AD617" s="57">
        <f>M617+N617</f>
        <v>2020</v>
      </c>
      <c r="AE617" s="57">
        <f>Q617+R617</f>
        <v>2380</v>
      </c>
      <c r="AF617" s="26">
        <f>W617</f>
        <v>12.8529144</v>
      </c>
      <c r="AG617" s="26">
        <f>Z617</f>
        <v>11.2564057</v>
      </c>
      <c r="AH617" s="26">
        <f>M617</f>
        <v>1129</v>
      </c>
      <c r="AI617" s="26">
        <f>Q617</f>
        <v>1274</v>
      </c>
      <c r="AJ617" s="26">
        <f>X617</f>
        <v>10.1434426</v>
      </c>
      <c r="AK617" s="26">
        <f>AA617</f>
        <v>9.7720444999999998</v>
      </c>
      <c r="AL617" s="57">
        <f>N617</f>
        <v>891</v>
      </c>
      <c r="AM617" s="57">
        <f>R617</f>
        <v>1106</v>
      </c>
    </row>
    <row r="618" spans="1:39" hidden="1" x14ac:dyDescent="0.3">
      <c r="A618" s="37">
        <v>614</v>
      </c>
      <c r="B618" s="38" t="s">
        <v>521</v>
      </c>
      <c r="C618" s="38" t="s">
        <v>157</v>
      </c>
      <c r="D618" s="38" t="s">
        <v>207</v>
      </c>
      <c r="E618" s="38" t="s">
        <v>207</v>
      </c>
      <c r="F618" s="47" t="s">
        <v>519</v>
      </c>
      <c r="G618" s="40">
        <v>3706</v>
      </c>
      <c r="H618" s="40">
        <v>2360</v>
      </c>
      <c r="I618" s="40">
        <v>694</v>
      </c>
      <c r="J618" s="40">
        <v>652</v>
      </c>
      <c r="K618" s="40">
        <v>5692</v>
      </c>
      <c r="L618" s="40">
        <v>4301</v>
      </c>
      <c r="M618" s="40">
        <v>775</v>
      </c>
      <c r="N618" s="40">
        <v>616</v>
      </c>
      <c r="O618" s="40">
        <v>8316</v>
      </c>
      <c r="P618" s="40">
        <v>6571</v>
      </c>
      <c r="Q618" s="40">
        <v>943</v>
      </c>
      <c r="R618" s="40">
        <v>802</v>
      </c>
      <c r="S618" s="41">
        <v>63.6805181</v>
      </c>
      <c r="T618" s="41">
        <v>18.726389600000001</v>
      </c>
      <c r="U618" s="41">
        <v>17.593092299999999</v>
      </c>
      <c r="V618" s="41">
        <v>75.562192600000003</v>
      </c>
      <c r="W618" s="41">
        <v>13.615600799999999</v>
      </c>
      <c r="X618" s="41">
        <v>10.822206599999999</v>
      </c>
      <c r="Y618" s="41">
        <v>79.016354000000007</v>
      </c>
      <c r="Z618" s="41">
        <v>11.339586300000001</v>
      </c>
      <c r="AA618" s="41">
        <v>9.6440596000000003</v>
      </c>
    </row>
    <row r="619" spans="1:39" hidden="1" x14ac:dyDescent="0.3">
      <c r="A619" s="37">
        <v>615</v>
      </c>
      <c r="B619" s="38" t="s">
        <v>521</v>
      </c>
      <c r="C619" s="38" t="s">
        <v>157</v>
      </c>
      <c r="D619" s="38" t="s">
        <v>207</v>
      </c>
      <c r="E619" s="38" t="s">
        <v>207</v>
      </c>
      <c r="F619" s="47" t="s">
        <v>520</v>
      </c>
      <c r="G619" s="40">
        <v>3007</v>
      </c>
      <c r="H619" s="40">
        <v>1910</v>
      </c>
      <c r="I619" s="40">
        <v>614</v>
      </c>
      <c r="J619" s="40">
        <v>483</v>
      </c>
      <c r="K619" s="40">
        <v>3092</v>
      </c>
      <c r="L619" s="40">
        <v>2463</v>
      </c>
      <c r="M619" s="40">
        <v>354</v>
      </c>
      <c r="N619" s="40">
        <v>275</v>
      </c>
      <c r="O619" s="40">
        <v>3002</v>
      </c>
      <c r="P619" s="40">
        <v>2367</v>
      </c>
      <c r="Q619" s="40">
        <v>331</v>
      </c>
      <c r="R619" s="40">
        <v>304</v>
      </c>
      <c r="S619" s="41">
        <v>63.518456899999997</v>
      </c>
      <c r="T619" s="41">
        <v>20.419022300000002</v>
      </c>
      <c r="U619" s="41">
        <v>16.062520800000001</v>
      </c>
      <c r="V619" s="41">
        <v>79.657179799999994</v>
      </c>
      <c r="W619" s="41">
        <v>11.448900399999999</v>
      </c>
      <c r="X619" s="41">
        <v>8.8939198000000008</v>
      </c>
      <c r="Y619" s="41">
        <v>78.847435000000004</v>
      </c>
      <c r="Z619" s="41">
        <v>11.0259827</v>
      </c>
      <c r="AA619" s="41">
        <v>10.126582300000001</v>
      </c>
    </row>
    <row r="620" spans="1:39" hidden="1" x14ac:dyDescent="0.3">
      <c r="A620" s="42">
        <v>616</v>
      </c>
      <c r="B620" s="43" t="s">
        <v>521</v>
      </c>
      <c r="C620" s="50" t="s">
        <v>157</v>
      </c>
      <c r="D620" s="50" t="s">
        <v>207</v>
      </c>
      <c r="E620" s="50" t="s">
        <v>209</v>
      </c>
      <c r="F620" s="51" t="s">
        <v>209</v>
      </c>
      <c r="G620" s="45">
        <v>1564</v>
      </c>
      <c r="H620" s="45">
        <v>980</v>
      </c>
      <c r="I620" s="45">
        <v>305</v>
      </c>
      <c r="J620" s="45">
        <v>279</v>
      </c>
      <c r="K620" s="45">
        <v>3042</v>
      </c>
      <c r="L620" s="45">
        <v>2320</v>
      </c>
      <c r="M620" s="45">
        <v>326</v>
      </c>
      <c r="N620" s="45">
        <v>396</v>
      </c>
      <c r="O620" s="45">
        <v>3262</v>
      </c>
      <c r="P620" s="45">
        <v>2555</v>
      </c>
      <c r="Q620" s="45">
        <v>361</v>
      </c>
      <c r="R620" s="45">
        <v>346</v>
      </c>
      <c r="S620" s="46">
        <v>62.6598465</v>
      </c>
      <c r="T620" s="46">
        <v>19.501278800000001</v>
      </c>
      <c r="U620" s="46">
        <v>17.838874700000002</v>
      </c>
      <c r="V620" s="46">
        <v>76.2656147</v>
      </c>
      <c r="W620" s="46">
        <v>10.7166338</v>
      </c>
      <c r="X620" s="46">
        <v>13.017751499999999</v>
      </c>
      <c r="Y620" s="46">
        <v>78.326180300000004</v>
      </c>
      <c r="Z620" s="46">
        <v>11.0668302</v>
      </c>
      <c r="AA620" s="46">
        <v>10.6069896</v>
      </c>
      <c r="AB620" s="26">
        <f>SUM(W620:X620)</f>
        <v>23.7343853</v>
      </c>
      <c r="AC620" s="26">
        <f>SUM(Z620:AA620)</f>
        <v>21.6738198</v>
      </c>
      <c r="AD620" s="57">
        <f>M620+N620</f>
        <v>722</v>
      </c>
      <c r="AE620" s="57">
        <f>Q620+R620</f>
        <v>707</v>
      </c>
      <c r="AF620" s="26">
        <f>W620</f>
        <v>10.7166338</v>
      </c>
      <c r="AG620" s="26">
        <f>Z620</f>
        <v>11.0668302</v>
      </c>
      <c r="AH620" s="26">
        <f>M620</f>
        <v>326</v>
      </c>
      <c r="AI620" s="26">
        <f>Q620</f>
        <v>361</v>
      </c>
      <c r="AJ620" s="26">
        <f>X620</f>
        <v>13.017751499999999</v>
      </c>
      <c r="AK620" s="26">
        <f>AA620</f>
        <v>10.6069896</v>
      </c>
      <c r="AL620" s="57">
        <f>N620</f>
        <v>396</v>
      </c>
      <c r="AM620" s="57">
        <f>R620</f>
        <v>346</v>
      </c>
    </row>
    <row r="621" spans="1:39" hidden="1" x14ac:dyDescent="0.3">
      <c r="A621" s="37">
        <v>617</v>
      </c>
      <c r="B621" s="38" t="s">
        <v>521</v>
      </c>
      <c r="C621" s="38" t="s">
        <v>157</v>
      </c>
      <c r="D621" s="38" t="s">
        <v>207</v>
      </c>
      <c r="E621" s="38" t="s">
        <v>209</v>
      </c>
      <c r="F621" s="47" t="s">
        <v>519</v>
      </c>
      <c r="G621" s="40"/>
      <c r="H621" s="40"/>
      <c r="I621" s="40"/>
      <c r="J621" s="40"/>
      <c r="K621" s="40"/>
      <c r="L621" s="40"/>
      <c r="M621" s="40"/>
      <c r="N621" s="40"/>
      <c r="O621" s="40">
        <v>1138</v>
      </c>
      <c r="P621" s="40">
        <v>826</v>
      </c>
      <c r="Q621" s="40">
        <v>136</v>
      </c>
      <c r="R621" s="40">
        <v>176</v>
      </c>
      <c r="S621" s="41"/>
      <c r="T621" s="41"/>
      <c r="U621" s="41"/>
      <c r="V621" s="41"/>
      <c r="W621" s="41"/>
      <c r="X621" s="41"/>
      <c r="Y621" s="41">
        <v>72.583479800000006</v>
      </c>
      <c r="Z621" s="41">
        <v>11.950790899999999</v>
      </c>
      <c r="AA621" s="41">
        <v>15.4657293</v>
      </c>
    </row>
    <row r="622" spans="1:39" hidden="1" x14ac:dyDescent="0.3">
      <c r="A622" s="37">
        <v>618</v>
      </c>
      <c r="B622" s="38" t="s">
        <v>521</v>
      </c>
      <c r="C622" s="38" t="s">
        <v>157</v>
      </c>
      <c r="D622" s="38" t="s">
        <v>207</v>
      </c>
      <c r="E622" s="38" t="s">
        <v>209</v>
      </c>
      <c r="F622" s="47" t="s">
        <v>520</v>
      </c>
      <c r="G622" s="40">
        <v>1564</v>
      </c>
      <c r="H622" s="40">
        <v>980</v>
      </c>
      <c r="I622" s="40">
        <v>305</v>
      </c>
      <c r="J622" s="40">
        <v>279</v>
      </c>
      <c r="K622" s="40">
        <v>3042</v>
      </c>
      <c r="L622" s="40">
        <v>2320</v>
      </c>
      <c r="M622" s="40">
        <v>326</v>
      </c>
      <c r="N622" s="40">
        <v>396</v>
      </c>
      <c r="O622" s="40">
        <v>2124</v>
      </c>
      <c r="P622" s="40">
        <v>1729</v>
      </c>
      <c r="Q622" s="40">
        <v>225</v>
      </c>
      <c r="R622" s="40">
        <v>170</v>
      </c>
      <c r="S622" s="41">
        <v>62.6598465</v>
      </c>
      <c r="T622" s="41">
        <v>19.501278800000001</v>
      </c>
      <c r="U622" s="41">
        <v>17.838874700000002</v>
      </c>
      <c r="V622" s="41">
        <v>76.2656147</v>
      </c>
      <c r="W622" s="41">
        <v>10.7166338</v>
      </c>
      <c r="X622" s="41">
        <v>13.017751499999999</v>
      </c>
      <c r="Y622" s="41">
        <v>81.403013200000004</v>
      </c>
      <c r="Z622" s="41">
        <v>10.5932203</v>
      </c>
      <c r="AA622" s="41">
        <v>8.0037664999999993</v>
      </c>
    </row>
    <row r="623" spans="1:39" hidden="1" x14ac:dyDescent="0.3">
      <c r="A623" s="42">
        <v>619</v>
      </c>
      <c r="B623" s="43" t="s">
        <v>521</v>
      </c>
      <c r="C623" s="50" t="s">
        <v>157</v>
      </c>
      <c r="D623" s="50" t="s">
        <v>207</v>
      </c>
      <c r="E623" s="50" t="s">
        <v>210</v>
      </c>
      <c r="F623" s="51" t="s">
        <v>210</v>
      </c>
      <c r="G623" s="45">
        <v>3174</v>
      </c>
      <c r="H623" s="45">
        <v>1833</v>
      </c>
      <c r="I623" s="45">
        <v>683</v>
      </c>
      <c r="J623" s="45">
        <v>658</v>
      </c>
      <c r="K623" s="45">
        <v>3924</v>
      </c>
      <c r="L623" s="45">
        <v>2867</v>
      </c>
      <c r="M623" s="45">
        <v>541</v>
      </c>
      <c r="N623" s="45">
        <v>516</v>
      </c>
      <c r="O623" s="45">
        <v>4327</v>
      </c>
      <c r="P623" s="45">
        <v>3498</v>
      </c>
      <c r="Q623" s="45">
        <v>457</v>
      </c>
      <c r="R623" s="45">
        <v>372</v>
      </c>
      <c r="S623" s="46">
        <v>57.750472600000002</v>
      </c>
      <c r="T623" s="46">
        <v>21.5185885</v>
      </c>
      <c r="U623" s="46">
        <v>20.730938900000002</v>
      </c>
      <c r="V623" s="46">
        <v>73.063200800000004</v>
      </c>
      <c r="W623" s="46">
        <v>13.786952100000001</v>
      </c>
      <c r="X623" s="46">
        <v>13.149847100000001</v>
      </c>
      <c r="Y623" s="46">
        <v>80.841229499999997</v>
      </c>
      <c r="Z623" s="46">
        <v>10.561590000000001</v>
      </c>
      <c r="AA623" s="46">
        <v>8.5971805000000003</v>
      </c>
      <c r="AB623" s="26">
        <f>SUM(W623:X623)</f>
        <v>26.936799200000003</v>
      </c>
      <c r="AC623" s="26">
        <f>SUM(Z623:AA623)</f>
        <v>19.158770500000003</v>
      </c>
      <c r="AD623" s="57">
        <f>M623+N623</f>
        <v>1057</v>
      </c>
      <c r="AE623" s="57">
        <f>Q623+R623</f>
        <v>829</v>
      </c>
      <c r="AF623" s="26">
        <f>W623</f>
        <v>13.786952100000001</v>
      </c>
      <c r="AG623" s="26">
        <f>Z623</f>
        <v>10.561590000000001</v>
      </c>
      <c r="AH623" s="26">
        <f>M623</f>
        <v>541</v>
      </c>
      <c r="AI623" s="26">
        <f>Q623</f>
        <v>457</v>
      </c>
      <c r="AJ623" s="26">
        <f>X623</f>
        <v>13.149847100000001</v>
      </c>
      <c r="AK623" s="26">
        <f>AA623</f>
        <v>8.5971805000000003</v>
      </c>
      <c r="AL623" s="57">
        <f>N623</f>
        <v>516</v>
      </c>
      <c r="AM623" s="57">
        <f>R623</f>
        <v>372</v>
      </c>
    </row>
    <row r="624" spans="1:39" hidden="1" x14ac:dyDescent="0.3">
      <c r="A624" s="37">
        <v>620</v>
      </c>
      <c r="B624" s="38" t="s">
        <v>521</v>
      </c>
      <c r="C624" s="38" t="s">
        <v>157</v>
      </c>
      <c r="D624" s="38" t="s">
        <v>207</v>
      </c>
      <c r="E624" s="38" t="s">
        <v>210</v>
      </c>
      <c r="F624" s="47" t="s">
        <v>519</v>
      </c>
      <c r="G624" s="40">
        <v>492</v>
      </c>
      <c r="H624" s="40">
        <v>264</v>
      </c>
      <c r="I624" s="40">
        <v>118</v>
      </c>
      <c r="J624" s="40">
        <v>110</v>
      </c>
      <c r="K624" s="40">
        <v>2402</v>
      </c>
      <c r="L624" s="40">
        <v>1732</v>
      </c>
      <c r="M624" s="40">
        <v>336</v>
      </c>
      <c r="N624" s="40">
        <v>334</v>
      </c>
      <c r="O624" s="40">
        <v>2574</v>
      </c>
      <c r="P624" s="40">
        <v>2047</v>
      </c>
      <c r="Q624" s="40">
        <v>306</v>
      </c>
      <c r="R624" s="40">
        <v>221</v>
      </c>
      <c r="S624" s="41">
        <v>53.658536599999998</v>
      </c>
      <c r="T624" s="41">
        <v>23.983739799999999</v>
      </c>
      <c r="U624" s="41">
        <v>22.3577236</v>
      </c>
      <c r="V624" s="41">
        <v>72.106577900000005</v>
      </c>
      <c r="W624" s="41">
        <v>13.988343</v>
      </c>
      <c r="X624" s="41">
        <v>13.9050791</v>
      </c>
      <c r="Y624" s="41">
        <v>79.526029500000007</v>
      </c>
      <c r="Z624" s="41">
        <v>11.8881119</v>
      </c>
      <c r="AA624" s="41">
        <v>8.5858585999999999</v>
      </c>
    </row>
    <row r="625" spans="1:39" hidden="1" x14ac:dyDescent="0.3">
      <c r="A625" s="37">
        <v>621</v>
      </c>
      <c r="B625" s="38" t="s">
        <v>521</v>
      </c>
      <c r="C625" s="38" t="s">
        <v>157</v>
      </c>
      <c r="D625" s="38" t="s">
        <v>207</v>
      </c>
      <c r="E625" s="38" t="s">
        <v>210</v>
      </c>
      <c r="F625" s="47" t="s">
        <v>520</v>
      </c>
      <c r="G625" s="40">
        <v>2682</v>
      </c>
      <c r="H625" s="40">
        <v>1569</v>
      </c>
      <c r="I625" s="40">
        <v>565</v>
      </c>
      <c r="J625" s="40">
        <v>548</v>
      </c>
      <c r="K625" s="40">
        <v>1522</v>
      </c>
      <c r="L625" s="40">
        <v>1135</v>
      </c>
      <c r="M625" s="40">
        <v>205</v>
      </c>
      <c r="N625" s="40">
        <v>182</v>
      </c>
      <c r="O625" s="40">
        <v>1753</v>
      </c>
      <c r="P625" s="40">
        <v>1451</v>
      </c>
      <c r="Q625" s="40">
        <v>151</v>
      </c>
      <c r="R625" s="40">
        <v>151</v>
      </c>
      <c r="S625" s="41">
        <v>58.501118599999998</v>
      </c>
      <c r="T625" s="41">
        <v>21.066368400000002</v>
      </c>
      <c r="U625" s="41">
        <v>20.432513</v>
      </c>
      <c r="V625" s="41">
        <v>74.572930400000004</v>
      </c>
      <c r="W625" s="41">
        <v>13.469119600000001</v>
      </c>
      <c r="X625" s="41">
        <v>11.9579501</v>
      </c>
      <c r="Y625" s="41">
        <v>82.772390200000004</v>
      </c>
      <c r="Z625" s="41">
        <v>8.6138048999999999</v>
      </c>
      <c r="AA625" s="41">
        <v>8.6138048999999999</v>
      </c>
    </row>
    <row r="626" spans="1:39" hidden="1" x14ac:dyDescent="0.3">
      <c r="A626" s="42">
        <v>622</v>
      </c>
      <c r="B626" s="43" t="s">
        <v>521</v>
      </c>
      <c r="C626" s="50" t="s">
        <v>157</v>
      </c>
      <c r="D626" s="50" t="s">
        <v>207</v>
      </c>
      <c r="E626" s="50" t="s">
        <v>212</v>
      </c>
      <c r="F626" s="51" t="s">
        <v>212</v>
      </c>
      <c r="G626" s="45">
        <v>306</v>
      </c>
      <c r="H626" s="45">
        <v>205</v>
      </c>
      <c r="I626" s="45">
        <v>49</v>
      </c>
      <c r="J626" s="45">
        <v>52</v>
      </c>
      <c r="K626" s="45">
        <v>359</v>
      </c>
      <c r="L626" s="45">
        <v>244</v>
      </c>
      <c r="M626" s="45">
        <v>66</v>
      </c>
      <c r="N626" s="45">
        <v>49</v>
      </c>
      <c r="O626" s="45">
        <v>485</v>
      </c>
      <c r="P626" s="45">
        <v>390</v>
      </c>
      <c r="Q626" s="45">
        <v>49</v>
      </c>
      <c r="R626" s="45">
        <v>46</v>
      </c>
      <c r="S626" s="46">
        <v>66.993464099999997</v>
      </c>
      <c r="T626" s="46">
        <v>16.0130719</v>
      </c>
      <c r="U626" s="46">
        <v>16.993464100000001</v>
      </c>
      <c r="V626" s="46">
        <v>67.966573800000006</v>
      </c>
      <c r="W626" s="46">
        <v>18.384401100000002</v>
      </c>
      <c r="X626" s="46">
        <v>13.649025099999999</v>
      </c>
      <c r="Y626" s="46">
        <v>80.412371100000001</v>
      </c>
      <c r="Z626" s="46">
        <v>10.103092800000001</v>
      </c>
      <c r="AA626" s="46">
        <v>9.4845360999999997</v>
      </c>
      <c r="AB626" s="26">
        <f>SUM(W626:X626)</f>
        <v>32.033426200000001</v>
      </c>
      <c r="AC626" s="26">
        <f>SUM(Z626:AA626)</f>
        <v>19.587628899999999</v>
      </c>
      <c r="AD626" s="57">
        <f>M626+N626</f>
        <v>115</v>
      </c>
      <c r="AE626" s="57">
        <f>Q626+R626</f>
        <v>95</v>
      </c>
      <c r="AF626" s="26">
        <f>W626</f>
        <v>18.384401100000002</v>
      </c>
      <c r="AG626" s="26">
        <f>Z626</f>
        <v>10.103092800000001</v>
      </c>
      <c r="AH626" s="26">
        <f>M626</f>
        <v>66</v>
      </c>
      <c r="AI626" s="26">
        <f>Q626</f>
        <v>49</v>
      </c>
      <c r="AJ626" s="26">
        <f>X626</f>
        <v>13.649025099999999</v>
      </c>
      <c r="AK626" s="26">
        <f>AA626</f>
        <v>9.4845360999999997</v>
      </c>
      <c r="AL626" s="57">
        <f>N626</f>
        <v>49</v>
      </c>
      <c r="AM626" s="57">
        <f>R626</f>
        <v>46</v>
      </c>
    </row>
    <row r="627" spans="1:39" hidden="1" x14ac:dyDescent="0.3">
      <c r="A627" s="37">
        <v>623</v>
      </c>
      <c r="B627" s="38" t="s">
        <v>521</v>
      </c>
      <c r="C627" s="38" t="s">
        <v>157</v>
      </c>
      <c r="D627" s="38" t="s">
        <v>207</v>
      </c>
      <c r="E627" s="38" t="s">
        <v>212</v>
      </c>
      <c r="F627" s="47" t="s">
        <v>519</v>
      </c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1"/>
      <c r="T627" s="41"/>
      <c r="U627" s="41"/>
      <c r="V627" s="41"/>
      <c r="W627" s="41"/>
      <c r="X627" s="41"/>
      <c r="Y627" s="41"/>
      <c r="Z627" s="41"/>
      <c r="AA627" s="41"/>
    </row>
    <row r="628" spans="1:39" hidden="1" x14ac:dyDescent="0.3">
      <c r="A628" s="37">
        <v>624</v>
      </c>
      <c r="B628" s="38" t="s">
        <v>521</v>
      </c>
      <c r="C628" s="38" t="s">
        <v>157</v>
      </c>
      <c r="D628" s="38" t="s">
        <v>207</v>
      </c>
      <c r="E628" s="38" t="s">
        <v>212</v>
      </c>
      <c r="F628" s="47" t="s">
        <v>520</v>
      </c>
      <c r="G628" s="40">
        <v>306</v>
      </c>
      <c r="H628" s="40">
        <v>205</v>
      </c>
      <c r="I628" s="40">
        <v>49</v>
      </c>
      <c r="J628" s="40">
        <v>52</v>
      </c>
      <c r="K628" s="40">
        <v>359</v>
      </c>
      <c r="L628" s="40">
        <v>244</v>
      </c>
      <c r="M628" s="40">
        <v>66</v>
      </c>
      <c r="N628" s="40">
        <v>49</v>
      </c>
      <c r="O628" s="40">
        <v>485</v>
      </c>
      <c r="P628" s="40">
        <v>390</v>
      </c>
      <c r="Q628" s="40">
        <v>49</v>
      </c>
      <c r="R628" s="40">
        <v>46</v>
      </c>
      <c r="S628" s="41">
        <v>66.993464099999997</v>
      </c>
      <c r="T628" s="41">
        <v>16.0130719</v>
      </c>
      <c r="U628" s="41">
        <v>16.993464100000001</v>
      </c>
      <c r="V628" s="41">
        <v>67.966573800000006</v>
      </c>
      <c r="W628" s="41">
        <v>18.384401100000002</v>
      </c>
      <c r="X628" s="41">
        <v>13.649025099999999</v>
      </c>
      <c r="Y628" s="41">
        <v>80.412371100000001</v>
      </c>
      <c r="Z628" s="41">
        <v>10.103092800000001</v>
      </c>
      <c r="AA628" s="41">
        <v>9.4845360999999997</v>
      </c>
    </row>
    <row r="629" spans="1:39" hidden="1" x14ac:dyDescent="0.3">
      <c r="A629" s="42">
        <v>625</v>
      </c>
      <c r="B629" s="43" t="s">
        <v>521</v>
      </c>
      <c r="C629" s="50" t="s">
        <v>157</v>
      </c>
      <c r="D629" s="50" t="s">
        <v>207</v>
      </c>
      <c r="E629" s="50" t="s">
        <v>213</v>
      </c>
      <c r="F629" s="51" t="s">
        <v>213</v>
      </c>
      <c r="G629" s="45">
        <v>509</v>
      </c>
      <c r="H629" s="45">
        <v>272</v>
      </c>
      <c r="I629" s="45">
        <v>92</v>
      </c>
      <c r="J629" s="45">
        <v>145</v>
      </c>
      <c r="K629" s="45">
        <v>701</v>
      </c>
      <c r="L629" s="45">
        <v>388</v>
      </c>
      <c r="M629" s="45">
        <v>108</v>
      </c>
      <c r="N629" s="45">
        <v>205</v>
      </c>
      <c r="O629" s="45">
        <v>1057</v>
      </c>
      <c r="P629" s="45">
        <v>710</v>
      </c>
      <c r="Q629" s="45">
        <v>161</v>
      </c>
      <c r="R629" s="45">
        <v>186</v>
      </c>
      <c r="S629" s="46">
        <v>53.438113899999998</v>
      </c>
      <c r="T629" s="46">
        <v>18.0746562</v>
      </c>
      <c r="U629" s="46">
        <v>28.487229899999999</v>
      </c>
      <c r="V629" s="46">
        <v>55.3495007</v>
      </c>
      <c r="W629" s="46">
        <v>15.4065621</v>
      </c>
      <c r="X629" s="46">
        <v>29.243937200000001</v>
      </c>
      <c r="Y629" s="46">
        <v>67.171239400000005</v>
      </c>
      <c r="Z629" s="46">
        <v>15.231788099999999</v>
      </c>
      <c r="AA629" s="46">
        <v>17.596972600000001</v>
      </c>
      <c r="AB629" s="26">
        <f>SUM(W629:X629)</f>
        <v>44.6504993</v>
      </c>
      <c r="AC629" s="26">
        <f>SUM(Z629:AA629)</f>
        <v>32.828760700000004</v>
      </c>
      <c r="AD629" s="57">
        <f>M629+N629</f>
        <v>313</v>
      </c>
      <c r="AE629" s="57">
        <f>Q629+R629</f>
        <v>347</v>
      </c>
      <c r="AF629" s="26">
        <f>W629</f>
        <v>15.4065621</v>
      </c>
      <c r="AG629" s="26">
        <f>Z629</f>
        <v>15.231788099999999</v>
      </c>
      <c r="AH629" s="26">
        <f>M629</f>
        <v>108</v>
      </c>
      <c r="AI629" s="26">
        <f>Q629</f>
        <v>161</v>
      </c>
      <c r="AJ629" s="26">
        <f>X629</f>
        <v>29.243937200000001</v>
      </c>
      <c r="AK629" s="26">
        <f>AA629</f>
        <v>17.596972600000001</v>
      </c>
      <c r="AL629" s="57">
        <f>N629</f>
        <v>205</v>
      </c>
      <c r="AM629" s="57">
        <f>R629</f>
        <v>186</v>
      </c>
    </row>
    <row r="630" spans="1:39" hidden="1" x14ac:dyDescent="0.3">
      <c r="A630" s="37">
        <v>626</v>
      </c>
      <c r="B630" s="38" t="s">
        <v>521</v>
      </c>
      <c r="C630" s="38" t="s">
        <v>157</v>
      </c>
      <c r="D630" s="38" t="s">
        <v>207</v>
      </c>
      <c r="E630" s="38" t="s">
        <v>213</v>
      </c>
      <c r="F630" s="47" t="s">
        <v>519</v>
      </c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1"/>
      <c r="T630" s="41"/>
      <c r="U630" s="41"/>
      <c r="V630" s="41"/>
      <c r="W630" s="41"/>
      <c r="X630" s="41"/>
      <c r="Y630" s="41"/>
      <c r="Z630" s="41"/>
      <c r="AA630" s="41"/>
    </row>
    <row r="631" spans="1:39" hidden="1" x14ac:dyDescent="0.3">
      <c r="A631" s="37">
        <v>627</v>
      </c>
      <c r="B631" s="38" t="s">
        <v>521</v>
      </c>
      <c r="C631" s="38" t="s">
        <v>157</v>
      </c>
      <c r="D631" s="38" t="s">
        <v>207</v>
      </c>
      <c r="E631" s="38" t="s">
        <v>213</v>
      </c>
      <c r="F631" s="47" t="s">
        <v>520</v>
      </c>
      <c r="G631" s="40">
        <v>509</v>
      </c>
      <c r="H631" s="40">
        <v>272</v>
      </c>
      <c r="I631" s="40">
        <v>92</v>
      </c>
      <c r="J631" s="40">
        <v>145</v>
      </c>
      <c r="K631" s="40">
        <v>701</v>
      </c>
      <c r="L631" s="40">
        <v>388</v>
      </c>
      <c r="M631" s="40">
        <v>108</v>
      </c>
      <c r="N631" s="40">
        <v>205</v>
      </c>
      <c r="O631" s="40">
        <v>1057</v>
      </c>
      <c r="P631" s="40">
        <v>710</v>
      </c>
      <c r="Q631" s="40">
        <v>161</v>
      </c>
      <c r="R631" s="40">
        <v>186</v>
      </c>
      <c r="S631" s="41">
        <v>53.438113899999998</v>
      </c>
      <c r="T631" s="41">
        <v>18.0746562</v>
      </c>
      <c r="U631" s="41">
        <v>28.487229899999999</v>
      </c>
      <c r="V631" s="41">
        <v>55.3495007</v>
      </c>
      <c r="W631" s="41">
        <v>15.4065621</v>
      </c>
      <c r="X631" s="41">
        <v>29.243937200000001</v>
      </c>
      <c r="Y631" s="41">
        <v>67.171239400000005</v>
      </c>
      <c r="Z631" s="41">
        <v>15.231788099999999</v>
      </c>
      <c r="AA631" s="41">
        <v>17.596972600000001</v>
      </c>
    </row>
    <row r="632" spans="1:39" hidden="1" x14ac:dyDescent="0.3">
      <c r="A632" s="32">
        <v>628</v>
      </c>
      <c r="B632" s="33" t="s">
        <v>1</v>
      </c>
      <c r="C632" s="49" t="s">
        <v>157</v>
      </c>
      <c r="D632" s="49" t="s">
        <v>483</v>
      </c>
      <c r="E632" s="49"/>
      <c r="F632" s="34" t="s">
        <v>483</v>
      </c>
      <c r="G632" s="35">
        <v>2377</v>
      </c>
      <c r="H632" s="35">
        <v>1077</v>
      </c>
      <c r="I632" s="35">
        <v>506</v>
      </c>
      <c r="J632" s="35">
        <v>794</v>
      </c>
      <c r="K632" s="35">
        <v>2366</v>
      </c>
      <c r="L632" s="35">
        <v>1438</v>
      </c>
      <c r="M632" s="35">
        <v>373</v>
      </c>
      <c r="N632" s="35">
        <v>555</v>
      </c>
      <c r="O632" s="35">
        <v>3211</v>
      </c>
      <c r="P632" s="35">
        <v>2134</v>
      </c>
      <c r="Q632" s="35">
        <v>446</v>
      </c>
      <c r="R632" s="35">
        <v>631</v>
      </c>
      <c r="S632" s="36">
        <v>45.309213300000003</v>
      </c>
      <c r="T632" s="36">
        <v>21.287337000000001</v>
      </c>
      <c r="U632" s="36">
        <v>33.403449700000003</v>
      </c>
      <c r="V632" s="36">
        <v>60.7776839</v>
      </c>
      <c r="W632" s="36">
        <v>15.7650042</v>
      </c>
      <c r="X632" s="36">
        <v>23.457311900000001</v>
      </c>
      <c r="Y632" s="36">
        <v>66.459046999999998</v>
      </c>
      <c r="Z632" s="36">
        <v>13.889754</v>
      </c>
      <c r="AA632" s="36">
        <v>19.651198999999998</v>
      </c>
    </row>
    <row r="633" spans="1:39" hidden="1" x14ac:dyDescent="0.3">
      <c r="A633" s="37">
        <v>629</v>
      </c>
      <c r="B633" s="38" t="s">
        <v>1</v>
      </c>
      <c r="C633" s="38" t="s">
        <v>157</v>
      </c>
      <c r="D633" s="38" t="s">
        <v>483</v>
      </c>
      <c r="E633" s="38"/>
      <c r="F633" s="39" t="s">
        <v>519</v>
      </c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1"/>
      <c r="T633" s="41"/>
      <c r="U633" s="41"/>
      <c r="V633" s="41"/>
      <c r="W633" s="41"/>
      <c r="X633" s="41"/>
      <c r="Y633" s="41"/>
      <c r="Z633" s="41"/>
      <c r="AA633" s="41"/>
    </row>
    <row r="634" spans="1:39" hidden="1" x14ac:dyDescent="0.3">
      <c r="A634" s="37">
        <v>630</v>
      </c>
      <c r="B634" s="38" t="s">
        <v>1</v>
      </c>
      <c r="C634" s="38" t="s">
        <v>157</v>
      </c>
      <c r="D634" s="38" t="s">
        <v>483</v>
      </c>
      <c r="E634" s="38"/>
      <c r="F634" s="39" t="s">
        <v>520</v>
      </c>
      <c r="G634" s="40">
        <v>2377</v>
      </c>
      <c r="H634" s="40">
        <v>1077</v>
      </c>
      <c r="I634" s="40">
        <v>506</v>
      </c>
      <c r="J634" s="40">
        <v>794</v>
      </c>
      <c r="K634" s="40">
        <v>2366</v>
      </c>
      <c r="L634" s="40">
        <v>1438</v>
      </c>
      <c r="M634" s="40">
        <v>373</v>
      </c>
      <c r="N634" s="40">
        <v>555</v>
      </c>
      <c r="O634" s="40">
        <v>3211</v>
      </c>
      <c r="P634" s="40">
        <v>2134</v>
      </c>
      <c r="Q634" s="40">
        <v>446</v>
      </c>
      <c r="R634" s="40">
        <v>631</v>
      </c>
      <c r="S634" s="41">
        <v>45.309213300000003</v>
      </c>
      <c r="T634" s="41">
        <v>21.287337000000001</v>
      </c>
      <c r="U634" s="41">
        <v>33.403449700000003</v>
      </c>
      <c r="V634" s="41">
        <v>60.7776839</v>
      </c>
      <c r="W634" s="41">
        <v>15.7650042</v>
      </c>
      <c r="X634" s="41">
        <v>23.457311900000001</v>
      </c>
      <c r="Y634" s="41">
        <v>66.459046999999998</v>
      </c>
      <c r="Z634" s="41">
        <v>13.889754</v>
      </c>
      <c r="AA634" s="41">
        <v>19.651198999999998</v>
      </c>
    </row>
    <row r="635" spans="1:39" hidden="1" x14ac:dyDescent="0.3">
      <c r="A635" s="42">
        <v>631</v>
      </c>
      <c r="B635" s="43" t="s">
        <v>521</v>
      </c>
      <c r="C635" s="50" t="s">
        <v>157</v>
      </c>
      <c r="D635" s="50" t="s">
        <v>483</v>
      </c>
      <c r="E635" s="50" t="s">
        <v>483</v>
      </c>
      <c r="F635" s="51" t="s">
        <v>483</v>
      </c>
      <c r="G635" s="45">
        <v>2377</v>
      </c>
      <c r="H635" s="45">
        <v>1077</v>
      </c>
      <c r="I635" s="45">
        <v>506</v>
      </c>
      <c r="J635" s="45">
        <v>794</v>
      </c>
      <c r="K635" s="45">
        <v>2366</v>
      </c>
      <c r="L635" s="45">
        <v>1438</v>
      </c>
      <c r="M635" s="45">
        <v>373</v>
      </c>
      <c r="N635" s="45">
        <v>555</v>
      </c>
      <c r="O635" s="45">
        <v>3211</v>
      </c>
      <c r="P635" s="45">
        <v>2134</v>
      </c>
      <c r="Q635" s="45">
        <v>446</v>
      </c>
      <c r="R635" s="45">
        <v>631</v>
      </c>
      <c r="S635" s="46">
        <v>45.309213300000003</v>
      </c>
      <c r="T635" s="46">
        <v>21.287337000000001</v>
      </c>
      <c r="U635" s="46">
        <v>33.403449700000003</v>
      </c>
      <c r="V635" s="46">
        <v>60.7776839</v>
      </c>
      <c r="W635" s="46">
        <v>15.7650042</v>
      </c>
      <c r="X635" s="46">
        <v>23.457311900000001</v>
      </c>
      <c r="Y635" s="46">
        <v>66.459046999999998</v>
      </c>
      <c r="Z635" s="46">
        <v>13.889754</v>
      </c>
      <c r="AA635" s="46">
        <v>19.651198999999998</v>
      </c>
      <c r="AB635" s="26">
        <f>SUM(W635:X635)</f>
        <v>39.2223161</v>
      </c>
      <c r="AC635" s="26">
        <f>SUM(Z635:AA635)</f>
        <v>33.540953000000002</v>
      </c>
      <c r="AD635" s="57">
        <f>M635+N635</f>
        <v>928</v>
      </c>
      <c r="AE635" s="57">
        <f>Q635+R635</f>
        <v>1077</v>
      </c>
      <c r="AF635" s="26">
        <f>W635</f>
        <v>15.7650042</v>
      </c>
      <c r="AG635" s="26">
        <f>Z635</f>
        <v>13.889754</v>
      </c>
      <c r="AH635" s="26">
        <f>M635</f>
        <v>373</v>
      </c>
      <c r="AI635" s="26">
        <f>Q635</f>
        <v>446</v>
      </c>
      <c r="AJ635" s="26">
        <f>X635</f>
        <v>23.457311900000001</v>
      </c>
      <c r="AK635" s="26">
        <f>AA635</f>
        <v>19.651198999999998</v>
      </c>
      <c r="AL635" s="57">
        <f>N635</f>
        <v>555</v>
      </c>
      <c r="AM635" s="57">
        <f>R635</f>
        <v>631</v>
      </c>
    </row>
    <row r="636" spans="1:39" hidden="1" x14ac:dyDescent="0.3">
      <c r="A636" s="37">
        <v>632</v>
      </c>
      <c r="B636" s="38" t="s">
        <v>521</v>
      </c>
      <c r="C636" s="38" t="s">
        <v>157</v>
      </c>
      <c r="D636" s="38" t="s">
        <v>483</v>
      </c>
      <c r="E636" s="38" t="s">
        <v>483</v>
      </c>
      <c r="F636" s="47" t="s">
        <v>519</v>
      </c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1"/>
      <c r="T636" s="41"/>
      <c r="U636" s="41"/>
      <c r="V636" s="41"/>
      <c r="W636" s="41"/>
      <c r="X636" s="41"/>
      <c r="Y636" s="41"/>
      <c r="Z636" s="41"/>
      <c r="AA636" s="41"/>
    </row>
    <row r="637" spans="1:39" hidden="1" x14ac:dyDescent="0.3">
      <c r="A637" s="37">
        <v>633</v>
      </c>
      <c r="B637" s="38" t="s">
        <v>521</v>
      </c>
      <c r="C637" s="38" t="s">
        <v>157</v>
      </c>
      <c r="D637" s="38" t="s">
        <v>483</v>
      </c>
      <c r="E637" s="38" t="s">
        <v>483</v>
      </c>
      <c r="F637" s="47" t="s">
        <v>520</v>
      </c>
      <c r="G637" s="40">
        <v>2377</v>
      </c>
      <c r="H637" s="40">
        <v>1077</v>
      </c>
      <c r="I637" s="40">
        <v>506</v>
      </c>
      <c r="J637" s="40">
        <v>794</v>
      </c>
      <c r="K637" s="40">
        <v>2366</v>
      </c>
      <c r="L637" s="40">
        <v>1438</v>
      </c>
      <c r="M637" s="40">
        <v>373</v>
      </c>
      <c r="N637" s="40">
        <v>555</v>
      </c>
      <c r="O637" s="40">
        <v>3211</v>
      </c>
      <c r="P637" s="40">
        <v>2134</v>
      </c>
      <c r="Q637" s="40">
        <v>446</v>
      </c>
      <c r="R637" s="40">
        <v>631</v>
      </c>
      <c r="S637" s="41">
        <v>45.309213300000003</v>
      </c>
      <c r="T637" s="41">
        <v>21.287337000000001</v>
      </c>
      <c r="U637" s="41">
        <v>33.403449700000003</v>
      </c>
      <c r="V637" s="41">
        <v>60.7776839</v>
      </c>
      <c r="W637" s="41">
        <v>15.7650042</v>
      </c>
      <c r="X637" s="41">
        <v>23.457311900000001</v>
      </c>
      <c r="Y637" s="41">
        <v>66.459046999999998</v>
      </c>
      <c r="Z637" s="41">
        <v>13.889754</v>
      </c>
      <c r="AA637" s="41">
        <v>19.651198999999998</v>
      </c>
    </row>
    <row r="638" spans="1:39" hidden="1" x14ac:dyDescent="0.3">
      <c r="A638" s="32">
        <v>634</v>
      </c>
      <c r="B638" s="33" t="s">
        <v>1</v>
      </c>
      <c r="C638" s="49" t="s">
        <v>157</v>
      </c>
      <c r="D638" s="49" t="s">
        <v>215</v>
      </c>
      <c r="E638" s="49"/>
      <c r="F638" s="34" t="s">
        <v>215</v>
      </c>
      <c r="G638" s="35">
        <v>9187</v>
      </c>
      <c r="H638" s="35">
        <v>4400</v>
      </c>
      <c r="I638" s="35">
        <v>1795</v>
      </c>
      <c r="J638" s="35">
        <v>2992</v>
      </c>
      <c r="K638" s="35">
        <v>14107</v>
      </c>
      <c r="L638" s="35">
        <v>9430</v>
      </c>
      <c r="M638" s="35">
        <v>2146</v>
      </c>
      <c r="N638" s="35">
        <v>2531</v>
      </c>
      <c r="O638" s="35">
        <v>17109</v>
      </c>
      <c r="P638" s="35">
        <v>12528</v>
      </c>
      <c r="Q638" s="35">
        <v>2119</v>
      </c>
      <c r="R638" s="35">
        <v>2462</v>
      </c>
      <c r="S638" s="36">
        <v>47.893762899999999</v>
      </c>
      <c r="T638" s="36">
        <v>19.538478300000001</v>
      </c>
      <c r="U638" s="36">
        <v>32.5677588</v>
      </c>
      <c r="V638" s="36">
        <v>66.846246500000007</v>
      </c>
      <c r="W638" s="36">
        <v>15.2123059</v>
      </c>
      <c r="X638" s="36">
        <v>17.941447499999999</v>
      </c>
      <c r="Y638" s="36">
        <v>73.224618599999999</v>
      </c>
      <c r="Z638" s="36">
        <v>12.3852943</v>
      </c>
      <c r="AA638" s="36">
        <v>14.390087100000001</v>
      </c>
    </row>
    <row r="639" spans="1:39" hidden="1" x14ac:dyDescent="0.3">
      <c r="A639" s="37">
        <v>635</v>
      </c>
      <c r="B639" s="38" t="s">
        <v>1</v>
      </c>
      <c r="C639" s="38" t="s">
        <v>157</v>
      </c>
      <c r="D639" s="38" t="s">
        <v>215</v>
      </c>
      <c r="E639" s="38"/>
      <c r="F639" s="39" t="s">
        <v>519</v>
      </c>
      <c r="G639" s="40">
        <v>1069</v>
      </c>
      <c r="H639" s="40">
        <v>488</v>
      </c>
      <c r="I639" s="40">
        <v>220</v>
      </c>
      <c r="J639" s="40">
        <v>361</v>
      </c>
      <c r="K639" s="40">
        <v>2341</v>
      </c>
      <c r="L639" s="40">
        <v>1502</v>
      </c>
      <c r="M639" s="40">
        <v>400</v>
      </c>
      <c r="N639" s="40">
        <v>439</v>
      </c>
      <c r="O639" s="40">
        <v>3707</v>
      </c>
      <c r="P639" s="40">
        <v>2672</v>
      </c>
      <c r="Q639" s="40">
        <v>483</v>
      </c>
      <c r="R639" s="40">
        <v>552</v>
      </c>
      <c r="S639" s="41">
        <v>45.650140299999997</v>
      </c>
      <c r="T639" s="41">
        <v>20.5799813</v>
      </c>
      <c r="U639" s="41">
        <v>33.769878400000003</v>
      </c>
      <c r="V639" s="41">
        <v>64.160615100000001</v>
      </c>
      <c r="W639" s="41">
        <v>17.086715099999999</v>
      </c>
      <c r="X639" s="41">
        <v>18.7526698</v>
      </c>
      <c r="Y639" s="41">
        <v>72.079848900000002</v>
      </c>
      <c r="Z639" s="41">
        <v>13.029403800000001</v>
      </c>
      <c r="AA639" s="41">
        <v>14.8907472</v>
      </c>
    </row>
    <row r="640" spans="1:39" hidden="1" x14ac:dyDescent="0.3">
      <c r="A640" s="37">
        <v>636</v>
      </c>
      <c r="B640" s="38" t="s">
        <v>1</v>
      </c>
      <c r="C640" s="38" t="s">
        <v>157</v>
      </c>
      <c r="D640" s="38" t="s">
        <v>215</v>
      </c>
      <c r="E640" s="38"/>
      <c r="F640" s="39" t="s">
        <v>520</v>
      </c>
      <c r="G640" s="40">
        <v>8118</v>
      </c>
      <c r="H640" s="40">
        <v>3912</v>
      </c>
      <c r="I640" s="40">
        <v>1575</v>
      </c>
      <c r="J640" s="40">
        <v>2631</v>
      </c>
      <c r="K640" s="40">
        <v>11766</v>
      </c>
      <c r="L640" s="40">
        <v>7928</v>
      </c>
      <c r="M640" s="40">
        <v>1746</v>
      </c>
      <c r="N640" s="40">
        <v>2092</v>
      </c>
      <c r="O640" s="40">
        <v>13402</v>
      </c>
      <c r="P640" s="40">
        <v>9856</v>
      </c>
      <c r="Q640" s="40">
        <v>1636</v>
      </c>
      <c r="R640" s="40">
        <v>1910</v>
      </c>
      <c r="S640" s="41">
        <v>48.189209200000001</v>
      </c>
      <c r="T640" s="41">
        <v>19.401330399999999</v>
      </c>
      <c r="U640" s="41">
        <v>32.409460500000002</v>
      </c>
      <c r="V640" s="41">
        <v>67.380588099999997</v>
      </c>
      <c r="W640" s="41">
        <v>14.8393677</v>
      </c>
      <c r="X640" s="41">
        <v>17.780044199999999</v>
      </c>
      <c r="Y640" s="41">
        <v>73.541262500000002</v>
      </c>
      <c r="Z640" s="41">
        <v>12.207133300000001</v>
      </c>
      <c r="AA640" s="41">
        <v>14.251604199999999</v>
      </c>
    </row>
    <row r="641" spans="1:39" hidden="1" x14ac:dyDescent="0.3">
      <c r="A641" s="42">
        <v>637</v>
      </c>
      <c r="B641" s="43" t="s">
        <v>521</v>
      </c>
      <c r="C641" s="50" t="s">
        <v>157</v>
      </c>
      <c r="D641" s="50" t="s">
        <v>215</v>
      </c>
      <c r="E641" s="50" t="s">
        <v>215</v>
      </c>
      <c r="F641" s="51" t="s">
        <v>215</v>
      </c>
      <c r="G641" s="45">
        <v>4814</v>
      </c>
      <c r="H641" s="45">
        <v>2090</v>
      </c>
      <c r="I641" s="45">
        <v>1049</v>
      </c>
      <c r="J641" s="45">
        <v>1675</v>
      </c>
      <c r="K641" s="45">
        <v>6496</v>
      </c>
      <c r="L641" s="45">
        <v>4254</v>
      </c>
      <c r="M641" s="45">
        <v>1060</v>
      </c>
      <c r="N641" s="45">
        <v>1182</v>
      </c>
      <c r="O641" s="45">
        <v>6678</v>
      </c>
      <c r="P641" s="45">
        <v>5054</v>
      </c>
      <c r="Q641" s="45">
        <v>800</v>
      </c>
      <c r="R641" s="45">
        <v>824</v>
      </c>
      <c r="S641" s="46">
        <v>43.415039499999999</v>
      </c>
      <c r="T641" s="46">
        <v>21.790610699999998</v>
      </c>
      <c r="U641" s="46">
        <v>34.794349799999999</v>
      </c>
      <c r="V641" s="46">
        <v>65.4864532</v>
      </c>
      <c r="W641" s="46">
        <v>16.317734000000002</v>
      </c>
      <c r="X641" s="46">
        <v>18.195812799999999</v>
      </c>
      <c r="Y641" s="46">
        <v>75.681341700000004</v>
      </c>
      <c r="Z641" s="46">
        <v>11.979634600000001</v>
      </c>
      <c r="AA641" s="46">
        <v>12.3390237</v>
      </c>
      <c r="AB641" s="26">
        <f>SUM(W641:X641)</f>
        <v>34.5135468</v>
      </c>
      <c r="AC641" s="26">
        <f>SUM(Z641:AA641)</f>
        <v>24.318658300000003</v>
      </c>
      <c r="AD641" s="57">
        <f>M641+N641</f>
        <v>2242</v>
      </c>
      <c r="AE641" s="57">
        <f>Q641+R641</f>
        <v>1624</v>
      </c>
      <c r="AF641" s="26">
        <f>W641</f>
        <v>16.317734000000002</v>
      </c>
      <c r="AG641" s="26">
        <f>Z641</f>
        <v>11.979634600000001</v>
      </c>
      <c r="AH641" s="26">
        <f>M641</f>
        <v>1060</v>
      </c>
      <c r="AI641" s="26">
        <f>Q641</f>
        <v>800</v>
      </c>
      <c r="AJ641" s="26">
        <f>X641</f>
        <v>18.195812799999999</v>
      </c>
      <c r="AK641" s="26">
        <f>AA641</f>
        <v>12.3390237</v>
      </c>
      <c r="AL641" s="57">
        <f>N641</f>
        <v>1182</v>
      </c>
      <c r="AM641" s="57">
        <f>R641</f>
        <v>824</v>
      </c>
    </row>
    <row r="642" spans="1:39" hidden="1" x14ac:dyDescent="0.3">
      <c r="A642" s="37">
        <v>638</v>
      </c>
      <c r="B642" s="38" t="s">
        <v>521</v>
      </c>
      <c r="C642" s="38" t="s">
        <v>157</v>
      </c>
      <c r="D642" s="38" t="s">
        <v>215</v>
      </c>
      <c r="E642" s="38" t="s">
        <v>215</v>
      </c>
      <c r="F642" s="47" t="s">
        <v>519</v>
      </c>
      <c r="G642" s="40"/>
      <c r="H642" s="40"/>
      <c r="I642" s="40"/>
      <c r="J642" s="40"/>
      <c r="K642" s="40">
        <v>690</v>
      </c>
      <c r="L642" s="40">
        <v>456</v>
      </c>
      <c r="M642" s="40">
        <v>117</v>
      </c>
      <c r="N642" s="40">
        <v>117</v>
      </c>
      <c r="O642" s="40">
        <v>804</v>
      </c>
      <c r="P642" s="40">
        <v>614</v>
      </c>
      <c r="Q642" s="40">
        <v>88</v>
      </c>
      <c r="R642" s="40">
        <v>102</v>
      </c>
      <c r="S642" s="41"/>
      <c r="T642" s="41"/>
      <c r="U642" s="41"/>
      <c r="V642" s="41">
        <v>66.086956499999999</v>
      </c>
      <c r="W642" s="41">
        <v>16.9565217</v>
      </c>
      <c r="X642" s="41">
        <v>16.9565217</v>
      </c>
      <c r="Y642" s="41">
        <v>76.368159199999994</v>
      </c>
      <c r="Z642" s="41">
        <v>10.9452736</v>
      </c>
      <c r="AA642" s="41">
        <v>12.686567200000001</v>
      </c>
    </row>
    <row r="643" spans="1:39" hidden="1" x14ac:dyDescent="0.3">
      <c r="A643" s="37">
        <v>639</v>
      </c>
      <c r="B643" s="38" t="s">
        <v>521</v>
      </c>
      <c r="C643" s="38" t="s">
        <v>157</v>
      </c>
      <c r="D643" s="38" t="s">
        <v>215</v>
      </c>
      <c r="E643" s="38" t="s">
        <v>215</v>
      </c>
      <c r="F643" s="47" t="s">
        <v>520</v>
      </c>
      <c r="G643" s="40">
        <v>4814</v>
      </c>
      <c r="H643" s="40">
        <v>2090</v>
      </c>
      <c r="I643" s="40">
        <v>1049</v>
      </c>
      <c r="J643" s="40">
        <v>1675</v>
      </c>
      <c r="K643" s="40">
        <v>5806</v>
      </c>
      <c r="L643" s="40">
        <v>3798</v>
      </c>
      <c r="M643" s="40">
        <v>943</v>
      </c>
      <c r="N643" s="40">
        <v>1065</v>
      </c>
      <c r="O643" s="40">
        <v>5874</v>
      </c>
      <c r="P643" s="40">
        <v>4440</v>
      </c>
      <c r="Q643" s="40">
        <v>712</v>
      </c>
      <c r="R643" s="40">
        <v>722</v>
      </c>
      <c r="S643" s="41">
        <v>43.415039499999999</v>
      </c>
      <c r="T643" s="41">
        <v>21.790610699999998</v>
      </c>
      <c r="U643" s="41">
        <v>34.794349799999999</v>
      </c>
      <c r="V643" s="41">
        <v>65.415087799999995</v>
      </c>
      <c r="W643" s="41">
        <v>16.241818800000001</v>
      </c>
      <c r="X643" s="41">
        <v>18.343093400000001</v>
      </c>
      <c r="Y643" s="41">
        <v>75.587333999999998</v>
      </c>
      <c r="Z643" s="41">
        <v>12.121212099999999</v>
      </c>
      <c r="AA643" s="41">
        <v>12.2914539</v>
      </c>
    </row>
    <row r="644" spans="1:39" hidden="1" x14ac:dyDescent="0.3">
      <c r="A644" s="42">
        <v>640</v>
      </c>
      <c r="B644" s="43" t="s">
        <v>521</v>
      </c>
      <c r="C644" s="50" t="s">
        <v>157</v>
      </c>
      <c r="D644" s="50" t="s">
        <v>215</v>
      </c>
      <c r="E644" s="50" t="s">
        <v>216</v>
      </c>
      <c r="F644" s="51" t="s">
        <v>216</v>
      </c>
      <c r="G644" s="45">
        <v>4373</v>
      </c>
      <c r="H644" s="45">
        <v>2310</v>
      </c>
      <c r="I644" s="45">
        <v>746</v>
      </c>
      <c r="J644" s="45">
        <v>1317</v>
      </c>
      <c r="K644" s="45">
        <v>7611</v>
      </c>
      <c r="L644" s="45">
        <v>5176</v>
      </c>
      <c r="M644" s="45">
        <v>1086</v>
      </c>
      <c r="N644" s="45">
        <v>1349</v>
      </c>
      <c r="O644" s="45">
        <v>10431</v>
      </c>
      <c r="P644" s="45">
        <v>7474</v>
      </c>
      <c r="Q644" s="45">
        <v>1319</v>
      </c>
      <c r="R644" s="45">
        <v>1638</v>
      </c>
      <c r="S644" s="46">
        <v>52.824148200000003</v>
      </c>
      <c r="T644" s="46">
        <v>17.059227100000001</v>
      </c>
      <c r="U644" s="46">
        <v>30.116624699999999</v>
      </c>
      <c r="V644" s="46">
        <v>68.006832200000005</v>
      </c>
      <c r="W644" s="46">
        <v>14.2688214</v>
      </c>
      <c r="X644" s="46">
        <v>17.724346300000001</v>
      </c>
      <c r="Y644" s="46">
        <v>71.651807099999999</v>
      </c>
      <c r="Z644" s="46">
        <v>12.6450005</v>
      </c>
      <c r="AA644" s="46">
        <v>15.703192400000001</v>
      </c>
      <c r="AB644" s="26">
        <f>SUM(W644:X644)</f>
        <v>31.993167700000001</v>
      </c>
      <c r="AC644" s="26">
        <f>SUM(Z644:AA644)</f>
        <v>28.348192900000001</v>
      </c>
      <c r="AD644" s="57">
        <f>M644+N644</f>
        <v>2435</v>
      </c>
      <c r="AE644" s="57">
        <f>Q644+R644</f>
        <v>2957</v>
      </c>
      <c r="AF644" s="26">
        <f>W644</f>
        <v>14.2688214</v>
      </c>
      <c r="AG644" s="26">
        <f>Z644</f>
        <v>12.6450005</v>
      </c>
      <c r="AH644" s="26">
        <f>M644</f>
        <v>1086</v>
      </c>
      <c r="AI644" s="26">
        <f>Q644</f>
        <v>1319</v>
      </c>
      <c r="AJ644" s="26">
        <f>X644</f>
        <v>17.724346300000001</v>
      </c>
      <c r="AK644" s="26">
        <f>AA644</f>
        <v>15.703192400000001</v>
      </c>
      <c r="AL644" s="57">
        <f>N644</f>
        <v>1349</v>
      </c>
      <c r="AM644" s="57">
        <f>R644</f>
        <v>1638</v>
      </c>
    </row>
    <row r="645" spans="1:39" hidden="1" x14ac:dyDescent="0.3">
      <c r="A645" s="37">
        <v>641</v>
      </c>
      <c r="B645" s="38" t="s">
        <v>521</v>
      </c>
      <c r="C645" s="38" t="s">
        <v>157</v>
      </c>
      <c r="D645" s="38" t="s">
        <v>215</v>
      </c>
      <c r="E645" s="38" t="s">
        <v>216</v>
      </c>
      <c r="F645" s="47" t="s">
        <v>519</v>
      </c>
      <c r="G645" s="40">
        <v>1069</v>
      </c>
      <c r="H645" s="40">
        <v>488</v>
      </c>
      <c r="I645" s="40">
        <v>220</v>
      </c>
      <c r="J645" s="40">
        <v>361</v>
      </c>
      <c r="K645" s="40">
        <v>1651</v>
      </c>
      <c r="L645" s="40">
        <v>1046</v>
      </c>
      <c r="M645" s="40">
        <v>283</v>
      </c>
      <c r="N645" s="40">
        <v>322</v>
      </c>
      <c r="O645" s="40">
        <v>2903</v>
      </c>
      <c r="P645" s="40">
        <v>2058</v>
      </c>
      <c r="Q645" s="40">
        <v>395</v>
      </c>
      <c r="R645" s="40">
        <v>450</v>
      </c>
      <c r="S645" s="41">
        <v>45.650140299999997</v>
      </c>
      <c r="T645" s="41">
        <v>20.5799813</v>
      </c>
      <c r="U645" s="41">
        <v>33.769878400000003</v>
      </c>
      <c r="V645" s="41">
        <v>63.355542100000001</v>
      </c>
      <c r="W645" s="41">
        <v>17.1411266</v>
      </c>
      <c r="X645" s="41">
        <v>19.503331299999999</v>
      </c>
      <c r="Y645" s="41">
        <v>70.892180499999995</v>
      </c>
      <c r="Z645" s="41">
        <v>13.6066138</v>
      </c>
      <c r="AA645" s="41">
        <v>15.5012056</v>
      </c>
    </row>
    <row r="646" spans="1:39" hidden="1" x14ac:dyDescent="0.3">
      <c r="A646" s="37">
        <v>642</v>
      </c>
      <c r="B646" s="38" t="s">
        <v>521</v>
      </c>
      <c r="C646" s="38" t="s">
        <v>157</v>
      </c>
      <c r="D646" s="38" t="s">
        <v>215</v>
      </c>
      <c r="E646" s="38" t="s">
        <v>216</v>
      </c>
      <c r="F646" s="47" t="s">
        <v>520</v>
      </c>
      <c r="G646" s="40">
        <v>3304</v>
      </c>
      <c r="H646" s="40">
        <v>1822</v>
      </c>
      <c r="I646" s="40">
        <v>526</v>
      </c>
      <c r="J646" s="40">
        <v>956</v>
      </c>
      <c r="K646" s="40">
        <v>5960</v>
      </c>
      <c r="L646" s="40">
        <v>4130</v>
      </c>
      <c r="M646" s="40">
        <v>803</v>
      </c>
      <c r="N646" s="40">
        <v>1027</v>
      </c>
      <c r="O646" s="40">
        <v>7528</v>
      </c>
      <c r="P646" s="40">
        <v>5416</v>
      </c>
      <c r="Q646" s="40">
        <v>924</v>
      </c>
      <c r="R646" s="40">
        <v>1188</v>
      </c>
      <c r="S646" s="41">
        <v>55.145278500000003</v>
      </c>
      <c r="T646" s="41">
        <v>15.920096900000001</v>
      </c>
      <c r="U646" s="41">
        <v>28.934624700000001</v>
      </c>
      <c r="V646" s="41">
        <v>69.295302000000007</v>
      </c>
      <c r="W646" s="41">
        <v>13.4731544</v>
      </c>
      <c r="X646" s="41">
        <v>17.231543599999998</v>
      </c>
      <c r="Y646" s="41">
        <v>71.944739600000005</v>
      </c>
      <c r="Z646" s="41">
        <v>12.2741764</v>
      </c>
      <c r="AA646" s="41">
        <v>15.781084</v>
      </c>
    </row>
    <row r="647" spans="1:39" x14ac:dyDescent="0.3">
      <c r="A647" s="21">
        <v>643</v>
      </c>
      <c r="B647" s="22" t="s">
        <v>464</v>
      </c>
      <c r="C647" s="22" t="s">
        <v>217</v>
      </c>
      <c r="D647" s="22"/>
      <c r="E647" s="22"/>
      <c r="F647" s="23" t="s">
        <v>217</v>
      </c>
      <c r="G647" s="24">
        <v>104279</v>
      </c>
      <c r="H647" s="24">
        <v>55254</v>
      </c>
      <c r="I647" s="24">
        <v>19388</v>
      </c>
      <c r="J647" s="24">
        <v>29637</v>
      </c>
      <c r="K647" s="24">
        <v>152061</v>
      </c>
      <c r="L647" s="24">
        <v>96932</v>
      </c>
      <c r="M647" s="24">
        <v>24562</v>
      </c>
      <c r="N647" s="24">
        <v>30567</v>
      </c>
      <c r="O647" s="24">
        <v>190973</v>
      </c>
      <c r="P647" s="24">
        <v>131827</v>
      </c>
      <c r="Q647" s="24">
        <v>24544</v>
      </c>
      <c r="R647" s="24">
        <v>34602</v>
      </c>
      <c r="S647" s="25">
        <v>52.986699100000003</v>
      </c>
      <c r="T647" s="25">
        <v>18.592429899999999</v>
      </c>
      <c r="U647" s="25">
        <v>28.420870900000001</v>
      </c>
      <c r="V647" s="25">
        <v>63.745470599999997</v>
      </c>
      <c r="W647" s="25">
        <v>16.152728199999999</v>
      </c>
      <c r="X647" s="25">
        <v>20.101801300000002</v>
      </c>
      <c r="Y647" s="25">
        <v>69.029129800000007</v>
      </c>
      <c r="Z647" s="25">
        <v>12.8520786</v>
      </c>
      <c r="AA647" s="25">
        <v>18.118791699999999</v>
      </c>
      <c r="AC647" s="26">
        <f>W647+X647</f>
        <v>36.254529500000004</v>
      </c>
      <c r="AD647" s="26">
        <f>Z647+AA647</f>
        <v>30.970870300000001</v>
      </c>
      <c r="AE647" s="57">
        <f>M647+N647</f>
        <v>55129</v>
      </c>
      <c r="AF647" s="57">
        <f>Q647+R647</f>
        <v>59146</v>
      </c>
    </row>
    <row r="648" spans="1:39" hidden="1" x14ac:dyDescent="0.3">
      <c r="A648" s="27">
        <v>644</v>
      </c>
      <c r="B648" s="28" t="s">
        <v>464</v>
      </c>
      <c r="C648" s="48" t="s">
        <v>217</v>
      </c>
      <c r="D648" s="48"/>
      <c r="E648" s="48"/>
      <c r="F648" s="29" t="s">
        <v>519</v>
      </c>
      <c r="G648" s="30">
        <v>58651</v>
      </c>
      <c r="H648" s="30">
        <v>31583</v>
      </c>
      <c r="I648" s="30">
        <v>11917</v>
      </c>
      <c r="J648" s="30">
        <v>15151</v>
      </c>
      <c r="K648" s="30">
        <v>91617</v>
      </c>
      <c r="L648" s="30">
        <v>60437</v>
      </c>
      <c r="M648" s="30">
        <v>15239</v>
      </c>
      <c r="N648" s="30">
        <v>15941</v>
      </c>
      <c r="O648" s="30">
        <v>114820</v>
      </c>
      <c r="P648" s="30">
        <v>86638</v>
      </c>
      <c r="Q648" s="30">
        <v>13918</v>
      </c>
      <c r="R648" s="30">
        <v>14264</v>
      </c>
      <c r="S648" s="31">
        <v>53.8490392</v>
      </c>
      <c r="T648" s="31">
        <v>20.318494099999999</v>
      </c>
      <c r="U648" s="31">
        <v>25.8324666</v>
      </c>
      <c r="V648" s="31">
        <v>65.967014899999995</v>
      </c>
      <c r="W648" s="31">
        <v>16.633375900000001</v>
      </c>
      <c r="X648" s="31">
        <v>17.3996092</v>
      </c>
      <c r="Y648" s="31">
        <v>75.455495600000006</v>
      </c>
      <c r="Z648" s="31">
        <v>12.121581600000001</v>
      </c>
      <c r="AA648" s="31">
        <v>12.4229228</v>
      </c>
    </row>
    <row r="649" spans="1:39" hidden="1" x14ac:dyDescent="0.3">
      <c r="A649" s="27">
        <v>645</v>
      </c>
      <c r="B649" s="28" t="s">
        <v>464</v>
      </c>
      <c r="C649" s="48" t="s">
        <v>217</v>
      </c>
      <c r="D649" s="48"/>
      <c r="E649" s="48"/>
      <c r="F649" s="29" t="s">
        <v>520</v>
      </c>
      <c r="G649" s="30">
        <v>45628</v>
      </c>
      <c r="H649" s="30">
        <v>23671</v>
      </c>
      <c r="I649" s="30">
        <v>7471</v>
      </c>
      <c r="J649" s="30">
        <v>14486</v>
      </c>
      <c r="K649" s="30">
        <v>60444</v>
      </c>
      <c r="L649" s="30">
        <v>36495</v>
      </c>
      <c r="M649" s="30">
        <v>9323</v>
      </c>
      <c r="N649" s="30">
        <v>14626</v>
      </c>
      <c r="O649" s="30">
        <v>76153</v>
      </c>
      <c r="P649" s="30">
        <v>45189</v>
      </c>
      <c r="Q649" s="30">
        <v>10626</v>
      </c>
      <c r="R649" s="30">
        <v>20338</v>
      </c>
      <c r="S649" s="31">
        <v>51.878232699999998</v>
      </c>
      <c r="T649" s="31">
        <v>16.373717899999999</v>
      </c>
      <c r="U649" s="31">
        <v>31.748049399999999</v>
      </c>
      <c r="V649" s="31">
        <v>60.378201300000001</v>
      </c>
      <c r="W649" s="31">
        <v>15.4241943</v>
      </c>
      <c r="X649" s="31">
        <v>24.197604399999999</v>
      </c>
      <c r="Y649" s="31">
        <v>59.339750199999997</v>
      </c>
      <c r="Z649" s="31">
        <v>13.953488399999999</v>
      </c>
      <c r="AA649" s="31">
        <v>26.706761400000001</v>
      </c>
    </row>
    <row r="650" spans="1:39" hidden="1" x14ac:dyDescent="0.3">
      <c r="A650" s="32">
        <v>646</v>
      </c>
      <c r="B650" s="33" t="s">
        <v>1</v>
      </c>
      <c r="C650" s="49" t="s">
        <v>217</v>
      </c>
      <c r="D650" s="49" t="s">
        <v>158</v>
      </c>
      <c r="E650" s="49"/>
      <c r="F650" s="34" t="s">
        <v>158</v>
      </c>
      <c r="G650" s="35">
        <v>59277</v>
      </c>
      <c r="H650" s="35">
        <v>30859</v>
      </c>
      <c r="I650" s="35">
        <v>11859</v>
      </c>
      <c r="J650" s="35">
        <v>16559</v>
      </c>
      <c r="K650" s="35">
        <v>90135</v>
      </c>
      <c r="L650" s="35">
        <v>58279</v>
      </c>
      <c r="M650" s="35">
        <v>15023</v>
      </c>
      <c r="N650" s="35">
        <v>16833</v>
      </c>
      <c r="O650" s="35">
        <v>113403</v>
      </c>
      <c r="P650" s="35">
        <v>83910</v>
      </c>
      <c r="Q650" s="35">
        <v>13884</v>
      </c>
      <c r="R650" s="35">
        <v>15609</v>
      </c>
      <c r="S650" s="36">
        <v>52.058977300000002</v>
      </c>
      <c r="T650" s="36">
        <v>20.006073199999999</v>
      </c>
      <c r="U650" s="36">
        <v>27.934949499999998</v>
      </c>
      <c r="V650" s="36">
        <v>64.657458300000002</v>
      </c>
      <c r="W650" s="36">
        <v>16.667221399999999</v>
      </c>
      <c r="X650" s="36">
        <v>18.6753204</v>
      </c>
      <c r="Y650" s="36">
        <v>73.992751499999997</v>
      </c>
      <c r="Z650" s="36">
        <v>12.243062399999999</v>
      </c>
      <c r="AA650" s="36">
        <v>13.7641861</v>
      </c>
    </row>
    <row r="651" spans="1:39" hidden="1" x14ac:dyDescent="0.3">
      <c r="A651" s="37">
        <v>647</v>
      </c>
      <c r="B651" s="38" t="s">
        <v>1</v>
      </c>
      <c r="C651" s="38" t="s">
        <v>217</v>
      </c>
      <c r="D651" s="38" t="s">
        <v>158</v>
      </c>
      <c r="E651" s="38"/>
      <c r="F651" s="39" t="s">
        <v>519</v>
      </c>
      <c r="G651" s="40">
        <v>50532</v>
      </c>
      <c r="H651" s="40">
        <v>27349</v>
      </c>
      <c r="I651" s="40">
        <v>10280</v>
      </c>
      <c r="J651" s="40">
        <v>12903</v>
      </c>
      <c r="K651" s="40">
        <v>78297</v>
      </c>
      <c r="L651" s="40">
        <v>52014</v>
      </c>
      <c r="M651" s="40">
        <v>12899</v>
      </c>
      <c r="N651" s="40">
        <v>13384</v>
      </c>
      <c r="O651" s="40">
        <v>98424</v>
      </c>
      <c r="P651" s="40">
        <v>75028</v>
      </c>
      <c r="Q651" s="40">
        <v>11762</v>
      </c>
      <c r="R651" s="40">
        <v>11634</v>
      </c>
      <c r="S651" s="41">
        <v>54.122140399999999</v>
      </c>
      <c r="T651" s="41">
        <v>20.343544699999999</v>
      </c>
      <c r="U651" s="41">
        <v>25.534314899999998</v>
      </c>
      <c r="V651" s="41">
        <v>66.431663999999998</v>
      </c>
      <c r="W651" s="41">
        <v>16.4744499</v>
      </c>
      <c r="X651" s="41">
        <v>17.093886099999999</v>
      </c>
      <c r="Y651" s="41">
        <v>76.229374899999996</v>
      </c>
      <c r="Z651" s="41">
        <v>11.950337299999999</v>
      </c>
      <c r="AA651" s="41">
        <v>11.8202877</v>
      </c>
    </row>
    <row r="652" spans="1:39" hidden="1" x14ac:dyDescent="0.3">
      <c r="A652" s="37">
        <v>648</v>
      </c>
      <c r="B652" s="38" t="s">
        <v>1</v>
      </c>
      <c r="C652" s="38" t="s">
        <v>217</v>
      </c>
      <c r="D652" s="38" t="s">
        <v>158</v>
      </c>
      <c r="E652" s="38"/>
      <c r="F652" s="39" t="s">
        <v>520</v>
      </c>
      <c r="G652" s="40">
        <v>8745</v>
      </c>
      <c r="H652" s="40">
        <v>3510</v>
      </c>
      <c r="I652" s="40">
        <v>1579</v>
      </c>
      <c r="J652" s="40">
        <v>3656</v>
      </c>
      <c r="K652" s="40">
        <v>11838</v>
      </c>
      <c r="L652" s="40">
        <v>6265</v>
      </c>
      <c r="M652" s="40">
        <v>2124</v>
      </c>
      <c r="N652" s="40">
        <v>3449</v>
      </c>
      <c r="O652" s="40">
        <v>14979</v>
      </c>
      <c r="P652" s="40">
        <v>8882</v>
      </c>
      <c r="Q652" s="40">
        <v>2122</v>
      </c>
      <c r="R652" s="40">
        <v>3975</v>
      </c>
      <c r="S652" s="41">
        <v>40.1372213</v>
      </c>
      <c r="T652" s="41">
        <v>18.056031999999998</v>
      </c>
      <c r="U652" s="41">
        <v>41.806746699999998</v>
      </c>
      <c r="V652" s="41">
        <v>52.922790999999997</v>
      </c>
      <c r="W652" s="41">
        <v>17.942219999999999</v>
      </c>
      <c r="X652" s="41">
        <v>29.134989000000001</v>
      </c>
      <c r="Y652" s="41">
        <v>59.296348199999997</v>
      </c>
      <c r="Z652" s="41">
        <v>14.1664998</v>
      </c>
      <c r="AA652" s="41">
        <v>26.537151999999999</v>
      </c>
    </row>
    <row r="653" spans="1:39" hidden="1" x14ac:dyDescent="0.3">
      <c r="A653" s="42">
        <v>649</v>
      </c>
      <c r="B653" s="43" t="s">
        <v>521</v>
      </c>
      <c r="C653" s="50" t="s">
        <v>217</v>
      </c>
      <c r="D653" s="50" t="s">
        <v>158</v>
      </c>
      <c r="E653" s="50" t="s">
        <v>217</v>
      </c>
      <c r="F653" s="51" t="s">
        <v>217</v>
      </c>
      <c r="G653" s="45">
        <v>49436</v>
      </c>
      <c r="H653" s="45">
        <v>26709</v>
      </c>
      <c r="I653" s="45">
        <v>10088</v>
      </c>
      <c r="J653" s="45">
        <v>12639</v>
      </c>
      <c r="K653" s="45">
        <v>76724</v>
      </c>
      <c r="L653" s="45">
        <v>50972</v>
      </c>
      <c r="M653" s="45">
        <v>12655</v>
      </c>
      <c r="N653" s="45">
        <v>13097</v>
      </c>
      <c r="O653" s="45">
        <v>96123</v>
      </c>
      <c r="P653" s="45">
        <v>73447</v>
      </c>
      <c r="Q653" s="45">
        <v>11469</v>
      </c>
      <c r="R653" s="45">
        <v>11207</v>
      </c>
      <c r="S653" s="46">
        <v>54.027429400000003</v>
      </c>
      <c r="T653" s="46">
        <v>20.406181700000001</v>
      </c>
      <c r="U653" s="46">
        <v>25.5663889</v>
      </c>
      <c r="V653" s="46">
        <v>66.435535200000004</v>
      </c>
      <c r="W653" s="46">
        <v>16.494187</v>
      </c>
      <c r="X653" s="46">
        <v>17.070277900000001</v>
      </c>
      <c r="Y653" s="46">
        <v>76.409392100000005</v>
      </c>
      <c r="Z653" s="46">
        <v>11.9315877</v>
      </c>
      <c r="AA653" s="46">
        <v>11.659020200000001</v>
      </c>
      <c r="AB653" s="26">
        <f>SUM(W653:X653)</f>
        <v>33.564464900000004</v>
      </c>
      <c r="AC653" s="26">
        <f>SUM(Z653:AA653)</f>
        <v>23.590607900000002</v>
      </c>
      <c r="AD653" s="57">
        <f>M653+N653</f>
        <v>25752</v>
      </c>
      <c r="AE653" s="57">
        <f>Q653+R653</f>
        <v>22676</v>
      </c>
      <c r="AF653" s="26">
        <f>W653</f>
        <v>16.494187</v>
      </c>
      <c r="AG653" s="26">
        <f>Z653</f>
        <v>11.9315877</v>
      </c>
      <c r="AH653" s="26">
        <f>M653</f>
        <v>12655</v>
      </c>
      <c r="AI653" s="26">
        <f>Q653</f>
        <v>11469</v>
      </c>
      <c r="AJ653" s="26">
        <f>X653</f>
        <v>17.070277900000001</v>
      </c>
      <c r="AK653" s="26">
        <f>AA653</f>
        <v>11.659020200000001</v>
      </c>
      <c r="AL653" s="57">
        <f>N653</f>
        <v>13097</v>
      </c>
      <c r="AM653" s="57">
        <f>R653</f>
        <v>11207</v>
      </c>
    </row>
    <row r="654" spans="1:39" hidden="1" x14ac:dyDescent="0.3">
      <c r="A654" s="37">
        <v>650</v>
      </c>
      <c r="B654" s="38" t="s">
        <v>521</v>
      </c>
      <c r="C654" s="38" t="s">
        <v>217</v>
      </c>
      <c r="D654" s="38" t="s">
        <v>158</v>
      </c>
      <c r="E654" s="38" t="s">
        <v>217</v>
      </c>
      <c r="F654" s="47" t="s">
        <v>519</v>
      </c>
      <c r="G654" s="40">
        <v>49375</v>
      </c>
      <c r="H654" s="40">
        <v>26687</v>
      </c>
      <c r="I654" s="40">
        <v>10083</v>
      </c>
      <c r="J654" s="40">
        <v>12605</v>
      </c>
      <c r="K654" s="40">
        <v>76724</v>
      </c>
      <c r="L654" s="40">
        <v>50972</v>
      </c>
      <c r="M654" s="40">
        <v>12655</v>
      </c>
      <c r="N654" s="40">
        <v>13097</v>
      </c>
      <c r="O654" s="40">
        <v>96084</v>
      </c>
      <c r="P654" s="40">
        <v>73418</v>
      </c>
      <c r="Q654" s="40">
        <v>11463</v>
      </c>
      <c r="R654" s="40">
        <v>11203</v>
      </c>
      <c r="S654" s="41">
        <v>54.049620300000001</v>
      </c>
      <c r="T654" s="41">
        <v>20.4212658</v>
      </c>
      <c r="U654" s="41">
        <v>25.529113899999999</v>
      </c>
      <c r="V654" s="41">
        <v>66.435535200000004</v>
      </c>
      <c r="W654" s="41">
        <v>16.494187</v>
      </c>
      <c r="X654" s="41">
        <v>17.070277900000001</v>
      </c>
      <c r="Y654" s="41">
        <v>76.410224400000004</v>
      </c>
      <c r="Z654" s="41">
        <v>11.9301861</v>
      </c>
      <c r="AA654" s="41">
        <v>11.659589499999999</v>
      </c>
    </row>
    <row r="655" spans="1:39" hidden="1" x14ac:dyDescent="0.3">
      <c r="A655" s="37">
        <v>651</v>
      </c>
      <c r="B655" s="38" t="s">
        <v>521</v>
      </c>
      <c r="C655" s="38" t="s">
        <v>217</v>
      </c>
      <c r="D655" s="38" t="s">
        <v>158</v>
      </c>
      <c r="E655" s="38" t="s">
        <v>217</v>
      </c>
      <c r="F655" s="47" t="s">
        <v>520</v>
      </c>
      <c r="G655" s="40">
        <v>61</v>
      </c>
      <c r="H655" s="40">
        <v>22</v>
      </c>
      <c r="I655" s="40">
        <v>5</v>
      </c>
      <c r="J655" s="40">
        <v>34</v>
      </c>
      <c r="K655" s="40"/>
      <c r="L655" s="40"/>
      <c r="M655" s="40"/>
      <c r="N655" s="40"/>
      <c r="O655" s="40">
        <v>39</v>
      </c>
      <c r="P655" s="40">
        <v>29</v>
      </c>
      <c r="Q655" s="40">
        <v>6</v>
      </c>
      <c r="R655" s="40">
        <v>4</v>
      </c>
      <c r="S655" s="41">
        <v>36.065573800000003</v>
      </c>
      <c r="T655" s="41">
        <v>8.1967213000000001</v>
      </c>
      <c r="U655" s="41">
        <v>55.737704899999997</v>
      </c>
      <c r="V655" s="41"/>
      <c r="W655" s="41"/>
      <c r="X655" s="41"/>
      <c r="Y655" s="41">
        <v>74.358974399999994</v>
      </c>
      <c r="Z655" s="41">
        <v>15.384615399999999</v>
      </c>
      <c r="AA655" s="41">
        <v>10.256410300000001</v>
      </c>
    </row>
    <row r="656" spans="1:39" hidden="1" x14ac:dyDescent="0.3">
      <c r="A656" s="42">
        <v>652</v>
      </c>
      <c r="B656" s="43" t="s">
        <v>521</v>
      </c>
      <c r="C656" s="50" t="s">
        <v>217</v>
      </c>
      <c r="D656" s="50" t="s">
        <v>158</v>
      </c>
      <c r="E656" s="50" t="s">
        <v>218</v>
      </c>
      <c r="F656" s="51" t="s">
        <v>218</v>
      </c>
      <c r="G656" s="45">
        <v>5002</v>
      </c>
      <c r="H656" s="45">
        <v>2156</v>
      </c>
      <c r="I656" s="45">
        <v>858</v>
      </c>
      <c r="J656" s="45">
        <v>1988</v>
      </c>
      <c r="K656" s="45">
        <v>6690</v>
      </c>
      <c r="L656" s="45">
        <v>3583</v>
      </c>
      <c r="M656" s="45">
        <v>1170</v>
      </c>
      <c r="N656" s="45">
        <v>1937</v>
      </c>
      <c r="O656" s="45">
        <v>7972</v>
      </c>
      <c r="P656" s="45">
        <v>5061</v>
      </c>
      <c r="Q656" s="45">
        <v>1041</v>
      </c>
      <c r="R656" s="45">
        <v>1870</v>
      </c>
      <c r="S656" s="46">
        <v>43.102758899999998</v>
      </c>
      <c r="T656" s="46">
        <v>17.1531387</v>
      </c>
      <c r="U656" s="46">
        <v>39.744102400000003</v>
      </c>
      <c r="V656" s="46">
        <v>53.557548599999997</v>
      </c>
      <c r="W656" s="46">
        <v>17.488789199999999</v>
      </c>
      <c r="X656" s="46">
        <v>28.9536622</v>
      </c>
      <c r="Y656" s="46">
        <v>63.484696399999997</v>
      </c>
      <c r="Z656" s="46">
        <v>13.0582037</v>
      </c>
      <c r="AA656" s="46">
        <v>23.457099800000002</v>
      </c>
      <c r="AB656" s="26">
        <f>SUM(W656:X656)</f>
        <v>46.442451399999996</v>
      </c>
      <c r="AC656" s="26">
        <f>SUM(Z656:AA656)</f>
        <v>36.515303500000002</v>
      </c>
      <c r="AD656" s="57">
        <f>M656+N656</f>
        <v>3107</v>
      </c>
      <c r="AE656" s="57">
        <f>Q656+R656</f>
        <v>2911</v>
      </c>
      <c r="AF656" s="26">
        <f>W656</f>
        <v>17.488789199999999</v>
      </c>
      <c r="AG656" s="26">
        <f>Z656</f>
        <v>13.0582037</v>
      </c>
      <c r="AH656" s="26">
        <f>M656</f>
        <v>1170</v>
      </c>
      <c r="AI656" s="26">
        <f>Q656</f>
        <v>1041</v>
      </c>
      <c r="AJ656" s="26">
        <f>X656</f>
        <v>28.9536622</v>
      </c>
      <c r="AK656" s="26">
        <f>AA656</f>
        <v>23.457099800000002</v>
      </c>
      <c r="AL656" s="57">
        <f>N656</f>
        <v>1937</v>
      </c>
      <c r="AM656" s="57">
        <f>R656</f>
        <v>1870</v>
      </c>
    </row>
    <row r="657" spans="1:39" hidden="1" x14ac:dyDescent="0.3">
      <c r="A657" s="37">
        <v>653</v>
      </c>
      <c r="B657" s="38" t="s">
        <v>521</v>
      </c>
      <c r="C657" s="38" t="s">
        <v>217</v>
      </c>
      <c r="D657" s="38" t="s">
        <v>158</v>
      </c>
      <c r="E657" s="38" t="s">
        <v>218</v>
      </c>
      <c r="F657" s="47" t="s">
        <v>519</v>
      </c>
      <c r="G657" s="40">
        <v>1157</v>
      </c>
      <c r="H657" s="40">
        <v>662</v>
      </c>
      <c r="I657" s="40">
        <v>197</v>
      </c>
      <c r="J657" s="40">
        <v>298</v>
      </c>
      <c r="K657" s="40">
        <v>1573</v>
      </c>
      <c r="L657" s="40">
        <v>1042</v>
      </c>
      <c r="M657" s="40">
        <v>244</v>
      </c>
      <c r="N657" s="40">
        <v>287</v>
      </c>
      <c r="O657" s="40">
        <v>2340</v>
      </c>
      <c r="P657" s="40">
        <v>1610</v>
      </c>
      <c r="Q657" s="40">
        <v>299</v>
      </c>
      <c r="R657" s="40">
        <v>431</v>
      </c>
      <c r="S657" s="41">
        <v>57.216940399999999</v>
      </c>
      <c r="T657" s="41">
        <v>17.026793399999999</v>
      </c>
      <c r="U657" s="41">
        <v>25.756266199999999</v>
      </c>
      <c r="V657" s="41">
        <v>66.242848100000003</v>
      </c>
      <c r="W657" s="41">
        <v>15.511761</v>
      </c>
      <c r="X657" s="41">
        <v>18.245391000000001</v>
      </c>
      <c r="Y657" s="41">
        <v>68.803418800000003</v>
      </c>
      <c r="Z657" s="41">
        <v>12.777777800000001</v>
      </c>
      <c r="AA657" s="41">
        <v>18.418803400000002</v>
      </c>
    </row>
    <row r="658" spans="1:39" hidden="1" x14ac:dyDescent="0.3">
      <c r="A658" s="37">
        <v>654</v>
      </c>
      <c r="B658" s="38" t="s">
        <v>521</v>
      </c>
      <c r="C658" s="38" t="s">
        <v>217</v>
      </c>
      <c r="D658" s="38" t="s">
        <v>158</v>
      </c>
      <c r="E658" s="38" t="s">
        <v>218</v>
      </c>
      <c r="F658" s="47" t="s">
        <v>520</v>
      </c>
      <c r="G658" s="40">
        <v>3845</v>
      </c>
      <c r="H658" s="40">
        <v>1494</v>
      </c>
      <c r="I658" s="40">
        <v>661</v>
      </c>
      <c r="J658" s="40">
        <v>1690</v>
      </c>
      <c r="K658" s="40">
        <v>5117</v>
      </c>
      <c r="L658" s="40">
        <v>2541</v>
      </c>
      <c r="M658" s="40">
        <v>926</v>
      </c>
      <c r="N658" s="40">
        <v>1650</v>
      </c>
      <c r="O658" s="40">
        <v>5632</v>
      </c>
      <c r="P658" s="40">
        <v>3451</v>
      </c>
      <c r="Q658" s="40">
        <v>742</v>
      </c>
      <c r="R658" s="40">
        <v>1439</v>
      </c>
      <c r="S658" s="41">
        <v>38.855656699999997</v>
      </c>
      <c r="T658" s="41">
        <v>17.1911573</v>
      </c>
      <c r="U658" s="41">
        <v>43.953186000000002</v>
      </c>
      <c r="V658" s="41">
        <v>49.658002699999997</v>
      </c>
      <c r="W658" s="41">
        <v>18.096540900000001</v>
      </c>
      <c r="X658" s="41">
        <v>32.245456300000001</v>
      </c>
      <c r="Y658" s="41">
        <v>61.274858000000002</v>
      </c>
      <c r="Z658" s="41">
        <v>13.174715900000001</v>
      </c>
      <c r="AA658" s="41">
        <v>25.550426099999999</v>
      </c>
    </row>
    <row r="659" spans="1:39" hidden="1" x14ac:dyDescent="0.3">
      <c r="A659" s="42">
        <v>655</v>
      </c>
      <c r="B659" s="43" t="s">
        <v>521</v>
      </c>
      <c r="C659" s="50" t="s">
        <v>217</v>
      </c>
      <c r="D659" s="50" t="s">
        <v>158</v>
      </c>
      <c r="E659" s="50" t="s">
        <v>219</v>
      </c>
      <c r="F659" s="51" t="s">
        <v>219</v>
      </c>
      <c r="G659" s="45">
        <v>1748</v>
      </c>
      <c r="H659" s="45">
        <v>951</v>
      </c>
      <c r="I659" s="45">
        <v>259</v>
      </c>
      <c r="J659" s="45">
        <v>538</v>
      </c>
      <c r="K659" s="45">
        <v>3261</v>
      </c>
      <c r="L659" s="45">
        <v>1966</v>
      </c>
      <c r="M659" s="45">
        <v>517</v>
      </c>
      <c r="N659" s="45">
        <v>778</v>
      </c>
      <c r="O659" s="45">
        <v>3844</v>
      </c>
      <c r="P659" s="45">
        <v>2015</v>
      </c>
      <c r="Q659" s="45">
        <v>528</v>
      </c>
      <c r="R659" s="45">
        <v>1301</v>
      </c>
      <c r="S659" s="46">
        <v>54.405034299999997</v>
      </c>
      <c r="T659" s="46">
        <v>14.8169336</v>
      </c>
      <c r="U659" s="46">
        <v>30.778032</v>
      </c>
      <c r="V659" s="46">
        <v>60.288255100000001</v>
      </c>
      <c r="W659" s="46">
        <v>15.854032500000001</v>
      </c>
      <c r="X659" s="46">
        <v>23.8577124</v>
      </c>
      <c r="Y659" s="46">
        <v>52.419354800000001</v>
      </c>
      <c r="Z659" s="46">
        <v>13.735692</v>
      </c>
      <c r="AA659" s="46">
        <v>33.844953199999999</v>
      </c>
      <c r="AB659" s="26">
        <f>SUM(W659:X659)</f>
        <v>39.711744899999999</v>
      </c>
      <c r="AC659" s="26">
        <f>SUM(Z659:AA659)</f>
        <v>47.580645199999999</v>
      </c>
      <c r="AD659" s="57">
        <f>M659+N659</f>
        <v>1295</v>
      </c>
      <c r="AE659" s="57">
        <f>Q659+R659</f>
        <v>1829</v>
      </c>
      <c r="AF659" s="26">
        <f>W659</f>
        <v>15.854032500000001</v>
      </c>
      <c r="AG659" s="26">
        <f>Z659</f>
        <v>13.735692</v>
      </c>
      <c r="AH659" s="26">
        <f>M659</f>
        <v>517</v>
      </c>
      <c r="AI659" s="26">
        <f>Q659</f>
        <v>528</v>
      </c>
      <c r="AJ659" s="26">
        <f>X659</f>
        <v>23.8577124</v>
      </c>
      <c r="AK659" s="26">
        <f>AA659</f>
        <v>33.844953199999999</v>
      </c>
      <c r="AL659" s="57">
        <f>N659</f>
        <v>778</v>
      </c>
      <c r="AM659" s="57">
        <f>R659</f>
        <v>1301</v>
      </c>
    </row>
    <row r="660" spans="1:39" hidden="1" x14ac:dyDescent="0.3">
      <c r="A660" s="37">
        <v>656</v>
      </c>
      <c r="B660" s="38" t="s">
        <v>521</v>
      </c>
      <c r="C660" s="38" t="s">
        <v>217</v>
      </c>
      <c r="D660" s="38" t="s">
        <v>158</v>
      </c>
      <c r="E660" s="38" t="s">
        <v>219</v>
      </c>
      <c r="F660" s="47" t="s">
        <v>519</v>
      </c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1"/>
      <c r="T660" s="41"/>
      <c r="U660" s="41"/>
      <c r="V660" s="41"/>
      <c r="W660" s="41"/>
      <c r="X660" s="41"/>
      <c r="Y660" s="41"/>
      <c r="Z660" s="41"/>
      <c r="AA660" s="41"/>
    </row>
    <row r="661" spans="1:39" hidden="1" x14ac:dyDescent="0.3">
      <c r="A661" s="37">
        <v>657</v>
      </c>
      <c r="B661" s="38" t="s">
        <v>521</v>
      </c>
      <c r="C661" s="38" t="s">
        <v>217</v>
      </c>
      <c r="D661" s="38" t="s">
        <v>158</v>
      </c>
      <c r="E661" s="38" t="s">
        <v>219</v>
      </c>
      <c r="F661" s="47" t="s">
        <v>520</v>
      </c>
      <c r="G661" s="40">
        <v>1748</v>
      </c>
      <c r="H661" s="40">
        <v>951</v>
      </c>
      <c r="I661" s="40">
        <v>259</v>
      </c>
      <c r="J661" s="40">
        <v>538</v>
      </c>
      <c r="K661" s="40">
        <v>3261</v>
      </c>
      <c r="L661" s="40">
        <v>1966</v>
      </c>
      <c r="M661" s="40">
        <v>517</v>
      </c>
      <c r="N661" s="40">
        <v>778</v>
      </c>
      <c r="O661" s="40">
        <v>3844</v>
      </c>
      <c r="P661" s="40">
        <v>2015</v>
      </c>
      <c r="Q661" s="40">
        <v>528</v>
      </c>
      <c r="R661" s="40">
        <v>1301</v>
      </c>
      <c r="S661" s="41">
        <v>54.405034299999997</v>
      </c>
      <c r="T661" s="41">
        <v>14.8169336</v>
      </c>
      <c r="U661" s="41">
        <v>30.778032</v>
      </c>
      <c r="V661" s="41">
        <v>60.288255100000001</v>
      </c>
      <c r="W661" s="41">
        <v>15.854032500000001</v>
      </c>
      <c r="X661" s="41">
        <v>23.8577124</v>
      </c>
      <c r="Y661" s="41">
        <v>52.419354800000001</v>
      </c>
      <c r="Z661" s="41">
        <v>13.735692</v>
      </c>
      <c r="AA661" s="41">
        <v>33.844953199999999</v>
      </c>
    </row>
    <row r="662" spans="1:39" hidden="1" x14ac:dyDescent="0.3">
      <c r="A662" s="42">
        <v>658</v>
      </c>
      <c r="B662" s="43" t="s">
        <v>521</v>
      </c>
      <c r="C662" s="50" t="s">
        <v>217</v>
      </c>
      <c r="D662" s="50" t="s">
        <v>158</v>
      </c>
      <c r="E662" s="50" t="s">
        <v>220</v>
      </c>
      <c r="F662" s="51" t="s">
        <v>220</v>
      </c>
      <c r="G662" s="45">
        <v>3091</v>
      </c>
      <c r="H662" s="45">
        <v>1043</v>
      </c>
      <c r="I662" s="45">
        <v>654</v>
      </c>
      <c r="J662" s="45">
        <v>1394</v>
      </c>
      <c r="K662" s="45">
        <v>3460</v>
      </c>
      <c r="L662" s="45">
        <v>1758</v>
      </c>
      <c r="M662" s="45">
        <v>681</v>
      </c>
      <c r="N662" s="45">
        <v>1021</v>
      </c>
      <c r="O662" s="45">
        <v>5464</v>
      </c>
      <c r="P662" s="45">
        <v>3387</v>
      </c>
      <c r="Q662" s="45">
        <v>846</v>
      </c>
      <c r="R662" s="45">
        <v>1231</v>
      </c>
      <c r="S662" s="46">
        <v>33.743125200000001</v>
      </c>
      <c r="T662" s="46">
        <v>21.158201200000001</v>
      </c>
      <c r="U662" s="46">
        <v>45.098673599999998</v>
      </c>
      <c r="V662" s="46">
        <v>50.809248599999997</v>
      </c>
      <c r="W662" s="46">
        <v>19.682080899999999</v>
      </c>
      <c r="X662" s="46">
        <v>29.508670500000001</v>
      </c>
      <c r="Y662" s="46">
        <v>61.987554899999999</v>
      </c>
      <c r="Z662" s="46">
        <v>15.483162500000001</v>
      </c>
      <c r="AA662" s="46">
        <v>22.529282599999998</v>
      </c>
      <c r="AB662" s="26">
        <f>SUM(W662:X662)</f>
        <v>49.190751399999996</v>
      </c>
      <c r="AC662" s="26">
        <f>SUM(Z662:AA662)</f>
        <v>38.012445100000001</v>
      </c>
      <c r="AD662" s="57">
        <f>M662+N662</f>
        <v>1702</v>
      </c>
      <c r="AE662" s="57">
        <f>Q662+R662</f>
        <v>2077</v>
      </c>
      <c r="AF662" s="26">
        <f>W662</f>
        <v>19.682080899999999</v>
      </c>
      <c r="AG662" s="26">
        <f>Z662</f>
        <v>15.483162500000001</v>
      </c>
      <c r="AH662" s="26">
        <f>M662</f>
        <v>681</v>
      </c>
      <c r="AI662" s="26">
        <f>Q662</f>
        <v>846</v>
      </c>
      <c r="AJ662" s="26">
        <f>X662</f>
        <v>29.508670500000001</v>
      </c>
      <c r="AK662" s="26">
        <f>AA662</f>
        <v>22.529282599999998</v>
      </c>
      <c r="AL662" s="57">
        <f>N662</f>
        <v>1021</v>
      </c>
      <c r="AM662" s="57">
        <f>R662</f>
        <v>1231</v>
      </c>
    </row>
    <row r="663" spans="1:39" hidden="1" x14ac:dyDescent="0.3">
      <c r="A663" s="37">
        <v>659</v>
      </c>
      <c r="B663" s="38" t="s">
        <v>521</v>
      </c>
      <c r="C663" s="38" t="s">
        <v>217</v>
      </c>
      <c r="D663" s="38" t="s">
        <v>158</v>
      </c>
      <c r="E663" s="38" t="s">
        <v>220</v>
      </c>
      <c r="F663" s="47" t="s">
        <v>519</v>
      </c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1"/>
      <c r="T663" s="41"/>
      <c r="U663" s="41"/>
      <c r="V663" s="41"/>
      <c r="W663" s="41"/>
      <c r="X663" s="41"/>
      <c r="Y663" s="41"/>
      <c r="Z663" s="41"/>
      <c r="AA663" s="41"/>
    </row>
    <row r="664" spans="1:39" hidden="1" x14ac:dyDescent="0.3">
      <c r="A664" s="37">
        <v>660</v>
      </c>
      <c r="B664" s="38" t="s">
        <v>521</v>
      </c>
      <c r="C664" s="38" t="s">
        <v>217</v>
      </c>
      <c r="D664" s="38" t="s">
        <v>158</v>
      </c>
      <c r="E664" s="38" t="s">
        <v>220</v>
      </c>
      <c r="F664" s="47" t="s">
        <v>520</v>
      </c>
      <c r="G664" s="40">
        <v>3091</v>
      </c>
      <c r="H664" s="40">
        <v>1043</v>
      </c>
      <c r="I664" s="40">
        <v>654</v>
      </c>
      <c r="J664" s="40">
        <v>1394</v>
      </c>
      <c r="K664" s="40">
        <v>3460</v>
      </c>
      <c r="L664" s="40">
        <v>1758</v>
      </c>
      <c r="M664" s="40">
        <v>681</v>
      </c>
      <c r="N664" s="40">
        <v>1021</v>
      </c>
      <c r="O664" s="40">
        <v>5464</v>
      </c>
      <c r="P664" s="40">
        <v>3387</v>
      </c>
      <c r="Q664" s="40">
        <v>846</v>
      </c>
      <c r="R664" s="40">
        <v>1231</v>
      </c>
      <c r="S664" s="41">
        <v>33.743125200000001</v>
      </c>
      <c r="T664" s="41">
        <v>21.158201200000001</v>
      </c>
      <c r="U664" s="41">
        <v>45.098673599999998</v>
      </c>
      <c r="V664" s="41">
        <v>50.809248599999997</v>
      </c>
      <c r="W664" s="41">
        <v>19.682080899999999</v>
      </c>
      <c r="X664" s="41">
        <v>29.508670500000001</v>
      </c>
      <c r="Y664" s="41">
        <v>61.987554899999999</v>
      </c>
      <c r="Z664" s="41">
        <v>15.483162500000001</v>
      </c>
      <c r="AA664" s="41">
        <v>22.529282599999998</v>
      </c>
    </row>
    <row r="665" spans="1:39" hidden="1" x14ac:dyDescent="0.3">
      <c r="A665" s="32">
        <v>661</v>
      </c>
      <c r="B665" s="33" t="s">
        <v>1</v>
      </c>
      <c r="C665" s="49" t="s">
        <v>217</v>
      </c>
      <c r="D665" s="49" t="s">
        <v>222</v>
      </c>
      <c r="E665" s="49"/>
      <c r="F665" s="34" t="s">
        <v>222</v>
      </c>
      <c r="G665" s="35">
        <v>7765</v>
      </c>
      <c r="H665" s="35">
        <v>3981</v>
      </c>
      <c r="I665" s="35">
        <v>1404</v>
      </c>
      <c r="J665" s="35">
        <v>2380</v>
      </c>
      <c r="K665" s="35">
        <v>11428</v>
      </c>
      <c r="L665" s="35">
        <v>7638</v>
      </c>
      <c r="M665" s="35">
        <v>1565</v>
      </c>
      <c r="N665" s="35">
        <v>2225</v>
      </c>
      <c r="O665" s="35">
        <v>15869</v>
      </c>
      <c r="P665" s="35">
        <v>10645</v>
      </c>
      <c r="Q665" s="35">
        <v>2036</v>
      </c>
      <c r="R665" s="35">
        <v>3188</v>
      </c>
      <c r="S665" s="36">
        <v>51.268512600000001</v>
      </c>
      <c r="T665" s="36">
        <v>18.081133300000001</v>
      </c>
      <c r="U665" s="36">
        <v>30.650354199999999</v>
      </c>
      <c r="V665" s="36">
        <v>66.835841799999997</v>
      </c>
      <c r="W665" s="36">
        <v>13.6944347</v>
      </c>
      <c r="X665" s="36">
        <v>19.469723500000001</v>
      </c>
      <c r="Y665" s="36">
        <v>67.080471399999993</v>
      </c>
      <c r="Z665" s="36">
        <v>12.830045999999999</v>
      </c>
      <c r="AA665" s="36">
        <v>20.0894826</v>
      </c>
    </row>
    <row r="666" spans="1:39" hidden="1" x14ac:dyDescent="0.3">
      <c r="A666" s="37">
        <v>662</v>
      </c>
      <c r="B666" s="38" t="s">
        <v>1</v>
      </c>
      <c r="C666" s="38" t="s">
        <v>217</v>
      </c>
      <c r="D666" s="38" t="s">
        <v>222</v>
      </c>
      <c r="E666" s="38"/>
      <c r="F666" s="39" t="s">
        <v>519</v>
      </c>
      <c r="G666" s="40">
        <v>2135</v>
      </c>
      <c r="H666" s="40">
        <v>1255</v>
      </c>
      <c r="I666" s="40">
        <v>411</v>
      </c>
      <c r="J666" s="40">
        <v>469</v>
      </c>
      <c r="K666" s="40">
        <v>3554</v>
      </c>
      <c r="L666" s="40">
        <v>2238</v>
      </c>
      <c r="M666" s="40">
        <v>545</v>
      </c>
      <c r="N666" s="40">
        <v>771</v>
      </c>
      <c r="O666" s="40">
        <v>4792</v>
      </c>
      <c r="P666" s="40">
        <v>3688</v>
      </c>
      <c r="Q666" s="40">
        <v>525</v>
      </c>
      <c r="R666" s="40">
        <v>579</v>
      </c>
      <c r="S666" s="41">
        <v>58.782201399999998</v>
      </c>
      <c r="T666" s="41">
        <v>19.2505855</v>
      </c>
      <c r="U666" s="41">
        <v>21.967213099999999</v>
      </c>
      <c r="V666" s="41">
        <v>62.971299899999998</v>
      </c>
      <c r="W666" s="41">
        <v>15.334834000000001</v>
      </c>
      <c r="X666" s="41">
        <v>21.693866100000001</v>
      </c>
      <c r="Y666" s="41">
        <v>76.9616027</v>
      </c>
      <c r="Z666" s="41">
        <v>10.9557596</v>
      </c>
      <c r="AA666" s="41">
        <v>12.082637699999999</v>
      </c>
    </row>
    <row r="667" spans="1:39" hidden="1" x14ac:dyDescent="0.3">
      <c r="A667" s="37">
        <v>663</v>
      </c>
      <c r="B667" s="38" t="s">
        <v>1</v>
      </c>
      <c r="C667" s="38" t="s">
        <v>217</v>
      </c>
      <c r="D667" s="38" t="s">
        <v>222</v>
      </c>
      <c r="E667" s="38"/>
      <c r="F667" s="39" t="s">
        <v>520</v>
      </c>
      <c r="G667" s="40">
        <v>5630</v>
      </c>
      <c r="H667" s="40">
        <v>2726</v>
      </c>
      <c r="I667" s="40">
        <v>993</v>
      </c>
      <c r="J667" s="40">
        <v>1911</v>
      </c>
      <c r="K667" s="40">
        <v>7874</v>
      </c>
      <c r="L667" s="40">
        <v>5400</v>
      </c>
      <c r="M667" s="40">
        <v>1020</v>
      </c>
      <c r="N667" s="40">
        <v>1454</v>
      </c>
      <c r="O667" s="40">
        <v>11077</v>
      </c>
      <c r="P667" s="40">
        <v>6957</v>
      </c>
      <c r="Q667" s="40">
        <v>1511</v>
      </c>
      <c r="R667" s="40">
        <v>2609</v>
      </c>
      <c r="S667" s="41">
        <v>48.419182900000003</v>
      </c>
      <c r="T667" s="41">
        <v>17.6376554</v>
      </c>
      <c r="U667" s="41">
        <v>33.943161600000003</v>
      </c>
      <c r="V667" s="41">
        <v>68.580137199999996</v>
      </c>
      <c r="W667" s="41">
        <v>12.9540259</v>
      </c>
      <c r="X667" s="41">
        <v>18.465836899999999</v>
      </c>
      <c r="Y667" s="41">
        <v>62.805813800000003</v>
      </c>
      <c r="Z667" s="41">
        <v>13.6408775</v>
      </c>
      <c r="AA667" s="41">
        <v>23.553308699999999</v>
      </c>
    </row>
    <row r="668" spans="1:39" hidden="1" x14ac:dyDescent="0.3">
      <c r="A668" s="42">
        <v>664</v>
      </c>
      <c r="B668" s="43" t="s">
        <v>521</v>
      </c>
      <c r="C668" s="50" t="s">
        <v>217</v>
      </c>
      <c r="D668" s="50" t="s">
        <v>222</v>
      </c>
      <c r="E668" s="50" t="s">
        <v>223</v>
      </c>
      <c r="F668" s="51" t="s">
        <v>223</v>
      </c>
      <c r="G668" s="45">
        <v>6694</v>
      </c>
      <c r="H668" s="45">
        <v>3378</v>
      </c>
      <c r="I668" s="45">
        <v>1229</v>
      </c>
      <c r="J668" s="45">
        <v>2087</v>
      </c>
      <c r="K668" s="45">
        <v>9873</v>
      </c>
      <c r="L668" s="45">
        <v>6589</v>
      </c>
      <c r="M668" s="45">
        <v>1355</v>
      </c>
      <c r="N668" s="45">
        <v>1929</v>
      </c>
      <c r="O668" s="45">
        <v>13543</v>
      </c>
      <c r="P668" s="45">
        <v>9049</v>
      </c>
      <c r="Q668" s="45">
        <v>1772</v>
      </c>
      <c r="R668" s="45">
        <v>2722</v>
      </c>
      <c r="S668" s="46">
        <v>50.463101299999998</v>
      </c>
      <c r="T668" s="46">
        <v>18.359725099999999</v>
      </c>
      <c r="U668" s="46">
        <v>31.1771736</v>
      </c>
      <c r="V668" s="46">
        <v>66.737567100000007</v>
      </c>
      <c r="W668" s="46">
        <v>13.724298599999999</v>
      </c>
      <c r="X668" s="46">
        <v>19.538134299999999</v>
      </c>
      <c r="Y668" s="46">
        <v>66.816805700000003</v>
      </c>
      <c r="Z668" s="46">
        <v>13.0842502</v>
      </c>
      <c r="AA668" s="46">
        <v>20.098944100000001</v>
      </c>
      <c r="AB668" s="26">
        <f>SUM(W668:X668)</f>
        <v>33.2624329</v>
      </c>
      <c r="AC668" s="26">
        <f>SUM(Z668:AA668)</f>
        <v>33.183194299999997</v>
      </c>
      <c r="AD668" s="57">
        <f>M668+N668</f>
        <v>3284</v>
      </c>
      <c r="AE668" s="57">
        <f>Q668+R668</f>
        <v>4494</v>
      </c>
      <c r="AF668" s="26">
        <f>W668</f>
        <v>13.724298599999999</v>
      </c>
      <c r="AG668" s="26">
        <f>Z668</f>
        <v>13.0842502</v>
      </c>
      <c r="AH668" s="26">
        <f>M668</f>
        <v>1355</v>
      </c>
      <c r="AI668" s="26">
        <f>Q668</f>
        <v>1772</v>
      </c>
      <c r="AJ668" s="26">
        <f>X668</f>
        <v>19.538134299999999</v>
      </c>
      <c r="AK668" s="26">
        <f>AA668</f>
        <v>20.098944100000001</v>
      </c>
      <c r="AL668" s="57">
        <f>N668</f>
        <v>1929</v>
      </c>
      <c r="AM668" s="57">
        <f>R668</f>
        <v>2722</v>
      </c>
    </row>
    <row r="669" spans="1:39" hidden="1" x14ac:dyDescent="0.3">
      <c r="A669" s="37">
        <v>665</v>
      </c>
      <c r="B669" s="38" t="s">
        <v>521</v>
      </c>
      <c r="C669" s="38" t="s">
        <v>217</v>
      </c>
      <c r="D669" s="38" t="s">
        <v>222</v>
      </c>
      <c r="E669" s="38" t="s">
        <v>223</v>
      </c>
      <c r="F669" s="47" t="s">
        <v>519</v>
      </c>
      <c r="G669" s="40">
        <v>2135</v>
      </c>
      <c r="H669" s="40">
        <v>1255</v>
      </c>
      <c r="I669" s="40">
        <v>411</v>
      </c>
      <c r="J669" s="40">
        <v>469</v>
      </c>
      <c r="K669" s="40">
        <v>3554</v>
      </c>
      <c r="L669" s="40">
        <v>2238</v>
      </c>
      <c r="M669" s="40">
        <v>545</v>
      </c>
      <c r="N669" s="40">
        <v>771</v>
      </c>
      <c r="O669" s="40">
        <v>4792</v>
      </c>
      <c r="P669" s="40">
        <v>3688</v>
      </c>
      <c r="Q669" s="40">
        <v>525</v>
      </c>
      <c r="R669" s="40">
        <v>579</v>
      </c>
      <c r="S669" s="41">
        <v>58.782201399999998</v>
      </c>
      <c r="T669" s="41">
        <v>19.2505855</v>
      </c>
      <c r="U669" s="41">
        <v>21.967213099999999</v>
      </c>
      <c r="V669" s="41">
        <v>62.971299899999998</v>
      </c>
      <c r="W669" s="41">
        <v>15.334834000000001</v>
      </c>
      <c r="X669" s="41">
        <v>21.693866100000001</v>
      </c>
      <c r="Y669" s="41">
        <v>76.9616027</v>
      </c>
      <c r="Z669" s="41">
        <v>10.9557596</v>
      </c>
      <c r="AA669" s="41">
        <v>12.082637699999999</v>
      </c>
    </row>
    <row r="670" spans="1:39" hidden="1" x14ac:dyDescent="0.3">
      <c r="A670" s="37">
        <v>666</v>
      </c>
      <c r="B670" s="38" t="s">
        <v>521</v>
      </c>
      <c r="C670" s="38" t="s">
        <v>217</v>
      </c>
      <c r="D670" s="38" t="s">
        <v>222</v>
      </c>
      <c r="E670" s="38" t="s">
        <v>223</v>
      </c>
      <c r="F670" s="47" t="s">
        <v>520</v>
      </c>
      <c r="G670" s="40">
        <v>4559</v>
      </c>
      <c r="H670" s="40">
        <v>2123</v>
      </c>
      <c r="I670" s="40">
        <v>818</v>
      </c>
      <c r="J670" s="40">
        <v>1618</v>
      </c>
      <c r="K670" s="40">
        <v>6319</v>
      </c>
      <c r="L670" s="40">
        <v>4351</v>
      </c>
      <c r="M670" s="40">
        <v>810</v>
      </c>
      <c r="N670" s="40">
        <v>1158</v>
      </c>
      <c r="O670" s="40">
        <v>8751</v>
      </c>
      <c r="P670" s="40">
        <v>5361</v>
      </c>
      <c r="Q670" s="40">
        <v>1247</v>
      </c>
      <c r="R670" s="40">
        <v>2143</v>
      </c>
      <c r="S670" s="41">
        <v>46.567229699999999</v>
      </c>
      <c r="T670" s="41">
        <v>17.942531299999999</v>
      </c>
      <c r="U670" s="41">
        <v>35.490239099999997</v>
      </c>
      <c r="V670" s="41">
        <v>68.855831600000002</v>
      </c>
      <c r="W670" s="41">
        <v>12.8184839</v>
      </c>
      <c r="X670" s="41">
        <v>18.3256844</v>
      </c>
      <c r="Y670" s="41">
        <v>61.2615701</v>
      </c>
      <c r="Z670" s="41">
        <v>14.2498</v>
      </c>
      <c r="AA670" s="41">
        <v>24.488629899999999</v>
      </c>
    </row>
    <row r="671" spans="1:39" hidden="1" x14ac:dyDescent="0.3">
      <c r="A671" s="42">
        <v>667</v>
      </c>
      <c r="B671" s="43" t="s">
        <v>521</v>
      </c>
      <c r="C671" s="50" t="s">
        <v>217</v>
      </c>
      <c r="D671" s="50" t="s">
        <v>222</v>
      </c>
      <c r="E671" s="50" t="s">
        <v>224</v>
      </c>
      <c r="F671" s="51" t="s">
        <v>224</v>
      </c>
      <c r="G671" s="45">
        <v>1071</v>
      </c>
      <c r="H671" s="45">
        <v>603</v>
      </c>
      <c r="I671" s="45">
        <v>175</v>
      </c>
      <c r="J671" s="45">
        <v>293</v>
      </c>
      <c r="K671" s="45">
        <v>1555</v>
      </c>
      <c r="L671" s="45">
        <v>1049</v>
      </c>
      <c r="M671" s="45">
        <v>210</v>
      </c>
      <c r="N671" s="45">
        <v>296</v>
      </c>
      <c r="O671" s="45">
        <v>2326</v>
      </c>
      <c r="P671" s="45">
        <v>1596</v>
      </c>
      <c r="Q671" s="45">
        <v>264</v>
      </c>
      <c r="R671" s="45">
        <v>466</v>
      </c>
      <c r="S671" s="46">
        <v>56.302520999999999</v>
      </c>
      <c r="T671" s="46">
        <v>16.3398693</v>
      </c>
      <c r="U671" s="46">
        <v>27.357609700000001</v>
      </c>
      <c r="V671" s="46">
        <v>67.459807100000006</v>
      </c>
      <c r="W671" s="46">
        <v>13.504823200000001</v>
      </c>
      <c r="X671" s="46">
        <v>19.035369800000002</v>
      </c>
      <c r="Y671" s="46">
        <v>68.615649199999993</v>
      </c>
      <c r="Z671" s="46">
        <v>11.349957</v>
      </c>
      <c r="AA671" s="46">
        <v>20.0343938</v>
      </c>
      <c r="AB671" s="26">
        <f>SUM(W671:X671)</f>
        <v>32.540193000000002</v>
      </c>
      <c r="AC671" s="26">
        <f>SUM(Z671:AA671)</f>
        <v>31.3843508</v>
      </c>
      <c r="AD671" s="57">
        <f>M671+N671</f>
        <v>506</v>
      </c>
      <c r="AE671" s="57">
        <f>Q671+R671</f>
        <v>730</v>
      </c>
      <c r="AF671" s="26">
        <f>W671</f>
        <v>13.504823200000001</v>
      </c>
      <c r="AG671" s="26">
        <f>Z671</f>
        <v>11.349957</v>
      </c>
      <c r="AH671" s="26">
        <f>M671</f>
        <v>210</v>
      </c>
      <c r="AI671" s="26">
        <f>Q671</f>
        <v>264</v>
      </c>
      <c r="AJ671" s="26">
        <f>X671</f>
        <v>19.035369800000002</v>
      </c>
      <c r="AK671" s="26">
        <f>AA671</f>
        <v>20.0343938</v>
      </c>
      <c r="AL671" s="57">
        <f>N671</f>
        <v>296</v>
      </c>
      <c r="AM671" s="57">
        <f>R671</f>
        <v>466</v>
      </c>
    </row>
    <row r="672" spans="1:39" hidden="1" x14ac:dyDescent="0.3">
      <c r="A672" s="37">
        <v>668</v>
      </c>
      <c r="B672" s="38" t="s">
        <v>521</v>
      </c>
      <c r="C672" s="38" t="s">
        <v>217</v>
      </c>
      <c r="D672" s="38" t="s">
        <v>222</v>
      </c>
      <c r="E672" s="38" t="s">
        <v>224</v>
      </c>
      <c r="F672" s="47" t="s">
        <v>519</v>
      </c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1"/>
      <c r="T672" s="41"/>
      <c r="U672" s="41"/>
      <c r="V672" s="41"/>
      <c r="W672" s="41"/>
      <c r="X672" s="41"/>
      <c r="Y672" s="41"/>
      <c r="Z672" s="41"/>
      <c r="AA672" s="41"/>
    </row>
    <row r="673" spans="1:39" hidden="1" x14ac:dyDescent="0.3">
      <c r="A673" s="37">
        <v>669</v>
      </c>
      <c r="B673" s="38" t="s">
        <v>521</v>
      </c>
      <c r="C673" s="38" t="s">
        <v>217</v>
      </c>
      <c r="D673" s="38" t="s">
        <v>222</v>
      </c>
      <c r="E673" s="38" t="s">
        <v>224</v>
      </c>
      <c r="F673" s="47" t="s">
        <v>520</v>
      </c>
      <c r="G673" s="40">
        <v>1071</v>
      </c>
      <c r="H673" s="40">
        <v>603</v>
      </c>
      <c r="I673" s="40">
        <v>175</v>
      </c>
      <c r="J673" s="40">
        <v>293</v>
      </c>
      <c r="K673" s="40">
        <v>1555</v>
      </c>
      <c r="L673" s="40">
        <v>1049</v>
      </c>
      <c r="M673" s="40">
        <v>210</v>
      </c>
      <c r="N673" s="40">
        <v>296</v>
      </c>
      <c r="O673" s="40">
        <v>2326</v>
      </c>
      <c r="P673" s="40">
        <v>1596</v>
      </c>
      <c r="Q673" s="40">
        <v>264</v>
      </c>
      <c r="R673" s="40">
        <v>466</v>
      </c>
      <c r="S673" s="41">
        <v>56.302520999999999</v>
      </c>
      <c r="T673" s="41">
        <v>16.3398693</v>
      </c>
      <c r="U673" s="41">
        <v>27.357609700000001</v>
      </c>
      <c r="V673" s="41">
        <v>67.459807100000006</v>
      </c>
      <c r="W673" s="41">
        <v>13.504823200000001</v>
      </c>
      <c r="X673" s="41">
        <v>19.035369800000002</v>
      </c>
      <c r="Y673" s="41">
        <v>68.615649199999993</v>
      </c>
      <c r="Z673" s="41">
        <v>11.349957</v>
      </c>
      <c r="AA673" s="41">
        <v>20.0343938</v>
      </c>
    </row>
    <row r="674" spans="1:39" hidden="1" x14ac:dyDescent="0.3">
      <c r="A674" s="32">
        <v>670</v>
      </c>
      <c r="B674" s="33" t="s">
        <v>1</v>
      </c>
      <c r="C674" s="49" t="s">
        <v>217</v>
      </c>
      <c r="D674" s="49" t="s">
        <v>225</v>
      </c>
      <c r="E674" s="49"/>
      <c r="F674" s="34" t="s">
        <v>225</v>
      </c>
      <c r="G674" s="35">
        <v>3172</v>
      </c>
      <c r="H674" s="35">
        <v>1768</v>
      </c>
      <c r="I674" s="35">
        <v>500</v>
      </c>
      <c r="J674" s="35">
        <v>904</v>
      </c>
      <c r="K674" s="35">
        <v>3688</v>
      </c>
      <c r="L674" s="35">
        <v>2288</v>
      </c>
      <c r="M674" s="35">
        <v>538</v>
      </c>
      <c r="N674" s="35">
        <v>862</v>
      </c>
      <c r="O674" s="35">
        <v>5338</v>
      </c>
      <c r="P674" s="35">
        <v>2515</v>
      </c>
      <c r="Q674" s="35">
        <v>808</v>
      </c>
      <c r="R674" s="35">
        <v>2015</v>
      </c>
      <c r="S674" s="36">
        <v>55.737704899999997</v>
      </c>
      <c r="T674" s="36">
        <v>15.762925600000001</v>
      </c>
      <c r="U674" s="36">
        <v>28.4993695</v>
      </c>
      <c r="V674" s="36">
        <v>62.039045600000001</v>
      </c>
      <c r="W674" s="36">
        <v>14.5878525</v>
      </c>
      <c r="X674" s="36">
        <v>23.373101999999999</v>
      </c>
      <c r="Y674" s="36">
        <v>47.115024400000003</v>
      </c>
      <c r="Z674" s="36">
        <v>15.136755300000001</v>
      </c>
      <c r="AA674" s="36">
        <v>37.7482203</v>
      </c>
    </row>
    <row r="675" spans="1:39" hidden="1" x14ac:dyDescent="0.3">
      <c r="A675" s="37">
        <v>671</v>
      </c>
      <c r="B675" s="38" t="s">
        <v>1</v>
      </c>
      <c r="C675" s="38" t="s">
        <v>217</v>
      </c>
      <c r="D675" s="38" t="s">
        <v>225</v>
      </c>
      <c r="E675" s="38"/>
      <c r="F675" s="39" t="s">
        <v>519</v>
      </c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1"/>
      <c r="T675" s="41"/>
      <c r="U675" s="41"/>
      <c r="V675" s="41"/>
      <c r="W675" s="41"/>
      <c r="X675" s="41"/>
      <c r="Y675" s="41"/>
      <c r="Z675" s="41"/>
      <c r="AA675" s="41"/>
    </row>
    <row r="676" spans="1:39" hidden="1" x14ac:dyDescent="0.3">
      <c r="A676" s="37">
        <v>672</v>
      </c>
      <c r="B676" s="38" t="s">
        <v>1</v>
      </c>
      <c r="C676" s="38" t="s">
        <v>217</v>
      </c>
      <c r="D676" s="38" t="s">
        <v>225</v>
      </c>
      <c r="E676" s="38"/>
      <c r="F676" s="39" t="s">
        <v>520</v>
      </c>
      <c r="G676" s="40">
        <v>3172</v>
      </c>
      <c r="H676" s="40">
        <v>1768</v>
      </c>
      <c r="I676" s="40">
        <v>500</v>
      </c>
      <c r="J676" s="40">
        <v>904</v>
      </c>
      <c r="K676" s="40">
        <v>3688</v>
      </c>
      <c r="L676" s="40">
        <v>2288</v>
      </c>
      <c r="M676" s="40">
        <v>538</v>
      </c>
      <c r="N676" s="40">
        <v>862</v>
      </c>
      <c r="O676" s="40">
        <v>5338</v>
      </c>
      <c r="P676" s="40">
        <v>2515</v>
      </c>
      <c r="Q676" s="40">
        <v>808</v>
      </c>
      <c r="R676" s="40">
        <v>2015</v>
      </c>
      <c r="S676" s="41">
        <v>55.737704899999997</v>
      </c>
      <c r="T676" s="41">
        <v>15.762925600000001</v>
      </c>
      <c r="U676" s="41">
        <v>28.4993695</v>
      </c>
      <c r="V676" s="41">
        <v>62.039045600000001</v>
      </c>
      <c r="W676" s="41">
        <v>14.5878525</v>
      </c>
      <c r="X676" s="41">
        <v>23.373101999999999</v>
      </c>
      <c r="Y676" s="41">
        <v>47.115024400000003</v>
      </c>
      <c r="Z676" s="41">
        <v>15.136755300000001</v>
      </c>
      <c r="AA676" s="41">
        <v>37.7482203</v>
      </c>
    </row>
    <row r="677" spans="1:39" hidden="1" x14ac:dyDescent="0.3">
      <c r="A677" s="42">
        <v>673</v>
      </c>
      <c r="B677" s="43" t="s">
        <v>521</v>
      </c>
      <c r="C677" s="50" t="s">
        <v>217</v>
      </c>
      <c r="D677" s="50" t="s">
        <v>225</v>
      </c>
      <c r="E677" s="50" t="s">
        <v>226</v>
      </c>
      <c r="F677" s="51" t="s">
        <v>226</v>
      </c>
      <c r="G677" s="45">
        <v>2720</v>
      </c>
      <c r="H677" s="45">
        <v>1557</v>
      </c>
      <c r="I677" s="45">
        <v>428</v>
      </c>
      <c r="J677" s="45">
        <v>735</v>
      </c>
      <c r="K677" s="45">
        <v>3172</v>
      </c>
      <c r="L677" s="45">
        <v>2048</v>
      </c>
      <c r="M677" s="45">
        <v>440</v>
      </c>
      <c r="N677" s="45">
        <v>684</v>
      </c>
      <c r="O677" s="45">
        <v>4667</v>
      </c>
      <c r="P677" s="45">
        <v>2216</v>
      </c>
      <c r="Q677" s="45">
        <v>705</v>
      </c>
      <c r="R677" s="45">
        <v>1746</v>
      </c>
      <c r="S677" s="46">
        <v>57.242647099999999</v>
      </c>
      <c r="T677" s="46">
        <v>15.735294100000001</v>
      </c>
      <c r="U677" s="46">
        <v>27.0220588</v>
      </c>
      <c r="V677" s="46">
        <v>64.564943299999996</v>
      </c>
      <c r="W677" s="46">
        <v>13.8713745</v>
      </c>
      <c r="X677" s="46">
        <v>21.563682199999999</v>
      </c>
      <c r="Y677" s="46">
        <v>47.482322699999997</v>
      </c>
      <c r="Z677" s="46">
        <v>15.106063900000001</v>
      </c>
      <c r="AA677" s="46">
        <v>37.411613500000001</v>
      </c>
      <c r="AB677" s="26">
        <f>SUM(W677:X677)</f>
        <v>35.435056699999997</v>
      </c>
      <c r="AC677" s="26">
        <f>SUM(Z677:AA677)</f>
        <v>52.517677400000004</v>
      </c>
      <c r="AD677" s="57">
        <f>M677+N677</f>
        <v>1124</v>
      </c>
      <c r="AE677" s="57">
        <f>Q677+R677</f>
        <v>2451</v>
      </c>
      <c r="AF677" s="26">
        <f>W677</f>
        <v>13.8713745</v>
      </c>
      <c r="AG677" s="26">
        <f>Z677</f>
        <v>15.106063900000001</v>
      </c>
      <c r="AH677" s="26">
        <f>M677</f>
        <v>440</v>
      </c>
      <c r="AI677" s="26">
        <f>Q677</f>
        <v>705</v>
      </c>
      <c r="AJ677" s="26">
        <f>X677</f>
        <v>21.563682199999999</v>
      </c>
      <c r="AK677" s="26">
        <f>AA677</f>
        <v>37.411613500000001</v>
      </c>
      <c r="AL677" s="57">
        <f>N677</f>
        <v>684</v>
      </c>
      <c r="AM677" s="57">
        <f>R677</f>
        <v>1746</v>
      </c>
    </row>
    <row r="678" spans="1:39" hidden="1" x14ac:dyDescent="0.3">
      <c r="A678" s="37">
        <v>674</v>
      </c>
      <c r="B678" s="38" t="s">
        <v>521</v>
      </c>
      <c r="C678" s="38" t="s">
        <v>217</v>
      </c>
      <c r="D678" s="38" t="s">
        <v>225</v>
      </c>
      <c r="E678" s="38" t="s">
        <v>226</v>
      </c>
      <c r="F678" s="47" t="s">
        <v>519</v>
      </c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1"/>
      <c r="T678" s="41"/>
      <c r="U678" s="41"/>
      <c r="V678" s="41"/>
      <c r="W678" s="41"/>
      <c r="X678" s="41"/>
      <c r="Y678" s="41"/>
      <c r="Z678" s="41"/>
      <c r="AA678" s="41"/>
    </row>
    <row r="679" spans="1:39" hidden="1" x14ac:dyDescent="0.3">
      <c r="A679" s="37">
        <v>675</v>
      </c>
      <c r="B679" s="38" t="s">
        <v>521</v>
      </c>
      <c r="C679" s="38" t="s">
        <v>217</v>
      </c>
      <c r="D679" s="38" t="s">
        <v>225</v>
      </c>
      <c r="E679" s="38" t="s">
        <v>226</v>
      </c>
      <c r="F679" s="47" t="s">
        <v>520</v>
      </c>
      <c r="G679" s="40">
        <v>2720</v>
      </c>
      <c r="H679" s="40">
        <v>1557</v>
      </c>
      <c r="I679" s="40">
        <v>428</v>
      </c>
      <c r="J679" s="40">
        <v>735</v>
      </c>
      <c r="K679" s="40">
        <v>3172</v>
      </c>
      <c r="L679" s="40">
        <v>2048</v>
      </c>
      <c r="M679" s="40">
        <v>440</v>
      </c>
      <c r="N679" s="40">
        <v>684</v>
      </c>
      <c r="O679" s="40">
        <v>4667</v>
      </c>
      <c r="P679" s="40">
        <v>2216</v>
      </c>
      <c r="Q679" s="40">
        <v>705</v>
      </c>
      <c r="R679" s="40">
        <v>1746</v>
      </c>
      <c r="S679" s="41">
        <v>57.242647099999999</v>
      </c>
      <c r="T679" s="41">
        <v>15.735294100000001</v>
      </c>
      <c r="U679" s="41">
        <v>27.0220588</v>
      </c>
      <c r="V679" s="41">
        <v>64.564943299999996</v>
      </c>
      <c r="W679" s="41">
        <v>13.8713745</v>
      </c>
      <c r="X679" s="41">
        <v>21.563682199999999</v>
      </c>
      <c r="Y679" s="41">
        <v>47.482322699999997</v>
      </c>
      <c r="Z679" s="41">
        <v>15.106063900000001</v>
      </c>
      <c r="AA679" s="41">
        <v>37.411613500000001</v>
      </c>
    </row>
    <row r="680" spans="1:39" hidden="1" x14ac:dyDescent="0.3">
      <c r="A680" s="42">
        <v>676</v>
      </c>
      <c r="B680" s="43" t="s">
        <v>521</v>
      </c>
      <c r="C680" s="50" t="s">
        <v>217</v>
      </c>
      <c r="D680" s="50" t="s">
        <v>225</v>
      </c>
      <c r="E680" s="50" t="s">
        <v>227</v>
      </c>
      <c r="F680" s="51" t="s">
        <v>227</v>
      </c>
      <c r="G680" s="45">
        <v>452</v>
      </c>
      <c r="H680" s="45">
        <v>211</v>
      </c>
      <c r="I680" s="45">
        <v>72</v>
      </c>
      <c r="J680" s="45">
        <v>169</v>
      </c>
      <c r="K680" s="45">
        <v>516</v>
      </c>
      <c r="L680" s="45">
        <v>240</v>
      </c>
      <c r="M680" s="45">
        <v>98</v>
      </c>
      <c r="N680" s="45">
        <v>178</v>
      </c>
      <c r="O680" s="45">
        <v>671</v>
      </c>
      <c r="P680" s="45">
        <v>299</v>
      </c>
      <c r="Q680" s="45">
        <v>103</v>
      </c>
      <c r="R680" s="45">
        <v>269</v>
      </c>
      <c r="S680" s="46">
        <v>46.681415899999998</v>
      </c>
      <c r="T680" s="46">
        <v>15.9292035</v>
      </c>
      <c r="U680" s="46">
        <v>37.389380500000001</v>
      </c>
      <c r="V680" s="46">
        <v>46.511627900000001</v>
      </c>
      <c r="W680" s="46">
        <v>18.992248100000001</v>
      </c>
      <c r="X680" s="46">
        <v>34.496124000000002</v>
      </c>
      <c r="Y680" s="46">
        <v>44.560357699999997</v>
      </c>
      <c r="Z680" s="46">
        <v>15.3502235</v>
      </c>
      <c r="AA680" s="46">
        <v>40.089418799999997</v>
      </c>
      <c r="AB680" s="26">
        <f>SUM(W680:X680)</f>
        <v>53.488372100000007</v>
      </c>
      <c r="AC680" s="26">
        <f>SUM(Z680:AA680)</f>
        <v>55.439642299999996</v>
      </c>
      <c r="AD680" s="57">
        <f>M680+N680</f>
        <v>276</v>
      </c>
      <c r="AE680" s="57">
        <f>Q680+R680</f>
        <v>372</v>
      </c>
      <c r="AF680" s="26">
        <f>W680</f>
        <v>18.992248100000001</v>
      </c>
      <c r="AG680" s="26">
        <f>Z680</f>
        <v>15.3502235</v>
      </c>
      <c r="AH680" s="26">
        <f>M680</f>
        <v>98</v>
      </c>
      <c r="AI680" s="26">
        <f>Q680</f>
        <v>103</v>
      </c>
      <c r="AJ680" s="26">
        <f>X680</f>
        <v>34.496124000000002</v>
      </c>
      <c r="AK680" s="26">
        <f>AA680</f>
        <v>40.089418799999997</v>
      </c>
      <c r="AL680" s="57">
        <f>N680</f>
        <v>178</v>
      </c>
      <c r="AM680" s="57">
        <f>R680</f>
        <v>269</v>
      </c>
    </row>
    <row r="681" spans="1:39" hidden="1" x14ac:dyDescent="0.3">
      <c r="A681" s="37">
        <v>677</v>
      </c>
      <c r="B681" s="38" t="s">
        <v>521</v>
      </c>
      <c r="C681" s="38" t="s">
        <v>217</v>
      </c>
      <c r="D681" s="38" t="s">
        <v>225</v>
      </c>
      <c r="E681" s="38" t="s">
        <v>227</v>
      </c>
      <c r="F681" s="47" t="s">
        <v>519</v>
      </c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1"/>
      <c r="T681" s="41"/>
      <c r="U681" s="41"/>
      <c r="V681" s="41"/>
      <c r="W681" s="41"/>
      <c r="X681" s="41"/>
      <c r="Y681" s="41"/>
      <c r="Z681" s="41"/>
      <c r="AA681" s="41"/>
    </row>
    <row r="682" spans="1:39" hidden="1" x14ac:dyDescent="0.3">
      <c r="A682" s="37">
        <v>678</v>
      </c>
      <c r="B682" s="38" t="s">
        <v>521</v>
      </c>
      <c r="C682" s="38" t="s">
        <v>217</v>
      </c>
      <c r="D682" s="38" t="s">
        <v>225</v>
      </c>
      <c r="E682" s="38" t="s">
        <v>227</v>
      </c>
      <c r="F682" s="47" t="s">
        <v>520</v>
      </c>
      <c r="G682" s="40">
        <v>452</v>
      </c>
      <c r="H682" s="40">
        <v>211</v>
      </c>
      <c r="I682" s="40">
        <v>72</v>
      </c>
      <c r="J682" s="40">
        <v>169</v>
      </c>
      <c r="K682" s="40">
        <v>516</v>
      </c>
      <c r="L682" s="40">
        <v>240</v>
      </c>
      <c r="M682" s="40">
        <v>98</v>
      </c>
      <c r="N682" s="40">
        <v>178</v>
      </c>
      <c r="O682" s="40">
        <v>671</v>
      </c>
      <c r="P682" s="40">
        <v>299</v>
      </c>
      <c r="Q682" s="40">
        <v>103</v>
      </c>
      <c r="R682" s="40">
        <v>269</v>
      </c>
      <c r="S682" s="41">
        <v>46.681415899999998</v>
      </c>
      <c r="T682" s="41">
        <v>15.9292035</v>
      </c>
      <c r="U682" s="41">
        <v>37.389380500000001</v>
      </c>
      <c r="V682" s="41">
        <v>46.511627900000001</v>
      </c>
      <c r="W682" s="41">
        <v>18.992248100000001</v>
      </c>
      <c r="X682" s="41">
        <v>34.496124000000002</v>
      </c>
      <c r="Y682" s="41">
        <v>44.560357699999997</v>
      </c>
      <c r="Z682" s="41">
        <v>15.3502235</v>
      </c>
      <c r="AA682" s="41">
        <v>40.089418799999997</v>
      </c>
    </row>
    <row r="683" spans="1:39" hidden="1" x14ac:dyDescent="0.3">
      <c r="A683" s="32">
        <v>679</v>
      </c>
      <c r="B683" s="33" t="s">
        <v>1</v>
      </c>
      <c r="C683" s="49" t="s">
        <v>217</v>
      </c>
      <c r="D683" s="49" t="s">
        <v>228</v>
      </c>
      <c r="E683" s="49"/>
      <c r="F683" s="34" t="s">
        <v>228</v>
      </c>
      <c r="G683" s="35">
        <v>2667</v>
      </c>
      <c r="H683" s="35">
        <v>1412</v>
      </c>
      <c r="I683" s="35">
        <v>452</v>
      </c>
      <c r="J683" s="35">
        <v>803</v>
      </c>
      <c r="K683" s="35">
        <v>2911</v>
      </c>
      <c r="L683" s="35">
        <v>1702</v>
      </c>
      <c r="M683" s="35">
        <v>466</v>
      </c>
      <c r="N683" s="35">
        <v>743</v>
      </c>
      <c r="O683" s="35">
        <v>3747</v>
      </c>
      <c r="P683" s="35">
        <v>2066</v>
      </c>
      <c r="Q683" s="35">
        <v>557</v>
      </c>
      <c r="R683" s="35">
        <v>1124</v>
      </c>
      <c r="S683" s="36">
        <v>52.943382100000001</v>
      </c>
      <c r="T683" s="36">
        <v>16.947881500000001</v>
      </c>
      <c r="U683" s="36">
        <v>30.108736400000002</v>
      </c>
      <c r="V683" s="36">
        <v>58.4678805</v>
      </c>
      <c r="W683" s="36">
        <v>16.008244600000001</v>
      </c>
      <c r="X683" s="36">
        <v>25.523875</v>
      </c>
      <c r="Y683" s="36">
        <v>55.137443300000001</v>
      </c>
      <c r="Z683" s="36">
        <v>14.865225499999999</v>
      </c>
      <c r="AA683" s="36">
        <v>29.997331200000001</v>
      </c>
    </row>
    <row r="684" spans="1:39" hidden="1" x14ac:dyDescent="0.3">
      <c r="A684" s="37">
        <v>680</v>
      </c>
      <c r="B684" s="38" t="s">
        <v>1</v>
      </c>
      <c r="C684" s="38" t="s">
        <v>217</v>
      </c>
      <c r="D684" s="38" t="s">
        <v>228</v>
      </c>
      <c r="E684" s="38"/>
      <c r="F684" s="39" t="s">
        <v>519</v>
      </c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1"/>
      <c r="T684" s="41"/>
      <c r="U684" s="41"/>
      <c r="V684" s="41"/>
      <c r="W684" s="41"/>
      <c r="X684" s="41"/>
      <c r="Y684" s="41"/>
      <c r="Z684" s="41"/>
      <c r="AA684" s="41"/>
    </row>
    <row r="685" spans="1:39" hidden="1" x14ac:dyDescent="0.3">
      <c r="A685" s="37">
        <v>681</v>
      </c>
      <c r="B685" s="38" t="s">
        <v>1</v>
      </c>
      <c r="C685" s="38" t="s">
        <v>217</v>
      </c>
      <c r="D685" s="38" t="s">
        <v>228</v>
      </c>
      <c r="E685" s="38"/>
      <c r="F685" s="39" t="s">
        <v>520</v>
      </c>
      <c r="G685" s="40">
        <v>2667</v>
      </c>
      <c r="H685" s="40">
        <v>1412</v>
      </c>
      <c r="I685" s="40">
        <v>452</v>
      </c>
      <c r="J685" s="40">
        <v>803</v>
      </c>
      <c r="K685" s="40">
        <v>2911</v>
      </c>
      <c r="L685" s="40">
        <v>1702</v>
      </c>
      <c r="M685" s="40">
        <v>466</v>
      </c>
      <c r="N685" s="40">
        <v>743</v>
      </c>
      <c r="O685" s="40">
        <v>3747</v>
      </c>
      <c r="P685" s="40">
        <v>2066</v>
      </c>
      <c r="Q685" s="40">
        <v>557</v>
      </c>
      <c r="R685" s="40">
        <v>1124</v>
      </c>
      <c r="S685" s="41">
        <v>52.943382100000001</v>
      </c>
      <c r="T685" s="41">
        <v>16.947881500000001</v>
      </c>
      <c r="U685" s="41">
        <v>30.108736400000002</v>
      </c>
      <c r="V685" s="41">
        <v>58.4678805</v>
      </c>
      <c r="W685" s="41">
        <v>16.008244600000001</v>
      </c>
      <c r="X685" s="41">
        <v>25.523875</v>
      </c>
      <c r="Y685" s="41">
        <v>55.137443300000001</v>
      </c>
      <c r="Z685" s="41">
        <v>14.865225499999999</v>
      </c>
      <c r="AA685" s="41">
        <v>29.997331200000001</v>
      </c>
    </row>
    <row r="686" spans="1:39" hidden="1" x14ac:dyDescent="0.3">
      <c r="A686" s="42">
        <v>682</v>
      </c>
      <c r="B686" s="43" t="s">
        <v>521</v>
      </c>
      <c r="C686" s="50" t="s">
        <v>217</v>
      </c>
      <c r="D686" s="50" t="s">
        <v>228</v>
      </c>
      <c r="E686" s="50" t="s">
        <v>229</v>
      </c>
      <c r="F686" s="51" t="s">
        <v>229</v>
      </c>
      <c r="G686" s="45">
        <v>1341</v>
      </c>
      <c r="H686" s="45">
        <v>666</v>
      </c>
      <c r="I686" s="45">
        <v>236</v>
      </c>
      <c r="J686" s="45">
        <v>439</v>
      </c>
      <c r="K686" s="45">
        <v>1355</v>
      </c>
      <c r="L686" s="45">
        <v>890</v>
      </c>
      <c r="M686" s="45">
        <v>201</v>
      </c>
      <c r="N686" s="45">
        <v>264</v>
      </c>
      <c r="O686" s="45">
        <v>1987</v>
      </c>
      <c r="P686" s="45">
        <v>1107</v>
      </c>
      <c r="Q686" s="45">
        <v>308</v>
      </c>
      <c r="R686" s="45">
        <v>572</v>
      </c>
      <c r="S686" s="46">
        <v>49.664429499999997</v>
      </c>
      <c r="T686" s="46">
        <v>17.5988069</v>
      </c>
      <c r="U686" s="46">
        <v>32.736763600000003</v>
      </c>
      <c r="V686" s="46">
        <v>65.682656800000004</v>
      </c>
      <c r="W686" s="46">
        <v>14.833948299999999</v>
      </c>
      <c r="X686" s="46">
        <v>19.483394799999999</v>
      </c>
      <c r="Y686" s="46">
        <v>55.712128800000002</v>
      </c>
      <c r="Z686" s="46">
        <v>15.5007549</v>
      </c>
      <c r="AA686" s="46">
        <v>28.787116300000001</v>
      </c>
      <c r="AB686" s="26">
        <f>SUM(W686:X686)</f>
        <v>34.317343100000002</v>
      </c>
      <c r="AC686" s="26">
        <f>SUM(Z686:AA686)</f>
        <v>44.287871199999998</v>
      </c>
      <c r="AD686" s="57">
        <f>M686+N686</f>
        <v>465</v>
      </c>
      <c r="AE686" s="57">
        <f>Q686+R686</f>
        <v>880</v>
      </c>
      <c r="AF686" s="26">
        <f>W686</f>
        <v>14.833948299999999</v>
      </c>
      <c r="AG686" s="26">
        <f>Z686</f>
        <v>15.5007549</v>
      </c>
      <c r="AH686" s="26">
        <f>M686</f>
        <v>201</v>
      </c>
      <c r="AI686" s="26">
        <f>Q686</f>
        <v>308</v>
      </c>
      <c r="AJ686" s="26">
        <f>X686</f>
        <v>19.483394799999999</v>
      </c>
      <c r="AK686" s="26">
        <f>AA686</f>
        <v>28.787116300000001</v>
      </c>
      <c r="AL686" s="57">
        <f>N686</f>
        <v>264</v>
      </c>
      <c r="AM686" s="57">
        <f>R686</f>
        <v>572</v>
      </c>
    </row>
    <row r="687" spans="1:39" hidden="1" x14ac:dyDescent="0.3">
      <c r="A687" s="37">
        <v>683</v>
      </c>
      <c r="B687" s="38" t="s">
        <v>521</v>
      </c>
      <c r="C687" s="38" t="s">
        <v>217</v>
      </c>
      <c r="D687" s="38" t="s">
        <v>228</v>
      </c>
      <c r="E687" s="38" t="s">
        <v>229</v>
      </c>
      <c r="F687" s="47" t="s">
        <v>519</v>
      </c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1"/>
      <c r="T687" s="41"/>
      <c r="U687" s="41"/>
      <c r="V687" s="41"/>
      <c r="W687" s="41"/>
      <c r="X687" s="41"/>
      <c r="Y687" s="41"/>
      <c r="Z687" s="41"/>
      <c r="AA687" s="41"/>
    </row>
    <row r="688" spans="1:39" hidden="1" x14ac:dyDescent="0.3">
      <c r="A688" s="37">
        <v>684</v>
      </c>
      <c r="B688" s="38" t="s">
        <v>521</v>
      </c>
      <c r="C688" s="38" t="s">
        <v>217</v>
      </c>
      <c r="D688" s="38" t="s">
        <v>228</v>
      </c>
      <c r="E688" s="38" t="s">
        <v>229</v>
      </c>
      <c r="F688" s="47" t="s">
        <v>520</v>
      </c>
      <c r="G688" s="40">
        <v>1341</v>
      </c>
      <c r="H688" s="40">
        <v>666</v>
      </c>
      <c r="I688" s="40">
        <v>236</v>
      </c>
      <c r="J688" s="40">
        <v>439</v>
      </c>
      <c r="K688" s="40">
        <v>1355</v>
      </c>
      <c r="L688" s="40">
        <v>890</v>
      </c>
      <c r="M688" s="40">
        <v>201</v>
      </c>
      <c r="N688" s="40">
        <v>264</v>
      </c>
      <c r="O688" s="40">
        <v>1987</v>
      </c>
      <c r="P688" s="40">
        <v>1107</v>
      </c>
      <c r="Q688" s="40">
        <v>308</v>
      </c>
      <c r="R688" s="40">
        <v>572</v>
      </c>
      <c r="S688" s="41">
        <v>49.664429499999997</v>
      </c>
      <c r="T688" s="41">
        <v>17.5988069</v>
      </c>
      <c r="U688" s="41">
        <v>32.736763600000003</v>
      </c>
      <c r="V688" s="41">
        <v>65.682656800000004</v>
      </c>
      <c r="W688" s="41">
        <v>14.833948299999999</v>
      </c>
      <c r="X688" s="41">
        <v>19.483394799999999</v>
      </c>
      <c r="Y688" s="41">
        <v>55.712128800000002</v>
      </c>
      <c r="Z688" s="41">
        <v>15.5007549</v>
      </c>
      <c r="AA688" s="41">
        <v>28.787116300000001</v>
      </c>
    </row>
    <row r="689" spans="1:39" hidden="1" x14ac:dyDescent="0.3">
      <c r="A689" s="42">
        <v>685</v>
      </c>
      <c r="B689" s="43" t="s">
        <v>521</v>
      </c>
      <c r="C689" s="50" t="s">
        <v>217</v>
      </c>
      <c r="D689" s="50" t="s">
        <v>228</v>
      </c>
      <c r="E689" s="50" t="s">
        <v>230</v>
      </c>
      <c r="F689" s="51" t="s">
        <v>230</v>
      </c>
      <c r="G689" s="45">
        <v>1326</v>
      </c>
      <c r="H689" s="45">
        <v>746</v>
      </c>
      <c r="I689" s="45">
        <v>216</v>
      </c>
      <c r="J689" s="45">
        <v>364</v>
      </c>
      <c r="K689" s="45">
        <v>1556</v>
      </c>
      <c r="L689" s="45">
        <v>812</v>
      </c>
      <c r="M689" s="45">
        <v>265</v>
      </c>
      <c r="N689" s="45">
        <v>479</v>
      </c>
      <c r="O689" s="45">
        <v>1760</v>
      </c>
      <c r="P689" s="45">
        <v>959</v>
      </c>
      <c r="Q689" s="45">
        <v>249</v>
      </c>
      <c r="R689" s="45">
        <v>552</v>
      </c>
      <c r="S689" s="46">
        <v>56.2594268</v>
      </c>
      <c r="T689" s="46">
        <v>16.289592800000001</v>
      </c>
      <c r="U689" s="46">
        <v>27.450980399999999</v>
      </c>
      <c r="V689" s="46">
        <v>52.185090000000002</v>
      </c>
      <c r="W689" s="46">
        <v>17.030848299999999</v>
      </c>
      <c r="X689" s="46">
        <v>30.784061699999999</v>
      </c>
      <c r="Y689" s="46">
        <v>54.488636399999997</v>
      </c>
      <c r="Z689" s="46">
        <v>14.1477273</v>
      </c>
      <c r="AA689" s="46">
        <v>31.363636400000001</v>
      </c>
      <c r="AB689" s="26">
        <f>SUM(W689:X689)</f>
        <v>47.814909999999998</v>
      </c>
      <c r="AC689" s="26">
        <f>SUM(Z689:AA689)</f>
        <v>45.511363700000004</v>
      </c>
      <c r="AD689" s="57">
        <f>M689+N689</f>
        <v>744</v>
      </c>
      <c r="AE689" s="57">
        <f>Q689+R689</f>
        <v>801</v>
      </c>
      <c r="AF689" s="26">
        <f>W689</f>
        <v>17.030848299999999</v>
      </c>
      <c r="AG689" s="26">
        <f>Z689</f>
        <v>14.1477273</v>
      </c>
      <c r="AH689" s="26">
        <f>M689</f>
        <v>265</v>
      </c>
      <c r="AI689" s="26">
        <f>Q689</f>
        <v>249</v>
      </c>
      <c r="AJ689" s="26">
        <f>X689</f>
        <v>30.784061699999999</v>
      </c>
      <c r="AK689" s="26">
        <f>AA689</f>
        <v>31.363636400000001</v>
      </c>
      <c r="AL689" s="57">
        <f>N689</f>
        <v>479</v>
      </c>
      <c r="AM689" s="57">
        <f>R689</f>
        <v>552</v>
      </c>
    </row>
    <row r="690" spans="1:39" hidden="1" x14ac:dyDescent="0.3">
      <c r="A690" s="37">
        <v>686</v>
      </c>
      <c r="B690" s="38" t="s">
        <v>521</v>
      </c>
      <c r="C690" s="38" t="s">
        <v>217</v>
      </c>
      <c r="D690" s="38" t="s">
        <v>228</v>
      </c>
      <c r="E690" s="38" t="s">
        <v>230</v>
      </c>
      <c r="F690" s="47" t="s">
        <v>519</v>
      </c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1"/>
      <c r="T690" s="41"/>
      <c r="U690" s="41"/>
      <c r="V690" s="41"/>
      <c r="W690" s="41"/>
      <c r="X690" s="41"/>
      <c r="Y690" s="41"/>
      <c r="Z690" s="41"/>
      <c r="AA690" s="41"/>
    </row>
    <row r="691" spans="1:39" hidden="1" x14ac:dyDescent="0.3">
      <c r="A691" s="37">
        <v>687</v>
      </c>
      <c r="B691" s="38" t="s">
        <v>521</v>
      </c>
      <c r="C691" s="38" t="s">
        <v>217</v>
      </c>
      <c r="D691" s="38" t="s">
        <v>228</v>
      </c>
      <c r="E691" s="38" t="s">
        <v>230</v>
      </c>
      <c r="F691" s="47" t="s">
        <v>520</v>
      </c>
      <c r="G691" s="40">
        <v>1326</v>
      </c>
      <c r="H691" s="40">
        <v>746</v>
      </c>
      <c r="I691" s="40">
        <v>216</v>
      </c>
      <c r="J691" s="40">
        <v>364</v>
      </c>
      <c r="K691" s="40">
        <v>1556</v>
      </c>
      <c r="L691" s="40">
        <v>812</v>
      </c>
      <c r="M691" s="40">
        <v>265</v>
      </c>
      <c r="N691" s="40">
        <v>479</v>
      </c>
      <c r="O691" s="40">
        <v>1760</v>
      </c>
      <c r="P691" s="40">
        <v>959</v>
      </c>
      <c r="Q691" s="40">
        <v>249</v>
      </c>
      <c r="R691" s="40">
        <v>552</v>
      </c>
      <c r="S691" s="41">
        <v>56.2594268</v>
      </c>
      <c r="T691" s="41">
        <v>16.289592800000001</v>
      </c>
      <c r="U691" s="41">
        <v>27.450980399999999</v>
      </c>
      <c r="V691" s="41">
        <v>52.185090000000002</v>
      </c>
      <c r="W691" s="41">
        <v>17.030848299999999</v>
      </c>
      <c r="X691" s="41">
        <v>30.784061699999999</v>
      </c>
      <c r="Y691" s="41">
        <v>54.488636399999997</v>
      </c>
      <c r="Z691" s="41">
        <v>14.1477273</v>
      </c>
      <c r="AA691" s="41">
        <v>31.363636400000001</v>
      </c>
    </row>
    <row r="692" spans="1:39" hidden="1" x14ac:dyDescent="0.3">
      <c r="A692" s="32">
        <v>688</v>
      </c>
      <c r="B692" s="33" t="s">
        <v>1</v>
      </c>
      <c r="C692" s="49" t="s">
        <v>217</v>
      </c>
      <c r="D692" s="49" t="s">
        <v>231</v>
      </c>
      <c r="E692" s="49"/>
      <c r="F692" s="34" t="s">
        <v>231</v>
      </c>
      <c r="G692" s="35">
        <v>1452</v>
      </c>
      <c r="H692" s="35">
        <v>855</v>
      </c>
      <c r="I692" s="35">
        <v>247</v>
      </c>
      <c r="J692" s="35">
        <v>350</v>
      </c>
      <c r="K692" s="35">
        <v>2903</v>
      </c>
      <c r="L692" s="35">
        <v>1304</v>
      </c>
      <c r="M692" s="35">
        <v>556</v>
      </c>
      <c r="N692" s="35">
        <v>1043</v>
      </c>
      <c r="O692" s="35">
        <v>3645</v>
      </c>
      <c r="P692" s="35">
        <v>1692</v>
      </c>
      <c r="Q692" s="35">
        <v>692</v>
      </c>
      <c r="R692" s="35">
        <v>1261</v>
      </c>
      <c r="S692" s="36">
        <v>58.884297500000002</v>
      </c>
      <c r="T692" s="36">
        <v>17.011019300000001</v>
      </c>
      <c r="U692" s="36">
        <v>24.1046832</v>
      </c>
      <c r="V692" s="36">
        <v>44.919049299999998</v>
      </c>
      <c r="W692" s="36">
        <v>19.152600799999998</v>
      </c>
      <c r="X692" s="36">
        <v>35.928350000000002</v>
      </c>
      <c r="Y692" s="36">
        <v>46.419753100000001</v>
      </c>
      <c r="Z692" s="36">
        <v>18.984910800000002</v>
      </c>
      <c r="AA692" s="36">
        <v>34.595336099999997</v>
      </c>
    </row>
    <row r="693" spans="1:39" hidden="1" x14ac:dyDescent="0.3">
      <c r="A693" s="37">
        <v>689</v>
      </c>
      <c r="B693" s="38" t="s">
        <v>1</v>
      </c>
      <c r="C693" s="38" t="s">
        <v>217</v>
      </c>
      <c r="D693" s="38" t="s">
        <v>231</v>
      </c>
      <c r="E693" s="38"/>
      <c r="F693" s="39" t="s">
        <v>519</v>
      </c>
      <c r="G693" s="40"/>
      <c r="H693" s="40"/>
      <c r="I693" s="40"/>
      <c r="J693" s="40"/>
      <c r="K693" s="40"/>
      <c r="L693" s="40"/>
      <c r="M693" s="40"/>
      <c r="N693" s="40"/>
      <c r="O693" s="40">
        <v>1752</v>
      </c>
      <c r="P693" s="40">
        <v>964</v>
      </c>
      <c r="Q693" s="40">
        <v>283</v>
      </c>
      <c r="R693" s="40">
        <v>505</v>
      </c>
      <c r="S693" s="41"/>
      <c r="T693" s="41"/>
      <c r="U693" s="41"/>
      <c r="V693" s="41"/>
      <c r="W693" s="41"/>
      <c r="X693" s="41"/>
      <c r="Y693" s="41">
        <v>55.022831099999998</v>
      </c>
      <c r="Z693" s="41">
        <v>16.152968000000001</v>
      </c>
      <c r="AA693" s="41">
        <v>28.824200900000001</v>
      </c>
    </row>
    <row r="694" spans="1:39" hidden="1" x14ac:dyDescent="0.3">
      <c r="A694" s="37">
        <v>690</v>
      </c>
      <c r="B694" s="38" t="s">
        <v>1</v>
      </c>
      <c r="C694" s="38" t="s">
        <v>217</v>
      </c>
      <c r="D694" s="38" t="s">
        <v>231</v>
      </c>
      <c r="E694" s="38"/>
      <c r="F694" s="39" t="s">
        <v>520</v>
      </c>
      <c r="G694" s="40">
        <v>1452</v>
      </c>
      <c r="H694" s="40">
        <v>855</v>
      </c>
      <c r="I694" s="40">
        <v>247</v>
      </c>
      <c r="J694" s="40">
        <v>350</v>
      </c>
      <c r="K694" s="40">
        <v>2903</v>
      </c>
      <c r="L694" s="40">
        <v>1304</v>
      </c>
      <c r="M694" s="40">
        <v>556</v>
      </c>
      <c r="N694" s="40">
        <v>1043</v>
      </c>
      <c r="O694" s="40">
        <v>1893</v>
      </c>
      <c r="P694" s="40">
        <v>728</v>
      </c>
      <c r="Q694" s="40">
        <v>409</v>
      </c>
      <c r="R694" s="40">
        <v>756</v>
      </c>
      <c r="S694" s="41">
        <v>58.884297500000002</v>
      </c>
      <c r="T694" s="41">
        <v>17.011019300000001</v>
      </c>
      <c r="U694" s="41">
        <v>24.1046832</v>
      </c>
      <c r="V694" s="41">
        <v>44.919049299999998</v>
      </c>
      <c r="W694" s="41">
        <v>19.152600799999998</v>
      </c>
      <c r="X694" s="41">
        <v>35.928350000000002</v>
      </c>
      <c r="Y694" s="41">
        <v>38.457474900000001</v>
      </c>
      <c r="Z694" s="41">
        <v>21.605916499999999</v>
      </c>
      <c r="AA694" s="41">
        <v>39.9366086</v>
      </c>
    </row>
    <row r="695" spans="1:39" hidden="1" x14ac:dyDescent="0.3">
      <c r="A695" s="42">
        <v>691</v>
      </c>
      <c r="B695" s="43" t="s">
        <v>521</v>
      </c>
      <c r="C695" s="50" t="s">
        <v>217</v>
      </c>
      <c r="D695" s="50" t="s">
        <v>231</v>
      </c>
      <c r="E695" s="50" t="s">
        <v>232</v>
      </c>
      <c r="F695" s="51" t="s">
        <v>232</v>
      </c>
      <c r="G695" s="45">
        <v>350</v>
      </c>
      <c r="H695" s="45">
        <v>167</v>
      </c>
      <c r="I695" s="45">
        <v>84</v>
      </c>
      <c r="J695" s="45">
        <v>99</v>
      </c>
      <c r="K695" s="45">
        <v>349</v>
      </c>
      <c r="L695" s="45">
        <v>305</v>
      </c>
      <c r="M695" s="45">
        <v>26</v>
      </c>
      <c r="N695" s="45">
        <v>18</v>
      </c>
      <c r="O695" s="45">
        <v>1192</v>
      </c>
      <c r="P695" s="45">
        <v>736</v>
      </c>
      <c r="Q695" s="45">
        <v>175</v>
      </c>
      <c r="R695" s="45">
        <v>281</v>
      </c>
      <c r="S695" s="46">
        <v>47.714285699999998</v>
      </c>
      <c r="T695" s="46">
        <v>24</v>
      </c>
      <c r="U695" s="46">
        <v>28.285714299999999</v>
      </c>
      <c r="V695" s="46">
        <v>87.392550099999994</v>
      </c>
      <c r="W695" s="46">
        <v>7.4498566999999998</v>
      </c>
      <c r="X695" s="46">
        <v>5.1575930999999997</v>
      </c>
      <c r="Y695" s="46">
        <v>61.744966400000003</v>
      </c>
      <c r="Z695" s="46">
        <v>14.681208099999999</v>
      </c>
      <c r="AA695" s="46">
        <v>23.573825500000002</v>
      </c>
      <c r="AB695" s="26">
        <f>SUM(W695:X695)</f>
        <v>12.607449799999999</v>
      </c>
      <c r="AC695" s="26">
        <f>SUM(Z695:AA695)</f>
        <v>38.255033600000004</v>
      </c>
      <c r="AD695" s="57">
        <f>M695+N695</f>
        <v>44</v>
      </c>
      <c r="AE695" s="57">
        <f>Q695+R695</f>
        <v>456</v>
      </c>
      <c r="AF695" s="26">
        <f>W695</f>
        <v>7.4498566999999998</v>
      </c>
      <c r="AG695" s="26">
        <f>Z695</f>
        <v>14.681208099999999</v>
      </c>
      <c r="AH695" s="26">
        <f>M695</f>
        <v>26</v>
      </c>
      <c r="AI695" s="26">
        <f>Q695</f>
        <v>175</v>
      </c>
      <c r="AJ695" s="26">
        <f>X695</f>
        <v>5.1575930999999997</v>
      </c>
      <c r="AK695" s="26">
        <f>AA695</f>
        <v>23.573825500000002</v>
      </c>
      <c r="AL695" s="57">
        <f>N695</f>
        <v>18</v>
      </c>
      <c r="AM695" s="57">
        <f>R695</f>
        <v>281</v>
      </c>
    </row>
    <row r="696" spans="1:39" hidden="1" x14ac:dyDescent="0.3">
      <c r="A696" s="37">
        <v>692</v>
      </c>
      <c r="B696" s="38" t="s">
        <v>521</v>
      </c>
      <c r="C696" s="38" t="s">
        <v>217</v>
      </c>
      <c r="D696" s="38" t="s">
        <v>231</v>
      </c>
      <c r="E696" s="38" t="s">
        <v>232</v>
      </c>
      <c r="F696" s="47" t="s">
        <v>519</v>
      </c>
      <c r="G696" s="40"/>
      <c r="H696" s="40"/>
      <c r="I696" s="40"/>
      <c r="J696" s="40"/>
      <c r="K696" s="40"/>
      <c r="L696" s="40"/>
      <c r="M696" s="40"/>
      <c r="N696" s="40"/>
      <c r="O696" s="40">
        <v>1140</v>
      </c>
      <c r="P696" s="40">
        <v>703</v>
      </c>
      <c r="Q696" s="40">
        <v>170</v>
      </c>
      <c r="R696" s="40">
        <v>267</v>
      </c>
      <c r="S696" s="41"/>
      <c r="T696" s="41"/>
      <c r="U696" s="41"/>
      <c r="V696" s="41"/>
      <c r="W696" s="41"/>
      <c r="X696" s="41"/>
      <c r="Y696" s="41">
        <v>61.6666667</v>
      </c>
      <c r="Z696" s="41">
        <v>14.9122807</v>
      </c>
      <c r="AA696" s="41">
        <v>23.421052599999999</v>
      </c>
    </row>
    <row r="697" spans="1:39" hidden="1" x14ac:dyDescent="0.3">
      <c r="A697" s="37">
        <v>693</v>
      </c>
      <c r="B697" s="38" t="s">
        <v>521</v>
      </c>
      <c r="C697" s="38" t="s">
        <v>217</v>
      </c>
      <c r="D697" s="38" t="s">
        <v>231</v>
      </c>
      <c r="E697" s="38" t="s">
        <v>232</v>
      </c>
      <c r="F697" s="47" t="s">
        <v>520</v>
      </c>
      <c r="G697" s="40">
        <v>350</v>
      </c>
      <c r="H697" s="40">
        <v>167</v>
      </c>
      <c r="I697" s="40">
        <v>84</v>
      </c>
      <c r="J697" s="40">
        <v>99</v>
      </c>
      <c r="K697" s="40">
        <v>349</v>
      </c>
      <c r="L697" s="40">
        <v>305</v>
      </c>
      <c r="M697" s="40">
        <v>26</v>
      </c>
      <c r="N697" s="40">
        <v>18</v>
      </c>
      <c r="O697" s="40">
        <v>52</v>
      </c>
      <c r="P697" s="40">
        <v>33</v>
      </c>
      <c r="Q697" s="40">
        <v>5</v>
      </c>
      <c r="R697" s="40">
        <v>14</v>
      </c>
      <c r="S697" s="41">
        <v>47.714285699999998</v>
      </c>
      <c r="T697" s="41">
        <v>24</v>
      </c>
      <c r="U697" s="41">
        <v>28.285714299999999</v>
      </c>
      <c r="V697" s="41">
        <v>87.392550099999994</v>
      </c>
      <c r="W697" s="41">
        <v>7.4498566999999998</v>
      </c>
      <c r="X697" s="41">
        <v>5.1575930999999997</v>
      </c>
      <c r="Y697" s="41">
        <v>63.461538500000003</v>
      </c>
      <c r="Z697" s="41">
        <v>9.6153846000000005</v>
      </c>
      <c r="AA697" s="41">
        <v>26.923076900000002</v>
      </c>
    </row>
    <row r="698" spans="1:39" hidden="1" x14ac:dyDescent="0.3">
      <c r="A698" s="42">
        <v>694</v>
      </c>
      <c r="B698" s="43" t="s">
        <v>521</v>
      </c>
      <c r="C698" s="50" t="s">
        <v>217</v>
      </c>
      <c r="D698" s="50" t="s">
        <v>231</v>
      </c>
      <c r="E698" s="50" t="s">
        <v>233</v>
      </c>
      <c r="F698" s="51" t="s">
        <v>233</v>
      </c>
      <c r="G698" s="45">
        <v>328</v>
      </c>
      <c r="H698" s="45">
        <v>225</v>
      </c>
      <c r="I698" s="45">
        <v>35</v>
      </c>
      <c r="J698" s="45">
        <v>68</v>
      </c>
      <c r="K698" s="45">
        <v>1082</v>
      </c>
      <c r="L698" s="45">
        <v>390</v>
      </c>
      <c r="M698" s="45">
        <v>205</v>
      </c>
      <c r="N698" s="45">
        <v>487</v>
      </c>
      <c r="O698" s="45">
        <v>1055</v>
      </c>
      <c r="P698" s="45">
        <v>451</v>
      </c>
      <c r="Q698" s="45">
        <v>184</v>
      </c>
      <c r="R698" s="45">
        <v>420</v>
      </c>
      <c r="S698" s="46">
        <v>68.597560999999999</v>
      </c>
      <c r="T698" s="46">
        <v>10.670731699999999</v>
      </c>
      <c r="U698" s="46">
        <v>20.7317073</v>
      </c>
      <c r="V698" s="46">
        <v>36.044362300000003</v>
      </c>
      <c r="W698" s="46">
        <v>18.946395599999999</v>
      </c>
      <c r="X698" s="46">
        <v>45.009242100000002</v>
      </c>
      <c r="Y698" s="46">
        <v>42.748815200000003</v>
      </c>
      <c r="Z698" s="46">
        <v>17.440758299999999</v>
      </c>
      <c r="AA698" s="46">
        <v>39.810426499999998</v>
      </c>
      <c r="AB698" s="26">
        <f>SUM(W698:X698)</f>
        <v>63.955637699999997</v>
      </c>
      <c r="AC698" s="26">
        <f>SUM(Z698:AA698)</f>
        <v>57.251184799999997</v>
      </c>
      <c r="AD698" s="57">
        <f>M698+N698</f>
        <v>692</v>
      </c>
      <c r="AE698" s="57">
        <f>Q698+R698</f>
        <v>604</v>
      </c>
      <c r="AF698" s="26">
        <f>W698</f>
        <v>18.946395599999999</v>
      </c>
      <c r="AG698" s="26">
        <f>Z698</f>
        <v>17.440758299999999</v>
      </c>
      <c r="AH698" s="26">
        <f>M698</f>
        <v>205</v>
      </c>
      <c r="AI698" s="26">
        <f>Q698</f>
        <v>184</v>
      </c>
      <c r="AJ698" s="26">
        <f>X698</f>
        <v>45.009242100000002</v>
      </c>
      <c r="AK698" s="26">
        <f>AA698</f>
        <v>39.810426499999998</v>
      </c>
      <c r="AL698" s="57">
        <f>N698</f>
        <v>487</v>
      </c>
      <c r="AM698" s="57">
        <f>R698</f>
        <v>420</v>
      </c>
    </row>
    <row r="699" spans="1:39" hidden="1" x14ac:dyDescent="0.3">
      <c r="A699" s="37">
        <v>695</v>
      </c>
      <c r="B699" s="38" t="s">
        <v>521</v>
      </c>
      <c r="C699" s="38" t="s">
        <v>217</v>
      </c>
      <c r="D699" s="38" t="s">
        <v>231</v>
      </c>
      <c r="E699" s="38" t="s">
        <v>233</v>
      </c>
      <c r="F699" s="47" t="s">
        <v>519</v>
      </c>
      <c r="G699" s="40"/>
      <c r="H699" s="40"/>
      <c r="I699" s="40"/>
      <c r="J699" s="40"/>
      <c r="K699" s="40"/>
      <c r="L699" s="40"/>
      <c r="M699" s="40"/>
      <c r="N699" s="40"/>
      <c r="O699" s="40">
        <v>612</v>
      </c>
      <c r="P699" s="40">
        <v>261</v>
      </c>
      <c r="Q699" s="40">
        <v>113</v>
      </c>
      <c r="R699" s="40">
        <v>238</v>
      </c>
      <c r="S699" s="41"/>
      <c r="T699" s="41"/>
      <c r="U699" s="41"/>
      <c r="V699" s="41"/>
      <c r="W699" s="41"/>
      <c r="X699" s="41"/>
      <c r="Y699" s="41">
        <v>42.647058800000003</v>
      </c>
      <c r="Z699" s="41">
        <v>18.464052299999999</v>
      </c>
      <c r="AA699" s="41">
        <v>38.888888899999998</v>
      </c>
    </row>
    <row r="700" spans="1:39" hidden="1" x14ac:dyDescent="0.3">
      <c r="A700" s="37">
        <v>696</v>
      </c>
      <c r="B700" s="38" t="s">
        <v>521</v>
      </c>
      <c r="C700" s="38" t="s">
        <v>217</v>
      </c>
      <c r="D700" s="38" t="s">
        <v>231</v>
      </c>
      <c r="E700" s="38" t="s">
        <v>233</v>
      </c>
      <c r="F700" s="47" t="s">
        <v>520</v>
      </c>
      <c r="G700" s="40">
        <v>328</v>
      </c>
      <c r="H700" s="40">
        <v>225</v>
      </c>
      <c r="I700" s="40">
        <v>35</v>
      </c>
      <c r="J700" s="40">
        <v>68</v>
      </c>
      <c r="K700" s="40">
        <v>1082</v>
      </c>
      <c r="L700" s="40">
        <v>390</v>
      </c>
      <c r="M700" s="40">
        <v>205</v>
      </c>
      <c r="N700" s="40">
        <v>487</v>
      </c>
      <c r="O700" s="40">
        <v>443</v>
      </c>
      <c r="P700" s="40">
        <v>190</v>
      </c>
      <c r="Q700" s="40">
        <v>71</v>
      </c>
      <c r="R700" s="40">
        <v>182</v>
      </c>
      <c r="S700" s="41">
        <v>68.597560999999999</v>
      </c>
      <c r="T700" s="41">
        <v>10.670731699999999</v>
      </c>
      <c r="U700" s="41">
        <v>20.7317073</v>
      </c>
      <c r="V700" s="41">
        <v>36.044362300000003</v>
      </c>
      <c r="W700" s="41">
        <v>18.946395599999999</v>
      </c>
      <c r="X700" s="41">
        <v>45.009242100000002</v>
      </c>
      <c r="Y700" s="41">
        <v>42.889390499999998</v>
      </c>
      <c r="Z700" s="41">
        <v>16.027087999999999</v>
      </c>
      <c r="AA700" s="41">
        <v>41.083521400000002</v>
      </c>
    </row>
    <row r="701" spans="1:39" hidden="1" x14ac:dyDescent="0.3">
      <c r="A701" s="42">
        <v>697</v>
      </c>
      <c r="B701" s="43" t="s">
        <v>521</v>
      </c>
      <c r="C701" s="50" t="s">
        <v>217</v>
      </c>
      <c r="D701" s="50" t="s">
        <v>231</v>
      </c>
      <c r="E701" s="50" t="s">
        <v>234</v>
      </c>
      <c r="F701" s="51" t="s">
        <v>234</v>
      </c>
      <c r="G701" s="45">
        <v>313</v>
      </c>
      <c r="H701" s="45">
        <v>167</v>
      </c>
      <c r="I701" s="45">
        <v>59</v>
      </c>
      <c r="J701" s="45">
        <v>87</v>
      </c>
      <c r="K701" s="45">
        <v>584</v>
      </c>
      <c r="L701" s="45">
        <v>236</v>
      </c>
      <c r="M701" s="45">
        <v>130</v>
      </c>
      <c r="N701" s="45">
        <v>218</v>
      </c>
      <c r="O701" s="45">
        <v>352</v>
      </c>
      <c r="P701" s="45">
        <v>153</v>
      </c>
      <c r="Q701" s="45">
        <v>70</v>
      </c>
      <c r="R701" s="45">
        <v>129</v>
      </c>
      <c r="S701" s="46">
        <v>53.354632600000002</v>
      </c>
      <c r="T701" s="46">
        <v>18.8498403</v>
      </c>
      <c r="U701" s="46">
        <v>27.795527199999999</v>
      </c>
      <c r="V701" s="46">
        <v>40.410958899999997</v>
      </c>
      <c r="W701" s="46">
        <v>22.260273999999999</v>
      </c>
      <c r="X701" s="46">
        <v>37.3287671</v>
      </c>
      <c r="Y701" s="46">
        <v>43.465909099999998</v>
      </c>
      <c r="Z701" s="46">
        <v>19.886363599999999</v>
      </c>
      <c r="AA701" s="46">
        <v>36.6477273</v>
      </c>
      <c r="AB701" s="26">
        <f>SUM(W701:X701)</f>
        <v>59.589041100000003</v>
      </c>
      <c r="AC701" s="26">
        <f>SUM(Z701:AA701)</f>
        <v>56.534090899999995</v>
      </c>
      <c r="AD701" s="57">
        <f>M701+N701</f>
        <v>348</v>
      </c>
      <c r="AE701" s="57">
        <f>Q701+R701</f>
        <v>199</v>
      </c>
      <c r="AF701" s="26">
        <f>W701</f>
        <v>22.260273999999999</v>
      </c>
      <c r="AG701" s="26">
        <f>Z701</f>
        <v>19.886363599999999</v>
      </c>
      <c r="AH701" s="26">
        <f>M701</f>
        <v>130</v>
      </c>
      <c r="AI701" s="26">
        <f>Q701</f>
        <v>70</v>
      </c>
      <c r="AJ701" s="26">
        <f>X701</f>
        <v>37.3287671</v>
      </c>
      <c r="AK701" s="26">
        <f>AA701</f>
        <v>36.6477273</v>
      </c>
      <c r="AL701" s="57">
        <f>N701</f>
        <v>218</v>
      </c>
      <c r="AM701" s="57">
        <f>R701</f>
        <v>129</v>
      </c>
    </row>
    <row r="702" spans="1:39" hidden="1" x14ac:dyDescent="0.3">
      <c r="A702" s="37">
        <v>698</v>
      </c>
      <c r="B702" s="38" t="s">
        <v>521</v>
      </c>
      <c r="C702" s="38" t="s">
        <v>217</v>
      </c>
      <c r="D702" s="38" t="s">
        <v>231</v>
      </c>
      <c r="E702" s="38" t="s">
        <v>234</v>
      </c>
      <c r="F702" s="47" t="s">
        <v>519</v>
      </c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1"/>
      <c r="T702" s="41"/>
      <c r="U702" s="41"/>
      <c r="V702" s="41"/>
      <c r="W702" s="41"/>
      <c r="X702" s="41"/>
      <c r="Y702" s="41"/>
      <c r="Z702" s="41"/>
      <c r="AA702" s="41"/>
    </row>
    <row r="703" spans="1:39" hidden="1" x14ac:dyDescent="0.3">
      <c r="A703" s="37">
        <v>699</v>
      </c>
      <c r="B703" s="38" t="s">
        <v>521</v>
      </c>
      <c r="C703" s="38" t="s">
        <v>217</v>
      </c>
      <c r="D703" s="38" t="s">
        <v>231</v>
      </c>
      <c r="E703" s="38" t="s">
        <v>234</v>
      </c>
      <c r="F703" s="47" t="s">
        <v>520</v>
      </c>
      <c r="G703" s="40">
        <v>313</v>
      </c>
      <c r="H703" s="40">
        <v>167</v>
      </c>
      <c r="I703" s="40">
        <v>59</v>
      </c>
      <c r="J703" s="40">
        <v>87</v>
      </c>
      <c r="K703" s="40">
        <v>584</v>
      </c>
      <c r="L703" s="40">
        <v>236</v>
      </c>
      <c r="M703" s="40">
        <v>130</v>
      </c>
      <c r="N703" s="40">
        <v>218</v>
      </c>
      <c r="O703" s="40">
        <v>352</v>
      </c>
      <c r="P703" s="40">
        <v>153</v>
      </c>
      <c r="Q703" s="40">
        <v>70</v>
      </c>
      <c r="R703" s="40">
        <v>129</v>
      </c>
      <c r="S703" s="41">
        <v>53.354632600000002</v>
      </c>
      <c r="T703" s="41">
        <v>18.8498403</v>
      </c>
      <c r="U703" s="41">
        <v>27.795527199999999</v>
      </c>
      <c r="V703" s="41">
        <v>40.410958899999997</v>
      </c>
      <c r="W703" s="41">
        <v>22.260273999999999</v>
      </c>
      <c r="X703" s="41">
        <v>37.3287671</v>
      </c>
      <c r="Y703" s="41">
        <v>43.465909099999998</v>
      </c>
      <c r="Z703" s="41">
        <v>19.886363599999999</v>
      </c>
      <c r="AA703" s="41">
        <v>36.6477273</v>
      </c>
    </row>
    <row r="704" spans="1:39" hidden="1" x14ac:dyDescent="0.3">
      <c r="A704" s="42">
        <v>700</v>
      </c>
      <c r="B704" s="43" t="s">
        <v>521</v>
      </c>
      <c r="C704" s="50" t="s">
        <v>217</v>
      </c>
      <c r="D704" s="50" t="s">
        <v>231</v>
      </c>
      <c r="E704" s="50" t="s">
        <v>235</v>
      </c>
      <c r="F704" s="51" t="s">
        <v>235</v>
      </c>
      <c r="G704" s="45">
        <v>80</v>
      </c>
      <c r="H704" s="45">
        <v>46</v>
      </c>
      <c r="I704" s="45">
        <v>17</v>
      </c>
      <c r="J704" s="45">
        <v>17</v>
      </c>
      <c r="K704" s="45">
        <v>169</v>
      </c>
      <c r="L704" s="45">
        <v>80</v>
      </c>
      <c r="M704" s="45">
        <v>31</v>
      </c>
      <c r="N704" s="45">
        <v>58</v>
      </c>
      <c r="O704" s="45">
        <v>173</v>
      </c>
      <c r="P704" s="45">
        <v>70</v>
      </c>
      <c r="Q704" s="45">
        <v>31</v>
      </c>
      <c r="R704" s="45">
        <v>72</v>
      </c>
      <c r="S704" s="46">
        <v>57.5</v>
      </c>
      <c r="T704" s="46">
        <v>21.25</v>
      </c>
      <c r="U704" s="46">
        <v>21.25</v>
      </c>
      <c r="V704" s="46">
        <v>47.337278099999999</v>
      </c>
      <c r="W704" s="46">
        <v>18.343195300000001</v>
      </c>
      <c r="X704" s="46">
        <v>34.319526600000003</v>
      </c>
      <c r="Y704" s="46">
        <v>40.462427699999999</v>
      </c>
      <c r="Z704" s="46">
        <v>17.919075100000001</v>
      </c>
      <c r="AA704" s="46">
        <v>41.618497099999999</v>
      </c>
      <c r="AB704" s="26">
        <f>SUM(W704:X704)</f>
        <v>52.662721900000008</v>
      </c>
      <c r="AC704" s="26">
        <f>SUM(Z704:AA704)</f>
        <v>59.5375722</v>
      </c>
      <c r="AD704" s="57">
        <f>M704+N704</f>
        <v>89</v>
      </c>
      <c r="AE704" s="57">
        <f>Q704+R704</f>
        <v>103</v>
      </c>
      <c r="AF704" s="26">
        <f>W704</f>
        <v>18.343195300000001</v>
      </c>
      <c r="AG704" s="26">
        <f>Z704</f>
        <v>17.919075100000001</v>
      </c>
      <c r="AH704" s="26">
        <f>M704</f>
        <v>31</v>
      </c>
      <c r="AI704" s="26">
        <f>Q704</f>
        <v>31</v>
      </c>
      <c r="AJ704" s="26">
        <f>X704</f>
        <v>34.319526600000003</v>
      </c>
      <c r="AK704" s="26">
        <f>AA704</f>
        <v>41.618497099999999</v>
      </c>
      <c r="AL704" s="57">
        <f>N704</f>
        <v>58</v>
      </c>
      <c r="AM704" s="57">
        <f>R704</f>
        <v>72</v>
      </c>
    </row>
    <row r="705" spans="1:39" hidden="1" x14ac:dyDescent="0.3">
      <c r="A705" s="37">
        <v>701</v>
      </c>
      <c r="B705" s="38" t="s">
        <v>521</v>
      </c>
      <c r="C705" s="38" t="s">
        <v>217</v>
      </c>
      <c r="D705" s="38" t="s">
        <v>231</v>
      </c>
      <c r="E705" s="38" t="s">
        <v>235</v>
      </c>
      <c r="F705" s="47" t="s">
        <v>519</v>
      </c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1"/>
      <c r="T705" s="41"/>
      <c r="U705" s="41"/>
      <c r="V705" s="41"/>
      <c r="W705" s="41"/>
      <c r="X705" s="41"/>
      <c r="Y705" s="41"/>
      <c r="Z705" s="41"/>
      <c r="AA705" s="41"/>
    </row>
    <row r="706" spans="1:39" hidden="1" x14ac:dyDescent="0.3">
      <c r="A706" s="37">
        <v>702</v>
      </c>
      <c r="B706" s="38" t="s">
        <v>521</v>
      </c>
      <c r="C706" s="38" t="s">
        <v>217</v>
      </c>
      <c r="D706" s="38" t="s">
        <v>231</v>
      </c>
      <c r="E706" s="38" t="s">
        <v>235</v>
      </c>
      <c r="F706" s="47" t="s">
        <v>520</v>
      </c>
      <c r="G706" s="40">
        <v>80</v>
      </c>
      <c r="H706" s="40">
        <v>46</v>
      </c>
      <c r="I706" s="40">
        <v>17</v>
      </c>
      <c r="J706" s="40">
        <v>17</v>
      </c>
      <c r="K706" s="40">
        <v>169</v>
      </c>
      <c r="L706" s="40">
        <v>80</v>
      </c>
      <c r="M706" s="40">
        <v>31</v>
      </c>
      <c r="N706" s="40">
        <v>58</v>
      </c>
      <c r="O706" s="40">
        <v>173</v>
      </c>
      <c r="P706" s="40">
        <v>70</v>
      </c>
      <c r="Q706" s="40">
        <v>31</v>
      </c>
      <c r="R706" s="40">
        <v>72</v>
      </c>
      <c r="S706" s="41">
        <v>57.5</v>
      </c>
      <c r="T706" s="41">
        <v>21.25</v>
      </c>
      <c r="U706" s="41">
        <v>21.25</v>
      </c>
      <c r="V706" s="41">
        <v>47.337278099999999</v>
      </c>
      <c r="W706" s="41">
        <v>18.343195300000001</v>
      </c>
      <c r="X706" s="41">
        <v>34.319526600000003</v>
      </c>
      <c r="Y706" s="41">
        <v>40.462427699999999</v>
      </c>
      <c r="Z706" s="41">
        <v>17.919075100000001</v>
      </c>
      <c r="AA706" s="41">
        <v>41.618497099999999</v>
      </c>
    </row>
    <row r="707" spans="1:39" hidden="1" x14ac:dyDescent="0.3">
      <c r="A707" s="42">
        <v>703</v>
      </c>
      <c r="B707" s="43" t="s">
        <v>521</v>
      </c>
      <c r="C707" s="50" t="s">
        <v>217</v>
      </c>
      <c r="D707" s="50" t="s">
        <v>231</v>
      </c>
      <c r="E707" s="50" t="s">
        <v>236</v>
      </c>
      <c r="F707" s="51" t="s">
        <v>236</v>
      </c>
      <c r="G707" s="45">
        <v>381</v>
      </c>
      <c r="H707" s="45">
        <v>250</v>
      </c>
      <c r="I707" s="45">
        <v>52</v>
      </c>
      <c r="J707" s="45">
        <v>79</v>
      </c>
      <c r="K707" s="45">
        <v>719</v>
      </c>
      <c r="L707" s="45">
        <v>293</v>
      </c>
      <c r="M707" s="45">
        <v>164</v>
      </c>
      <c r="N707" s="45">
        <v>262</v>
      </c>
      <c r="O707" s="45">
        <v>873</v>
      </c>
      <c r="P707" s="45">
        <v>282</v>
      </c>
      <c r="Q707" s="45">
        <v>232</v>
      </c>
      <c r="R707" s="45">
        <v>359</v>
      </c>
      <c r="S707" s="46">
        <v>65.616797899999995</v>
      </c>
      <c r="T707" s="46">
        <v>13.648294</v>
      </c>
      <c r="U707" s="46">
        <v>20.734908099999998</v>
      </c>
      <c r="V707" s="46">
        <v>40.751043099999997</v>
      </c>
      <c r="W707" s="46">
        <v>22.809457600000002</v>
      </c>
      <c r="X707" s="46">
        <v>36.439499300000001</v>
      </c>
      <c r="Y707" s="46">
        <v>32.302405499999999</v>
      </c>
      <c r="Z707" s="46">
        <v>26.5750286</v>
      </c>
      <c r="AA707" s="46">
        <v>41.122565899999998</v>
      </c>
      <c r="AB707" s="26">
        <f>SUM(W707:X707)</f>
        <v>59.248956900000003</v>
      </c>
      <c r="AC707" s="26">
        <f>SUM(Z707:AA707)</f>
        <v>67.697594499999994</v>
      </c>
      <c r="AD707" s="57">
        <f>M707+N707</f>
        <v>426</v>
      </c>
      <c r="AE707" s="57">
        <f>Q707+R707</f>
        <v>591</v>
      </c>
      <c r="AF707" s="26">
        <f>W707</f>
        <v>22.809457600000002</v>
      </c>
      <c r="AG707" s="26">
        <f>Z707</f>
        <v>26.5750286</v>
      </c>
      <c r="AH707" s="26">
        <f>M707</f>
        <v>164</v>
      </c>
      <c r="AI707" s="26">
        <f>Q707</f>
        <v>232</v>
      </c>
      <c r="AJ707" s="26">
        <f>X707</f>
        <v>36.439499300000001</v>
      </c>
      <c r="AK707" s="26">
        <f>AA707</f>
        <v>41.122565899999998</v>
      </c>
      <c r="AL707" s="57">
        <f>N707</f>
        <v>262</v>
      </c>
      <c r="AM707" s="57">
        <f>R707</f>
        <v>359</v>
      </c>
    </row>
    <row r="708" spans="1:39" hidden="1" x14ac:dyDescent="0.3">
      <c r="A708" s="37">
        <v>704</v>
      </c>
      <c r="B708" s="38" t="s">
        <v>521</v>
      </c>
      <c r="C708" s="38" t="s">
        <v>217</v>
      </c>
      <c r="D708" s="38" t="s">
        <v>231</v>
      </c>
      <c r="E708" s="38" t="s">
        <v>236</v>
      </c>
      <c r="F708" s="47" t="s">
        <v>519</v>
      </c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1"/>
      <c r="T708" s="41"/>
      <c r="U708" s="41"/>
      <c r="V708" s="41"/>
      <c r="W708" s="41"/>
      <c r="X708" s="41"/>
      <c r="Y708" s="41"/>
      <c r="Z708" s="41"/>
      <c r="AA708" s="41"/>
    </row>
    <row r="709" spans="1:39" hidden="1" x14ac:dyDescent="0.3">
      <c r="A709" s="37">
        <v>705</v>
      </c>
      <c r="B709" s="38" t="s">
        <v>521</v>
      </c>
      <c r="C709" s="38" t="s">
        <v>217</v>
      </c>
      <c r="D709" s="38" t="s">
        <v>231</v>
      </c>
      <c r="E709" s="38" t="s">
        <v>236</v>
      </c>
      <c r="F709" s="47" t="s">
        <v>520</v>
      </c>
      <c r="G709" s="40">
        <v>381</v>
      </c>
      <c r="H709" s="40">
        <v>250</v>
      </c>
      <c r="I709" s="40">
        <v>52</v>
      </c>
      <c r="J709" s="40">
        <v>79</v>
      </c>
      <c r="K709" s="40">
        <v>719</v>
      </c>
      <c r="L709" s="40">
        <v>293</v>
      </c>
      <c r="M709" s="40">
        <v>164</v>
      </c>
      <c r="N709" s="40">
        <v>262</v>
      </c>
      <c r="O709" s="40">
        <v>873</v>
      </c>
      <c r="P709" s="40">
        <v>282</v>
      </c>
      <c r="Q709" s="40">
        <v>232</v>
      </c>
      <c r="R709" s="40">
        <v>359</v>
      </c>
      <c r="S709" s="41">
        <v>65.616797899999995</v>
      </c>
      <c r="T709" s="41">
        <v>13.648294</v>
      </c>
      <c r="U709" s="41">
        <v>20.734908099999998</v>
      </c>
      <c r="V709" s="41">
        <v>40.751043099999997</v>
      </c>
      <c r="W709" s="41">
        <v>22.809457600000002</v>
      </c>
      <c r="X709" s="41">
        <v>36.439499300000001</v>
      </c>
      <c r="Y709" s="41">
        <v>32.302405499999999</v>
      </c>
      <c r="Z709" s="41">
        <v>26.5750286</v>
      </c>
      <c r="AA709" s="41">
        <v>41.122565899999998</v>
      </c>
    </row>
    <row r="710" spans="1:39" hidden="1" x14ac:dyDescent="0.3">
      <c r="A710" s="32">
        <v>706</v>
      </c>
      <c r="B710" s="33" t="s">
        <v>1</v>
      </c>
      <c r="C710" s="49" t="s">
        <v>217</v>
      </c>
      <c r="D710" s="49" t="s">
        <v>237</v>
      </c>
      <c r="E710" s="49"/>
      <c r="F710" s="34" t="s">
        <v>237</v>
      </c>
      <c r="G710" s="35">
        <v>4725</v>
      </c>
      <c r="H710" s="35">
        <v>2697</v>
      </c>
      <c r="I710" s="35">
        <v>772</v>
      </c>
      <c r="J710" s="35">
        <v>1256</v>
      </c>
      <c r="K710" s="35">
        <v>6182</v>
      </c>
      <c r="L710" s="35">
        <v>4248</v>
      </c>
      <c r="M710" s="35">
        <v>902</v>
      </c>
      <c r="N710" s="35">
        <v>1032</v>
      </c>
      <c r="O710" s="35">
        <v>6881</v>
      </c>
      <c r="P710" s="35">
        <v>4762</v>
      </c>
      <c r="Q710" s="35">
        <v>829</v>
      </c>
      <c r="R710" s="35">
        <v>1290</v>
      </c>
      <c r="S710" s="36">
        <v>57.079365099999997</v>
      </c>
      <c r="T710" s="36">
        <v>16.338624299999999</v>
      </c>
      <c r="U710" s="36">
        <v>26.5820106</v>
      </c>
      <c r="V710" s="36">
        <v>68.715626</v>
      </c>
      <c r="W710" s="36">
        <v>14.5907473</v>
      </c>
      <c r="X710" s="36">
        <v>16.693626699999999</v>
      </c>
      <c r="Y710" s="36">
        <v>69.205057400000001</v>
      </c>
      <c r="Z710" s="36">
        <v>12.047667499999999</v>
      </c>
      <c r="AA710" s="36">
        <v>18.7472751</v>
      </c>
    </row>
    <row r="711" spans="1:39" hidden="1" x14ac:dyDescent="0.3">
      <c r="A711" s="37">
        <v>707</v>
      </c>
      <c r="B711" s="38" t="s">
        <v>1</v>
      </c>
      <c r="C711" s="38" t="s">
        <v>217</v>
      </c>
      <c r="D711" s="38" t="s">
        <v>237</v>
      </c>
      <c r="E711" s="38"/>
      <c r="F711" s="39" t="s">
        <v>519</v>
      </c>
      <c r="G711" s="40"/>
      <c r="H711" s="40"/>
      <c r="I711" s="40"/>
      <c r="J711" s="40"/>
      <c r="K711" s="40">
        <v>1030</v>
      </c>
      <c r="L711" s="40">
        <v>590</v>
      </c>
      <c r="M711" s="40">
        <v>180</v>
      </c>
      <c r="N711" s="40">
        <v>260</v>
      </c>
      <c r="O711" s="40">
        <v>1487</v>
      </c>
      <c r="P711" s="40">
        <v>929</v>
      </c>
      <c r="Q711" s="40">
        <v>246</v>
      </c>
      <c r="R711" s="40">
        <v>312</v>
      </c>
      <c r="S711" s="41"/>
      <c r="T711" s="41"/>
      <c r="U711" s="41"/>
      <c r="V711" s="41">
        <v>57.2815534</v>
      </c>
      <c r="W711" s="41">
        <v>17.475728199999999</v>
      </c>
      <c r="X711" s="41">
        <v>25.242718400000001</v>
      </c>
      <c r="Y711" s="41">
        <v>62.474781399999998</v>
      </c>
      <c r="Z711" s="41">
        <v>16.543375900000001</v>
      </c>
      <c r="AA711" s="41">
        <v>20.9818426</v>
      </c>
    </row>
    <row r="712" spans="1:39" hidden="1" x14ac:dyDescent="0.3">
      <c r="A712" s="37">
        <v>708</v>
      </c>
      <c r="B712" s="38" t="s">
        <v>1</v>
      </c>
      <c r="C712" s="38" t="s">
        <v>217</v>
      </c>
      <c r="D712" s="38" t="s">
        <v>237</v>
      </c>
      <c r="E712" s="38"/>
      <c r="F712" s="39" t="s">
        <v>520</v>
      </c>
      <c r="G712" s="40">
        <v>4725</v>
      </c>
      <c r="H712" s="40">
        <v>2697</v>
      </c>
      <c r="I712" s="40">
        <v>772</v>
      </c>
      <c r="J712" s="40">
        <v>1256</v>
      </c>
      <c r="K712" s="40">
        <v>5152</v>
      </c>
      <c r="L712" s="40">
        <v>3658</v>
      </c>
      <c r="M712" s="40">
        <v>722</v>
      </c>
      <c r="N712" s="40">
        <v>772</v>
      </c>
      <c r="O712" s="40">
        <v>5394</v>
      </c>
      <c r="P712" s="40">
        <v>3833</v>
      </c>
      <c r="Q712" s="40">
        <v>583</v>
      </c>
      <c r="R712" s="40">
        <v>978</v>
      </c>
      <c r="S712" s="41">
        <v>57.079365099999997</v>
      </c>
      <c r="T712" s="41">
        <v>16.338624299999999</v>
      </c>
      <c r="U712" s="41">
        <v>26.5820106</v>
      </c>
      <c r="V712" s="41">
        <v>71.001552799999999</v>
      </c>
      <c r="W712" s="41">
        <v>14.013975200000001</v>
      </c>
      <c r="X712" s="41">
        <v>14.984472</v>
      </c>
      <c r="Y712" s="41">
        <v>71.060437500000006</v>
      </c>
      <c r="Z712" s="41">
        <v>10.808305499999999</v>
      </c>
      <c r="AA712" s="41">
        <v>18.131257000000002</v>
      </c>
    </row>
    <row r="713" spans="1:39" hidden="1" x14ac:dyDescent="0.3">
      <c r="A713" s="42">
        <v>709</v>
      </c>
      <c r="B713" s="43" t="s">
        <v>521</v>
      </c>
      <c r="C713" s="50" t="s">
        <v>217</v>
      </c>
      <c r="D713" s="50" t="s">
        <v>237</v>
      </c>
      <c r="E713" s="50" t="s">
        <v>237</v>
      </c>
      <c r="F713" s="51" t="s">
        <v>237</v>
      </c>
      <c r="G713" s="45">
        <v>2084</v>
      </c>
      <c r="H713" s="45">
        <v>1264</v>
      </c>
      <c r="I713" s="45">
        <v>302</v>
      </c>
      <c r="J713" s="45">
        <v>518</v>
      </c>
      <c r="K713" s="45">
        <v>2839</v>
      </c>
      <c r="L713" s="45">
        <v>2007</v>
      </c>
      <c r="M713" s="45">
        <v>373</v>
      </c>
      <c r="N713" s="45">
        <v>459</v>
      </c>
      <c r="O713" s="45">
        <v>3662</v>
      </c>
      <c r="P713" s="45">
        <v>2488</v>
      </c>
      <c r="Q713" s="45">
        <v>469</v>
      </c>
      <c r="R713" s="45">
        <v>705</v>
      </c>
      <c r="S713" s="46">
        <v>60.652591200000003</v>
      </c>
      <c r="T713" s="46">
        <v>14.491362799999999</v>
      </c>
      <c r="U713" s="46">
        <v>24.8560461</v>
      </c>
      <c r="V713" s="46">
        <v>70.693906299999995</v>
      </c>
      <c r="W713" s="46">
        <v>13.138429</v>
      </c>
      <c r="X713" s="46">
        <v>16.1676647</v>
      </c>
      <c r="Y713" s="46">
        <v>67.941015800000002</v>
      </c>
      <c r="Z713" s="46">
        <v>12.807209200000001</v>
      </c>
      <c r="AA713" s="46">
        <v>19.251774999999999</v>
      </c>
      <c r="AB713" s="26">
        <f>SUM(W713:X713)</f>
        <v>29.306093699999998</v>
      </c>
      <c r="AC713" s="26">
        <f>SUM(Z713:AA713)</f>
        <v>32.058984199999998</v>
      </c>
      <c r="AD713" s="57">
        <f>M713+N713</f>
        <v>832</v>
      </c>
      <c r="AE713" s="57">
        <f>Q713+R713</f>
        <v>1174</v>
      </c>
      <c r="AF713" s="26">
        <f>W713</f>
        <v>13.138429</v>
      </c>
      <c r="AG713" s="26">
        <f>Z713</f>
        <v>12.807209200000001</v>
      </c>
      <c r="AH713" s="26">
        <f>M713</f>
        <v>373</v>
      </c>
      <c r="AI713" s="26">
        <f>Q713</f>
        <v>469</v>
      </c>
      <c r="AJ713" s="26">
        <f>X713</f>
        <v>16.1676647</v>
      </c>
      <c r="AK713" s="26">
        <f>AA713</f>
        <v>19.251774999999999</v>
      </c>
      <c r="AL713" s="57">
        <f>N713</f>
        <v>459</v>
      </c>
      <c r="AM713" s="57">
        <f>R713</f>
        <v>705</v>
      </c>
    </row>
    <row r="714" spans="1:39" hidden="1" x14ac:dyDescent="0.3">
      <c r="A714" s="37">
        <v>710</v>
      </c>
      <c r="B714" s="38" t="s">
        <v>521</v>
      </c>
      <c r="C714" s="38" t="s">
        <v>217</v>
      </c>
      <c r="D714" s="38" t="s">
        <v>237</v>
      </c>
      <c r="E714" s="38" t="s">
        <v>237</v>
      </c>
      <c r="F714" s="47" t="s">
        <v>519</v>
      </c>
      <c r="G714" s="40"/>
      <c r="H714" s="40"/>
      <c r="I714" s="40"/>
      <c r="J714" s="40"/>
      <c r="K714" s="40">
        <v>1030</v>
      </c>
      <c r="L714" s="40">
        <v>590</v>
      </c>
      <c r="M714" s="40">
        <v>180</v>
      </c>
      <c r="N714" s="40">
        <v>260</v>
      </c>
      <c r="O714" s="40">
        <v>1487</v>
      </c>
      <c r="P714" s="40">
        <v>929</v>
      </c>
      <c r="Q714" s="40">
        <v>246</v>
      </c>
      <c r="R714" s="40">
        <v>312</v>
      </c>
      <c r="S714" s="41"/>
      <c r="T714" s="41"/>
      <c r="U714" s="41"/>
      <c r="V714" s="41">
        <v>57.2815534</v>
      </c>
      <c r="W714" s="41">
        <v>17.475728199999999</v>
      </c>
      <c r="X714" s="41">
        <v>25.242718400000001</v>
      </c>
      <c r="Y714" s="41">
        <v>62.474781399999998</v>
      </c>
      <c r="Z714" s="41">
        <v>16.543375900000001</v>
      </c>
      <c r="AA714" s="41">
        <v>20.9818426</v>
      </c>
    </row>
    <row r="715" spans="1:39" hidden="1" x14ac:dyDescent="0.3">
      <c r="A715" s="37">
        <v>711</v>
      </c>
      <c r="B715" s="38" t="s">
        <v>521</v>
      </c>
      <c r="C715" s="38" t="s">
        <v>217</v>
      </c>
      <c r="D715" s="38" t="s">
        <v>237</v>
      </c>
      <c r="E715" s="38" t="s">
        <v>237</v>
      </c>
      <c r="F715" s="47" t="s">
        <v>520</v>
      </c>
      <c r="G715" s="40">
        <v>2084</v>
      </c>
      <c r="H715" s="40">
        <v>1264</v>
      </c>
      <c r="I715" s="40">
        <v>302</v>
      </c>
      <c r="J715" s="40">
        <v>518</v>
      </c>
      <c r="K715" s="40">
        <v>1809</v>
      </c>
      <c r="L715" s="40">
        <v>1417</v>
      </c>
      <c r="M715" s="40">
        <v>193</v>
      </c>
      <c r="N715" s="40">
        <v>199</v>
      </c>
      <c r="O715" s="40">
        <v>2175</v>
      </c>
      <c r="P715" s="40">
        <v>1559</v>
      </c>
      <c r="Q715" s="40">
        <v>223</v>
      </c>
      <c r="R715" s="40">
        <v>393</v>
      </c>
      <c r="S715" s="41">
        <v>60.652591200000003</v>
      </c>
      <c r="T715" s="41">
        <v>14.491362799999999</v>
      </c>
      <c r="U715" s="41">
        <v>24.8560461</v>
      </c>
      <c r="V715" s="41">
        <v>78.330569400000002</v>
      </c>
      <c r="W715" s="41">
        <v>10.668877800000001</v>
      </c>
      <c r="X715" s="41">
        <v>11.000552799999999</v>
      </c>
      <c r="Y715" s="41">
        <v>71.678160899999995</v>
      </c>
      <c r="Z715" s="41">
        <v>10.252873599999999</v>
      </c>
      <c r="AA715" s="41">
        <v>18.068965500000001</v>
      </c>
    </row>
    <row r="716" spans="1:39" hidden="1" x14ac:dyDescent="0.3">
      <c r="A716" s="42">
        <v>712</v>
      </c>
      <c r="B716" s="43" t="s">
        <v>521</v>
      </c>
      <c r="C716" s="50" t="s">
        <v>217</v>
      </c>
      <c r="D716" s="50" t="s">
        <v>237</v>
      </c>
      <c r="E716" s="50" t="s">
        <v>239</v>
      </c>
      <c r="F716" s="51" t="s">
        <v>239</v>
      </c>
      <c r="G716" s="45">
        <v>1713</v>
      </c>
      <c r="H716" s="45">
        <v>994</v>
      </c>
      <c r="I716" s="45">
        <v>272</v>
      </c>
      <c r="J716" s="45">
        <v>447</v>
      </c>
      <c r="K716" s="45">
        <v>2185</v>
      </c>
      <c r="L716" s="45">
        <v>1491</v>
      </c>
      <c r="M716" s="45">
        <v>335</v>
      </c>
      <c r="N716" s="45">
        <v>359</v>
      </c>
      <c r="O716" s="45">
        <v>1769</v>
      </c>
      <c r="P716" s="45">
        <v>1307</v>
      </c>
      <c r="Q716" s="45">
        <v>165</v>
      </c>
      <c r="R716" s="45">
        <v>297</v>
      </c>
      <c r="S716" s="46">
        <v>58.026853500000001</v>
      </c>
      <c r="T716" s="46">
        <v>15.8785756</v>
      </c>
      <c r="U716" s="46">
        <v>26.094570900000001</v>
      </c>
      <c r="V716" s="46">
        <v>68.237986300000003</v>
      </c>
      <c r="W716" s="46">
        <v>15.3318078</v>
      </c>
      <c r="X716" s="46">
        <v>16.430205900000001</v>
      </c>
      <c r="Y716" s="46">
        <v>73.88355</v>
      </c>
      <c r="Z716" s="46">
        <v>9.3273036000000005</v>
      </c>
      <c r="AA716" s="46">
        <v>16.7891464</v>
      </c>
      <c r="AB716" s="26">
        <f>SUM(W716:X716)</f>
        <v>31.762013700000001</v>
      </c>
      <c r="AC716" s="26">
        <f>SUM(Z716:AA716)</f>
        <v>26.11645</v>
      </c>
      <c r="AD716" s="57">
        <f>M716+N716</f>
        <v>694</v>
      </c>
      <c r="AE716" s="57">
        <f>Q716+R716</f>
        <v>462</v>
      </c>
      <c r="AF716" s="26">
        <f>W716</f>
        <v>15.3318078</v>
      </c>
      <c r="AG716" s="26">
        <f>Z716</f>
        <v>9.3273036000000005</v>
      </c>
      <c r="AH716" s="26">
        <f>M716</f>
        <v>335</v>
      </c>
      <c r="AI716" s="26">
        <f>Q716</f>
        <v>165</v>
      </c>
      <c r="AJ716" s="26">
        <f>X716</f>
        <v>16.430205900000001</v>
      </c>
      <c r="AK716" s="26">
        <f>AA716</f>
        <v>16.7891464</v>
      </c>
      <c r="AL716" s="57">
        <f>N716</f>
        <v>359</v>
      </c>
      <c r="AM716" s="57">
        <f>R716</f>
        <v>297</v>
      </c>
    </row>
    <row r="717" spans="1:39" hidden="1" x14ac:dyDescent="0.3">
      <c r="A717" s="37">
        <v>713</v>
      </c>
      <c r="B717" s="38" t="s">
        <v>521</v>
      </c>
      <c r="C717" s="38" t="s">
        <v>217</v>
      </c>
      <c r="D717" s="38" t="s">
        <v>237</v>
      </c>
      <c r="E717" s="38" t="s">
        <v>239</v>
      </c>
      <c r="F717" s="47" t="s">
        <v>519</v>
      </c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1"/>
      <c r="T717" s="41"/>
      <c r="U717" s="41"/>
      <c r="V717" s="41"/>
      <c r="W717" s="41"/>
      <c r="X717" s="41"/>
      <c r="Y717" s="41"/>
      <c r="Z717" s="41"/>
      <c r="AA717" s="41"/>
    </row>
    <row r="718" spans="1:39" hidden="1" x14ac:dyDescent="0.3">
      <c r="A718" s="37">
        <v>714</v>
      </c>
      <c r="B718" s="38" t="s">
        <v>521</v>
      </c>
      <c r="C718" s="38" t="s">
        <v>217</v>
      </c>
      <c r="D718" s="38" t="s">
        <v>237</v>
      </c>
      <c r="E718" s="38" t="s">
        <v>239</v>
      </c>
      <c r="F718" s="47" t="s">
        <v>520</v>
      </c>
      <c r="G718" s="40">
        <v>1713</v>
      </c>
      <c r="H718" s="40">
        <v>994</v>
      </c>
      <c r="I718" s="40">
        <v>272</v>
      </c>
      <c r="J718" s="40">
        <v>447</v>
      </c>
      <c r="K718" s="40">
        <v>2185</v>
      </c>
      <c r="L718" s="40">
        <v>1491</v>
      </c>
      <c r="M718" s="40">
        <v>335</v>
      </c>
      <c r="N718" s="40">
        <v>359</v>
      </c>
      <c r="O718" s="40">
        <v>1769</v>
      </c>
      <c r="P718" s="40">
        <v>1307</v>
      </c>
      <c r="Q718" s="40">
        <v>165</v>
      </c>
      <c r="R718" s="40">
        <v>297</v>
      </c>
      <c r="S718" s="41">
        <v>58.026853500000001</v>
      </c>
      <c r="T718" s="41">
        <v>15.8785756</v>
      </c>
      <c r="U718" s="41">
        <v>26.094570900000001</v>
      </c>
      <c r="V718" s="41">
        <v>68.237986300000003</v>
      </c>
      <c r="W718" s="41">
        <v>15.3318078</v>
      </c>
      <c r="X718" s="41">
        <v>16.430205900000001</v>
      </c>
      <c r="Y718" s="41">
        <v>73.88355</v>
      </c>
      <c r="Z718" s="41">
        <v>9.3273036000000005</v>
      </c>
      <c r="AA718" s="41">
        <v>16.7891464</v>
      </c>
    </row>
    <row r="719" spans="1:39" hidden="1" x14ac:dyDescent="0.3">
      <c r="A719" s="42">
        <v>715</v>
      </c>
      <c r="B719" s="43" t="s">
        <v>521</v>
      </c>
      <c r="C719" s="50" t="s">
        <v>217</v>
      </c>
      <c r="D719" s="50" t="s">
        <v>237</v>
      </c>
      <c r="E719" s="50" t="s">
        <v>240</v>
      </c>
      <c r="F719" s="51" t="s">
        <v>240</v>
      </c>
      <c r="G719" s="45">
        <v>928</v>
      </c>
      <c r="H719" s="45">
        <v>439</v>
      </c>
      <c r="I719" s="45">
        <v>198</v>
      </c>
      <c r="J719" s="45">
        <v>291</v>
      </c>
      <c r="K719" s="45">
        <v>1158</v>
      </c>
      <c r="L719" s="45">
        <v>750</v>
      </c>
      <c r="M719" s="45">
        <v>194</v>
      </c>
      <c r="N719" s="45">
        <v>214</v>
      </c>
      <c r="O719" s="45">
        <v>1450</v>
      </c>
      <c r="P719" s="45">
        <v>967</v>
      </c>
      <c r="Q719" s="45">
        <v>195</v>
      </c>
      <c r="R719" s="45">
        <v>288</v>
      </c>
      <c r="S719" s="46">
        <v>47.306034500000003</v>
      </c>
      <c r="T719" s="46">
        <v>21.336206900000001</v>
      </c>
      <c r="U719" s="46">
        <v>31.3577586</v>
      </c>
      <c r="V719" s="46">
        <v>64.766839399999995</v>
      </c>
      <c r="W719" s="46">
        <v>16.7530225</v>
      </c>
      <c r="X719" s="46">
        <v>18.480138199999999</v>
      </c>
      <c r="Y719" s="46">
        <v>66.689655200000004</v>
      </c>
      <c r="Z719" s="46">
        <v>13.448275900000001</v>
      </c>
      <c r="AA719" s="46">
        <v>19.862069000000002</v>
      </c>
      <c r="AB719" s="26">
        <f>SUM(W719:X719)</f>
        <v>35.233160699999999</v>
      </c>
      <c r="AC719" s="26">
        <f>SUM(Z719:AA719)</f>
        <v>33.310344900000004</v>
      </c>
      <c r="AD719" s="57">
        <f>M719+N719</f>
        <v>408</v>
      </c>
      <c r="AE719" s="57">
        <f>Q719+R719</f>
        <v>483</v>
      </c>
      <c r="AF719" s="26">
        <f>W719</f>
        <v>16.7530225</v>
      </c>
      <c r="AG719" s="26">
        <f>Z719</f>
        <v>13.448275900000001</v>
      </c>
      <c r="AH719" s="26">
        <f>M719</f>
        <v>194</v>
      </c>
      <c r="AI719" s="26">
        <f>Q719</f>
        <v>195</v>
      </c>
      <c r="AJ719" s="26">
        <f>X719</f>
        <v>18.480138199999999</v>
      </c>
      <c r="AK719" s="26">
        <f>AA719</f>
        <v>19.862069000000002</v>
      </c>
      <c r="AL719" s="57">
        <f>N719</f>
        <v>214</v>
      </c>
      <c r="AM719" s="57">
        <f>R719</f>
        <v>288</v>
      </c>
    </row>
    <row r="720" spans="1:39" hidden="1" x14ac:dyDescent="0.3">
      <c r="A720" s="37">
        <v>716</v>
      </c>
      <c r="B720" s="38" t="s">
        <v>521</v>
      </c>
      <c r="C720" s="38" t="s">
        <v>217</v>
      </c>
      <c r="D720" s="38" t="s">
        <v>237</v>
      </c>
      <c r="E720" s="38" t="s">
        <v>240</v>
      </c>
      <c r="F720" s="47" t="s">
        <v>519</v>
      </c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1"/>
      <c r="T720" s="41"/>
      <c r="U720" s="41"/>
      <c r="V720" s="41"/>
      <c r="W720" s="41"/>
      <c r="X720" s="41"/>
      <c r="Y720" s="41"/>
      <c r="Z720" s="41"/>
      <c r="AA720" s="41"/>
    </row>
    <row r="721" spans="1:39" hidden="1" x14ac:dyDescent="0.3">
      <c r="A721" s="37">
        <v>717</v>
      </c>
      <c r="B721" s="38" t="s">
        <v>521</v>
      </c>
      <c r="C721" s="38" t="s">
        <v>217</v>
      </c>
      <c r="D721" s="38" t="s">
        <v>237</v>
      </c>
      <c r="E721" s="38" t="s">
        <v>240</v>
      </c>
      <c r="F721" s="47" t="s">
        <v>520</v>
      </c>
      <c r="G721" s="40">
        <v>928</v>
      </c>
      <c r="H721" s="40">
        <v>439</v>
      </c>
      <c r="I721" s="40">
        <v>198</v>
      </c>
      <c r="J721" s="40">
        <v>291</v>
      </c>
      <c r="K721" s="40">
        <v>1158</v>
      </c>
      <c r="L721" s="40">
        <v>750</v>
      </c>
      <c r="M721" s="40">
        <v>194</v>
      </c>
      <c r="N721" s="40">
        <v>214</v>
      </c>
      <c r="O721" s="40">
        <v>1450</v>
      </c>
      <c r="P721" s="40">
        <v>967</v>
      </c>
      <c r="Q721" s="40">
        <v>195</v>
      </c>
      <c r="R721" s="40">
        <v>288</v>
      </c>
      <c r="S721" s="41">
        <v>47.306034500000003</v>
      </c>
      <c r="T721" s="41">
        <v>21.336206900000001</v>
      </c>
      <c r="U721" s="41">
        <v>31.3577586</v>
      </c>
      <c r="V721" s="41">
        <v>64.766839399999995</v>
      </c>
      <c r="W721" s="41">
        <v>16.7530225</v>
      </c>
      <c r="X721" s="41">
        <v>18.480138199999999</v>
      </c>
      <c r="Y721" s="41">
        <v>66.689655200000004</v>
      </c>
      <c r="Z721" s="41">
        <v>13.448275900000001</v>
      </c>
      <c r="AA721" s="41">
        <v>19.862069000000002</v>
      </c>
    </row>
    <row r="722" spans="1:39" hidden="1" x14ac:dyDescent="0.3">
      <c r="A722" s="32">
        <v>718</v>
      </c>
      <c r="B722" s="33" t="s">
        <v>1</v>
      </c>
      <c r="C722" s="49" t="s">
        <v>217</v>
      </c>
      <c r="D722" s="49" t="s">
        <v>241</v>
      </c>
      <c r="E722" s="49"/>
      <c r="F722" s="34" t="s">
        <v>241</v>
      </c>
      <c r="G722" s="35">
        <v>6362</v>
      </c>
      <c r="H722" s="35">
        <v>3075</v>
      </c>
      <c r="I722" s="35">
        <v>1287</v>
      </c>
      <c r="J722" s="35">
        <v>2000</v>
      </c>
      <c r="K722" s="35">
        <v>8747</v>
      </c>
      <c r="L722" s="35">
        <v>5498</v>
      </c>
      <c r="M722" s="35">
        <v>1620</v>
      </c>
      <c r="N722" s="35">
        <v>1629</v>
      </c>
      <c r="O722" s="35">
        <v>8599</v>
      </c>
      <c r="P722" s="35">
        <v>6374</v>
      </c>
      <c r="Q722" s="35">
        <v>1092</v>
      </c>
      <c r="R722" s="35">
        <v>1133</v>
      </c>
      <c r="S722" s="36">
        <v>48.333857299999998</v>
      </c>
      <c r="T722" s="36">
        <v>20.229487599999999</v>
      </c>
      <c r="U722" s="36">
        <v>31.436655099999999</v>
      </c>
      <c r="V722" s="36">
        <v>62.8558363</v>
      </c>
      <c r="W722" s="36">
        <v>18.520635599999999</v>
      </c>
      <c r="X722" s="36">
        <v>18.623528100000001</v>
      </c>
      <c r="Y722" s="36">
        <v>74.124898200000004</v>
      </c>
      <c r="Z722" s="36">
        <v>12.6991511</v>
      </c>
      <c r="AA722" s="36">
        <v>13.1759507</v>
      </c>
    </row>
    <row r="723" spans="1:39" hidden="1" x14ac:dyDescent="0.3">
      <c r="A723" s="37">
        <v>719</v>
      </c>
      <c r="B723" s="38" t="s">
        <v>1</v>
      </c>
      <c r="C723" s="38" t="s">
        <v>217</v>
      </c>
      <c r="D723" s="38" t="s">
        <v>241</v>
      </c>
      <c r="E723" s="38"/>
      <c r="F723" s="39" t="s">
        <v>519</v>
      </c>
      <c r="G723" s="40">
        <v>4379</v>
      </c>
      <c r="H723" s="40">
        <v>1989</v>
      </c>
      <c r="I723" s="40">
        <v>956</v>
      </c>
      <c r="J723" s="40">
        <v>1434</v>
      </c>
      <c r="K723" s="40">
        <v>6417</v>
      </c>
      <c r="L723" s="40">
        <v>3980</v>
      </c>
      <c r="M723" s="40">
        <v>1271</v>
      </c>
      <c r="N723" s="40">
        <v>1166</v>
      </c>
      <c r="O723" s="40">
        <v>5884</v>
      </c>
      <c r="P723" s="40">
        <v>4449</v>
      </c>
      <c r="Q723" s="40">
        <v>765</v>
      </c>
      <c r="R723" s="40">
        <v>670</v>
      </c>
      <c r="S723" s="41">
        <v>45.421329100000001</v>
      </c>
      <c r="T723" s="41">
        <v>21.831468399999999</v>
      </c>
      <c r="U723" s="41">
        <v>32.747202600000001</v>
      </c>
      <c r="V723" s="41">
        <v>62.022752099999998</v>
      </c>
      <c r="W723" s="41">
        <v>19.8067633</v>
      </c>
      <c r="X723" s="41">
        <v>18.170484699999999</v>
      </c>
      <c r="Y723" s="41">
        <v>75.611828700000004</v>
      </c>
      <c r="Z723" s="41">
        <v>13.001359600000001</v>
      </c>
      <c r="AA723" s="41">
        <v>11.386811700000001</v>
      </c>
    </row>
    <row r="724" spans="1:39" hidden="1" x14ac:dyDescent="0.3">
      <c r="A724" s="37">
        <v>720</v>
      </c>
      <c r="B724" s="38" t="s">
        <v>1</v>
      </c>
      <c r="C724" s="38" t="s">
        <v>217</v>
      </c>
      <c r="D724" s="38" t="s">
        <v>241</v>
      </c>
      <c r="E724" s="38"/>
      <c r="F724" s="39" t="s">
        <v>520</v>
      </c>
      <c r="G724" s="40">
        <v>1983</v>
      </c>
      <c r="H724" s="40">
        <v>1086</v>
      </c>
      <c r="I724" s="40">
        <v>331</v>
      </c>
      <c r="J724" s="40">
        <v>566</v>
      </c>
      <c r="K724" s="40">
        <v>2330</v>
      </c>
      <c r="L724" s="40">
        <v>1518</v>
      </c>
      <c r="M724" s="40">
        <v>349</v>
      </c>
      <c r="N724" s="40">
        <v>463</v>
      </c>
      <c r="O724" s="40">
        <v>2715</v>
      </c>
      <c r="P724" s="40">
        <v>1925</v>
      </c>
      <c r="Q724" s="40">
        <v>327</v>
      </c>
      <c r="R724" s="40">
        <v>463</v>
      </c>
      <c r="S724" s="41">
        <v>54.765506799999997</v>
      </c>
      <c r="T724" s="41">
        <v>16.691880999999999</v>
      </c>
      <c r="U724" s="41">
        <v>28.542612200000001</v>
      </c>
      <c r="V724" s="41">
        <v>65.150214599999998</v>
      </c>
      <c r="W724" s="41">
        <v>14.978540799999999</v>
      </c>
      <c r="X724" s="41">
        <v>19.871244600000001</v>
      </c>
      <c r="Y724" s="41">
        <v>70.902394099999995</v>
      </c>
      <c r="Z724" s="41">
        <v>12.0441989</v>
      </c>
      <c r="AA724" s="41">
        <v>17.053407</v>
      </c>
    </row>
    <row r="725" spans="1:39" hidden="1" x14ac:dyDescent="0.3">
      <c r="A725" s="42">
        <v>721</v>
      </c>
      <c r="B725" s="43" t="s">
        <v>521</v>
      </c>
      <c r="C725" s="50" t="s">
        <v>217</v>
      </c>
      <c r="D725" s="50" t="s">
        <v>241</v>
      </c>
      <c r="E725" s="50" t="s">
        <v>242</v>
      </c>
      <c r="F725" s="51" t="s">
        <v>242</v>
      </c>
      <c r="G725" s="45">
        <v>5197</v>
      </c>
      <c r="H725" s="45">
        <v>2417</v>
      </c>
      <c r="I725" s="45">
        <v>1084</v>
      </c>
      <c r="J725" s="45">
        <v>1696</v>
      </c>
      <c r="K725" s="45">
        <v>7189</v>
      </c>
      <c r="L725" s="45">
        <v>4460</v>
      </c>
      <c r="M725" s="45">
        <v>1370</v>
      </c>
      <c r="N725" s="45">
        <v>1359</v>
      </c>
      <c r="O725" s="45">
        <v>6423</v>
      </c>
      <c r="P725" s="45">
        <v>4849</v>
      </c>
      <c r="Q725" s="45">
        <v>803</v>
      </c>
      <c r="R725" s="45">
        <v>771</v>
      </c>
      <c r="S725" s="46">
        <v>46.507600500000002</v>
      </c>
      <c r="T725" s="46">
        <v>20.858187399999998</v>
      </c>
      <c r="U725" s="46">
        <v>32.634211999999998</v>
      </c>
      <c r="V725" s="46">
        <v>62.039226599999999</v>
      </c>
      <c r="W725" s="46">
        <v>19.0568925</v>
      </c>
      <c r="X725" s="46">
        <v>18.903880900000001</v>
      </c>
      <c r="Y725" s="46">
        <v>75.494317300000006</v>
      </c>
      <c r="Z725" s="46">
        <v>12.5019461</v>
      </c>
      <c r="AA725" s="46">
        <v>12.0037366</v>
      </c>
      <c r="AB725" s="26">
        <f>SUM(W725:X725)</f>
        <v>37.960773400000001</v>
      </c>
      <c r="AC725" s="26">
        <f>SUM(Z725:AA725)</f>
        <v>24.505682700000001</v>
      </c>
      <c r="AD725" s="57">
        <f>M725+N725</f>
        <v>2729</v>
      </c>
      <c r="AE725" s="57">
        <f>Q725+R725</f>
        <v>1574</v>
      </c>
      <c r="AF725" s="26">
        <f>W725</f>
        <v>19.0568925</v>
      </c>
      <c r="AG725" s="26">
        <f>Z725</f>
        <v>12.5019461</v>
      </c>
      <c r="AH725" s="26">
        <f>M725</f>
        <v>1370</v>
      </c>
      <c r="AI725" s="26">
        <f>Q725</f>
        <v>803</v>
      </c>
      <c r="AJ725" s="26">
        <f>X725</f>
        <v>18.903880900000001</v>
      </c>
      <c r="AK725" s="26">
        <f>AA725</f>
        <v>12.0037366</v>
      </c>
      <c r="AL725" s="57">
        <f>N725</f>
        <v>1359</v>
      </c>
      <c r="AM725" s="57">
        <f>R725</f>
        <v>771</v>
      </c>
    </row>
    <row r="726" spans="1:39" hidden="1" x14ac:dyDescent="0.3">
      <c r="A726" s="37">
        <v>722</v>
      </c>
      <c r="B726" s="38" t="s">
        <v>521</v>
      </c>
      <c r="C726" s="38" t="s">
        <v>217</v>
      </c>
      <c r="D726" s="38" t="s">
        <v>241</v>
      </c>
      <c r="E726" s="38" t="s">
        <v>242</v>
      </c>
      <c r="F726" s="47" t="s">
        <v>519</v>
      </c>
      <c r="G726" s="40">
        <v>3785</v>
      </c>
      <c r="H726" s="40">
        <v>1644</v>
      </c>
      <c r="I726" s="40">
        <v>849</v>
      </c>
      <c r="J726" s="40">
        <v>1292</v>
      </c>
      <c r="K726" s="40">
        <v>5635</v>
      </c>
      <c r="L726" s="40">
        <v>3466</v>
      </c>
      <c r="M726" s="40">
        <v>1137</v>
      </c>
      <c r="N726" s="40">
        <v>1032</v>
      </c>
      <c r="O726" s="40">
        <v>4810</v>
      </c>
      <c r="P726" s="40">
        <v>3653</v>
      </c>
      <c r="Q726" s="40">
        <v>620</v>
      </c>
      <c r="R726" s="40">
        <v>537</v>
      </c>
      <c r="S726" s="41">
        <v>43.434610300000003</v>
      </c>
      <c r="T726" s="41">
        <v>22.4306473</v>
      </c>
      <c r="U726" s="41">
        <v>34.1347424</v>
      </c>
      <c r="V726" s="41">
        <v>61.508429499999998</v>
      </c>
      <c r="W726" s="41">
        <v>20.177462299999998</v>
      </c>
      <c r="X726" s="41">
        <v>18.314108300000001</v>
      </c>
      <c r="Y726" s="41">
        <v>75.945945899999998</v>
      </c>
      <c r="Z726" s="41">
        <v>12.889812900000001</v>
      </c>
      <c r="AA726" s="41">
        <v>11.164241199999999</v>
      </c>
    </row>
    <row r="727" spans="1:39" hidden="1" x14ac:dyDescent="0.3">
      <c r="A727" s="37">
        <v>723</v>
      </c>
      <c r="B727" s="38" t="s">
        <v>521</v>
      </c>
      <c r="C727" s="38" t="s">
        <v>217</v>
      </c>
      <c r="D727" s="38" t="s">
        <v>241</v>
      </c>
      <c r="E727" s="38" t="s">
        <v>242</v>
      </c>
      <c r="F727" s="47" t="s">
        <v>520</v>
      </c>
      <c r="G727" s="40">
        <v>1412</v>
      </c>
      <c r="H727" s="40">
        <v>773</v>
      </c>
      <c r="I727" s="40">
        <v>235</v>
      </c>
      <c r="J727" s="40">
        <v>404</v>
      </c>
      <c r="K727" s="40">
        <v>1554</v>
      </c>
      <c r="L727" s="40">
        <v>994</v>
      </c>
      <c r="M727" s="40">
        <v>233</v>
      </c>
      <c r="N727" s="40">
        <v>327</v>
      </c>
      <c r="O727" s="40">
        <v>1613</v>
      </c>
      <c r="P727" s="40">
        <v>1196</v>
      </c>
      <c r="Q727" s="40">
        <v>183</v>
      </c>
      <c r="R727" s="40">
        <v>234</v>
      </c>
      <c r="S727" s="41">
        <v>54.745042499999997</v>
      </c>
      <c r="T727" s="41">
        <v>16.6430595</v>
      </c>
      <c r="U727" s="41">
        <v>28.611898</v>
      </c>
      <c r="V727" s="41">
        <v>63.963963999999997</v>
      </c>
      <c r="W727" s="41">
        <v>14.993565</v>
      </c>
      <c r="X727" s="41">
        <v>21.042470999999999</v>
      </c>
      <c r="Y727" s="41">
        <v>74.147551100000001</v>
      </c>
      <c r="Z727" s="41">
        <v>11.3453193</v>
      </c>
      <c r="AA727" s="41">
        <v>14.507129600000001</v>
      </c>
    </row>
    <row r="728" spans="1:39" hidden="1" x14ac:dyDescent="0.3">
      <c r="A728" s="42">
        <v>724</v>
      </c>
      <c r="B728" s="43" t="s">
        <v>521</v>
      </c>
      <c r="C728" s="50" t="s">
        <v>217</v>
      </c>
      <c r="D728" s="50" t="s">
        <v>241</v>
      </c>
      <c r="E728" s="50" t="s">
        <v>244</v>
      </c>
      <c r="F728" s="51" t="s">
        <v>244</v>
      </c>
      <c r="G728" s="45">
        <v>1165</v>
      </c>
      <c r="H728" s="45">
        <v>658</v>
      </c>
      <c r="I728" s="45">
        <v>203</v>
      </c>
      <c r="J728" s="45">
        <v>304</v>
      </c>
      <c r="K728" s="45">
        <v>1558</v>
      </c>
      <c r="L728" s="45">
        <v>1038</v>
      </c>
      <c r="M728" s="45">
        <v>250</v>
      </c>
      <c r="N728" s="45">
        <v>270</v>
      </c>
      <c r="O728" s="45">
        <v>2176</v>
      </c>
      <c r="P728" s="45">
        <v>1525</v>
      </c>
      <c r="Q728" s="45">
        <v>289</v>
      </c>
      <c r="R728" s="45">
        <v>362</v>
      </c>
      <c r="S728" s="46">
        <v>56.4806867</v>
      </c>
      <c r="T728" s="46">
        <v>17.424892700000001</v>
      </c>
      <c r="U728" s="46">
        <v>26.094420599999999</v>
      </c>
      <c r="V728" s="46">
        <v>66.623876800000005</v>
      </c>
      <c r="W728" s="46">
        <v>16.046213099999999</v>
      </c>
      <c r="X728" s="46">
        <v>17.329910099999999</v>
      </c>
      <c r="Y728" s="46">
        <v>70.082720600000002</v>
      </c>
      <c r="Z728" s="46">
        <v>13.28125</v>
      </c>
      <c r="AA728" s="46">
        <v>16.636029400000002</v>
      </c>
      <c r="AB728" s="26">
        <f>SUM(W728:X728)</f>
        <v>33.376123199999995</v>
      </c>
      <c r="AC728" s="26">
        <f>SUM(Z728:AA728)</f>
        <v>29.917279400000002</v>
      </c>
      <c r="AD728" s="57">
        <f>M728+N728</f>
        <v>520</v>
      </c>
      <c r="AE728" s="57">
        <f>Q728+R728</f>
        <v>651</v>
      </c>
      <c r="AF728" s="26">
        <f>W728</f>
        <v>16.046213099999999</v>
      </c>
      <c r="AG728" s="26">
        <f>Z728</f>
        <v>13.28125</v>
      </c>
      <c r="AH728" s="26">
        <f>M728</f>
        <v>250</v>
      </c>
      <c r="AI728" s="26">
        <f>Q728</f>
        <v>289</v>
      </c>
      <c r="AJ728" s="26">
        <f>X728</f>
        <v>17.329910099999999</v>
      </c>
      <c r="AK728" s="26">
        <f>AA728</f>
        <v>16.636029400000002</v>
      </c>
      <c r="AL728" s="57">
        <f>N728</f>
        <v>270</v>
      </c>
      <c r="AM728" s="57">
        <f>R728</f>
        <v>362</v>
      </c>
    </row>
    <row r="729" spans="1:39" hidden="1" x14ac:dyDescent="0.3">
      <c r="A729" s="37">
        <v>725</v>
      </c>
      <c r="B729" s="38" t="s">
        <v>521</v>
      </c>
      <c r="C729" s="38" t="s">
        <v>217</v>
      </c>
      <c r="D729" s="38" t="s">
        <v>241</v>
      </c>
      <c r="E729" s="38" t="s">
        <v>244</v>
      </c>
      <c r="F729" s="47" t="s">
        <v>519</v>
      </c>
      <c r="G729" s="40">
        <v>594</v>
      </c>
      <c r="H729" s="40">
        <v>345</v>
      </c>
      <c r="I729" s="40">
        <v>107</v>
      </c>
      <c r="J729" s="40">
        <v>142</v>
      </c>
      <c r="K729" s="40">
        <v>782</v>
      </c>
      <c r="L729" s="40">
        <v>514</v>
      </c>
      <c r="M729" s="40">
        <v>134</v>
      </c>
      <c r="N729" s="40">
        <v>134</v>
      </c>
      <c r="O729" s="40">
        <v>1074</v>
      </c>
      <c r="P729" s="40">
        <v>796</v>
      </c>
      <c r="Q729" s="40">
        <v>145</v>
      </c>
      <c r="R729" s="40">
        <v>133</v>
      </c>
      <c r="S729" s="41">
        <v>58.080808099999999</v>
      </c>
      <c r="T729" s="41">
        <v>18.013468</v>
      </c>
      <c r="U729" s="41">
        <v>23.905723900000002</v>
      </c>
      <c r="V729" s="41">
        <v>65.728900300000006</v>
      </c>
      <c r="W729" s="41">
        <v>17.135549900000001</v>
      </c>
      <c r="X729" s="41">
        <v>17.135549900000001</v>
      </c>
      <c r="Y729" s="41">
        <v>74.115456199999997</v>
      </c>
      <c r="Z729" s="41">
        <v>13.500931100000001</v>
      </c>
      <c r="AA729" s="41">
        <v>12.3836127</v>
      </c>
    </row>
    <row r="730" spans="1:39" hidden="1" x14ac:dyDescent="0.3">
      <c r="A730" s="37">
        <v>726</v>
      </c>
      <c r="B730" s="38" t="s">
        <v>521</v>
      </c>
      <c r="C730" s="38" t="s">
        <v>217</v>
      </c>
      <c r="D730" s="38" t="s">
        <v>241</v>
      </c>
      <c r="E730" s="38" t="s">
        <v>244</v>
      </c>
      <c r="F730" s="47" t="s">
        <v>520</v>
      </c>
      <c r="G730" s="40">
        <v>571</v>
      </c>
      <c r="H730" s="40">
        <v>313</v>
      </c>
      <c r="I730" s="40">
        <v>96</v>
      </c>
      <c r="J730" s="40">
        <v>162</v>
      </c>
      <c r="K730" s="40">
        <v>776</v>
      </c>
      <c r="L730" s="40">
        <v>524</v>
      </c>
      <c r="M730" s="40">
        <v>116</v>
      </c>
      <c r="N730" s="40">
        <v>136</v>
      </c>
      <c r="O730" s="40">
        <v>1102</v>
      </c>
      <c r="P730" s="40">
        <v>729</v>
      </c>
      <c r="Q730" s="40">
        <v>144</v>
      </c>
      <c r="R730" s="40">
        <v>229</v>
      </c>
      <c r="S730" s="41">
        <v>54.816112099999998</v>
      </c>
      <c r="T730" s="41">
        <v>16.812609500000001</v>
      </c>
      <c r="U730" s="41">
        <v>28.371278499999999</v>
      </c>
      <c r="V730" s="41">
        <v>67.525773200000003</v>
      </c>
      <c r="W730" s="41">
        <v>14.948453600000001</v>
      </c>
      <c r="X730" s="41">
        <v>17.5257732</v>
      </c>
      <c r="Y730" s="41">
        <v>66.152450099999996</v>
      </c>
      <c r="Z730" s="41">
        <v>13.0671506</v>
      </c>
      <c r="AA730" s="41">
        <v>20.780399299999999</v>
      </c>
    </row>
    <row r="731" spans="1:39" hidden="1" x14ac:dyDescent="0.3">
      <c r="A731" s="32">
        <v>727</v>
      </c>
      <c r="B731" s="33" t="s">
        <v>1</v>
      </c>
      <c r="C731" s="49" t="s">
        <v>217</v>
      </c>
      <c r="D731" s="49" t="s">
        <v>245</v>
      </c>
      <c r="E731" s="49"/>
      <c r="F731" s="34" t="s">
        <v>245</v>
      </c>
      <c r="G731" s="35">
        <v>3526</v>
      </c>
      <c r="H731" s="35">
        <v>1842</v>
      </c>
      <c r="I731" s="35">
        <v>548</v>
      </c>
      <c r="J731" s="35">
        <v>1136</v>
      </c>
      <c r="K731" s="35">
        <v>4967</v>
      </c>
      <c r="L731" s="35">
        <v>2786</v>
      </c>
      <c r="M731" s="35">
        <v>808</v>
      </c>
      <c r="N731" s="35">
        <v>1373</v>
      </c>
      <c r="O731" s="35">
        <v>7244</v>
      </c>
      <c r="P731" s="35">
        <v>4299</v>
      </c>
      <c r="Q731" s="35">
        <v>1011</v>
      </c>
      <c r="R731" s="35">
        <v>1934</v>
      </c>
      <c r="S731" s="36">
        <v>52.240499100000001</v>
      </c>
      <c r="T731" s="36">
        <v>15.541690300000001</v>
      </c>
      <c r="U731" s="36">
        <v>32.2178106</v>
      </c>
      <c r="V731" s="36">
        <v>56.090195299999998</v>
      </c>
      <c r="W731" s="36">
        <v>16.267364600000001</v>
      </c>
      <c r="X731" s="36">
        <v>27.642440100000002</v>
      </c>
      <c r="Y731" s="36">
        <v>59.345665400000001</v>
      </c>
      <c r="Z731" s="36">
        <v>13.956377700000001</v>
      </c>
      <c r="AA731" s="36">
        <v>26.697956900000001</v>
      </c>
    </row>
    <row r="732" spans="1:39" hidden="1" x14ac:dyDescent="0.3">
      <c r="A732" s="37">
        <v>728</v>
      </c>
      <c r="B732" s="38" t="s">
        <v>1</v>
      </c>
      <c r="C732" s="38" t="s">
        <v>217</v>
      </c>
      <c r="D732" s="38" t="s">
        <v>245</v>
      </c>
      <c r="E732" s="38"/>
      <c r="F732" s="39" t="s">
        <v>519</v>
      </c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1"/>
      <c r="T732" s="41"/>
      <c r="U732" s="41"/>
      <c r="V732" s="41"/>
      <c r="W732" s="41"/>
      <c r="X732" s="41"/>
      <c r="Y732" s="41"/>
      <c r="Z732" s="41"/>
      <c r="AA732" s="41"/>
    </row>
    <row r="733" spans="1:39" hidden="1" x14ac:dyDescent="0.3">
      <c r="A733" s="37">
        <v>729</v>
      </c>
      <c r="B733" s="38" t="s">
        <v>1</v>
      </c>
      <c r="C733" s="38" t="s">
        <v>217</v>
      </c>
      <c r="D733" s="38" t="s">
        <v>245</v>
      </c>
      <c r="E733" s="38"/>
      <c r="F733" s="39" t="s">
        <v>520</v>
      </c>
      <c r="G733" s="40">
        <v>3526</v>
      </c>
      <c r="H733" s="40">
        <v>1842</v>
      </c>
      <c r="I733" s="40">
        <v>548</v>
      </c>
      <c r="J733" s="40">
        <v>1136</v>
      </c>
      <c r="K733" s="40">
        <v>4967</v>
      </c>
      <c r="L733" s="40">
        <v>2786</v>
      </c>
      <c r="M733" s="40">
        <v>808</v>
      </c>
      <c r="N733" s="40">
        <v>1373</v>
      </c>
      <c r="O733" s="40">
        <v>7244</v>
      </c>
      <c r="P733" s="40">
        <v>4299</v>
      </c>
      <c r="Q733" s="40">
        <v>1011</v>
      </c>
      <c r="R733" s="40">
        <v>1934</v>
      </c>
      <c r="S733" s="41">
        <v>52.240499100000001</v>
      </c>
      <c r="T733" s="41">
        <v>15.541690300000001</v>
      </c>
      <c r="U733" s="41">
        <v>32.2178106</v>
      </c>
      <c r="V733" s="41">
        <v>56.090195299999998</v>
      </c>
      <c r="W733" s="41">
        <v>16.267364600000001</v>
      </c>
      <c r="X733" s="41">
        <v>27.642440100000002</v>
      </c>
      <c r="Y733" s="41">
        <v>59.345665400000001</v>
      </c>
      <c r="Z733" s="41">
        <v>13.956377700000001</v>
      </c>
      <c r="AA733" s="41">
        <v>26.697956900000001</v>
      </c>
    </row>
    <row r="734" spans="1:39" hidden="1" x14ac:dyDescent="0.3">
      <c r="A734" s="42">
        <v>730</v>
      </c>
      <c r="B734" s="43" t="s">
        <v>521</v>
      </c>
      <c r="C734" s="50" t="s">
        <v>217</v>
      </c>
      <c r="D734" s="50" t="s">
        <v>245</v>
      </c>
      <c r="E734" s="50" t="s">
        <v>484</v>
      </c>
      <c r="F734" s="51" t="s">
        <v>484</v>
      </c>
      <c r="G734" s="45">
        <v>2769</v>
      </c>
      <c r="H734" s="45">
        <v>1538</v>
      </c>
      <c r="I734" s="45">
        <v>423</v>
      </c>
      <c r="J734" s="45">
        <v>808</v>
      </c>
      <c r="K734" s="45">
        <v>3927</v>
      </c>
      <c r="L734" s="45">
        <v>2155</v>
      </c>
      <c r="M734" s="45">
        <v>648</v>
      </c>
      <c r="N734" s="45">
        <v>1124</v>
      </c>
      <c r="O734" s="45">
        <v>5969</v>
      </c>
      <c r="P734" s="45">
        <v>3485</v>
      </c>
      <c r="Q734" s="45">
        <v>852</v>
      </c>
      <c r="R734" s="45">
        <v>1632</v>
      </c>
      <c r="S734" s="46">
        <v>55.5435175</v>
      </c>
      <c r="T734" s="46">
        <v>15.276273</v>
      </c>
      <c r="U734" s="46">
        <v>29.1802095</v>
      </c>
      <c r="V734" s="46">
        <v>54.876496099999997</v>
      </c>
      <c r="W734" s="46">
        <v>16.501145900000001</v>
      </c>
      <c r="X734" s="46">
        <v>28.622357999999998</v>
      </c>
      <c r="Y734" s="46">
        <v>58.384989099999999</v>
      </c>
      <c r="Z734" s="46">
        <v>14.273747699999999</v>
      </c>
      <c r="AA734" s="46">
        <v>27.3412632</v>
      </c>
      <c r="AB734" s="26">
        <f>SUM(W734:X734)</f>
        <v>45.123503900000003</v>
      </c>
      <c r="AC734" s="26">
        <f>SUM(Z734:AA734)</f>
        <v>41.615010900000001</v>
      </c>
      <c r="AD734" s="57">
        <f>M734+N734</f>
        <v>1772</v>
      </c>
      <c r="AE734" s="57">
        <f>Q734+R734</f>
        <v>2484</v>
      </c>
      <c r="AF734" s="26">
        <f>W734</f>
        <v>16.501145900000001</v>
      </c>
      <c r="AG734" s="26">
        <f>Z734</f>
        <v>14.273747699999999</v>
      </c>
      <c r="AH734" s="26">
        <f>M734</f>
        <v>648</v>
      </c>
      <c r="AI734" s="26">
        <f>Q734</f>
        <v>852</v>
      </c>
      <c r="AJ734" s="26">
        <f>X734</f>
        <v>28.622357999999998</v>
      </c>
      <c r="AK734" s="26">
        <f>AA734</f>
        <v>27.3412632</v>
      </c>
      <c r="AL734" s="57">
        <f>N734</f>
        <v>1124</v>
      </c>
      <c r="AM734" s="57">
        <f>R734</f>
        <v>1632</v>
      </c>
    </row>
    <row r="735" spans="1:39" hidden="1" x14ac:dyDescent="0.3">
      <c r="A735" s="37">
        <v>731</v>
      </c>
      <c r="B735" s="38" t="s">
        <v>521</v>
      </c>
      <c r="C735" s="38" t="s">
        <v>217</v>
      </c>
      <c r="D735" s="38" t="s">
        <v>245</v>
      </c>
      <c r="E735" s="38" t="s">
        <v>484</v>
      </c>
      <c r="F735" s="47" t="s">
        <v>519</v>
      </c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1"/>
      <c r="T735" s="41"/>
      <c r="U735" s="41"/>
      <c r="V735" s="41"/>
      <c r="W735" s="41"/>
      <c r="X735" s="41"/>
      <c r="Y735" s="41"/>
      <c r="Z735" s="41"/>
      <c r="AA735" s="41"/>
    </row>
    <row r="736" spans="1:39" hidden="1" x14ac:dyDescent="0.3">
      <c r="A736" s="37">
        <v>732</v>
      </c>
      <c r="B736" s="38" t="s">
        <v>521</v>
      </c>
      <c r="C736" s="38" t="s">
        <v>217</v>
      </c>
      <c r="D736" s="38" t="s">
        <v>245</v>
      </c>
      <c r="E736" s="38" t="s">
        <v>484</v>
      </c>
      <c r="F736" s="47" t="s">
        <v>520</v>
      </c>
      <c r="G736" s="40">
        <v>2769</v>
      </c>
      <c r="H736" s="40">
        <v>1538</v>
      </c>
      <c r="I736" s="40">
        <v>423</v>
      </c>
      <c r="J736" s="40">
        <v>808</v>
      </c>
      <c r="K736" s="40">
        <v>3927</v>
      </c>
      <c r="L736" s="40">
        <v>2155</v>
      </c>
      <c r="M736" s="40">
        <v>648</v>
      </c>
      <c r="N736" s="40">
        <v>1124</v>
      </c>
      <c r="O736" s="40">
        <v>5969</v>
      </c>
      <c r="P736" s="40">
        <v>3485</v>
      </c>
      <c r="Q736" s="40">
        <v>852</v>
      </c>
      <c r="R736" s="40">
        <v>1632</v>
      </c>
      <c r="S736" s="41">
        <v>55.5435175</v>
      </c>
      <c r="T736" s="41">
        <v>15.276273</v>
      </c>
      <c r="U736" s="41">
        <v>29.1802095</v>
      </c>
      <c r="V736" s="41">
        <v>54.876496099999997</v>
      </c>
      <c r="W736" s="41">
        <v>16.501145900000001</v>
      </c>
      <c r="X736" s="41">
        <v>28.622357999999998</v>
      </c>
      <c r="Y736" s="41">
        <v>58.384989099999999</v>
      </c>
      <c r="Z736" s="41">
        <v>14.273747699999999</v>
      </c>
      <c r="AA736" s="41">
        <v>27.3412632</v>
      </c>
    </row>
    <row r="737" spans="1:39" hidden="1" x14ac:dyDescent="0.3">
      <c r="A737" s="42">
        <v>733</v>
      </c>
      <c r="B737" s="43" t="s">
        <v>521</v>
      </c>
      <c r="C737" s="50" t="s">
        <v>217</v>
      </c>
      <c r="D737" s="50" t="s">
        <v>245</v>
      </c>
      <c r="E737" s="50" t="s">
        <v>247</v>
      </c>
      <c r="F737" s="51" t="s">
        <v>247</v>
      </c>
      <c r="G737" s="45">
        <v>757</v>
      </c>
      <c r="H737" s="45">
        <v>304</v>
      </c>
      <c r="I737" s="45">
        <v>125</v>
      </c>
      <c r="J737" s="45">
        <v>328</v>
      </c>
      <c r="K737" s="45">
        <v>1040</v>
      </c>
      <c r="L737" s="45">
        <v>631</v>
      </c>
      <c r="M737" s="45">
        <v>160</v>
      </c>
      <c r="N737" s="45">
        <v>249</v>
      </c>
      <c r="O737" s="45">
        <v>1275</v>
      </c>
      <c r="P737" s="45">
        <v>814</v>
      </c>
      <c r="Q737" s="45">
        <v>159</v>
      </c>
      <c r="R737" s="45">
        <v>302</v>
      </c>
      <c r="S737" s="46">
        <v>40.158520500000002</v>
      </c>
      <c r="T737" s="46">
        <v>16.512549499999999</v>
      </c>
      <c r="U737" s="46">
        <v>43.32893</v>
      </c>
      <c r="V737" s="46">
        <v>60.673076899999998</v>
      </c>
      <c r="W737" s="46">
        <v>15.384615399999999</v>
      </c>
      <c r="X737" s="46">
        <v>23.942307700000001</v>
      </c>
      <c r="Y737" s="46">
        <v>63.843137300000002</v>
      </c>
      <c r="Z737" s="46">
        <v>12.4705882</v>
      </c>
      <c r="AA737" s="46">
        <v>23.6862745</v>
      </c>
      <c r="AB737" s="26">
        <f>SUM(W737:X737)</f>
        <v>39.326923100000002</v>
      </c>
      <c r="AC737" s="26">
        <f>SUM(Z737:AA737)</f>
        <v>36.156862699999998</v>
      </c>
      <c r="AD737" s="57">
        <f>M737+N737</f>
        <v>409</v>
      </c>
      <c r="AE737" s="57">
        <f>Q737+R737</f>
        <v>461</v>
      </c>
      <c r="AF737" s="26">
        <f>W737</f>
        <v>15.384615399999999</v>
      </c>
      <c r="AG737" s="26">
        <f>Z737</f>
        <v>12.4705882</v>
      </c>
      <c r="AH737" s="26">
        <f>M737</f>
        <v>160</v>
      </c>
      <c r="AI737" s="26">
        <f>Q737</f>
        <v>159</v>
      </c>
      <c r="AJ737" s="26">
        <f>X737</f>
        <v>23.942307700000001</v>
      </c>
      <c r="AK737" s="26">
        <f>AA737</f>
        <v>23.6862745</v>
      </c>
      <c r="AL737" s="57">
        <f>N737</f>
        <v>249</v>
      </c>
      <c r="AM737" s="57">
        <f>R737</f>
        <v>302</v>
      </c>
    </row>
    <row r="738" spans="1:39" hidden="1" x14ac:dyDescent="0.3">
      <c r="A738" s="37">
        <v>734</v>
      </c>
      <c r="B738" s="38" t="s">
        <v>521</v>
      </c>
      <c r="C738" s="38" t="s">
        <v>217</v>
      </c>
      <c r="D738" s="38" t="s">
        <v>245</v>
      </c>
      <c r="E738" s="38" t="s">
        <v>247</v>
      </c>
      <c r="F738" s="47" t="s">
        <v>519</v>
      </c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1"/>
      <c r="T738" s="41"/>
      <c r="U738" s="41"/>
      <c r="V738" s="41"/>
      <c r="W738" s="41"/>
      <c r="X738" s="41"/>
      <c r="Y738" s="41"/>
      <c r="Z738" s="41"/>
      <c r="AA738" s="41"/>
    </row>
    <row r="739" spans="1:39" hidden="1" x14ac:dyDescent="0.3">
      <c r="A739" s="37">
        <v>735</v>
      </c>
      <c r="B739" s="38" t="s">
        <v>521</v>
      </c>
      <c r="C739" s="38" t="s">
        <v>217</v>
      </c>
      <c r="D739" s="38" t="s">
        <v>245</v>
      </c>
      <c r="E739" s="38" t="s">
        <v>247</v>
      </c>
      <c r="F739" s="47" t="s">
        <v>520</v>
      </c>
      <c r="G739" s="40">
        <v>757</v>
      </c>
      <c r="H739" s="40">
        <v>304</v>
      </c>
      <c r="I739" s="40">
        <v>125</v>
      </c>
      <c r="J739" s="40">
        <v>328</v>
      </c>
      <c r="K739" s="40">
        <v>1040</v>
      </c>
      <c r="L739" s="40">
        <v>631</v>
      </c>
      <c r="M739" s="40">
        <v>160</v>
      </c>
      <c r="N739" s="40">
        <v>249</v>
      </c>
      <c r="O739" s="40">
        <v>1275</v>
      </c>
      <c r="P739" s="40">
        <v>814</v>
      </c>
      <c r="Q739" s="40">
        <v>159</v>
      </c>
      <c r="R739" s="40">
        <v>302</v>
      </c>
      <c r="S739" s="41">
        <v>40.158520500000002</v>
      </c>
      <c r="T739" s="41">
        <v>16.512549499999999</v>
      </c>
      <c r="U739" s="41">
        <v>43.32893</v>
      </c>
      <c r="V739" s="41">
        <v>60.673076899999998</v>
      </c>
      <c r="W739" s="41">
        <v>15.384615399999999</v>
      </c>
      <c r="X739" s="41">
        <v>23.942307700000001</v>
      </c>
      <c r="Y739" s="41">
        <v>63.843137300000002</v>
      </c>
      <c r="Z739" s="41">
        <v>12.4705882</v>
      </c>
      <c r="AA739" s="41">
        <v>23.6862745</v>
      </c>
    </row>
    <row r="740" spans="1:39" hidden="1" x14ac:dyDescent="0.3">
      <c r="A740" s="32">
        <v>736</v>
      </c>
      <c r="B740" s="33" t="s">
        <v>1</v>
      </c>
      <c r="C740" s="49" t="s">
        <v>217</v>
      </c>
      <c r="D740" s="49" t="s">
        <v>248</v>
      </c>
      <c r="E740" s="49"/>
      <c r="F740" s="34" t="s">
        <v>248</v>
      </c>
      <c r="G740" s="35">
        <v>1977</v>
      </c>
      <c r="H740" s="35">
        <v>889</v>
      </c>
      <c r="I740" s="35">
        <v>378</v>
      </c>
      <c r="J740" s="35">
        <v>710</v>
      </c>
      <c r="K740" s="35">
        <v>3090</v>
      </c>
      <c r="L740" s="35">
        <v>1389</v>
      </c>
      <c r="M740" s="35">
        <v>562</v>
      </c>
      <c r="N740" s="35">
        <v>1139</v>
      </c>
      <c r="O740" s="35">
        <v>5317</v>
      </c>
      <c r="P740" s="35">
        <v>2743</v>
      </c>
      <c r="Q740" s="35">
        <v>859</v>
      </c>
      <c r="R740" s="35">
        <v>1715</v>
      </c>
      <c r="S740" s="36">
        <v>44.967121900000002</v>
      </c>
      <c r="T740" s="36">
        <v>19.1198786</v>
      </c>
      <c r="U740" s="36">
        <v>35.912999499999998</v>
      </c>
      <c r="V740" s="36">
        <v>44.951456299999997</v>
      </c>
      <c r="W740" s="36">
        <v>18.187702300000002</v>
      </c>
      <c r="X740" s="36">
        <v>36.860841399999998</v>
      </c>
      <c r="Y740" s="36">
        <v>51.5892421</v>
      </c>
      <c r="Z740" s="36">
        <v>16.155726900000001</v>
      </c>
      <c r="AA740" s="36">
        <v>32.255031000000002</v>
      </c>
    </row>
    <row r="741" spans="1:39" hidden="1" x14ac:dyDescent="0.3">
      <c r="A741" s="37">
        <v>737</v>
      </c>
      <c r="B741" s="38" t="s">
        <v>1</v>
      </c>
      <c r="C741" s="38" t="s">
        <v>217</v>
      </c>
      <c r="D741" s="38" t="s">
        <v>248</v>
      </c>
      <c r="E741" s="38"/>
      <c r="F741" s="39" t="s">
        <v>519</v>
      </c>
      <c r="G741" s="40"/>
      <c r="H741" s="40"/>
      <c r="I741" s="40"/>
      <c r="J741" s="40"/>
      <c r="K741" s="40"/>
      <c r="L741" s="40"/>
      <c r="M741" s="40"/>
      <c r="N741" s="40"/>
      <c r="O741" s="40">
        <v>462</v>
      </c>
      <c r="P741" s="40">
        <v>172</v>
      </c>
      <c r="Q741" s="40">
        <v>80</v>
      </c>
      <c r="R741" s="40">
        <v>210</v>
      </c>
      <c r="S741" s="41"/>
      <c r="T741" s="41"/>
      <c r="U741" s="41"/>
      <c r="V741" s="41"/>
      <c r="W741" s="41"/>
      <c r="X741" s="41"/>
      <c r="Y741" s="41">
        <v>37.2294372</v>
      </c>
      <c r="Z741" s="41">
        <v>17.316017299999999</v>
      </c>
      <c r="AA741" s="41">
        <v>45.454545500000002</v>
      </c>
    </row>
    <row r="742" spans="1:39" hidden="1" x14ac:dyDescent="0.3">
      <c r="A742" s="37">
        <v>738</v>
      </c>
      <c r="B742" s="38" t="s">
        <v>1</v>
      </c>
      <c r="C742" s="38" t="s">
        <v>217</v>
      </c>
      <c r="D742" s="38" t="s">
        <v>248</v>
      </c>
      <c r="E742" s="38"/>
      <c r="F742" s="39" t="s">
        <v>520</v>
      </c>
      <c r="G742" s="40">
        <v>1977</v>
      </c>
      <c r="H742" s="40">
        <v>889</v>
      </c>
      <c r="I742" s="40">
        <v>378</v>
      </c>
      <c r="J742" s="40">
        <v>710</v>
      </c>
      <c r="K742" s="40">
        <v>3090</v>
      </c>
      <c r="L742" s="40">
        <v>1389</v>
      </c>
      <c r="M742" s="40">
        <v>562</v>
      </c>
      <c r="N742" s="40">
        <v>1139</v>
      </c>
      <c r="O742" s="40">
        <v>4855</v>
      </c>
      <c r="P742" s="40">
        <v>2571</v>
      </c>
      <c r="Q742" s="40">
        <v>779</v>
      </c>
      <c r="R742" s="40">
        <v>1505</v>
      </c>
      <c r="S742" s="41">
        <v>44.967121900000002</v>
      </c>
      <c r="T742" s="41">
        <v>19.1198786</v>
      </c>
      <c r="U742" s="41">
        <v>35.912999499999998</v>
      </c>
      <c r="V742" s="41">
        <v>44.951456299999997</v>
      </c>
      <c r="W742" s="41">
        <v>18.187702300000002</v>
      </c>
      <c r="X742" s="41">
        <v>36.860841399999998</v>
      </c>
      <c r="Y742" s="41">
        <v>52.9557158</v>
      </c>
      <c r="Z742" s="41">
        <v>16.045314099999999</v>
      </c>
      <c r="AA742" s="41">
        <v>30.998970100000001</v>
      </c>
    </row>
    <row r="743" spans="1:39" hidden="1" x14ac:dyDescent="0.3">
      <c r="A743" s="42">
        <v>739</v>
      </c>
      <c r="B743" s="43" t="s">
        <v>521</v>
      </c>
      <c r="C743" s="50" t="s">
        <v>217</v>
      </c>
      <c r="D743" s="50" t="s">
        <v>248</v>
      </c>
      <c r="E743" s="50" t="s">
        <v>248</v>
      </c>
      <c r="F743" s="51" t="s">
        <v>248</v>
      </c>
      <c r="G743" s="45">
        <v>1323</v>
      </c>
      <c r="H743" s="45">
        <v>635</v>
      </c>
      <c r="I743" s="45">
        <v>247</v>
      </c>
      <c r="J743" s="45">
        <v>441</v>
      </c>
      <c r="K743" s="45">
        <v>2247</v>
      </c>
      <c r="L743" s="45">
        <v>980</v>
      </c>
      <c r="M743" s="45">
        <v>424</v>
      </c>
      <c r="N743" s="45">
        <v>843</v>
      </c>
      <c r="O743" s="45">
        <v>3855</v>
      </c>
      <c r="P743" s="45">
        <v>1766</v>
      </c>
      <c r="Q743" s="45">
        <v>653</v>
      </c>
      <c r="R743" s="45">
        <v>1436</v>
      </c>
      <c r="S743" s="46">
        <v>47.996976600000004</v>
      </c>
      <c r="T743" s="46">
        <v>18.6696901</v>
      </c>
      <c r="U743" s="46">
        <v>33.3333333</v>
      </c>
      <c r="V743" s="46">
        <v>43.6137072</v>
      </c>
      <c r="W743" s="46">
        <v>18.869603900000001</v>
      </c>
      <c r="X743" s="46">
        <v>37.516688899999998</v>
      </c>
      <c r="Y743" s="46">
        <v>45.810635499999997</v>
      </c>
      <c r="Z743" s="46">
        <v>16.939040200000001</v>
      </c>
      <c r="AA743" s="46">
        <v>37.250324300000003</v>
      </c>
      <c r="AB743" s="26">
        <f>SUM(W743:X743)</f>
        <v>56.3862928</v>
      </c>
      <c r="AC743" s="26">
        <f>SUM(Z743:AA743)</f>
        <v>54.189364500000003</v>
      </c>
      <c r="AD743" s="57">
        <f>M743+N743</f>
        <v>1267</v>
      </c>
      <c r="AE743" s="57">
        <f>Q743+R743</f>
        <v>2089</v>
      </c>
      <c r="AF743" s="26">
        <f>W743</f>
        <v>18.869603900000001</v>
      </c>
      <c r="AG743" s="26">
        <f>Z743</f>
        <v>16.939040200000001</v>
      </c>
      <c r="AH743" s="26">
        <f>M743</f>
        <v>424</v>
      </c>
      <c r="AI743" s="26">
        <f>Q743</f>
        <v>653</v>
      </c>
      <c r="AJ743" s="26">
        <f>X743</f>
        <v>37.516688899999998</v>
      </c>
      <c r="AK743" s="26">
        <f>AA743</f>
        <v>37.250324300000003</v>
      </c>
      <c r="AL743" s="57">
        <f>N743</f>
        <v>843</v>
      </c>
      <c r="AM743" s="57">
        <f>R743</f>
        <v>1436</v>
      </c>
    </row>
    <row r="744" spans="1:39" hidden="1" x14ac:dyDescent="0.3">
      <c r="A744" s="37">
        <v>740</v>
      </c>
      <c r="B744" s="38" t="s">
        <v>521</v>
      </c>
      <c r="C744" s="38" t="s">
        <v>217</v>
      </c>
      <c r="D744" s="38" t="s">
        <v>248</v>
      </c>
      <c r="E744" s="38" t="s">
        <v>248</v>
      </c>
      <c r="F744" s="47" t="s">
        <v>519</v>
      </c>
      <c r="G744" s="40"/>
      <c r="H744" s="40"/>
      <c r="I744" s="40"/>
      <c r="J744" s="40"/>
      <c r="K744" s="40"/>
      <c r="L744" s="40"/>
      <c r="M744" s="40"/>
      <c r="N744" s="40"/>
      <c r="O744" s="40">
        <v>462</v>
      </c>
      <c r="P744" s="40">
        <v>172</v>
      </c>
      <c r="Q744" s="40">
        <v>80</v>
      </c>
      <c r="R744" s="40">
        <v>210</v>
      </c>
      <c r="S744" s="41"/>
      <c r="T744" s="41"/>
      <c r="U744" s="41"/>
      <c r="V744" s="41"/>
      <c r="W744" s="41"/>
      <c r="X744" s="41"/>
      <c r="Y744" s="41">
        <v>37.2294372</v>
      </c>
      <c r="Z744" s="41">
        <v>17.316017299999999</v>
      </c>
      <c r="AA744" s="41">
        <v>45.454545500000002</v>
      </c>
    </row>
    <row r="745" spans="1:39" hidden="1" x14ac:dyDescent="0.3">
      <c r="A745" s="37">
        <v>741</v>
      </c>
      <c r="B745" s="38" t="s">
        <v>521</v>
      </c>
      <c r="C745" s="38" t="s">
        <v>217</v>
      </c>
      <c r="D745" s="38" t="s">
        <v>248</v>
      </c>
      <c r="E745" s="38" t="s">
        <v>248</v>
      </c>
      <c r="F745" s="47" t="s">
        <v>520</v>
      </c>
      <c r="G745" s="40">
        <v>1323</v>
      </c>
      <c r="H745" s="40">
        <v>635</v>
      </c>
      <c r="I745" s="40">
        <v>247</v>
      </c>
      <c r="J745" s="40">
        <v>441</v>
      </c>
      <c r="K745" s="40">
        <v>2247</v>
      </c>
      <c r="L745" s="40">
        <v>980</v>
      </c>
      <c r="M745" s="40">
        <v>424</v>
      </c>
      <c r="N745" s="40">
        <v>843</v>
      </c>
      <c r="O745" s="40">
        <v>3393</v>
      </c>
      <c r="P745" s="40">
        <v>1594</v>
      </c>
      <c r="Q745" s="40">
        <v>573</v>
      </c>
      <c r="R745" s="40">
        <v>1226</v>
      </c>
      <c r="S745" s="41">
        <v>47.996976600000004</v>
      </c>
      <c r="T745" s="41">
        <v>18.6696901</v>
      </c>
      <c r="U745" s="41">
        <v>33.3333333</v>
      </c>
      <c r="V745" s="41">
        <v>43.6137072</v>
      </c>
      <c r="W745" s="41">
        <v>18.869603900000001</v>
      </c>
      <c r="X745" s="41">
        <v>37.516688899999998</v>
      </c>
      <c r="Y745" s="41">
        <v>46.979074599999997</v>
      </c>
      <c r="Z745" s="41">
        <v>16.887709999999998</v>
      </c>
      <c r="AA745" s="41">
        <v>36.133215399999997</v>
      </c>
    </row>
    <row r="746" spans="1:39" hidden="1" x14ac:dyDescent="0.3">
      <c r="A746" s="42">
        <v>742</v>
      </c>
      <c r="B746" s="43" t="s">
        <v>521</v>
      </c>
      <c r="C746" s="50" t="s">
        <v>217</v>
      </c>
      <c r="D746" s="50" t="s">
        <v>248</v>
      </c>
      <c r="E746" s="50" t="s">
        <v>249</v>
      </c>
      <c r="F746" s="51" t="s">
        <v>249</v>
      </c>
      <c r="G746" s="45">
        <v>147</v>
      </c>
      <c r="H746" s="45">
        <v>53</v>
      </c>
      <c r="I746" s="45">
        <v>31</v>
      </c>
      <c r="J746" s="45">
        <v>63</v>
      </c>
      <c r="K746" s="45">
        <v>253</v>
      </c>
      <c r="L746" s="45">
        <v>114</v>
      </c>
      <c r="M746" s="45">
        <v>56</v>
      </c>
      <c r="N746" s="45">
        <v>83</v>
      </c>
      <c r="O746" s="45">
        <v>357</v>
      </c>
      <c r="P746" s="45">
        <v>170</v>
      </c>
      <c r="Q746" s="45">
        <v>66</v>
      </c>
      <c r="R746" s="45">
        <v>121</v>
      </c>
      <c r="S746" s="46">
        <v>36.0544218</v>
      </c>
      <c r="T746" s="46">
        <v>21.088435400000002</v>
      </c>
      <c r="U746" s="46">
        <v>42.857142899999999</v>
      </c>
      <c r="V746" s="46">
        <v>45.059288500000001</v>
      </c>
      <c r="W746" s="46">
        <v>22.134387400000001</v>
      </c>
      <c r="X746" s="46">
        <v>32.806324099999998</v>
      </c>
      <c r="Y746" s="46">
        <v>47.619047600000002</v>
      </c>
      <c r="Z746" s="46">
        <v>18.487394999999999</v>
      </c>
      <c r="AA746" s="46">
        <v>33.893557399999999</v>
      </c>
      <c r="AB746" s="26">
        <f>SUM(W746:X746)</f>
        <v>54.940711499999999</v>
      </c>
      <c r="AC746" s="26">
        <f>SUM(Z746:AA746)</f>
        <v>52.380952399999998</v>
      </c>
      <c r="AD746" s="57">
        <f>M746+N746</f>
        <v>139</v>
      </c>
      <c r="AE746" s="57">
        <f>Q746+R746</f>
        <v>187</v>
      </c>
      <c r="AF746" s="26">
        <f>W746</f>
        <v>22.134387400000001</v>
      </c>
      <c r="AG746" s="26">
        <f>Z746</f>
        <v>18.487394999999999</v>
      </c>
      <c r="AH746" s="26">
        <f>M746</f>
        <v>56</v>
      </c>
      <c r="AI746" s="26">
        <f>Q746</f>
        <v>66</v>
      </c>
      <c r="AJ746" s="26">
        <f>X746</f>
        <v>32.806324099999998</v>
      </c>
      <c r="AK746" s="26">
        <f>AA746</f>
        <v>33.893557399999999</v>
      </c>
      <c r="AL746" s="57">
        <f>N746</f>
        <v>83</v>
      </c>
      <c r="AM746" s="57">
        <f>R746</f>
        <v>121</v>
      </c>
    </row>
    <row r="747" spans="1:39" hidden="1" x14ac:dyDescent="0.3">
      <c r="A747" s="37">
        <v>743</v>
      </c>
      <c r="B747" s="38" t="s">
        <v>521</v>
      </c>
      <c r="C747" s="38" t="s">
        <v>217</v>
      </c>
      <c r="D747" s="38" t="s">
        <v>248</v>
      </c>
      <c r="E747" s="38" t="s">
        <v>249</v>
      </c>
      <c r="F747" s="47" t="s">
        <v>519</v>
      </c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1"/>
      <c r="T747" s="41"/>
      <c r="U747" s="41"/>
      <c r="V747" s="41"/>
      <c r="W747" s="41"/>
      <c r="X747" s="41"/>
      <c r="Y747" s="41"/>
      <c r="Z747" s="41"/>
      <c r="AA747" s="41"/>
    </row>
    <row r="748" spans="1:39" hidden="1" x14ac:dyDescent="0.3">
      <c r="A748" s="37">
        <v>744</v>
      </c>
      <c r="B748" s="38" t="s">
        <v>521</v>
      </c>
      <c r="C748" s="38" t="s">
        <v>217</v>
      </c>
      <c r="D748" s="38" t="s">
        <v>248</v>
      </c>
      <c r="E748" s="38" t="s">
        <v>249</v>
      </c>
      <c r="F748" s="47" t="s">
        <v>520</v>
      </c>
      <c r="G748" s="40">
        <v>147</v>
      </c>
      <c r="H748" s="40">
        <v>53</v>
      </c>
      <c r="I748" s="40">
        <v>31</v>
      </c>
      <c r="J748" s="40">
        <v>63</v>
      </c>
      <c r="K748" s="40">
        <v>253</v>
      </c>
      <c r="L748" s="40">
        <v>114</v>
      </c>
      <c r="M748" s="40">
        <v>56</v>
      </c>
      <c r="N748" s="40">
        <v>83</v>
      </c>
      <c r="O748" s="40">
        <v>357</v>
      </c>
      <c r="P748" s="40">
        <v>170</v>
      </c>
      <c r="Q748" s="40">
        <v>66</v>
      </c>
      <c r="R748" s="40">
        <v>121</v>
      </c>
      <c r="S748" s="41">
        <v>36.0544218</v>
      </c>
      <c r="T748" s="41">
        <v>21.088435400000002</v>
      </c>
      <c r="U748" s="41">
        <v>42.857142899999999</v>
      </c>
      <c r="V748" s="41">
        <v>45.059288500000001</v>
      </c>
      <c r="W748" s="41">
        <v>22.134387400000001</v>
      </c>
      <c r="X748" s="41">
        <v>32.806324099999998</v>
      </c>
      <c r="Y748" s="41">
        <v>47.619047600000002</v>
      </c>
      <c r="Z748" s="41">
        <v>18.487394999999999</v>
      </c>
      <c r="AA748" s="41">
        <v>33.893557399999999</v>
      </c>
    </row>
    <row r="749" spans="1:39" hidden="1" x14ac:dyDescent="0.3">
      <c r="A749" s="42">
        <v>745</v>
      </c>
      <c r="B749" s="43" t="s">
        <v>521</v>
      </c>
      <c r="C749" s="50" t="s">
        <v>217</v>
      </c>
      <c r="D749" s="50" t="s">
        <v>248</v>
      </c>
      <c r="E749" s="50" t="s">
        <v>485</v>
      </c>
      <c r="F749" s="51" t="s">
        <v>485</v>
      </c>
      <c r="G749" s="45">
        <v>507</v>
      </c>
      <c r="H749" s="45">
        <v>201</v>
      </c>
      <c r="I749" s="45">
        <v>100</v>
      </c>
      <c r="J749" s="45">
        <v>206</v>
      </c>
      <c r="K749" s="45">
        <v>590</v>
      </c>
      <c r="L749" s="45">
        <v>295</v>
      </c>
      <c r="M749" s="45">
        <v>82</v>
      </c>
      <c r="N749" s="45">
        <v>213</v>
      </c>
      <c r="O749" s="45">
        <v>1105</v>
      </c>
      <c r="P749" s="45">
        <v>807</v>
      </c>
      <c r="Q749" s="45">
        <v>140</v>
      </c>
      <c r="R749" s="45">
        <v>158</v>
      </c>
      <c r="S749" s="46">
        <v>39.644970399999998</v>
      </c>
      <c r="T749" s="46">
        <v>19.7238659</v>
      </c>
      <c r="U749" s="46">
        <v>40.631163700000002</v>
      </c>
      <c r="V749" s="46">
        <v>50</v>
      </c>
      <c r="W749" s="46">
        <v>13.8983051</v>
      </c>
      <c r="X749" s="46">
        <v>36.101694899999998</v>
      </c>
      <c r="Y749" s="46">
        <v>73.031674199999998</v>
      </c>
      <c r="Z749" s="46">
        <v>12.669683300000001</v>
      </c>
      <c r="AA749" s="46">
        <v>14.2986425</v>
      </c>
      <c r="AB749" s="26">
        <f>SUM(W749:X749)</f>
        <v>50</v>
      </c>
      <c r="AC749" s="26">
        <f>SUM(Z749:AA749)</f>
        <v>26.968325800000002</v>
      </c>
      <c r="AD749" s="57">
        <f>M749+N749</f>
        <v>295</v>
      </c>
      <c r="AE749" s="57">
        <f>Q749+R749</f>
        <v>298</v>
      </c>
      <c r="AF749" s="26">
        <f>W749</f>
        <v>13.8983051</v>
      </c>
      <c r="AG749" s="26">
        <f>Z749</f>
        <v>12.669683300000001</v>
      </c>
      <c r="AH749" s="26">
        <f>M749</f>
        <v>82</v>
      </c>
      <c r="AI749" s="26">
        <f>Q749</f>
        <v>140</v>
      </c>
      <c r="AJ749" s="26">
        <f>X749</f>
        <v>36.101694899999998</v>
      </c>
      <c r="AK749" s="26">
        <f>AA749</f>
        <v>14.2986425</v>
      </c>
      <c r="AL749" s="57">
        <f>N749</f>
        <v>213</v>
      </c>
      <c r="AM749" s="57">
        <f>R749</f>
        <v>158</v>
      </c>
    </row>
    <row r="750" spans="1:39" hidden="1" x14ac:dyDescent="0.3">
      <c r="A750" s="37">
        <v>746</v>
      </c>
      <c r="B750" s="38" t="s">
        <v>521</v>
      </c>
      <c r="C750" s="38" t="s">
        <v>217</v>
      </c>
      <c r="D750" s="38" t="s">
        <v>248</v>
      </c>
      <c r="E750" s="38" t="s">
        <v>485</v>
      </c>
      <c r="F750" s="47" t="s">
        <v>519</v>
      </c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1"/>
      <c r="T750" s="41"/>
      <c r="U750" s="41"/>
      <c r="V750" s="41"/>
      <c r="W750" s="41"/>
      <c r="X750" s="41"/>
      <c r="Y750" s="41"/>
      <c r="Z750" s="41"/>
      <c r="AA750" s="41"/>
    </row>
    <row r="751" spans="1:39" hidden="1" x14ac:dyDescent="0.3">
      <c r="A751" s="37">
        <v>747</v>
      </c>
      <c r="B751" s="38" t="s">
        <v>521</v>
      </c>
      <c r="C751" s="38" t="s">
        <v>217</v>
      </c>
      <c r="D751" s="38" t="s">
        <v>248</v>
      </c>
      <c r="E751" s="38" t="s">
        <v>485</v>
      </c>
      <c r="F751" s="47" t="s">
        <v>520</v>
      </c>
      <c r="G751" s="40">
        <v>507</v>
      </c>
      <c r="H751" s="40">
        <v>201</v>
      </c>
      <c r="I751" s="40">
        <v>100</v>
      </c>
      <c r="J751" s="40">
        <v>206</v>
      </c>
      <c r="K751" s="40">
        <v>590</v>
      </c>
      <c r="L751" s="40">
        <v>295</v>
      </c>
      <c r="M751" s="40">
        <v>82</v>
      </c>
      <c r="N751" s="40">
        <v>213</v>
      </c>
      <c r="O751" s="40">
        <v>1105</v>
      </c>
      <c r="P751" s="40">
        <v>807</v>
      </c>
      <c r="Q751" s="40">
        <v>140</v>
      </c>
      <c r="R751" s="40">
        <v>158</v>
      </c>
      <c r="S751" s="41">
        <v>39.644970399999998</v>
      </c>
      <c r="T751" s="41">
        <v>19.7238659</v>
      </c>
      <c r="U751" s="41">
        <v>40.631163700000002</v>
      </c>
      <c r="V751" s="41">
        <v>50</v>
      </c>
      <c r="W751" s="41">
        <v>13.8983051</v>
      </c>
      <c r="X751" s="41">
        <v>36.101694899999998</v>
      </c>
      <c r="Y751" s="41">
        <v>73.031674199999998</v>
      </c>
      <c r="Z751" s="41">
        <v>12.669683300000001</v>
      </c>
      <c r="AA751" s="41">
        <v>14.2986425</v>
      </c>
    </row>
    <row r="752" spans="1:39" hidden="1" x14ac:dyDescent="0.3">
      <c r="A752" s="32">
        <v>748</v>
      </c>
      <c r="B752" s="33" t="s">
        <v>1</v>
      </c>
      <c r="C752" s="49" t="s">
        <v>217</v>
      </c>
      <c r="D752" s="49" t="s">
        <v>251</v>
      </c>
      <c r="E752" s="49"/>
      <c r="F752" s="34" t="s">
        <v>251</v>
      </c>
      <c r="G752" s="35">
        <v>2834</v>
      </c>
      <c r="H752" s="35">
        <v>1844</v>
      </c>
      <c r="I752" s="35">
        <v>384</v>
      </c>
      <c r="J752" s="35">
        <v>606</v>
      </c>
      <c r="K752" s="35">
        <v>4331</v>
      </c>
      <c r="L752" s="35">
        <v>3038</v>
      </c>
      <c r="M752" s="35">
        <v>548</v>
      </c>
      <c r="N752" s="35">
        <v>745</v>
      </c>
      <c r="O752" s="35">
        <v>4732</v>
      </c>
      <c r="P752" s="35">
        <v>2711</v>
      </c>
      <c r="Q752" s="35">
        <v>707</v>
      </c>
      <c r="R752" s="35">
        <v>1314</v>
      </c>
      <c r="S752" s="36">
        <v>65.067042999999998</v>
      </c>
      <c r="T752" s="36">
        <v>13.549753000000001</v>
      </c>
      <c r="U752" s="36">
        <v>21.383203999999999</v>
      </c>
      <c r="V752" s="36">
        <v>70.145462899999998</v>
      </c>
      <c r="W752" s="36">
        <v>12.652967</v>
      </c>
      <c r="X752" s="36">
        <v>17.201570100000001</v>
      </c>
      <c r="Y752" s="36">
        <v>57.290786099999998</v>
      </c>
      <c r="Z752" s="36">
        <v>14.940828399999999</v>
      </c>
      <c r="AA752" s="36">
        <v>27.768385500000001</v>
      </c>
    </row>
    <row r="753" spans="1:39" hidden="1" x14ac:dyDescent="0.3">
      <c r="A753" s="37">
        <v>749</v>
      </c>
      <c r="B753" s="38" t="s">
        <v>1</v>
      </c>
      <c r="C753" s="38" t="s">
        <v>217</v>
      </c>
      <c r="D753" s="38" t="s">
        <v>251</v>
      </c>
      <c r="E753" s="38"/>
      <c r="F753" s="39" t="s">
        <v>519</v>
      </c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1"/>
      <c r="T753" s="41"/>
      <c r="U753" s="41"/>
      <c r="V753" s="41"/>
      <c r="W753" s="41"/>
      <c r="X753" s="41"/>
      <c r="Y753" s="41"/>
      <c r="Z753" s="41"/>
      <c r="AA753" s="41"/>
    </row>
    <row r="754" spans="1:39" hidden="1" x14ac:dyDescent="0.3">
      <c r="A754" s="37">
        <v>750</v>
      </c>
      <c r="B754" s="38" t="s">
        <v>1</v>
      </c>
      <c r="C754" s="38" t="s">
        <v>217</v>
      </c>
      <c r="D754" s="38" t="s">
        <v>251</v>
      </c>
      <c r="E754" s="38"/>
      <c r="F754" s="39" t="s">
        <v>520</v>
      </c>
      <c r="G754" s="40">
        <v>2834</v>
      </c>
      <c r="H754" s="40">
        <v>1844</v>
      </c>
      <c r="I754" s="40">
        <v>384</v>
      </c>
      <c r="J754" s="40">
        <v>606</v>
      </c>
      <c r="K754" s="40">
        <v>4331</v>
      </c>
      <c r="L754" s="40">
        <v>3038</v>
      </c>
      <c r="M754" s="40">
        <v>548</v>
      </c>
      <c r="N754" s="40">
        <v>745</v>
      </c>
      <c r="O754" s="40">
        <v>4732</v>
      </c>
      <c r="P754" s="40">
        <v>2711</v>
      </c>
      <c r="Q754" s="40">
        <v>707</v>
      </c>
      <c r="R754" s="40">
        <v>1314</v>
      </c>
      <c r="S754" s="41">
        <v>65.067042999999998</v>
      </c>
      <c r="T754" s="41">
        <v>13.549753000000001</v>
      </c>
      <c r="U754" s="41">
        <v>21.383203999999999</v>
      </c>
      <c r="V754" s="41">
        <v>70.145462899999998</v>
      </c>
      <c r="W754" s="41">
        <v>12.652967</v>
      </c>
      <c r="X754" s="41">
        <v>17.201570100000001</v>
      </c>
      <c r="Y754" s="41">
        <v>57.290786099999998</v>
      </c>
      <c r="Z754" s="41">
        <v>14.940828399999999</v>
      </c>
      <c r="AA754" s="41">
        <v>27.768385500000001</v>
      </c>
    </row>
    <row r="755" spans="1:39" hidden="1" x14ac:dyDescent="0.3">
      <c r="A755" s="42">
        <v>751</v>
      </c>
      <c r="B755" s="43" t="s">
        <v>521</v>
      </c>
      <c r="C755" s="50" t="s">
        <v>217</v>
      </c>
      <c r="D755" s="50" t="s">
        <v>251</v>
      </c>
      <c r="E755" s="50" t="s">
        <v>252</v>
      </c>
      <c r="F755" s="51" t="s">
        <v>252</v>
      </c>
      <c r="G755" s="45">
        <v>2834</v>
      </c>
      <c r="H755" s="45">
        <v>1844</v>
      </c>
      <c r="I755" s="45">
        <v>384</v>
      </c>
      <c r="J755" s="45">
        <v>606</v>
      </c>
      <c r="K755" s="45">
        <v>4331</v>
      </c>
      <c r="L755" s="45">
        <v>3038</v>
      </c>
      <c r="M755" s="45">
        <v>548</v>
      </c>
      <c r="N755" s="45">
        <v>745</v>
      </c>
      <c r="O755" s="45">
        <v>4732</v>
      </c>
      <c r="P755" s="45">
        <v>2711</v>
      </c>
      <c r="Q755" s="45">
        <v>707</v>
      </c>
      <c r="R755" s="45">
        <v>1314</v>
      </c>
      <c r="S755" s="46">
        <v>65.067042999999998</v>
      </c>
      <c r="T755" s="46">
        <v>13.549753000000001</v>
      </c>
      <c r="U755" s="46">
        <v>21.383203999999999</v>
      </c>
      <c r="V755" s="46">
        <v>70.145462899999998</v>
      </c>
      <c r="W755" s="46">
        <v>12.652967</v>
      </c>
      <c r="X755" s="46">
        <v>17.201570100000001</v>
      </c>
      <c r="Y755" s="46">
        <v>57.290786099999998</v>
      </c>
      <c r="Z755" s="46">
        <v>14.940828399999999</v>
      </c>
      <c r="AA755" s="46">
        <v>27.768385500000001</v>
      </c>
      <c r="AB755" s="26">
        <f>SUM(W755:X755)</f>
        <v>29.854537100000002</v>
      </c>
      <c r="AC755" s="26">
        <f>SUM(Z755:AA755)</f>
        <v>42.709213900000002</v>
      </c>
      <c r="AD755" s="57">
        <f>M755+N755</f>
        <v>1293</v>
      </c>
      <c r="AE755" s="57">
        <f>Q755+R755</f>
        <v>2021</v>
      </c>
      <c r="AF755" s="26">
        <f>W755</f>
        <v>12.652967</v>
      </c>
      <c r="AG755" s="26">
        <f>Z755</f>
        <v>14.940828399999999</v>
      </c>
      <c r="AH755" s="26">
        <f>M755</f>
        <v>548</v>
      </c>
      <c r="AI755" s="26">
        <f>Q755</f>
        <v>707</v>
      </c>
      <c r="AJ755" s="26">
        <f>X755</f>
        <v>17.201570100000001</v>
      </c>
      <c r="AK755" s="26">
        <f>AA755</f>
        <v>27.768385500000001</v>
      </c>
      <c r="AL755" s="57">
        <f>N755</f>
        <v>745</v>
      </c>
      <c r="AM755" s="57">
        <f>R755</f>
        <v>1314</v>
      </c>
    </row>
    <row r="756" spans="1:39" hidden="1" x14ac:dyDescent="0.3">
      <c r="A756" s="37">
        <v>752</v>
      </c>
      <c r="B756" s="38" t="s">
        <v>521</v>
      </c>
      <c r="C756" s="38" t="s">
        <v>217</v>
      </c>
      <c r="D756" s="38" t="s">
        <v>251</v>
      </c>
      <c r="E756" s="38" t="s">
        <v>252</v>
      </c>
      <c r="F756" s="47" t="s">
        <v>519</v>
      </c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1"/>
      <c r="T756" s="41"/>
      <c r="U756" s="41"/>
      <c r="V756" s="41"/>
      <c r="W756" s="41"/>
      <c r="X756" s="41"/>
      <c r="Y756" s="41"/>
      <c r="Z756" s="41"/>
      <c r="AA756" s="41"/>
    </row>
    <row r="757" spans="1:39" hidden="1" x14ac:dyDescent="0.3">
      <c r="A757" s="37">
        <v>753</v>
      </c>
      <c r="B757" s="38" t="s">
        <v>521</v>
      </c>
      <c r="C757" s="38" t="s">
        <v>217</v>
      </c>
      <c r="D757" s="38" t="s">
        <v>251</v>
      </c>
      <c r="E757" s="38" t="s">
        <v>252</v>
      </c>
      <c r="F757" s="47" t="s">
        <v>520</v>
      </c>
      <c r="G757" s="40">
        <v>2834</v>
      </c>
      <c r="H757" s="40">
        <v>1844</v>
      </c>
      <c r="I757" s="40">
        <v>384</v>
      </c>
      <c r="J757" s="40">
        <v>606</v>
      </c>
      <c r="K757" s="40">
        <v>4331</v>
      </c>
      <c r="L757" s="40">
        <v>3038</v>
      </c>
      <c r="M757" s="40">
        <v>548</v>
      </c>
      <c r="N757" s="40">
        <v>745</v>
      </c>
      <c r="O757" s="40">
        <v>4732</v>
      </c>
      <c r="P757" s="40">
        <v>2711</v>
      </c>
      <c r="Q757" s="40">
        <v>707</v>
      </c>
      <c r="R757" s="40">
        <v>1314</v>
      </c>
      <c r="S757" s="41">
        <v>65.067042999999998</v>
      </c>
      <c r="T757" s="41">
        <v>13.549753000000001</v>
      </c>
      <c r="U757" s="41">
        <v>21.383203999999999</v>
      </c>
      <c r="V757" s="41">
        <v>70.145462899999998</v>
      </c>
      <c r="W757" s="41">
        <v>12.652967</v>
      </c>
      <c r="X757" s="41">
        <v>17.201570100000001</v>
      </c>
      <c r="Y757" s="41">
        <v>57.290786099999998</v>
      </c>
      <c r="Z757" s="41">
        <v>14.940828399999999</v>
      </c>
      <c r="AA757" s="41">
        <v>27.768385500000001</v>
      </c>
    </row>
    <row r="758" spans="1:39" hidden="1" x14ac:dyDescent="0.3">
      <c r="A758" s="32">
        <v>754</v>
      </c>
      <c r="B758" s="33" t="s">
        <v>1</v>
      </c>
      <c r="C758" s="49" t="s">
        <v>217</v>
      </c>
      <c r="D758" s="49" t="s">
        <v>253</v>
      </c>
      <c r="E758" s="49"/>
      <c r="F758" s="34" t="s">
        <v>253</v>
      </c>
      <c r="G758" s="35">
        <v>1451</v>
      </c>
      <c r="H758" s="35">
        <v>731</v>
      </c>
      <c r="I758" s="35">
        <v>211</v>
      </c>
      <c r="J758" s="35">
        <v>509</v>
      </c>
      <c r="K758" s="35">
        <v>1898</v>
      </c>
      <c r="L758" s="35">
        <v>1265</v>
      </c>
      <c r="M758" s="35">
        <v>276</v>
      </c>
      <c r="N758" s="35">
        <v>357</v>
      </c>
      <c r="O758" s="35">
        <v>1936</v>
      </c>
      <c r="P758" s="35">
        <v>1310</v>
      </c>
      <c r="Q758" s="35">
        <v>250</v>
      </c>
      <c r="R758" s="35">
        <v>376</v>
      </c>
      <c r="S758" s="36">
        <v>50.379048900000001</v>
      </c>
      <c r="T758" s="36">
        <v>14.5416954</v>
      </c>
      <c r="U758" s="36">
        <v>35.079255699999997</v>
      </c>
      <c r="V758" s="36">
        <v>66.649104300000005</v>
      </c>
      <c r="W758" s="36">
        <v>14.541622800000001</v>
      </c>
      <c r="X758" s="36">
        <v>18.8092729</v>
      </c>
      <c r="Y758" s="36">
        <v>67.665289299999998</v>
      </c>
      <c r="Z758" s="36">
        <v>12.9132231</v>
      </c>
      <c r="AA758" s="36">
        <v>19.421487599999999</v>
      </c>
    </row>
    <row r="759" spans="1:39" hidden="1" x14ac:dyDescent="0.3">
      <c r="A759" s="37">
        <v>755</v>
      </c>
      <c r="B759" s="38" t="s">
        <v>1</v>
      </c>
      <c r="C759" s="38" t="s">
        <v>217</v>
      </c>
      <c r="D759" s="38" t="s">
        <v>253</v>
      </c>
      <c r="E759" s="38"/>
      <c r="F759" s="39" t="s">
        <v>519</v>
      </c>
      <c r="G759" s="40">
        <v>783</v>
      </c>
      <c r="H759" s="40">
        <v>508</v>
      </c>
      <c r="I759" s="40">
        <v>112</v>
      </c>
      <c r="J759" s="40">
        <v>163</v>
      </c>
      <c r="K759" s="40">
        <v>1015</v>
      </c>
      <c r="L759" s="40">
        <v>739</v>
      </c>
      <c r="M759" s="40">
        <v>142</v>
      </c>
      <c r="N759" s="40">
        <v>134</v>
      </c>
      <c r="O759" s="40">
        <v>873</v>
      </c>
      <c r="P759" s="40">
        <v>690</v>
      </c>
      <c r="Q759" s="40">
        <v>79</v>
      </c>
      <c r="R759" s="40">
        <v>104</v>
      </c>
      <c r="S759" s="41">
        <v>64.878671800000006</v>
      </c>
      <c r="T759" s="41">
        <v>14.3039591</v>
      </c>
      <c r="U759" s="41">
        <v>20.817369100000001</v>
      </c>
      <c r="V759" s="41">
        <v>72.807881800000004</v>
      </c>
      <c r="W759" s="41">
        <v>13.990147800000001</v>
      </c>
      <c r="X759" s="41">
        <v>13.2019704</v>
      </c>
      <c r="Y759" s="41">
        <v>79.037800700000005</v>
      </c>
      <c r="Z759" s="41">
        <v>9.0492553999999998</v>
      </c>
      <c r="AA759" s="41">
        <v>11.9129439</v>
      </c>
    </row>
    <row r="760" spans="1:39" hidden="1" x14ac:dyDescent="0.3">
      <c r="A760" s="37">
        <v>756</v>
      </c>
      <c r="B760" s="38" t="s">
        <v>1</v>
      </c>
      <c r="C760" s="38" t="s">
        <v>217</v>
      </c>
      <c r="D760" s="38" t="s">
        <v>253</v>
      </c>
      <c r="E760" s="38"/>
      <c r="F760" s="39" t="s">
        <v>520</v>
      </c>
      <c r="G760" s="40">
        <v>668</v>
      </c>
      <c r="H760" s="40">
        <v>223</v>
      </c>
      <c r="I760" s="40">
        <v>99</v>
      </c>
      <c r="J760" s="40">
        <v>346</v>
      </c>
      <c r="K760" s="40">
        <v>883</v>
      </c>
      <c r="L760" s="40">
        <v>526</v>
      </c>
      <c r="M760" s="40">
        <v>134</v>
      </c>
      <c r="N760" s="40">
        <v>223</v>
      </c>
      <c r="O760" s="40">
        <v>1063</v>
      </c>
      <c r="P760" s="40">
        <v>620</v>
      </c>
      <c r="Q760" s="40">
        <v>171</v>
      </c>
      <c r="R760" s="40">
        <v>272</v>
      </c>
      <c r="S760" s="41">
        <v>33.383233500000003</v>
      </c>
      <c r="T760" s="41">
        <v>14.8203593</v>
      </c>
      <c r="U760" s="41">
        <v>51.796407199999997</v>
      </c>
      <c r="V760" s="41">
        <v>59.569648899999997</v>
      </c>
      <c r="W760" s="41">
        <v>15.1755379</v>
      </c>
      <c r="X760" s="41">
        <v>25.2548131</v>
      </c>
      <c r="Y760" s="41">
        <v>58.325493899999998</v>
      </c>
      <c r="Z760" s="41">
        <v>16.086547500000002</v>
      </c>
      <c r="AA760" s="41">
        <v>25.5879586</v>
      </c>
    </row>
    <row r="761" spans="1:39" hidden="1" x14ac:dyDescent="0.3">
      <c r="A761" s="42">
        <v>757</v>
      </c>
      <c r="B761" s="43" t="s">
        <v>521</v>
      </c>
      <c r="C761" s="50" t="s">
        <v>217</v>
      </c>
      <c r="D761" s="50" t="s">
        <v>253</v>
      </c>
      <c r="E761" s="50" t="s">
        <v>254</v>
      </c>
      <c r="F761" s="51" t="s">
        <v>254</v>
      </c>
      <c r="G761" s="45">
        <v>1451</v>
      </c>
      <c r="H761" s="45">
        <v>731</v>
      </c>
      <c r="I761" s="45">
        <v>211</v>
      </c>
      <c r="J761" s="45">
        <v>509</v>
      </c>
      <c r="K761" s="45">
        <v>1898</v>
      </c>
      <c r="L761" s="45">
        <v>1265</v>
      </c>
      <c r="M761" s="45">
        <v>276</v>
      </c>
      <c r="N761" s="45">
        <v>357</v>
      </c>
      <c r="O761" s="45">
        <v>1936</v>
      </c>
      <c r="P761" s="45">
        <v>1310</v>
      </c>
      <c r="Q761" s="45">
        <v>250</v>
      </c>
      <c r="R761" s="45">
        <v>376</v>
      </c>
      <c r="S761" s="46">
        <v>50.379048900000001</v>
      </c>
      <c r="T761" s="46">
        <v>14.5416954</v>
      </c>
      <c r="U761" s="46">
        <v>35.079255699999997</v>
      </c>
      <c r="V761" s="46">
        <v>66.649104300000005</v>
      </c>
      <c r="W761" s="46">
        <v>14.541622800000001</v>
      </c>
      <c r="X761" s="46">
        <v>18.8092729</v>
      </c>
      <c r="Y761" s="46">
        <v>67.665289299999998</v>
      </c>
      <c r="Z761" s="46">
        <v>12.9132231</v>
      </c>
      <c r="AA761" s="46">
        <v>19.421487599999999</v>
      </c>
      <c r="AB761" s="26">
        <f>SUM(W761:X761)</f>
        <v>33.350895700000002</v>
      </c>
      <c r="AC761" s="26">
        <f>SUM(Z761:AA761)</f>
        <v>32.334710700000002</v>
      </c>
      <c r="AD761" s="57">
        <f>M761+N761</f>
        <v>633</v>
      </c>
      <c r="AE761" s="57">
        <f>Q761+R761</f>
        <v>626</v>
      </c>
      <c r="AF761" s="26">
        <f>W761</f>
        <v>14.541622800000001</v>
      </c>
      <c r="AG761" s="26">
        <f>Z761</f>
        <v>12.9132231</v>
      </c>
      <c r="AH761" s="26">
        <f>M761</f>
        <v>276</v>
      </c>
      <c r="AI761" s="26">
        <f>Q761</f>
        <v>250</v>
      </c>
      <c r="AJ761" s="26">
        <f>X761</f>
        <v>18.8092729</v>
      </c>
      <c r="AK761" s="26">
        <f>AA761</f>
        <v>19.421487599999999</v>
      </c>
      <c r="AL761" s="57">
        <f>N761</f>
        <v>357</v>
      </c>
      <c r="AM761" s="57">
        <f>R761</f>
        <v>376</v>
      </c>
    </row>
    <row r="762" spans="1:39" hidden="1" x14ac:dyDescent="0.3">
      <c r="A762" s="37">
        <v>758</v>
      </c>
      <c r="B762" s="38" t="s">
        <v>521</v>
      </c>
      <c r="C762" s="38" t="s">
        <v>217</v>
      </c>
      <c r="D762" s="38" t="s">
        <v>253</v>
      </c>
      <c r="E762" s="38" t="s">
        <v>254</v>
      </c>
      <c r="F762" s="47" t="s">
        <v>519</v>
      </c>
      <c r="G762" s="40">
        <v>783</v>
      </c>
      <c r="H762" s="40">
        <v>508</v>
      </c>
      <c r="I762" s="40">
        <v>112</v>
      </c>
      <c r="J762" s="40">
        <v>163</v>
      </c>
      <c r="K762" s="40">
        <v>1015</v>
      </c>
      <c r="L762" s="40">
        <v>739</v>
      </c>
      <c r="M762" s="40">
        <v>142</v>
      </c>
      <c r="N762" s="40">
        <v>134</v>
      </c>
      <c r="O762" s="40">
        <v>873</v>
      </c>
      <c r="P762" s="40">
        <v>690</v>
      </c>
      <c r="Q762" s="40">
        <v>79</v>
      </c>
      <c r="R762" s="40">
        <v>104</v>
      </c>
      <c r="S762" s="41">
        <v>64.878671800000006</v>
      </c>
      <c r="T762" s="41">
        <v>14.3039591</v>
      </c>
      <c r="U762" s="41">
        <v>20.817369100000001</v>
      </c>
      <c r="V762" s="41">
        <v>72.807881800000004</v>
      </c>
      <c r="W762" s="41">
        <v>13.990147800000001</v>
      </c>
      <c r="X762" s="41">
        <v>13.2019704</v>
      </c>
      <c r="Y762" s="41">
        <v>79.037800700000005</v>
      </c>
      <c r="Z762" s="41">
        <v>9.0492553999999998</v>
      </c>
      <c r="AA762" s="41">
        <v>11.9129439</v>
      </c>
    </row>
    <row r="763" spans="1:39" hidden="1" x14ac:dyDescent="0.3">
      <c r="A763" s="37">
        <v>759</v>
      </c>
      <c r="B763" s="38" t="s">
        <v>521</v>
      </c>
      <c r="C763" s="38" t="s">
        <v>217</v>
      </c>
      <c r="D763" s="38" t="s">
        <v>253</v>
      </c>
      <c r="E763" s="38" t="s">
        <v>254</v>
      </c>
      <c r="F763" s="47" t="s">
        <v>520</v>
      </c>
      <c r="G763" s="40">
        <v>668</v>
      </c>
      <c r="H763" s="40">
        <v>223</v>
      </c>
      <c r="I763" s="40">
        <v>99</v>
      </c>
      <c r="J763" s="40">
        <v>346</v>
      </c>
      <c r="K763" s="40">
        <v>883</v>
      </c>
      <c r="L763" s="40">
        <v>526</v>
      </c>
      <c r="M763" s="40">
        <v>134</v>
      </c>
      <c r="N763" s="40">
        <v>223</v>
      </c>
      <c r="O763" s="40">
        <v>1063</v>
      </c>
      <c r="P763" s="40">
        <v>620</v>
      </c>
      <c r="Q763" s="40">
        <v>171</v>
      </c>
      <c r="R763" s="40">
        <v>272</v>
      </c>
      <c r="S763" s="41">
        <v>33.383233500000003</v>
      </c>
      <c r="T763" s="41">
        <v>14.8203593</v>
      </c>
      <c r="U763" s="41">
        <v>51.796407199999997</v>
      </c>
      <c r="V763" s="41">
        <v>59.569648899999997</v>
      </c>
      <c r="W763" s="41">
        <v>15.1755379</v>
      </c>
      <c r="X763" s="41">
        <v>25.2548131</v>
      </c>
      <c r="Y763" s="41">
        <v>58.325493899999998</v>
      </c>
      <c r="Z763" s="41">
        <v>16.086547500000002</v>
      </c>
      <c r="AA763" s="41">
        <v>25.5879586</v>
      </c>
    </row>
    <row r="764" spans="1:39" hidden="1" x14ac:dyDescent="0.3">
      <c r="A764" s="32">
        <v>760</v>
      </c>
      <c r="B764" s="33" t="s">
        <v>1</v>
      </c>
      <c r="C764" s="49" t="s">
        <v>217</v>
      </c>
      <c r="D764" s="49" t="s">
        <v>255</v>
      </c>
      <c r="E764" s="49"/>
      <c r="F764" s="34" t="s">
        <v>255</v>
      </c>
      <c r="G764" s="35">
        <v>2281</v>
      </c>
      <c r="H764" s="35">
        <v>1439</v>
      </c>
      <c r="I764" s="35">
        <v>337</v>
      </c>
      <c r="J764" s="35">
        <v>505</v>
      </c>
      <c r="K764" s="35">
        <v>2720</v>
      </c>
      <c r="L764" s="35">
        <v>1796</v>
      </c>
      <c r="M764" s="35">
        <v>356</v>
      </c>
      <c r="N764" s="35">
        <v>568</v>
      </c>
      <c r="O764" s="35">
        <v>3384</v>
      </c>
      <c r="P764" s="35">
        <v>1904</v>
      </c>
      <c r="Q764" s="35">
        <v>387</v>
      </c>
      <c r="R764" s="35">
        <v>1093</v>
      </c>
      <c r="S764" s="36">
        <v>63.086365600000001</v>
      </c>
      <c r="T764" s="36">
        <v>14.774221799999999</v>
      </c>
      <c r="U764" s="36">
        <v>22.139412499999999</v>
      </c>
      <c r="V764" s="36">
        <v>66.029411800000005</v>
      </c>
      <c r="W764" s="36">
        <v>13.088235299999999</v>
      </c>
      <c r="X764" s="36">
        <v>20.882352900000001</v>
      </c>
      <c r="Y764" s="36">
        <v>56.264775399999998</v>
      </c>
      <c r="Z764" s="36">
        <v>11.436170199999999</v>
      </c>
      <c r="AA764" s="36">
        <v>32.299054400000003</v>
      </c>
    </row>
    <row r="765" spans="1:39" hidden="1" x14ac:dyDescent="0.3">
      <c r="A765" s="37">
        <v>761</v>
      </c>
      <c r="B765" s="38" t="s">
        <v>1</v>
      </c>
      <c r="C765" s="38" t="s">
        <v>217</v>
      </c>
      <c r="D765" s="38" t="s">
        <v>255</v>
      </c>
      <c r="E765" s="38"/>
      <c r="F765" s="39" t="s">
        <v>519</v>
      </c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1"/>
      <c r="T765" s="41"/>
      <c r="U765" s="41"/>
      <c r="V765" s="41"/>
      <c r="W765" s="41"/>
      <c r="X765" s="41"/>
      <c r="Y765" s="41"/>
      <c r="Z765" s="41"/>
      <c r="AA765" s="41"/>
    </row>
    <row r="766" spans="1:39" hidden="1" x14ac:dyDescent="0.3">
      <c r="A766" s="37">
        <v>762</v>
      </c>
      <c r="B766" s="38" t="s">
        <v>1</v>
      </c>
      <c r="C766" s="38" t="s">
        <v>217</v>
      </c>
      <c r="D766" s="38" t="s">
        <v>255</v>
      </c>
      <c r="E766" s="38"/>
      <c r="F766" s="39" t="s">
        <v>520</v>
      </c>
      <c r="G766" s="40">
        <v>2281</v>
      </c>
      <c r="H766" s="40">
        <v>1439</v>
      </c>
      <c r="I766" s="40">
        <v>337</v>
      </c>
      <c r="J766" s="40">
        <v>505</v>
      </c>
      <c r="K766" s="40">
        <v>2720</v>
      </c>
      <c r="L766" s="40">
        <v>1796</v>
      </c>
      <c r="M766" s="40">
        <v>356</v>
      </c>
      <c r="N766" s="40">
        <v>568</v>
      </c>
      <c r="O766" s="40">
        <v>3384</v>
      </c>
      <c r="P766" s="40">
        <v>1904</v>
      </c>
      <c r="Q766" s="40">
        <v>387</v>
      </c>
      <c r="R766" s="40">
        <v>1093</v>
      </c>
      <c r="S766" s="41">
        <v>63.086365600000001</v>
      </c>
      <c r="T766" s="41">
        <v>14.774221799999999</v>
      </c>
      <c r="U766" s="41">
        <v>22.139412499999999</v>
      </c>
      <c r="V766" s="41">
        <v>66.029411800000005</v>
      </c>
      <c r="W766" s="41">
        <v>13.088235299999999</v>
      </c>
      <c r="X766" s="41">
        <v>20.882352900000001</v>
      </c>
      <c r="Y766" s="41">
        <v>56.264775399999998</v>
      </c>
      <c r="Z766" s="41">
        <v>11.436170199999999</v>
      </c>
      <c r="AA766" s="41">
        <v>32.299054400000003</v>
      </c>
    </row>
    <row r="767" spans="1:39" hidden="1" x14ac:dyDescent="0.3">
      <c r="A767" s="42">
        <v>763</v>
      </c>
      <c r="B767" s="43" t="s">
        <v>521</v>
      </c>
      <c r="C767" s="50" t="s">
        <v>217</v>
      </c>
      <c r="D767" s="50" t="s">
        <v>255</v>
      </c>
      <c r="E767" s="50" t="s">
        <v>256</v>
      </c>
      <c r="F767" s="51" t="s">
        <v>256</v>
      </c>
      <c r="G767" s="45">
        <v>1626</v>
      </c>
      <c r="H767" s="45">
        <v>984</v>
      </c>
      <c r="I767" s="45">
        <v>251</v>
      </c>
      <c r="J767" s="45">
        <v>391</v>
      </c>
      <c r="K767" s="45">
        <v>1992</v>
      </c>
      <c r="L767" s="45">
        <v>1333</v>
      </c>
      <c r="M767" s="45">
        <v>260</v>
      </c>
      <c r="N767" s="45">
        <v>399</v>
      </c>
      <c r="O767" s="45">
        <v>2285</v>
      </c>
      <c r="P767" s="45">
        <v>1221</v>
      </c>
      <c r="Q767" s="45">
        <v>244</v>
      </c>
      <c r="R767" s="45">
        <v>820</v>
      </c>
      <c r="S767" s="46">
        <v>60.516605200000001</v>
      </c>
      <c r="T767" s="46">
        <v>15.4366544</v>
      </c>
      <c r="U767" s="46">
        <v>24.046740499999999</v>
      </c>
      <c r="V767" s="46">
        <v>66.917670700000002</v>
      </c>
      <c r="W767" s="46">
        <v>13.052208800000001</v>
      </c>
      <c r="X767" s="46">
        <v>20.030120499999999</v>
      </c>
      <c r="Y767" s="46">
        <v>53.435448600000001</v>
      </c>
      <c r="Z767" s="46">
        <v>10.678337000000001</v>
      </c>
      <c r="AA767" s="46">
        <v>35.8862144</v>
      </c>
      <c r="AB767" s="26">
        <f>SUM(W767:X767)</f>
        <v>33.082329299999998</v>
      </c>
      <c r="AC767" s="26">
        <f>SUM(Z767:AA767)</f>
        <v>46.564551399999999</v>
      </c>
      <c r="AD767" s="57">
        <f>M767+N767</f>
        <v>659</v>
      </c>
      <c r="AE767" s="57">
        <f>Q767+R767</f>
        <v>1064</v>
      </c>
      <c r="AF767" s="26">
        <f>W767</f>
        <v>13.052208800000001</v>
      </c>
      <c r="AG767" s="26">
        <f>Z767</f>
        <v>10.678337000000001</v>
      </c>
      <c r="AH767" s="26">
        <f>M767</f>
        <v>260</v>
      </c>
      <c r="AI767" s="26">
        <f>Q767</f>
        <v>244</v>
      </c>
      <c r="AJ767" s="26">
        <f>X767</f>
        <v>20.030120499999999</v>
      </c>
      <c r="AK767" s="26">
        <f>AA767</f>
        <v>35.8862144</v>
      </c>
      <c r="AL767" s="57">
        <f>N767</f>
        <v>399</v>
      </c>
      <c r="AM767" s="57">
        <f>R767</f>
        <v>820</v>
      </c>
    </row>
    <row r="768" spans="1:39" hidden="1" x14ac:dyDescent="0.3">
      <c r="A768" s="37">
        <v>764</v>
      </c>
      <c r="B768" s="38" t="s">
        <v>521</v>
      </c>
      <c r="C768" s="38" t="s">
        <v>217</v>
      </c>
      <c r="D768" s="38" t="s">
        <v>255</v>
      </c>
      <c r="E768" s="38" t="s">
        <v>256</v>
      </c>
      <c r="F768" s="47" t="s">
        <v>519</v>
      </c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1"/>
      <c r="T768" s="41"/>
      <c r="U768" s="41"/>
      <c r="V768" s="41"/>
      <c r="W768" s="41"/>
      <c r="X768" s="41"/>
      <c r="Y768" s="41"/>
      <c r="Z768" s="41"/>
      <c r="AA768" s="41"/>
    </row>
    <row r="769" spans="1:39" hidden="1" x14ac:dyDescent="0.3">
      <c r="A769" s="37">
        <v>765</v>
      </c>
      <c r="B769" s="38" t="s">
        <v>521</v>
      </c>
      <c r="C769" s="38" t="s">
        <v>217</v>
      </c>
      <c r="D769" s="38" t="s">
        <v>255</v>
      </c>
      <c r="E769" s="38" t="s">
        <v>256</v>
      </c>
      <c r="F769" s="47" t="s">
        <v>520</v>
      </c>
      <c r="G769" s="40">
        <v>1626</v>
      </c>
      <c r="H769" s="40">
        <v>984</v>
      </c>
      <c r="I769" s="40">
        <v>251</v>
      </c>
      <c r="J769" s="40">
        <v>391</v>
      </c>
      <c r="K769" s="40">
        <v>1992</v>
      </c>
      <c r="L769" s="40">
        <v>1333</v>
      </c>
      <c r="M769" s="40">
        <v>260</v>
      </c>
      <c r="N769" s="40">
        <v>399</v>
      </c>
      <c r="O769" s="40">
        <v>2285</v>
      </c>
      <c r="P769" s="40">
        <v>1221</v>
      </c>
      <c r="Q769" s="40">
        <v>244</v>
      </c>
      <c r="R769" s="40">
        <v>820</v>
      </c>
      <c r="S769" s="41">
        <v>60.516605200000001</v>
      </c>
      <c r="T769" s="41">
        <v>15.4366544</v>
      </c>
      <c r="U769" s="41">
        <v>24.046740499999999</v>
      </c>
      <c r="V769" s="41">
        <v>66.917670700000002</v>
      </c>
      <c r="W769" s="41">
        <v>13.052208800000001</v>
      </c>
      <c r="X769" s="41">
        <v>20.030120499999999</v>
      </c>
      <c r="Y769" s="41">
        <v>53.435448600000001</v>
      </c>
      <c r="Z769" s="41">
        <v>10.678337000000001</v>
      </c>
      <c r="AA769" s="41">
        <v>35.8862144</v>
      </c>
    </row>
    <row r="770" spans="1:39" hidden="1" x14ac:dyDescent="0.3">
      <c r="A770" s="42">
        <v>766</v>
      </c>
      <c r="B770" s="43" t="s">
        <v>521</v>
      </c>
      <c r="C770" s="50" t="s">
        <v>217</v>
      </c>
      <c r="D770" s="50" t="s">
        <v>255</v>
      </c>
      <c r="E770" s="50" t="s">
        <v>258</v>
      </c>
      <c r="F770" s="51" t="s">
        <v>258</v>
      </c>
      <c r="G770" s="45">
        <v>655</v>
      </c>
      <c r="H770" s="45">
        <v>455</v>
      </c>
      <c r="I770" s="45">
        <v>86</v>
      </c>
      <c r="J770" s="45">
        <v>114</v>
      </c>
      <c r="K770" s="45">
        <v>728</v>
      </c>
      <c r="L770" s="45">
        <v>463</v>
      </c>
      <c r="M770" s="45">
        <v>96</v>
      </c>
      <c r="N770" s="45">
        <v>169</v>
      </c>
      <c r="O770" s="45">
        <v>1099</v>
      </c>
      <c r="P770" s="45">
        <v>683</v>
      </c>
      <c r="Q770" s="45">
        <v>143</v>
      </c>
      <c r="R770" s="45">
        <v>273</v>
      </c>
      <c r="S770" s="46">
        <v>69.465648900000005</v>
      </c>
      <c r="T770" s="46">
        <v>13.129771</v>
      </c>
      <c r="U770" s="46">
        <v>17.404580200000002</v>
      </c>
      <c r="V770" s="46">
        <v>63.598901099999999</v>
      </c>
      <c r="W770" s="46">
        <v>13.1868132</v>
      </c>
      <c r="X770" s="46">
        <v>23.214285700000001</v>
      </c>
      <c r="Y770" s="46">
        <v>62.147406699999998</v>
      </c>
      <c r="Z770" s="46">
        <v>13.011828899999999</v>
      </c>
      <c r="AA770" s="46">
        <v>24.8407643</v>
      </c>
      <c r="AB770" s="26">
        <f>SUM(W770:X770)</f>
        <v>36.401098900000001</v>
      </c>
      <c r="AC770" s="26">
        <f>SUM(Z770:AA770)</f>
        <v>37.852593200000001</v>
      </c>
      <c r="AD770" s="57">
        <f>M770+N770</f>
        <v>265</v>
      </c>
      <c r="AE770" s="57">
        <f>Q770+R770</f>
        <v>416</v>
      </c>
      <c r="AF770" s="26">
        <f>W770</f>
        <v>13.1868132</v>
      </c>
      <c r="AG770" s="26">
        <f>Z770</f>
        <v>13.011828899999999</v>
      </c>
      <c r="AH770" s="26">
        <f>M770</f>
        <v>96</v>
      </c>
      <c r="AI770" s="26">
        <f>Q770</f>
        <v>143</v>
      </c>
      <c r="AJ770" s="26">
        <f>X770</f>
        <v>23.214285700000001</v>
      </c>
      <c r="AK770" s="26">
        <f>AA770</f>
        <v>24.8407643</v>
      </c>
      <c r="AL770" s="57">
        <f>N770</f>
        <v>169</v>
      </c>
      <c r="AM770" s="57">
        <f>R770</f>
        <v>273</v>
      </c>
    </row>
    <row r="771" spans="1:39" hidden="1" x14ac:dyDescent="0.3">
      <c r="A771" s="37">
        <v>767</v>
      </c>
      <c r="B771" s="38" t="s">
        <v>521</v>
      </c>
      <c r="C771" s="38" t="s">
        <v>217</v>
      </c>
      <c r="D771" s="38" t="s">
        <v>255</v>
      </c>
      <c r="E771" s="38" t="s">
        <v>258</v>
      </c>
      <c r="F771" s="47" t="s">
        <v>519</v>
      </c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1"/>
      <c r="T771" s="41"/>
      <c r="U771" s="41"/>
      <c r="V771" s="41"/>
      <c r="W771" s="41"/>
      <c r="X771" s="41"/>
      <c r="Y771" s="41"/>
      <c r="Z771" s="41"/>
      <c r="AA771" s="41"/>
    </row>
    <row r="772" spans="1:39" hidden="1" x14ac:dyDescent="0.3">
      <c r="A772" s="37">
        <v>768</v>
      </c>
      <c r="B772" s="38" t="s">
        <v>521</v>
      </c>
      <c r="C772" s="38" t="s">
        <v>217</v>
      </c>
      <c r="D772" s="38" t="s">
        <v>255</v>
      </c>
      <c r="E772" s="38" t="s">
        <v>258</v>
      </c>
      <c r="F772" s="47" t="s">
        <v>520</v>
      </c>
      <c r="G772" s="40">
        <v>655</v>
      </c>
      <c r="H772" s="40">
        <v>455</v>
      </c>
      <c r="I772" s="40">
        <v>86</v>
      </c>
      <c r="J772" s="40">
        <v>114</v>
      </c>
      <c r="K772" s="40">
        <v>728</v>
      </c>
      <c r="L772" s="40">
        <v>463</v>
      </c>
      <c r="M772" s="40">
        <v>96</v>
      </c>
      <c r="N772" s="40">
        <v>169</v>
      </c>
      <c r="O772" s="40">
        <v>1099</v>
      </c>
      <c r="P772" s="40">
        <v>683</v>
      </c>
      <c r="Q772" s="40">
        <v>143</v>
      </c>
      <c r="R772" s="40">
        <v>273</v>
      </c>
      <c r="S772" s="41">
        <v>69.465648900000005</v>
      </c>
      <c r="T772" s="41">
        <v>13.129771</v>
      </c>
      <c r="U772" s="41">
        <v>17.404580200000002</v>
      </c>
      <c r="V772" s="41">
        <v>63.598901099999999</v>
      </c>
      <c r="W772" s="41">
        <v>13.1868132</v>
      </c>
      <c r="X772" s="41">
        <v>23.214285700000001</v>
      </c>
      <c r="Y772" s="41">
        <v>62.147406699999998</v>
      </c>
      <c r="Z772" s="41">
        <v>13.011828899999999</v>
      </c>
      <c r="AA772" s="41">
        <v>24.8407643</v>
      </c>
    </row>
    <row r="773" spans="1:39" hidden="1" x14ac:dyDescent="0.3">
      <c r="A773" s="32">
        <v>769</v>
      </c>
      <c r="B773" s="33" t="s">
        <v>1</v>
      </c>
      <c r="C773" s="49" t="s">
        <v>217</v>
      </c>
      <c r="D773" s="49" t="s">
        <v>259</v>
      </c>
      <c r="E773" s="49"/>
      <c r="F773" s="34" t="s">
        <v>259</v>
      </c>
      <c r="G773" s="35">
        <v>1421</v>
      </c>
      <c r="H773" s="35">
        <v>747</v>
      </c>
      <c r="I773" s="35">
        <v>216</v>
      </c>
      <c r="J773" s="35">
        <v>458</v>
      </c>
      <c r="K773" s="35">
        <v>1886</v>
      </c>
      <c r="L773" s="35">
        <v>1155</v>
      </c>
      <c r="M773" s="35">
        <v>286</v>
      </c>
      <c r="N773" s="35">
        <v>445</v>
      </c>
      <c r="O773" s="35">
        <v>2648</v>
      </c>
      <c r="P773" s="35">
        <v>1652</v>
      </c>
      <c r="Q773" s="35">
        <v>328</v>
      </c>
      <c r="R773" s="35">
        <v>668</v>
      </c>
      <c r="S773" s="36">
        <v>52.5686137</v>
      </c>
      <c r="T773" s="36">
        <v>15.200563000000001</v>
      </c>
      <c r="U773" s="36">
        <v>32.230823399999998</v>
      </c>
      <c r="V773" s="36">
        <v>61.240721100000002</v>
      </c>
      <c r="W773" s="36">
        <v>15.164369000000001</v>
      </c>
      <c r="X773" s="36">
        <v>23.594909900000001</v>
      </c>
      <c r="Y773" s="36">
        <v>62.3867069</v>
      </c>
      <c r="Z773" s="36">
        <v>12.3867069</v>
      </c>
      <c r="AA773" s="36">
        <v>25.226586099999999</v>
      </c>
    </row>
    <row r="774" spans="1:39" hidden="1" x14ac:dyDescent="0.3">
      <c r="A774" s="37">
        <v>770</v>
      </c>
      <c r="B774" s="38" t="s">
        <v>1</v>
      </c>
      <c r="C774" s="38" t="s">
        <v>217</v>
      </c>
      <c r="D774" s="38" t="s">
        <v>259</v>
      </c>
      <c r="E774" s="38"/>
      <c r="F774" s="39" t="s">
        <v>519</v>
      </c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1"/>
      <c r="T774" s="41"/>
      <c r="U774" s="41"/>
      <c r="V774" s="41"/>
      <c r="W774" s="41"/>
      <c r="X774" s="41"/>
      <c r="Y774" s="41"/>
      <c r="Z774" s="41"/>
      <c r="AA774" s="41"/>
    </row>
    <row r="775" spans="1:39" hidden="1" x14ac:dyDescent="0.3">
      <c r="A775" s="37">
        <v>771</v>
      </c>
      <c r="B775" s="38" t="s">
        <v>1</v>
      </c>
      <c r="C775" s="38" t="s">
        <v>217</v>
      </c>
      <c r="D775" s="38" t="s">
        <v>259</v>
      </c>
      <c r="E775" s="38"/>
      <c r="F775" s="39" t="s">
        <v>520</v>
      </c>
      <c r="G775" s="40">
        <v>1421</v>
      </c>
      <c r="H775" s="40">
        <v>747</v>
      </c>
      <c r="I775" s="40">
        <v>216</v>
      </c>
      <c r="J775" s="40">
        <v>458</v>
      </c>
      <c r="K775" s="40">
        <v>1886</v>
      </c>
      <c r="L775" s="40">
        <v>1155</v>
      </c>
      <c r="M775" s="40">
        <v>286</v>
      </c>
      <c r="N775" s="40">
        <v>445</v>
      </c>
      <c r="O775" s="40">
        <v>2648</v>
      </c>
      <c r="P775" s="40">
        <v>1652</v>
      </c>
      <c r="Q775" s="40">
        <v>328</v>
      </c>
      <c r="R775" s="40">
        <v>668</v>
      </c>
      <c r="S775" s="41">
        <v>52.5686137</v>
      </c>
      <c r="T775" s="41">
        <v>15.200563000000001</v>
      </c>
      <c r="U775" s="41">
        <v>32.230823399999998</v>
      </c>
      <c r="V775" s="41">
        <v>61.240721100000002</v>
      </c>
      <c r="W775" s="41">
        <v>15.164369000000001</v>
      </c>
      <c r="X775" s="41">
        <v>23.594909900000001</v>
      </c>
      <c r="Y775" s="41">
        <v>62.3867069</v>
      </c>
      <c r="Z775" s="41">
        <v>12.3867069</v>
      </c>
      <c r="AA775" s="41">
        <v>25.226586099999999</v>
      </c>
    </row>
    <row r="776" spans="1:39" hidden="1" x14ac:dyDescent="0.3">
      <c r="A776" s="42">
        <v>772</v>
      </c>
      <c r="B776" s="43" t="s">
        <v>521</v>
      </c>
      <c r="C776" s="50" t="s">
        <v>217</v>
      </c>
      <c r="D776" s="50" t="s">
        <v>259</v>
      </c>
      <c r="E776" s="50" t="s">
        <v>196</v>
      </c>
      <c r="F776" s="51" t="s">
        <v>196</v>
      </c>
      <c r="G776" s="45">
        <v>1421</v>
      </c>
      <c r="H776" s="45">
        <v>747</v>
      </c>
      <c r="I776" s="45">
        <v>216</v>
      </c>
      <c r="J776" s="45">
        <v>458</v>
      </c>
      <c r="K776" s="45">
        <v>1886</v>
      </c>
      <c r="L776" s="45">
        <v>1155</v>
      </c>
      <c r="M776" s="45">
        <v>286</v>
      </c>
      <c r="N776" s="45">
        <v>445</v>
      </c>
      <c r="O776" s="45">
        <v>2648</v>
      </c>
      <c r="P776" s="45">
        <v>1652</v>
      </c>
      <c r="Q776" s="45">
        <v>328</v>
      </c>
      <c r="R776" s="45">
        <v>668</v>
      </c>
      <c r="S776" s="46">
        <v>52.5686137</v>
      </c>
      <c r="T776" s="46">
        <v>15.200563000000001</v>
      </c>
      <c r="U776" s="46">
        <v>32.230823399999998</v>
      </c>
      <c r="V776" s="46">
        <v>61.240721100000002</v>
      </c>
      <c r="W776" s="46">
        <v>15.164369000000001</v>
      </c>
      <c r="X776" s="46">
        <v>23.594909900000001</v>
      </c>
      <c r="Y776" s="46">
        <v>62.3867069</v>
      </c>
      <c r="Z776" s="46">
        <v>12.3867069</v>
      </c>
      <c r="AA776" s="46">
        <v>25.226586099999999</v>
      </c>
      <c r="AB776" s="26">
        <f>SUM(W776:X776)</f>
        <v>38.759278899999998</v>
      </c>
      <c r="AC776" s="26">
        <f>SUM(Z776:AA776)</f>
        <v>37.613292999999999</v>
      </c>
      <c r="AD776" s="57">
        <f>M776+N776</f>
        <v>731</v>
      </c>
      <c r="AE776" s="57">
        <f>Q776+R776</f>
        <v>996</v>
      </c>
      <c r="AF776" s="26">
        <f>W776</f>
        <v>15.164369000000001</v>
      </c>
      <c r="AG776" s="26">
        <f>Z776</f>
        <v>12.3867069</v>
      </c>
      <c r="AH776" s="26">
        <f>M776</f>
        <v>286</v>
      </c>
      <c r="AI776" s="26">
        <f>Q776</f>
        <v>328</v>
      </c>
      <c r="AJ776" s="26">
        <f>X776</f>
        <v>23.594909900000001</v>
      </c>
      <c r="AK776" s="26">
        <f>AA776</f>
        <v>25.226586099999999</v>
      </c>
      <c r="AL776" s="57">
        <f>N776</f>
        <v>445</v>
      </c>
      <c r="AM776" s="57">
        <f>R776</f>
        <v>668</v>
      </c>
    </row>
    <row r="777" spans="1:39" hidden="1" x14ac:dyDescent="0.3">
      <c r="A777" s="37">
        <v>773</v>
      </c>
      <c r="B777" s="38" t="s">
        <v>521</v>
      </c>
      <c r="C777" s="38" t="s">
        <v>217</v>
      </c>
      <c r="D777" s="38" t="s">
        <v>259</v>
      </c>
      <c r="E777" s="38" t="s">
        <v>196</v>
      </c>
      <c r="F777" s="47" t="s">
        <v>519</v>
      </c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1"/>
      <c r="T777" s="41"/>
      <c r="U777" s="41"/>
      <c r="V777" s="41"/>
      <c r="W777" s="41"/>
      <c r="X777" s="41"/>
      <c r="Y777" s="41"/>
      <c r="Z777" s="41"/>
      <c r="AA777" s="41"/>
    </row>
    <row r="778" spans="1:39" hidden="1" x14ac:dyDescent="0.3">
      <c r="A778" s="37">
        <v>774</v>
      </c>
      <c r="B778" s="38" t="s">
        <v>521</v>
      </c>
      <c r="C778" s="38" t="s">
        <v>217</v>
      </c>
      <c r="D778" s="38" t="s">
        <v>259</v>
      </c>
      <c r="E778" s="38" t="s">
        <v>196</v>
      </c>
      <c r="F778" s="47" t="s">
        <v>520</v>
      </c>
      <c r="G778" s="40">
        <v>1421</v>
      </c>
      <c r="H778" s="40">
        <v>747</v>
      </c>
      <c r="I778" s="40">
        <v>216</v>
      </c>
      <c r="J778" s="40">
        <v>458</v>
      </c>
      <c r="K778" s="40">
        <v>1886</v>
      </c>
      <c r="L778" s="40">
        <v>1155</v>
      </c>
      <c r="M778" s="40">
        <v>286</v>
      </c>
      <c r="N778" s="40">
        <v>445</v>
      </c>
      <c r="O778" s="40">
        <v>2648</v>
      </c>
      <c r="P778" s="40">
        <v>1652</v>
      </c>
      <c r="Q778" s="40">
        <v>328</v>
      </c>
      <c r="R778" s="40">
        <v>668</v>
      </c>
      <c r="S778" s="41">
        <v>52.5686137</v>
      </c>
      <c r="T778" s="41">
        <v>15.200563000000001</v>
      </c>
      <c r="U778" s="41">
        <v>32.230823399999998</v>
      </c>
      <c r="V778" s="41">
        <v>61.240721100000002</v>
      </c>
      <c r="W778" s="41">
        <v>15.164369000000001</v>
      </c>
      <c r="X778" s="41">
        <v>23.594909900000001</v>
      </c>
      <c r="Y778" s="41">
        <v>62.3867069</v>
      </c>
      <c r="Z778" s="41">
        <v>12.3867069</v>
      </c>
      <c r="AA778" s="41">
        <v>25.226586099999999</v>
      </c>
    </row>
    <row r="779" spans="1:39" hidden="1" x14ac:dyDescent="0.3">
      <c r="A779" s="32">
        <v>775</v>
      </c>
      <c r="B779" s="33" t="s">
        <v>1</v>
      </c>
      <c r="C779" s="49" t="s">
        <v>217</v>
      </c>
      <c r="D779" s="49" t="s">
        <v>260</v>
      </c>
      <c r="E779" s="49"/>
      <c r="F779" s="34" t="s">
        <v>260</v>
      </c>
      <c r="G779" s="35">
        <v>2907</v>
      </c>
      <c r="H779" s="35">
        <v>1576</v>
      </c>
      <c r="I779" s="35">
        <v>462</v>
      </c>
      <c r="J779" s="35">
        <v>869</v>
      </c>
      <c r="K779" s="35">
        <v>4302</v>
      </c>
      <c r="L779" s="35">
        <v>2690</v>
      </c>
      <c r="M779" s="35">
        <v>628</v>
      </c>
      <c r="N779" s="35">
        <v>984</v>
      </c>
      <c r="O779" s="35">
        <v>4639</v>
      </c>
      <c r="P779" s="35">
        <v>2910</v>
      </c>
      <c r="Q779" s="35">
        <v>652</v>
      </c>
      <c r="R779" s="35">
        <v>1077</v>
      </c>
      <c r="S779" s="36">
        <v>54.213966300000003</v>
      </c>
      <c r="T779" s="36">
        <v>15.892672900000001</v>
      </c>
      <c r="U779" s="36">
        <v>29.893360900000001</v>
      </c>
      <c r="V779" s="36">
        <v>62.529056300000001</v>
      </c>
      <c r="W779" s="36">
        <v>14.5978615</v>
      </c>
      <c r="X779" s="36">
        <v>22.8730823</v>
      </c>
      <c r="Y779" s="36">
        <v>62.729036399999998</v>
      </c>
      <c r="Z779" s="36">
        <v>14.0547532</v>
      </c>
      <c r="AA779" s="36">
        <v>23.216210400000001</v>
      </c>
    </row>
    <row r="780" spans="1:39" hidden="1" x14ac:dyDescent="0.3">
      <c r="A780" s="37">
        <v>776</v>
      </c>
      <c r="B780" s="38" t="s">
        <v>1</v>
      </c>
      <c r="C780" s="38" t="s">
        <v>217</v>
      </c>
      <c r="D780" s="38" t="s">
        <v>260</v>
      </c>
      <c r="E780" s="38"/>
      <c r="F780" s="39" t="s">
        <v>519</v>
      </c>
      <c r="G780" s="40">
        <v>822</v>
      </c>
      <c r="H780" s="40">
        <v>482</v>
      </c>
      <c r="I780" s="40">
        <v>158</v>
      </c>
      <c r="J780" s="40">
        <v>182</v>
      </c>
      <c r="K780" s="40">
        <v>1304</v>
      </c>
      <c r="L780" s="40">
        <v>876</v>
      </c>
      <c r="M780" s="40">
        <v>202</v>
      </c>
      <c r="N780" s="40">
        <v>226</v>
      </c>
      <c r="O780" s="40">
        <v>1146</v>
      </c>
      <c r="P780" s="40">
        <v>718</v>
      </c>
      <c r="Q780" s="40">
        <v>178</v>
      </c>
      <c r="R780" s="40">
        <v>250</v>
      </c>
      <c r="S780" s="41">
        <v>58.637469600000003</v>
      </c>
      <c r="T780" s="41">
        <v>19.221411199999999</v>
      </c>
      <c r="U780" s="41">
        <v>22.141119199999999</v>
      </c>
      <c r="V780" s="41">
        <v>67.177914099999995</v>
      </c>
      <c r="W780" s="41">
        <v>15.490797499999999</v>
      </c>
      <c r="X780" s="41">
        <v>17.331288300000001</v>
      </c>
      <c r="Y780" s="41">
        <v>62.652705099999999</v>
      </c>
      <c r="Z780" s="41">
        <v>15.5322862</v>
      </c>
      <c r="AA780" s="41">
        <v>21.8150087</v>
      </c>
    </row>
    <row r="781" spans="1:39" hidden="1" x14ac:dyDescent="0.3">
      <c r="A781" s="37">
        <v>777</v>
      </c>
      <c r="B781" s="38" t="s">
        <v>1</v>
      </c>
      <c r="C781" s="38" t="s">
        <v>217</v>
      </c>
      <c r="D781" s="38" t="s">
        <v>260</v>
      </c>
      <c r="E781" s="38"/>
      <c r="F781" s="39" t="s">
        <v>520</v>
      </c>
      <c r="G781" s="40">
        <v>2085</v>
      </c>
      <c r="H781" s="40">
        <v>1094</v>
      </c>
      <c r="I781" s="40">
        <v>304</v>
      </c>
      <c r="J781" s="40">
        <v>687</v>
      </c>
      <c r="K781" s="40">
        <v>2998</v>
      </c>
      <c r="L781" s="40">
        <v>1814</v>
      </c>
      <c r="M781" s="40">
        <v>426</v>
      </c>
      <c r="N781" s="40">
        <v>758</v>
      </c>
      <c r="O781" s="40">
        <v>3493</v>
      </c>
      <c r="P781" s="40">
        <v>2192</v>
      </c>
      <c r="Q781" s="40">
        <v>474</v>
      </c>
      <c r="R781" s="40">
        <v>827</v>
      </c>
      <c r="S781" s="41">
        <v>52.470024000000002</v>
      </c>
      <c r="T781" s="41">
        <v>14.580335699999999</v>
      </c>
      <c r="U781" s="41">
        <v>32.949640299999999</v>
      </c>
      <c r="V781" s="41">
        <v>60.507004700000003</v>
      </c>
      <c r="W781" s="41">
        <v>14.209472999999999</v>
      </c>
      <c r="X781" s="41">
        <v>25.283522300000001</v>
      </c>
      <c r="Y781" s="41">
        <v>62.754079599999997</v>
      </c>
      <c r="Z781" s="41">
        <v>13.5699971</v>
      </c>
      <c r="AA781" s="41">
        <v>23.675923300000001</v>
      </c>
    </row>
    <row r="782" spans="1:39" hidden="1" x14ac:dyDescent="0.3">
      <c r="A782" s="42">
        <v>778</v>
      </c>
      <c r="B782" s="43" t="s">
        <v>521</v>
      </c>
      <c r="C782" s="50" t="s">
        <v>217</v>
      </c>
      <c r="D782" s="50" t="s">
        <v>260</v>
      </c>
      <c r="E782" s="50" t="s">
        <v>261</v>
      </c>
      <c r="F782" s="51" t="s">
        <v>261</v>
      </c>
      <c r="G782" s="45">
        <v>2907</v>
      </c>
      <c r="H782" s="45">
        <v>1576</v>
      </c>
      <c r="I782" s="45">
        <v>462</v>
      </c>
      <c r="J782" s="45">
        <v>869</v>
      </c>
      <c r="K782" s="45">
        <v>4302</v>
      </c>
      <c r="L782" s="45">
        <v>2690</v>
      </c>
      <c r="M782" s="45">
        <v>628</v>
      </c>
      <c r="N782" s="45">
        <v>984</v>
      </c>
      <c r="O782" s="45">
        <v>4639</v>
      </c>
      <c r="P782" s="45">
        <v>2910</v>
      </c>
      <c r="Q782" s="45">
        <v>652</v>
      </c>
      <c r="R782" s="45">
        <v>1077</v>
      </c>
      <c r="S782" s="46">
        <v>54.213966300000003</v>
      </c>
      <c r="T782" s="46">
        <v>15.892672900000001</v>
      </c>
      <c r="U782" s="46">
        <v>29.893360900000001</v>
      </c>
      <c r="V782" s="46">
        <v>62.529056300000001</v>
      </c>
      <c r="W782" s="46">
        <v>14.5978615</v>
      </c>
      <c r="X782" s="46">
        <v>22.8730823</v>
      </c>
      <c r="Y782" s="46">
        <v>62.729036399999998</v>
      </c>
      <c r="Z782" s="46">
        <v>14.0547532</v>
      </c>
      <c r="AA782" s="46">
        <v>23.216210400000001</v>
      </c>
      <c r="AB782" s="26">
        <f>SUM(W782:X782)</f>
        <v>37.470943800000001</v>
      </c>
      <c r="AC782" s="26">
        <f>SUM(Z782:AA782)</f>
        <v>37.270963600000002</v>
      </c>
      <c r="AD782" s="57">
        <f>M782+N782</f>
        <v>1612</v>
      </c>
      <c r="AE782" s="57">
        <f>Q782+R782</f>
        <v>1729</v>
      </c>
      <c r="AF782" s="26">
        <f>W782</f>
        <v>14.5978615</v>
      </c>
      <c r="AG782" s="26">
        <f>Z782</f>
        <v>14.0547532</v>
      </c>
      <c r="AH782" s="26">
        <f>M782</f>
        <v>628</v>
      </c>
      <c r="AI782" s="26">
        <f>Q782</f>
        <v>652</v>
      </c>
      <c r="AJ782" s="26">
        <f>X782</f>
        <v>22.8730823</v>
      </c>
      <c r="AK782" s="26">
        <f>AA782</f>
        <v>23.216210400000001</v>
      </c>
      <c r="AL782" s="57">
        <f>N782</f>
        <v>984</v>
      </c>
      <c r="AM782" s="57">
        <f>R782</f>
        <v>1077</v>
      </c>
    </row>
    <row r="783" spans="1:39" hidden="1" x14ac:dyDescent="0.3">
      <c r="A783" s="37">
        <v>779</v>
      </c>
      <c r="B783" s="38" t="s">
        <v>521</v>
      </c>
      <c r="C783" s="38" t="s">
        <v>217</v>
      </c>
      <c r="D783" s="38" t="s">
        <v>260</v>
      </c>
      <c r="E783" s="38" t="s">
        <v>261</v>
      </c>
      <c r="F783" s="47" t="s">
        <v>519</v>
      </c>
      <c r="G783" s="40">
        <v>822</v>
      </c>
      <c r="H783" s="40">
        <v>482</v>
      </c>
      <c r="I783" s="40">
        <v>158</v>
      </c>
      <c r="J783" s="40">
        <v>182</v>
      </c>
      <c r="K783" s="40">
        <v>1304</v>
      </c>
      <c r="L783" s="40">
        <v>876</v>
      </c>
      <c r="M783" s="40">
        <v>202</v>
      </c>
      <c r="N783" s="40">
        <v>226</v>
      </c>
      <c r="O783" s="40">
        <v>1146</v>
      </c>
      <c r="P783" s="40">
        <v>718</v>
      </c>
      <c r="Q783" s="40">
        <v>178</v>
      </c>
      <c r="R783" s="40">
        <v>250</v>
      </c>
      <c r="S783" s="41">
        <v>58.637469600000003</v>
      </c>
      <c r="T783" s="41">
        <v>19.221411199999999</v>
      </c>
      <c r="U783" s="41">
        <v>22.141119199999999</v>
      </c>
      <c r="V783" s="41">
        <v>67.177914099999995</v>
      </c>
      <c r="W783" s="41">
        <v>15.490797499999999</v>
      </c>
      <c r="X783" s="41">
        <v>17.331288300000001</v>
      </c>
      <c r="Y783" s="41">
        <v>62.652705099999999</v>
      </c>
      <c r="Z783" s="41">
        <v>15.5322862</v>
      </c>
      <c r="AA783" s="41">
        <v>21.8150087</v>
      </c>
    </row>
    <row r="784" spans="1:39" hidden="1" x14ac:dyDescent="0.3">
      <c r="A784" s="37">
        <v>780</v>
      </c>
      <c r="B784" s="38" t="s">
        <v>521</v>
      </c>
      <c r="C784" s="38" t="s">
        <v>217</v>
      </c>
      <c r="D784" s="38" t="s">
        <v>260</v>
      </c>
      <c r="E784" s="38" t="s">
        <v>261</v>
      </c>
      <c r="F784" s="47" t="s">
        <v>520</v>
      </c>
      <c r="G784" s="40">
        <v>2085</v>
      </c>
      <c r="H784" s="40">
        <v>1094</v>
      </c>
      <c r="I784" s="40">
        <v>304</v>
      </c>
      <c r="J784" s="40">
        <v>687</v>
      </c>
      <c r="K784" s="40">
        <v>2998</v>
      </c>
      <c r="L784" s="40">
        <v>1814</v>
      </c>
      <c r="M784" s="40">
        <v>426</v>
      </c>
      <c r="N784" s="40">
        <v>758</v>
      </c>
      <c r="O784" s="40">
        <v>3493</v>
      </c>
      <c r="P784" s="40">
        <v>2192</v>
      </c>
      <c r="Q784" s="40">
        <v>474</v>
      </c>
      <c r="R784" s="40">
        <v>827</v>
      </c>
      <c r="S784" s="41">
        <v>52.470024000000002</v>
      </c>
      <c r="T784" s="41">
        <v>14.580335699999999</v>
      </c>
      <c r="U784" s="41">
        <v>32.949640299999999</v>
      </c>
      <c r="V784" s="41">
        <v>60.507004700000003</v>
      </c>
      <c r="W784" s="41">
        <v>14.209472999999999</v>
      </c>
      <c r="X784" s="41">
        <v>25.283522300000001</v>
      </c>
      <c r="Y784" s="41">
        <v>62.754079599999997</v>
      </c>
      <c r="Z784" s="41">
        <v>13.5699971</v>
      </c>
      <c r="AA784" s="41">
        <v>23.675923300000001</v>
      </c>
    </row>
    <row r="785" spans="1:39" hidden="1" x14ac:dyDescent="0.3">
      <c r="A785" s="32">
        <v>781</v>
      </c>
      <c r="B785" s="33" t="s">
        <v>1</v>
      </c>
      <c r="C785" s="49" t="s">
        <v>217</v>
      </c>
      <c r="D785" s="49" t="s">
        <v>262</v>
      </c>
      <c r="E785" s="49"/>
      <c r="F785" s="34" t="s">
        <v>262</v>
      </c>
      <c r="G785" s="35">
        <v>323</v>
      </c>
      <c r="H785" s="35">
        <v>155</v>
      </c>
      <c r="I785" s="35">
        <v>69</v>
      </c>
      <c r="J785" s="35">
        <v>99</v>
      </c>
      <c r="K785" s="35">
        <v>619</v>
      </c>
      <c r="L785" s="35">
        <v>283</v>
      </c>
      <c r="M785" s="35">
        <v>122</v>
      </c>
      <c r="N785" s="35">
        <v>214</v>
      </c>
      <c r="O785" s="35">
        <v>869</v>
      </c>
      <c r="P785" s="35">
        <v>402</v>
      </c>
      <c r="Q785" s="35">
        <v>154</v>
      </c>
      <c r="R785" s="35">
        <v>313</v>
      </c>
      <c r="S785" s="36">
        <v>47.987616099999997</v>
      </c>
      <c r="T785" s="36">
        <v>21.3622291</v>
      </c>
      <c r="U785" s="36">
        <v>30.650154799999999</v>
      </c>
      <c r="V785" s="36">
        <v>45.718901500000001</v>
      </c>
      <c r="W785" s="36">
        <v>19.709208400000001</v>
      </c>
      <c r="X785" s="36">
        <v>34.571890099999997</v>
      </c>
      <c r="Y785" s="36">
        <v>46.260069000000001</v>
      </c>
      <c r="Z785" s="36">
        <v>17.721519000000001</v>
      </c>
      <c r="AA785" s="36">
        <v>36.018411999999998</v>
      </c>
    </row>
    <row r="786" spans="1:39" hidden="1" x14ac:dyDescent="0.3">
      <c r="A786" s="37">
        <v>782</v>
      </c>
      <c r="B786" s="38" t="s">
        <v>1</v>
      </c>
      <c r="C786" s="38" t="s">
        <v>217</v>
      </c>
      <c r="D786" s="38" t="s">
        <v>262</v>
      </c>
      <c r="E786" s="38"/>
      <c r="F786" s="39" t="s">
        <v>519</v>
      </c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1"/>
      <c r="T786" s="41"/>
      <c r="U786" s="41"/>
      <c r="V786" s="41"/>
      <c r="W786" s="41"/>
      <c r="X786" s="41"/>
      <c r="Y786" s="41"/>
      <c r="Z786" s="41"/>
      <c r="AA786" s="41"/>
    </row>
    <row r="787" spans="1:39" hidden="1" x14ac:dyDescent="0.3">
      <c r="A787" s="37">
        <v>783</v>
      </c>
      <c r="B787" s="38" t="s">
        <v>1</v>
      </c>
      <c r="C787" s="38" t="s">
        <v>217</v>
      </c>
      <c r="D787" s="38" t="s">
        <v>262</v>
      </c>
      <c r="E787" s="38"/>
      <c r="F787" s="39" t="s">
        <v>520</v>
      </c>
      <c r="G787" s="40">
        <v>323</v>
      </c>
      <c r="H787" s="40">
        <v>155</v>
      </c>
      <c r="I787" s="40">
        <v>69</v>
      </c>
      <c r="J787" s="40">
        <v>99</v>
      </c>
      <c r="K787" s="40">
        <v>619</v>
      </c>
      <c r="L787" s="40">
        <v>283</v>
      </c>
      <c r="M787" s="40">
        <v>122</v>
      </c>
      <c r="N787" s="40">
        <v>214</v>
      </c>
      <c r="O787" s="40">
        <v>869</v>
      </c>
      <c r="P787" s="40">
        <v>402</v>
      </c>
      <c r="Q787" s="40">
        <v>154</v>
      </c>
      <c r="R787" s="40">
        <v>313</v>
      </c>
      <c r="S787" s="41">
        <v>47.987616099999997</v>
      </c>
      <c r="T787" s="41">
        <v>21.3622291</v>
      </c>
      <c r="U787" s="41">
        <v>30.650154799999999</v>
      </c>
      <c r="V787" s="41">
        <v>45.718901500000001</v>
      </c>
      <c r="W787" s="41">
        <v>19.709208400000001</v>
      </c>
      <c r="X787" s="41">
        <v>34.571890099999997</v>
      </c>
      <c r="Y787" s="41">
        <v>46.260069000000001</v>
      </c>
      <c r="Z787" s="41">
        <v>17.721519000000001</v>
      </c>
      <c r="AA787" s="41">
        <v>36.018411999999998</v>
      </c>
    </row>
    <row r="788" spans="1:39" hidden="1" x14ac:dyDescent="0.3">
      <c r="A788" s="42">
        <v>784</v>
      </c>
      <c r="B788" s="43" t="s">
        <v>521</v>
      </c>
      <c r="C788" s="50" t="s">
        <v>217</v>
      </c>
      <c r="D788" s="50" t="s">
        <v>262</v>
      </c>
      <c r="E788" s="50" t="s">
        <v>263</v>
      </c>
      <c r="F788" s="51" t="s">
        <v>263</v>
      </c>
      <c r="G788" s="45">
        <v>124</v>
      </c>
      <c r="H788" s="45">
        <v>63</v>
      </c>
      <c r="I788" s="45">
        <v>22</v>
      </c>
      <c r="J788" s="45">
        <v>39</v>
      </c>
      <c r="K788" s="45">
        <v>181</v>
      </c>
      <c r="L788" s="45">
        <v>98</v>
      </c>
      <c r="M788" s="45">
        <v>35</v>
      </c>
      <c r="N788" s="45">
        <v>48</v>
      </c>
      <c r="O788" s="45">
        <v>283</v>
      </c>
      <c r="P788" s="45">
        <v>108</v>
      </c>
      <c r="Q788" s="45">
        <v>60</v>
      </c>
      <c r="R788" s="45">
        <v>115</v>
      </c>
      <c r="S788" s="46">
        <v>50.806451600000003</v>
      </c>
      <c r="T788" s="46">
        <v>17.7419355</v>
      </c>
      <c r="U788" s="46">
        <v>31.451612900000001</v>
      </c>
      <c r="V788" s="46">
        <v>54.143646400000002</v>
      </c>
      <c r="W788" s="46">
        <v>19.337016599999998</v>
      </c>
      <c r="X788" s="46">
        <v>26.519337</v>
      </c>
      <c r="Y788" s="46">
        <v>38.162544199999999</v>
      </c>
      <c r="Z788" s="46">
        <v>21.2014134</v>
      </c>
      <c r="AA788" s="46">
        <v>40.636042400000001</v>
      </c>
      <c r="AB788" s="26">
        <f>SUM(W788:X788)</f>
        <v>45.856353599999998</v>
      </c>
      <c r="AC788" s="26">
        <f>SUM(Z788:AA788)</f>
        <v>61.837455800000001</v>
      </c>
      <c r="AD788" s="57">
        <f>M788+N788</f>
        <v>83</v>
      </c>
      <c r="AE788" s="57">
        <f>Q788+R788</f>
        <v>175</v>
      </c>
      <c r="AF788" s="26">
        <f>W788</f>
        <v>19.337016599999998</v>
      </c>
      <c r="AG788" s="26">
        <f>Z788</f>
        <v>21.2014134</v>
      </c>
      <c r="AH788" s="26">
        <f>M788</f>
        <v>35</v>
      </c>
      <c r="AI788" s="26">
        <f>Q788</f>
        <v>60</v>
      </c>
      <c r="AJ788" s="26">
        <f>X788</f>
        <v>26.519337</v>
      </c>
      <c r="AK788" s="26">
        <f>AA788</f>
        <v>40.636042400000001</v>
      </c>
      <c r="AL788" s="57">
        <f>N788</f>
        <v>48</v>
      </c>
      <c r="AM788" s="57">
        <f>R788</f>
        <v>115</v>
      </c>
    </row>
    <row r="789" spans="1:39" hidden="1" x14ac:dyDescent="0.3">
      <c r="A789" s="37">
        <v>785</v>
      </c>
      <c r="B789" s="38" t="s">
        <v>521</v>
      </c>
      <c r="C789" s="38" t="s">
        <v>217</v>
      </c>
      <c r="D789" s="38" t="s">
        <v>262</v>
      </c>
      <c r="E789" s="38" t="s">
        <v>263</v>
      </c>
      <c r="F789" s="47" t="s">
        <v>519</v>
      </c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1"/>
      <c r="T789" s="41"/>
      <c r="U789" s="41"/>
      <c r="V789" s="41"/>
      <c r="W789" s="41"/>
      <c r="X789" s="41"/>
      <c r="Y789" s="41"/>
      <c r="Z789" s="41"/>
      <c r="AA789" s="41"/>
    </row>
    <row r="790" spans="1:39" hidden="1" x14ac:dyDescent="0.3">
      <c r="A790" s="37">
        <v>786</v>
      </c>
      <c r="B790" s="38" t="s">
        <v>521</v>
      </c>
      <c r="C790" s="38" t="s">
        <v>217</v>
      </c>
      <c r="D790" s="38" t="s">
        <v>262</v>
      </c>
      <c r="E790" s="38" t="s">
        <v>263</v>
      </c>
      <c r="F790" s="47" t="s">
        <v>520</v>
      </c>
      <c r="G790" s="40">
        <v>124</v>
      </c>
      <c r="H790" s="40">
        <v>63</v>
      </c>
      <c r="I790" s="40">
        <v>22</v>
      </c>
      <c r="J790" s="40">
        <v>39</v>
      </c>
      <c r="K790" s="40">
        <v>181</v>
      </c>
      <c r="L790" s="40">
        <v>98</v>
      </c>
      <c r="M790" s="40">
        <v>35</v>
      </c>
      <c r="N790" s="40">
        <v>48</v>
      </c>
      <c r="O790" s="40">
        <v>283</v>
      </c>
      <c r="P790" s="40">
        <v>108</v>
      </c>
      <c r="Q790" s="40">
        <v>60</v>
      </c>
      <c r="R790" s="40">
        <v>115</v>
      </c>
      <c r="S790" s="41">
        <v>50.806451600000003</v>
      </c>
      <c r="T790" s="41">
        <v>17.7419355</v>
      </c>
      <c r="U790" s="41">
        <v>31.451612900000001</v>
      </c>
      <c r="V790" s="41">
        <v>54.143646400000002</v>
      </c>
      <c r="W790" s="41">
        <v>19.337016599999998</v>
      </c>
      <c r="X790" s="41">
        <v>26.519337</v>
      </c>
      <c r="Y790" s="41">
        <v>38.162544199999999</v>
      </c>
      <c r="Z790" s="41">
        <v>21.2014134</v>
      </c>
      <c r="AA790" s="41">
        <v>40.636042400000001</v>
      </c>
    </row>
    <row r="791" spans="1:39" hidden="1" x14ac:dyDescent="0.3">
      <c r="A791" s="42">
        <v>787</v>
      </c>
      <c r="B791" s="43" t="s">
        <v>521</v>
      </c>
      <c r="C791" s="50" t="s">
        <v>217</v>
      </c>
      <c r="D791" s="50" t="s">
        <v>262</v>
      </c>
      <c r="E791" s="50" t="s">
        <v>264</v>
      </c>
      <c r="F791" s="51" t="s">
        <v>264</v>
      </c>
      <c r="G791" s="45">
        <v>97</v>
      </c>
      <c r="H791" s="45">
        <v>45</v>
      </c>
      <c r="I791" s="45">
        <v>22</v>
      </c>
      <c r="J791" s="45">
        <v>30</v>
      </c>
      <c r="K791" s="45">
        <v>193</v>
      </c>
      <c r="L791" s="45">
        <v>89</v>
      </c>
      <c r="M791" s="45">
        <v>33</v>
      </c>
      <c r="N791" s="45">
        <v>71</v>
      </c>
      <c r="O791" s="45">
        <v>329</v>
      </c>
      <c r="P791" s="45">
        <v>185</v>
      </c>
      <c r="Q791" s="45">
        <v>47</v>
      </c>
      <c r="R791" s="45">
        <v>97</v>
      </c>
      <c r="S791" s="46">
        <v>46.391752599999997</v>
      </c>
      <c r="T791" s="46">
        <v>22.680412400000002</v>
      </c>
      <c r="U791" s="46">
        <v>30.927835099999999</v>
      </c>
      <c r="V791" s="46">
        <v>46.113989599999996</v>
      </c>
      <c r="W791" s="46">
        <v>17.098445600000002</v>
      </c>
      <c r="X791" s="46">
        <v>36.787564799999998</v>
      </c>
      <c r="Y791" s="46">
        <v>56.231003000000001</v>
      </c>
      <c r="Z791" s="46">
        <v>14.2857143</v>
      </c>
      <c r="AA791" s="46">
        <v>29.4832827</v>
      </c>
      <c r="AB791" s="26">
        <f>SUM(W791:X791)</f>
        <v>53.886010400000004</v>
      </c>
      <c r="AC791" s="26">
        <f>SUM(Z791:AA791)</f>
        <v>43.768996999999999</v>
      </c>
      <c r="AD791" s="57">
        <f>M791+N791</f>
        <v>104</v>
      </c>
      <c r="AE791" s="57">
        <f>Q791+R791</f>
        <v>144</v>
      </c>
      <c r="AF791" s="26">
        <f>W791</f>
        <v>17.098445600000002</v>
      </c>
      <c r="AG791" s="26">
        <f>Z791</f>
        <v>14.2857143</v>
      </c>
      <c r="AH791" s="26">
        <f>M791</f>
        <v>33</v>
      </c>
      <c r="AI791" s="26">
        <f>Q791</f>
        <v>47</v>
      </c>
      <c r="AJ791" s="26">
        <f>X791</f>
        <v>36.787564799999998</v>
      </c>
      <c r="AK791" s="26">
        <f>AA791</f>
        <v>29.4832827</v>
      </c>
      <c r="AL791" s="57">
        <f>N791</f>
        <v>71</v>
      </c>
      <c r="AM791" s="57">
        <f>R791</f>
        <v>97</v>
      </c>
    </row>
    <row r="792" spans="1:39" hidden="1" x14ac:dyDescent="0.3">
      <c r="A792" s="37">
        <v>788</v>
      </c>
      <c r="B792" s="38" t="s">
        <v>521</v>
      </c>
      <c r="C792" s="38" t="s">
        <v>217</v>
      </c>
      <c r="D792" s="38" t="s">
        <v>262</v>
      </c>
      <c r="E792" s="38" t="s">
        <v>264</v>
      </c>
      <c r="F792" s="47" t="s">
        <v>519</v>
      </c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1"/>
      <c r="T792" s="41"/>
      <c r="U792" s="41"/>
      <c r="V792" s="41"/>
      <c r="W792" s="41"/>
      <c r="X792" s="41"/>
      <c r="Y792" s="41"/>
      <c r="Z792" s="41"/>
      <c r="AA792" s="41"/>
    </row>
    <row r="793" spans="1:39" hidden="1" x14ac:dyDescent="0.3">
      <c r="A793" s="37">
        <v>789</v>
      </c>
      <c r="B793" s="38" t="s">
        <v>521</v>
      </c>
      <c r="C793" s="38" t="s">
        <v>217</v>
      </c>
      <c r="D793" s="38" t="s">
        <v>262</v>
      </c>
      <c r="E793" s="38" t="s">
        <v>264</v>
      </c>
      <c r="F793" s="47" t="s">
        <v>520</v>
      </c>
      <c r="G793" s="40">
        <v>97</v>
      </c>
      <c r="H793" s="40">
        <v>45</v>
      </c>
      <c r="I793" s="40">
        <v>22</v>
      </c>
      <c r="J793" s="40">
        <v>30</v>
      </c>
      <c r="K793" s="40">
        <v>193</v>
      </c>
      <c r="L793" s="40">
        <v>89</v>
      </c>
      <c r="M793" s="40">
        <v>33</v>
      </c>
      <c r="N793" s="40">
        <v>71</v>
      </c>
      <c r="O793" s="40">
        <v>329</v>
      </c>
      <c r="P793" s="40">
        <v>185</v>
      </c>
      <c r="Q793" s="40">
        <v>47</v>
      </c>
      <c r="R793" s="40">
        <v>97</v>
      </c>
      <c r="S793" s="41">
        <v>46.391752599999997</v>
      </c>
      <c r="T793" s="41">
        <v>22.680412400000002</v>
      </c>
      <c r="U793" s="41">
        <v>30.927835099999999</v>
      </c>
      <c r="V793" s="41">
        <v>46.113989599999996</v>
      </c>
      <c r="W793" s="41">
        <v>17.098445600000002</v>
      </c>
      <c r="X793" s="41">
        <v>36.787564799999998</v>
      </c>
      <c r="Y793" s="41">
        <v>56.231003000000001</v>
      </c>
      <c r="Z793" s="41">
        <v>14.2857143</v>
      </c>
      <c r="AA793" s="41">
        <v>29.4832827</v>
      </c>
    </row>
    <row r="794" spans="1:39" hidden="1" x14ac:dyDescent="0.3">
      <c r="A794" s="42">
        <v>790</v>
      </c>
      <c r="B794" s="43" t="s">
        <v>521</v>
      </c>
      <c r="C794" s="50" t="s">
        <v>217</v>
      </c>
      <c r="D794" s="50" t="s">
        <v>262</v>
      </c>
      <c r="E794" s="50" t="s">
        <v>225</v>
      </c>
      <c r="F794" s="51" t="s">
        <v>225</v>
      </c>
      <c r="G794" s="45">
        <v>102</v>
      </c>
      <c r="H794" s="45">
        <v>47</v>
      </c>
      <c r="I794" s="45">
        <v>25</v>
      </c>
      <c r="J794" s="45">
        <v>30</v>
      </c>
      <c r="K794" s="45">
        <v>245</v>
      </c>
      <c r="L794" s="45">
        <v>96</v>
      </c>
      <c r="M794" s="45">
        <v>54</v>
      </c>
      <c r="N794" s="45">
        <v>95</v>
      </c>
      <c r="O794" s="45">
        <v>257</v>
      </c>
      <c r="P794" s="45">
        <v>109</v>
      </c>
      <c r="Q794" s="45">
        <v>47</v>
      </c>
      <c r="R794" s="45">
        <v>101</v>
      </c>
      <c r="S794" s="46">
        <v>46.078431399999999</v>
      </c>
      <c r="T794" s="46">
        <v>24.509803900000001</v>
      </c>
      <c r="U794" s="46">
        <v>29.411764699999999</v>
      </c>
      <c r="V794" s="46">
        <v>39.183673499999998</v>
      </c>
      <c r="W794" s="46">
        <v>22.040816299999999</v>
      </c>
      <c r="X794" s="46">
        <v>38.775510199999999</v>
      </c>
      <c r="Y794" s="46">
        <v>42.412451400000002</v>
      </c>
      <c r="Z794" s="46">
        <v>18.287937700000001</v>
      </c>
      <c r="AA794" s="46">
        <v>39.299610899999998</v>
      </c>
      <c r="AB794" s="26">
        <f>SUM(W794:X794)</f>
        <v>60.816326500000002</v>
      </c>
      <c r="AC794" s="26">
        <f>SUM(Z794:AA794)</f>
        <v>57.587548599999998</v>
      </c>
      <c r="AD794" s="57">
        <f>M794+N794</f>
        <v>149</v>
      </c>
      <c r="AE794" s="57">
        <f>Q794+R794</f>
        <v>148</v>
      </c>
      <c r="AF794" s="26">
        <f>W794</f>
        <v>22.040816299999999</v>
      </c>
      <c r="AG794" s="26">
        <f>Z794</f>
        <v>18.287937700000001</v>
      </c>
      <c r="AH794" s="26">
        <f>M794</f>
        <v>54</v>
      </c>
      <c r="AI794" s="26">
        <f>Q794</f>
        <v>47</v>
      </c>
      <c r="AJ794" s="26">
        <f>X794</f>
        <v>38.775510199999999</v>
      </c>
      <c r="AK794" s="26">
        <f>AA794</f>
        <v>39.299610899999998</v>
      </c>
      <c r="AL794" s="57">
        <f>N794</f>
        <v>95</v>
      </c>
      <c r="AM794" s="57">
        <f>R794</f>
        <v>101</v>
      </c>
    </row>
    <row r="795" spans="1:39" hidden="1" x14ac:dyDescent="0.3">
      <c r="A795" s="37">
        <v>791</v>
      </c>
      <c r="B795" s="38" t="s">
        <v>521</v>
      </c>
      <c r="C795" s="38" t="s">
        <v>217</v>
      </c>
      <c r="D795" s="38" t="s">
        <v>262</v>
      </c>
      <c r="E795" s="38" t="s">
        <v>225</v>
      </c>
      <c r="F795" s="47" t="s">
        <v>519</v>
      </c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1"/>
      <c r="T795" s="41"/>
      <c r="U795" s="41"/>
      <c r="V795" s="41"/>
      <c r="W795" s="41"/>
      <c r="X795" s="41"/>
      <c r="Y795" s="41"/>
      <c r="Z795" s="41"/>
      <c r="AA795" s="41"/>
    </row>
    <row r="796" spans="1:39" hidden="1" x14ac:dyDescent="0.3">
      <c r="A796" s="37">
        <v>792</v>
      </c>
      <c r="B796" s="38" t="s">
        <v>521</v>
      </c>
      <c r="C796" s="38" t="s">
        <v>217</v>
      </c>
      <c r="D796" s="38" t="s">
        <v>262</v>
      </c>
      <c r="E796" s="38" t="s">
        <v>225</v>
      </c>
      <c r="F796" s="47" t="s">
        <v>520</v>
      </c>
      <c r="G796" s="40">
        <v>102</v>
      </c>
      <c r="H796" s="40">
        <v>47</v>
      </c>
      <c r="I796" s="40">
        <v>25</v>
      </c>
      <c r="J796" s="40">
        <v>30</v>
      </c>
      <c r="K796" s="40">
        <v>245</v>
      </c>
      <c r="L796" s="40">
        <v>96</v>
      </c>
      <c r="M796" s="40">
        <v>54</v>
      </c>
      <c r="N796" s="40">
        <v>95</v>
      </c>
      <c r="O796" s="40">
        <v>257</v>
      </c>
      <c r="P796" s="40">
        <v>109</v>
      </c>
      <c r="Q796" s="40">
        <v>47</v>
      </c>
      <c r="R796" s="40">
        <v>101</v>
      </c>
      <c r="S796" s="41">
        <v>46.078431399999999</v>
      </c>
      <c r="T796" s="41">
        <v>24.509803900000001</v>
      </c>
      <c r="U796" s="41">
        <v>29.411764699999999</v>
      </c>
      <c r="V796" s="41">
        <v>39.183673499999998</v>
      </c>
      <c r="W796" s="41">
        <v>22.040816299999999</v>
      </c>
      <c r="X796" s="41">
        <v>38.775510199999999</v>
      </c>
      <c r="Y796" s="41">
        <v>42.412451400000002</v>
      </c>
      <c r="Z796" s="41">
        <v>18.287937700000001</v>
      </c>
      <c r="AA796" s="41">
        <v>39.299610899999998</v>
      </c>
    </row>
    <row r="797" spans="1:39" hidden="1" x14ac:dyDescent="0.3">
      <c r="A797" s="32">
        <v>793</v>
      </c>
      <c r="B797" s="33" t="s">
        <v>1</v>
      </c>
      <c r="C797" s="49" t="s">
        <v>217</v>
      </c>
      <c r="D797" s="49" t="s">
        <v>265</v>
      </c>
      <c r="E797" s="49"/>
      <c r="F797" s="34" t="s">
        <v>265</v>
      </c>
      <c r="G797" s="35">
        <v>2139</v>
      </c>
      <c r="H797" s="35">
        <v>1384</v>
      </c>
      <c r="I797" s="35">
        <v>262</v>
      </c>
      <c r="J797" s="35">
        <v>493</v>
      </c>
      <c r="K797" s="35">
        <v>2254</v>
      </c>
      <c r="L797" s="35">
        <v>1573</v>
      </c>
      <c r="M797" s="35">
        <v>306</v>
      </c>
      <c r="N797" s="35">
        <v>375</v>
      </c>
      <c r="O797" s="35">
        <v>2722</v>
      </c>
      <c r="P797" s="35">
        <v>1932</v>
      </c>
      <c r="Q797" s="35">
        <v>298</v>
      </c>
      <c r="R797" s="35">
        <v>492</v>
      </c>
      <c r="S797" s="36">
        <v>64.703132299999993</v>
      </c>
      <c r="T797" s="36">
        <v>12.248714400000001</v>
      </c>
      <c r="U797" s="36">
        <v>23.048153299999999</v>
      </c>
      <c r="V797" s="36">
        <v>69.787045300000003</v>
      </c>
      <c r="W797" s="36">
        <v>13.5758651</v>
      </c>
      <c r="X797" s="36">
        <v>16.637089599999999</v>
      </c>
      <c r="Y797" s="36">
        <v>70.977222600000005</v>
      </c>
      <c r="Z797" s="36">
        <v>10.947832500000001</v>
      </c>
      <c r="AA797" s="36">
        <v>18.074944899999998</v>
      </c>
    </row>
    <row r="798" spans="1:39" hidden="1" x14ac:dyDescent="0.3">
      <c r="A798" s="37">
        <v>794</v>
      </c>
      <c r="B798" s="38" t="s">
        <v>1</v>
      </c>
      <c r="C798" s="38" t="s">
        <v>217</v>
      </c>
      <c r="D798" s="38" t="s">
        <v>265</v>
      </c>
      <c r="E798" s="38"/>
      <c r="F798" s="39" t="s">
        <v>519</v>
      </c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1"/>
      <c r="T798" s="41"/>
      <c r="U798" s="41"/>
      <c r="V798" s="41"/>
      <c r="W798" s="41"/>
      <c r="X798" s="41"/>
      <c r="Y798" s="41"/>
      <c r="Z798" s="41"/>
      <c r="AA798" s="41"/>
    </row>
    <row r="799" spans="1:39" hidden="1" x14ac:dyDescent="0.3">
      <c r="A799" s="37">
        <v>795</v>
      </c>
      <c r="B799" s="38" t="s">
        <v>1</v>
      </c>
      <c r="C799" s="38" t="s">
        <v>217</v>
      </c>
      <c r="D799" s="38" t="s">
        <v>265</v>
      </c>
      <c r="E799" s="38"/>
      <c r="F799" s="39" t="s">
        <v>520</v>
      </c>
      <c r="G799" s="40">
        <v>2139</v>
      </c>
      <c r="H799" s="40">
        <v>1384</v>
      </c>
      <c r="I799" s="40">
        <v>262</v>
      </c>
      <c r="J799" s="40">
        <v>493</v>
      </c>
      <c r="K799" s="40">
        <v>2254</v>
      </c>
      <c r="L799" s="40">
        <v>1573</v>
      </c>
      <c r="M799" s="40">
        <v>306</v>
      </c>
      <c r="N799" s="40">
        <v>375</v>
      </c>
      <c r="O799" s="40">
        <v>2722</v>
      </c>
      <c r="P799" s="40">
        <v>1932</v>
      </c>
      <c r="Q799" s="40">
        <v>298</v>
      </c>
      <c r="R799" s="40">
        <v>492</v>
      </c>
      <c r="S799" s="41">
        <v>64.703132299999993</v>
      </c>
      <c r="T799" s="41">
        <v>12.248714400000001</v>
      </c>
      <c r="U799" s="41">
        <v>23.048153299999999</v>
      </c>
      <c r="V799" s="41">
        <v>69.787045300000003</v>
      </c>
      <c r="W799" s="41">
        <v>13.5758651</v>
      </c>
      <c r="X799" s="41">
        <v>16.637089599999999</v>
      </c>
      <c r="Y799" s="41">
        <v>70.977222600000005</v>
      </c>
      <c r="Z799" s="41">
        <v>10.947832500000001</v>
      </c>
      <c r="AA799" s="41">
        <v>18.074944899999998</v>
      </c>
    </row>
    <row r="800" spans="1:39" hidden="1" x14ac:dyDescent="0.3">
      <c r="A800" s="42">
        <v>796</v>
      </c>
      <c r="B800" s="43" t="s">
        <v>521</v>
      </c>
      <c r="C800" s="50" t="s">
        <v>217</v>
      </c>
      <c r="D800" s="50" t="s">
        <v>265</v>
      </c>
      <c r="E800" s="50" t="s">
        <v>266</v>
      </c>
      <c r="F800" s="51" t="s">
        <v>266</v>
      </c>
      <c r="G800" s="45">
        <v>2139</v>
      </c>
      <c r="H800" s="45">
        <v>1384</v>
      </c>
      <c r="I800" s="45">
        <v>262</v>
      </c>
      <c r="J800" s="45">
        <v>493</v>
      </c>
      <c r="K800" s="45">
        <v>2254</v>
      </c>
      <c r="L800" s="45">
        <v>1573</v>
      </c>
      <c r="M800" s="45">
        <v>306</v>
      </c>
      <c r="N800" s="45">
        <v>375</v>
      </c>
      <c r="O800" s="45">
        <v>2722</v>
      </c>
      <c r="P800" s="45">
        <v>1932</v>
      </c>
      <c r="Q800" s="45">
        <v>298</v>
      </c>
      <c r="R800" s="45">
        <v>492</v>
      </c>
      <c r="S800" s="46">
        <v>64.703132299999993</v>
      </c>
      <c r="T800" s="46">
        <v>12.248714400000001</v>
      </c>
      <c r="U800" s="46">
        <v>23.048153299999999</v>
      </c>
      <c r="V800" s="46">
        <v>69.787045300000003</v>
      </c>
      <c r="W800" s="46">
        <v>13.5758651</v>
      </c>
      <c r="X800" s="46">
        <v>16.637089599999999</v>
      </c>
      <c r="Y800" s="46">
        <v>70.977222600000005</v>
      </c>
      <c r="Z800" s="46">
        <v>10.947832500000001</v>
      </c>
      <c r="AA800" s="46">
        <v>18.074944899999998</v>
      </c>
      <c r="AB800" s="26">
        <f>SUM(W800:X800)</f>
        <v>30.212954699999997</v>
      </c>
      <c r="AC800" s="26">
        <f>SUM(Z800:AA800)</f>
        <v>29.022777399999999</v>
      </c>
      <c r="AD800" s="57">
        <f>M800+N800</f>
        <v>681</v>
      </c>
      <c r="AE800" s="57">
        <f>Q800+R800</f>
        <v>790</v>
      </c>
      <c r="AF800" s="26">
        <f>W800</f>
        <v>13.5758651</v>
      </c>
      <c r="AG800" s="26">
        <f>Z800</f>
        <v>10.947832500000001</v>
      </c>
      <c r="AH800" s="26">
        <f>M800</f>
        <v>306</v>
      </c>
      <c r="AI800" s="26">
        <f>Q800</f>
        <v>298</v>
      </c>
      <c r="AJ800" s="26">
        <f>X800</f>
        <v>16.637089599999999</v>
      </c>
      <c r="AK800" s="26">
        <f>AA800</f>
        <v>18.074944899999998</v>
      </c>
      <c r="AL800" s="57">
        <f>N800</f>
        <v>375</v>
      </c>
      <c r="AM800" s="57">
        <f>R800</f>
        <v>492</v>
      </c>
    </row>
    <row r="801" spans="1:39" hidden="1" x14ac:dyDescent="0.3">
      <c r="A801" s="37">
        <v>797</v>
      </c>
      <c r="B801" s="38" t="s">
        <v>521</v>
      </c>
      <c r="C801" s="38" t="s">
        <v>217</v>
      </c>
      <c r="D801" s="38" t="s">
        <v>265</v>
      </c>
      <c r="E801" s="38" t="s">
        <v>266</v>
      </c>
      <c r="F801" s="47" t="s">
        <v>519</v>
      </c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1"/>
      <c r="T801" s="41"/>
      <c r="U801" s="41"/>
      <c r="V801" s="41"/>
      <c r="W801" s="41"/>
      <c r="X801" s="41"/>
      <c r="Y801" s="41"/>
      <c r="Z801" s="41"/>
      <c r="AA801" s="41"/>
    </row>
    <row r="802" spans="1:39" hidden="1" x14ac:dyDescent="0.3">
      <c r="A802" s="37">
        <v>798</v>
      </c>
      <c r="B802" s="38" t="s">
        <v>521</v>
      </c>
      <c r="C802" s="38" t="s">
        <v>217</v>
      </c>
      <c r="D802" s="38" t="s">
        <v>265</v>
      </c>
      <c r="E802" s="38" t="s">
        <v>266</v>
      </c>
      <c r="F802" s="47" t="s">
        <v>520</v>
      </c>
      <c r="G802" s="40">
        <v>2139</v>
      </c>
      <c r="H802" s="40">
        <v>1384</v>
      </c>
      <c r="I802" s="40">
        <v>262</v>
      </c>
      <c r="J802" s="40">
        <v>493</v>
      </c>
      <c r="K802" s="40">
        <v>2254</v>
      </c>
      <c r="L802" s="40">
        <v>1573</v>
      </c>
      <c r="M802" s="40">
        <v>306</v>
      </c>
      <c r="N802" s="40">
        <v>375</v>
      </c>
      <c r="O802" s="40">
        <v>2722</v>
      </c>
      <c r="P802" s="40">
        <v>1932</v>
      </c>
      <c r="Q802" s="40">
        <v>298</v>
      </c>
      <c r="R802" s="40">
        <v>492</v>
      </c>
      <c r="S802" s="41">
        <v>64.703132299999993</v>
      </c>
      <c r="T802" s="41">
        <v>12.248714400000001</v>
      </c>
      <c r="U802" s="41">
        <v>23.048153299999999</v>
      </c>
      <c r="V802" s="41">
        <v>69.787045300000003</v>
      </c>
      <c r="W802" s="41">
        <v>13.5758651</v>
      </c>
      <c r="X802" s="41">
        <v>16.637089599999999</v>
      </c>
      <c r="Y802" s="41">
        <v>70.977222600000005</v>
      </c>
      <c r="Z802" s="41">
        <v>10.947832500000001</v>
      </c>
      <c r="AA802" s="41">
        <v>18.074944899999998</v>
      </c>
    </row>
    <row r="803" spans="1:39" x14ac:dyDescent="0.3">
      <c r="A803" s="21">
        <v>799</v>
      </c>
      <c r="B803" s="22" t="s">
        <v>464</v>
      </c>
      <c r="C803" s="22" t="s">
        <v>267</v>
      </c>
      <c r="D803" s="22"/>
      <c r="E803" s="22"/>
      <c r="F803" s="23" t="s">
        <v>267</v>
      </c>
      <c r="G803" s="24">
        <v>180323</v>
      </c>
      <c r="H803" s="24">
        <v>84026</v>
      </c>
      <c r="I803" s="24">
        <v>34362</v>
      </c>
      <c r="J803" s="24">
        <v>61935</v>
      </c>
      <c r="K803" s="24">
        <v>242302</v>
      </c>
      <c r="L803" s="24">
        <v>145185</v>
      </c>
      <c r="M803" s="24">
        <v>40125</v>
      </c>
      <c r="N803" s="24">
        <v>56992</v>
      </c>
      <c r="O803" s="24">
        <v>303745</v>
      </c>
      <c r="P803" s="24">
        <v>211185</v>
      </c>
      <c r="Q803" s="24">
        <v>38402</v>
      </c>
      <c r="R803" s="24">
        <v>54158</v>
      </c>
      <c r="S803" s="25">
        <v>46.597494500000003</v>
      </c>
      <c r="T803" s="25">
        <v>19.055805400000001</v>
      </c>
      <c r="U803" s="25">
        <v>34.3467001</v>
      </c>
      <c r="V803" s="25">
        <v>59.919026700000003</v>
      </c>
      <c r="W803" s="25">
        <v>16.559912799999999</v>
      </c>
      <c r="X803" s="25">
        <v>23.521060500000001</v>
      </c>
      <c r="Y803" s="25">
        <v>69.527070399999999</v>
      </c>
      <c r="Z803" s="25">
        <v>12.642841900000001</v>
      </c>
      <c r="AA803" s="25">
        <v>17.8300877</v>
      </c>
      <c r="AC803" s="26">
        <f>W803+X803</f>
        <v>40.080973299999997</v>
      </c>
      <c r="AD803" s="26">
        <f>Z803+AA803</f>
        <v>30.472929600000001</v>
      </c>
      <c r="AE803" s="57">
        <f>M803+N803</f>
        <v>97117</v>
      </c>
      <c r="AF803" s="57">
        <f>Q803+R803</f>
        <v>92560</v>
      </c>
    </row>
    <row r="804" spans="1:39" hidden="1" x14ac:dyDescent="0.3">
      <c r="A804" s="27">
        <v>800</v>
      </c>
      <c r="B804" s="28" t="s">
        <v>464</v>
      </c>
      <c r="C804" s="48" t="s">
        <v>267</v>
      </c>
      <c r="D804" s="48"/>
      <c r="E804" s="48"/>
      <c r="F804" s="29" t="s">
        <v>519</v>
      </c>
      <c r="G804" s="30">
        <v>59374</v>
      </c>
      <c r="H804" s="30">
        <v>31042</v>
      </c>
      <c r="I804" s="30">
        <v>11973</v>
      </c>
      <c r="J804" s="30">
        <v>16359</v>
      </c>
      <c r="K804" s="30">
        <v>93169</v>
      </c>
      <c r="L804" s="30">
        <v>57872</v>
      </c>
      <c r="M804" s="30">
        <v>16147</v>
      </c>
      <c r="N804" s="30">
        <v>19150</v>
      </c>
      <c r="O804" s="30">
        <v>123576</v>
      </c>
      <c r="P804" s="30">
        <v>89713</v>
      </c>
      <c r="Q804" s="30">
        <v>15276</v>
      </c>
      <c r="R804" s="30">
        <v>18587</v>
      </c>
      <c r="S804" s="31">
        <v>52.282143699999999</v>
      </c>
      <c r="T804" s="31">
        <v>20.165392300000001</v>
      </c>
      <c r="U804" s="31">
        <v>27.552464000000001</v>
      </c>
      <c r="V804" s="31">
        <v>62.115081199999999</v>
      </c>
      <c r="W804" s="31">
        <v>17.330871900000002</v>
      </c>
      <c r="X804" s="31">
        <v>20.554046899999999</v>
      </c>
      <c r="Y804" s="31">
        <v>72.597429899999995</v>
      </c>
      <c r="Z804" s="31">
        <v>12.3616236</v>
      </c>
      <c r="AA804" s="31">
        <v>15.0409465</v>
      </c>
    </row>
    <row r="805" spans="1:39" hidden="1" x14ac:dyDescent="0.3">
      <c r="A805" s="27">
        <v>801</v>
      </c>
      <c r="B805" s="28" t="s">
        <v>464</v>
      </c>
      <c r="C805" s="48" t="s">
        <v>267</v>
      </c>
      <c r="D805" s="48"/>
      <c r="E805" s="48"/>
      <c r="F805" s="29" t="s">
        <v>520</v>
      </c>
      <c r="G805" s="30">
        <v>120949</v>
      </c>
      <c r="H805" s="30">
        <v>52984</v>
      </c>
      <c r="I805" s="30">
        <v>22389</v>
      </c>
      <c r="J805" s="30">
        <v>45576</v>
      </c>
      <c r="K805" s="30">
        <v>149133</v>
      </c>
      <c r="L805" s="30">
        <v>87313</v>
      </c>
      <c r="M805" s="30">
        <v>23978</v>
      </c>
      <c r="N805" s="30">
        <v>37842</v>
      </c>
      <c r="O805" s="30">
        <v>180169</v>
      </c>
      <c r="P805" s="30">
        <v>121472</v>
      </c>
      <c r="Q805" s="30">
        <v>23126</v>
      </c>
      <c r="R805" s="30">
        <v>35571</v>
      </c>
      <c r="S805" s="31">
        <v>43.806893799999997</v>
      </c>
      <c r="T805" s="31">
        <v>18.511108</v>
      </c>
      <c r="U805" s="31">
        <v>37.681998200000002</v>
      </c>
      <c r="V805" s="31">
        <v>58.547068699999997</v>
      </c>
      <c r="W805" s="31">
        <v>16.078265699999999</v>
      </c>
      <c r="X805" s="31">
        <v>25.3746656</v>
      </c>
      <c r="Y805" s="31">
        <v>67.421143499999999</v>
      </c>
      <c r="Z805" s="31">
        <v>12.8357265</v>
      </c>
      <c r="AA805" s="31">
        <v>19.743130099999998</v>
      </c>
    </row>
    <row r="806" spans="1:39" hidden="1" x14ac:dyDescent="0.3">
      <c r="A806" s="32">
        <v>802</v>
      </c>
      <c r="B806" s="33" t="s">
        <v>1</v>
      </c>
      <c r="C806" s="49" t="s">
        <v>267</v>
      </c>
      <c r="D806" s="49" t="s">
        <v>268</v>
      </c>
      <c r="E806" s="49"/>
      <c r="F806" s="34" t="s">
        <v>268</v>
      </c>
      <c r="G806" s="35">
        <v>43479</v>
      </c>
      <c r="H806" s="35">
        <v>21491</v>
      </c>
      <c r="I806" s="35">
        <v>8517</v>
      </c>
      <c r="J806" s="35">
        <v>13471</v>
      </c>
      <c r="K806" s="35">
        <v>63169</v>
      </c>
      <c r="L806" s="35">
        <v>37097</v>
      </c>
      <c r="M806" s="35">
        <v>11170</v>
      </c>
      <c r="N806" s="35">
        <v>14902</v>
      </c>
      <c r="O806" s="35">
        <v>82587</v>
      </c>
      <c r="P806" s="35">
        <v>55686</v>
      </c>
      <c r="Q806" s="35">
        <v>11181</v>
      </c>
      <c r="R806" s="35">
        <v>15720</v>
      </c>
      <c r="S806" s="36">
        <v>49.428459699999998</v>
      </c>
      <c r="T806" s="36">
        <v>19.588767000000001</v>
      </c>
      <c r="U806" s="36">
        <v>30.982773300000002</v>
      </c>
      <c r="V806" s="36">
        <v>58.726590600000002</v>
      </c>
      <c r="W806" s="36">
        <v>17.682724100000001</v>
      </c>
      <c r="X806" s="36">
        <v>23.590685300000001</v>
      </c>
      <c r="Y806" s="36">
        <v>67.427076900000003</v>
      </c>
      <c r="Z806" s="36">
        <v>13.5384504</v>
      </c>
      <c r="AA806" s="36">
        <v>19.034472699999998</v>
      </c>
    </row>
    <row r="807" spans="1:39" hidden="1" x14ac:dyDescent="0.3">
      <c r="A807" s="37">
        <v>803</v>
      </c>
      <c r="B807" s="38" t="s">
        <v>1</v>
      </c>
      <c r="C807" s="38" t="s">
        <v>267</v>
      </c>
      <c r="D807" s="38" t="s">
        <v>268</v>
      </c>
      <c r="E807" s="38"/>
      <c r="F807" s="39" t="s">
        <v>519</v>
      </c>
      <c r="G807" s="40">
        <v>31885</v>
      </c>
      <c r="H807" s="40">
        <v>16086</v>
      </c>
      <c r="I807" s="40">
        <v>6512</v>
      </c>
      <c r="J807" s="40">
        <v>9287</v>
      </c>
      <c r="K807" s="40">
        <v>46764</v>
      </c>
      <c r="L807" s="40">
        <v>27906</v>
      </c>
      <c r="M807" s="40">
        <v>8491</v>
      </c>
      <c r="N807" s="40">
        <v>10367</v>
      </c>
      <c r="O807" s="40">
        <v>60712</v>
      </c>
      <c r="P807" s="40">
        <v>43154</v>
      </c>
      <c r="Q807" s="40">
        <v>7946</v>
      </c>
      <c r="R807" s="40">
        <v>9612</v>
      </c>
      <c r="S807" s="41">
        <v>50.450054899999998</v>
      </c>
      <c r="T807" s="41">
        <v>20.4233966</v>
      </c>
      <c r="U807" s="41">
        <v>29.126548499999998</v>
      </c>
      <c r="V807" s="41">
        <v>59.6741083</v>
      </c>
      <c r="W807" s="41">
        <v>18.157129399999999</v>
      </c>
      <c r="X807" s="41">
        <v>22.168762300000001</v>
      </c>
      <c r="Y807" s="41">
        <v>71.079852399999993</v>
      </c>
      <c r="Z807" s="41">
        <v>13.0880221</v>
      </c>
      <c r="AA807" s="41">
        <v>15.832125400000001</v>
      </c>
    </row>
    <row r="808" spans="1:39" hidden="1" x14ac:dyDescent="0.3">
      <c r="A808" s="37">
        <v>804</v>
      </c>
      <c r="B808" s="38" t="s">
        <v>1</v>
      </c>
      <c r="C808" s="38" t="s">
        <v>267</v>
      </c>
      <c r="D808" s="38" t="s">
        <v>268</v>
      </c>
      <c r="E808" s="38"/>
      <c r="F808" s="39" t="s">
        <v>520</v>
      </c>
      <c r="G808" s="40">
        <v>11594</v>
      </c>
      <c r="H808" s="40">
        <v>5405</v>
      </c>
      <c r="I808" s="40">
        <v>2005</v>
      </c>
      <c r="J808" s="40">
        <v>4184</v>
      </c>
      <c r="K808" s="40">
        <v>16405</v>
      </c>
      <c r="L808" s="40">
        <v>9191</v>
      </c>
      <c r="M808" s="40">
        <v>2679</v>
      </c>
      <c r="N808" s="40">
        <v>4535</v>
      </c>
      <c r="O808" s="40">
        <v>21875</v>
      </c>
      <c r="P808" s="40">
        <v>12532</v>
      </c>
      <c r="Q808" s="40">
        <v>3235</v>
      </c>
      <c r="R808" s="40">
        <v>6108</v>
      </c>
      <c r="S808" s="41">
        <v>46.618940799999997</v>
      </c>
      <c r="T808" s="41">
        <v>17.293427600000001</v>
      </c>
      <c r="U808" s="41">
        <v>36.087631500000001</v>
      </c>
      <c r="V808" s="41">
        <v>56.025601999999999</v>
      </c>
      <c r="W808" s="41">
        <v>16.330387099999999</v>
      </c>
      <c r="X808" s="41">
        <v>27.644010999999999</v>
      </c>
      <c r="Y808" s="41">
        <v>57.289142900000002</v>
      </c>
      <c r="Z808" s="41">
        <v>14.7885714</v>
      </c>
      <c r="AA808" s="41">
        <v>27.9222857</v>
      </c>
    </row>
    <row r="809" spans="1:39" hidden="1" x14ac:dyDescent="0.3">
      <c r="A809" s="42">
        <v>805</v>
      </c>
      <c r="B809" s="43" t="s">
        <v>521</v>
      </c>
      <c r="C809" s="50" t="s">
        <v>267</v>
      </c>
      <c r="D809" s="50" t="s">
        <v>268</v>
      </c>
      <c r="E809" s="50" t="s">
        <v>267</v>
      </c>
      <c r="F809" s="51" t="s">
        <v>267</v>
      </c>
      <c r="G809" s="45">
        <v>35182</v>
      </c>
      <c r="H809" s="45">
        <v>17774</v>
      </c>
      <c r="I809" s="45">
        <v>7062</v>
      </c>
      <c r="J809" s="45">
        <v>10346</v>
      </c>
      <c r="K809" s="45">
        <v>51606</v>
      </c>
      <c r="L809" s="45">
        <v>30795</v>
      </c>
      <c r="M809" s="45">
        <v>9237</v>
      </c>
      <c r="N809" s="45">
        <v>11574</v>
      </c>
      <c r="O809" s="45">
        <v>67379</v>
      </c>
      <c r="P809" s="45">
        <v>47054</v>
      </c>
      <c r="Q809" s="45">
        <v>8914</v>
      </c>
      <c r="R809" s="45">
        <v>11411</v>
      </c>
      <c r="S809" s="46">
        <v>50.520152400000001</v>
      </c>
      <c r="T809" s="46">
        <v>20.072764500000002</v>
      </c>
      <c r="U809" s="46">
        <v>29.407083199999999</v>
      </c>
      <c r="V809" s="46">
        <v>59.673293800000003</v>
      </c>
      <c r="W809" s="46">
        <v>17.899081500000001</v>
      </c>
      <c r="X809" s="46">
        <v>22.427624699999999</v>
      </c>
      <c r="Y809" s="46">
        <v>69.834815000000006</v>
      </c>
      <c r="Z809" s="46">
        <v>13.229641300000001</v>
      </c>
      <c r="AA809" s="46">
        <v>16.9355437</v>
      </c>
      <c r="AB809" s="26">
        <f>SUM(W809:X809)</f>
        <v>40.326706200000004</v>
      </c>
      <c r="AC809" s="26">
        <f>SUM(Z809:AA809)</f>
        <v>30.165185000000001</v>
      </c>
      <c r="AD809" s="57">
        <f>M809+N809</f>
        <v>20811</v>
      </c>
      <c r="AE809" s="57">
        <f>Q809+R809</f>
        <v>20325</v>
      </c>
      <c r="AF809" s="26">
        <f>W809</f>
        <v>17.899081500000001</v>
      </c>
      <c r="AG809" s="26">
        <f>Z809</f>
        <v>13.229641300000001</v>
      </c>
      <c r="AH809" s="26">
        <f>M809</f>
        <v>9237</v>
      </c>
      <c r="AI809" s="26">
        <f>Q809</f>
        <v>8914</v>
      </c>
      <c r="AJ809" s="26">
        <f>X809</f>
        <v>22.427624699999999</v>
      </c>
      <c r="AK809" s="26">
        <f>AA809</f>
        <v>16.9355437</v>
      </c>
      <c r="AL809" s="57">
        <f>N809</f>
        <v>11574</v>
      </c>
      <c r="AM809" s="57">
        <f>R809</f>
        <v>11411</v>
      </c>
    </row>
    <row r="810" spans="1:39" hidden="1" x14ac:dyDescent="0.3">
      <c r="A810" s="37">
        <v>806</v>
      </c>
      <c r="B810" s="38" t="s">
        <v>521</v>
      </c>
      <c r="C810" s="38" t="s">
        <v>267</v>
      </c>
      <c r="D810" s="38" t="s">
        <v>268</v>
      </c>
      <c r="E810" s="38" t="s">
        <v>267</v>
      </c>
      <c r="F810" s="47" t="s">
        <v>519</v>
      </c>
      <c r="G810" s="40">
        <v>31885</v>
      </c>
      <c r="H810" s="40">
        <v>16086</v>
      </c>
      <c r="I810" s="40">
        <v>6512</v>
      </c>
      <c r="J810" s="40">
        <v>9287</v>
      </c>
      <c r="K810" s="40">
        <v>46764</v>
      </c>
      <c r="L810" s="40">
        <v>27906</v>
      </c>
      <c r="M810" s="40">
        <v>8491</v>
      </c>
      <c r="N810" s="40">
        <v>10367</v>
      </c>
      <c r="O810" s="40">
        <v>60712</v>
      </c>
      <c r="P810" s="40">
        <v>43154</v>
      </c>
      <c r="Q810" s="40">
        <v>7946</v>
      </c>
      <c r="R810" s="40">
        <v>9612</v>
      </c>
      <c r="S810" s="41">
        <v>50.450054899999998</v>
      </c>
      <c r="T810" s="41">
        <v>20.4233966</v>
      </c>
      <c r="U810" s="41">
        <v>29.126548499999998</v>
      </c>
      <c r="V810" s="41">
        <v>59.6741083</v>
      </c>
      <c r="W810" s="41">
        <v>18.157129399999999</v>
      </c>
      <c r="X810" s="41">
        <v>22.168762300000001</v>
      </c>
      <c r="Y810" s="41">
        <v>71.079852399999993</v>
      </c>
      <c r="Z810" s="41">
        <v>13.0880221</v>
      </c>
      <c r="AA810" s="41">
        <v>15.832125400000001</v>
      </c>
    </row>
    <row r="811" spans="1:39" hidden="1" x14ac:dyDescent="0.3">
      <c r="A811" s="37">
        <v>807</v>
      </c>
      <c r="B811" s="38" t="s">
        <v>521</v>
      </c>
      <c r="C811" s="38" t="s">
        <v>267</v>
      </c>
      <c r="D811" s="38" t="s">
        <v>268</v>
      </c>
      <c r="E811" s="38" t="s">
        <v>267</v>
      </c>
      <c r="F811" s="47" t="s">
        <v>520</v>
      </c>
      <c r="G811" s="40">
        <v>3297</v>
      </c>
      <c r="H811" s="40">
        <v>1688</v>
      </c>
      <c r="I811" s="40">
        <v>550</v>
      </c>
      <c r="J811" s="40">
        <v>1059</v>
      </c>
      <c r="K811" s="40">
        <v>4842</v>
      </c>
      <c r="L811" s="40">
        <v>2889</v>
      </c>
      <c r="M811" s="40">
        <v>746</v>
      </c>
      <c r="N811" s="40">
        <v>1207</v>
      </c>
      <c r="O811" s="40">
        <v>6667</v>
      </c>
      <c r="P811" s="40">
        <v>3900</v>
      </c>
      <c r="Q811" s="40">
        <v>968</v>
      </c>
      <c r="R811" s="40">
        <v>1799</v>
      </c>
      <c r="S811" s="41">
        <v>51.198058799999998</v>
      </c>
      <c r="T811" s="41">
        <v>16.681832</v>
      </c>
      <c r="U811" s="41">
        <v>32.120109200000002</v>
      </c>
      <c r="V811" s="41">
        <v>59.6654275</v>
      </c>
      <c r="W811" s="41">
        <v>15.406856700000001</v>
      </c>
      <c r="X811" s="41">
        <v>24.927715800000001</v>
      </c>
      <c r="Y811" s="41">
        <v>58.497075100000004</v>
      </c>
      <c r="Z811" s="41">
        <v>14.519273999999999</v>
      </c>
      <c r="AA811" s="41">
        <v>26.983650799999999</v>
      </c>
    </row>
    <row r="812" spans="1:39" hidden="1" x14ac:dyDescent="0.3">
      <c r="A812" s="42">
        <v>808</v>
      </c>
      <c r="B812" s="43" t="s">
        <v>521</v>
      </c>
      <c r="C812" s="50" t="s">
        <v>267</v>
      </c>
      <c r="D812" s="50" t="s">
        <v>268</v>
      </c>
      <c r="E812" s="50" t="s">
        <v>269</v>
      </c>
      <c r="F812" s="51" t="s">
        <v>269</v>
      </c>
      <c r="G812" s="45">
        <v>5245</v>
      </c>
      <c r="H812" s="45">
        <v>1937</v>
      </c>
      <c r="I812" s="45">
        <v>948</v>
      </c>
      <c r="J812" s="45">
        <v>2360</v>
      </c>
      <c r="K812" s="45">
        <v>7545</v>
      </c>
      <c r="L812" s="45">
        <v>3697</v>
      </c>
      <c r="M812" s="45">
        <v>1312</v>
      </c>
      <c r="N812" s="45">
        <v>2536</v>
      </c>
      <c r="O812" s="45">
        <v>9796</v>
      </c>
      <c r="P812" s="45">
        <v>5386</v>
      </c>
      <c r="Q812" s="45">
        <v>1548</v>
      </c>
      <c r="R812" s="45">
        <v>2862</v>
      </c>
      <c r="S812" s="46">
        <v>36.930409900000001</v>
      </c>
      <c r="T812" s="46">
        <v>18.0743565</v>
      </c>
      <c r="U812" s="46">
        <v>44.995233599999999</v>
      </c>
      <c r="V812" s="46">
        <v>48.999337300000001</v>
      </c>
      <c r="W812" s="46">
        <v>17.388999299999998</v>
      </c>
      <c r="X812" s="46">
        <v>33.611663399999998</v>
      </c>
      <c r="Y812" s="46">
        <v>54.981625200000003</v>
      </c>
      <c r="Z812" s="46">
        <v>15.802368299999999</v>
      </c>
      <c r="AA812" s="46">
        <v>29.216006499999999</v>
      </c>
      <c r="AB812" s="26">
        <f>SUM(W812:X812)</f>
        <v>51.000662699999992</v>
      </c>
      <c r="AC812" s="26">
        <f>SUM(Z812:AA812)</f>
        <v>45.018374799999997</v>
      </c>
      <c r="AD812" s="57">
        <f>M812+N812</f>
        <v>3848</v>
      </c>
      <c r="AE812" s="57">
        <f>Q812+R812</f>
        <v>4410</v>
      </c>
      <c r="AF812" s="26">
        <f>W812</f>
        <v>17.388999299999998</v>
      </c>
      <c r="AG812" s="26">
        <f>Z812</f>
        <v>15.802368299999999</v>
      </c>
      <c r="AH812" s="26">
        <f>M812</f>
        <v>1312</v>
      </c>
      <c r="AI812" s="26">
        <f>Q812</f>
        <v>1548</v>
      </c>
      <c r="AJ812" s="26">
        <f>X812</f>
        <v>33.611663399999998</v>
      </c>
      <c r="AK812" s="26">
        <f>AA812</f>
        <v>29.216006499999999</v>
      </c>
      <c r="AL812" s="57">
        <f>N812</f>
        <v>2536</v>
      </c>
      <c r="AM812" s="57">
        <f>R812</f>
        <v>2862</v>
      </c>
    </row>
    <row r="813" spans="1:39" hidden="1" x14ac:dyDescent="0.3">
      <c r="A813" s="37">
        <v>809</v>
      </c>
      <c r="B813" s="38" t="s">
        <v>521</v>
      </c>
      <c r="C813" s="38" t="s">
        <v>267</v>
      </c>
      <c r="D813" s="38" t="s">
        <v>268</v>
      </c>
      <c r="E813" s="38" t="s">
        <v>269</v>
      </c>
      <c r="F813" s="47" t="s">
        <v>519</v>
      </c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1"/>
      <c r="T813" s="41"/>
      <c r="U813" s="41"/>
      <c r="V813" s="41"/>
      <c r="W813" s="41"/>
      <c r="X813" s="41"/>
      <c r="Y813" s="41"/>
      <c r="Z813" s="41"/>
      <c r="AA813" s="41"/>
    </row>
    <row r="814" spans="1:39" hidden="1" x14ac:dyDescent="0.3">
      <c r="A814" s="37">
        <v>810</v>
      </c>
      <c r="B814" s="38" t="s">
        <v>521</v>
      </c>
      <c r="C814" s="38" t="s">
        <v>267</v>
      </c>
      <c r="D814" s="38" t="s">
        <v>268</v>
      </c>
      <c r="E814" s="38" t="s">
        <v>269</v>
      </c>
      <c r="F814" s="47" t="s">
        <v>520</v>
      </c>
      <c r="G814" s="40">
        <v>5245</v>
      </c>
      <c r="H814" s="40">
        <v>1937</v>
      </c>
      <c r="I814" s="40">
        <v>948</v>
      </c>
      <c r="J814" s="40">
        <v>2360</v>
      </c>
      <c r="K814" s="40">
        <v>7545</v>
      </c>
      <c r="L814" s="40">
        <v>3697</v>
      </c>
      <c r="M814" s="40">
        <v>1312</v>
      </c>
      <c r="N814" s="40">
        <v>2536</v>
      </c>
      <c r="O814" s="40">
        <v>9796</v>
      </c>
      <c r="P814" s="40">
        <v>5386</v>
      </c>
      <c r="Q814" s="40">
        <v>1548</v>
      </c>
      <c r="R814" s="40">
        <v>2862</v>
      </c>
      <c r="S814" s="41">
        <v>36.930409900000001</v>
      </c>
      <c r="T814" s="41">
        <v>18.0743565</v>
      </c>
      <c r="U814" s="41">
        <v>44.995233599999999</v>
      </c>
      <c r="V814" s="41">
        <v>48.999337300000001</v>
      </c>
      <c r="W814" s="41">
        <v>17.388999299999998</v>
      </c>
      <c r="X814" s="41">
        <v>33.611663399999998</v>
      </c>
      <c r="Y814" s="41">
        <v>54.981625200000003</v>
      </c>
      <c r="Z814" s="41">
        <v>15.802368299999999</v>
      </c>
      <c r="AA814" s="41">
        <v>29.216006499999999</v>
      </c>
    </row>
    <row r="815" spans="1:39" hidden="1" x14ac:dyDescent="0.3">
      <c r="A815" s="42">
        <v>811</v>
      </c>
      <c r="B815" s="43" t="s">
        <v>521</v>
      </c>
      <c r="C815" s="50" t="s">
        <v>267</v>
      </c>
      <c r="D815" s="50" t="s">
        <v>268</v>
      </c>
      <c r="E815" s="50" t="s">
        <v>270</v>
      </c>
      <c r="F815" s="51" t="s">
        <v>270</v>
      </c>
      <c r="G815" s="45">
        <v>2257</v>
      </c>
      <c r="H815" s="45">
        <v>1218</v>
      </c>
      <c r="I815" s="45">
        <v>420</v>
      </c>
      <c r="J815" s="45">
        <v>619</v>
      </c>
      <c r="K815" s="45">
        <v>2916</v>
      </c>
      <c r="L815" s="45">
        <v>1885</v>
      </c>
      <c r="M815" s="45">
        <v>458</v>
      </c>
      <c r="N815" s="45">
        <v>573</v>
      </c>
      <c r="O815" s="45">
        <v>4191</v>
      </c>
      <c r="P815" s="45">
        <v>2561</v>
      </c>
      <c r="Q815" s="45">
        <v>568</v>
      </c>
      <c r="R815" s="45">
        <v>1062</v>
      </c>
      <c r="S815" s="46">
        <v>53.965440899999997</v>
      </c>
      <c r="T815" s="46">
        <v>18.608772699999999</v>
      </c>
      <c r="U815" s="46">
        <v>27.4257864</v>
      </c>
      <c r="V815" s="46">
        <v>64.6433471</v>
      </c>
      <c r="W815" s="46">
        <v>15.706447199999999</v>
      </c>
      <c r="X815" s="46">
        <v>19.650205799999998</v>
      </c>
      <c r="Y815" s="46">
        <v>61.107134299999998</v>
      </c>
      <c r="Z815" s="46">
        <v>13.5528513</v>
      </c>
      <c r="AA815" s="46">
        <v>25.3400143</v>
      </c>
      <c r="AB815" s="26">
        <f>SUM(W815:X815)</f>
        <v>35.356652999999994</v>
      </c>
      <c r="AC815" s="26">
        <f>SUM(Z815:AA815)</f>
        <v>38.8928656</v>
      </c>
      <c r="AD815" s="57">
        <f>M815+N815</f>
        <v>1031</v>
      </c>
      <c r="AE815" s="57">
        <f>Q815+R815</f>
        <v>1630</v>
      </c>
      <c r="AF815" s="26">
        <f>W815</f>
        <v>15.706447199999999</v>
      </c>
      <c r="AG815" s="26">
        <f>Z815</f>
        <v>13.5528513</v>
      </c>
      <c r="AH815" s="26">
        <f>M815</f>
        <v>458</v>
      </c>
      <c r="AI815" s="26">
        <f>Q815</f>
        <v>568</v>
      </c>
      <c r="AJ815" s="26">
        <f>X815</f>
        <v>19.650205799999998</v>
      </c>
      <c r="AK815" s="26">
        <f>AA815</f>
        <v>25.3400143</v>
      </c>
      <c r="AL815" s="57">
        <f>N815</f>
        <v>573</v>
      </c>
      <c r="AM815" s="57">
        <f>R815</f>
        <v>1062</v>
      </c>
    </row>
    <row r="816" spans="1:39" hidden="1" x14ac:dyDescent="0.3">
      <c r="A816" s="37">
        <v>812</v>
      </c>
      <c r="B816" s="38" t="s">
        <v>521</v>
      </c>
      <c r="C816" s="38" t="s">
        <v>267</v>
      </c>
      <c r="D816" s="38" t="s">
        <v>268</v>
      </c>
      <c r="E816" s="38" t="s">
        <v>270</v>
      </c>
      <c r="F816" s="47" t="s">
        <v>519</v>
      </c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1"/>
      <c r="T816" s="41"/>
      <c r="U816" s="41"/>
      <c r="V816" s="41"/>
      <c r="W816" s="41"/>
      <c r="X816" s="41"/>
      <c r="Y816" s="41"/>
      <c r="Z816" s="41"/>
      <c r="AA816" s="41"/>
    </row>
    <row r="817" spans="1:39" hidden="1" x14ac:dyDescent="0.3">
      <c r="A817" s="37">
        <v>813</v>
      </c>
      <c r="B817" s="38" t="s">
        <v>521</v>
      </c>
      <c r="C817" s="38" t="s">
        <v>267</v>
      </c>
      <c r="D817" s="38" t="s">
        <v>268</v>
      </c>
      <c r="E817" s="38" t="s">
        <v>270</v>
      </c>
      <c r="F817" s="47" t="s">
        <v>520</v>
      </c>
      <c r="G817" s="40">
        <v>2257</v>
      </c>
      <c r="H817" s="40">
        <v>1218</v>
      </c>
      <c r="I817" s="40">
        <v>420</v>
      </c>
      <c r="J817" s="40">
        <v>619</v>
      </c>
      <c r="K817" s="40">
        <v>2916</v>
      </c>
      <c r="L817" s="40">
        <v>1885</v>
      </c>
      <c r="M817" s="40">
        <v>458</v>
      </c>
      <c r="N817" s="40">
        <v>573</v>
      </c>
      <c r="O817" s="40">
        <v>4191</v>
      </c>
      <c r="P817" s="40">
        <v>2561</v>
      </c>
      <c r="Q817" s="40">
        <v>568</v>
      </c>
      <c r="R817" s="40">
        <v>1062</v>
      </c>
      <c r="S817" s="41">
        <v>53.965440899999997</v>
      </c>
      <c r="T817" s="41">
        <v>18.608772699999999</v>
      </c>
      <c r="U817" s="41">
        <v>27.4257864</v>
      </c>
      <c r="V817" s="41">
        <v>64.6433471</v>
      </c>
      <c r="W817" s="41">
        <v>15.706447199999999</v>
      </c>
      <c r="X817" s="41">
        <v>19.650205799999998</v>
      </c>
      <c r="Y817" s="41">
        <v>61.107134299999998</v>
      </c>
      <c r="Z817" s="41">
        <v>13.5528513</v>
      </c>
      <c r="AA817" s="41">
        <v>25.3400143</v>
      </c>
    </row>
    <row r="818" spans="1:39" hidden="1" x14ac:dyDescent="0.3">
      <c r="A818" s="42">
        <v>814</v>
      </c>
      <c r="B818" s="43" t="s">
        <v>521</v>
      </c>
      <c r="C818" s="50" t="s">
        <v>267</v>
      </c>
      <c r="D818" s="50" t="s">
        <v>268</v>
      </c>
      <c r="E818" s="50" t="s">
        <v>272</v>
      </c>
      <c r="F818" s="51" t="s">
        <v>272</v>
      </c>
      <c r="G818" s="45">
        <v>795</v>
      </c>
      <c r="H818" s="45">
        <v>562</v>
      </c>
      <c r="I818" s="45">
        <v>87</v>
      </c>
      <c r="J818" s="45">
        <v>146</v>
      </c>
      <c r="K818" s="45">
        <v>1102</v>
      </c>
      <c r="L818" s="45">
        <v>720</v>
      </c>
      <c r="M818" s="45">
        <v>163</v>
      </c>
      <c r="N818" s="45">
        <v>219</v>
      </c>
      <c r="O818" s="45">
        <v>1221</v>
      </c>
      <c r="P818" s="45">
        <v>685</v>
      </c>
      <c r="Q818" s="45">
        <v>151</v>
      </c>
      <c r="R818" s="45">
        <v>385</v>
      </c>
      <c r="S818" s="46">
        <v>70.691823900000003</v>
      </c>
      <c r="T818" s="46">
        <v>10.9433962</v>
      </c>
      <c r="U818" s="46">
        <v>18.364779899999998</v>
      </c>
      <c r="V818" s="46">
        <v>65.335753199999999</v>
      </c>
      <c r="W818" s="46">
        <v>14.7912886</v>
      </c>
      <c r="X818" s="46">
        <v>19.872958300000001</v>
      </c>
      <c r="Y818" s="46">
        <v>56.101556100000003</v>
      </c>
      <c r="Z818" s="46">
        <v>12.3669124</v>
      </c>
      <c r="AA818" s="46">
        <v>31.5315315</v>
      </c>
      <c r="AB818" s="26">
        <f>SUM(W818:X818)</f>
        <v>34.664246900000002</v>
      </c>
      <c r="AC818" s="26">
        <f>SUM(Z818:AA818)</f>
        <v>43.898443900000004</v>
      </c>
      <c r="AD818" s="57">
        <f>M818+N818</f>
        <v>382</v>
      </c>
      <c r="AE818" s="57">
        <f>Q818+R818</f>
        <v>536</v>
      </c>
      <c r="AF818" s="26">
        <f>W818</f>
        <v>14.7912886</v>
      </c>
      <c r="AG818" s="26">
        <f>Z818</f>
        <v>12.3669124</v>
      </c>
      <c r="AH818" s="26">
        <f>M818</f>
        <v>163</v>
      </c>
      <c r="AI818" s="26">
        <f>Q818</f>
        <v>151</v>
      </c>
      <c r="AJ818" s="26">
        <f>X818</f>
        <v>19.872958300000001</v>
      </c>
      <c r="AK818" s="26">
        <f>AA818</f>
        <v>31.5315315</v>
      </c>
      <c r="AL818" s="57">
        <f>N818</f>
        <v>219</v>
      </c>
      <c r="AM818" s="57">
        <f>R818</f>
        <v>385</v>
      </c>
    </row>
    <row r="819" spans="1:39" hidden="1" x14ac:dyDescent="0.3">
      <c r="A819" s="37">
        <v>815</v>
      </c>
      <c r="B819" s="38" t="s">
        <v>521</v>
      </c>
      <c r="C819" s="38" t="s">
        <v>267</v>
      </c>
      <c r="D819" s="38" t="s">
        <v>268</v>
      </c>
      <c r="E819" s="38" t="s">
        <v>272</v>
      </c>
      <c r="F819" s="47" t="s">
        <v>519</v>
      </c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1"/>
      <c r="T819" s="41"/>
      <c r="U819" s="41"/>
      <c r="V819" s="41"/>
      <c r="W819" s="41"/>
      <c r="X819" s="41"/>
      <c r="Y819" s="41"/>
      <c r="Z819" s="41"/>
      <c r="AA819" s="41"/>
    </row>
    <row r="820" spans="1:39" hidden="1" x14ac:dyDescent="0.3">
      <c r="A820" s="37">
        <v>816</v>
      </c>
      <c r="B820" s="38" t="s">
        <v>521</v>
      </c>
      <c r="C820" s="38" t="s">
        <v>267</v>
      </c>
      <c r="D820" s="38" t="s">
        <v>268</v>
      </c>
      <c r="E820" s="38" t="s">
        <v>272</v>
      </c>
      <c r="F820" s="47" t="s">
        <v>520</v>
      </c>
      <c r="G820" s="40">
        <v>795</v>
      </c>
      <c r="H820" s="40">
        <v>562</v>
      </c>
      <c r="I820" s="40">
        <v>87</v>
      </c>
      <c r="J820" s="40">
        <v>146</v>
      </c>
      <c r="K820" s="40">
        <v>1102</v>
      </c>
      <c r="L820" s="40">
        <v>720</v>
      </c>
      <c r="M820" s="40">
        <v>163</v>
      </c>
      <c r="N820" s="40">
        <v>219</v>
      </c>
      <c r="O820" s="40">
        <v>1221</v>
      </c>
      <c r="P820" s="40">
        <v>685</v>
      </c>
      <c r="Q820" s="40">
        <v>151</v>
      </c>
      <c r="R820" s="40">
        <v>385</v>
      </c>
      <c r="S820" s="41">
        <v>70.691823900000003</v>
      </c>
      <c r="T820" s="41">
        <v>10.9433962</v>
      </c>
      <c r="U820" s="41">
        <v>18.364779899999998</v>
      </c>
      <c r="V820" s="41">
        <v>65.335753199999999</v>
      </c>
      <c r="W820" s="41">
        <v>14.7912886</v>
      </c>
      <c r="X820" s="41">
        <v>19.872958300000001</v>
      </c>
      <c r="Y820" s="41">
        <v>56.101556100000003</v>
      </c>
      <c r="Z820" s="41">
        <v>12.3669124</v>
      </c>
      <c r="AA820" s="41">
        <v>31.5315315</v>
      </c>
    </row>
    <row r="821" spans="1:39" hidden="1" x14ac:dyDescent="0.3">
      <c r="A821" s="32">
        <v>817</v>
      </c>
      <c r="B821" s="33" t="s">
        <v>1</v>
      </c>
      <c r="C821" s="49" t="s">
        <v>267</v>
      </c>
      <c r="D821" s="49" t="s">
        <v>274</v>
      </c>
      <c r="E821" s="49"/>
      <c r="F821" s="34" t="s">
        <v>274</v>
      </c>
      <c r="G821" s="35">
        <v>20076</v>
      </c>
      <c r="H821" s="35">
        <v>9476</v>
      </c>
      <c r="I821" s="35">
        <v>3858</v>
      </c>
      <c r="J821" s="35">
        <v>6742</v>
      </c>
      <c r="K821" s="35">
        <v>25965</v>
      </c>
      <c r="L821" s="35">
        <v>15727</v>
      </c>
      <c r="M821" s="35">
        <v>4524</v>
      </c>
      <c r="N821" s="35">
        <v>5714</v>
      </c>
      <c r="O821" s="35">
        <v>33144</v>
      </c>
      <c r="P821" s="35">
        <v>23960</v>
      </c>
      <c r="Q821" s="35">
        <v>4028</v>
      </c>
      <c r="R821" s="35">
        <v>5156</v>
      </c>
      <c r="S821" s="36">
        <v>47.2006376</v>
      </c>
      <c r="T821" s="36">
        <v>19.2169755</v>
      </c>
      <c r="U821" s="36">
        <v>33.582386900000003</v>
      </c>
      <c r="V821" s="36">
        <v>60.569998099999999</v>
      </c>
      <c r="W821" s="36">
        <v>17.423454700000001</v>
      </c>
      <c r="X821" s="36">
        <v>22.006547300000001</v>
      </c>
      <c r="Y821" s="36">
        <v>72.290610700000002</v>
      </c>
      <c r="Z821" s="36">
        <v>12.153029200000001</v>
      </c>
      <c r="AA821" s="36">
        <v>15.556360099999999</v>
      </c>
    </row>
    <row r="822" spans="1:39" hidden="1" x14ac:dyDescent="0.3">
      <c r="A822" s="37">
        <v>818</v>
      </c>
      <c r="B822" s="38" t="s">
        <v>1</v>
      </c>
      <c r="C822" s="38" t="s">
        <v>267</v>
      </c>
      <c r="D822" s="38" t="s">
        <v>274</v>
      </c>
      <c r="E822" s="38"/>
      <c r="F822" s="39" t="s">
        <v>519</v>
      </c>
      <c r="G822" s="40">
        <v>10116</v>
      </c>
      <c r="H822" s="40">
        <v>5503</v>
      </c>
      <c r="I822" s="40">
        <v>2011</v>
      </c>
      <c r="J822" s="40">
        <v>2602</v>
      </c>
      <c r="K822" s="40">
        <v>14008</v>
      </c>
      <c r="L822" s="40">
        <v>9138</v>
      </c>
      <c r="M822" s="40">
        <v>2323</v>
      </c>
      <c r="N822" s="40">
        <v>2547</v>
      </c>
      <c r="O822" s="40">
        <v>19003</v>
      </c>
      <c r="P822" s="40">
        <v>14654</v>
      </c>
      <c r="Q822" s="40">
        <v>1951</v>
      </c>
      <c r="R822" s="40">
        <v>2398</v>
      </c>
      <c r="S822" s="41">
        <v>54.398971899999999</v>
      </c>
      <c r="T822" s="41">
        <v>19.879398999999999</v>
      </c>
      <c r="U822" s="41">
        <v>25.721629100000001</v>
      </c>
      <c r="V822" s="41">
        <v>65.234151900000001</v>
      </c>
      <c r="W822" s="41">
        <v>16.583380900000002</v>
      </c>
      <c r="X822" s="41">
        <v>18.182467200000001</v>
      </c>
      <c r="Y822" s="41">
        <v>77.114139899999998</v>
      </c>
      <c r="Z822" s="41">
        <v>10.2668</v>
      </c>
      <c r="AA822" s="41">
        <v>12.6190601</v>
      </c>
    </row>
    <row r="823" spans="1:39" hidden="1" x14ac:dyDescent="0.3">
      <c r="A823" s="37">
        <v>819</v>
      </c>
      <c r="B823" s="38" t="s">
        <v>1</v>
      </c>
      <c r="C823" s="38" t="s">
        <v>267</v>
      </c>
      <c r="D823" s="38" t="s">
        <v>274</v>
      </c>
      <c r="E823" s="38"/>
      <c r="F823" s="39" t="s">
        <v>520</v>
      </c>
      <c r="G823" s="40">
        <v>9960</v>
      </c>
      <c r="H823" s="40">
        <v>3973</v>
      </c>
      <c r="I823" s="40">
        <v>1847</v>
      </c>
      <c r="J823" s="40">
        <v>4140</v>
      </c>
      <c r="K823" s="40">
        <v>11957</v>
      </c>
      <c r="L823" s="40">
        <v>6589</v>
      </c>
      <c r="M823" s="40">
        <v>2201</v>
      </c>
      <c r="N823" s="40">
        <v>3167</v>
      </c>
      <c r="O823" s="40">
        <v>14141</v>
      </c>
      <c r="P823" s="40">
        <v>9306</v>
      </c>
      <c r="Q823" s="40">
        <v>2077</v>
      </c>
      <c r="R823" s="40">
        <v>2758</v>
      </c>
      <c r="S823" s="41">
        <v>39.889558200000003</v>
      </c>
      <c r="T823" s="41">
        <v>18.544176700000001</v>
      </c>
      <c r="U823" s="41">
        <v>41.566265100000003</v>
      </c>
      <c r="V823" s="41">
        <v>55.105795800000003</v>
      </c>
      <c r="W823" s="41">
        <v>18.407627300000001</v>
      </c>
      <c r="X823" s="41">
        <v>26.486576899999999</v>
      </c>
      <c r="Y823" s="41">
        <v>65.808641499999993</v>
      </c>
      <c r="Z823" s="41">
        <v>14.6877873</v>
      </c>
      <c r="AA823" s="41">
        <v>19.5035712</v>
      </c>
    </row>
    <row r="824" spans="1:39" hidden="1" x14ac:dyDescent="0.3">
      <c r="A824" s="42">
        <v>820</v>
      </c>
      <c r="B824" s="43" t="s">
        <v>521</v>
      </c>
      <c r="C824" s="50" t="s">
        <v>267</v>
      </c>
      <c r="D824" s="50" t="s">
        <v>274</v>
      </c>
      <c r="E824" s="50" t="s">
        <v>275</v>
      </c>
      <c r="F824" s="51" t="s">
        <v>275</v>
      </c>
      <c r="G824" s="45">
        <v>4586</v>
      </c>
      <c r="H824" s="45">
        <v>1950</v>
      </c>
      <c r="I824" s="45">
        <v>925</v>
      </c>
      <c r="J824" s="45">
        <v>1711</v>
      </c>
      <c r="K824" s="45">
        <v>6620</v>
      </c>
      <c r="L824" s="45">
        <v>3977</v>
      </c>
      <c r="M824" s="45">
        <v>1215</v>
      </c>
      <c r="N824" s="45">
        <v>1428</v>
      </c>
      <c r="O824" s="45">
        <v>8437</v>
      </c>
      <c r="P824" s="45">
        <v>5950</v>
      </c>
      <c r="Q824" s="45">
        <v>1173</v>
      </c>
      <c r="R824" s="45">
        <v>1314</v>
      </c>
      <c r="S824" s="46">
        <v>42.520715199999998</v>
      </c>
      <c r="T824" s="46">
        <v>20.170082900000001</v>
      </c>
      <c r="U824" s="46">
        <v>37.309201899999998</v>
      </c>
      <c r="V824" s="46">
        <v>60.0755287</v>
      </c>
      <c r="W824" s="46">
        <v>18.353474299999998</v>
      </c>
      <c r="X824" s="46">
        <v>21.570996999999998</v>
      </c>
      <c r="Y824" s="46">
        <v>70.522697600000001</v>
      </c>
      <c r="Z824" s="46">
        <v>13.903046099999999</v>
      </c>
      <c r="AA824" s="46">
        <v>15.5742563</v>
      </c>
      <c r="AB824" s="26">
        <f>SUM(W824:X824)</f>
        <v>39.924471299999993</v>
      </c>
      <c r="AC824" s="26">
        <f>SUM(Z824:AA824)</f>
        <v>29.477302399999999</v>
      </c>
      <c r="AD824" s="57">
        <f>M824+N824</f>
        <v>2643</v>
      </c>
      <c r="AE824" s="57">
        <f>Q824+R824</f>
        <v>2487</v>
      </c>
      <c r="AF824" s="26">
        <f>W824</f>
        <v>18.353474299999998</v>
      </c>
      <c r="AG824" s="26">
        <f>Z824</f>
        <v>13.903046099999999</v>
      </c>
      <c r="AH824" s="26">
        <f>M824</f>
        <v>1215</v>
      </c>
      <c r="AI824" s="26">
        <f>Q824</f>
        <v>1173</v>
      </c>
      <c r="AJ824" s="26">
        <f>X824</f>
        <v>21.570996999999998</v>
      </c>
      <c r="AK824" s="26">
        <f>AA824</f>
        <v>15.5742563</v>
      </c>
      <c r="AL824" s="57">
        <f>N824</f>
        <v>1428</v>
      </c>
      <c r="AM824" s="57">
        <f>R824</f>
        <v>1314</v>
      </c>
    </row>
    <row r="825" spans="1:39" hidden="1" x14ac:dyDescent="0.3">
      <c r="A825" s="37">
        <v>821</v>
      </c>
      <c r="B825" s="38" t="s">
        <v>521</v>
      </c>
      <c r="C825" s="38" t="s">
        <v>267</v>
      </c>
      <c r="D825" s="38" t="s">
        <v>274</v>
      </c>
      <c r="E825" s="38" t="s">
        <v>275</v>
      </c>
      <c r="F825" s="47" t="s">
        <v>519</v>
      </c>
      <c r="G825" s="40">
        <v>1450</v>
      </c>
      <c r="H825" s="40">
        <v>764</v>
      </c>
      <c r="I825" s="40">
        <v>305</v>
      </c>
      <c r="J825" s="40">
        <v>381</v>
      </c>
      <c r="K825" s="40">
        <v>2825</v>
      </c>
      <c r="L825" s="40">
        <v>1959</v>
      </c>
      <c r="M825" s="40">
        <v>465</v>
      </c>
      <c r="N825" s="40">
        <v>401</v>
      </c>
      <c r="O825" s="40">
        <v>3551</v>
      </c>
      <c r="P825" s="40">
        <v>2875</v>
      </c>
      <c r="Q825" s="40">
        <v>341</v>
      </c>
      <c r="R825" s="40">
        <v>335</v>
      </c>
      <c r="S825" s="41">
        <v>52.689655199999997</v>
      </c>
      <c r="T825" s="41">
        <v>21.034482799999999</v>
      </c>
      <c r="U825" s="41">
        <v>26.275862100000001</v>
      </c>
      <c r="V825" s="41">
        <v>69.345132699999994</v>
      </c>
      <c r="W825" s="41">
        <v>16.460177000000002</v>
      </c>
      <c r="X825" s="41">
        <v>14.1946903</v>
      </c>
      <c r="Y825" s="41">
        <v>80.963109000000003</v>
      </c>
      <c r="Z825" s="41">
        <v>9.6029288000000008</v>
      </c>
      <c r="AA825" s="41">
        <v>9.4339622999999992</v>
      </c>
    </row>
    <row r="826" spans="1:39" hidden="1" x14ac:dyDescent="0.3">
      <c r="A826" s="37">
        <v>822</v>
      </c>
      <c r="B826" s="38" t="s">
        <v>521</v>
      </c>
      <c r="C826" s="38" t="s">
        <v>267</v>
      </c>
      <c r="D826" s="38" t="s">
        <v>274</v>
      </c>
      <c r="E826" s="38" t="s">
        <v>275</v>
      </c>
      <c r="F826" s="47" t="s">
        <v>520</v>
      </c>
      <c r="G826" s="40">
        <v>3136</v>
      </c>
      <c r="H826" s="40">
        <v>1186</v>
      </c>
      <c r="I826" s="40">
        <v>620</v>
      </c>
      <c r="J826" s="40">
        <v>1330</v>
      </c>
      <c r="K826" s="40">
        <v>3795</v>
      </c>
      <c r="L826" s="40">
        <v>2018</v>
      </c>
      <c r="M826" s="40">
        <v>750</v>
      </c>
      <c r="N826" s="40">
        <v>1027</v>
      </c>
      <c r="O826" s="40">
        <v>4886</v>
      </c>
      <c r="P826" s="40">
        <v>3075</v>
      </c>
      <c r="Q826" s="40">
        <v>832</v>
      </c>
      <c r="R826" s="40">
        <v>979</v>
      </c>
      <c r="S826" s="41">
        <v>37.8188776</v>
      </c>
      <c r="T826" s="41">
        <v>19.770408199999999</v>
      </c>
      <c r="U826" s="41">
        <v>42.410714300000002</v>
      </c>
      <c r="V826" s="41">
        <v>53.175230599999999</v>
      </c>
      <c r="W826" s="41">
        <v>19.762845800000001</v>
      </c>
      <c r="X826" s="41">
        <v>27.0619236</v>
      </c>
      <c r="Y826" s="41">
        <v>62.934916100000002</v>
      </c>
      <c r="Z826" s="41">
        <v>17.028244000000001</v>
      </c>
      <c r="AA826" s="41">
        <v>20.036840000000002</v>
      </c>
    </row>
    <row r="827" spans="1:39" hidden="1" x14ac:dyDescent="0.3">
      <c r="A827" s="42">
        <v>823</v>
      </c>
      <c r="B827" s="43" t="s">
        <v>521</v>
      </c>
      <c r="C827" s="50" t="s">
        <v>267</v>
      </c>
      <c r="D827" s="50" t="s">
        <v>274</v>
      </c>
      <c r="E827" s="50" t="s">
        <v>276</v>
      </c>
      <c r="F827" s="51" t="s">
        <v>276</v>
      </c>
      <c r="G827" s="45">
        <v>3716</v>
      </c>
      <c r="H827" s="45">
        <v>1609</v>
      </c>
      <c r="I827" s="45">
        <v>672</v>
      </c>
      <c r="J827" s="45">
        <v>1435</v>
      </c>
      <c r="K827" s="45">
        <v>4667</v>
      </c>
      <c r="L827" s="45">
        <v>2665</v>
      </c>
      <c r="M827" s="45">
        <v>864</v>
      </c>
      <c r="N827" s="45">
        <v>1138</v>
      </c>
      <c r="O827" s="45">
        <v>5658</v>
      </c>
      <c r="P827" s="45">
        <v>3937</v>
      </c>
      <c r="Q827" s="45">
        <v>749</v>
      </c>
      <c r="R827" s="45">
        <v>972</v>
      </c>
      <c r="S827" s="46">
        <v>43.299246500000002</v>
      </c>
      <c r="T827" s="46">
        <v>18.083961200000001</v>
      </c>
      <c r="U827" s="46">
        <v>38.616792199999999</v>
      </c>
      <c r="V827" s="46">
        <v>57.103064099999997</v>
      </c>
      <c r="W827" s="46">
        <v>18.5129634</v>
      </c>
      <c r="X827" s="46">
        <v>24.3839726</v>
      </c>
      <c r="Y827" s="46">
        <v>69.582891500000002</v>
      </c>
      <c r="Z827" s="46">
        <v>13.2378932</v>
      </c>
      <c r="AA827" s="46">
        <v>17.179215299999999</v>
      </c>
      <c r="AB827" s="26">
        <f>SUM(W827:X827)</f>
        <v>42.896935999999997</v>
      </c>
      <c r="AC827" s="26">
        <f>SUM(Z827:AA827)</f>
        <v>30.417108499999998</v>
      </c>
      <c r="AD827" s="57">
        <f>M827+N827</f>
        <v>2002</v>
      </c>
      <c r="AE827" s="57">
        <f>Q827+R827</f>
        <v>1721</v>
      </c>
      <c r="AF827" s="26">
        <f>W827</f>
        <v>18.5129634</v>
      </c>
      <c r="AG827" s="26">
        <f>Z827</f>
        <v>13.2378932</v>
      </c>
      <c r="AH827" s="26">
        <f>M827</f>
        <v>864</v>
      </c>
      <c r="AI827" s="26">
        <f>Q827</f>
        <v>749</v>
      </c>
      <c r="AJ827" s="26">
        <f>X827</f>
        <v>24.3839726</v>
      </c>
      <c r="AK827" s="26">
        <f>AA827</f>
        <v>17.179215299999999</v>
      </c>
      <c r="AL827" s="57">
        <f>N827</f>
        <v>1138</v>
      </c>
      <c r="AM827" s="57">
        <f>R827</f>
        <v>972</v>
      </c>
    </row>
    <row r="828" spans="1:39" hidden="1" x14ac:dyDescent="0.3">
      <c r="A828" s="37">
        <v>824</v>
      </c>
      <c r="B828" s="38" t="s">
        <v>521</v>
      </c>
      <c r="C828" s="38" t="s">
        <v>267</v>
      </c>
      <c r="D828" s="38" t="s">
        <v>274</v>
      </c>
      <c r="E828" s="38" t="s">
        <v>276</v>
      </c>
      <c r="F828" s="47" t="s">
        <v>519</v>
      </c>
      <c r="G828" s="40">
        <v>620</v>
      </c>
      <c r="H828" s="40">
        <v>360</v>
      </c>
      <c r="I828" s="40">
        <v>107</v>
      </c>
      <c r="J828" s="40">
        <v>153</v>
      </c>
      <c r="K828" s="40">
        <v>810</v>
      </c>
      <c r="L828" s="40">
        <v>576</v>
      </c>
      <c r="M828" s="40">
        <v>100</v>
      </c>
      <c r="N828" s="40">
        <v>134</v>
      </c>
      <c r="O828" s="40">
        <v>1044</v>
      </c>
      <c r="P828" s="40">
        <v>851</v>
      </c>
      <c r="Q828" s="40">
        <v>85</v>
      </c>
      <c r="R828" s="40">
        <v>108</v>
      </c>
      <c r="S828" s="41">
        <v>58.064516099999999</v>
      </c>
      <c r="T828" s="41">
        <v>17.2580645</v>
      </c>
      <c r="U828" s="41">
        <v>24.677419400000002</v>
      </c>
      <c r="V828" s="41">
        <v>71.111111100000002</v>
      </c>
      <c r="W828" s="41">
        <v>12.345679000000001</v>
      </c>
      <c r="X828" s="41">
        <v>16.543209900000001</v>
      </c>
      <c r="Y828" s="41">
        <v>81.513409999999993</v>
      </c>
      <c r="Z828" s="41">
        <v>8.1417625000000005</v>
      </c>
      <c r="AA828" s="41">
        <v>10.3448276</v>
      </c>
    </row>
    <row r="829" spans="1:39" hidden="1" x14ac:dyDescent="0.3">
      <c r="A829" s="37">
        <v>825</v>
      </c>
      <c r="B829" s="38" t="s">
        <v>521</v>
      </c>
      <c r="C829" s="38" t="s">
        <v>267</v>
      </c>
      <c r="D829" s="38" t="s">
        <v>274</v>
      </c>
      <c r="E829" s="38" t="s">
        <v>276</v>
      </c>
      <c r="F829" s="47" t="s">
        <v>520</v>
      </c>
      <c r="G829" s="40">
        <v>3096</v>
      </c>
      <c r="H829" s="40">
        <v>1249</v>
      </c>
      <c r="I829" s="40">
        <v>565</v>
      </c>
      <c r="J829" s="40">
        <v>1282</v>
      </c>
      <c r="K829" s="40">
        <v>3857</v>
      </c>
      <c r="L829" s="40">
        <v>2089</v>
      </c>
      <c r="M829" s="40">
        <v>764</v>
      </c>
      <c r="N829" s="40">
        <v>1004</v>
      </c>
      <c r="O829" s="40">
        <v>4614</v>
      </c>
      <c r="P829" s="40">
        <v>3086</v>
      </c>
      <c r="Q829" s="40">
        <v>664</v>
      </c>
      <c r="R829" s="40">
        <v>864</v>
      </c>
      <c r="S829" s="41">
        <v>40.342377300000003</v>
      </c>
      <c r="T829" s="41">
        <v>18.249354</v>
      </c>
      <c r="U829" s="41">
        <v>41.408268700000001</v>
      </c>
      <c r="V829" s="41">
        <v>54.161265200000003</v>
      </c>
      <c r="W829" s="41">
        <v>19.808140999999999</v>
      </c>
      <c r="X829" s="41">
        <v>26.030593700000001</v>
      </c>
      <c r="Y829" s="41">
        <v>66.883398400000004</v>
      </c>
      <c r="Z829" s="41">
        <v>14.390984</v>
      </c>
      <c r="AA829" s="41">
        <v>18.725617700000001</v>
      </c>
    </row>
    <row r="830" spans="1:39" hidden="1" x14ac:dyDescent="0.3">
      <c r="A830" s="42">
        <v>826</v>
      </c>
      <c r="B830" s="43" t="s">
        <v>521</v>
      </c>
      <c r="C830" s="50" t="s">
        <v>267</v>
      </c>
      <c r="D830" s="50" t="s">
        <v>274</v>
      </c>
      <c r="E830" s="50" t="s">
        <v>277</v>
      </c>
      <c r="F830" s="51" t="s">
        <v>277</v>
      </c>
      <c r="G830" s="45">
        <v>10038</v>
      </c>
      <c r="H830" s="45">
        <v>5269</v>
      </c>
      <c r="I830" s="45">
        <v>1922</v>
      </c>
      <c r="J830" s="45">
        <v>2847</v>
      </c>
      <c r="K830" s="45">
        <v>12409</v>
      </c>
      <c r="L830" s="45">
        <v>7896</v>
      </c>
      <c r="M830" s="45">
        <v>2051</v>
      </c>
      <c r="N830" s="45">
        <v>2462</v>
      </c>
      <c r="O830" s="45">
        <v>16017</v>
      </c>
      <c r="P830" s="45">
        <v>12109</v>
      </c>
      <c r="Q830" s="45">
        <v>1662</v>
      </c>
      <c r="R830" s="45">
        <v>2246</v>
      </c>
      <c r="S830" s="46">
        <v>52.490535999999999</v>
      </c>
      <c r="T830" s="46">
        <v>19.147240499999999</v>
      </c>
      <c r="U830" s="46">
        <v>28.3622236</v>
      </c>
      <c r="V830" s="46">
        <v>63.631235400000001</v>
      </c>
      <c r="W830" s="46">
        <v>16.528326199999999</v>
      </c>
      <c r="X830" s="46">
        <v>19.8404384</v>
      </c>
      <c r="Y830" s="46">
        <v>75.600924000000006</v>
      </c>
      <c r="Z830" s="46">
        <v>10.376474999999999</v>
      </c>
      <c r="AA830" s="46">
        <v>14.022601</v>
      </c>
      <c r="AB830" s="26">
        <f>SUM(W830:X830)</f>
        <v>36.368764599999999</v>
      </c>
      <c r="AC830" s="26">
        <f>SUM(Z830:AA830)</f>
        <v>24.399076000000001</v>
      </c>
      <c r="AD830" s="57">
        <f>M830+N830</f>
        <v>4513</v>
      </c>
      <c r="AE830" s="57">
        <f>Q830+R830</f>
        <v>3908</v>
      </c>
      <c r="AF830" s="26">
        <f>W830</f>
        <v>16.528326199999999</v>
      </c>
      <c r="AG830" s="26">
        <f>Z830</f>
        <v>10.376474999999999</v>
      </c>
      <c r="AH830" s="26">
        <f>M830</f>
        <v>2051</v>
      </c>
      <c r="AI830" s="26">
        <f>Q830</f>
        <v>1662</v>
      </c>
      <c r="AJ830" s="26">
        <f>X830</f>
        <v>19.8404384</v>
      </c>
      <c r="AK830" s="26">
        <f>AA830</f>
        <v>14.022601</v>
      </c>
      <c r="AL830" s="57">
        <f>N830</f>
        <v>2462</v>
      </c>
      <c r="AM830" s="57">
        <f>R830</f>
        <v>2246</v>
      </c>
    </row>
    <row r="831" spans="1:39" hidden="1" x14ac:dyDescent="0.3">
      <c r="A831" s="37">
        <v>827</v>
      </c>
      <c r="B831" s="38" t="s">
        <v>521</v>
      </c>
      <c r="C831" s="38" t="s">
        <v>267</v>
      </c>
      <c r="D831" s="38" t="s">
        <v>274</v>
      </c>
      <c r="E831" s="38" t="s">
        <v>277</v>
      </c>
      <c r="F831" s="47" t="s">
        <v>519</v>
      </c>
      <c r="G831" s="40">
        <v>8046</v>
      </c>
      <c r="H831" s="40">
        <v>4379</v>
      </c>
      <c r="I831" s="40">
        <v>1599</v>
      </c>
      <c r="J831" s="40">
        <v>2068</v>
      </c>
      <c r="K831" s="40">
        <v>10373</v>
      </c>
      <c r="L831" s="40">
        <v>6603</v>
      </c>
      <c r="M831" s="40">
        <v>1758</v>
      </c>
      <c r="N831" s="40">
        <v>2012</v>
      </c>
      <c r="O831" s="40">
        <v>13731</v>
      </c>
      <c r="P831" s="40">
        <v>10461</v>
      </c>
      <c r="Q831" s="40">
        <v>1413</v>
      </c>
      <c r="R831" s="40">
        <v>1857</v>
      </c>
      <c r="S831" s="41">
        <v>54.4245588</v>
      </c>
      <c r="T831" s="41">
        <v>19.873228900000001</v>
      </c>
      <c r="U831" s="41">
        <v>25.702212299999999</v>
      </c>
      <c r="V831" s="41">
        <v>63.655644500000001</v>
      </c>
      <c r="W831" s="41">
        <v>16.947845399999999</v>
      </c>
      <c r="X831" s="41">
        <v>19.396510200000002</v>
      </c>
      <c r="Y831" s="41">
        <v>76.185274199999995</v>
      </c>
      <c r="Z831" s="41">
        <v>10.290583399999999</v>
      </c>
      <c r="AA831" s="41">
        <v>13.5241425</v>
      </c>
    </row>
    <row r="832" spans="1:39" hidden="1" x14ac:dyDescent="0.3">
      <c r="A832" s="37">
        <v>828</v>
      </c>
      <c r="B832" s="38" t="s">
        <v>521</v>
      </c>
      <c r="C832" s="38" t="s">
        <v>267</v>
      </c>
      <c r="D832" s="38" t="s">
        <v>274</v>
      </c>
      <c r="E832" s="38" t="s">
        <v>277</v>
      </c>
      <c r="F832" s="47" t="s">
        <v>520</v>
      </c>
      <c r="G832" s="40">
        <v>1992</v>
      </c>
      <c r="H832" s="40">
        <v>890</v>
      </c>
      <c r="I832" s="40">
        <v>323</v>
      </c>
      <c r="J832" s="40">
        <v>779</v>
      </c>
      <c r="K832" s="40">
        <v>2036</v>
      </c>
      <c r="L832" s="40">
        <v>1293</v>
      </c>
      <c r="M832" s="40">
        <v>293</v>
      </c>
      <c r="N832" s="40">
        <v>450</v>
      </c>
      <c r="O832" s="40">
        <v>2286</v>
      </c>
      <c r="P832" s="40">
        <v>1648</v>
      </c>
      <c r="Q832" s="40">
        <v>249</v>
      </c>
      <c r="R832" s="40">
        <v>389</v>
      </c>
      <c r="S832" s="41">
        <v>44.678714900000003</v>
      </c>
      <c r="T832" s="41">
        <v>16.214859400000002</v>
      </c>
      <c r="U832" s="41">
        <v>39.106425700000003</v>
      </c>
      <c r="V832" s="41">
        <v>63.506876200000001</v>
      </c>
      <c r="W832" s="41">
        <v>14.390962699999999</v>
      </c>
      <c r="X832" s="41">
        <v>22.1021611</v>
      </c>
      <c r="Y832" s="41">
        <v>72.090988600000003</v>
      </c>
      <c r="Z832" s="41">
        <v>10.892388499999999</v>
      </c>
      <c r="AA832" s="41">
        <v>17.016622900000002</v>
      </c>
    </row>
    <row r="833" spans="1:39" hidden="1" x14ac:dyDescent="0.3">
      <c r="A833" s="42">
        <v>829</v>
      </c>
      <c r="B833" s="43" t="s">
        <v>521</v>
      </c>
      <c r="C833" s="50" t="s">
        <v>267</v>
      </c>
      <c r="D833" s="50" t="s">
        <v>274</v>
      </c>
      <c r="E833" s="50" t="s">
        <v>278</v>
      </c>
      <c r="F833" s="51" t="s">
        <v>278</v>
      </c>
      <c r="G833" s="45">
        <v>1736</v>
      </c>
      <c r="H833" s="45">
        <v>648</v>
      </c>
      <c r="I833" s="45">
        <v>339</v>
      </c>
      <c r="J833" s="45">
        <v>749</v>
      </c>
      <c r="K833" s="45">
        <v>2269</v>
      </c>
      <c r="L833" s="45">
        <v>1189</v>
      </c>
      <c r="M833" s="45">
        <v>394</v>
      </c>
      <c r="N833" s="45">
        <v>686</v>
      </c>
      <c r="O833" s="45">
        <v>3032</v>
      </c>
      <c r="P833" s="45">
        <v>1964</v>
      </c>
      <c r="Q833" s="45">
        <v>444</v>
      </c>
      <c r="R833" s="45">
        <v>624</v>
      </c>
      <c r="S833" s="46">
        <v>37.327188900000003</v>
      </c>
      <c r="T833" s="46">
        <v>19.527649799999999</v>
      </c>
      <c r="U833" s="46">
        <v>43.145161299999998</v>
      </c>
      <c r="V833" s="46">
        <v>52.401939200000001</v>
      </c>
      <c r="W833" s="46">
        <v>17.364477699999998</v>
      </c>
      <c r="X833" s="46">
        <v>30.233583100000001</v>
      </c>
      <c r="Y833" s="46">
        <v>64.775725600000001</v>
      </c>
      <c r="Z833" s="46">
        <v>14.6437995</v>
      </c>
      <c r="AA833" s="46">
        <v>20.580474899999999</v>
      </c>
      <c r="AB833" s="26">
        <f>SUM(W833:X833)</f>
        <v>47.598060799999999</v>
      </c>
      <c r="AC833" s="26">
        <f>SUM(Z833:AA833)</f>
        <v>35.224274399999999</v>
      </c>
      <c r="AD833" s="57">
        <f>M833+N833</f>
        <v>1080</v>
      </c>
      <c r="AE833" s="57">
        <f>Q833+R833</f>
        <v>1068</v>
      </c>
      <c r="AF833" s="26">
        <f>W833</f>
        <v>17.364477699999998</v>
      </c>
      <c r="AG833" s="26">
        <f>Z833</f>
        <v>14.6437995</v>
      </c>
      <c r="AH833" s="26">
        <f>M833</f>
        <v>394</v>
      </c>
      <c r="AI833" s="26">
        <f>Q833</f>
        <v>444</v>
      </c>
      <c r="AJ833" s="26">
        <f>X833</f>
        <v>30.233583100000001</v>
      </c>
      <c r="AK833" s="26">
        <f>AA833</f>
        <v>20.580474899999999</v>
      </c>
      <c r="AL833" s="57">
        <f>N833</f>
        <v>686</v>
      </c>
      <c r="AM833" s="57">
        <f>R833</f>
        <v>624</v>
      </c>
    </row>
    <row r="834" spans="1:39" hidden="1" x14ac:dyDescent="0.3">
      <c r="A834" s="37">
        <v>830</v>
      </c>
      <c r="B834" s="38" t="s">
        <v>521</v>
      </c>
      <c r="C834" s="38" t="s">
        <v>267</v>
      </c>
      <c r="D834" s="38" t="s">
        <v>274</v>
      </c>
      <c r="E834" s="38" t="s">
        <v>278</v>
      </c>
      <c r="F834" s="47" t="s">
        <v>519</v>
      </c>
      <c r="G834" s="40"/>
      <c r="H834" s="40"/>
      <c r="I834" s="40"/>
      <c r="J834" s="40"/>
      <c r="K834" s="40"/>
      <c r="L834" s="40"/>
      <c r="M834" s="40"/>
      <c r="N834" s="40"/>
      <c r="O834" s="40">
        <v>677</v>
      </c>
      <c r="P834" s="40">
        <v>467</v>
      </c>
      <c r="Q834" s="40">
        <v>112</v>
      </c>
      <c r="R834" s="40">
        <v>98</v>
      </c>
      <c r="S834" s="41"/>
      <c r="T834" s="41"/>
      <c r="U834" s="41"/>
      <c r="V834" s="41"/>
      <c r="W834" s="41"/>
      <c r="X834" s="41"/>
      <c r="Y834" s="41">
        <v>68.980797600000002</v>
      </c>
      <c r="Z834" s="41">
        <v>16.543574599999999</v>
      </c>
      <c r="AA834" s="41">
        <v>14.4756278</v>
      </c>
    </row>
    <row r="835" spans="1:39" hidden="1" x14ac:dyDescent="0.3">
      <c r="A835" s="37">
        <v>831</v>
      </c>
      <c r="B835" s="38" t="s">
        <v>521</v>
      </c>
      <c r="C835" s="38" t="s">
        <v>267</v>
      </c>
      <c r="D835" s="38" t="s">
        <v>274</v>
      </c>
      <c r="E835" s="38" t="s">
        <v>278</v>
      </c>
      <c r="F835" s="47" t="s">
        <v>520</v>
      </c>
      <c r="G835" s="40">
        <v>1736</v>
      </c>
      <c r="H835" s="40">
        <v>648</v>
      </c>
      <c r="I835" s="40">
        <v>339</v>
      </c>
      <c r="J835" s="40">
        <v>749</v>
      </c>
      <c r="K835" s="40">
        <v>2269</v>
      </c>
      <c r="L835" s="40">
        <v>1189</v>
      </c>
      <c r="M835" s="40">
        <v>394</v>
      </c>
      <c r="N835" s="40">
        <v>686</v>
      </c>
      <c r="O835" s="40">
        <v>2355</v>
      </c>
      <c r="P835" s="40">
        <v>1497</v>
      </c>
      <c r="Q835" s="40">
        <v>332</v>
      </c>
      <c r="R835" s="40">
        <v>526</v>
      </c>
      <c r="S835" s="41">
        <v>37.327188900000003</v>
      </c>
      <c r="T835" s="41">
        <v>19.527649799999999</v>
      </c>
      <c r="U835" s="41">
        <v>43.145161299999998</v>
      </c>
      <c r="V835" s="41">
        <v>52.401939200000001</v>
      </c>
      <c r="W835" s="41">
        <v>17.364477699999998</v>
      </c>
      <c r="X835" s="41">
        <v>30.233583100000001</v>
      </c>
      <c r="Y835" s="41">
        <v>63.566879</v>
      </c>
      <c r="Z835" s="41">
        <v>14.0976645</v>
      </c>
      <c r="AA835" s="41">
        <v>22.335456499999999</v>
      </c>
    </row>
    <row r="836" spans="1:39" hidden="1" x14ac:dyDescent="0.3">
      <c r="A836" s="32">
        <v>832</v>
      </c>
      <c r="B836" s="33" t="s">
        <v>1</v>
      </c>
      <c r="C836" s="49" t="s">
        <v>267</v>
      </c>
      <c r="D836" s="49" t="s">
        <v>279</v>
      </c>
      <c r="E836" s="49"/>
      <c r="F836" s="34" t="s">
        <v>279</v>
      </c>
      <c r="G836" s="35">
        <v>14500</v>
      </c>
      <c r="H836" s="35">
        <v>6135</v>
      </c>
      <c r="I836" s="35">
        <v>2816</v>
      </c>
      <c r="J836" s="35">
        <v>5549</v>
      </c>
      <c r="K836" s="35">
        <v>16840</v>
      </c>
      <c r="L836" s="35">
        <v>10106</v>
      </c>
      <c r="M836" s="35">
        <v>2705</v>
      </c>
      <c r="N836" s="35">
        <v>4029</v>
      </c>
      <c r="O836" s="35">
        <v>19584</v>
      </c>
      <c r="P836" s="35">
        <v>13284</v>
      </c>
      <c r="Q836" s="35">
        <v>2556</v>
      </c>
      <c r="R836" s="35">
        <v>3744</v>
      </c>
      <c r="S836" s="36">
        <v>42.310344800000003</v>
      </c>
      <c r="T836" s="36">
        <v>19.4206897</v>
      </c>
      <c r="U836" s="36">
        <v>38.2689655</v>
      </c>
      <c r="V836" s="36">
        <v>60.0118765</v>
      </c>
      <c r="W836" s="36">
        <v>16.0629454</v>
      </c>
      <c r="X836" s="36">
        <v>23.9251781</v>
      </c>
      <c r="Y836" s="36">
        <v>67.830882399999993</v>
      </c>
      <c r="Z836" s="36">
        <v>13.0514706</v>
      </c>
      <c r="AA836" s="36">
        <v>19.117647099999999</v>
      </c>
    </row>
    <row r="837" spans="1:39" hidden="1" x14ac:dyDescent="0.3">
      <c r="A837" s="37">
        <v>833</v>
      </c>
      <c r="B837" s="38" t="s">
        <v>1</v>
      </c>
      <c r="C837" s="38" t="s">
        <v>267</v>
      </c>
      <c r="D837" s="38" t="s">
        <v>279</v>
      </c>
      <c r="E837" s="38"/>
      <c r="F837" s="39" t="s">
        <v>519</v>
      </c>
      <c r="G837" s="40">
        <v>1044</v>
      </c>
      <c r="H837" s="40">
        <v>490</v>
      </c>
      <c r="I837" s="40">
        <v>216</v>
      </c>
      <c r="J837" s="40">
        <v>338</v>
      </c>
      <c r="K837" s="40">
        <v>1438</v>
      </c>
      <c r="L837" s="40">
        <v>997</v>
      </c>
      <c r="M837" s="40">
        <v>209</v>
      </c>
      <c r="N837" s="40">
        <v>232</v>
      </c>
      <c r="O837" s="40">
        <v>2182</v>
      </c>
      <c r="P837" s="40">
        <v>1615</v>
      </c>
      <c r="Q837" s="40">
        <v>222</v>
      </c>
      <c r="R837" s="40">
        <v>345</v>
      </c>
      <c r="S837" s="41">
        <v>46.934865899999998</v>
      </c>
      <c r="T837" s="41">
        <v>20.689655200000001</v>
      </c>
      <c r="U837" s="41">
        <v>32.375478899999997</v>
      </c>
      <c r="V837" s="41">
        <v>69.3324061</v>
      </c>
      <c r="W837" s="41">
        <v>14.534075100000001</v>
      </c>
      <c r="X837" s="41">
        <v>16.133518800000001</v>
      </c>
      <c r="Y837" s="41">
        <v>74.014665399999998</v>
      </c>
      <c r="Z837" s="41">
        <v>10.1741522</v>
      </c>
      <c r="AA837" s="41">
        <v>15.8111824</v>
      </c>
    </row>
    <row r="838" spans="1:39" hidden="1" x14ac:dyDescent="0.3">
      <c r="A838" s="37">
        <v>834</v>
      </c>
      <c r="B838" s="38" t="s">
        <v>1</v>
      </c>
      <c r="C838" s="38" t="s">
        <v>267</v>
      </c>
      <c r="D838" s="38" t="s">
        <v>279</v>
      </c>
      <c r="E838" s="38"/>
      <c r="F838" s="39" t="s">
        <v>520</v>
      </c>
      <c r="G838" s="40">
        <v>13456</v>
      </c>
      <c r="H838" s="40">
        <v>5645</v>
      </c>
      <c r="I838" s="40">
        <v>2600</v>
      </c>
      <c r="J838" s="40">
        <v>5211</v>
      </c>
      <c r="K838" s="40">
        <v>15402</v>
      </c>
      <c r="L838" s="40">
        <v>9109</v>
      </c>
      <c r="M838" s="40">
        <v>2496</v>
      </c>
      <c r="N838" s="40">
        <v>3797</v>
      </c>
      <c r="O838" s="40">
        <v>17402</v>
      </c>
      <c r="P838" s="40">
        <v>11669</v>
      </c>
      <c r="Q838" s="40">
        <v>2334</v>
      </c>
      <c r="R838" s="40">
        <v>3399</v>
      </c>
      <c r="S838" s="41">
        <v>41.951545799999998</v>
      </c>
      <c r="T838" s="41">
        <v>19.3222354</v>
      </c>
      <c r="U838" s="41">
        <v>38.726218799999998</v>
      </c>
      <c r="V838" s="41">
        <v>59.141669899999997</v>
      </c>
      <c r="W838" s="41">
        <v>16.205687600000001</v>
      </c>
      <c r="X838" s="41">
        <v>24.652642499999999</v>
      </c>
      <c r="Y838" s="41">
        <v>67.055510900000002</v>
      </c>
      <c r="Z838" s="41">
        <v>13.4122515</v>
      </c>
      <c r="AA838" s="41">
        <v>19.5322377</v>
      </c>
    </row>
    <row r="839" spans="1:39" hidden="1" x14ac:dyDescent="0.3">
      <c r="A839" s="42">
        <v>835</v>
      </c>
      <c r="B839" s="43" t="s">
        <v>521</v>
      </c>
      <c r="C839" s="50" t="s">
        <v>267</v>
      </c>
      <c r="D839" s="50" t="s">
        <v>279</v>
      </c>
      <c r="E839" s="50" t="s">
        <v>280</v>
      </c>
      <c r="F839" s="51" t="s">
        <v>280</v>
      </c>
      <c r="G839" s="45">
        <v>8467</v>
      </c>
      <c r="H839" s="45">
        <v>3228</v>
      </c>
      <c r="I839" s="45">
        <v>1682</v>
      </c>
      <c r="J839" s="45">
        <v>3557</v>
      </c>
      <c r="K839" s="45">
        <v>9721</v>
      </c>
      <c r="L839" s="45">
        <v>5542</v>
      </c>
      <c r="M839" s="45">
        <v>1696</v>
      </c>
      <c r="N839" s="45">
        <v>2483</v>
      </c>
      <c r="O839" s="45">
        <v>10921</v>
      </c>
      <c r="P839" s="45">
        <v>7566</v>
      </c>
      <c r="Q839" s="45">
        <v>1450</v>
      </c>
      <c r="R839" s="45">
        <v>1905</v>
      </c>
      <c r="S839" s="46">
        <v>38.124483300000001</v>
      </c>
      <c r="T839" s="46">
        <v>19.865359600000001</v>
      </c>
      <c r="U839" s="46">
        <v>42.010157100000001</v>
      </c>
      <c r="V839" s="46">
        <v>57.010595600000002</v>
      </c>
      <c r="W839" s="46">
        <v>17.446764699999999</v>
      </c>
      <c r="X839" s="46">
        <v>25.542639600000001</v>
      </c>
      <c r="Y839" s="46">
        <v>69.27937</v>
      </c>
      <c r="Z839" s="46">
        <v>13.2771724</v>
      </c>
      <c r="AA839" s="46">
        <v>17.443457599999999</v>
      </c>
      <c r="AB839" s="26">
        <f>SUM(W839:X839)</f>
        <v>42.989404300000004</v>
      </c>
      <c r="AC839" s="26">
        <f>SUM(Z839:AA839)</f>
        <v>30.72063</v>
      </c>
      <c r="AD839" s="57">
        <f>M839+N839</f>
        <v>4179</v>
      </c>
      <c r="AE839" s="57">
        <f>Q839+R839</f>
        <v>3355</v>
      </c>
      <c r="AF839" s="26">
        <f>W839</f>
        <v>17.446764699999999</v>
      </c>
      <c r="AG839" s="26">
        <f>Z839</f>
        <v>13.2771724</v>
      </c>
      <c r="AH839" s="26">
        <f>M839</f>
        <v>1696</v>
      </c>
      <c r="AI839" s="26">
        <f>Q839</f>
        <v>1450</v>
      </c>
      <c r="AJ839" s="26">
        <f>X839</f>
        <v>25.542639600000001</v>
      </c>
      <c r="AK839" s="26">
        <f>AA839</f>
        <v>17.443457599999999</v>
      </c>
      <c r="AL839" s="57">
        <f>N839</f>
        <v>2483</v>
      </c>
      <c r="AM839" s="57">
        <f>R839</f>
        <v>1905</v>
      </c>
    </row>
    <row r="840" spans="1:39" hidden="1" x14ac:dyDescent="0.3">
      <c r="A840" s="37">
        <v>836</v>
      </c>
      <c r="B840" s="38" t="s">
        <v>521</v>
      </c>
      <c r="C840" s="38" t="s">
        <v>267</v>
      </c>
      <c r="D840" s="38" t="s">
        <v>279</v>
      </c>
      <c r="E840" s="38" t="s">
        <v>280</v>
      </c>
      <c r="F840" s="47" t="s">
        <v>519</v>
      </c>
      <c r="G840" s="40">
        <v>1044</v>
      </c>
      <c r="H840" s="40">
        <v>490</v>
      </c>
      <c r="I840" s="40">
        <v>216</v>
      </c>
      <c r="J840" s="40">
        <v>338</v>
      </c>
      <c r="K840" s="40">
        <v>1438</v>
      </c>
      <c r="L840" s="40">
        <v>997</v>
      </c>
      <c r="M840" s="40">
        <v>209</v>
      </c>
      <c r="N840" s="40">
        <v>232</v>
      </c>
      <c r="O840" s="40">
        <v>2182</v>
      </c>
      <c r="P840" s="40">
        <v>1615</v>
      </c>
      <c r="Q840" s="40">
        <v>222</v>
      </c>
      <c r="R840" s="40">
        <v>345</v>
      </c>
      <c r="S840" s="41">
        <v>46.934865899999998</v>
      </c>
      <c r="T840" s="41">
        <v>20.689655200000001</v>
      </c>
      <c r="U840" s="41">
        <v>32.375478899999997</v>
      </c>
      <c r="V840" s="41">
        <v>69.3324061</v>
      </c>
      <c r="W840" s="41">
        <v>14.534075100000001</v>
      </c>
      <c r="X840" s="41">
        <v>16.133518800000001</v>
      </c>
      <c r="Y840" s="41">
        <v>74.014665399999998</v>
      </c>
      <c r="Z840" s="41">
        <v>10.1741522</v>
      </c>
      <c r="AA840" s="41">
        <v>15.8111824</v>
      </c>
    </row>
    <row r="841" spans="1:39" hidden="1" x14ac:dyDescent="0.3">
      <c r="A841" s="37">
        <v>837</v>
      </c>
      <c r="B841" s="38" t="s">
        <v>521</v>
      </c>
      <c r="C841" s="38" t="s">
        <v>267</v>
      </c>
      <c r="D841" s="38" t="s">
        <v>279</v>
      </c>
      <c r="E841" s="38" t="s">
        <v>280</v>
      </c>
      <c r="F841" s="47" t="s">
        <v>520</v>
      </c>
      <c r="G841" s="40">
        <v>7423</v>
      </c>
      <c r="H841" s="40">
        <v>2738</v>
      </c>
      <c r="I841" s="40">
        <v>1466</v>
      </c>
      <c r="J841" s="40">
        <v>3219</v>
      </c>
      <c r="K841" s="40">
        <v>8283</v>
      </c>
      <c r="L841" s="40">
        <v>4545</v>
      </c>
      <c r="M841" s="40">
        <v>1487</v>
      </c>
      <c r="N841" s="40">
        <v>2251</v>
      </c>
      <c r="O841" s="40">
        <v>8739</v>
      </c>
      <c r="P841" s="40">
        <v>5951</v>
      </c>
      <c r="Q841" s="40">
        <v>1228</v>
      </c>
      <c r="R841" s="40">
        <v>1560</v>
      </c>
      <c r="S841" s="41">
        <v>36.885356299999998</v>
      </c>
      <c r="T841" s="41">
        <v>19.749427499999999</v>
      </c>
      <c r="U841" s="41">
        <v>43.365216199999999</v>
      </c>
      <c r="V841" s="41">
        <v>54.871423399999998</v>
      </c>
      <c r="W841" s="41">
        <v>17.952432699999999</v>
      </c>
      <c r="X841" s="41">
        <v>27.1761439</v>
      </c>
      <c r="Y841" s="41">
        <v>68.097036299999999</v>
      </c>
      <c r="Z841" s="41">
        <v>14.051951000000001</v>
      </c>
      <c r="AA841" s="41">
        <v>17.851012699999998</v>
      </c>
    </row>
    <row r="842" spans="1:39" hidden="1" x14ac:dyDescent="0.3">
      <c r="A842" s="42">
        <v>838</v>
      </c>
      <c r="B842" s="43" t="s">
        <v>521</v>
      </c>
      <c r="C842" s="50" t="s">
        <v>267</v>
      </c>
      <c r="D842" s="50" t="s">
        <v>279</v>
      </c>
      <c r="E842" s="50" t="s">
        <v>282</v>
      </c>
      <c r="F842" s="51" t="s">
        <v>282</v>
      </c>
      <c r="G842" s="45">
        <v>2664</v>
      </c>
      <c r="H842" s="45">
        <v>1468</v>
      </c>
      <c r="I842" s="45">
        <v>481</v>
      </c>
      <c r="J842" s="45">
        <v>715</v>
      </c>
      <c r="K842" s="45">
        <v>3222</v>
      </c>
      <c r="L842" s="45">
        <v>2170</v>
      </c>
      <c r="M842" s="45">
        <v>437</v>
      </c>
      <c r="N842" s="45">
        <v>615</v>
      </c>
      <c r="O842" s="45">
        <v>3482</v>
      </c>
      <c r="P842" s="45">
        <v>2530</v>
      </c>
      <c r="Q842" s="45">
        <v>390</v>
      </c>
      <c r="R842" s="45">
        <v>562</v>
      </c>
      <c r="S842" s="46">
        <v>55.105105100000003</v>
      </c>
      <c r="T842" s="46">
        <v>18.055555600000002</v>
      </c>
      <c r="U842" s="46">
        <v>26.839339299999999</v>
      </c>
      <c r="V842" s="46">
        <v>67.349472399999996</v>
      </c>
      <c r="W842" s="46">
        <v>13.563004299999999</v>
      </c>
      <c r="X842" s="46">
        <v>19.087523300000001</v>
      </c>
      <c r="Y842" s="46">
        <v>72.659391200000002</v>
      </c>
      <c r="Z842" s="46">
        <v>11.200459499999999</v>
      </c>
      <c r="AA842" s="46">
        <v>16.140149300000001</v>
      </c>
      <c r="AB842" s="26">
        <f>SUM(W842:X842)</f>
        <v>32.650527600000004</v>
      </c>
      <c r="AC842" s="26">
        <f>SUM(Z842:AA842)</f>
        <v>27.340608799999998</v>
      </c>
      <c r="AD842" s="57">
        <f>M842+N842</f>
        <v>1052</v>
      </c>
      <c r="AE842" s="57">
        <f>Q842+R842</f>
        <v>952</v>
      </c>
      <c r="AF842" s="26">
        <f>W842</f>
        <v>13.563004299999999</v>
      </c>
      <c r="AG842" s="26">
        <f>Z842</f>
        <v>11.200459499999999</v>
      </c>
      <c r="AH842" s="26">
        <f>M842</f>
        <v>437</v>
      </c>
      <c r="AI842" s="26">
        <f>Q842</f>
        <v>390</v>
      </c>
      <c r="AJ842" s="26">
        <f>X842</f>
        <v>19.087523300000001</v>
      </c>
      <c r="AK842" s="26">
        <f>AA842</f>
        <v>16.140149300000001</v>
      </c>
      <c r="AL842" s="57">
        <f>N842</f>
        <v>615</v>
      </c>
      <c r="AM842" s="57">
        <f>R842</f>
        <v>562</v>
      </c>
    </row>
    <row r="843" spans="1:39" hidden="1" x14ac:dyDescent="0.3">
      <c r="A843" s="37">
        <v>839</v>
      </c>
      <c r="B843" s="38" t="s">
        <v>521</v>
      </c>
      <c r="C843" s="38" t="s">
        <v>267</v>
      </c>
      <c r="D843" s="38" t="s">
        <v>279</v>
      </c>
      <c r="E843" s="38" t="s">
        <v>282</v>
      </c>
      <c r="F843" s="47" t="s">
        <v>519</v>
      </c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1"/>
      <c r="T843" s="41"/>
      <c r="U843" s="41"/>
      <c r="V843" s="41"/>
      <c r="W843" s="41"/>
      <c r="X843" s="41"/>
      <c r="Y843" s="41"/>
      <c r="Z843" s="41"/>
      <c r="AA843" s="41"/>
    </row>
    <row r="844" spans="1:39" hidden="1" x14ac:dyDescent="0.3">
      <c r="A844" s="37">
        <v>840</v>
      </c>
      <c r="B844" s="38" t="s">
        <v>521</v>
      </c>
      <c r="C844" s="38" t="s">
        <v>267</v>
      </c>
      <c r="D844" s="38" t="s">
        <v>279</v>
      </c>
      <c r="E844" s="38" t="s">
        <v>282</v>
      </c>
      <c r="F844" s="47" t="s">
        <v>520</v>
      </c>
      <c r="G844" s="40">
        <v>2664</v>
      </c>
      <c r="H844" s="40">
        <v>1468</v>
      </c>
      <c r="I844" s="40">
        <v>481</v>
      </c>
      <c r="J844" s="40">
        <v>715</v>
      </c>
      <c r="K844" s="40">
        <v>3222</v>
      </c>
      <c r="L844" s="40">
        <v>2170</v>
      </c>
      <c r="M844" s="40">
        <v>437</v>
      </c>
      <c r="N844" s="40">
        <v>615</v>
      </c>
      <c r="O844" s="40">
        <v>3482</v>
      </c>
      <c r="P844" s="40">
        <v>2530</v>
      </c>
      <c r="Q844" s="40">
        <v>390</v>
      </c>
      <c r="R844" s="40">
        <v>562</v>
      </c>
      <c r="S844" s="41">
        <v>55.105105100000003</v>
      </c>
      <c r="T844" s="41">
        <v>18.055555600000002</v>
      </c>
      <c r="U844" s="41">
        <v>26.839339299999999</v>
      </c>
      <c r="V844" s="41">
        <v>67.349472399999996</v>
      </c>
      <c r="W844" s="41">
        <v>13.563004299999999</v>
      </c>
      <c r="X844" s="41">
        <v>19.087523300000001</v>
      </c>
      <c r="Y844" s="41">
        <v>72.659391200000002</v>
      </c>
      <c r="Z844" s="41">
        <v>11.200459499999999</v>
      </c>
      <c r="AA844" s="41">
        <v>16.140149300000001</v>
      </c>
    </row>
    <row r="845" spans="1:39" hidden="1" x14ac:dyDescent="0.3">
      <c r="A845" s="42">
        <v>841</v>
      </c>
      <c r="B845" s="43" t="s">
        <v>521</v>
      </c>
      <c r="C845" s="50" t="s">
        <v>267</v>
      </c>
      <c r="D845" s="50" t="s">
        <v>279</v>
      </c>
      <c r="E845" s="50" t="s">
        <v>283</v>
      </c>
      <c r="F845" s="51" t="s">
        <v>283</v>
      </c>
      <c r="G845" s="45">
        <v>3369</v>
      </c>
      <c r="H845" s="45">
        <v>1439</v>
      </c>
      <c r="I845" s="45">
        <v>653</v>
      </c>
      <c r="J845" s="45">
        <v>1277</v>
      </c>
      <c r="K845" s="45">
        <v>3897</v>
      </c>
      <c r="L845" s="45">
        <v>2394</v>
      </c>
      <c r="M845" s="45">
        <v>572</v>
      </c>
      <c r="N845" s="45">
        <v>931</v>
      </c>
      <c r="O845" s="45">
        <v>5181</v>
      </c>
      <c r="P845" s="45">
        <v>3188</v>
      </c>
      <c r="Q845" s="45">
        <v>716</v>
      </c>
      <c r="R845" s="45">
        <v>1277</v>
      </c>
      <c r="S845" s="46">
        <v>42.712971199999998</v>
      </c>
      <c r="T845" s="46">
        <v>19.3826061</v>
      </c>
      <c r="U845" s="46">
        <v>37.904422699999998</v>
      </c>
      <c r="V845" s="46">
        <v>61.431870699999997</v>
      </c>
      <c r="W845" s="46">
        <v>14.6779574</v>
      </c>
      <c r="X845" s="46">
        <v>23.890171899999999</v>
      </c>
      <c r="Y845" s="46">
        <v>61.532522700000001</v>
      </c>
      <c r="Z845" s="46">
        <v>13.8197259</v>
      </c>
      <c r="AA845" s="46">
        <v>24.647751400000001</v>
      </c>
      <c r="AB845" s="26">
        <f>SUM(W845:X845)</f>
        <v>38.568129299999995</v>
      </c>
      <c r="AC845" s="26">
        <f>SUM(Z845:AA845)</f>
        <v>38.467477299999999</v>
      </c>
      <c r="AD845" s="57">
        <f>M845+N845</f>
        <v>1503</v>
      </c>
      <c r="AE845" s="57">
        <f>Q845+R845</f>
        <v>1993</v>
      </c>
      <c r="AF845" s="26">
        <f>W845</f>
        <v>14.6779574</v>
      </c>
      <c r="AG845" s="26">
        <f>Z845</f>
        <v>13.8197259</v>
      </c>
      <c r="AH845" s="26">
        <f>M845</f>
        <v>572</v>
      </c>
      <c r="AI845" s="26">
        <f>Q845</f>
        <v>716</v>
      </c>
      <c r="AJ845" s="26">
        <f>X845</f>
        <v>23.890171899999999</v>
      </c>
      <c r="AK845" s="26">
        <f>AA845</f>
        <v>24.647751400000001</v>
      </c>
      <c r="AL845" s="57">
        <f>N845</f>
        <v>931</v>
      </c>
      <c r="AM845" s="57">
        <f>R845</f>
        <v>1277</v>
      </c>
    </row>
    <row r="846" spans="1:39" hidden="1" x14ac:dyDescent="0.3">
      <c r="A846" s="37">
        <v>842</v>
      </c>
      <c r="B846" s="38" t="s">
        <v>521</v>
      </c>
      <c r="C846" s="38" t="s">
        <v>267</v>
      </c>
      <c r="D846" s="38" t="s">
        <v>279</v>
      </c>
      <c r="E846" s="38" t="s">
        <v>283</v>
      </c>
      <c r="F846" s="47" t="s">
        <v>519</v>
      </c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1"/>
      <c r="T846" s="41"/>
      <c r="U846" s="41"/>
      <c r="V846" s="41"/>
      <c r="W846" s="41"/>
      <c r="X846" s="41"/>
      <c r="Y846" s="41"/>
      <c r="Z846" s="41"/>
      <c r="AA846" s="41"/>
    </row>
    <row r="847" spans="1:39" hidden="1" x14ac:dyDescent="0.3">
      <c r="A847" s="37">
        <v>843</v>
      </c>
      <c r="B847" s="38" t="s">
        <v>521</v>
      </c>
      <c r="C847" s="38" t="s">
        <v>267</v>
      </c>
      <c r="D847" s="38" t="s">
        <v>279</v>
      </c>
      <c r="E847" s="38" t="s">
        <v>283</v>
      </c>
      <c r="F847" s="47" t="s">
        <v>520</v>
      </c>
      <c r="G847" s="40">
        <v>3369</v>
      </c>
      <c r="H847" s="40">
        <v>1439</v>
      </c>
      <c r="I847" s="40">
        <v>653</v>
      </c>
      <c r="J847" s="40">
        <v>1277</v>
      </c>
      <c r="K847" s="40">
        <v>3897</v>
      </c>
      <c r="L847" s="40">
        <v>2394</v>
      </c>
      <c r="M847" s="40">
        <v>572</v>
      </c>
      <c r="N847" s="40">
        <v>931</v>
      </c>
      <c r="O847" s="40">
        <v>5181</v>
      </c>
      <c r="P847" s="40">
        <v>3188</v>
      </c>
      <c r="Q847" s="40">
        <v>716</v>
      </c>
      <c r="R847" s="40">
        <v>1277</v>
      </c>
      <c r="S847" s="41">
        <v>42.712971199999998</v>
      </c>
      <c r="T847" s="41">
        <v>19.3826061</v>
      </c>
      <c r="U847" s="41">
        <v>37.904422699999998</v>
      </c>
      <c r="V847" s="41">
        <v>61.431870699999997</v>
      </c>
      <c r="W847" s="41">
        <v>14.6779574</v>
      </c>
      <c r="X847" s="41">
        <v>23.890171899999999</v>
      </c>
      <c r="Y847" s="41">
        <v>61.532522700000001</v>
      </c>
      <c r="Z847" s="41">
        <v>13.8197259</v>
      </c>
      <c r="AA847" s="41">
        <v>24.647751400000001</v>
      </c>
    </row>
    <row r="848" spans="1:39" hidden="1" x14ac:dyDescent="0.3">
      <c r="A848" s="32">
        <v>844</v>
      </c>
      <c r="B848" s="33" t="s">
        <v>1</v>
      </c>
      <c r="C848" s="49" t="s">
        <v>267</v>
      </c>
      <c r="D848" s="49" t="s">
        <v>276</v>
      </c>
      <c r="E848" s="49"/>
      <c r="F848" s="34" t="s">
        <v>276</v>
      </c>
      <c r="G848" s="35">
        <v>23282</v>
      </c>
      <c r="H848" s="35">
        <v>9793</v>
      </c>
      <c r="I848" s="35">
        <v>4216</v>
      </c>
      <c r="J848" s="35">
        <v>9273</v>
      </c>
      <c r="K848" s="35">
        <v>30864</v>
      </c>
      <c r="L848" s="35">
        <v>18049</v>
      </c>
      <c r="M848" s="35">
        <v>4727</v>
      </c>
      <c r="N848" s="35">
        <v>8088</v>
      </c>
      <c r="O848" s="35">
        <v>40534</v>
      </c>
      <c r="P848" s="35">
        <v>27399</v>
      </c>
      <c r="Q848" s="35">
        <v>4858</v>
      </c>
      <c r="R848" s="35">
        <v>8277</v>
      </c>
      <c r="S848" s="36">
        <v>42.062537599999999</v>
      </c>
      <c r="T848" s="36">
        <v>18.108409900000002</v>
      </c>
      <c r="U848" s="36">
        <v>39.829052500000003</v>
      </c>
      <c r="V848" s="36">
        <v>58.479134299999998</v>
      </c>
      <c r="W848" s="36">
        <v>15.315578</v>
      </c>
      <c r="X848" s="36">
        <v>26.2052877</v>
      </c>
      <c r="Y848" s="36">
        <v>67.5951053</v>
      </c>
      <c r="Z848" s="36">
        <v>11.9850002</v>
      </c>
      <c r="AA848" s="36">
        <v>20.4198944</v>
      </c>
    </row>
    <row r="849" spans="1:39" hidden="1" x14ac:dyDescent="0.3">
      <c r="A849" s="37">
        <v>845</v>
      </c>
      <c r="B849" s="38" t="s">
        <v>1</v>
      </c>
      <c r="C849" s="38" t="s">
        <v>267</v>
      </c>
      <c r="D849" s="38" t="s">
        <v>276</v>
      </c>
      <c r="E849" s="38"/>
      <c r="F849" s="39" t="s">
        <v>519</v>
      </c>
      <c r="G849" s="40"/>
      <c r="H849" s="40"/>
      <c r="I849" s="40"/>
      <c r="J849" s="40"/>
      <c r="K849" s="40">
        <v>1085</v>
      </c>
      <c r="L849" s="40">
        <v>518</v>
      </c>
      <c r="M849" s="40">
        <v>207</v>
      </c>
      <c r="N849" s="40">
        <v>360</v>
      </c>
      <c r="O849" s="40">
        <v>3467</v>
      </c>
      <c r="P849" s="40">
        <v>2370</v>
      </c>
      <c r="Q849" s="40">
        <v>336</v>
      </c>
      <c r="R849" s="40">
        <v>761</v>
      </c>
      <c r="S849" s="41"/>
      <c r="T849" s="41"/>
      <c r="U849" s="41"/>
      <c r="V849" s="41">
        <v>47.741935499999997</v>
      </c>
      <c r="W849" s="41">
        <v>19.078341000000002</v>
      </c>
      <c r="X849" s="41">
        <v>33.179723500000001</v>
      </c>
      <c r="Y849" s="41">
        <v>68.358811700000004</v>
      </c>
      <c r="Z849" s="41">
        <v>9.6913757999999994</v>
      </c>
      <c r="AA849" s="41">
        <v>21.9498125</v>
      </c>
    </row>
    <row r="850" spans="1:39" hidden="1" x14ac:dyDescent="0.3">
      <c r="A850" s="37">
        <v>846</v>
      </c>
      <c r="B850" s="38" t="s">
        <v>1</v>
      </c>
      <c r="C850" s="38" t="s">
        <v>267</v>
      </c>
      <c r="D850" s="38" t="s">
        <v>276</v>
      </c>
      <c r="E850" s="38"/>
      <c r="F850" s="39" t="s">
        <v>520</v>
      </c>
      <c r="G850" s="40">
        <v>23282</v>
      </c>
      <c r="H850" s="40">
        <v>9793</v>
      </c>
      <c r="I850" s="40">
        <v>4216</v>
      </c>
      <c r="J850" s="40">
        <v>9273</v>
      </c>
      <c r="K850" s="40">
        <v>29779</v>
      </c>
      <c r="L850" s="40">
        <v>17531</v>
      </c>
      <c r="M850" s="40">
        <v>4520</v>
      </c>
      <c r="N850" s="40">
        <v>7728</v>
      </c>
      <c r="O850" s="40">
        <v>37067</v>
      </c>
      <c r="P850" s="40">
        <v>25029</v>
      </c>
      <c r="Q850" s="40">
        <v>4522</v>
      </c>
      <c r="R850" s="40">
        <v>7516</v>
      </c>
      <c r="S850" s="41">
        <v>42.062537599999999</v>
      </c>
      <c r="T850" s="41">
        <v>18.108409900000002</v>
      </c>
      <c r="U850" s="41">
        <v>39.829052500000003</v>
      </c>
      <c r="V850" s="41">
        <v>58.870344899999999</v>
      </c>
      <c r="W850" s="41">
        <v>15.1784815</v>
      </c>
      <c r="X850" s="41">
        <v>25.951173600000001</v>
      </c>
      <c r="Y850" s="41">
        <v>67.523673299999999</v>
      </c>
      <c r="Z850" s="41">
        <v>12.199530599999999</v>
      </c>
      <c r="AA850" s="41">
        <v>20.276796099999999</v>
      </c>
    </row>
    <row r="851" spans="1:39" hidden="1" x14ac:dyDescent="0.3">
      <c r="A851" s="42">
        <v>847</v>
      </c>
      <c r="B851" s="43" t="s">
        <v>521</v>
      </c>
      <c r="C851" s="50" t="s">
        <v>267</v>
      </c>
      <c r="D851" s="50" t="s">
        <v>276</v>
      </c>
      <c r="E851" s="50" t="s">
        <v>284</v>
      </c>
      <c r="F851" s="51" t="s">
        <v>284</v>
      </c>
      <c r="G851" s="45">
        <v>3518</v>
      </c>
      <c r="H851" s="45">
        <v>1425</v>
      </c>
      <c r="I851" s="45">
        <v>647</v>
      </c>
      <c r="J851" s="45">
        <v>1446</v>
      </c>
      <c r="K851" s="45">
        <v>4286</v>
      </c>
      <c r="L851" s="45">
        <v>2287</v>
      </c>
      <c r="M851" s="45">
        <v>678</v>
      </c>
      <c r="N851" s="45">
        <v>1321</v>
      </c>
      <c r="O851" s="45">
        <v>6497</v>
      </c>
      <c r="P851" s="45">
        <v>4347</v>
      </c>
      <c r="Q851" s="45">
        <v>814</v>
      </c>
      <c r="R851" s="45">
        <v>1336</v>
      </c>
      <c r="S851" s="46">
        <v>40.505969299999997</v>
      </c>
      <c r="T851" s="46">
        <v>18.391131300000001</v>
      </c>
      <c r="U851" s="46">
        <v>41.102899399999998</v>
      </c>
      <c r="V851" s="46">
        <v>53.359775999999997</v>
      </c>
      <c r="W851" s="46">
        <v>15.8189454</v>
      </c>
      <c r="X851" s="46">
        <v>30.821278599999999</v>
      </c>
      <c r="Y851" s="46">
        <v>66.907803599999994</v>
      </c>
      <c r="Z851" s="46">
        <v>12.528859499999999</v>
      </c>
      <c r="AA851" s="46">
        <v>20.563336899999999</v>
      </c>
      <c r="AB851" s="26">
        <f>SUM(W851:X851)</f>
        <v>46.640224000000003</v>
      </c>
      <c r="AC851" s="26">
        <f>SUM(Z851:AA851)</f>
        <v>33.092196399999999</v>
      </c>
      <c r="AD851" s="57">
        <f>M851+N851</f>
        <v>1999</v>
      </c>
      <c r="AE851" s="57">
        <f>Q851+R851</f>
        <v>2150</v>
      </c>
      <c r="AF851" s="26">
        <f>W851</f>
        <v>15.8189454</v>
      </c>
      <c r="AG851" s="26">
        <f>Z851</f>
        <v>12.528859499999999</v>
      </c>
      <c r="AH851" s="26">
        <f>M851</f>
        <v>678</v>
      </c>
      <c r="AI851" s="26">
        <f>Q851</f>
        <v>814</v>
      </c>
      <c r="AJ851" s="26">
        <f>X851</f>
        <v>30.821278599999999</v>
      </c>
      <c r="AK851" s="26">
        <f>AA851</f>
        <v>20.563336899999999</v>
      </c>
      <c r="AL851" s="57">
        <f>N851</f>
        <v>1321</v>
      </c>
      <c r="AM851" s="57">
        <f>R851</f>
        <v>1336</v>
      </c>
    </row>
    <row r="852" spans="1:39" hidden="1" x14ac:dyDescent="0.3">
      <c r="A852" s="37">
        <v>848</v>
      </c>
      <c r="B852" s="38" t="s">
        <v>521</v>
      </c>
      <c r="C852" s="38" t="s">
        <v>267</v>
      </c>
      <c r="D852" s="38" t="s">
        <v>276</v>
      </c>
      <c r="E852" s="38" t="s">
        <v>284</v>
      </c>
      <c r="F852" s="47" t="s">
        <v>519</v>
      </c>
      <c r="G852" s="40"/>
      <c r="H852" s="40"/>
      <c r="I852" s="40"/>
      <c r="J852" s="40"/>
      <c r="K852" s="40">
        <v>1085</v>
      </c>
      <c r="L852" s="40">
        <v>518</v>
      </c>
      <c r="M852" s="40">
        <v>207</v>
      </c>
      <c r="N852" s="40">
        <v>360</v>
      </c>
      <c r="O852" s="40">
        <v>2012</v>
      </c>
      <c r="P852" s="40">
        <v>1254</v>
      </c>
      <c r="Q852" s="40">
        <v>281</v>
      </c>
      <c r="R852" s="40">
        <v>477</v>
      </c>
      <c r="S852" s="41"/>
      <c r="T852" s="41"/>
      <c r="U852" s="41"/>
      <c r="V852" s="41">
        <v>47.741935499999997</v>
      </c>
      <c r="W852" s="41">
        <v>19.078341000000002</v>
      </c>
      <c r="X852" s="41">
        <v>33.179723500000001</v>
      </c>
      <c r="Y852" s="41">
        <v>62.3260437</v>
      </c>
      <c r="Z852" s="41">
        <v>13.9662028</v>
      </c>
      <c r="AA852" s="41">
        <v>23.707753499999999</v>
      </c>
    </row>
    <row r="853" spans="1:39" hidden="1" x14ac:dyDescent="0.3">
      <c r="A853" s="37">
        <v>849</v>
      </c>
      <c r="B853" s="38" t="s">
        <v>521</v>
      </c>
      <c r="C853" s="38" t="s">
        <v>267</v>
      </c>
      <c r="D853" s="38" t="s">
        <v>276</v>
      </c>
      <c r="E853" s="38" t="s">
        <v>284</v>
      </c>
      <c r="F853" s="47" t="s">
        <v>520</v>
      </c>
      <c r="G853" s="40">
        <v>3518</v>
      </c>
      <c r="H853" s="40">
        <v>1425</v>
      </c>
      <c r="I853" s="40">
        <v>647</v>
      </c>
      <c r="J853" s="40">
        <v>1446</v>
      </c>
      <c r="K853" s="40">
        <v>3201</v>
      </c>
      <c r="L853" s="40">
        <v>1769</v>
      </c>
      <c r="M853" s="40">
        <v>471</v>
      </c>
      <c r="N853" s="40">
        <v>961</v>
      </c>
      <c r="O853" s="40">
        <v>4485</v>
      </c>
      <c r="P853" s="40">
        <v>3093</v>
      </c>
      <c r="Q853" s="40">
        <v>533</v>
      </c>
      <c r="R853" s="40">
        <v>859</v>
      </c>
      <c r="S853" s="41">
        <v>40.505969299999997</v>
      </c>
      <c r="T853" s="41">
        <v>18.391131300000001</v>
      </c>
      <c r="U853" s="41">
        <v>41.102899399999998</v>
      </c>
      <c r="V853" s="41">
        <v>55.263979999999997</v>
      </c>
      <c r="W853" s="41">
        <v>14.7141518</v>
      </c>
      <c r="X853" s="41">
        <v>30.0218682</v>
      </c>
      <c r="Y853" s="41">
        <v>68.963210700000005</v>
      </c>
      <c r="Z853" s="41">
        <v>11.884058</v>
      </c>
      <c r="AA853" s="41">
        <v>19.152731299999999</v>
      </c>
    </row>
    <row r="854" spans="1:39" hidden="1" x14ac:dyDescent="0.3">
      <c r="A854" s="42">
        <v>850</v>
      </c>
      <c r="B854" s="43" t="s">
        <v>521</v>
      </c>
      <c r="C854" s="50" t="s">
        <v>267</v>
      </c>
      <c r="D854" s="50" t="s">
        <v>276</v>
      </c>
      <c r="E854" s="50" t="s">
        <v>285</v>
      </c>
      <c r="F854" s="51" t="s">
        <v>285</v>
      </c>
      <c r="G854" s="45">
        <v>5323</v>
      </c>
      <c r="H854" s="45">
        <v>2198</v>
      </c>
      <c r="I854" s="45">
        <v>946</v>
      </c>
      <c r="J854" s="45">
        <v>2179</v>
      </c>
      <c r="K854" s="45">
        <v>6685</v>
      </c>
      <c r="L854" s="45">
        <v>3899</v>
      </c>
      <c r="M854" s="45">
        <v>990</v>
      </c>
      <c r="N854" s="45">
        <v>1796</v>
      </c>
      <c r="O854" s="45">
        <v>6880</v>
      </c>
      <c r="P854" s="45">
        <v>4826</v>
      </c>
      <c r="Q854" s="45">
        <v>781</v>
      </c>
      <c r="R854" s="45">
        <v>1273</v>
      </c>
      <c r="S854" s="46">
        <v>41.292504200000003</v>
      </c>
      <c r="T854" s="46">
        <v>17.771933099999998</v>
      </c>
      <c r="U854" s="46">
        <v>40.935562699999998</v>
      </c>
      <c r="V854" s="46">
        <v>58.324607299999997</v>
      </c>
      <c r="W854" s="46">
        <v>14.809274500000001</v>
      </c>
      <c r="X854" s="46">
        <v>26.866118199999999</v>
      </c>
      <c r="Y854" s="46">
        <v>70.145348799999994</v>
      </c>
      <c r="Z854" s="46">
        <v>11.351744200000001</v>
      </c>
      <c r="AA854" s="46">
        <v>18.502907</v>
      </c>
      <c r="AB854" s="26">
        <f>SUM(W854:X854)</f>
        <v>41.675392700000003</v>
      </c>
      <c r="AC854" s="26">
        <f>SUM(Z854:AA854)</f>
        <v>29.854651199999999</v>
      </c>
      <c r="AD854" s="57">
        <f>M854+N854</f>
        <v>2786</v>
      </c>
      <c r="AE854" s="57">
        <f>Q854+R854</f>
        <v>2054</v>
      </c>
      <c r="AF854" s="26">
        <f>W854</f>
        <v>14.809274500000001</v>
      </c>
      <c r="AG854" s="26">
        <f>Z854</f>
        <v>11.351744200000001</v>
      </c>
      <c r="AH854" s="26">
        <f>M854</f>
        <v>990</v>
      </c>
      <c r="AI854" s="26">
        <f>Q854</f>
        <v>781</v>
      </c>
      <c r="AJ854" s="26">
        <f>X854</f>
        <v>26.866118199999999</v>
      </c>
      <c r="AK854" s="26">
        <f>AA854</f>
        <v>18.502907</v>
      </c>
      <c r="AL854" s="57">
        <f>N854</f>
        <v>1796</v>
      </c>
      <c r="AM854" s="57">
        <f>R854</f>
        <v>1273</v>
      </c>
    </row>
    <row r="855" spans="1:39" hidden="1" x14ac:dyDescent="0.3">
      <c r="A855" s="37">
        <v>851</v>
      </c>
      <c r="B855" s="38" t="s">
        <v>521</v>
      </c>
      <c r="C855" s="38" t="s">
        <v>267</v>
      </c>
      <c r="D855" s="38" t="s">
        <v>276</v>
      </c>
      <c r="E855" s="38" t="s">
        <v>285</v>
      </c>
      <c r="F855" s="47" t="s">
        <v>519</v>
      </c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1"/>
      <c r="T855" s="41"/>
      <c r="U855" s="41"/>
      <c r="V855" s="41"/>
      <c r="W855" s="41"/>
      <c r="X855" s="41"/>
      <c r="Y855" s="41"/>
      <c r="Z855" s="41"/>
      <c r="AA855" s="41"/>
    </row>
    <row r="856" spans="1:39" hidden="1" x14ac:dyDescent="0.3">
      <c r="A856" s="37">
        <v>852</v>
      </c>
      <c r="B856" s="38" t="s">
        <v>521</v>
      </c>
      <c r="C856" s="38" t="s">
        <v>267</v>
      </c>
      <c r="D856" s="38" t="s">
        <v>276</v>
      </c>
      <c r="E856" s="38" t="s">
        <v>285</v>
      </c>
      <c r="F856" s="47" t="s">
        <v>520</v>
      </c>
      <c r="G856" s="40">
        <v>5323</v>
      </c>
      <c r="H856" s="40">
        <v>2198</v>
      </c>
      <c r="I856" s="40">
        <v>946</v>
      </c>
      <c r="J856" s="40">
        <v>2179</v>
      </c>
      <c r="K856" s="40">
        <v>6685</v>
      </c>
      <c r="L856" s="40">
        <v>3899</v>
      </c>
      <c r="M856" s="40">
        <v>990</v>
      </c>
      <c r="N856" s="40">
        <v>1796</v>
      </c>
      <c r="O856" s="40">
        <v>6880</v>
      </c>
      <c r="P856" s="40">
        <v>4826</v>
      </c>
      <c r="Q856" s="40">
        <v>781</v>
      </c>
      <c r="R856" s="40">
        <v>1273</v>
      </c>
      <c r="S856" s="41">
        <v>41.292504200000003</v>
      </c>
      <c r="T856" s="41">
        <v>17.771933099999998</v>
      </c>
      <c r="U856" s="41">
        <v>40.935562699999998</v>
      </c>
      <c r="V856" s="41">
        <v>58.324607299999997</v>
      </c>
      <c r="W856" s="41">
        <v>14.809274500000001</v>
      </c>
      <c r="X856" s="41">
        <v>26.866118199999999</v>
      </c>
      <c r="Y856" s="41">
        <v>70.145348799999994</v>
      </c>
      <c r="Z856" s="41">
        <v>11.351744200000001</v>
      </c>
      <c r="AA856" s="41">
        <v>18.502907</v>
      </c>
    </row>
    <row r="857" spans="1:39" hidden="1" x14ac:dyDescent="0.3">
      <c r="A857" s="42">
        <v>853</v>
      </c>
      <c r="B857" s="43" t="s">
        <v>521</v>
      </c>
      <c r="C857" s="50" t="s">
        <v>267</v>
      </c>
      <c r="D857" s="50" t="s">
        <v>276</v>
      </c>
      <c r="E857" s="50" t="s">
        <v>286</v>
      </c>
      <c r="F857" s="51" t="s">
        <v>286</v>
      </c>
      <c r="G857" s="45">
        <v>5281</v>
      </c>
      <c r="H857" s="45">
        <v>2412</v>
      </c>
      <c r="I857" s="45">
        <v>960</v>
      </c>
      <c r="J857" s="45">
        <v>1909</v>
      </c>
      <c r="K857" s="45">
        <v>8436</v>
      </c>
      <c r="L857" s="45">
        <v>5087</v>
      </c>
      <c r="M857" s="45">
        <v>1370</v>
      </c>
      <c r="N857" s="45">
        <v>1979</v>
      </c>
      <c r="O857" s="45">
        <v>12538</v>
      </c>
      <c r="P857" s="45">
        <v>8220</v>
      </c>
      <c r="Q857" s="45">
        <v>1567</v>
      </c>
      <c r="R857" s="45">
        <v>2751</v>
      </c>
      <c r="S857" s="46">
        <v>45.673167999999997</v>
      </c>
      <c r="T857" s="46">
        <v>18.178375299999999</v>
      </c>
      <c r="U857" s="46">
        <v>36.148456699999997</v>
      </c>
      <c r="V857" s="46">
        <v>60.301090600000002</v>
      </c>
      <c r="W857" s="46">
        <v>16.2399241</v>
      </c>
      <c r="X857" s="46">
        <v>23.458985299999998</v>
      </c>
      <c r="Y857" s="46">
        <v>65.560695499999994</v>
      </c>
      <c r="Z857" s="46">
        <v>12.4980061</v>
      </c>
      <c r="AA857" s="46">
        <v>21.941298499999998</v>
      </c>
      <c r="AB857" s="26">
        <f>SUM(W857:X857)</f>
        <v>39.698909399999998</v>
      </c>
      <c r="AC857" s="26">
        <f>SUM(Z857:AA857)</f>
        <v>34.4393046</v>
      </c>
      <c r="AD857" s="57">
        <f>M857+N857</f>
        <v>3349</v>
      </c>
      <c r="AE857" s="57">
        <f>Q857+R857</f>
        <v>4318</v>
      </c>
      <c r="AF857" s="26">
        <f>W857</f>
        <v>16.2399241</v>
      </c>
      <c r="AG857" s="26">
        <f>Z857</f>
        <v>12.4980061</v>
      </c>
      <c r="AH857" s="26">
        <f>M857</f>
        <v>1370</v>
      </c>
      <c r="AI857" s="26">
        <f>Q857</f>
        <v>1567</v>
      </c>
      <c r="AJ857" s="26">
        <f>X857</f>
        <v>23.458985299999998</v>
      </c>
      <c r="AK857" s="26">
        <f>AA857</f>
        <v>21.941298499999998</v>
      </c>
      <c r="AL857" s="57">
        <f>N857</f>
        <v>1979</v>
      </c>
      <c r="AM857" s="57">
        <f>R857</f>
        <v>2751</v>
      </c>
    </row>
    <row r="858" spans="1:39" hidden="1" x14ac:dyDescent="0.3">
      <c r="A858" s="37">
        <v>854</v>
      </c>
      <c r="B858" s="38" t="s">
        <v>521</v>
      </c>
      <c r="C858" s="38" t="s">
        <v>267</v>
      </c>
      <c r="D858" s="38" t="s">
        <v>276</v>
      </c>
      <c r="E858" s="38" t="s">
        <v>286</v>
      </c>
      <c r="F858" s="47" t="s">
        <v>519</v>
      </c>
      <c r="G858" s="40"/>
      <c r="H858" s="40"/>
      <c r="I858" s="40"/>
      <c r="J858" s="40"/>
      <c r="K858" s="40"/>
      <c r="L858" s="40"/>
      <c r="M858" s="40"/>
      <c r="N858" s="40"/>
      <c r="O858" s="40">
        <v>1455</v>
      </c>
      <c r="P858" s="40">
        <v>1116</v>
      </c>
      <c r="Q858" s="40">
        <v>55</v>
      </c>
      <c r="R858" s="40">
        <v>284</v>
      </c>
      <c r="S858" s="41"/>
      <c r="T858" s="41"/>
      <c r="U858" s="41"/>
      <c r="V858" s="41"/>
      <c r="W858" s="41"/>
      <c r="X858" s="41"/>
      <c r="Y858" s="41">
        <v>76.701030900000006</v>
      </c>
      <c r="Z858" s="41">
        <v>3.7800687000000002</v>
      </c>
      <c r="AA858" s="41">
        <v>19.518900299999999</v>
      </c>
    </row>
    <row r="859" spans="1:39" hidden="1" x14ac:dyDescent="0.3">
      <c r="A859" s="37">
        <v>855</v>
      </c>
      <c r="B859" s="38" t="s">
        <v>521</v>
      </c>
      <c r="C859" s="38" t="s">
        <v>267</v>
      </c>
      <c r="D859" s="38" t="s">
        <v>276</v>
      </c>
      <c r="E859" s="38" t="s">
        <v>286</v>
      </c>
      <c r="F859" s="47" t="s">
        <v>520</v>
      </c>
      <c r="G859" s="40">
        <v>5281</v>
      </c>
      <c r="H859" s="40">
        <v>2412</v>
      </c>
      <c r="I859" s="40">
        <v>960</v>
      </c>
      <c r="J859" s="40">
        <v>1909</v>
      </c>
      <c r="K859" s="40">
        <v>8436</v>
      </c>
      <c r="L859" s="40">
        <v>5087</v>
      </c>
      <c r="M859" s="40">
        <v>1370</v>
      </c>
      <c r="N859" s="40">
        <v>1979</v>
      </c>
      <c r="O859" s="40">
        <v>11083</v>
      </c>
      <c r="P859" s="40">
        <v>7104</v>
      </c>
      <c r="Q859" s="40">
        <v>1512</v>
      </c>
      <c r="R859" s="40">
        <v>2467</v>
      </c>
      <c r="S859" s="41">
        <v>45.673167999999997</v>
      </c>
      <c r="T859" s="41">
        <v>18.178375299999999</v>
      </c>
      <c r="U859" s="41">
        <v>36.148456699999997</v>
      </c>
      <c r="V859" s="41">
        <v>60.301090600000002</v>
      </c>
      <c r="W859" s="41">
        <v>16.2399241</v>
      </c>
      <c r="X859" s="41">
        <v>23.458985299999998</v>
      </c>
      <c r="Y859" s="41">
        <v>64.098168400000006</v>
      </c>
      <c r="Z859" s="41">
        <v>13.642515599999999</v>
      </c>
      <c r="AA859" s="41">
        <v>22.259316099999999</v>
      </c>
    </row>
    <row r="860" spans="1:39" hidden="1" x14ac:dyDescent="0.3">
      <c r="A860" s="42">
        <v>856</v>
      </c>
      <c r="B860" s="43" t="s">
        <v>521</v>
      </c>
      <c r="C860" s="50" t="s">
        <v>267</v>
      </c>
      <c r="D860" s="50" t="s">
        <v>276</v>
      </c>
      <c r="E860" s="50" t="s">
        <v>287</v>
      </c>
      <c r="F860" s="51" t="s">
        <v>287</v>
      </c>
      <c r="G860" s="45">
        <v>4700</v>
      </c>
      <c r="H860" s="45">
        <v>1860</v>
      </c>
      <c r="I860" s="45">
        <v>863</v>
      </c>
      <c r="J860" s="45">
        <v>1977</v>
      </c>
      <c r="K860" s="45">
        <v>5093</v>
      </c>
      <c r="L860" s="45">
        <v>2983</v>
      </c>
      <c r="M860" s="45">
        <v>740</v>
      </c>
      <c r="N860" s="45">
        <v>1370</v>
      </c>
      <c r="O860" s="45">
        <v>6181</v>
      </c>
      <c r="P860" s="45">
        <v>4330</v>
      </c>
      <c r="Q860" s="45">
        <v>706</v>
      </c>
      <c r="R860" s="45">
        <v>1145</v>
      </c>
      <c r="S860" s="46">
        <v>39.574468099999997</v>
      </c>
      <c r="T860" s="46">
        <v>18.361702099999999</v>
      </c>
      <c r="U860" s="46">
        <v>42.063829800000001</v>
      </c>
      <c r="V860" s="46">
        <v>58.570587099999997</v>
      </c>
      <c r="W860" s="46">
        <v>14.5297467</v>
      </c>
      <c r="X860" s="46">
        <v>26.899666199999999</v>
      </c>
      <c r="Y860" s="46">
        <v>70.0533894</v>
      </c>
      <c r="Z860" s="46">
        <v>11.4221</v>
      </c>
      <c r="AA860" s="46">
        <v>18.524510599999999</v>
      </c>
      <c r="AB860" s="26">
        <f>SUM(W860:X860)</f>
        <v>41.429412900000003</v>
      </c>
      <c r="AC860" s="26">
        <f>SUM(Z860:AA860)</f>
        <v>29.9466106</v>
      </c>
      <c r="AD860" s="57">
        <f>M860+N860</f>
        <v>2110</v>
      </c>
      <c r="AE860" s="57">
        <f>Q860+R860</f>
        <v>1851</v>
      </c>
      <c r="AF860" s="26">
        <f>W860</f>
        <v>14.5297467</v>
      </c>
      <c r="AG860" s="26">
        <f>Z860</f>
        <v>11.4221</v>
      </c>
      <c r="AH860" s="26">
        <f>M860</f>
        <v>740</v>
      </c>
      <c r="AI860" s="26">
        <f>Q860</f>
        <v>706</v>
      </c>
      <c r="AJ860" s="26">
        <f>X860</f>
        <v>26.899666199999999</v>
      </c>
      <c r="AK860" s="26">
        <f>AA860</f>
        <v>18.524510599999999</v>
      </c>
      <c r="AL860" s="57">
        <f>N860</f>
        <v>1370</v>
      </c>
      <c r="AM860" s="57">
        <f>R860</f>
        <v>1145</v>
      </c>
    </row>
    <row r="861" spans="1:39" hidden="1" x14ac:dyDescent="0.3">
      <c r="A861" s="37">
        <v>857</v>
      </c>
      <c r="B861" s="38" t="s">
        <v>521</v>
      </c>
      <c r="C861" s="38" t="s">
        <v>267</v>
      </c>
      <c r="D861" s="38" t="s">
        <v>276</v>
      </c>
      <c r="E861" s="38" t="s">
        <v>287</v>
      </c>
      <c r="F861" s="47" t="s">
        <v>519</v>
      </c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1"/>
      <c r="T861" s="41"/>
      <c r="U861" s="41"/>
      <c r="V861" s="41"/>
      <c r="W861" s="41"/>
      <c r="X861" s="41"/>
      <c r="Y861" s="41"/>
      <c r="Z861" s="41"/>
      <c r="AA861" s="41"/>
    </row>
    <row r="862" spans="1:39" hidden="1" x14ac:dyDescent="0.3">
      <c r="A862" s="37">
        <v>858</v>
      </c>
      <c r="B862" s="38" t="s">
        <v>521</v>
      </c>
      <c r="C862" s="38" t="s">
        <v>267</v>
      </c>
      <c r="D862" s="38" t="s">
        <v>276</v>
      </c>
      <c r="E862" s="38" t="s">
        <v>287</v>
      </c>
      <c r="F862" s="47" t="s">
        <v>520</v>
      </c>
      <c r="G862" s="40">
        <v>4700</v>
      </c>
      <c r="H862" s="40">
        <v>1860</v>
      </c>
      <c r="I862" s="40">
        <v>863</v>
      </c>
      <c r="J862" s="40">
        <v>1977</v>
      </c>
      <c r="K862" s="40">
        <v>5093</v>
      </c>
      <c r="L862" s="40">
        <v>2983</v>
      </c>
      <c r="M862" s="40">
        <v>740</v>
      </c>
      <c r="N862" s="40">
        <v>1370</v>
      </c>
      <c r="O862" s="40">
        <v>6181</v>
      </c>
      <c r="P862" s="40">
        <v>4330</v>
      </c>
      <c r="Q862" s="40">
        <v>706</v>
      </c>
      <c r="R862" s="40">
        <v>1145</v>
      </c>
      <c r="S862" s="41">
        <v>39.574468099999997</v>
      </c>
      <c r="T862" s="41">
        <v>18.361702099999999</v>
      </c>
      <c r="U862" s="41">
        <v>42.063829800000001</v>
      </c>
      <c r="V862" s="41">
        <v>58.570587099999997</v>
      </c>
      <c r="W862" s="41">
        <v>14.5297467</v>
      </c>
      <c r="X862" s="41">
        <v>26.899666199999999</v>
      </c>
      <c r="Y862" s="41">
        <v>70.0533894</v>
      </c>
      <c r="Z862" s="41">
        <v>11.4221</v>
      </c>
      <c r="AA862" s="41">
        <v>18.524510599999999</v>
      </c>
    </row>
    <row r="863" spans="1:39" hidden="1" x14ac:dyDescent="0.3">
      <c r="A863" s="42">
        <v>859</v>
      </c>
      <c r="B863" s="43" t="s">
        <v>521</v>
      </c>
      <c r="C863" s="50" t="s">
        <v>267</v>
      </c>
      <c r="D863" s="50" t="s">
        <v>276</v>
      </c>
      <c r="E863" s="50" t="s">
        <v>288</v>
      </c>
      <c r="F863" s="51" t="s">
        <v>288</v>
      </c>
      <c r="G863" s="45">
        <v>4460</v>
      </c>
      <c r="H863" s="45">
        <v>1898</v>
      </c>
      <c r="I863" s="45">
        <v>800</v>
      </c>
      <c r="J863" s="45">
        <v>1762</v>
      </c>
      <c r="K863" s="45">
        <v>6364</v>
      </c>
      <c r="L863" s="45">
        <v>3793</v>
      </c>
      <c r="M863" s="45">
        <v>949</v>
      </c>
      <c r="N863" s="45">
        <v>1622</v>
      </c>
      <c r="O863" s="45">
        <v>8438</v>
      </c>
      <c r="P863" s="45">
        <v>5676</v>
      </c>
      <c r="Q863" s="45">
        <v>990</v>
      </c>
      <c r="R863" s="45">
        <v>1772</v>
      </c>
      <c r="S863" s="46">
        <v>42.556053800000001</v>
      </c>
      <c r="T863" s="46">
        <v>17.9372197</v>
      </c>
      <c r="U863" s="46">
        <v>39.506726499999999</v>
      </c>
      <c r="V863" s="46">
        <v>59.600879900000002</v>
      </c>
      <c r="W863" s="46">
        <v>14.912005000000001</v>
      </c>
      <c r="X863" s="46">
        <v>25.487114999999999</v>
      </c>
      <c r="Y863" s="46">
        <v>67.267124899999999</v>
      </c>
      <c r="Z863" s="46">
        <v>11.732638100000001</v>
      </c>
      <c r="AA863" s="46">
        <v>21.000236999999998</v>
      </c>
      <c r="AB863" s="26">
        <f>SUM(W863:X863)</f>
        <v>40.399119999999996</v>
      </c>
      <c r="AC863" s="26">
        <f>SUM(Z863:AA863)</f>
        <v>32.732875100000001</v>
      </c>
      <c r="AD863" s="57">
        <f>M863+N863</f>
        <v>2571</v>
      </c>
      <c r="AE863" s="57">
        <f>Q863+R863</f>
        <v>2762</v>
      </c>
      <c r="AF863" s="26">
        <f>W863</f>
        <v>14.912005000000001</v>
      </c>
      <c r="AG863" s="26">
        <f>Z863</f>
        <v>11.732638100000001</v>
      </c>
      <c r="AH863" s="26">
        <f>M863</f>
        <v>949</v>
      </c>
      <c r="AI863" s="26">
        <f>Q863</f>
        <v>990</v>
      </c>
      <c r="AJ863" s="26">
        <f>X863</f>
        <v>25.487114999999999</v>
      </c>
      <c r="AK863" s="26">
        <f>AA863</f>
        <v>21.000236999999998</v>
      </c>
      <c r="AL863" s="57">
        <f>N863</f>
        <v>1622</v>
      </c>
      <c r="AM863" s="57">
        <f>R863</f>
        <v>1772</v>
      </c>
    </row>
    <row r="864" spans="1:39" hidden="1" x14ac:dyDescent="0.3">
      <c r="A864" s="37">
        <v>860</v>
      </c>
      <c r="B864" s="38" t="s">
        <v>521</v>
      </c>
      <c r="C864" s="38" t="s">
        <v>267</v>
      </c>
      <c r="D864" s="38" t="s">
        <v>276</v>
      </c>
      <c r="E864" s="38" t="s">
        <v>288</v>
      </c>
      <c r="F864" s="47" t="s">
        <v>519</v>
      </c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1"/>
      <c r="T864" s="41"/>
      <c r="U864" s="41"/>
      <c r="V864" s="41"/>
      <c r="W864" s="41"/>
      <c r="X864" s="41"/>
      <c r="Y864" s="41"/>
      <c r="Z864" s="41"/>
      <c r="AA864" s="41"/>
    </row>
    <row r="865" spans="1:39" hidden="1" x14ac:dyDescent="0.3">
      <c r="A865" s="37">
        <v>861</v>
      </c>
      <c r="B865" s="38" t="s">
        <v>521</v>
      </c>
      <c r="C865" s="38" t="s">
        <v>267</v>
      </c>
      <c r="D865" s="38" t="s">
        <v>276</v>
      </c>
      <c r="E865" s="38" t="s">
        <v>288</v>
      </c>
      <c r="F865" s="47" t="s">
        <v>520</v>
      </c>
      <c r="G865" s="40">
        <v>4460</v>
      </c>
      <c r="H865" s="40">
        <v>1898</v>
      </c>
      <c r="I865" s="40">
        <v>800</v>
      </c>
      <c r="J865" s="40">
        <v>1762</v>
      </c>
      <c r="K865" s="40">
        <v>6364</v>
      </c>
      <c r="L865" s="40">
        <v>3793</v>
      </c>
      <c r="M865" s="40">
        <v>949</v>
      </c>
      <c r="N865" s="40">
        <v>1622</v>
      </c>
      <c r="O865" s="40">
        <v>8438</v>
      </c>
      <c r="P865" s="40">
        <v>5676</v>
      </c>
      <c r="Q865" s="40">
        <v>990</v>
      </c>
      <c r="R865" s="40">
        <v>1772</v>
      </c>
      <c r="S865" s="41">
        <v>42.556053800000001</v>
      </c>
      <c r="T865" s="41">
        <v>17.9372197</v>
      </c>
      <c r="U865" s="41">
        <v>39.506726499999999</v>
      </c>
      <c r="V865" s="41">
        <v>59.600879900000002</v>
      </c>
      <c r="W865" s="41">
        <v>14.912005000000001</v>
      </c>
      <c r="X865" s="41">
        <v>25.487114999999999</v>
      </c>
      <c r="Y865" s="41">
        <v>67.267124899999999</v>
      </c>
      <c r="Z865" s="41">
        <v>11.732638100000001</v>
      </c>
      <c r="AA865" s="41">
        <v>21.000236999999998</v>
      </c>
    </row>
    <row r="866" spans="1:39" hidden="1" x14ac:dyDescent="0.3">
      <c r="A866" s="32">
        <v>862</v>
      </c>
      <c r="B866" s="33" t="s">
        <v>1</v>
      </c>
      <c r="C866" s="49" t="s">
        <v>267</v>
      </c>
      <c r="D866" s="49" t="s">
        <v>524</v>
      </c>
      <c r="E866" s="49"/>
      <c r="F866" s="34" t="s">
        <v>524</v>
      </c>
      <c r="G866" s="35">
        <v>9618</v>
      </c>
      <c r="H866" s="35">
        <v>3548</v>
      </c>
      <c r="I866" s="35">
        <v>1791</v>
      </c>
      <c r="J866" s="35">
        <v>4279</v>
      </c>
      <c r="K866" s="35">
        <v>11788</v>
      </c>
      <c r="L866" s="35">
        <v>6233</v>
      </c>
      <c r="M866" s="35">
        <v>1823</v>
      </c>
      <c r="N866" s="35">
        <v>3732</v>
      </c>
      <c r="O866" s="35">
        <v>15495</v>
      </c>
      <c r="P866" s="35">
        <v>9939</v>
      </c>
      <c r="Q866" s="35">
        <v>1878</v>
      </c>
      <c r="R866" s="35">
        <v>3678</v>
      </c>
      <c r="S866" s="36">
        <v>36.889166099999997</v>
      </c>
      <c r="T866" s="36">
        <v>18.621334999999998</v>
      </c>
      <c r="U866" s="36">
        <v>44.489498900000001</v>
      </c>
      <c r="V866" s="36">
        <v>52.875805900000003</v>
      </c>
      <c r="W866" s="36">
        <v>15.4648795</v>
      </c>
      <c r="X866" s="36">
        <v>31.659314599999998</v>
      </c>
      <c r="Y866" s="36">
        <v>64.143271999999996</v>
      </c>
      <c r="Z866" s="36">
        <v>12.1200387</v>
      </c>
      <c r="AA866" s="36">
        <v>23.736689299999998</v>
      </c>
    </row>
    <row r="867" spans="1:39" hidden="1" x14ac:dyDescent="0.3">
      <c r="A867" s="37">
        <v>863</v>
      </c>
      <c r="B867" s="38" t="s">
        <v>1</v>
      </c>
      <c r="C867" s="38" t="s">
        <v>267</v>
      </c>
      <c r="D867" s="38" t="s">
        <v>524</v>
      </c>
      <c r="E867" s="38"/>
      <c r="F867" s="39" t="s">
        <v>519</v>
      </c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1"/>
      <c r="T867" s="41"/>
      <c r="U867" s="41"/>
      <c r="V867" s="41"/>
      <c r="W867" s="41"/>
      <c r="X867" s="41"/>
      <c r="Y867" s="41"/>
      <c r="Z867" s="41"/>
      <c r="AA867" s="41"/>
    </row>
    <row r="868" spans="1:39" hidden="1" x14ac:dyDescent="0.3">
      <c r="A868" s="37">
        <v>864</v>
      </c>
      <c r="B868" s="38" t="s">
        <v>1</v>
      </c>
      <c r="C868" s="38" t="s">
        <v>267</v>
      </c>
      <c r="D868" s="38" t="s">
        <v>524</v>
      </c>
      <c r="E868" s="38"/>
      <c r="F868" s="39" t="s">
        <v>520</v>
      </c>
      <c r="G868" s="40">
        <v>9618</v>
      </c>
      <c r="H868" s="40">
        <v>3548</v>
      </c>
      <c r="I868" s="40">
        <v>1791</v>
      </c>
      <c r="J868" s="40">
        <v>4279</v>
      </c>
      <c r="K868" s="40">
        <v>11788</v>
      </c>
      <c r="L868" s="40">
        <v>6233</v>
      </c>
      <c r="M868" s="40">
        <v>1823</v>
      </c>
      <c r="N868" s="40">
        <v>3732</v>
      </c>
      <c r="O868" s="40">
        <v>15495</v>
      </c>
      <c r="P868" s="40">
        <v>9939</v>
      </c>
      <c r="Q868" s="40">
        <v>1878</v>
      </c>
      <c r="R868" s="40">
        <v>3678</v>
      </c>
      <c r="S868" s="41">
        <v>36.889166099999997</v>
      </c>
      <c r="T868" s="41">
        <v>18.621334999999998</v>
      </c>
      <c r="U868" s="41">
        <v>44.489498900000001</v>
      </c>
      <c r="V868" s="41">
        <v>52.875805900000003</v>
      </c>
      <c r="W868" s="41">
        <v>15.4648795</v>
      </c>
      <c r="X868" s="41">
        <v>31.659314599999998</v>
      </c>
      <c r="Y868" s="41">
        <v>64.143271999999996</v>
      </c>
      <c r="Z868" s="41">
        <v>12.1200387</v>
      </c>
      <c r="AA868" s="41">
        <v>23.736689299999998</v>
      </c>
    </row>
    <row r="869" spans="1:39" hidden="1" x14ac:dyDescent="0.3">
      <c r="A869" s="42">
        <v>865</v>
      </c>
      <c r="B869" s="43" t="s">
        <v>521</v>
      </c>
      <c r="C869" s="50" t="s">
        <v>267</v>
      </c>
      <c r="D869" s="50" t="s">
        <v>524</v>
      </c>
      <c r="E869" s="50" t="s">
        <v>290</v>
      </c>
      <c r="F869" s="51" t="s">
        <v>290</v>
      </c>
      <c r="G869" s="45">
        <v>6922</v>
      </c>
      <c r="H869" s="45">
        <v>2454</v>
      </c>
      <c r="I869" s="45">
        <v>1294</v>
      </c>
      <c r="J869" s="45">
        <v>3174</v>
      </c>
      <c r="K869" s="45">
        <v>8277</v>
      </c>
      <c r="L869" s="45">
        <v>4108</v>
      </c>
      <c r="M869" s="45">
        <v>1258</v>
      </c>
      <c r="N869" s="45">
        <v>2911</v>
      </c>
      <c r="O869" s="45">
        <v>11303</v>
      </c>
      <c r="P869" s="45">
        <v>7050</v>
      </c>
      <c r="Q869" s="45">
        <v>1397</v>
      </c>
      <c r="R869" s="45">
        <v>2856</v>
      </c>
      <c r="S869" s="46">
        <v>35.452181500000002</v>
      </c>
      <c r="T869" s="46">
        <v>18.694019099999998</v>
      </c>
      <c r="U869" s="46">
        <v>45.853799500000001</v>
      </c>
      <c r="V869" s="46">
        <v>49.631509000000001</v>
      </c>
      <c r="W869" s="46">
        <v>15.198743500000001</v>
      </c>
      <c r="X869" s="46">
        <v>35.1697475</v>
      </c>
      <c r="Y869" s="46">
        <v>62.372821399999999</v>
      </c>
      <c r="Z869" s="46">
        <v>12.3595506</v>
      </c>
      <c r="AA869" s="46">
        <v>25.2676281</v>
      </c>
      <c r="AB869" s="26">
        <f>SUM(W869:X869)</f>
        <v>50.368490999999999</v>
      </c>
      <c r="AC869" s="26">
        <f>SUM(Z869:AA869)</f>
        <v>37.627178700000002</v>
      </c>
      <c r="AD869" s="57">
        <f>M869+N869</f>
        <v>4169</v>
      </c>
      <c r="AE869" s="57">
        <f>Q869+R869</f>
        <v>4253</v>
      </c>
      <c r="AF869" s="26">
        <f>W869</f>
        <v>15.198743500000001</v>
      </c>
      <c r="AG869" s="26">
        <f>Z869</f>
        <v>12.3595506</v>
      </c>
      <c r="AH869" s="26">
        <f>M869</f>
        <v>1258</v>
      </c>
      <c r="AI869" s="26">
        <f>Q869</f>
        <v>1397</v>
      </c>
      <c r="AJ869" s="26">
        <f>X869</f>
        <v>35.1697475</v>
      </c>
      <c r="AK869" s="26">
        <f>AA869</f>
        <v>25.2676281</v>
      </c>
      <c r="AL869" s="57">
        <f>N869</f>
        <v>2911</v>
      </c>
      <c r="AM869" s="57">
        <f>R869</f>
        <v>2856</v>
      </c>
    </row>
    <row r="870" spans="1:39" hidden="1" x14ac:dyDescent="0.3">
      <c r="A870" s="37">
        <v>866</v>
      </c>
      <c r="B870" s="38" t="s">
        <v>521</v>
      </c>
      <c r="C870" s="38" t="s">
        <v>267</v>
      </c>
      <c r="D870" s="38" t="s">
        <v>524</v>
      </c>
      <c r="E870" s="38" t="s">
        <v>290</v>
      </c>
      <c r="F870" s="47" t="s">
        <v>519</v>
      </c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1"/>
      <c r="T870" s="41"/>
      <c r="U870" s="41"/>
      <c r="V870" s="41"/>
      <c r="W870" s="41"/>
      <c r="X870" s="41"/>
      <c r="Y870" s="41"/>
      <c r="Z870" s="41"/>
      <c r="AA870" s="41"/>
    </row>
    <row r="871" spans="1:39" hidden="1" x14ac:dyDescent="0.3">
      <c r="A871" s="37">
        <v>867</v>
      </c>
      <c r="B871" s="38" t="s">
        <v>521</v>
      </c>
      <c r="C871" s="38" t="s">
        <v>267</v>
      </c>
      <c r="D871" s="38" t="s">
        <v>524</v>
      </c>
      <c r="E871" s="38" t="s">
        <v>290</v>
      </c>
      <c r="F871" s="47" t="s">
        <v>520</v>
      </c>
      <c r="G871" s="40">
        <v>6922</v>
      </c>
      <c r="H871" s="40">
        <v>2454</v>
      </c>
      <c r="I871" s="40">
        <v>1294</v>
      </c>
      <c r="J871" s="40">
        <v>3174</v>
      </c>
      <c r="K871" s="40">
        <v>8277</v>
      </c>
      <c r="L871" s="40">
        <v>4108</v>
      </c>
      <c r="M871" s="40">
        <v>1258</v>
      </c>
      <c r="N871" s="40">
        <v>2911</v>
      </c>
      <c r="O871" s="40">
        <v>11303</v>
      </c>
      <c r="P871" s="40">
        <v>7050</v>
      </c>
      <c r="Q871" s="40">
        <v>1397</v>
      </c>
      <c r="R871" s="40">
        <v>2856</v>
      </c>
      <c r="S871" s="41">
        <v>35.452181500000002</v>
      </c>
      <c r="T871" s="41">
        <v>18.694019099999998</v>
      </c>
      <c r="U871" s="41">
        <v>45.853799500000001</v>
      </c>
      <c r="V871" s="41">
        <v>49.631509000000001</v>
      </c>
      <c r="W871" s="41">
        <v>15.198743500000001</v>
      </c>
      <c r="X871" s="41">
        <v>35.1697475</v>
      </c>
      <c r="Y871" s="41">
        <v>62.372821399999999</v>
      </c>
      <c r="Z871" s="41">
        <v>12.3595506</v>
      </c>
      <c r="AA871" s="41">
        <v>25.2676281</v>
      </c>
    </row>
    <row r="872" spans="1:39" hidden="1" x14ac:dyDescent="0.3">
      <c r="A872" s="42">
        <v>868</v>
      </c>
      <c r="B872" s="43" t="s">
        <v>521</v>
      </c>
      <c r="C872" s="50" t="s">
        <v>267</v>
      </c>
      <c r="D872" s="50" t="s">
        <v>524</v>
      </c>
      <c r="E872" s="50" t="s">
        <v>291</v>
      </c>
      <c r="F872" s="51" t="s">
        <v>291</v>
      </c>
      <c r="G872" s="45">
        <v>2696</v>
      </c>
      <c r="H872" s="45">
        <v>1094</v>
      </c>
      <c r="I872" s="45">
        <v>497</v>
      </c>
      <c r="J872" s="45">
        <v>1105</v>
      </c>
      <c r="K872" s="45">
        <v>3511</v>
      </c>
      <c r="L872" s="45">
        <v>2125</v>
      </c>
      <c r="M872" s="45">
        <v>565</v>
      </c>
      <c r="N872" s="45">
        <v>821</v>
      </c>
      <c r="O872" s="45">
        <v>4192</v>
      </c>
      <c r="P872" s="45">
        <v>2889</v>
      </c>
      <c r="Q872" s="45">
        <v>481</v>
      </c>
      <c r="R872" s="45">
        <v>822</v>
      </c>
      <c r="S872" s="46">
        <v>40.578634999999998</v>
      </c>
      <c r="T872" s="46">
        <v>18.434718100000001</v>
      </c>
      <c r="U872" s="46">
        <v>40.986646899999997</v>
      </c>
      <c r="V872" s="46">
        <v>60.524067199999998</v>
      </c>
      <c r="W872" s="46">
        <v>16.092281400000001</v>
      </c>
      <c r="X872" s="46">
        <v>23.383651400000002</v>
      </c>
      <c r="Y872" s="46">
        <v>68.9169847</v>
      </c>
      <c r="Z872" s="46">
        <v>11.474236599999999</v>
      </c>
      <c r="AA872" s="46">
        <v>19.608778600000001</v>
      </c>
      <c r="AB872" s="26">
        <f>SUM(W872:X872)</f>
        <v>39.475932800000002</v>
      </c>
      <c r="AC872" s="26">
        <f>SUM(Z872:AA872)</f>
        <v>31.083015199999998</v>
      </c>
      <c r="AD872" s="57">
        <f>M872+N872</f>
        <v>1386</v>
      </c>
      <c r="AE872" s="57">
        <f>Q872+R872</f>
        <v>1303</v>
      </c>
      <c r="AF872" s="26">
        <f>W872</f>
        <v>16.092281400000001</v>
      </c>
      <c r="AG872" s="26">
        <f>Z872</f>
        <v>11.474236599999999</v>
      </c>
      <c r="AH872" s="26">
        <f>M872</f>
        <v>565</v>
      </c>
      <c r="AI872" s="26">
        <f>Q872</f>
        <v>481</v>
      </c>
      <c r="AJ872" s="26">
        <f>X872</f>
        <v>23.383651400000002</v>
      </c>
      <c r="AK872" s="26">
        <f>AA872</f>
        <v>19.608778600000001</v>
      </c>
      <c r="AL872" s="57">
        <f>N872</f>
        <v>821</v>
      </c>
      <c r="AM872" s="57">
        <f>R872</f>
        <v>822</v>
      </c>
    </row>
    <row r="873" spans="1:39" hidden="1" x14ac:dyDescent="0.3">
      <c r="A873" s="37">
        <v>869</v>
      </c>
      <c r="B873" s="38" t="s">
        <v>521</v>
      </c>
      <c r="C873" s="38" t="s">
        <v>267</v>
      </c>
      <c r="D873" s="38" t="s">
        <v>524</v>
      </c>
      <c r="E873" s="38" t="s">
        <v>291</v>
      </c>
      <c r="F873" s="47" t="s">
        <v>519</v>
      </c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1"/>
      <c r="T873" s="41"/>
      <c r="U873" s="41"/>
      <c r="V873" s="41"/>
      <c r="W873" s="41"/>
      <c r="X873" s="41"/>
      <c r="Y873" s="41"/>
      <c r="Z873" s="41"/>
      <c r="AA873" s="41"/>
    </row>
    <row r="874" spans="1:39" hidden="1" x14ac:dyDescent="0.3">
      <c r="A874" s="37">
        <v>870</v>
      </c>
      <c r="B874" s="38" t="s">
        <v>521</v>
      </c>
      <c r="C874" s="38" t="s">
        <v>267</v>
      </c>
      <c r="D874" s="38" t="s">
        <v>524</v>
      </c>
      <c r="E874" s="38" t="s">
        <v>291</v>
      </c>
      <c r="F874" s="47" t="s">
        <v>520</v>
      </c>
      <c r="G874" s="40">
        <v>2696</v>
      </c>
      <c r="H874" s="40">
        <v>1094</v>
      </c>
      <c r="I874" s="40">
        <v>497</v>
      </c>
      <c r="J874" s="40">
        <v>1105</v>
      </c>
      <c r="K874" s="40">
        <v>3511</v>
      </c>
      <c r="L874" s="40">
        <v>2125</v>
      </c>
      <c r="M874" s="40">
        <v>565</v>
      </c>
      <c r="N874" s="40">
        <v>821</v>
      </c>
      <c r="O874" s="40">
        <v>4192</v>
      </c>
      <c r="P874" s="40">
        <v>2889</v>
      </c>
      <c r="Q874" s="40">
        <v>481</v>
      </c>
      <c r="R874" s="40">
        <v>822</v>
      </c>
      <c r="S874" s="41">
        <v>40.578634999999998</v>
      </c>
      <c r="T874" s="41">
        <v>18.434718100000001</v>
      </c>
      <c r="U874" s="41">
        <v>40.986646899999997</v>
      </c>
      <c r="V874" s="41">
        <v>60.524067199999998</v>
      </c>
      <c r="W874" s="41">
        <v>16.092281400000001</v>
      </c>
      <c r="X874" s="41">
        <v>23.383651400000002</v>
      </c>
      <c r="Y874" s="41">
        <v>68.9169847</v>
      </c>
      <c r="Z874" s="41">
        <v>11.474236599999999</v>
      </c>
      <c r="AA874" s="41">
        <v>19.608778600000001</v>
      </c>
    </row>
    <row r="875" spans="1:39" hidden="1" x14ac:dyDescent="0.3">
      <c r="A875" s="32">
        <v>871</v>
      </c>
      <c r="B875" s="33" t="s">
        <v>1</v>
      </c>
      <c r="C875" s="49" t="s">
        <v>267</v>
      </c>
      <c r="D875" s="49" t="s">
        <v>292</v>
      </c>
      <c r="E875" s="49"/>
      <c r="F875" s="34" t="s">
        <v>292</v>
      </c>
      <c r="G875" s="35">
        <v>9208</v>
      </c>
      <c r="H875" s="35">
        <v>4544</v>
      </c>
      <c r="I875" s="35">
        <v>1768</v>
      </c>
      <c r="J875" s="35">
        <v>2896</v>
      </c>
      <c r="K875" s="35">
        <v>12595</v>
      </c>
      <c r="L875" s="35">
        <v>7802</v>
      </c>
      <c r="M875" s="35">
        <v>1942</v>
      </c>
      <c r="N875" s="35">
        <v>2851</v>
      </c>
      <c r="O875" s="35">
        <v>15104</v>
      </c>
      <c r="P875" s="35">
        <v>11269</v>
      </c>
      <c r="Q875" s="35">
        <v>1732</v>
      </c>
      <c r="R875" s="35">
        <v>2103</v>
      </c>
      <c r="S875" s="36">
        <v>49.348392699999998</v>
      </c>
      <c r="T875" s="36">
        <v>19.200695</v>
      </c>
      <c r="U875" s="36">
        <v>31.450912299999999</v>
      </c>
      <c r="V875" s="36">
        <v>61.9452164</v>
      </c>
      <c r="W875" s="36">
        <v>15.418817000000001</v>
      </c>
      <c r="X875" s="36">
        <v>22.635966700000001</v>
      </c>
      <c r="Y875" s="36">
        <v>74.609375</v>
      </c>
      <c r="Z875" s="36">
        <v>11.467161000000001</v>
      </c>
      <c r="AA875" s="36">
        <v>13.923463999999999</v>
      </c>
    </row>
    <row r="876" spans="1:39" hidden="1" x14ac:dyDescent="0.3">
      <c r="A876" s="37">
        <v>872</v>
      </c>
      <c r="B876" s="38" t="s">
        <v>1</v>
      </c>
      <c r="C876" s="38" t="s">
        <v>267</v>
      </c>
      <c r="D876" s="38" t="s">
        <v>292</v>
      </c>
      <c r="E876" s="38"/>
      <c r="F876" s="39" t="s">
        <v>519</v>
      </c>
      <c r="G876" s="40"/>
      <c r="H876" s="40"/>
      <c r="I876" s="40"/>
      <c r="J876" s="40"/>
      <c r="K876" s="40">
        <v>1765</v>
      </c>
      <c r="L876" s="40">
        <v>1033</v>
      </c>
      <c r="M876" s="40">
        <v>268</v>
      </c>
      <c r="N876" s="40">
        <v>464</v>
      </c>
      <c r="O876" s="40">
        <v>1322</v>
      </c>
      <c r="P876" s="40">
        <v>1163</v>
      </c>
      <c r="Q876" s="40">
        <v>73</v>
      </c>
      <c r="R876" s="40">
        <v>86</v>
      </c>
      <c r="S876" s="41"/>
      <c r="T876" s="41"/>
      <c r="U876" s="41"/>
      <c r="V876" s="41">
        <v>58.526912199999998</v>
      </c>
      <c r="W876" s="41">
        <v>15.184136000000001</v>
      </c>
      <c r="X876" s="41">
        <v>26.2889518</v>
      </c>
      <c r="Y876" s="41">
        <v>87.972768500000001</v>
      </c>
      <c r="Z876" s="41">
        <v>5.5219364999999998</v>
      </c>
      <c r="AA876" s="41">
        <v>6.5052950000000003</v>
      </c>
    </row>
    <row r="877" spans="1:39" hidden="1" x14ac:dyDescent="0.3">
      <c r="A877" s="37">
        <v>873</v>
      </c>
      <c r="B877" s="38" t="s">
        <v>1</v>
      </c>
      <c r="C877" s="38" t="s">
        <v>267</v>
      </c>
      <c r="D877" s="38" t="s">
        <v>292</v>
      </c>
      <c r="E877" s="38"/>
      <c r="F877" s="39" t="s">
        <v>520</v>
      </c>
      <c r="G877" s="40">
        <v>9208</v>
      </c>
      <c r="H877" s="40">
        <v>4544</v>
      </c>
      <c r="I877" s="40">
        <v>1768</v>
      </c>
      <c r="J877" s="40">
        <v>2896</v>
      </c>
      <c r="K877" s="40">
        <v>10830</v>
      </c>
      <c r="L877" s="40">
        <v>6769</v>
      </c>
      <c r="M877" s="40">
        <v>1674</v>
      </c>
      <c r="N877" s="40">
        <v>2387</v>
      </c>
      <c r="O877" s="40">
        <v>13782</v>
      </c>
      <c r="P877" s="40">
        <v>10106</v>
      </c>
      <c r="Q877" s="40">
        <v>1659</v>
      </c>
      <c r="R877" s="40">
        <v>2017</v>
      </c>
      <c r="S877" s="41">
        <v>49.348392699999998</v>
      </c>
      <c r="T877" s="41">
        <v>19.200695</v>
      </c>
      <c r="U877" s="41">
        <v>31.450912299999999</v>
      </c>
      <c r="V877" s="41">
        <v>62.502308399999997</v>
      </c>
      <c r="W877" s="41">
        <v>15.457063700000001</v>
      </c>
      <c r="X877" s="41">
        <v>22.0406279</v>
      </c>
      <c r="Y877" s="41">
        <v>73.327528700000002</v>
      </c>
      <c r="Z877" s="41">
        <v>12.0374401</v>
      </c>
      <c r="AA877" s="41">
        <v>14.6350312</v>
      </c>
    </row>
    <row r="878" spans="1:39" hidden="1" x14ac:dyDescent="0.3">
      <c r="A878" s="42">
        <v>874</v>
      </c>
      <c r="B878" s="43" t="s">
        <v>521</v>
      </c>
      <c r="C878" s="50" t="s">
        <v>267</v>
      </c>
      <c r="D878" s="50" t="s">
        <v>292</v>
      </c>
      <c r="E878" s="50" t="s">
        <v>293</v>
      </c>
      <c r="F878" s="51" t="s">
        <v>293</v>
      </c>
      <c r="G878" s="45">
        <v>6299</v>
      </c>
      <c r="H878" s="45">
        <v>3077</v>
      </c>
      <c r="I878" s="45">
        <v>1179</v>
      </c>
      <c r="J878" s="45">
        <v>2043</v>
      </c>
      <c r="K878" s="45">
        <v>9471</v>
      </c>
      <c r="L878" s="45">
        <v>5756</v>
      </c>
      <c r="M878" s="45">
        <v>1476</v>
      </c>
      <c r="N878" s="45">
        <v>2239</v>
      </c>
      <c r="O878" s="45">
        <v>11224</v>
      </c>
      <c r="P878" s="45">
        <v>8229</v>
      </c>
      <c r="Q878" s="45">
        <v>1341</v>
      </c>
      <c r="R878" s="45">
        <v>1654</v>
      </c>
      <c r="S878" s="46">
        <v>48.849023699999996</v>
      </c>
      <c r="T878" s="46">
        <v>18.7172567</v>
      </c>
      <c r="U878" s="46">
        <v>32.433719600000003</v>
      </c>
      <c r="V878" s="46">
        <v>60.774997399999997</v>
      </c>
      <c r="W878" s="46">
        <v>15.5844156</v>
      </c>
      <c r="X878" s="46">
        <v>23.640587100000001</v>
      </c>
      <c r="Y878" s="46">
        <v>73.316108299999996</v>
      </c>
      <c r="Z878" s="46">
        <v>11.947612299999999</v>
      </c>
      <c r="AA878" s="46">
        <v>14.736279400000001</v>
      </c>
      <c r="AB878" s="26">
        <f>SUM(W878:X878)</f>
        <v>39.225002700000005</v>
      </c>
      <c r="AC878" s="26">
        <f>SUM(Z878:AA878)</f>
        <v>26.6838917</v>
      </c>
      <c r="AD878" s="57">
        <f>M878+N878</f>
        <v>3715</v>
      </c>
      <c r="AE878" s="57">
        <f>Q878+R878</f>
        <v>2995</v>
      </c>
      <c r="AF878" s="26">
        <f>W878</f>
        <v>15.5844156</v>
      </c>
      <c r="AG878" s="26">
        <f>Z878</f>
        <v>11.947612299999999</v>
      </c>
      <c r="AH878" s="26">
        <f>M878</f>
        <v>1476</v>
      </c>
      <c r="AI878" s="26">
        <f>Q878</f>
        <v>1341</v>
      </c>
      <c r="AJ878" s="26">
        <f>X878</f>
        <v>23.640587100000001</v>
      </c>
      <c r="AK878" s="26">
        <f>AA878</f>
        <v>14.736279400000001</v>
      </c>
      <c r="AL878" s="57">
        <f>N878</f>
        <v>2239</v>
      </c>
      <c r="AM878" s="57">
        <f>R878</f>
        <v>1654</v>
      </c>
    </row>
    <row r="879" spans="1:39" hidden="1" x14ac:dyDescent="0.3">
      <c r="A879" s="37">
        <v>875</v>
      </c>
      <c r="B879" s="38" t="s">
        <v>521</v>
      </c>
      <c r="C879" s="38" t="s">
        <v>267</v>
      </c>
      <c r="D879" s="38" t="s">
        <v>292</v>
      </c>
      <c r="E879" s="38" t="s">
        <v>293</v>
      </c>
      <c r="F879" s="47" t="s">
        <v>519</v>
      </c>
      <c r="G879" s="40"/>
      <c r="H879" s="40"/>
      <c r="I879" s="40"/>
      <c r="J879" s="40"/>
      <c r="K879" s="40">
        <v>1765</v>
      </c>
      <c r="L879" s="40">
        <v>1033</v>
      </c>
      <c r="M879" s="40">
        <v>268</v>
      </c>
      <c r="N879" s="40">
        <v>464</v>
      </c>
      <c r="O879" s="40">
        <v>1322</v>
      </c>
      <c r="P879" s="40">
        <v>1163</v>
      </c>
      <c r="Q879" s="40">
        <v>73</v>
      </c>
      <c r="R879" s="40">
        <v>86</v>
      </c>
      <c r="S879" s="41"/>
      <c r="T879" s="41"/>
      <c r="U879" s="41"/>
      <c r="V879" s="41">
        <v>58.526912199999998</v>
      </c>
      <c r="W879" s="41">
        <v>15.184136000000001</v>
      </c>
      <c r="X879" s="41">
        <v>26.2889518</v>
      </c>
      <c r="Y879" s="41">
        <v>87.972768500000001</v>
      </c>
      <c r="Z879" s="41">
        <v>5.5219364999999998</v>
      </c>
      <c r="AA879" s="41">
        <v>6.5052950000000003</v>
      </c>
    </row>
    <row r="880" spans="1:39" hidden="1" x14ac:dyDescent="0.3">
      <c r="A880" s="37">
        <v>876</v>
      </c>
      <c r="B880" s="38" t="s">
        <v>521</v>
      </c>
      <c r="C880" s="38" t="s">
        <v>267</v>
      </c>
      <c r="D880" s="38" t="s">
        <v>292</v>
      </c>
      <c r="E880" s="38" t="s">
        <v>293</v>
      </c>
      <c r="F880" s="47" t="s">
        <v>520</v>
      </c>
      <c r="G880" s="40">
        <v>6299</v>
      </c>
      <c r="H880" s="40">
        <v>3077</v>
      </c>
      <c r="I880" s="40">
        <v>1179</v>
      </c>
      <c r="J880" s="40">
        <v>2043</v>
      </c>
      <c r="K880" s="40">
        <v>7706</v>
      </c>
      <c r="L880" s="40">
        <v>4723</v>
      </c>
      <c r="M880" s="40">
        <v>1208</v>
      </c>
      <c r="N880" s="40">
        <v>1775</v>
      </c>
      <c r="O880" s="40">
        <v>9902</v>
      </c>
      <c r="P880" s="40">
        <v>7066</v>
      </c>
      <c r="Q880" s="40">
        <v>1268</v>
      </c>
      <c r="R880" s="40">
        <v>1568</v>
      </c>
      <c r="S880" s="41">
        <v>48.849023699999996</v>
      </c>
      <c r="T880" s="41">
        <v>18.7172567</v>
      </c>
      <c r="U880" s="41">
        <v>32.433719600000003</v>
      </c>
      <c r="V880" s="41">
        <v>61.289904</v>
      </c>
      <c r="W880" s="41">
        <v>15.6760965</v>
      </c>
      <c r="X880" s="41">
        <v>23.0339995</v>
      </c>
      <c r="Y880" s="41">
        <v>71.359321300000005</v>
      </c>
      <c r="Z880" s="41">
        <v>12.805493800000001</v>
      </c>
      <c r="AA880" s="41">
        <v>15.8351848</v>
      </c>
    </row>
    <row r="881" spans="1:39" hidden="1" x14ac:dyDescent="0.3">
      <c r="A881" s="42">
        <v>877</v>
      </c>
      <c r="B881" s="43" t="s">
        <v>521</v>
      </c>
      <c r="C881" s="50" t="s">
        <v>267</v>
      </c>
      <c r="D881" s="50" t="s">
        <v>292</v>
      </c>
      <c r="E881" s="50" t="s">
        <v>486</v>
      </c>
      <c r="F881" s="51" t="s">
        <v>486</v>
      </c>
      <c r="G881" s="45">
        <v>2909</v>
      </c>
      <c r="H881" s="45">
        <v>1467</v>
      </c>
      <c r="I881" s="45">
        <v>589</v>
      </c>
      <c r="J881" s="45">
        <v>853</v>
      </c>
      <c r="K881" s="45">
        <v>3124</v>
      </c>
      <c r="L881" s="45">
        <v>2046</v>
      </c>
      <c r="M881" s="45">
        <v>466</v>
      </c>
      <c r="N881" s="45">
        <v>612</v>
      </c>
      <c r="O881" s="45">
        <v>3880</v>
      </c>
      <c r="P881" s="45">
        <v>3040</v>
      </c>
      <c r="Q881" s="45">
        <v>391</v>
      </c>
      <c r="R881" s="45">
        <v>449</v>
      </c>
      <c r="S881" s="46">
        <v>50.4297009</v>
      </c>
      <c r="T881" s="46">
        <v>20.2475077</v>
      </c>
      <c r="U881" s="46">
        <v>29.322791299999999</v>
      </c>
      <c r="V881" s="46">
        <v>65.492957700000005</v>
      </c>
      <c r="W881" s="46">
        <v>14.9167734</v>
      </c>
      <c r="X881" s="46">
        <v>19.590268900000002</v>
      </c>
      <c r="Y881" s="46">
        <v>78.3505155</v>
      </c>
      <c r="Z881" s="46">
        <v>10.077319599999999</v>
      </c>
      <c r="AA881" s="46">
        <v>11.572164900000001</v>
      </c>
      <c r="AB881" s="26">
        <f>SUM(W881:X881)</f>
        <v>34.507042300000002</v>
      </c>
      <c r="AC881" s="26">
        <f>SUM(Z881:AA881)</f>
        <v>21.6494845</v>
      </c>
      <c r="AD881" s="57">
        <f>M881+N881</f>
        <v>1078</v>
      </c>
      <c r="AE881" s="57">
        <f>Q881+R881</f>
        <v>840</v>
      </c>
      <c r="AF881" s="26">
        <f>W881</f>
        <v>14.9167734</v>
      </c>
      <c r="AG881" s="26">
        <f>Z881</f>
        <v>10.077319599999999</v>
      </c>
      <c r="AH881" s="26">
        <f>M881</f>
        <v>466</v>
      </c>
      <c r="AI881" s="26">
        <f>Q881</f>
        <v>391</v>
      </c>
      <c r="AJ881" s="26">
        <f>X881</f>
        <v>19.590268900000002</v>
      </c>
      <c r="AK881" s="26">
        <f>AA881</f>
        <v>11.572164900000001</v>
      </c>
      <c r="AL881" s="57">
        <f>N881</f>
        <v>612</v>
      </c>
      <c r="AM881" s="57">
        <f>R881</f>
        <v>449</v>
      </c>
    </row>
    <row r="882" spans="1:39" hidden="1" x14ac:dyDescent="0.3">
      <c r="A882" s="37">
        <v>878</v>
      </c>
      <c r="B882" s="38" t="s">
        <v>521</v>
      </c>
      <c r="C882" s="38" t="s">
        <v>267</v>
      </c>
      <c r="D882" s="38" t="s">
        <v>292</v>
      </c>
      <c r="E882" s="38" t="s">
        <v>486</v>
      </c>
      <c r="F882" s="47" t="s">
        <v>519</v>
      </c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1"/>
      <c r="T882" s="41"/>
      <c r="U882" s="41"/>
      <c r="V882" s="41"/>
      <c r="W882" s="41"/>
      <c r="X882" s="41"/>
      <c r="Y882" s="41"/>
      <c r="Z882" s="41"/>
      <c r="AA882" s="41"/>
    </row>
    <row r="883" spans="1:39" hidden="1" x14ac:dyDescent="0.3">
      <c r="A883" s="37">
        <v>879</v>
      </c>
      <c r="B883" s="38" t="s">
        <v>521</v>
      </c>
      <c r="C883" s="38" t="s">
        <v>267</v>
      </c>
      <c r="D883" s="38" t="s">
        <v>292</v>
      </c>
      <c r="E883" s="38" t="s">
        <v>486</v>
      </c>
      <c r="F883" s="47" t="s">
        <v>520</v>
      </c>
      <c r="G883" s="40">
        <v>2909</v>
      </c>
      <c r="H883" s="40">
        <v>1467</v>
      </c>
      <c r="I883" s="40">
        <v>589</v>
      </c>
      <c r="J883" s="40">
        <v>853</v>
      </c>
      <c r="K883" s="40">
        <v>3124</v>
      </c>
      <c r="L883" s="40">
        <v>2046</v>
      </c>
      <c r="M883" s="40">
        <v>466</v>
      </c>
      <c r="N883" s="40">
        <v>612</v>
      </c>
      <c r="O883" s="40">
        <v>3880</v>
      </c>
      <c r="P883" s="40">
        <v>3040</v>
      </c>
      <c r="Q883" s="40">
        <v>391</v>
      </c>
      <c r="R883" s="40">
        <v>449</v>
      </c>
      <c r="S883" s="41">
        <v>50.4297009</v>
      </c>
      <c r="T883" s="41">
        <v>20.2475077</v>
      </c>
      <c r="U883" s="41">
        <v>29.322791299999999</v>
      </c>
      <c r="V883" s="41">
        <v>65.492957700000005</v>
      </c>
      <c r="W883" s="41">
        <v>14.9167734</v>
      </c>
      <c r="X883" s="41">
        <v>19.590268900000002</v>
      </c>
      <c r="Y883" s="41">
        <v>78.3505155</v>
      </c>
      <c r="Z883" s="41">
        <v>10.077319599999999</v>
      </c>
      <c r="AA883" s="41">
        <v>11.572164900000001</v>
      </c>
    </row>
    <row r="884" spans="1:39" hidden="1" x14ac:dyDescent="0.3">
      <c r="A884" s="32">
        <v>880</v>
      </c>
      <c r="B884" s="33" t="s">
        <v>1</v>
      </c>
      <c r="C884" s="49" t="s">
        <v>267</v>
      </c>
      <c r="D884" s="49" t="s">
        <v>295</v>
      </c>
      <c r="E884" s="49"/>
      <c r="F884" s="34" t="s">
        <v>295</v>
      </c>
      <c r="G884" s="35">
        <v>6953</v>
      </c>
      <c r="H884" s="35">
        <v>2598</v>
      </c>
      <c r="I884" s="35">
        <v>1408</v>
      </c>
      <c r="J884" s="35">
        <v>2947</v>
      </c>
      <c r="K884" s="35">
        <v>8359</v>
      </c>
      <c r="L884" s="35">
        <v>4638</v>
      </c>
      <c r="M884" s="35">
        <v>1565</v>
      </c>
      <c r="N884" s="35">
        <v>2156</v>
      </c>
      <c r="O884" s="35">
        <v>10296</v>
      </c>
      <c r="P884" s="35">
        <v>7287</v>
      </c>
      <c r="Q884" s="35">
        <v>1325</v>
      </c>
      <c r="R884" s="35">
        <v>1684</v>
      </c>
      <c r="S884" s="36">
        <v>37.365166100000003</v>
      </c>
      <c r="T884" s="36">
        <v>20.2502517</v>
      </c>
      <c r="U884" s="36">
        <v>42.384582199999997</v>
      </c>
      <c r="V884" s="36">
        <v>55.485105900000001</v>
      </c>
      <c r="W884" s="36">
        <v>18.7223352</v>
      </c>
      <c r="X884" s="36">
        <v>25.7925589</v>
      </c>
      <c r="Y884" s="36">
        <v>70.775058299999998</v>
      </c>
      <c r="Z884" s="36">
        <v>12.8690754</v>
      </c>
      <c r="AA884" s="36">
        <v>16.3558664</v>
      </c>
    </row>
    <row r="885" spans="1:39" hidden="1" x14ac:dyDescent="0.3">
      <c r="A885" s="37">
        <v>881</v>
      </c>
      <c r="B885" s="38" t="s">
        <v>1</v>
      </c>
      <c r="C885" s="38" t="s">
        <v>267</v>
      </c>
      <c r="D885" s="38" t="s">
        <v>295</v>
      </c>
      <c r="E885" s="38"/>
      <c r="F885" s="39" t="s">
        <v>519</v>
      </c>
      <c r="G885" s="40"/>
      <c r="H885" s="40"/>
      <c r="I885" s="40"/>
      <c r="J885" s="40"/>
      <c r="K885" s="40">
        <v>914</v>
      </c>
      <c r="L885" s="40">
        <v>680</v>
      </c>
      <c r="M885" s="40">
        <v>113</v>
      </c>
      <c r="N885" s="40">
        <v>121</v>
      </c>
      <c r="O885" s="40">
        <v>1026</v>
      </c>
      <c r="P885" s="40">
        <v>809</v>
      </c>
      <c r="Q885" s="40">
        <v>103</v>
      </c>
      <c r="R885" s="40">
        <v>114</v>
      </c>
      <c r="S885" s="41"/>
      <c r="T885" s="41"/>
      <c r="U885" s="41"/>
      <c r="V885" s="41">
        <v>74.398249500000006</v>
      </c>
      <c r="W885" s="41">
        <v>12.3632385</v>
      </c>
      <c r="X885" s="41">
        <v>13.238512</v>
      </c>
      <c r="Y885" s="41">
        <v>78.849902499999999</v>
      </c>
      <c r="Z885" s="41">
        <v>10.038986400000001</v>
      </c>
      <c r="AA885" s="41">
        <v>11.1111111</v>
      </c>
    </row>
    <row r="886" spans="1:39" hidden="1" x14ac:dyDescent="0.3">
      <c r="A886" s="37">
        <v>882</v>
      </c>
      <c r="B886" s="38" t="s">
        <v>1</v>
      </c>
      <c r="C886" s="38" t="s">
        <v>267</v>
      </c>
      <c r="D886" s="38" t="s">
        <v>295</v>
      </c>
      <c r="E886" s="38"/>
      <c r="F886" s="39" t="s">
        <v>520</v>
      </c>
      <c r="G886" s="40">
        <v>6953</v>
      </c>
      <c r="H886" s="40">
        <v>2598</v>
      </c>
      <c r="I886" s="40">
        <v>1408</v>
      </c>
      <c r="J886" s="40">
        <v>2947</v>
      </c>
      <c r="K886" s="40">
        <v>7445</v>
      </c>
      <c r="L886" s="40">
        <v>3958</v>
      </c>
      <c r="M886" s="40">
        <v>1452</v>
      </c>
      <c r="N886" s="40">
        <v>2035</v>
      </c>
      <c r="O886" s="40">
        <v>9270</v>
      </c>
      <c r="P886" s="40">
        <v>6478</v>
      </c>
      <c r="Q886" s="40">
        <v>1222</v>
      </c>
      <c r="R886" s="40">
        <v>1570</v>
      </c>
      <c r="S886" s="41">
        <v>37.365166100000003</v>
      </c>
      <c r="T886" s="41">
        <v>20.2502517</v>
      </c>
      <c r="U886" s="41">
        <v>42.384582199999997</v>
      </c>
      <c r="V886" s="41">
        <v>53.163196800000001</v>
      </c>
      <c r="W886" s="41">
        <v>19.5030222</v>
      </c>
      <c r="X886" s="41">
        <v>27.333781099999999</v>
      </c>
      <c r="Y886" s="41">
        <v>69.881337599999995</v>
      </c>
      <c r="Z886" s="41">
        <v>13.1823085</v>
      </c>
      <c r="AA886" s="41">
        <v>16.936353799999999</v>
      </c>
    </row>
    <row r="887" spans="1:39" hidden="1" x14ac:dyDescent="0.3">
      <c r="A887" s="42">
        <v>883</v>
      </c>
      <c r="B887" s="43" t="s">
        <v>521</v>
      </c>
      <c r="C887" s="50" t="s">
        <v>267</v>
      </c>
      <c r="D887" s="50" t="s">
        <v>295</v>
      </c>
      <c r="E887" s="50" t="s">
        <v>296</v>
      </c>
      <c r="F887" s="51" t="s">
        <v>296</v>
      </c>
      <c r="G887" s="45">
        <v>4655</v>
      </c>
      <c r="H887" s="45">
        <v>1709</v>
      </c>
      <c r="I887" s="45">
        <v>910</v>
      </c>
      <c r="J887" s="45">
        <v>2036</v>
      </c>
      <c r="K887" s="45">
        <v>5618</v>
      </c>
      <c r="L887" s="45">
        <v>2970</v>
      </c>
      <c r="M887" s="45">
        <v>1045</v>
      </c>
      <c r="N887" s="45">
        <v>1603</v>
      </c>
      <c r="O887" s="45">
        <v>6779</v>
      </c>
      <c r="P887" s="45">
        <v>4777</v>
      </c>
      <c r="Q887" s="45">
        <v>869</v>
      </c>
      <c r="R887" s="45">
        <v>1133</v>
      </c>
      <c r="S887" s="46">
        <v>36.713211600000001</v>
      </c>
      <c r="T887" s="46">
        <v>19.548872200000002</v>
      </c>
      <c r="U887" s="46">
        <v>43.737916200000001</v>
      </c>
      <c r="V887" s="46">
        <v>52.865788500000001</v>
      </c>
      <c r="W887" s="46">
        <v>18.6009256</v>
      </c>
      <c r="X887" s="46">
        <v>28.533285899999999</v>
      </c>
      <c r="Y887" s="46">
        <v>70.467620600000004</v>
      </c>
      <c r="Z887" s="46">
        <v>12.8189999</v>
      </c>
      <c r="AA887" s="46">
        <v>16.7133796</v>
      </c>
      <c r="AB887" s="26">
        <f>SUM(W887:X887)</f>
        <v>47.134211499999999</v>
      </c>
      <c r="AC887" s="26">
        <f>SUM(Z887:AA887)</f>
        <v>29.532379499999998</v>
      </c>
      <c r="AD887" s="57">
        <f>M887+N887</f>
        <v>2648</v>
      </c>
      <c r="AE887" s="57">
        <f>Q887+R887</f>
        <v>2002</v>
      </c>
      <c r="AF887" s="26">
        <f>W887</f>
        <v>18.6009256</v>
      </c>
      <c r="AG887" s="26">
        <f>Z887</f>
        <v>12.8189999</v>
      </c>
      <c r="AH887" s="26">
        <f>M887</f>
        <v>1045</v>
      </c>
      <c r="AI887" s="26">
        <f>Q887</f>
        <v>869</v>
      </c>
      <c r="AJ887" s="26">
        <f>X887</f>
        <v>28.533285899999999</v>
      </c>
      <c r="AK887" s="26">
        <f>AA887</f>
        <v>16.7133796</v>
      </c>
      <c r="AL887" s="57">
        <f>N887</f>
        <v>1603</v>
      </c>
      <c r="AM887" s="57">
        <f>R887</f>
        <v>1133</v>
      </c>
    </row>
    <row r="888" spans="1:39" hidden="1" x14ac:dyDescent="0.3">
      <c r="A888" s="37">
        <v>884</v>
      </c>
      <c r="B888" s="38" t="s">
        <v>521</v>
      </c>
      <c r="C888" s="38" t="s">
        <v>267</v>
      </c>
      <c r="D888" s="38" t="s">
        <v>295</v>
      </c>
      <c r="E888" s="38" t="s">
        <v>296</v>
      </c>
      <c r="F888" s="47" t="s">
        <v>519</v>
      </c>
      <c r="G888" s="40"/>
      <c r="H888" s="40"/>
      <c r="I888" s="40"/>
      <c r="J888" s="40"/>
      <c r="K888" s="40">
        <v>914</v>
      </c>
      <c r="L888" s="40">
        <v>680</v>
      </c>
      <c r="M888" s="40">
        <v>113</v>
      </c>
      <c r="N888" s="40">
        <v>121</v>
      </c>
      <c r="O888" s="40">
        <v>1026</v>
      </c>
      <c r="P888" s="40">
        <v>809</v>
      </c>
      <c r="Q888" s="40">
        <v>103</v>
      </c>
      <c r="R888" s="40">
        <v>114</v>
      </c>
      <c r="S888" s="41"/>
      <c r="T888" s="41"/>
      <c r="U888" s="41"/>
      <c r="V888" s="41">
        <v>74.398249500000006</v>
      </c>
      <c r="W888" s="41">
        <v>12.3632385</v>
      </c>
      <c r="X888" s="41">
        <v>13.238512</v>
      </c>
      <c r="Y888" s="41">
        <v>78.849902499999999</v>
      </c>
      <c r="Z888" s="41">
        <v>10.038986400000001</v>
      </c>
      <c r="AA888" s="41">
        <v>11.1111111</v>
      </c>
    </row>
    <row r="889" spans="1:39" hidden="1" x14ac:dyDescent="0.3">
      <c r="A889" s="37">
        <v>885</v>
      </c>
      <c r="B889" s="38" t="s">
        <v>521</v>
      </c>
      <c r="C889" s="38" t="s">
        <v>267</v>
      </c>
      <c r="D889" s="38" t="s">
        <v>295</v>
      </c>
      <c r="E889" s="38" t="s">
        <v>296</v>
      </c>
      <c r="F889" s="47" t="s">
        <v>520</v>
      </c>
      <c r="G889" s="40">
        <v>4655</v>
      </c>
      <c r="H889" s="40">
        <v>1709</v>
      </c>
      <c r="I889" s="40">
        <v>910</v>
      </c>
      <c r="J889" s="40">
        <v>2036</v>
      </c>
      <c r="K889" s="40">
        <v>4704</v>
      </c>
      <c r="L889" s="40">
        <v>2290</v>
      </c>
      <c r="M889" s="40">
        <v>932</v>
      </c>
      <c r="N889" s="40">
        <v>1482</v>
      </c>
      <c r="O889" s="40">
        <v>5753</v>
      </c>
      <c r="P889" s="40">
        <v>3968</v>
      </c>
      <c r="Q889" s="40">
        <v>766</v>
      </c>
      <c r="R889" s="40">
        <v>1019</v>
      </c>
      <c r="S889" s="41">
        <v>36.713211600000001</v>
      </c>
      <c r="T889" s="41">
        <v>19.548872200000002</v>
      </c>
      <c r="U889" s="41">
        <v>43.737916200000001</v>
      </c>
      <c r="V889" s="41">
        <v>48.681972799999997</v>
      </c>
      <c r="W889" s="41">
        <v>19.812925199999999</v>
      </c>
      <c r="X889" s="41">
        <v>31.505102000000001</v>
      </c>
      <c r="Y889" s="41">
        <v>68.972709899999998</v>
      </c>
      <c r="Z889" s="41">
        <v>13.314792300000001</v>
      </c>
      <c r="AA889" s="41">
        <v>17.712497800000001</v>
      </c>
    </row>
    <row r="890" spans="1:39" hidden="1" x14ac:dyDescent="0.3">
      <c r="A890" s="42">
        <v>886</v>
      </c>
      <c r="B890" s="43" t="s">
        <v>521</v>
      </c>
      <c r="C890" s="50" t="s">
        <v>267</v>
      </c>
      <c r="D890" s="50" t="s">
        <v>295</v>
      </c>
      <c r="E890" s="50" t="s">
        <v>298</v>
      </c>
      <c r="F890" s="51" t="s">
        <v>298</v>
      </c>
      <c r="G890" s="45">
        <v>2298</v>
      </c>
      <c r="H890" s="45">
        <v>889</v>
      </c>
      <c r="I890" s="45">
        <v>498</v>
      </c>
      <c r="J890" s="45">
        <v>911</v>
      </c>
      <c r="K890" s="45">
        <v>2741</v>
      </c>
      <c r="L890" s="45">
        <v>1668</v>
      </c>
      <c r="M890" s="45">
        <v>520</v>
      </c>
      <c r="N890" s="45">
        <v>553</v>
      </c>
      <c r="O890" s="45">
        <v>3517</v>
      </c>
      <c r="P890" s="45">
        <v>2510</v>
      </c>
      <c r="Q890" s="45">
        <v>456</v>
      </c>
      <c r="R890" s="45">
        <v>551</v>
      </c>
      <c r="S890" s="46">
        <v>38.685813799999998</v>
      </c>
      <c r="T890" s="46">
        <v>21.6710183</v>
      </c>
      <c r="U890" s="46">
        <v>39.643168000000003</v>
      </c>
      <c r="V890" s="46">
        <v>60.853703000000003</v>
      </c>
      <c r="W890" s="46">
        <v>18.971178399999999</v>
      </c>
      <c r="X890" s="46">
        <v>20.175118600000001</v>
      </c>
      <c r="Y890" s="46">
        <v>71.367642900000007</v>
      </c>
      <c r="Z890" s="46">
        <v>12.9655957</v>
      </c>
      <c r="AA890" s="46">
        <v>15.6667614</v>
      </c>
      <c r="AB890" s="26">
        <f>SUM(W890:X890)</f>
        <v>39.146297000000004</v>
      </c>
      <c r="AC890" s="26">
        <f>SUM(Z890:AA890)</f>
        <v>28.6323571</v>
      </c>
      <c r="AD890" s="57">
        <f>M890+N890</f>
        <v>1073</v>
      </c>
      <c r="AE890" s="57">
        <f>Q890+R890</f>
        <v>1007</v>
      </c>
      <c r="AF890" s="26">
        <f>W890</f>
        <v>18.971178399999999</v>
      </c>
      <c r="AG890" s="26">
        <f>Z890</f>
        <v>12.9655957</v>
      </c>
      <c r="AH890" s="26">
        <f>M890</f>
        <v>520</v>
      </c>
      <c r="AI890" s="26">
        <f>Q890</f>
        <v>456</v>
      </c>
      <c r="AJ890" s="26">
        <f>X890</f>
        <v>20.175118600000001</v>
      </c>
      <c r="AK890" s="26">
        <f>AA890</f>
        <v>15.6667614</v>
      </c>
      <c r="AL890" s="57">
        <f>N890</f>
        <v>553</v>
      </c>
      <c r="AM890" s="57">
        <f>R890</f>
        <v>551</v>
      </c>
    </row>
    <row r="891" spans="1:39" hidden="1" x14ac:dyDescent="0.3">
      <c r="A891" s="37">
        <v>887</v>
      </c>
      <c r="B891" s="38" t="s">
        <v>521</v>
      </c>
      <c r="C891" s="38" t="s">
        <v>267</v>
      </c>
      <c r="D891" s="38" t="s">
        <v>295</v>
      </c>
      <c r="E891" s="38" t="s">
        <v>298</v>
      </c>
      <c r="F891" s="47" t="s">
        <v>519</v>
      </c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1"/>
      <c r="T891" s="41"/>
      <c r="U891" s="41"/>
      <c r="V891" s="41"/>
      <c r="W891" s="41"/>
      <c r="X891" s="41"/>
      <c r="Y891" s="41"/>
      <c r="Z891" s="41"/>
      <c r="AA891" s="41"/>
    </row>
    <row r="892" spans="1:39" hidden="1" x14ac:dyDescent="0.3">
      <c r="A892" s="37">
        <v>888</v>
      </c>
      <c r="B892" s="38" t="s">
        <v>521</v>
      </c>
      <c r="C892" s="38" t="s">
        <v>267</v>
      </c>
      <c r="D892" s="38" t="s">
        <v>295</v>
      </c>
      <c r="E892" s="38" t="s">
        <v>298</v>
      </c>
      <c r="F892" s="47" t="s">
        <v>520</v>
      </c>
      <c r="G892" s="40">
        <v>2298</v>
      </c>
      <c r="H892" s="40">
        <v>889</v>
      </c>
      <c r="I892" s="40">
        <v>498</v>
      </c>
      <c r="J892" s="40">
        <v>911</v>
      </c>
      <c r="K892" s="40">
        <v>2741</v>
      </c>
      <c r="L892" s="40">
        <v>1668</v>
      </c>
      <c r="M892" s="40">
        <v>520</v>
      </c>
      <c r="N892" s="40">
        <v>553</v>
      </c>
      <c r="O892" s="40">
        <v>3517</v>
      </c>
      <c r="P892" s="40">
        <v>2510</v>
      </c>
      <c r="Q892" s="40">
        <v>456</v>
      </c>
      <c r="R892" s="40">
        <v>551</v>
      </c>
      <c r="S892" s="41">
        <v>38.685813799999998</v>
      </c>
      <c r="T892" s="41">
        <v>21.6710183</v>
      </c>
      <c r="U892" s="41">
        <v>39.643168000000003</v>
      </c>
      <c r="V892" s="41">
        <v>60.853703000000003</v>
      </c>
      <c r="W892" s="41">
        <v>18.971178399999999</v>
      </c>
      <c r="X892" s="41">
        <v>20.175118600000001</v>
      </c>
      <c r="Y892" s="41">
        <v>71.367642900000007</v>
      </c>
      <c r="Z892" s="41">
        <v>12.9655957</v>
      </c>
      <c r="AA892" s="41">
        <v>15.6667614</v>
      </c>
    </row>
    <row r="893" spans="1:39" hidden="1" x14ac:dyDescent="0.3">
      <c r="A893" s="32">
        <v>889</v>
      </c>
      <c r="B893" s="33" t="s">
        <v>1</v>
      </c>
      <c r="C893" s="49" t="s">
        <v>267</v>
      </c>
      <c r="D893" s="49" t="s">
        <v>299</v>
      </c>
      <c r="E893" s="49"/>
      <c r="F893" s="34" t="s">
        <v>299</v>
      </c>
      <c r="G893" s="35">
        <v>12709</v>
      </c>
      <c r="H893" s="35">
        <v>7076</v>
      </c>
      <c r="I893" s="35">
        <v>2305</v>
      </c>
      <c r="J893" s="35">
        <v>3328</v>
      </c>
      <c r="K893" s="35">
        <v>16895</v>
      </c>
      <c r="L893" s="35">
        <v>11118</v>
      </c>
      <c r="M893" s="35">
        <v>2641</v>
      </c>
      <c r="N893" s="35">
        <v>3136</v>
      </c>
      <c r="O893" s="35">
        <v>19627</v>
      </c>
      <c r="P893" s="35">
        <v>14874</v>
      </c>
      <c r="Q893" s="35">
        <v>2393</v>
      </c>
      <c r="R893" s="35">
        <v>2360</v>
      </c>
      <c r="S893" s="36">
        <v>55.677079200000001</v>
      </c>
      <c r="T893" s="36">
        <v>18.136753500000001</v>
      </c>
      <c r="U893" s="36">
        <v>26.186167300000001</v>
      </c>
      <c r="V893" s="36">
        <v>65.806451600000003</v>
      </c>
      <c r="W893" s="36">
        <v>15.631843699999999</v>
      </c>
      <c r="X893" s="36">
        <v>18.561704599999999</v>
      </c>
      <c r="Y893" s="36">
        <v>75.783359700000005</v>
      </c>
      <c r="Z893" s="36">
        <v>12.192387999999999</v>
      </c>
      <c r="AA893" s="36">
        <v>12.024252300000001</v>
      </c>
    </row>
    <row r="894" spans="1:39" hidden="1" x14ac:dyDescent="0.3">
      <c r="A894" s="37">
        <v>890</v>
      </c>
      <c r="B894" s="38" t="s">
        <v>1</v>
      </c>
      <c r="C894" s="38" t="s">
        <v>267</v>
      </c>
      <c r="D894" s="38" t="s">
        <v>299</v>
      </c>
      <c r="E894" s="38"/>
      <c r="F894" s="39" t="s">
        <v>519</v>
      </c>
      <c r="G894" s="40">
        <v>6656</v>
      </c>
      <c r="H894" s="40">
        <v>3878</v>
      </c>
      <c r="I894" s="40">
        <v>1258</v>
      </c>
      <c r="J894" s="40">
        <v>1520</v>
      </c>
      <c r="K894" s="40">
        <v>9081</v>
      </c>
      <c r="L894" s="40">
        <v>6106</v>
      </c>
      <c r="M894" s="40">
        <v>1422</v>
      </c>
      <c r="N894" s="40">
        <v>1553</v>
      </c>
      <c r="O894" s="40">
        <v>9327</v>
      </c>
      <c r="P894" s="40">
        <v>7392</v>
      </c>
      <c r="Q894" s="40">
        <v>1079</v>
      </c>
      <c r="R894" s="40">
        <v>856</v>
      </c>
      <c r="S894" s="41">
        <v>58.263221199999997</v>
      </c>
      <c r="T894" s="41">
        <v>18.900240400000001</v>
      </c>
      <c r="U894" s="41">
        <v>22.8365385</v>
      </c>
      <c r="V894" s="41">
        <v>67.239290800000006</v>
      </c>
      <c r="W894" s="41">
        <v>15.659068400000001</v>
      </c>
      <c r="X894" s="41">
        <v>17.101640799999998</v>
      </c>
      <c r="Y894" s="41">
        <v>79.253779399999999</v>
      </c>
      <c r="Z894" s="41">
        <v>11.5685644</v>
      </c>
      <c r="AA894" s="41">
        <v>9.1776563000000007</v>
      </c>
    </row>
    <row r="895" spans="1:39" hidden="1" x14ac:dyDescent="0.3">
      <c r="A895" s="37">
        <v>891</v>
      </c>
      <c r="B895" s="38" t="s">
        <v>1</v>
      </c>
      <c r="C895" s="38" t="s">
        <v>267</v>
      </c>
      <c r="D895" s="38" t="s">
        <v>299</v>
      </c>
      <c r="E895" s="38"/>
      <c r="F895" s="39" t="s">
        <v>520</v>
      </c>
      <c r="G895" s="40">
        <v>6053</v>
      </c>
      <c r="H895" s="40">
        <v>3198</v>
      </c>
      <c r="I895" s="40">
        <v>1047</v>
      </c>
      <c r="J895" s="40">
        <v>1808</v>
      </c>
      <c r="K895" s="40">
        <v>7814</v>
      </c>
      <c r="L895" s="40">
        <v>5012</v>
      </c>
      <c r="M895" s="40">
        <v>1219</v>
      </c>
      <c r="N895" s="40">
        <v>1583</v>
      </c>
      <c r="O895" s="40">
        <v>10300</v>
      </c>
      <c r="P895" s="40">
        <v>7482</v>
      </c>
      <c r="Q895" s="40">
        <v>1314</v>
      </c>
      <c r="R895" s="40">
        <v>1504</v>
      </c>
      <c r="S895" s="41">
        <v>52.833305799999998</v>
      </c>
      <c r="T895" s="41">
        <v>17.297208000000001</v>
      </c>
      <c r="U895" s="41">
        <v>29.869486200000001</v>
      </c>
      <c r="V895" s="41">
        <v>64.141284900000002</v>
      </c>
      <c r="W895" s="41">
        <v>15.6002048</v>
      </c>
      <c r="X895" s="41">
        <v>20.258510399999999</v>
      </c>
      <c r="Y895" s="41">
        <v>72.640776700000004</v>
      </c>
      <c r="Z895" s="41">
        <v>12.757281600000001</v>
      </c>
      <c r="AA895" s="41">
        <v>14.601941699999999</v>
      </c>
    </row>
    <row r="896" spans="1:39" hidden="1" x14ac:dyDescent="0.3">
      <c r="A896" s="42">
        <v>892</v>
      </c>
      <c r="B896" s="43" t="s">
        <v>521</v>
      </c>
      <c r="C896" s="50" t="s">
        <v>267</v>
      </c>
      <c r="D896" s="50" t="s">
        <v>299</v>
      </c>
      <c r="E896" s="50" t="s">
        <v>300</v>
      </c>
      <c r="F896" s="51" t="s">
        <v>300</v>
      </c>
      <c r="G896" s="45">
        <v>10148</v>
      </c>
      <c r="H896" s="45">
        <v>5882</v>
      </c>
      <c r="I896" s="45">
        <v>1810</v>
      </c>
      <c r="J896" s="45">
        <v>2456</v>
      </c>
      <c r="K896" s="45">
        <v>13319</v>
      </c>
      <c r="L896" s="45">
        <v>8924</v>
      </c>
      <c r="M896" s="45">
        <v>2028</v>
      </c>
      <c r="N896" s="45">
        <v>2367</v>
      </c>
      <c r="O896" s="45">
        <v>15876</v>
      </c>
      <c r="P896" s="45">
        <v>12242</v>
      </c>
      <c r="Q896" s="45">
        <v>1882</v>
      </c>
      <c r="R896" s="45">
        <v>1752</v>
      </c>
      <c r="S896" s="46">
        <v>57.962159999999997</v>
      </c>
      <c r="T896" s="46">
        <v>17.836026799999999</v>
      </c>
      <c r="U896" s="46">
        <v>24.2018132</v>
      </c>
      <c r="V896" s="46">
        <v>67.002027200000001</v>
      </c>
      <c r="W896" s="46">
        <v>15.226368300000001</v>
      </c>
      <c r="X896" s="46">
        <v>17.771604499999999</v>
      </c>
      <c r="Y896" s="46">
        <v>77.110103300000006</v>
      </c>
      <c r="Z896" s="46">
        <v>11.8543714</v>
      </c>
      <c r="AA896" s="46">
        <v>11.0355253</v>
      </c>
      <c r="AB896" s="26">
        <f>SUM(W896:X896)</f>
        <v>32.997972799999999</v>
      </c>
      <c r="AC896" s="26">
        <f>SUM(Z896:AA896)</f>
        <v>22.889896700000001</v>
      </c>
      <c r="AD896" s="57">
        <f>M896+N896</f>
        <v>4395</v>
      </c>
      <c r="AE896" s="57">
        <f>Q896+R896</f>
        <v>3634</v>
      </c>
      <c r="AF896" s="26">
        <f>W896</f>
        <v>15.226368300000001</v>
      </c>
      <c r="AG896" s="26">
        <f>Z896</f>
        <v>11.8543714</v>
      </c>
      <c r="AH896" s="26">
        <f>M896</f>
        <v>2028</v>
      </c>
      <c r="AI896" s="26">
        <f>Q896</f>
        <v>1882</v>
      </c>
      <c r="AJ896" s="26">
        <f>X896</f>
        <v>17.771604499999999</v>
      </c>
      <c r="AK896" s="26">
        <f>AA896</f>
        <v>11.0355253</v>
      </c>
      <c r="AL896" s="57">
        <f>N896</f>
        <v>2367</v>
      </c>
      <c r="AM896" s="57">
        <f>R896</f>
        <v>1752</v>
      </c>
    </row>
    <row r="897" spans="1:39" hidden="1" x14ac:dyDescent="0.3">
      <c r="A897" s="37">
        <v>893</v>
      </c>
      <c r="B897" s="38" t="s">
        <v>521</v>
      </c>
      <c r="C897" s="38" t="s">
        <v>267</v>
      </c>
      <c r="D897" s="38" t="s">
        <v>299</v>
      </c>
      <c r="E897" s="38" t="s">
        <v>300</v>
      </c>
      <c r="F897" s="47" t="s">
        <v>519</v>
      </c>
      <c r="G897" s="40">
        <v>5396</v>
      </c>
      <c r="H897" s="40">
        <v>3284</v>
      </c>
      <c r="I897" s="40">
        <v>1025</v>
      </c>
      <c r="J897" s="40">
        <v>1087</v>
      </c>
      <c r="K897" s="40">
        <v>7534</v>
      </c>
      <c r="L897" s="40">
        <v>5079</v>
      </c>
      <c r="M897" s="40">
        <v>1196</v>
      </c>
      <c r="N897" s="40">
        <v>1259</v>
      </c>
      <c r="O897" s="40">
        <v>9327</v>
      </c>
      <c r="P897" s="40">
        <v>7392</v>
      </c>
      <c r="Q897" s="40">
        <v>1079</v>
      </c>
      <c r="R897" s="40">
        <v>856</v>
      </c>
      <c r="S897" s="41">
        <v>60.859896200000001</v>
      </c>
      <c r="T897" s="41">
        <v>18.9955523</v>
      </c>
      <c r="U897" s="41">
        <v>20.144551499999999</v>
      </c>
      <c r="V897" s="41">
        <v>67.414388099999996</v>
      </c>
      <c r="W897" s="41">
        <v>15.874701399999999</v>
      </c>
      <c r="X897" s="41">
        <v>16.710910500000001</v>
      </c>
      <c r="Y897" s="41">
        <v>79.253779399999999</v>
      </c>
      <c r="Z897" s="41">
        <v>11.5685644</v>
      </c>
      <c r="AA897" s="41">
        <v>9.1776563000000007</v>
      </c>
    </row>
    <row r="898" spans="1:39" hidden="1" x14ac:dyDescent="0.3">
      <c r="A898" s="37">
        <v>894</v>
      </c>
      <c r="B898" s="38" t="s">
        <v>521</v>
      </c>
      <c r="C898" s="38" t="s">
        <v>267</v>
      </c>
      <c r="D898" s="38" t="s">
        <v>299</v>
      </c>
      <c r="E898" s="38" t="s">
        <v>300</v>
      </c>
      <c r="F898" s="47" t="s">
        <v>520</v>
      </c>
      <c r="G898" s="40">
        <v>4752</v>
      </c>
      <c r="H898" s="40">
        <v>2598</v>
      </c>
      <c r="I898" s="40">
        <v>785</v>
      </c>
      <c r="J898" s="40">
        <v>1369</v>
      </c>
      <c r="K898" s="40">
        <v>5785</v>
      </c>
      <c r="L898" s="40">
        <v>3845</v>
      </c>
      <c r="M898" s="40">
        <v>832</v>
      </c>
      <c r="N898" s="40">
        <v>1108</v>
      </c>
      <c r="O898" s="40">
        <v>6549</v>
      </c>
      <c r="P898" s="40">
        <v>4850</v>
      </c>
      <c r="Q898" s="40">
        <v>803</v>
      </c>
      <c r="R898" s="40">
        <v>896</v>
      </c>
      <c r="S898" s="41">
        <v>54.671717200000003</v>
      </c>
      <c r="T898" s="41">
        <v>16.519360299999999</v>
      </c>
      <c r="U898" s="41">
        <v>28.808922599999999</v>
      </c>
      <c r="V898" s="41">
        <v>66.464995700000003</v>
      </c>
      <c r="W898" s="41">
        <v>14.3820225</v>
      </c>
      <c r="X898" s="41">
        <v>19.152981799999999</v>
      </c>
      <c r="Y898" s="41">
        <v>74.057107999999999</v>
      </c>
      <c r="Z898" s="41">
        <v>12.261414</v>
      </c>
      <c r="AA898" s="41">
        <v>13.6814781</v>
      </c>
    </row>
    <row r="899" spans="1:39" hidden="1" x14ac:dyDescent="0.3">
      <c r="A899" s="42">
        <v>895</v>
      </c>
      <c r="B899" s="43" t="s">
        <v>521</v>
      </c>
      <c r="C899" s="50" t="s">
        <v>267</v>
      </c>
      <c r="D899" s="50" t="s">
        <v>299</v>
      </c>
      <c r="E899" s="50" t="s">
        <v>301</v>
      </c>
      <c r="F899" s="51" t="s">
        <v>301</v>
      </c>
      <c r="G899" s="45">
        <v>2561</v>
      </c>
      <c r="H899" s="45">
        <v>1194</v>
      </c>
      <c r="I899" s="45">
        <v>495</v>
      </c>
      <c r="J899" s="45">
        <v>872</v>
      </c>
      <c r="K899" s="45">
        <v>3576</v>
      </c>
      <c r="L899" s="45">
        <v>2194</v>
      </c>
      <c r="M899" s="45">
        <v>613</v>
      </c>
      <c r="N899" s="45">
        <v>769</v>
      </c>
      <c r="O899" s="45">
        <v>3751</v>
      </c>
      <c r="P899" s="45">
        <v>2632</v>
      </c>
      <c r="Q899" s="45">
        <v>511</v>
      </c>
      <c r="R899" s="45">
        <v>608</v>
      </c>
      <c r="S899" s="46">
        <v>46.622413100000003</v>
      </c>
      <c r="T899" s="46">
        <v>19.328387299999999</v>
      </c>
      <c r="U899" s="46">
        <v>34.0491995</v>
      </c>
      <c r="V899" s="46">
        <v>61.353467600000002</v>
      </c>
      <c r="W899" s="46">
        <v>17.142058200000001</v>
      </c>
      <c r="X899" s="46">
        <v>21.504474299999998</v>
      </c>
      <c r="Y899" s="46">
        <v>70.167955199999994</v>
      </c>
      <c r="Z899" s="46">
        <v>13.623033899999999</v>
      </c>
      <c r="AA899" s="46">
        <v>16.209010899999999</v>
      </c>
      <c r="AB899" s="26">
        <f>SUM(W899:X899)</f>
        <v>38.646532499999999</v>
      </c>
      <c r="AC899" s="26">
        <f>SUM(Z899:AA899)</f>
        <v>29.832044799999998</v>
      </c>
      <c r="AD899" s="57">
        <f>M899+N899</f>
        <v>1382</v>
      </c>
      <c r="AE899" s="57">
        <f>Q899+R899</f>
        <v>1119</v>
      </c>
      <c r="AF899" s="26">
        <f>W899</f>
        <v>17.142058200000001</v>
      </c>
      <c r="AG899" s="26">
        <f>Z899</f>
        <v>13.623033899999999</v>
      </c>
      <c r="AH899" s="26">
        <f>M899</f>
        <v>613</v>
      </c>
      <c r="AI899" s="26">
        <f>Q899</f>
        <v>511</v>
      </c>
      <c r="AJ899" s="26">
        <f>X899</f>
        <v>21.504474299999998</v>
      </c>
      <c r="AK899" s="26">
        <f>AA899</f>
        <v>16.209010899999999</v>
      </c>
      <c r="AL899" s="57">
        <f>N899</f>
        <v>769</v>
      </c>
      <c r="AM899" s="57">
        <f>R899</f>
        <v>608</v>
      </c>
    </row>
    <row r="900" spans="1:39" hidden="1" x14ac:dyDescent="0.3">
      <c r="A900" s="37">
        <v>896</v>
      </c>
      <c r="B900" s="38" t="s">
        <v>521</v>
      </c>
      <c r="C900" s="38" t="s">
        <v>267</v>
      </c>
      <c r="D900" s="38" t="s">
        <v>299</v>
      </c>
      <c r="E900" s="38" t="s">
        <v>301</v>
      </c>
      <c r="F900" s="47" t="s">
        <v>519</v>
      </c>
      <c r="G900" s="40">
        <v>1260</v>
      </c>
      <c r="H900" s="40">
        <v>594</v>
      </c>
      <c r="I900" s="40">
        <v>233</v>
      </c>
      <c r="J900" s="40">
        <v>433</v>
      </c>
      <c r="K900" s="40">
        <v>1547</v>
      </c>
      <c r="L900" s="40">
        <v>1027</v>
      </c>
      <c r="M900" s="40">
        <v>226</v>
      </c>
      <c r="N900" s="40">
        <v>294</v>
      </c>
      <c r="O900" s="40"/>
      <c r="P900" s="40"/>
      <c r="Q900" s="40"/>
      <c r="R900" s="40"/>
      <c r="S900" s="41">
        <v>47.142857100000001</v>
      </c>
      <c r="T900" s="41">
        <v>18.4920635</v>
      </c>
      <c r="U900" s="41">
        <v>34.365079399999999</v>
      </c>
      <c r="V900" s="41">
        <v>66.386554599999997</v>
      </c>
      <c r="W900" s="41">
        <v>14.6089205</v>
      </c>
      <c r="X900" s="41">
        <v>19.0045249</v>
      </c>
      <c r="Y900" s="41"/>
      <c r="Z900" s="41"/>
      <c r="AA900" s="41"/>
    </row>
    <row r="901" spans="1:39" hidden="1" x14ac:dyDescent="0.3">
      <c r="A901" s="37">
        <v>897</v>
      </c>
      <c r="B901" s="38" t="s">
        <v>521</v>
      </c>
      <c r="C901" s="38" t="s">
        <v>267</v>
      </c>
      <c r="D901" s="38" t="s">
        <v>299</v>
      </c>
      <c r="E901" s="38" t="s">
        <v>301</v>
      </c>
      <c r="F901" s="47" t="s">
        <v>520</v>
      </c>
      <c r="G901" s="40">
        <v>1301</v>
      </c>
      <c r="H901" s="40">
        <v>600</v>
      </c>
      <c r="I901" s="40">
        <v>262</v>
      </c>
      <c r="J901" s="40">
        <v>439</v>
      </c>
      <c r="K901" s="40">
        <v>2029</v>
      </c>
      <c r="L901" s="40">
        <v>1167</v>
      </c>
      <c r="M901" s="40">
        <v>387</v>
      </c>
      <c r="N901" s="40">
        <v>475</v>
      </c>
      <c r="O901" s="40">
        <v>3751</v>
      </c>
      <c r="P901" s="40">
        <v>2632</v>
      </c>
      <c r="Q901" s="40">
        <v>511</v>
      </c>
      <c r="R901" s="40">
        <v>608</v>
      </c>
      <c r="S901" s="41">
        <v>46.118370499999997</v>
      </c>
      <c r="T901" s="41">
        <v>20.138355099999998</v>
      </c>
      <c r="U901" s="41">
        <v>33.743274399999997</v>
      </c>
      <c r="V901" s="41">
        <v>57.516017699999999</v>
      </c>
      <c r="W901" s="41">
        <v>19.073435199999999</v>
      </c>
      <c r="X901" s="41">
        <v>23.410547099999999</v>
      </c>
      <c r="Y901" s="41">
        <v>70.167955199999994</v>
      </c>
      <c r="Z901" s="41">
        <v>13.623033899999999</v>
      </c>
      <c r="AA901" s="41">
        <v>16.209010899999999</v>
      </c>
    </row>
    <row r="902" spans="1:39" hidden="1" x14ac:dyDescent="0.3">
      <c r="A902" s="32">
        <v>898</v>
      </c>
      <c r="B902" s="33" t="s">
        <v>1</v>
      </c>
      <c r="C902" s="49" t="s">
        <v>267</v>
      </c>
      <c r="D902" s="49" t="s">
        <v>525</v>
      </c>
      <c r="E902" s="49"/>
      <c r="F902" s="34" t="s">
        <v>525</v>
      </c>
      <c r="G902" s="35">
        <v>2451</v>
      </c>
      <c r="H902" s="35">
        <v>1083</v>
      </c>
      <c r="I902" s="35">
        <v>507</v>
      </c>
      <c r="J902" s="35">
        <v>861</v>
      </c>
      <c r="K902" s="35">
        <v>3679</v>
      </c>
      <c r="L902" s="35">
        <v>2337</v>
      </c>
      <c r="M902" s="35">
        <v>609</v>
      </c>
      <c r="N902" s="35">
        <v>733</v>
      </c>
      <c r="O902" s="35">
        <v>4822</v>
      </c>
      <c r="P902" s="35">
        <v>3655</v>
      </c>
      <c r="Q902" s="35">
        <v>534</v>
      </c>
      <c r="R902" s="35">
        <v>633</v>
      </c>
      <c r="S902" s="36">
        <v>44.186046500000003</v>
      </c>
      <c r="T902" s="36">
        <v>20.6854345</v>
      </c>
      <c r="U902" s="36">
        <v>35.128518999999997</v>
      </c>
      <c r="V902" s="36">
        <v>63.522696400000001</v>
      </c>
      <c r="W902" s="36">
        <v>16.5534113</v>
      </c>
      <c r="X902" s="36">
        <v>19.9238924</v>
      </c>
      <c r="Y902" s="36">
        <v>75.798423900000003</v>
      </c>
      <c r="Z902" s="36">
        <v>11.0742431</v>
      </c>
      <c r="AA902" s="36">
        <v>13.1273331</v>
      </c>
    </row>
    <row r="903" spans="1:39" hidden="1" x14ac:dyDescent="0.3">
      <c r="A903" s="37">
        <v>899</v>
      </c>
      <c r="B903" s="38" t="s">
        <v>1</v>
      </c>
      <c r="C903" s="38" t="s">
        <v>267</v>
      </c>
      <c r="D903" s="38" t="s">
        <v>525</v>
      </c>
      <c r="E903" s="38"/>
      <c r="F903" s="39" t="s">
        <v>519</v>
      </c>
      <c r="G903" s="40"/>
      <c r="H903" s="40"/>
      <c r="I903" s="40"/>
      <c r="J903" s="40"/>
      <c r="K903" s="40"/>
      <c r="L903" s="40"/>
      <c r="M903" s="40"/>
      <c r="N903" s="40"/>
      <c r="O903" s="40">
        <v>711</v>
      </c>
      <c r="P903" s="40">
        <v>564</v>
      </c>
      <c r="Q903" s="40">
        <v>78</v>
      </c>
      <c r="R903" s="40">
        <v>69</v>
      </c>
      <c r="S903" s="41"/>
      <c r="T903" s="41"/>
      <c r="U903" s="41"/>
      <c r="V903" s="41"/>
      <c r="W903" s="41"/>
      <c r="X903" s="41"/>
      <c r="Y903" s="41">
        <v>79.324894499999999</v>
      </c>
      <c r="Z903" s="41">
        <v>10.970464099999999</v>
      </c>
      <c r="AA903" s="41">
        <v>9.7046413999999999</v>
      </c>
    </row>
    <row r="904" spans="1:39" hidden="1" x14ac:dyDescent="0.3">
      <c r="A904" s="37">
        <v>900</v>
      </c>
      <c r="B904" s="38" t="s">
        <v>1</v>
      </c>
      <c r="C904" s="38" t="s">
        <v>267</v>
      </c>
      <c r="D904" s="38" t="s">
        <v>525</v>
      </c>
      <c r="E904" s="38"/>
      <c r="F904" s="39" t="s">
        <v>520</v>
      </c>
      <c r="G904" s="40">
        <v>2451</v>
      </c>
      <c r="H904" s="40">
        <v>1083</v>
      </c>
      <c r="I904" s="40">
        <v>507</v>
      </c>
      <c r="J904" s="40">
        <v>861</v>
      </c>
      <c r="K904" s="40">
        <v>3679</v>
      </c>
      <c r="L904" s="40">
        <v>2337</v>
      </c>
      <c r="M904" s="40">
        <v>609</v>
      </c>
      <c r="N904" s="40">
        <v>733</v>
      </c>
      <c r="O904" s="40">
        <v>4111</v>
      </c>
      <c r="P904" s="40">
        <v>3091</v>
      </c>
      <c r="Q904" s="40">
        <v>456</v>
      </c>
      <c r="R904" s="40">
        <v>564</v>
      </c>
      <c r="S904" s="41">
        <v>44.186046500000003</v>
      </c>
      <c r="T904" s="41">
        <v>20.6854345</v>
      </c>
      <c r="U904" s="41">
        <v>35.128518999999997</v>
      </c>
      <c r="V904" s="41">
        <v>63.522696400000001</v>
      </c>
      <c r="W904" s="41">
        <v>16.5534113</v>
      </c>
      <c r="X904" s="41">
        <v>19.9238924</v>
      </c>
      <c r="Y904" s="41">
        <v>75.188518599999995</v>
      </c>
      <c r="Z904" s="41">
        <v>11.092191700000001</v>
      </c>
      <c r="AA904" s="41">
        <v>13.719289699999999</v>
      </c>
    </row>
    <row r="905" spans="1:39" hidden="1" x14ac:dyDescent="0.3">
      <c r="A905" s="42">
        <v>901</v>
      </c>
      <c r="B905" s="43" t="s">
        <v>521</v>
      </c>
      <c r="C905" s="50" t="s">
        <v>267</v>
      </c>
      <c r="D905" s="50" t="s">
        <v>525</v>
      </c>
      <c r="E905" s="50" t="s">
        <v>303</v>
      </c>
      <c r="F905" s="51" t="s">
        <v>303</v>
      </c>
      <c r="G905" s="45">
        <v>2241</v>
      </c>
      <c r="H905" s="45">
        <v>977</v>
      </c>
      <c r="I905" s="45">
        <v>469</v>
      </c>
      <c r="J905" s="45">
        <v>795</v>
      </c>
      <c r="K905" s="45">
        <v>3307</v>
      </c>
      <c r="L905" s="45">
        <v>2090</v>
      </c>
      <c r="M905" s="45">
        <v>550</v>
      </c>
      <c r="N905" s="45">
        <v>667</v>
      </c>
      <c r="O905" s="45">
        <v>4165</v>
      </c>
      <c r="P905" s="45">
        <v>3150</v>
      </c>
      <c r="Q905" s="45">
        <v>474</v>
      </c>
      <c r="R905" s="45">
        <v>541</v>
      </c>
      <c r="S905" s="46">
        <v>43.596608699999997</v>
      </c>
      <c r="T905" s="46">
        <v>20.9281571</v>
      </c>
      <c r="U905" s="46">
        <v>35.475234299999997</v>
      </c>
      <c r="V905" s="46">
        <v>63.199274299999999</v>
      </c>
      <c r="W905" s="46">
        <v>16.631388000000001</v>
      </c>
      <c r="X905" s="46">
        <v>20.169337800000001</v>
      </c>
      <c r="Y905" s="46">
        <v>75.630252100000007</v>
      </c>
      <c r="Z905" s="46">
        <v>11.3805522</v>
      </c>
      <c r="AA905" s="46">
        <v>12.9891957</v>
      </c>
      <c r="AB905" s="26">
        <f>SUM(W905:X905)</f>
        <v>36.800725800000002</v>
      </c>
      <c r="AC905" s="26">
        <f>SUM(Z905:AA905)</f>
        <v>24.3697479</v>
      </c>
      <c r="AD905" s="57">
        <f>M905+N905</f>
        <v>1217</v>
      </c>
      <c r="AE905" s="57">
        <f>Q905+R905</f>
        <v>1015</v>
      </c>
      <c r="AF905" s="26">
        <f>W905</f>
        <v>16.631388000000001</v>
      </c>
      <c r="AG905" s="26">
        <f>Z905</f>
        <v>11.3805522</v>
      </c>
      <c r="AH905" s="26">
        <f>M905</f>
        <v>550</v>
      </c>
      <c r="AI905" s="26">
        <f>Q905</f>
        <v>474</v>
      </c>
      <c r="AJ905" s="26">
        <f>X905</f>
        <v>20.169337800000001</v>
      </c>
      <c r="AK905" s="26">
        <f>AA905</f>
        <v>12.9891957</v>
      </c>
      <c r="AL905" s="57">
        <f>N905</f>
        <v>667</v>
      </c>
      <c r="AM905" s="57">
        <f>R905</f>
        <v>541</v>
      </c>
    </row>
    <row r="906" spans="1:39" hidden="1" x14ac:dyDescent="0.3">
      <c r="A906" s="37">
        <v>902</v>
      </c>
      <c r="B906" s="38" t="s">
        <v>521</v>
      </c>
      <c r="C906" s="38" t="s">
        <v>267</v>
      </c>
      <c r="D906" s="38" t="s">
        <v>525</v>
      </c>
      <c r="E906" s="38" t="s">
        <v>303</v>
      </c>
      <c r="F906" s="47" t="s">
        <v>519</v>
      </c>
      <c r="G906" s="40"/>
      <c r="H906" s="40"/>
      <c r="I906" s="40"/>
      <c r="J906" s="40"/>
      <c r="K906" s="40"/>
      <c r="L906" s="40"/>
      <c r="M906" s="40"/>
      <c r="N906" s="40"/>
      <c r="O906" s="40">
        <v>711</v>
      </c>
      <c r="P906" s="40">
        <v>564</v>
      </c>
      <c r="Q906" s="40">
        <v>78</v>
      </c>
      <c r="R906" s="40">
        <v>69</v>
      </c>
      <c r="S906" s="41"/>
      <c r="T906" s="41"/>
      <c r="U906" s="41"/>
      <c r="V906" s="41"/>
      <c r="W906" s="41"/>
      <c r="X906" s="41"/>
      <c r="Y906" s="41">
        <v>79.324894499999999</v>
      </c>
      <c r="Z906" s="41">
        <v>10.970464099999999</v>
      </c>
      <c r="AA906" s="41">
        <v>9.7046413999999999</v>
      </c>
    </row>
    <row r="907" spans="1:39" hidden="1" x14ac:dyDescent="0.3">
      <c r="A907" s="37">
        <v>903</v>
      </c>
      <c r="B907" s="38" t="s">
        <v>521</v>
      </c>
      <c r="C907" s="38" t="s">
        <v>267</v>
      </c>
      <c r="D907" s="38" t="s">
        <v>525</v>
      </c>
      <c r="E907" s="38" t="s">
        <v>303</v>
      </c>
      <c r="F907" s="47" t="s">
        <v>520</v>
      </c>
      <c r="G907" s="40">
        <v>2241</v>
      </c>
      <c r="H907" s="40">
        <v>977</v>
      </c>
      <c r="I907" s="40">
        <v>469</v>
      </c>
      <c r="J907" s="40">
        <v>795</v>
      </c>
      <c r="K907" s="40">
        <v>3307</v>
      </c>
      <c r="L907" s="40">
        <v>2090</v>
      </c>
      <c r="M907" s="40">
        <v>550</v>
      </c>
      <c r="N907" s="40">
        <v>667</v>
      </c>
      <c r="O907" s="40">
        <v>3454</v>
      </c>
      <c r="P907" s="40">
        <v>2586</v>
      </c>
      <c r="Q907" s="40">
        <v>396</v>
      </c>
      <c r="R907" s="40">
        <v>472</v>
      </c>
      <c r="S907" s="41">
        <v>43.596608699999997</v>
      </c>
      <c r="T907" s="41">
        <v>20.9281571</v>
      </c>
      <c r="U907" s="41">
        <v>35.475234299999997</v>
      </c>
      <c r="V907" s="41">
        <v>63.199274299999999</v>
      </c>
      <c r="W907" s="41">
        <v>16.631388000000001</v>
      </c>
      <c r="X907" s="41">
        <v>20.169337800000001</v>
      </c>
      <c r="Y907" s="41">
        <v>74.869716299999993</v>
      </c>
      <c r="Z907" s="41">
        <v>11.464968199999999</v>
      </c>
      <c r="AA907" s="41">
        <v>13.6653156</v>
      </c>
    </row>
    <row r="908" spans="1:39" hidden="1" x14ac:dyDescent="0.3">
      <c r="A908" s="42">
        <v>904</v>
      </c>
      <c r="B908" s="43" t="s">
        <v>521</v>
      </c>
      <c r="C908" s="50" t="s">
        <v>267</v>
      </c>
      <c r="D908" s="50" t="s">
        <v>525</v>
      </c>
      <c r="E908" s="50" t="s">
        <v>305</v>
      </c>
      <c r="F908" s="51" t="s">
        <v>305</v>
      </c>
      <c r="G908" s="45">
        <v>210</v>
      </c>
      <c r="H908" s="45">
        <v>106</v>
      </c>
      <c r="I908" s="45">
        <v>38</v>
      </c>
      <c r="J908" s="45">
        <v>66</v>
      </c>
      <c r="K908" s="45">
        <v>372</v>
      </c>
      <c r="L908" s="45">
        <v>247</v>
      </c>
      <c r="M908" s="45">
        <v>59</v>
      </c>
      <c r="N908" s="45">
        <v>66</v>
      </c>
      <c r="O908" s="45">
        <v>657</v>
      </c>
      <c r="P908" s="45">
        <v>505</v>
      </c>
      <c r="Q908" s="45">
        <v>60</v>
      </c>
      <c r="R908" s="45">
        <v>92</v>
      </c>
      <c r="S908" s="46">
        <v>50.476190500000001</v>
      </c>
      <c r="T908" s="46">
        <v>18.0952381</v>
      </c>
      <c r="U908" s="46">
        <v>31.428571399999999</v>
      </c>
      <c r="V908" s="46">
        <v>66.397849500000007</v>
      </c>
      <c r="W908" s="46">
        <v>15.8602151</v>
      </c>
      <c r="X908" s="46">
        <v>17.7419355</v>
      </c>
      <c r="Y908" s="46">
        <v>76.864535799999999</v>
      </c>
      <c r="Z908" s="46">
        <v>9.1324200999999992</v>
      </c>
      <c r="AA908" s="46">
        <v>14.0030441</v>
      </c>
      <c r="AB908" s="26">
        <f>SUM(W908:X908)</f>
        <v>33.602150600000002</v>
      </c>
      <c r="AC908" s="26">
        <f>SUM(Z908:AA908)</f>
        <v>23.135464200000001</v>
      </c>
      <c r="AD908" s="57">
        <f>M908+N908</f>
        <v>125</v>
      </c>
      <c r="AE908" s="57">
        <f>Q908+R908</f>
        <v>152</v>
      </c>
      <c r="AF908" s="26">
        <f>W908</f>
        <v>15.8602151</v>
      </c>
      <c r="AG908" s="26">
        <f>Z908</f>
        <v>9.1324200999999992</v>
      </c>
      <c r="AH908" s="26">
        <f>M908</f>
        <v>59</v>
      </c>
      <c r="AI908" s="26">
        <f>Q908</f>
        <v>60</v>
      </c>
      <c r="AJ908" s="26">
        <f>X908</f>
        <v>17.7419355</v>
      </c>
      <c r="AK908" s="26">
        <f>AA908</f>
        <v>14.0030441</v>
      </c>
      <c r="AL908" s="57">
        <f>N908</f>
        <v>66</v>
      </c>
      <c r="AM908" s="57">
        <f>R908</f>
        <v>92</v>
      </c>
    </row>
    <row r="909" spans="1:39" hidden="1" x14ac:dyDescent="0.3">
      <c r="A909" s="37">
        <v>905</v>
      </c>
      <c r="B909" s="38" t="s">
        <v>521</v>
      </c>
      <c r="C909" s="38" t="s">
        <v>267</v>
      </c>
      <c r="D909" s="38" t="s">
        <v>525</v>
      </c>
      <c r="E909" s="38" t="s">
        <v>305</v>
      </c>
      <c r="F909" s="47" t="s">
        <v>519</v>
      </c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1"/>
      <c r="T909" s="41"/>
      <c r="U909" s="41"/>
      <c r="V909" s="41"/>
      <c r="W909" s="41"/>
      <c r="X909" s="41"/>
      <c r="Y909" s="41"/>
      <c r="Z909" s="41"/>
      <c r="AA909" s="41"/>
    </row>
    <row r="910" spans="1:39" hidden="1" x14ac:dyDescent="0.3">
      <c r="A910" s="37">
        <v>906</v>
      </c>
      <c r="B910" s="38" t="s">
        <v>521</v>
      </c>
      <c r="C910" s="38" t="s">
        <v>267</v>
      </c>
      <c r="D910" s="38" t="s">
        <v>525</v>
      </c>
      <c r="E910" s="38" t="s">
        <v>305</v>
      </c>
      <c r="F910" s="47" t="s">
        <v>520</v>
      </c>
      <c r="G910" s="40">
        <v>210</v>
      </c>
      <c r="H910" s="40">
        <v>106</v>
      </c>
      <c r="I910" s="40">
        <v>38</v>
      </c>
      <c r="J910" s="40">
        <v>66</v>
      </c>
      <c r="K910" s="40">
        <v>372</v>
      </c>
      <c r="L910" s="40">
        <v>247</v>
      </c>
      <c r="M910" s="40">
        <v>59</v>
      </c>
      <c r="N910" s="40">
        <v>66</v>
      </c>
      <c r="O910" s="40">
        <v>657</v>
      </c>
      <c r="P910" s="40">
        <v>505</v>
      </c>
      <c r="Q910" s="40">
        <v>60</v>
      </c>
      <c r="R910" s="40">
        <v>92</v>
      </c>
      <c r="S910" s="41">
        <v>50.476190500000001</v>
      </c>
      <c r="T910" s="41">
        <v>18.0952381</v>
      </c>
      <c r="U910" s="41">
        <v>31.428571399999999</v>
      </c>
      <c r="V910" s="41">
        <v>66.397849500000007</v>
      </c>
      <c r="W910" s="41">
        <v>15.8602151</v>
      </c>
      <c r="X910" s="41">
        <v>17.7419355</v>
      </c>
      <c r="Y910" s="41">
        <v>76.864535799999999</v>
      </c>
      <c r="Z910" s="41">
        <v>9.1324200999999992</v>
      </c>
      <c r="AA910" s="41">
        <v>14.0030441</v>
      </c>
    </row>
    <row r="911" spans="1:39" hidden="1" x14ac:dyDescent="0.3">
      <c r="A911" s="32">
        <v>907</v>
      </c>
      <c r="B911" s="33" t="s">
        <v>1</v>
      </c>
      <c r="C911" s="49" t="s">
        <v>267</v>
      </c>
      <c r="D911" s="49" t="s">
        <v>526</v>
      </c>
      <c r="E911" s="49"/>
      <c r="F911" s="34" t="s">
        <v>526</v>
      </c>
      <c r="G911" s="35">
        <v>1186</v>
      </c>
      <c r="H911" s="35">
        <v>499</v>
      </c>
      <c r="I911" s="35">
        <v>183</v>
      </c>
      <c r="J911" s="35">
        <v>504</v>
      </c>
      <c r="K911" s="35">
        <v>1944</v>
      </c>
      <c r="L911" s="35">
        <v>1049</v>
      </c>
      <c r="M911" s="35">
        <v>330</v>
      </c>
      <c r="N911" s="35">
        <v>565</v>
      </c>
      <c r="O911" s="35">
        <v>2125</v>
      </c>
      <c r="P911" s="35">
        <v>1368</v>
      </c>
      <c r="Q911" s="35">
        <v>294</v>
      </c>
      <c r="R911" s="35">
        <v>463</v>
      </c>
      <c r="S911" s="36">
        <v>42.074199</v>
      </c>
      <c r="T911" s="36">
        <v>15.4300169</v>
      </c>
      <c r="U911" s="36">
        <v>42.495784100000002</v>
      </c>
      <c r="V911" s="36">
        <v>53.9609053</v>
      </c>
      <c r="W911" s="36">
        <v>16.975308600000002</v>
      </c>
      <c r="X911" s="36">
        <v>29.063786</v>
      </c>
      <c r="Y911" s="36">
        <v>64.376470600000005</v>
      </c>
      <c r="Z911" s="36">
        <v>13.8352941</v>
      </c>
      <c r="AA911" s="36">
        <v>21.7882353</v>
      </c>
    </row>
    <row r="912" spans="1:39" hidden="1" x14ac:dyDescent="0.3">
      <c r="A912" s="37">
        <v>908</v>
      </c>
      <c r="B912" s="38" t="s">
        <v>1</v>
      </c>
      <c r="C912" s="38" t="s">
        <v>267</v>
      </c>
      <c r="D912" s="38" t="s">
        <v>526</v>
      </c>
      <c r="E912" s="38"/>
      <c r="F912" s="39" t="s">
        <v>519</v>
      </c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1"/>
      <c r="T912" s="41"/>
      <c r="U912" s="41"/>
      <c r="V912" s="41"/>
      <c r="W912" s="41"/>
      <c r="X912" s="41"/>
      <c r="Y912" s="41"/>
      <c r="Z912" s="41"/>
      <c r="AA912" s="41"/>
    </row>
    <row r="913" spans="1:39" hidden="1" x14ac:dyDescent="0.3">
      <c r="A913" s="37">
        <v>909</v>
      </c>
      <c r="B913" s="38" t="s">
        <v>1</v>
      </c>
      <c r="C913" s="38" t="s">
        <v>267</v>
      </c>
      <c r="D913" s="38" t="s">
        <v>526</v>
      </c>
      <c r="E913" s="38"/>
      <c r="F913" s="39" t="s">
        <v>520</v>
      </c>
      <c r="G913" s="40">
        <v>1186</v>
      </c>
      <c r="H913" s="40">
        <v>499</v>
      </c>
      <c r="I913" s="40">
        <v>183</v>
      </c>
      <c r="J913" s="40">
        <v>504</v>
      </c>
      <c r="K913" s="40">
        <v>1944</v>
      </c>
      <c r="L913" s="40">
        <v>1049</v>
      </c>
      <c r="M913" s="40">
        <v>330</v>
      </c>
      <c r="N913" s="40">
        <v>565</v>
      </c>
      <c r="O913" s="40">
        <v>2125</v>
      </c>
      <c r="P913" s="40">
        <v>1368</v>
      </c>
      <c r="Q913" s="40">
        <v>294</v>
      </c>
      <c r="R913" s="40">
        <v>463</v>
      </c>
      <c r="S913" s="41">
        <v>42.074199</v>
      </c>
      <c r="T913" s="41">
        <v>15.4300169</v>
      </c>
      <c r="U913" s="41">
        <v>42.495784100000002</v>
      </c>
      <c r="V913" s="41">
        <v>53.9609053</v>
      </c>
      <c r="W913" s="41">
        <v>16.975308600000002</v>
      </c>
      <c r="X913" s="41">
        <v>29.063786</v>
      </c>
      <c r="Y913" s="41">
        <v>64.376470600000005</v>
      </c>
      <c r="Z913" s="41">
        <v>13.8352941</v>
      </c>
      <c r="AA913" s="41">
        <v>21.7882353</v>
      </c>
    </row>
    <row r="914" spans="1:39" hidden="1" x14ac:dyDescent="0.3">
      <c r="A914" s="42">
        <v>910</v>
      </c>
      <c r="B914" s="43" t="s">
        <v>521</v>
      </c>
      <c r="C914" s="50" t="s">
        <v>267</v>
      </c>
      <c r="D914" s="50" t="s">
        <v>526</v>
      </c>
      <c r="E914" s="50" t="s">
        <v>308</v>
      </c>
      <c r="F914" s="51" t="s">
        <v>308</v>
      </c>
      <c r="G914" s="45">
        <v>629</v>
      </c>
      <c r="H914" s="45">
        <v>269</v>
      </c>
      <c r="I914" s="45">
        <v>100</v>
      </c>
      <c r="J914" s="45">
        <v>260</v>
      </c>
      <c r="K914" s="45">
        <v>871</v>
      </c>
      <c r="L914" s="45">
        <v>457</v>
      </c>
      <c r="M914" s="45">
        <v>150</v>
      </c>
      <c r="N914" s="45">
        <v>264</v>
      </c>
      <c r="O914" s="45">
        <v>1111</v>
      </c>
      <c r="P914" s="45">
        <v>733</v>
      </c>
      <c r="Q914" s="45">
        <v>136</v>
      </c>
      <c r="R914" s="45">
        <v>242</v>
      </c>
      <c r="S914" s="46">
        <v>42.766295700000001</v>
      </c>
      <c r="T914" s="46">
        <v>15.898251200000001</v>
      </c>
      <c r="U914" s="46">
        <v>41.335453100000002</v>
      </c>
      <c r="V914" s="46">
        <v>52.4684271</v>
      </c>
      <c r="W914" s="46">
        <v>17.221584400000001</v>
      </c>
      <c r="X914" s="46">
        <v>30.309988499999999</v>
      </c>
      <c r="Y914" s="46">
        <v>65.976597699999999</v>
      </c>
      <c r="Z914" s="46">
        <v>12.2412241</v>
      </c>
      <c r="AA914" s="46">
        <v>21.782178200000001</v>
      </c>
      <c r="AB914" s="26">
        <f>SUM(W914:X914)</f>
        <v>47.5315729</v>
      </c>
      <c r="AC914" s="26">
        <f>SUM(Z914:AA914)</f>
        <v>34.023402300000001</v>
      </c>
      <c r="AD914" s="57">
        <f>M914+N914</f>
        <v>414</v>
      </c>
      <c r="AE914" s="57">
        <f>Q914+R914</f>
        <v>378</v>
      </c>
      <c r="AF914" s="26">
        <f>W914</f>
        <v>17.221584400000001</v>
      </c>
      <c r="AG914" s="26">
        <f>Z914</f>
        <v>12.2412241</v>
      </c>
      <c r="AH914" s="26">
        <f>M914</f>
        <v>150</v>
      </c>
      <c r="AI914" s="26">
        <f>Q914</f>
        <v>136</v>
      </c>
      <c r="AJ914" s="26">
        <f>X914</f>
        <v>30.309988499999999</v>
      </c>
      <c r="AK914" s="26">
        <f>AA914</f>
        <v>21.782178200000001</v>
      </c>
      <c r="AL914" s="57">
        <f>N914</f>
        <v>264</v>
      </c>
      <c r="AM914" s="57">
        <f>R914</f>
        <v>242</v>
      </c>
    </row>
    <row r="915" spans="1:39" hidden="1" x14ac:dyDescent="0.3">
      <c r="A915" s="37">
        <v>911</v>
      </c>
      <c r="B915" s="38" t="s">
        <v>521</v>
      </c>
      <c r="C915" s="38" t="s">
        <v>267</v>
      </c>
      <c r="D915" s="38" t="s">
        <v>526</v>
      </c>
      <c r="E915" s="38" t="s">
        <v>308</v>
      </c>
      <c r="F915" s="47" t="s">
        <v>519</v>
      </c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1"/>
      <c r="T915" s="41"/>
      <c r="U915" s="41"/>
      <c r="V915" s="41"/>
      <c r="W915" s="41"/>
      <c r="X915" s="41"/>
      <c r="Y915" s="41"/>
      <c r="Z915" s="41"/>
      <c r="AA915" s="41"/>
    </row>
    <row r="916" spans="1:39" hidden="1" x14ac:dyDescent="0.3">
      <c r="A916" s="37">
        <v>912</v>
      </c>
      <c r="B916" s="38" t="s">
        <v>521</v>
      </c>
      <c r="C916" s="38" t="s">
        <v>267</v>
      </c>
      <c r="D916" s="38" t="s">
        <v>526</v>
      </c>
      <c r="E916" s="38" t="s">
        <v>308</v>
      </c>
      <c r="F916" s="47" t="s">
        <v>520</v>
      </c>
      <c r="G916" s="40">
        <v>629</v>
      </c>
      <c r="H916" s="40">
        <v>269</v>
      </c>
      <c r="I916" s="40">
        <v>100</v>
      </c>
      <c r="J916" s="40">
        <v>260</v>
      </c>
      <c r="K916" s="40">
        <v>871</v>
      </c>
      <c r="L916" s="40">
        <v>457</v>
      </c>
      <c r="M916" s="40">
        <v>150</v>
      </c>
      <c r="N916" s="40">
        <v>264</v>
      </c>
      <c r="O916" s="40">
        <v>1111</v>
      </c>
      <c r="P916" s="40">
        <v>733</v>
      </c>
      <c r="Q916" s="40">
        <v>136</v>
      </c>
      <c r="R916" s="40">
        <v>242</v>
      </c>
      <c r="S916" s="41">
        <v>42.766295700000001</v>
      </c>
      <c r="T916" s="41">
        <v>15.898251200000001</v>
      </c>
      <c r="U916" s="41">
        <v>41.335453100000002</v>
      </c>
      <c r="V916" s="41">
        <v>52.4684271</v>
      </c>
      <c r="W916" s="41">
        <v>17.221584400000001</v>
      </c>
      <c r="X916" s="41">
        <v>30.309988499999999</v>
      </c>
      <c r="Y916" s="41">
        <v>65.976597699999999</v>
      </c>
      <c r="Z916" s="41">
        <v>12.2412241</v>
      </c>
      <c r="AA916" s="41">
        <v>21.782178200000001</v>
      </c>
    </row>
    <row r="917" spans="1:39" hidden="1" x14ac:dyDescent="0.3">
      <c r="A917" s="42">
        <v>913</v>
      </c>
      <c r="B917" s="43" t="s">
        <v>521</v>
      </c>
      <c r="C917" s="50" t="s">
        <v>267</v>
      </c>
      <c r="D917" s="50" t="s">
        <v>526</v>
      </c>
      <c r="E917" s="50" t="s">
        <v>310</v>
      </c>
      <c r="F917" s="51" t="s">
        <v>310</v>
      </c>
      <c r="G917" s="45">
        <v>196</v>
      </c>
      <c r="H917" s="45">
        <v>103</v>
      </c>
      <c r="I917" s="45">
        <v>25</v>
      </c>
      <c r="J917" s="45">
        <v>68</v>
      </c>
      <c r="K917" s="45">
        <v>358</v>
      </c>
      <c r="L917" s="45">
        <v>179</v>
      </c>
      <c r="M917" s="45">
        <v>78</v>
      </c>
      <c r="N917" s="45">
        <v>101</v>
      </c>
      <c r="O917" s="45">
        <v>324</v>
      </c>
      <c r="P917" s="45">
        <v>194</v>
      </c>
      <c r="Q917" s="45">
        <v>65</v>
      </c>
      <c r="R917" s="45">
        <v>65</v>
      </c>
      <c r="S917" s="46">
        <v>52.551020399999999</v>
      </c>
      <c r="T917" s="46">
        <v>12.755102000000001</v>
      </c>
      <c r="U917" s="46">
        <v>34.6938776</v>
      </c>
      <c r="V917" s="46">
        <v>50</v>
      </c>
      <c r="W917" s="46">
        <v>21.787709499999998</v>
      </c>
      <c r="X917" s="46">
        <v>28.212290500000002</v>
      </c>
      <c r="Y917" s="46">
        <v>59.8765432</v>
      </c>
      <c r="Z917" s="46">
        <v>20.0617284</v>
      </c>
      <c r="AA917" s="46">
        <v>20.0617284</v>
      </c>
      <c r="AB917" s="26">
        <f>SUM(W917:X917)</f>
        <v>50</v>
      </c>
      <c r="AC917" s="26">
        <f>SUM(Z917:AA917)</f>
        <v>40.1234568</v>
      </c>
      <c r="AD917" s="57">
        <f>M917+N917</f>
        <v>179</v>
      </c>
      <c r="AE917" s="57">
        <f>Q917+R917</f>
        <v>130</v>
      </c>
      <c r="AF917" s="26">
        <f>W917</f>
        <v>21.787709499999998</v>
      </c>
      <c r="AG917" s="26">
        <f>Z917</f>
        <v>20.0617284</v>
      </c>
      <c r="AH917" s="26">
        <f>M917</f>
        <v>78</v>
      </c>
      <c r="AI917" s="26">
        <f>Q917</f>
        <v>65</v>
      </c>
      <c r="AJ917" s="26">
        <f>X917</f>
        <v>28.212290500000002</v>
      </c>
      <c r="AK917" s="26">
        <f>AA917</f>
        <v>20.0617284</v>
      </c>
      <c r="AL917" s="57">
        <f>N917</f>
        <v>101</v>
      </c>
      <c r="AM917" s="57">
        <f>R917</f>
        <v>65</v>
      </c>
    </row>
    <row r="918" spans="1:39" hidden="1" x14ac:dyDescent="0.3">
      <c r="A918" s="37">
        <v>914</v>
      </c>
      <c r="B918" s="38" t="s">
        <v>521</v>
      </c>
      <c r="C918" s="38" t="s">
        <v>267</v>
      </c>
      <c r="D918" s="38" t="s">
        <v>526</v>
      </c>
      <c r="E918" s="38" t="s">
        <v>310</v>
      </c>
      <c r="F918" s="47" t="s">
        <v>519</v>
      </c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1"/>
      <c r="T918" s="41"/>
      <c r="U918" s="41"/>
      <c r="V918" s="41"/>
      <c r="W918" s="41"/>
      <c r="X918" s="41"/>
      <c r="Y918" s="41"/>
      <c r="Z918" s="41"/>
      <c r="AA918" s="41"/>
    </row>
    <row r="919" spans="1:39" hidden="1" x14ac:dyDescent="0.3">
      <c r="A919" s="37">
        <v>915</v>
      </c>
      <c r="B919" s="38" t="s">
        <v>521</v>
      </c>
      <c r="C919" s="38" t="s">
        <v>267</v>
      </c>
      <c r="D919" s="38" t="s">
        <v>526</v>
      </c>
      <c r="E919" s="38" t="s">
        <v>310</v>
      </c>
      <c r="F919" s="47" t="s">
        <v>520</v>
      </c>
      <c r="G919" s="40">
        <v>196</v>
      </c>
      <c r="H919" s="40">
        <v>103</v>
      </c>
      <c r="I919" s="40">
        <v>25</v>
      </c>
      <c r="J919" s="40">
        <v>68</v>
      </c>
      <c r="K919" s="40">
        <v>358</v>
      </c>
      <c r="L919" s="40">
        <v>179</v>
      </c>
      <c r="M919" s="40">
        <v>78</v>
      </c>
      <c r="N919" s="40">
        <v>101</v>
      </c>
      <c r="O919" s="40">
        <v>324</v>
      </c>
      <c r="P919" s="40">
        <v>194</v>
      </c>
      <c r="Q919" s="40">
        <v>65</v>
      </c>
      <c r="R919" s="40">
        <v>65</v>
      </c>
      <c r="S919" s="41">
        <v>52.551020399999999</v>
      </c>
      <c r="T919" s="41">
        <v>12.755102000000001</v>
      </c>
      <c r="U919" s="41">
        <v>34.6938776</v>
      </c>
      <c r="V919" s="41">
        <v>50</v>
      </c>
      <c r="W919" s="41">
        <v>21.787709499999998</v>
      </c>
      <c r="X919" s="41">
        <v>28.212290500000002</v>
      </c>
      <c r="Y919" s="41">
        <v>59.8765432</v>
      </c>
      <c r="Z919" s="41">
        <v>20.0617284</v>
      </c>
      <c r="AA919" s="41">
        <v>20.0617284</v>
      </c>
    </row>
    <row r="920" spans="1:39" hidden="1" x14ac:dyDescent="0.3">
      <c r="A920" s="42">
        <v>916</v>
      </c>
      <c r="B920" s="43" t="s">
        <v>521</v>
      </c>
      <c r="C920" s="50" t="s">
        <v>267</v>
      </c>
      <c r="D920" s="50" t="s">
        <v>526</v>
      </c>
      <c r="E920" s="50" t="s">
        <v>311</v>
      </c>
      <c r="F920" s="51" t="s">
        <v>311</v>
      </c>
      <c r="G920" s="45">
        <v>361</v>
      </c>
      <c r="H920" s="45">
        <v>127</v>
      </c>
      <c r="I920" s="45">
        <v>58</v>
      </c>
      <c r="J920" s="45">
        <v>176</v>
      </c>
      <c r="K920" s="45">
        <v>715</v>
      </c>
      <c r="L920" s="45">
        <v>413</v>
      </c>
      <c r="M920" s="45">
        <v>102</v>
      </c>
      <c r="N920" s="45">
        <v>200</v>
      </c>
      <c r="O920" s="45">
        <v>690</v>
      </c>
      <c r="P920" s="45">
        <v>441</v>
      </c>
      <c r="Q920" s="45">
        <v>93</v>
      </c>
      <c r="R920" s="45">
        <v>156</v>
      </c>
      <c r="S920" s="46">
        <v>35.180055400000001</v>
      </c>
      <c r="T920" s="46">
        <v>16.066482000000001</v>
      </c>
      <c r="U920" s="46">
        <v>48.753462599999999</v>
      </c>
      <c r="V920" s="46">
        <v>57.762237800000001</v>
      </c>
      <c r="W920" s="46">
        <v>14.2657343</v>
      </c>
      <c r="X920" s="46">
        <v>27.972028000000002</v>
      </c>
      <c r="Y920" s="46">
        <v>63.913043500000001</v>
      </c>
      <c r="Z920" s="46">
        <v>13.4782609</v>
      </c>
      <c r="AA920" s="46">
        <v>22.608695699999998</v>
      </c>
      <c r="AB920" s="26">
        <f>SUM(W920:X920)</f>
        <v>42.2377623</v>
      </c>
      <c r="AC920" s="26">
        <f>SUM(Z920:AA920)</f>
        <v>36.086956600000001</v>
      </c>
      <c r="AD920" s="57">
        <f>M920+N920</f>
        <v>302</v>
      </c>
      <c r="AE920" s="57">
        <f>Q920+R920</f>
        <v>249</v>
      </c>
      <c r="AF920" s="26">
        <f>W920</f>
        <v>14.2657343</v>
      </c>
      <c r="AG920" s="26">
        <f>Z920</f>
        <v>13.4782609</v>
      </c>
      <c r="AH920" s="26">
        <f>M920</f>
        <v>102</v>
      </c>
      <c r="AI920" s="26">
        <f>Q920</f>
        <v>93</v>
      </c>
      <c r="AJ920" s="26">
        <f>X920</f>
        <v>27.972028000000002</v>
      </c>
      <c r="AK920" s="26">
        <f>AA920</f>
        <v>22.608695699999998</v>
      </c>
      <c r="AL920" s="57">
        <f>N920</f>
        <v>200</v>
      </c>
      <c r="AM920" s="57">
        <f>R920</f>
        <v>156</v>
      </c>
    </row>
    <row r="921" spans="1:39" hidden="1" x14ac:dyDescent="0.3">
      <c r="A921" s="37">
        <v>917</v>
      </c>
      <c r="B921" s="38" t="s">
        <v>521</v>
      </c>
      <c r="C921" s="38" t="s">
        <v>267</v>
      </c>
      <c r="D921" s="38" t="s">
        <v>526</v>
      </c>
      <c r="E921" s="38" t="s">
        <v>311</v>
      </c>
      <c r="F921" s="47" t="s">
        <v>519</v>
      </c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1"/>
      <c r="T921" s="41"/>
      <c r="U921" s="41"/>
      <c r="V921" s="41"/>
      <c r="W921" s="41"/>
      <c r="X921" s="41"/>
      <c r="Y921" s="41"/>
      <c r="Z921" s="41"/>
      <c r="AA921" s="41"/>
    </row>
    <row r="922" spans="1:39" hidden="1" x14ac:dyDescent="0.3">
      <c r="A922" s="37">
        <v>918</v>
      </c>
      <c r="B922" s="38" t="s">
        <v>521</v>
      </c>
      <c r="C922" s="38" t="s">
        <v>267</v>
      </c>
      <c r="D922" s="38" t="s">
        <v>526</v>
      </c>
      <c r="E922" s="38" t="s">
        <v>311</v>
      </c>
      <c r="F922" s="47" t="s">
        <v>520</v>
      </c>
      <c r="G922" s="40">
        <v>361</v>
      </c>
      <c r="H922" s="40">
        <v>127</v>
      </c>
      <c r="I922" s="40">
        <v>58</v>
      </c>
      <c r="J922" s="40">
        <v>176</v>
      </c>
      <c r="K922" s="40">
        <v>715</v>
      </c>
      <c r="L922" s="40">
        <v>413</v>
      </c>
      <c r="M922" s="40">
        <v>102</v>
      </c>
      <c r="N922" s="40">
        <v>200</v>
      </c>
      <c r="O922" s="40">
        <v>690</v>
      </c>
      <c r="P922" s="40">
        <v>441</v>
      </c>
      <c r="Q922" s="40">
        <v>93</v>
      </c>
      <c r="R922" s="40">
        <v>156</v>
      </c>
      <c r="S922" s="41">
        <v>35.180055400000001</v>
      </c>
      <c r="T922" s="41">
        <v>16.066482000000001</v>
      </c>
      <c r="U922" s="41">
        <v>48.753462599999999</v>
      </c>
      <c r="V922" s="41">
        <v>57.762237800000001</v>
      </c>
      <c r="W922" s="41">
        <v>14.2657343</v>
      </c>
      <c r="X922" s="41">
        <v>27.972028000000002</v>
      </c>
      <c r="Y922" s="41">
        <v>63.913043500000001</v>
      </c>
      <c r="Z922" s="41">
        <v>13.4782609</v>
      </c>
      <c r="AA922" s="41">
        <v>22.608695699999998</v>
      </c>
    </row>
    <row r="923" spans="1:39" hidden="1" x14ac:dyDescent="0.3">
      <c r="A923" s="32">
        <v>919</v>
      </c>
      <c r="B923" s="33" t="s">
        <v>1</v>
      </c>
      <c r="C923" s="49" t="s">
        <v>267</v>
      </c>
      <c r="D923" s="49" t="s">
        <v>312</v>
      </c>
      <c r="E923" s="49"/>
      <c r="F923" s="34" t="s">
        <v>312</v>
      </c>
      <c r="G923" s="35">
        <v>13030</v>
      </c>
      <c r="H923" s="35">
        <v>6032</v>
      </c>
      <c r="I923" s="35">
        <v>2441</v>
      </c>
      <c r="J923" s="35">
        <v>4557</v>
      </c>
      <c r="K923" s="35">
        <v>14472</v>
      </c>
      <c r="L923" s="35">
        <v>8619</v>
      </c>
      <c r="M923" s="35">
        <v>2350</v>
      </c>
      <c r="N923" s="35">
        <v>3503</v>
      </c>
      <c r="O923" s="35">
        <v>15097</v>
      </c>
      <c r="P923" s="35">
        <v>10581</v>
      </c>
      <c r="Q923" s="35">
        <v>1968</v>
      </c>
      <c r="R923" s="35">
        <v>2548</v>
      </c>
      <c r="S923" s="36">
        <v>46.293169599999999</v>
      </c>
      <c r="T923" s="36">
        <v>18.733691499999999</v>
      </c>
      <c r="U923" s="36">
        <v>34.973138900000002</v>
      </c>
      <c r="V923" s="36">
        <v>59.556384700000002</v>
      </c>
      <c r="W923" s="36">
        <v>16.238253199999999</v>
      </c>
      <c r="X923" s="36">
        <v>24.205362099999999</v>
      </c>
      <c r="Y923" s="36">
        <v>70.086772199999999</v>
      </c>
      <c r="Z923" s="36">
        <v>13.035702499999999</v>
      </c>
      <c r="AA923" s="36">
        <v>16.877525299999999</v>
      </c>
    </row>
    <row r="924" spans="1:39" hidden="1" x14ac:dyDescent="0.3">
      <c r="A924" s="37">
        <v>920</v>
      </c>
      <c r="B924" s="38" t="s">
        <v>1</v>
      </c>
      <c r="C924" s="38" t="s">
        <v>267</v>
      </c>
      <c r="D924" s="38" t="s">
        <v>312</v>
      </c>
      <c r="E924" s="38"/>
      <c r="F924" s="39" t="s">
        <v>519</v>
      </c>
      <c r="G924" s="40"/>
      <c r="H924" s="40"/>
      <c r="I924" s="40"/>
      <c r="J924" s="40"/>
      <c r="K924" s="40">
        <v>722</v>
      </c>
      <c r="L924" s="40">
        <v>410</v>
      </c>
      <c r="M924" s="40">
        <v>133</v>
      </c>
      <c r="N924" s="40">
        <v>179</v>
      </c>
      <c r="O924" s="40">
        <v>1230</v>
      </c>
      <c r="P924" s="40">
        <v>823</v>
      </c>
      <c r="Q924" s="40">
        <v>171</v>
      </c>
      <c r="R924" s="40">
        <v>236</v>
      </c>
      <c r="S924" s="41"/>
      <c r="T924" s="41"/>
      <c r="U924" s="41"/>
      <c r="V924" s="41">
        <v>56.786703600000003</v>
      </c>
      <c r="W924" s="41">
        <v>18.421052599999999</v>
      </c>
      <c r="X924" s="41">
        <v>24.792243800000001</v>
      </c>
      <c r="Y924" s="41">
        <v>66.910569100000004</v>
      </c>
      <c r="Z924" s="41">
        <v>13.902438999999999</v>
      </c>
      <c r="AA924" s="41">
        <v>19.186991899999999</v>
      </c>
    </row>
    <row r="925" spans="1:39" hidden="1" x14ac:dyDescent="0.3">
      <c r="A925" s="37">
        <v>921</v>
      </c>
      <c r="B925" s="38" t="s">
        <v>1</v>
      </c>
      <c r="C925" s="38" t="s">
        <v>267</v>
      </c>
      <c r="D925" s="38" t="s">
        <v>312</v>
      </c>
      <c r="E925" s="38"/>
      <c r="F925" s="39" t="s">
        <v>520</v>
      </c>
      <c r="G925" s="40">
        <v>13030</v>
      </c>
      <c r="H925" s="40">
        <v>6032</v>
      </c>
      <c r="I925" s="40">
        <v>2441</v>
      </c>
      <c r="J925" s="40">
        <v>4557</v>
      </c>
      <c r="K925" s="40">
        <v>13750</v>
      </c>
      <c r="L925" s="40">
        <v>8209</v>
      </c>
      <c r="M925" s="40">
        <v>2217</v>
      </c>
      <c r="N925" s="40">
        <v>3324</v>
      </c>
      <c r="O925" s="40">
        <v>13867</v>
      </c>
      <c r="P925" s="40">
        <v>9758</v>
      </c>
      <c r="Q925" s="40">
        <v>1797</v>
      </c>
      <c r="R925" s="40">
        <v>2312</v>
      </c>
      <c r="S925" s="41">
        <v>46.293169599999999</v>
      </c>
      <c r="T925" s="41">
        <v>18.733691499999999</v>
      </c>
      <c r="U925" s="41">
        <v>34.973138900000002</v>
      </c>
      <c r="V925" s="41">
        <v>59.701818199999998</v>
      </c>
      <c r="W925" s="41">
        <v>16.123636399999999</v>
      </c>
      <c r="X925" s="41">
        <v>24.174545500000001</v>
      </c>
      <c r="Y925" s="41">
        <v>70.368500800000007</v>
      </c>
      <c r="Z925" s="41">
        <v>12.9588231</v>
      </c>
      <c r="AA925" s="41">
        <v>16.6726761</v>
      </c>
    </row>
    <row r="926" spans="1:39" hidden="1" x14ac:dyDescent="0.3">
      <c r="A926" s="42">
        <v>922</v>
      </c>
      <c r="B926" s="43" t="s">
        <v>521</v>
      </c>
      <c r="C926" s="50" t="s">
        <v>267</v>
      </c>
      <c r="D926" s="50" t="s">
        <v>312</v>
      </c>
      <c r="E926" s="50" t="s">
        <v>313</v>
      </c>
      <c r="F926" s="51" t="s">
        <v>313</v>
      </c>
      <c r="G926" s="45">
        <v>6512</v>
      </c>
      <c r="H926" s="45">
        <v>3433</v>
      </c>
      <c r="I926" s="45">
        <v>1203</v>
      </c>
      <c r="J926" s="45">
        <v>1876</v>
      </c>
      <c r="K926" s="45">
        <v>7103</v>
      </c>
      <c r="L926" s="45">
        <v>4723</v>
      </c>
      <c r="M926" s="45">
        <v>1025</v>
      </c>
      <c r="N926" s="45">
        <v>1355</v>
      </c>
      <c r="O926" s="45">
        <v>6251</v>
      </c>
      <c r="P926" s="45">
        <v>4708</v>
      </c>
      <c r="Q926" s="45">
        <v>719</v>
      </c>
      <c r="R926" s="45">
        <v>824</v>
      </c>
      <c r="S926" s="46">
        <v>52.718058999999997</v>
      </c>
      <c r="T926" s="46">
        <v>18.473587200000001</v>
      </c>
      <c r="U926" s="46">
        <v>28.808353799999999</v>
      </c>
      <c r="V926" s="46">
        <v>66.493031099999996</v>
      </c>
      <c r="W926" s="46">
        <v>14.4305223</v>
      </c>
      <c r="X926" s="46">
        <v>19.076446600000001</v>
      </c>
      <c r="Y926" s="46">
        <v>75.315949399999994</v>
      </c>
      <c r="Z926" s="46">
        <v>11.5021597</v>
      </c>
      <c r="AA926" s="46">
        <v>13.181890900000001</v>
      </c>
      <c r="AB926" s="26">
        <f>SUM(W926:X926)</f>
        <v>33.506968900000004</v>
      </c>
      <c r="AC926" s="26">
        <f>SUM(Z926:AA926)</f>
        <v>24.684050599999999</v>
      </c>
      <c r="AD926" s="57">
        <f>M926+N926</f>
        <v>2380</v>
      </c>
      <c r="AE926" s="57">
        <f>Q926+R926</f>
        <v>1543</v>
      </c>
      <c r="AF926" s="26">
        <f>W926</f>
        <v>14.4305223</v>
      </c>
      <c r="AG926" s="26">
        <f>Z926</f>
        <v>11.5021597</v>
      </c>
      <c r="AH926" s="26">
        <f>M926</f>
        <v>1025</v>
      </c>
      <c r="AI926" s="26">
        <f>Q926</f>
        <v>719</v>
      </c>
      <c r="AJ926" s="26">
        <f>X926</f>
        <v>19.076446600000001</v>
      </c>
      <c r="AK926" s="26">
        <f>AA926</f>
        <v>13.181890900000001</v>
      </c>
      <c r="AL926" s="57">
        <f>N926</f>
        <v>1355</v>
      </c>
      <c r="AM926" s="57">
        <f>R926</f>
        <v>824</v>
      </c>
    </row>
    <row r="927" spans="1:39" hidden="1" x14ac:dyDescent="0.3">
      <c r="A927" s="37">
        <v>923</v>
      </c>
      <c r="B927" s="38" t="s">
        <v>521</v>
      </c>
      <c r="C927" s="38" t="s">
        <v>267</v>
      </c>
      <c r="D927" s="38" t="s">
        <v>312</v>
      </c>
      <c r="E927" s="38" t="s">
        <v>313</v>
      </c>
      <c r="F927" s="47" t="s">
        <v>519</v>
      </c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1"/>
      <c r="T927" s="41"/>
      <c r="U927" s="41"/>
      <c r="V927" s="41"/>
      <c r="W927" s="41"/>
      <c r="X927" s="41"/>
      <c r="Y927" s="41"/>
      <c r="Z927" s="41"/>
      <c r="AA927" s="41"/>
    </row>
    <row r="928" spans="1:39" hidden="1" x14ac:dyDescent="0.3">
      <c r="A928" s="37">
        <v>924</v>
      </c>
      <c r="B928" s="38" t="s">
        <v>521</v>
      </c>
      <c r="C928" s="38" t="s">
        <v>267</v>
      </c>
      <c r="D928" s="38" t="s">
        <v>312</v>
      </c>
      <c r="E928" s="38" t="s">
        <v>313</v>
      </c>
      <c r="F928" s="47" t="s">
        <v>520</v>
      </c>
      <c r="G928" s="40">
        <v>6512</v>
      </c>
      <c r="H928" s="40">
        <v>3433</v>
      </c>
      <c r="I928" s="40">
        <v>1203</v>
      </c>
      <c r="J928" s="40">
        <v>1876</v>
      </c>
      <c r="K928" s="40">
        <v>7103</v>
      </c>
      <c r="L928" s="40">
        <v>4723</v>
      </c>
      <c r="M928" s="40">
        <v>1025</v>
      </c>
      <c r="N928" s="40">
        <v>1355</v>
      </c>
      <c r="O928" s="40">
        <v>6251</v>
      </c>
      <c r="P928" s="40">
        <v>4708</v>
      </c>
      <c r="Q928" s="40">
        <v>719</v>
      </c>
      <c r="R928" s="40">
        <v>824</v>
      </c>
      <c r="S928" s="41">
        <v>52.718058999999997</v>
      </c>
      <c r="T928" s="41">
        <v>18.473587200000001</v>
      </c>
      <c r="U928" s="41">
        <v>28.808353799999999</v>
      </c>
      <c r="V928" s="41">
        <v>66.493031099999996</v>
      </c>
      <c r="W928" s="41">
        <v>14.4305223</v>
      </c>
      <c r="X928" s="41">
        <v>19.076446600000001</v>
      </c>
      <c r="Y928" s="41">
        <v>75.315949399999994</v>
      </c>
      <c r="Z928" s="41">
        <v>11.5021597</v>
      </c>
      <c r="AA928" s="41">
        <v>13.181890900000001</v>
      </c>
    </row>
    <row r="929" spans="1:39" hidden="1" x14ac:dyDescent="0.3">
      <c r="A929" s="42">
        <v>925</v>
      </c>
      <c r="B929" s="43" t="s">
        <v>521</v>
      </c>
      <c r="C929" s="50" t="s">
        <v>267</v>
      </c>
      <c r="D929" s="50" t="s">
        <v>312</v>
      </c>
      <c r="E929" s="50" t="s">
        <v>315</v>
      </c>
      <c r="F929" s="51" t="s">
        <v>315</v>
      </c>
      <c r="G929" s="45">
        <v>2950</v>
      </c>
      <c r="H929" s="45">
        <v>1506</v>
      </c>
      <c r="I929" s="45">
        <v>553</v>
      </c>
      <c r="J929" s="45">
        <v>891</v>
      </c>
      <c r="K929" s="45">
        <v>3543</v>
      </c>
      <c r="L929" s="45">
        <v>2149</v>
      </c>
      <c r="M929" s="45">
        <v>589</v>
      </c>
      <c r="N929" s="45">
        <v>805</v>
      </c>
      <c r="O929" s="45">
        <v>4643</v>
      </c>
      <c r="P929" s="45">
        <v>3374</v>
      </c>
      <c r="Q929" s="45">
        <v>558</v>
      </c>
      <c r="R929" s="45">
        <v>711</v>
      </c>
      <c r="S929" s="46">
        <v>51.050847500000003</v>
      </c>
      <c r="T929" s="46">
        <v>18.7457627</v>
      </c>
      <c r="U929" s="46">
        <v>30.2033898</v>
      </c>
      <c r="V929" s="46">
        <v>60.654812300000003</v>
      </c>
      <c r="W929" s="46">
        <v>16.624329700000001</v>
      </c>
      <c r="X929" s="46">
        <v>22.720858</v>
      </c>
      <c r="Y929" s="46">
        <v>72.668533300000007</v>
      </c>
      <c r="Z929" s="46">
        <v>12.018091800000001</v>
      </c>
      <c r="AA929" s="46">
        <v>15.313375000000001</v>
      </c>
      <c r="AB929" s="26">
        <f>SUM(W929:X929)</f>
        <v>39.345187699999997</v>
      </c>
      <c r="AC929" s="26">
        <f>SUM(Z929:AA929)</f>
        <v>27.331466800000001</v>
      </c>
      <c r="AD929" s="57">
        <f>M929+N929</f>
        <v>1394</v>
      </c>
      <c r="AE929" s="57">
        <f>Q929+R929</f>
        <v>1269</v>
      </c>
      <c r="AF929" s="26">
        <f>W929</f>
        <v>16.624329700000001</v>
      </c>
      <c r="AG929" s="26">
        <f>Z929</f>
        <v>12.018091800000001</v>
      </c>
      <c r="AH929" s="26">
        <f>M929</f>
        <v>589</v>
      </c>
      <c r="AI929" s="26">
        <f>Q929</f>
        <v>558</v>
      </c>
      <c r="AJ929" s="26">
        <f>X929</f>
        <v>22.720858</v>
      </c>
      <c r="AK929" s="26">
        <f>AA929</f>
        <v>15.313375000000001</v>
      </c>
      <c r="AL929" s="57">
        <f>N929</f>
        <v>805</v>
      </c>
      <c r="AM929" s="57">
        <f>R929</f>
        <v>711</v>
      </c>
    </row>
    <row r="930" spans="1:39" hidden="1" x14ac:dyDescent="0.3">
      <c r="A930" s="37">
        <v>926</v>
      </c>
      <c r="B930" s="38" t="s">
        <v>521</v>
      </c>
      <c r="C930" s="38" t="s">
        <v>267</v>
      </c>
      <c r="D930" s="38" t="s">
        <v>312</v>
      </c>
      <c r="E930" s="38" t="s">
        <v>315</v>
      </c>
      <c r="F930" s="47" t="s">
        <v>519</v>
      </c>
      <c r="G930" s="40"/>
      <c r="H930" s="40"/>
      <c r="I930" s="40"/>
      <c r="J930" s="40"/>
      <c r="K930" s="40">
        <v>722</v>
      </c>
      <c r="L930" s="40">
        <v>410</v>
      </c>
      <c r="M930" s="40">
        <v>133</v>
      </c>
      <c r="N930" s="40">
        <v>179</v>
      </c>
      <c r="O930" s="40">
        <v>1230</v>
      </c>
      <c r="P930" s="40">
        <v>823</v>
      </c>
      <c r="Q930" s="40">
        <v>171</v>
      </c>
      <c r="R930" s="40">
        <v>236</v>
      </c>
      <c r="S930" s="41"/>
      <c r="T930" s="41"/>
      <c r="U930" s="41"/>
      <c r="V930" s="41">
        <v>56.786703600000003</v>
      </c>
      <c r="W930" s="41">
        <v>18.421052599999999</v>
      </c>
      <c r="X930" s="41">
        <v>24.792243800000001</v>
      </c>
      <c r="Y930" s="41">
        <v>66.910569100000004</v>
      </c>
      <c r="Z930" s="41">
        <v>13.902438999999999</v>
      </c>
      <c r="AA930" s="41">
        <v>19.186991899999999</v>
      </c>
    </row>
    <row r="931" spans="1:39" hidden="1" x14ac:dyDescent="0.3">
      <c r="A931" s="37">
        <v>927</v>
      </c>
      <c r="B931" s="38" t="s">
        <v>521</v>
      </c>
      <c r="C931" s="38" t="s">
        <v>267</v>
      </c>
      <c r="D931" s="38" t="s">
        <v>312</v>
      </c>
      <c r="E931" s="38" t="s">
        <v>315</v>
      </c>
      <c r="F931" s="47" t="s">
        <v>520</v>
      </c>
      <c r="G931" s="40">
        <v>2950</v>
      </c>
      <c r="H931" s="40">
        <v>1506</v>
      </c>
      <c r="I931" s="40">
        <v>553</v>
      </c>
      <c r="J931" s="40">
        <v>891</v>
      </c>
      <c r="K931" s="40">
        <v>2821</v>
      </c>
      <c r="L931" s="40">
        <v>1739</v>
      </c>
      <c r="M931" s="40">
        <v>456</v>
      </c>
      <c r="N931" s="40">
        <v>626</v>
      </c>
      <c r="O931" s="40">
        <v>3413</v>
      </c>
      <c r="P931" s="40">
        <v>2551</v>
      </c>
      <c r="Q931" s="40">
        <v>387</v>
      </c>
      <c r="R931" s="40">
        <v>475</v>
      </c>
      <c r="S931" s="41">
        <v>51.050847500000003</v>
      </c>
      <c r="T931" s="41">
        <v>18.7457627</v>
      </c>
      <c r="U931" s="41">
        <v>30.2033898</v>
      </c>
      <c r="V931" s="41">
        <v>61.644806799999998</v>
      </c>
      <c r="W931" s="41">
        <v>16.164480699999999</v>
      </c>
      <c r="X931" s="41">
        <v>22.1907125</v>
      </c>
      <c r="Y931" s="41">
        <v>74.7436273</v>
      </c>
      <c r="Z931" s="41">
        <v>11.338997900000001</v>
      </c>
      <c r="AA931" s="41">
        <v>13.9173747</v>
      </c>
    </row>
    <row r="932" spans="1:39" hidden="1" x14ac:dyDescent="0.3">
      <c r="A932" s="42">
        <v>928</v>
      </c>
      <c r="B932" s="43" t="s">
        <v>521</v>
      </c>
      <c r="C932" s="50" t="s">
        <v>267</v>
      </c>
      <c r="D932" s="50" t="s">
        <v>312</v>
      </c>
      <c r="E932" s="50" t="s">
        <v>316</v>
      </c>
      <c r="F932" s="51" t="s">
        <v>316</v>
      </c>
      <c r="G932" s="45">
        <v>3568</v>
      </c>
      <c r="H932" s="45">
        <v>1093</v>
      </c>
      <c r="I932" s="45">
        <v>685</v>
      </c>
      <c r="J932" s="45">
        <v>1790</v>
      </c>
      <c r="K932" s="45">
        <v>3826</v>
      </c>
      <c r="L932" s="45">
        <v>1747</v>
      </c>
      <c r="M932" s="45">
        <v>736</v>
      </c>
      <c r="N932" s="45">
        <v>1343</v>
      </c>
      <c r="O932" s="45">
        <v>4203</v>
      </c>
      <c r="P932" s="45">
        <v>2499</v>
      </c>
      <c r="Q932" s="45">
        <v>691</v>
      </c>
      <c r="R932" s="45">
        <v>1013</v>
      </c>
      <c r="S932" s="46">
        <v>30.6334081</v>
      </c>
      <c r="T932" s="46">
        <v>19.198430500000001</v>
      </c>
      <c r="U932" s="46">
        <v>50.168161400000002</v>
      </c>
      <c r="V932" s="46">
        <v>45.661265</v>
      </c>
      <c r="W932" s="46">
        <v>19.236800800000001</v>
      </c>
      <c r="X932" s="46">
        <v>35.101934100000001</v>
      </c>
      <c r="Y932" s="46">
        <v>59.457530300000002</v>
      </c>
      <c r="Z932" s="46">
        <v>16.440637599999999</v>
      </c>
      <c r="AA932" s="46">
        <v>24.101832000000002</v>
      </c>
      <c r="AB932" s="26">
        <f>SUM(W932:X932)</f>
        <v>54.338734900000006</v>
      </c>
      <c r="AC932" s="26">
        <f>SUM(Z932:AA932)</f>
        <v>40.542469600000004</v>
      </c>
      <c r="AD932" s="57">
        <f>M932+N932</f>
        <v>2079</v>
      </c>
      <c r="AE932" s="57">
        <f>Q932+R932</f>
        <v>1704</v>
      </c>
      <c r="AF932" s="26">
        <f>W932</f>
        <v>19.236800800000001</v>
      </c>
      <c r="AG932" s="26">
        <f>Z932</f>
        <v>16.440637599999999</v>
      </c>
      <c r="AH932" s="26">
        <f>M932</f>
        <v>736</v>
      </c>
      <c r="AI932" s="26">
        <f>Q932</f>
        <v>691</v>
      </c>
      <c r="AJ932" s="26">
        <f>X932</f>
        <v>35.101934100000001</v>
      </c>
      <c r="AK932" s="26">
        <f>AA932</f>
        <v>24.101832000000002</v>
      </c>
      <c r="AL932" s="57">
        <f>N932</f>
        <v>1343</v>
      </c>
      <c r="AM932" s="57">
        <f>R932</f>
        <v>1013</v>
      </c>
    </row>
    <row r="933" spans="1:39" hidden="1" x14ac:dyDescent="0.3">
      <c r="A933" s="37">
        <v>929</v>
      </c>
      <c r="B933" s="38" t="s">
        <v>521</v>
      </c>
      <c r="C933" s="38" t="s">
        <v>267</v>
      </c>
      <c r="D933" s="38" t="s">
        <v>312</v>
      </c>
      <c r="E933" s="38" t="s">
        <v>316</v>
      </c>
      <c r="F933" s="47" t="s">
        <v>519</v>
      </c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1"/>
      <c r="T933" s="41"/>
      <c r="U933" s="41"/>
      <c r="V933" s="41"/>
      <c r="W933" s="41"/>
      <c r="X933" s="41"/>
      <c r="Y933" s="41"/>
      <c r="Z933" s="41"/>
      <c r="AA933" s="41"/>
    </row>
    <row r="934" spans="1:39" hidden="1" x14ac:dyDescent="0.3">
      <c r="A934" s="37">
        <v>930</v>
      </c>
      <c r="B934" s="38" t="s">
        <v>521</v>
      </c>
      <c r="C934" s="38" t="s">
        <v>267</v>
      </c>
      <c r="D934" s="38" t="s">
        <v>312</v>
      </c>
      <c r="E934" s="38" t="s">
        <v>316</v>
      </c>
      <c r="F934" s="47" t="s">
        <v>520</v>
      </c>
      <c r="G934" s="40">
        <v>3568</v>
      </c>
      <c r="H934" s="40">
        <v>1093</v>
      </c>
      <c r="I934" s="40">
        <v>685</v>
      </c>
      <c r="J934" s="40">
        <v>1790</v>
      </c>
      <c r="K934" s="40">
        <v>3826</v>
      </c>
      <c r="L934" s="40">
        <v>1747</v>
      </c>
      <c r="M934" s="40">
        <v>736</v>
      </c>
      <c r="N934" s="40">
        <v>1343</v>
      </c>
      <c r="O934" s="40">
        <v>4203</v>
      </c>
      <c r="P934" s="40">
        <v>2499</v>
      </c>
      <c r="Q934" s="40">
        <v>691</v>
      </c>
      <c r="R934" s="40">
        <v>1013</v>
      </c>
      <c r="S934" s="41">
        <v>30.6334081</v>
      </c>
      <c r="T934" s="41">
        <v>19.198430500000001</v>
      </c>
      <c r="U934" s="41">
        <v>50.168161400000002</v>
      </c>
      <c r="V934" s="41">
        <v>45.661265</v>
      </c>
      <c r="W934" s="41">
        <v>19.236800800000001</v>
      </c>
      <c r="X934" s="41">
        <v>35.101934100000001</v>
      </c>
      <c r="Y934" s="41">
        <v>59.457530300000002</v>
      </c>
      <c r="Z934" s="41">
        <v>16.440637599999999</v>
      </c>
      <c r="AA934" s="41">
        <v>24.101832000000002</v>
      </c>
    </row>
    <row r="935" spans="1:39" hidden="1" x14ac:dyDescent="0.3">
      <c r="A935" s="32">
        <v>931</v>
      </c>
      <c r="B935" s="33" t="s">
        <v>1</v>
      </c>
      <c r="C935" s="49" t="s">
        <v>267</v>
      </c>
      <c r="D935" s="49" t="s">
        <v>317</v>
      </c>
      <c r="E935" s="49"/>
      <c r="F935" s="34" t="s">
        <v>317</v>
      </c>
      <c r="G935" s="35">
        <v>10283</v>
      </c>
      <c r="H935" s="35">
        <v>5370</v>
      </c>
      <c r="I935" s="35">
        <v>1855</v>
      </c>
      <c r="J935" s="35">
        <v>3058</v>
      </c>
      <c r="K935" s="35">
        <v>17969</v>
      </c>
      <c r="L935" s="35">
        <v>11464</v>
      </c>
      <c r="M935" s="35">
        <v>2833</v>
      </c>
      <c r="N935" s="35">
        <v>3672</v>
      </c>
      <c r="O935" s="35">
        <v>24344</v>
      </c>
      <c r="P935" s="35">
        <v>16942</v>
      </c>
      <c r="Q935" s="35">
        <v>2932</v>
      </c>
      <c r="R935" s="35">
        <v>4470</v>
      </c>
      <c r="S935" s="36">
        <v>52.2221142</v>
      </c>
      <c r="T935" s="36">
        <v>18.039482599999999</v>
      </c>
      <c r="U935" s="36">
        <v>29.7384032</v>
      </c>
      <c r="V935" s="36">
        <v>63.798764499999997</v>
      </c>
      <c r="W935" s="36">
        <v>15.7660415</v>
      </c>
      <c r="X935" s="36">
        <v>20.435193900000002</v>
      </c>
      <c r="Y935" s="36">
        <v>69.594150499999998</v>
      </c>
      <c r="Z935" s="36">
        <v>12.0440355</v>
      </c>
      <c r="AA935" s="36">
        <v>18.361813999999999</v>
      </c>
    </row>
    <row r="936" spans="1:39" hidden="1" x14ac:dyDescent="0.3">
      <c r="A936" s="37">
        <v>932</v>
      </c>
      <c r="B936" s="38" t="s">
        <v>1</v>
      </c>
      <c r="C936" s="38" t="s">
        <v>267</v>
      </c>
      <c r="D936" s="38" t="s">
        <v>317</v>
      </c>
      <c r="E936" s="38"/>
      <c r="F936" s="39" t="s">
        <v>519</v>
      </c>
      <c r="G936" s="40">
        <v>2810</v>
      </c>
      <c r="H936" s="40">
        <v>1683</v>
      </c>
      <c r="I936" s="40">
        <v>518</v>
      </c>
      <c r="J936" s="40">
        <v>609</v>
      </c>
      <c r="K936" s="40">
        <v>8008</v>
      </c>
      <c r="L936" s="40">
        <v>5142</v>
      </c>
      <c r="M936" s="40">
        <v>1363</v>
      </c>
      <c r="N936" s="40">
        <v>1503</v>
      </c>
      <c r="O936" s="40">
        <v>13151</v>
      </c>
      <c r="P936" s="40">
        <v>9075</v>
      </c>
      <c r="Q936" s="40">
        <v>1686</v>
      </c>
      <c r="R936" s="40">
        <v>2390</v>
      </c>
      <c r="S936" s="41">
        <v>59.893238400000001</v>
      </c>
      <c r="T936" s="41">
        <v>18.434163699999999</v>
      </c>
      <c r="U936" s="41">
        <v>21.6725979</v>
      </c>
      <c r="V936" s="41">
        <v>64.210789199999994</v>
      </c>
      <c r="W936" s="41">
        <v>17.0204795</v>
      </c>
      <c r="X936" s="41">
        <v>18.768731299999999</v>
      </c>
      <c r="Y936" s="41">
        <v>69.006159199999999</v>
      </c>
      <c r="Z936" s="41">
        <v>12.8203178</v>
      </c>
      <c r="AA936" s="41">
        <v>18.173522899999998</v>
      </c>
    </row>
    <row r="937" spans="1:39" hidden="1" x14ac:dyDescent="0.3">
      <c r="A937" s="37">
        <v>933</v>
      </c>
      <c r="B937" s="38" t="s">
        <v>1</v>
      </c>
      <c r="C937" s="38" t="s">
        <v>267</v>
      </c>
      <c r="D937" s="38" t="s">
        <v>317</v>
      </c>
      <c r="E937" s="38"/>
      <c r="F937" s="39" t="s">
        <v>520</v>
      </c>
      <c r="G937" s="40">
        <v>7473</v>
      </c>
      <c r="H937" s="40">
        <v>3687</v>
      </c>
      <c r="I937" s="40">
        <v>1337</v>
      </c>
      <c r="J937" s="40">
        <v>2449</v>
      </c>
      <c r="K937" s="40">
        <v>9961</v>
      </c>
      <c r="L937" s="40">
        <v>6322</v>
      </c>
      <c r="M937" s="40">
        <v>1470</v>
      </c>
      <c r="N937" s="40">
        <v>2169</v>
      </c>
      <c r="O937" s="40">
        <v>11193</v>
      </c>
      <c r="P937" s="40">
        <v>7867</v>
      </c>
      <c r="Q937" s="40">
        <v>1246</v>
      </c>
      <c r="R937" s="40">
        <v>2080</v>
      </c>
      <c r="S937" s="41">
        <v>49.337615399999997</v>
      </c>
      <c r="T937" s="41">
        <v>17.891074499999998</v>
      </c>
      <c r="U937" s="41">
        <v>32.77131</v>
      </c>
      <c r="V937" s="41">
        <v>63.467523300000003</v>
      </c>
      <c r="W937" s="41">
        <v>14.757554499999999</v>
      </c>
      <c r="X937" s="41">
        <v>21.774922199999999</v>
      </c>
      <c r="Y937" s="41">
        <v>70.284999600000006</v>
      </c>
      <c r="Z937" s="41">
        <v>11.1319575</v>
      </c>
      <c r="AA937" s="41">
        <v>18.583043</v>
      </c>
    </row>
    <row r="938" spans="1:39" hidden="1" x14ac:dyDescent="0.3">
      <c r="A938" s="42">
        <v>934</v>
      </c>
      <c r="B938" s="43" t="s">
        <v>521</v>
      </c>
      <c r="C938" s="50" t="s">
        <v>267</v>
      </c>
      <c r="D938" s="50" t="s">
        <v>317</v>
      </c>
      <c r="E938" s="50" t="s">
        <v>318</v>
      </c>
      <c r="F938" s="51" t="s">
        <v>318</v>
      </c>
      <c r="G938" s="45">
        <v>5130</v>
      </c>
      <c r="H938" s="45">
        <v>2875</v>
      </c>
      <c r="I938" s="45">
        <v>941</v>
      </c>
      <c r="J938" s="45">
        <v>1314</v>
      </c>
      <c r="K938" s="45">
        <v>9597</v>
      </c>
      <c r="L938" s="45">
        <v>6346</v>
      </c>
      <c r="M938" s="45">
        <v>1457</v>
      </c>
      <c r="N938" s="45">
        <v>1794</v>
      </c>
      <c r="O938" s="45">
        <v>13134</v>
      </c>
      <c r="P938" s="45">
        <v>9502</v>
      </c>
      <c r="Q938" s="45">
        <v>1542</v>
      </c>
      <c r="R938" s="45">
        <v>2090</v>
      </c>
      <c r="S938" s="46">
        <v>56.042884999999998</v>
      </c>
      <c r="T938" s="46">
        <v>18.343079899999999</v>
      </c>
      <c r="U938" s="46">
        <v>25.614035099999999</v>
      </c>
      <c r="V938" s="46">
        <v>66.124830700000004</v>
      </c>
      <c r="W938" s="46">
        <v>15.181827699999999</v>
      </c>
      <c r="X938" s="46">
        <v>18.693341700000001</v>
      </c>
      <c r="Y938" s="46">
        <v>72.346581400000005</v>
      </c>
      <c r="Z938" s="46">
        <v>11.740520800000001</v>
      </c>
      <c r="AA938" s="46">
        <v>15.9128978</v>
      </c>
      <c r="AB938" s="26">
        <f>SUM(W938:X938)</f>
        <v>33.875169400000004</v>
      </c>
      <c r="AC938" s="26">
        <f>SUM(Z938:AA938)</f>
        <v>27.653418600000002</v>
      </c>
      <c r="AD938" s="57">
        <f>M938+N938</f>
        <v>3251</v>
      </c>
      <c r="AE938" s="57">
        <f>Q938+R938</f>
        <v>3632</v>
      </c>
      <c r="AF938" s="26">
        <f>W938</f>
        <v>15.181827699999999</v>
      </c>
      <c r="AG938" s="26">
        <f>Z938</f>
        <v>11.740520800000001</v>
      </c>
      <c r="AH938" s="26">
        <f>M938</f>
        <v>1457</v>
      </c>
      <c r="AI938" s="26">
        <f>Q938</f>
        <v>1542</v>
      </c>
      <c r="AJ938" s="26">
        <f>X938</f>
        <v>18.693341700000001</v>
      </c>
      <c r="AK938" s="26">
        <f>AA938</f>
        <v>15.9128978</v>
      </c>
      <c r="AL938" s="57">
        <f>N938</f>
        <v>1794</v>
      </c>
      <c r="AM938" s="57">
        <f>R938</f>
        <v>2090</v>
      </c>
    </row>
    <row r="939" spans="1:39" hidden="1" x14ac:dyDescent="0.3">
      <c r="A939" s="37">
        <v>935</v>
      </c>
      <c r="B939" s="38" t="s">
        <v>521</v>
      </c>
      <c r="C939" s="38" t="s">
        <v>267</v>
      </c>
      <c r="D939" s="38" t="s">
        <v>317</v>
      </c>
      <c r="E939" s="38" t="s">
        <v>318</v>
      </c>
      <c r="F939" s="47" t="s">
        <v>519</v>
      </c>
      <c r="G939" s="40">
        <v>2810</v>
      </c>
      <c r="H939" s="40">
        <v>1683</v>
      </c>
      <c r="I939" s="40">
        <v>518</v>
      </c>
      <c r="J939" s="40">
        <v>609</v>
      </c>
      <c r="K939" s="40">
        <v>5768</v>
      </c>
      <c r="L939" s="40">
        <v>4074</v>
      </c>
      <c r="M939" s="40">
        <v>848</v>
      </c>
      <c r="N939" s="40">
        <v>846</v>
      </c>
      <c r="O939" s="40">
        <v>9037</v>
      </c>
      <c r="P939" s="40">
        <v>6747</v>
      </c>
      <c r="Q939" s="40">
        <v>1041</v>
      </c>
      <c r="R939" s="40">
        <v>1249</v>
      </c>
      <c r="S939" s="41">
        <v>59.893238400000001</v>
      </c>
      <c r="T939" s="41">
        <v>18.434163699999999</v>
      </c>
      <c r="U939" s="41">
        <v>21.6725979</v>
      </c>
      <c r="V939" s="41">
        <v>70.631067999999999</v>
      </c>
      <c r="W939" s="41">
        <v>14.701803099999999</v>
      </c>
      <c r="X939" s="41">
        <v>14.667128999999999</v>
      </c>
      <c r="Y939" s="41">
        <v>74.659732199999993</v>
      </c>
      <c r="Z939" s="41">
        <v>11.5193095</v>
      </c>
      <c r="AA939" s="41">
        <v>13.820958299999999</v>
      </c>
    </row>
    <row r="940" spans="1:39" hidden="1" x14ac:dyDescent="0.3">
      <c r="A940" s="37">
        <v>936</v>
      </c>
      <c r="B940" s="38" t="s">
        <v>521</v>
      </c>
      <c r="C940" s="38" t="s">
        <v>267</v>
      </c>
      <c r="D940" s="38" t="s">
        <v>317</v>
      </c>
      <c r="E940" s="38" t="s">
        <v>318</v>
      </c>
      <c r="F940" s="47" t="s">
        <v>520</v>
      </c>
      <c r="G940" s="40">
        <v>2320</v>
      </c>
      <c r="H940" s="40">
        <v>1192</v>
      </c>
      <c r="I940" s="40">
        <v>423</v>
      </c>
      <c r="J940" s="40">
        <v>705</v>
      </c>
      <c r="K940" s="40">
        <v>3829</v>
      </c>
      <c r="L940" s="40">
        <v>2272</v>
      </c>
      <c r="M940" s="40">
        <v>609</v>
      </c>
      <c r="N940" s="40">
        <v>948</v>
      </c>
      <c r="O940" s="40">
        <v>4097</v>
      </c>
      <c r="P940" s="40">
        <v>2755</v>
      </c>
      <c r="Q940" s="40">
        <v>501</v>
      </c>
      <c r="R940" s="40">
        <v>841</v>
      </c>
      <c r="S940" s="41">
        <v>51.3793103</v>
      </c>
      <c r="T940" s="41">
        <v>18.2327586</v>
      </c>
      <c r="U940" s="41">
        <v>30.387930999999998</v>
      </c>
      <c r="V940" s="41">
        <v>59.336641399999998</v>
      </c>
      <c r="W940" s="41">
        <v>15.904935999999999</v>
      </c>
      <c r="X940" s="41">
        <v>24.758422599999999</v>
      </c>
      <c r="Y940" s="41">
        <v>67.244325099999998</v>
      </c>
      <c r="Z940" s="41">
        <v>12.2284598</v>
      </c>
      <c r="AA940" s="41">
        <v>20.527215000000002</v>
      </c>
    </row>
    <row r="941" spans="1:39" hidden="1" x14ac:dyDescent="0.3">
      <c r="A941" s="42">
        <v>937</v>
      </c>
      <c r="B941" s="43" t="s">
        <v>521</v>
      </c>
      <c r="C941" s="50" t="s">
        <v>267</v>
      </c>
      <c r="D941" s="50" t="s">
        <v>317</v>
      </c>
      <c r="E941" s="50" t="s">
        <v>319</v>
      </c>
      <c r="F941" s="51" t="s">
        <v>319</v>
      </c>
      <c r="G941" s="45">
        <v>2349</v>
      </c>
      <c r="H941" s="45">
        <v>1265</v>
      </c>
      <c r="I941" s="45">
        <v>403</v>
      </c>
      <c r="J941" s="45">
        <v>681</v>
      </c>
      <c r="K941" s="45">
        <v>3077</v>
      </c>
      <c r="L941" s="45">
        <v>2022</v>
      </c>
      <c r="M941" s="45">
        <v>450</v>
      </c>
      <c r="N941" s="45">
        <v>605</v>
      </c>
      <c r="O941" s="45">
        <v>3317</v>
      </c>
      <c r="P941" s="45">
        <v>2360</v>
      </c>
      <c r="Q941" s="45">
        <v>343</v>
      </c>
      <c r="R941" s="45">
        <v>614</v>
      </c>
      <c r="S941" s="46">
        <v>53.852703300000002</v>
      </c>
      <c r="T941" s="46">
        <v>17.156236700000001</v>
      </c>
      <c r="U941" s="46">
        <v>28.991060000000001</v>
      </c>
      <c r="V941" s="46">
        <v>65.713357200000004</v>
      </c>
      <c r="W941" s="46">
        <v>14.6246344</v>
      </c>
      <c r="X941" s="46">
        <v>19.662008400000001</v>
      </c>
      <c r="Y941" s="46">
        <v>71.148628299999999</v>
      </c>
      <c r="Z941" s="46">
        <v>10.3406693</v>
      </c>
      <c r="AA941" s="46">
        <v>18.5107024</v>
      </c>
      <c r="AB941" s="26">
        <f>SUM(W941:X941)</f>
        <v>34.286642800000003</v>
      </c>
      <c r="AC941" s="26">
        <f>SUM(Z941:AA941)</f>
        <v>28.851371700000001</v>
      </c>
      <c r="AD941" s="57">
        <f>M941+N941</f>
        <v>1055</v>
      </c>
      <c r="AE941" s="57">
        <f>Q941+R941</f>
        <v>957</v>
      </c>
      <c r="AF941" s="26">
        <f>W941</f>
        <v>14.6246344</v>
      </c>
      <c r="AG941" s="26">
        <f>Z941</f>
        <v>10.3406693</v>
      </c>
      <c r="AH941" s="26">
        <f>M941</f>
        <v>450</v>
      </c>
      <c r="AI941" s="26">
        <f>Q941</f>
        <v>343</v>
      </c>
      <c r="AJ941" s="26">
        <f>X941</f>
        <v>19.662008400000001</v>
      </c>
      <c r="AK941" s="26">
        <f>AA941</f>
        <v>18.5107024</v>
      </c>
      <c r="AL941" s="57">
        <f>N941</f>
        <v>605</v>
      </c>
      <c r="AM941" s="57">
        <f>R941</f>
        <v>614</v>
      </c>
    </row>
    <row r="942" spans="1:39" hidden="1" x14ac:dyDescent="0.3">
      <c r="A942" s="37">
        <v>938</v>
      </c>
      <c r="B942" s="38" t="s">
        <v>521</v>
      </c>
      <c r="C942" s="38" t="s">
        <v>267</v>
      </c>
      <c r="D942" s="38" t="s">
        <v>317</v>
      </c>
      <c r="E942" s="38" t="s">
        <v>319</v>
      </c>
      <c r="F942" s="47" t="s">
        <v>519</v>
      </c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1"/>
      <c r="T942" s="41"/>
      <c r="U942" s="41"/>
      <c r="V942" s="41"/>
      <c r="W942" s="41"/>
      <c r="X942" s="41"/>
      <c r="Y942" s="41"/>
      <c r="Z942" s="41"/>
      <c r="AA942" s="41"/>
    </row>
    <row r="943" spans="1:39" hidden="1" x14ac:dyDescent="0.3">
      <c r="A943" s="37">
        <v>939</v>
      </c>
      <c r="B943" s="38" t="s">
        <v>521</v>
      </c>
      <c r="C943" s="38" t="s">
        <v>267</v>
      </c>
      <c r="D943" s="38" t="s">
        <v>317</v>
      </c>
      <c r="E943" s="38" t="s">
        <v>319</v>
      </c>
      <c r="F943" s="47" t="s">
        <v>520</v>
      </c>
      <c r="G943" s="40">
        <v>2349</v>
      </c>
      <c r="H943" s="40">
        <v>1265</v>
      </c>
      <c r="I943" s="40">
        <v>403</v>
      </c>
      <c r="J943" s="40">
        <v>681</v>
      </c>
      <c r="K943" s="40">
        <v>3077</v>
      </c>
      <c r="L943" s="40">
        <v>2022</v>
      </c>
      <c r="M943" s="40">
        <v>450</v>
      </c>
      <c r="N943" s="40">
        <v>605</v>
      </c>
      <c r="O943" s="40">
        <v>3317</v>
      </c>
      <c r="P943" s="40">
        <v>2360</v>
      </c>
      <c r="Q943" s="40">
        <v>343</v>
      </c>
      <c r="R943" s="40">
        <v>614</v>
      </c>
      <c r="S943" s="41">
        <v>53.852703300000002</v>
      </c>
      <c r="T943" s="41">
        <v>17.156236700000001</v>
      </c>
      <c r="U943" s="41">
        <v>28.991060000000001</v>
      </c>
      <c r="V943" s="41">
        <v>65.713357200000004</v>
      </c>
      <c r="W943" s="41">
        <v>14.6246344</v>
      </c>
      <c r="X943" s="41">
        <v>19.662008400000001</v>
      </c>
      <c r="Y943" s="41">
        <v>71.148628299999999</v>
      </c>
      <c r="Z943" s="41">
        <v>10.3406693</v>
      </c>
      <c r="AA943" s="41">
        <v>18.5107024</v>
      </c>
    </row>
    <row r="944" spans="1:39" hidden="1" x14ac:dyDescent="0.3">
      <c r="A944" s="42">
        <v>940</v>
      </c>
      <c r="B944" s="43" t="s">
        <v>521</v>
      </c>
      <c r="C944" s="50" t="s">
        <v>267</v>
      </c>
      <c r="D944" s="50" t="s">
        <v>317</v>
      </c>
      <c r="E944" s="50" t="s">
        <v>320</v>
      </c>
      <c r="F944" s="51" t="s">
        <v>320</v>
      </c>
      <c r="G944" s="45">
        <v>1427</v>
      </c>
      <c r="H944" s="45">
        <v>530</v>
      </c>
      <c r="I944" s="45">
        <v>259</v>
      </c>
      <c r="J944" s="45">
        <v>638</v>
      </c>
      <c r="K944" s="45">
        <v>3156</v>
      </c>
      <c r="L944" s="45">
        <v>1601</v>
      </c>
      <c r="M944" s="45">
        <v>652</v>
      </c>
      <c r="N944" s="45">
        <v>903</v>
      </c>
      <c r="O944" s="45">
        <v>5286</v>
      </c>
      <c r="P944" s="45">
        <v>3080</v>
      </c>
      <c r="Q944" s="45">
        <v>787</v>
      </c>
      <c r="R944" s="45">
        <v>1419</v>
      </c>
      <c r="S944" s="46">
        <v>37.140854900000001</v>
      </c>
      <c r="T944" s="46">
        <v>18.149965000000002</v>
      </c>
      <c r="U944" s="46">
        <v>44.709180099999998</v>
      </c>
      <c r="V944" s="46">
        <v>50.728770599999997</v>
      </c>
      <c r="W944" s="46">
        <v>20.6590621</v>
      </c>
      <c r="X944" s="46">
        <v>28.612167299999999</v>
      </c>
      <c r="Y944" s="46">
        <v>58.2671207</v>
      </c>
      <c r="Z944" s="46">
        <v>14.8883844</v>
      </c>
      <c r="AA944" s="46">
        <v>26.844494900000001</v>
      </c>
      <c r="AB944" s="26">
        <f>SUM(W944:X944)</f>
        <v>49.271229399999996</v>
      </c>
      <c r="AC944" s="26">
        <f>SUM(Z944:AA944)</f>
        <v>41.7328793</v>
      </c>
      <c r="AD944" s="57">
        <f>M944+N944</f>
        <v>1555</v>
      </c>
      <c r="AE944" s="57">
        <f>Q944+R944</f>
        <v>2206</v>
      </c>
      <c r="AF944" s="26">
        <f>W944</f>
        <v>20.6590621</v>
      </c>
      <c r="AG944" s="26">
        <f>Z944</f>
        <v>14.8883844</v>
      </c>
      <c r="AH944" s="26">
        <f>M944</f>
        <v>652</v>
      </c>
      <c r="AI944" s="26">
        <f>Q944</f>
        <v>787</v>
      </c>
      <c r="AJ944" s="26">
        <f>X944</f>
        <v>28.612167299999999</v>
      </c>
      <c r="AK944" s="26">
        <f>AA944</f>
        <v>26.844494900000001</v>
      </c>
      <c r="AL944" s="57">
        <f>N944</f>
        <v>903</v>
      </c>
      <c r="AM944" s="57">
        <f>R944</f>
        <v>1419</v>
      </c>
    </row>
    <row r="945" spans="1:39" hidden="1" x14ac:dyDescent="0.3">
      <c r="A945" s="37">
        <v>941</v>
      </c>
      <c r="B945" s="38" t="s">
        <v>521</v>
      </c>
      <c r="C945" s="38" t="s">
        <v>267</v>
      </c>
      <c r="D945" s="38" t="s">
        <v>317</v>
      </c>
      <c r="E945" s="38" t="s">
        <v>320</v>
      </c>
      <c r="F945" s="47" t="s">
        <v>519</v>
      </c>
      <c r="G945" s="40"/>
      <c r="H945" s="40"/>
      <c r="I945" s="40"/>
      <c r="J945" s="40"/>
      <c r="K945" s="40">
        <v>2240</v>
      </c>
      <c r="L945" s="40">
        <v>1068</v>
      </c>
      <c r="M945" s="40">
        <v>515</v>
      </c>
      <c r="N945" s="40">
        <v>657</v>
      </c>
      <c r="O945" s="40">
        <v>4114</v>
      </c>
      <c r="P945" s="40">
        <v>2328</v>
      </c>
      <c r="Q945" s="40">
        <v>645</v>
      </c>
      <c r="R945" s="40">
        <v>1141</v>
      </c>
      <c r="S945" s="41"/>
      <c r="T945" s="41"/>
      <c r="U945" s="41"/>
      <c r="V945" s="41">
        <v>47.678571400000003</v>
      </c>
      <c r="W945" s="41">
        <v>22.991071399999999</v>
      </c>
      <c r="X945" s="41">
        <v>29.330357100000001</v>
      </c>
      <c r="Y945" s="41">
        <v>56.587263</v>
      </c>
      <c r="Z945" s="41">
        <v>15.678172099999999</v>
      </c>
      <c r="AA945" s="41">
        <v>27.734564899999999</v>
      </c>
    </row>
    <row r="946" spans="1:39" hidden="1" x14ac:dyDescent="0.3">
      <c r="A946" s="37">
        <v>942</v>
      </c>
      <c r="B946" s="38" t="s">
        <v>521</v>
      </c>
      <c r="C946" s="38" t="s">
        <v>267</v>
      </c>
      <c r="D946" s="38" t="s">
        <v>317</v>
      </c>
      <c r="E946" s="38" t="s">
        <v>320</v>
      </c>
      <c r="F946" s="47" t="s">
        <v>520</v>
      </c>
      <c r="G946" s="40">
        <v>1427</v>
      </c>
      <c r="H946" s="40">
        <v>530</v>
      </c>
      <c r="I946" s="40">
        <v>259</v>
      </c>
      <c r="J946" s="40">
        <v>638</v>
      </c>
      <c r="K946" s="40">
        <v>916</v>
      </c>
      <c r="L946" s="40">
        <v>533</v>
      </c>
      <c r="M946" s="40">
        <v>137</v>
      </c>
      <c r="N946" s="40">
        <v>246</v>
      </c>
      <c r="O946" s="40">
        <v>1172</v>
      </c>
      <c r="P946" s="40">
        <v>752</v>
      </c>
      <c r="Q946" s="40">
        <v>142</v>
      </c>
      <c r="R946" s="40">
        <v>278</v>
      </c>
      <c r="S946" s="41">
        <v>37.140854900000001</v>
      </c>
      <c r="T946" s="41">
        <v>18.149965000000002</v>
      </c>
      <c r="U946" s="41">
        <v>44.709180099999998</v>
      </c>
      <c r="V946" s="41">
        <v>58.187772899999999</v>
      </c>
      <c r="W946" s="41">
        <v>14.9563319</v>
      </c>
      <c r="X946" s="41">
        <v>26.855895199999999</v>
      </c>
      <c r="Y946" s="41">
        <v>64.163822499999995</v>
      </c>
      <c r="Z946" s="41">
        <v>12.116040999999999</v>
      </c>
      <c r="AA946" s="41">
        <v>23.720136499999999</v>
      </c>
    </row>
    <row r="947" spans="1:39" hidden="1" x14ac:dyDescent="0.3">
      <c r="A947" s="42">
        <v>943</v>
      </c>
      <c r="B947" s="43" t="s">
        <v>521</v>
      </c>
      <c r="C947" s="50" t="s">
        <v>267</v>
      </c>
      <c r="D947" s="50" t="s">
        <v>317</v>
      </c>
      <c r="E947" s="50" t="s">
        <v>487</v>
      </c>
      <c r="F947" s="51" t="s">
        <v>487</v>
      </c>
      <c r="G947" s="45">
        <v>1377</v>
      </c>
      <c r="H947" s="45">
        <v>700</v>
      </c>
      <c r="I947" s="45">
        <v>252</v>
      </c>
      <c r="J947" s="45">
        <v>425</v>
      </c>
      <c r="K947" s="45">
        <v>2139</v>
      </c>
      <c r="L947" s="45">
        <v>1495</v>
      </c>
      <c r="M947" s="45">
        <v>274</v>
      </c>
      <c r="N947" s="45">
        <v>370</v>
      </c>
      <c r="O947" s="45">
        <v>2607</v>
      </c>
      <c r="P947" s="45">
        <v>2000</v>
      </c>
      <c r="Q947" s="45">
        <v>260</v>
      </c>
      <c r="R947" s="45">
        <v>347</v>
      </c>
      <c r="S947" s="46">
        <v>50.8351489</v>
      </c>
      <c r="T947" s="46">
        <v>18.3006536</v>
      </c>
      <c r="U947" s="46">
        <v>30.8641975</v>
      </c>
      <c r="V947" s="46">
        <v>69.892473100000004</v>
      </c>
      <c r="W947" s="46">
        <v>12.8097242</v>
      </c>
      <c r="X947" s="46">
        <v>17.297802699999998</v>
      </c>
      <c r="Y947" s="46">
        <v>76.716532400000006</v>
      </c>
      <c r="Z947" s="46">
        <v>9.9731491999999999</v>
      </c>
      <c r="AA947" s="46">
        <v>13.3103184</v>
      </c>
      <c r="AB947" s="26">
        <f>SUM(W947:X947)</f>
        <v>30.107526899999996</v>
      </c>
      <c r="AC947" s="26">
        <f>SUM(Z947:AA947)</f>
        <v>23.283467600000002</v>
      </c>
      <c r="AD947" s="57">
        <f>M947+N947</f>
        <v>644</v>
      </c>
      <c r="AE947" s="57">
        <f>Q947+R947</f>
        <v>607</v>
      </c>
      <c r="AF947" s="26">
        <f>W947</f>
        <v>12.8097242</v>
      </c>
      <c r="AG947" s="26">
        <f>Z947</f>
        <v>9.9731491999999999</v>
      </c>
      <c r="AH947" s="26">
        <f>M947</f>
        <v>274</v>
      </c>
      <c r="AI947" s="26">
        <f>Q947</f>
        <v>260</v>
      </c>
      <c r="AJ947" s="26">
        <f>X947</f>
        <v>17.297802699999998</v>
      </c>
      <c r="AK947" s="26">
        <f>AA947</f>
        <v>13.3103184</v>
      </c>
      <c r="AL947" s="57">
        <f>N947</f>
        <v>370</v>
      </c>
      <c r="AM947" s="57">
        <f>R947</f>
        <v>347</v>
      </c>
    </row>
    <row r="948" spans="1:39" hidden="1" x14ac:dyDescent="0.3">
      <c r="A948" s="37">
        <v>944</v>
      </c>
      <c r="B948" s="38" t="s">
        <v>521</v>
      </c>
      <c r="C948" s="38" t="s">
        <v>267</v>
      </c>
      <c r="D948" s="38" t="s">
        <v>317</v>
      </c>
      <c r="E948" s="38" t="s">
        <v>487</v>
      </c>
      <c r="F948" s="47" t="s">
        <v>519</v>
      </c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1"/>
      <c r="T948" s="41"/>
      <c r="U948" s="41"/>
      <c r="V948" s="41"/>
      <c r="W948" s="41"/>
      <c r="X948" s="41"/>
      <c r="Y948" s="41"/>
      <c r="Z948" s="41"/>
      <c r="AA948" s="41"/>
    </row>
    <row r="949" spans="1:39" hidden="1" x14ac:dyDescent="0.3">
      <c r="A949" s="37">
        <v>945</v>
      </c>
      <c r="B949" s="38" t="s">
        <v>521</v>
      </c>
      <c r="C949" s="38" t="s">
        <v>267</v>
      </c>
      <c r="D949" s="38" t="s">
        <v>317</v>
      </c>
      <c r="E949" s="38" t="s">
        <v>487</v>
      </c>
      <c r="F949" s="47" t="s">
        <v>520</v>
      </c>
      <c r="G949" s="40">
        <v>1377</v>
      </c>
      <c r="H949" s="40">
        <v>700</v>
      </c>
      <c r="I949" s="40">
        <v>252</v>
      </c>
      <c r="J949" s="40">
        <v>425</v>
      </c>
      <c r="K949" s="40">
        <v>2139</v>
      </c>
      <c r="L949" s="40">
        <v>1495</v>
      </c>
      <c r="M949" s="40">
        <v>274</v>
      </c>
      <c r="N949" s="40">
        <v>370</v>
      </c>
      <c r="O949" s="40">
        <v>2607</v>
      </c>
      <c r="P949" s="40">
        <v>2000</v>
      </c>
      <c r="Q949" s="40">
        <v>260</v>
      </c>
      <c r="R949" s="40">
        <v>347</v>
      </c>
      <c r="S949" s="41">
        <v>50.8351489</v>
      </c>
      <c r="T949" s="41">
        <v>18.3006536</v>
      </c>
      <c r="U949" s="41">
        <v>30.8641975</v>
      </c>
      <c r="V949" s="41">
        <v>69.892473100000004</v>
      </c>
      <c r="W949" s="41">
        <v>12.8097242</v>
      </c>
      <c r="X949" s="41">
        <v>17.297802699999998</v>
      </c>
      <c r="Y949" s="41">
        <v>76.716532400000006</v>
      </c>
      <c r="Z949" s="41">
        <v>9.9731491999999999</v>
      </c>
      <c r="AA949" s="41">
        <v>13.3103184</v>
      </c>
    </row>
    <row r="950" spans="1:39" hidden="1" x14ac:dyDescent="0.3">
      <c r="A950" s="32">
        <v>946</v>
      </c>
      <c r="B950" s="33" t="s">
        <v>1</v>
      </c>
      <c r="C950" s="49" t="s">
        <v>267</v>
      </c>
      <c r="D950" s="49" t="s">
        <v>527</v>
      </c>
      <c r="E950" s="49"/>
      <c r="F950" s="34" t="s">
        <v>527</v>
      </c>
      <c r="G950" s="35">
        <v>2790</v>
      </c>
      <c r="H950" s="35">
        <v>1129</v>
      </c>
      <c r="I950" s="35">
        <v>527</v>
      </c>
      <c r="J950" s="35">
        <v>1134</v>
      </c>
      <c r="K950" s="35">
        <v>3017</v>
      </c>
      <c r="L950" s="35">
        <v>1707</v>
      </c>
      <c r="M950" s="35">
        <v>467</v>
      </c>
      <c r="N950" s="35">
        <v>843</v>
      </c>
      <c r="O950" s="35">
        <v>3288</v>
      </c>
      <c r="P950" s="35">
        <v>2342</v>
      </c>
      <c r="Q950" s="35">
        <v>386</v>
      </c>
      <c r="R950" s="35">
        <v>560</v>
      </c>
      <c r="S950" s="36">
        <v>40.465949799999997</v>
      </c>
      <c r="T950" s="36">
        <v>18.888888900000001</v>
      </c>
      <c r="U950" s="36">
        <v>40.645161299999998</v>
      </c>
      <c r="V950" s="36">
        <v>56.579383499999999</v>
      </c>
      <c r="W950" s="36">
        <v>15.4789526</v>
      </c>
      <c r="X950" s="36">
        <v>27.941663900000002</v>
      </c>
      <c r="Y950" s="36">
        <v>71.228710500000005</v>
      </c>
      <c r="Z950" s="36">
        <v>11.739659400000001</v>
      </c>
      <c r="AA950" s="36">
        <v>17.031630199999999</v>
      </c>
    </row>
    <row r="951" spans="1:39" hidden="1" x14ac:dyDescent="0.3">
      <c r="A951" s="37">
        <v>947</v>
      </c>
      <c r="B951" s="38" t="s">
        <v>1</v>
      </c>
      <c r="C951" s="38" t="s">
        <v>267</v>
      </c>
      <c r="D951" s="38" t="s">
        <v>527</v>
      </c>
      <c r="E951" s="38"/>
      <c r="F951" s="39" t="s">
        <v>519</v>
      </c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1"/>
      <c r="T951" s="41"/>
      <c r="U951" s="41"/>
      <c r="V951" s="41"/>
      <c r="W951" s="41"/>
      <c r="X951" s="41"/>
      <c r="Y951" s="41"/>
      <c r="Z951" s="41"/>
      <c r="AA951" s="41"/>
    </row>
    <row r="952" spans="1:39" hidden="1" x14ac:dyDescent="0.3">
      <c r="A952" s="37">
        <v>948</v>
      </c>
      <c r="B952" s="38" t="s">
        <v>1</v>
      </c>
      <c r="C952" s="38" t="s">
        <v>267</v>
      </c>
      <c r="D952" s="38" t="s">
        <v>527</v>
      </c>
      <c r="E952" s="38"/>
      <c r="F952" s="39" t="s">
        <v>520</v>
      </c>
      <c r="G952" s="40">
        <v>2790</v>
      </c>
      <c r="H952" s="40">
        <v>1129</v>
      </c>
      <c r="I952" s="40">
        <v>527</v>
      </c>
      <c r="J952" s="40">
        <v>1134</v>
      </c>
      <c r="K952" s="40">
        <v>3017</v>
      </c>
      <c r="L952" s="40">
        <v>1707</v>
      </c>
      <c r="M952" s="40">
        <v>467</v>
      </c>
      <c r="N952" s="40">
        <v>843</v>
      </c>
      <c r="O952" s="40">
        <v>3288</v>
      </c>
      <c r="P952" s="40">
        <v>2342</v>
      </c>
      <c r="Q952" s="40">
        <v>386</v>
      </c>
      <c r="R952" s="40">
        <v>560</v>
      </c>
      <c r="S952" s="41">
        <v>40.465949799999997</v>
      </c>
      <c r="T952" s="41">
        <v>18.888888900000001</v>
      </c>
      <c r="U952" s="41">
        <v>40.645161299999998</v>
      </c>
      <c r="V952" s="41">
        <v>56.579383499999999</v>
      </c>
      <c r="W952" s="41">
        <v>15.4789526</v>
      </c>
      <c r="X952" s="41">
        <v>27.941663900000002</v>
      </c>
      <c r="Y952" s="41">
        <v>71.228710500000005</v>
      </c>
      <c r="Z952" s="41">
        <v>11.739659400000001</v>
      </c>
      <c r="AA952" s="41">
        <v>17.031630199999999</v>
      </c>
    </row>
    <row r="953" spans="1:39" hidden="1" x14ac:dyDescent="0.3">
      <c r="A953" s="42">
        <v>949</v>
      </c>
      <c r="B953" s="43" t="s">
        <v>521</v>
      </c>
      <c r="C953" s="50" t="s">
        <v>267</v>
      </c>
      <c r="D953" s="50" t="s">
        <v>527</v>
      </c>
      <c r="E953" s="50" t="s">
        <v>323</v>
      </c>
      <c r="F953" s="51" t="s">
        <v>323</v>
      </c>
      <c r="G953" s="45">
        <v>1312</v>
      </c>
      <c r="H953" s="45">
        <v>545</v>
      </c>
      <c r="I953" s="45">
        <v>265</v>
      </c>
      <c r="J953" s="45">
        <v>502</v>
      </c>
      <c r="K953" s="45">
        <v>1298</v>
      </c>
      <c r="L953" s="45">
        <v>745</v>
      </c>
      <c r="M953" s="45">
        <v>192</v>
      </c>
      <c r="N953" s="45">
        <v>361</v>
      </c>
      <c r="O953" s="45">
        <v>1457</v>
      </c>
      <c r="P953" s="45">
        <v>987</v>
      </c>
      <c r="Q953" s="45">
        <v>181</v>
      </c>
      <c r="R953" s="45">
        <v>289</v>
      </c>
      <c r="S953" s="46">
        <v>41.539634100000001</v>
      </c>
      <c r="T953" s="46">
        <v>20.198170699999999</v>
      </c>
      <c r="U953" s="46">
        <v>38.2621951</v>
      </c>
      <c r="V953" s="46">
        <v>57.395993799999999</v>
      </c>
      <c r="W953" s="46">
        <v>14.7919877</v>
      </c>
      <c r="X953" s="46">
        <v>27.812018500000001</v>
      </c>
      <c r="Y953" s="46">
        <v>67.741935499999997</v>
      </c>
      <c r="Z953" s="46">
        <v>12.422786500000001</v>
      </c>
      <c r="AA953" s="46">
        <v>19.835277999999999</v>
      </c>
      <c r="AB953" s="26">
        <f>SUM(W953:X953)</f>
        <v>42.604006200000001</v>
      </c>
      <c r="AC953" s="26">
        <f>SUM(Z953:AA953)</f>
        <v>32.258064500000003</v>
      </c>
      <c r="AD953" s="57">
        <f>M953+N953</f>
        <v>553</v>
      </c>
      <c r="AE953" s="57">
        <f>Q953+R953</f>
        <v>470</v>
      </c>
      <c r="AF953" s="26">
        <f>W953</f>
        <v>14.7919877</v>
      </c>
      <c r="AG953" s="26">
        <f>Z953</f>
        <v>12.422786500000001</v>
      </c>
      <c r="AH953" s="26">
        <f>M953</f>
        <v>192</v>
      </c>
      <c r="AI953" s="26">
        <f>Q953</f>
        <v>181</v>
      </c>
      <c r="AJ953" s="26">
        <f>X953</f>
        <v>27.812018500000001</v>
      </c>
      <c r="AK953" s="26">
        <f>AA953</f>
        <v>19.835277999999999</v>
      </c>
      <c r="AL953" s="57">
        <f>N953</f>
        <v>361</v>
      </c>
      <c r="AM953" s="57">
        <f>R953</f>
        <v>289</v>
      </c>
    </row>
    <row r="954" spans="1:39" hidden="1" x14ac:dyDescent="0.3">
      <c r="A954" s="37">
        <v>950</v>
      </c>
      <c r="B954" s="38" t="s">
        <v>521</v>
      </c>
      <c r="C954" s="38" t="s">
        <v>267</v>
      </c>
      <c r="D954" s="38" t="s">
        <v>527</v>
      </c>
      <c r="E954" s="38" t="s">
        <v>323</v>
      </c>
      <c r="F954" s="47" t="s">
        <v>519</v>
      </c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1"/>
      <c r="T954" s="41"/>
      <c r="U954" s="41"/>
      <c r="V954" s="41"/>
      <c r="W954" s="41"/>
      <c r="X954" s="41"/>
      <c r="Y954" s="41"/>
      <c r="Z954" s="41"/>
      <c r="AA954" s="41"/>
    </row>
    <row r="955" spans="1:39" hidden="1" x14ac:dyDescent="0.3">
      <c r="A955" s="37">
        <v>951</v>
      </c>
      <c r="B955" s="38" t="s">
        <v>521</v>
      </c>
      <c r="C955" s="38" t="s">
        <v>267</v>
      </c>
      <c r="D955" s="38" t="s">
        <v>527</v>
      </c>
      <c r="E955" s="38" t="s">
        <v>323</v>
      </c>
      <c r="F955" s="47" t="s">
        <v>520</v>
      </c>
      <c r="G955" s="40">
        <v>1312</v>
      </c>
      <c r="H955" s="40">
        <v>545</v>
      </c>
      <c r="I955" s="40">
        <v>265</v>
      </c>
      <c r="J955" s="40">
        <v>502</v>
      </c>
      <c r="K955" s="40">
        <v>1298</v>
      </c>
      <c r="L955" s="40">
        <v>745</v>
      </c>
      <c r="M955" s="40">
        <v>192</v>
      </c>
      <c r="N955" s="40">
        <v>361</v>
      </c>
      <c r="O955" s="40">
        <v>1457</v>
      </c>
      <c r="P955" s="40">
        <v>987</v>
      </c>
      <c r="Q955" s="40">
        <v>181</v>
      </c>
      <c r="R955" s="40">
        <v>289</v>
      </c>
      <c r="S955" s="41">
        <v>41.539634100000001</v>
      </c>
      <c r="T955" s="41">
        <v>20.198170699999999</v>
      </c>
      <c r="U955" s="41">
        <v>38.2621951</v>
      </c>
      <c r="V955" s="41">
        <v>57.395993799999999</v>
      </c>
      <c r="W955" s="41">
        <v>14.7919877</v>
      </c>
      <c r="X955" s="41">
        <v>27.812018500000001</v>
      </c>
      <c r="Y955" s="41">
        <v>67.741935499999997</v>
      </c>
      <c r="Z955" s="41">
        <v>12.422786500000001</v>
      </c>
      <c r="AA955" s="41">
        <v>19.835277999999999</v>
      </c>
    </row>
    <row r="956" spans="1:39" hidden="1" x14ac:dyDescent="0.3">
      <c r="A956" s="42">
        <v>952</v>
      </c>
      <c r="B956" s="43" t="s">
        <v>521</v>
      </c>
      <c r="C956" s="50" t="s">
        <v>267</v>
      </c>
      <c r="D956" s="50" t="s">
        <v>527</v>
      </c>
      <c r="E956" s="50" t="s">
        <v>324</v>
      </c>
      <c r="F956" s="51" t="s">
        <v>324</v>
      </c>
      <c r="G956" s="45">
        <v>1478</v>
      </c>
      <c r="H956" s="45">
        <v>584</v>
      </c>
      <c r="I956" s="45">
        <v>262</v>
      </c>
      <c r="J956" s="45">
        <v>632</v>
      </c>
      <c r="K956" s="45">
        <v>1719</v>
      </c>
      <c r="L956" s="45">
        <v>962</v>
      </c>
      <c r="M956" s="45">
        <v>275</v>
      </c>
      <c r="N956" s="45">
        <v>482</v>
      </c>
      <c r="O956" s="45">
        <v>1831</v>
      </c>
      <c r="P956" s="45">
        <v>1355</v>
      </c>
      <c r="Q956" s="45">
        <v>205</v>
      </c>
      <c r="R956" s="45">
        <v>271</v>
      </c>
      <c r="S956" s="46">
        <v>39.512855199999997</v>
      </c>
      <c r="T956" s="46">
        <v>17.726657599999999</v>
      </c>
      <c r="U956" s="46">
        <v>42.760487099999999</v>
      </c>
      <c r="V956" s="46">
        <v>55.962769100000003</v>
      </c>
      <c r="W956" s="46">
        <v>15.9976731</v>
      </c>
      <c r="X956" s="46">
        <v>28.039557899999998</v>
      </c>
      <c r="Y956" s="46">
        <v>74.003276900000003</v>
      </c>
      <c r="Z956" s="46">
        <v>11.1960677</v>
      </c>
      <c r="AA956" s="46">
        <v>14.8006554</v>
      </c>
      <c r="AB956" s="26">
        <f>SUM(W956:X956)</f>
        <v>44.037230999999998</v>
      </c>
      <c r="AC956" s="26">
        <f>SUM(Z956:AA956)</f>
        <v>25.996723100000001</v>
      </c>
      <c r="AD956" s="57">
        <f>M956+N956</f>
        <v>757</v>
      </c>
      <c r="AE956" s="57">
        <f>Q956+R956</f>
        <v>476</v>
      </c>
      <c r="AF956" s="26">
        <f>W956</f>
        <v>15.9976731</v>
      </c>
      <c r="AG956" s="26">
        <f>Z956</f>
        <v>11.1960677</v>
      </c>
      <c r="AH956" s="26">
        <f>M956</f>
        <v>275</v>
      </c>
      <c r="AI956" s="26">
        <f>Q956</f>
        <v>205</v>
      </c>
      <c r="AJ956" s="26">
        <f>X956</f>
        <v>28.039557899999998</v>
      </c>
      <c r="AK956" s="26">
        <f>AA956</f>
        <v>14.8006554</v>
      </c>
      <c r="AL956" s="57">
        <f>N956</f>
        <v>482</v>
      </c>
      <c r="AM956" s="57">
        <f>R956</f>
        <v>271</v>
      </c>
    </row>
    <row r="957" spans="1:39" hidden="1" x14ac:dyDescent="0.3">
      <c r="A957" s="37">
        <v>953</v>
      </c>
      <c r="B957" s="38" t="s">
        <v>521</v>
      </c>
      <c r="C957" s="38" t="s">
        <v>267</v>
      </c>
      <c r="D957" s="38" t="s">
        <v>527</v>
      </c>
      <c r="E957" s="38" t="s">
        <v>324</v>
      </c>
      <c r="F957" s="47" t="s">
        <v>519</v>
      </c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1"/>
      <c r="T957" s="41"/>
      <c r="U957" s="41"/>
      <c r="V957" s="41"/>
      <c r="W957" s="41"/>
      <c r="X957" s="41"/>
      <c r="Y957" s="41"/>
      <c r="Z957" s="41"/>
      <c r="AA957" s="41"/>
    </row>
    <row r="958" spans="1:39" hidden="1" x14ac:dyDescent="0.3">
      <c r="A958" s="37">
        <v>954</v>
      </c>
      <c r="B958" s="38" t="s">
        <v>521</v>
      </c>
      <c r="C958" s="38" t="s">
        <v>267</v>
      </c>
      <c r="D958" s="38" t="s">
        <v>527</v>
      </c>
      <c r="E958" s="38" t="s">
        <v>324</v>
      </c>
      <c r="F958" s="47" t="s">
        <v>520</v>
      </c>
      <c r="G958" s="40">
        <v>1478</v>
      </c>
      <c r="H958" s="40">
        <v>584</v>
      </c>
      <c r="I958" s="40">
        <v>262</v>
      </c>
      <c r="J958" s="40">
        <v>632</v>
      </c>
      <c r="K958" s="40">
        <v>1719</v>
      </c>
      <c r="L958" s="40">
        <v>962</v>
      </c>
      <c r="M958" s="40">
        <v>275</v>
      </c>
      <c r="N958" s="40">
        <v>482</v>
      </c>
      <c r="O958" s="40">
        <v>1831</v>
      </c>
      <c r="P958" s="40">
        <v>1355</v>
      </c>
      <c r="Q958" s="40">
        <v>205</v>
      </c>
      <c r="R958" s="40">
        <v>271</v>
      </c>
      <c r="S958" s="41">
        <v>39.512855199999997</v>
      </c>
      <c r="T958" s="41">
        <v>17.726657599999999</v>
      </c>
      <c r="U958" s="41">
        <v>42.760487099999999</v>
      </c>
      <c r="V958" s="41">
        <v>55.962769100000003</v>
      </c>
      <c r="W958" s="41">
        <v>15.9976731</v>
      </c>
      <c r="X958" s="41">
        <v>28.039557899999998</v>
      </c>
      <c r="Y958" s="41">
        <v>74.003276900000003</v>
      </c>
      <c r="Z958" s="41">
        <v>11.1960677</v>
      </c>
      <c r="AA958" s="41">
        <v>14.8006554</v>
      </c>
    </row>
    <row r="959" spans="1:39" hidden="1" x14ac:dyDescent="0.3">
      <c r="A959" s="32">
        <v>955</v>
      </c>
      <c r="B959" s="33" t="s">
        <v>1</v>
      </c>
      <c r="C959" s="49" t="s">
        <v>267</v>
      </c>
      <c r="D959" s="49" t="s">
        <v>325</v>
      </c>
      <c r="E959" s="49"/>
      <c r="F959" s="34" t="s">
        <v>325</v>
      </c>
      <c r="G959" s="35">
        <v>1433</v>
      </c>
      <c r="H959" s="35">
        <v>714</v>
      </c>
      <c r="I959" s="35">
        <v>239</v>
      </c>
      <c r="J959" s="35">
        <v>480</v>
      </c>
      <c r="K959" s="35">
        <v>2183</v>
      </c>
      <c r="L959" s="35">
        <v>1436</v>
      </c>
      <c r="M959" s="35">
        <v>309</v>
      </c>
      <c r="N959" s="35">
        <v>438</v>
      </c>
      <c r="O959" s="35">
        <v>2598</v>
      </c>
      <c r="P959" s="35">
        <v>1819</v>
      </c>
      <c r="Q959" s="35">
        <v>236</v>
      </c>
      <c r="R959" s="35">
        <v>543</v>
      </c>
      <c r="S959" s="36">
        <v>49.825540799999999</v>
      </c>
      <c r="T959" s="36">
        <v>16.678297300000001</v>
      </c>
      <c r="U959" s="36">
        <v>33.496161899999997</v>
      </c>
      <c r="V959" s="36">
        <v>65.781035299999999</v>
      </c>
      <c r="W959" s="36">
        <v>14.154832799999999</v>
      </c>
      <c r="X959" s="36">
        <v>20.0641319</v>
      </c>
      <c r="Y959" s="36">
        <v>70.015396499999994</v>
      </c>
      <c r="Z959" s="36">
        <v>9.0839107000000006</v>
      </c>
      <c r="AA959" s="36">
        <v>20.900692800000002</v>
      </c>
    </row>
    <row r="960" spans="1:39" hidden="1" x14ac:dyDescent="0.3">
      <c r="A960" s="37">
        <v>956</v>
      </c>
      <c r="B960" s="38" t="s">
        <v>1</v>
      </c>
      <c r="C960" s="38" t="s">
        <v>267</v>
      </c>
      <c r="D960" s="38" t="s">
        <v>325</v>
      </c>
      <c r="E960" s="38"/>
      <c r="F960" s="39" t="s">
        <v>519</v>
      </c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1"/>
      <c r="T960" s="41"/>
      <c r="U960" s="41"/>
      <c r="V960" s="41"/>
      <c r="W960" s="41"/>
      <c r="X960" s="41"/>
      <c r="Y960" s="41"/>
      <c r="Z960" s="41"/>
      <c r="AA960" s="41"/>
    </row>
    <row r="961" spans="1:39" hidden="1" x14ac:dyDescent="0.3">
      <c r="A961" s="37">
        <v>957</v>
      </c>
      <c r="B961" s="38" t="s">
        <v>1</v>
      </c>
      <c r="C961" s="38" t="s">
        <v>267</v>
      </c>
      <c r="D961" s="38" t="s">
        <v>325</v>
      </c>
      <c r="E961" s="38"/>
      <c r="F961" s="39" t="s">
        <v>520</v>
      </c>
      <c r="G961" s="40">
        <v>1433</v>
      </c>
      <c r="H961" s="40">
        <v>714</v>
      </c>
      <c r="I961" s="40">
        <v>239</v>
      </c>
      <c r="J961" s="40">
        <v>480</v>
      </c>
      <c r="K961" s="40">
        <v>2183</v>
      </c>
      <c r="L961" s="40">
        <v>1436</v>
      </c>
      <c r="M961" s="40">
        <v>309</v>
      </c>
      <c r="N961" s="40">
        <v>438</v>
      </c>
      <c r="O961" s="40">
        <v>2598</v>
      </c>
      <c r="P961" s="40">
        <v>1819</v>
      </c>
      <c r="Q961" s="40">
        <v>236</v>
      </c>
      <c r="R961" s="40">
        <v>543</v>
      </c>
      <c r="S961" s="41">
        <v>49.825540799999999</v>
      </c>
      <c r="T961" s="41">
        <v>16.678297300000001</v>
      </c>
      <c r="U961" s="41">
        <v>33.496161899999997</v>
      </c>
      <c r="V961" s="41">
        <v>65.781035299999999</v>
      </c>
      <c r="W961" s="41">
        <v>14.154832799999999</v>
      </c>
      <c r="X961" s="41">
        <v>20.0641319</v>
      </c>
      <c r="Y961" s="41">
        <v>70.015396499999994</v>
      </c>
      <c r="Z961" s="41">
        <v>9.0839107000000006</v>
      </c>
      <c r="AA961" s="41">
        <v>20.900692800000002</v>
      </c>
    </row>
    <row r="962" spans="1:39" hidden="1" x14ac:dyDescent="0.3">
      <c r="A962" s="42">
        <v>958</v>
      </c>
      <c r="B962" s="43" t="s">
        <v>521</v>
      </c>
      <c r="C962" s="50" t="s">
        <v>267</v>
      </c>
      <c r="D962" s="50" t="s">
        <v>325</v>
      </c>
      <c r="E962" s="50" t="s">
        <v>326</v>
      </c>
      <c r="F962" s="51" t="s">
        <v>326</v>
      </c>
      <c r="G962" s="45">
        <v>823</v>
      </c>
      <c r="H962" s="45">
        <v>431</v>
      </c>
      <c r="I962" s="45">
        <v>130</v>
      </c>
      <c r="J962" s="45">
        <v>262</v>
      </c>
      <c r="K962" s="45">
        <v>1504</v>
      </c>
      <c r="L962" s="45">
        <v>977</v>
      </c>
      <c r="M962" s="45">
        <v>225</v>
      </c>
      <c r="N962" s="45">
        <v>302</v>
      </c>
      <c r="O962" s="45">
        <v>1856</v>
      </c>
      <c r="P962" s="45">
        <v>1299</v>
      </c>
      <c r="Q962" s="45">
        <v>180</v>
      </c>
      <c r="R962" s="45">
        <v>377</v>
      </c>
      <c r="S962" s="46">
        <v>52.369380300000003</v>
      </c>
      <c r="T962" s="46">
        <v>15.795868799999999</v>
      </c>
      <c r="U962" s="46">
        <v>31.8347509</v>
      </c>
      <c r="V962" s="46">
        <v>64.960106400000001</v>
      </c>
      <c r="W962" s="46">
        <v>14.960106400000001</v>
      </c>
      <c r="X962" s="46">
        <v>20.079787199999998</v>
      </c>
      <c r="Y962" s="46">
        <v>69.989224100000001</v>
      </c>
      <c r="Z962" s="46">
        <v>9.6982759000000005</v>
      </c>
      <c r="AA962" s="46">
        <v>20.3125</v>
      </c>
      <c r="AB962" s="26">
        <f>SUM(W962:X962)</f>
        <v>35.039893599999999</v>
      </c>
      <c r="AC962" s="26">
        <f>SUM(Z962:AA962)</f>
        <v>30.010775899999999</v>
      </c>
      <c r="AD962" s="57">
        <f>M962+N962</f>
        <v>527</v>
      </c>
      <c r="AE962" s="57">
        <f>Q962+R962</f>
        <v>557</v>
      </c>
      <c r="AF962" s="26">
        <f>W962</f>
        <v>14.960106400000001</v>
      </c>
      <c r="AG962" s="26">
        <f>Z962</f>
        <v>9.6982759000000005</v>
      </c>
      <c r="AH962" s="26">
        <f>M962</f>
        <v>225</v>
      </c>
      <c r="AI962" s="26">
        <f>Q962</f>
        <v>180</v>
      </c>
      <c r="AJ962" s="26">
        <f>X962</f>
        <v>20.079787199999998</v>
      </c>
      <c r="AK962" s="26">
        <f>AA962</f>
        <v>20.3125</v>
      </c>
      <c r="AL962" s="57">
        <f>N962</f>
        <v>302</v>
      </c>
      <c r="AM962" s="57">
        <f>R962</f>
        <v>377</v>
      </c>
    </row>
    <row r="963" spans="1:39" hidden="1" x14ac:dyDescent="0.3">
      <c r="A963" s="37">
        <v>959</v>
      </c>
      <c r="B963" s="38" t="s">
        <v>521</v>
      </c>
      <c r="C963" s="38" t="s">
        <v>267</v>
      </c>
      <c r="D963" s="38" t="s">
        <v>325</v>
      </c>
      <c r="E963" s="38" t="s">
        <v>326</v>
      </c>
      <c r="F963" s="47" t="s">
        <v>519</v>
      </c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1"/>
      <c r="T963" s="41"/>
      <c r="U963" s="41"/>
      <c r="V963" s="41"/>
      <c r="W963" s="41"/>
      <c r="X963" s="41"/>
      <c r="Y963" s="41"/>
      <c r="Z963" s="41"/>
      <c r="AA963" s="41"/>
    </row>
    <row r="964" spans="1:39" hidden="1" x14ac:dyDescent="0.3">
      <c r="A964" s="37">
        <v>960</v>
      </c>
      <c r="B964" s="38" t="s">
        <v>521</v>
      </c>
      <c r="C964" s="38" t="s">
        <v>267</v>
      </c>
      <c r="D964" s="38" t="s">
        <v>325</v>
      </c>
      <c r="E964" s="38" t="s">
        <v>326</v>
      </c>
      <c r="F964" s="47" t="s">
        <v>520</v>
      </c>
      <c r="G964" s="40">
        <v>823</v>
      </c>
      <c r="H964" s="40">
        <v>431</v>
      </c>
      <c r="I964" s="40">
        <v>130</v>
      </c>
      <c r="J964" s="40">
        <v>262</v>
      </c>
      <c r="K964" s="40">
        <v>1504</v>
      </c>
      <c r="L964" s="40">
        <v>977</v>
      </c>
      <c r="M964" s="40">
        <v>225</v>
      </c>
      <c r="N964" s="40">
        <v>302</v>
      </c>
      <c r="O964" s="40">
        <v>1856</v>
      </c>
      <c r="P964" s="40">
        <v>1299</v>
      </c>
      <c r="Q964" s="40">
        <v>180</v>
      </c>
      <c r="R964" s="40">
        <v>377</v>
      </c>
      <c r="S964" s="41">
        <v>52.369380300000003</v>
      </c>
      <c r="T964" s="41">
        <v>15.795868799999999</v>
      </c>
      <c r="U964" s="41">
        <v>31.8347509</v>
      </c>
      <c r="V964" s="41">
        <v>64.960106400000001</v>
      </c>
      <c r="W964" s="41">
        <v>14.960106400000001</v>
      </c>
      <c r="X964" s="41">
        <v>20.079787199999998</v>
      </c>
      <c r="Y964" s="41">
        <v>69.989224100000001</v>
      </c>
      <c r="Z964" s="41">
        <v>9.6982759000000005</v>
      </c>
      <c r="AA964" s="41">
        <v>20.3125</v>
      </c>
    </row>
    <row r="965" spans="1:39" hidden="1" x14ac:dyDescent="0.3">
      <c r="A965" s="42">
        <v>961</v>
      </c>
      <c r="B965" s="43" t="s">
        <v>521</v>
      </c>
      <c r="C965" s="50" t="s">
        <v>267</v>
      </c>
      <c r="D965" s="50" t="s">
        <v>325</v>
      </c>
      <c r="E965" s="50" t="s">
        <v>327</v>
      </c>
      <c r="F965" s="51" t="s">
        <v>327</v>
      </c>
      <c r="G965" s="45">
        <v>610</v>
      </c>
      <c r="H965" s="45">
        <v>283</v>
      </c>
      <c r="I965" s="45">
        <v>109</v>
      </c>
      <c r="J965" s="45">
        <v>218</v>
      </c>
      <c r="K965" s="45">
        <v>679</v>
      </c>
      <c r="L965" s="45">
        <v>459</v>
      </c>
      <c r="M965" s="45">
        <v>84</v>
      </c>
      <c r="N965" s="45">
        <v>136</v>
      </c>
      <c r="O965" s="45">
        <v>742</v>
      </c>
      <c r="P965" s="45">
        <v>520</v>
      </c>
      <c r="Q965" s="45">
        <v>56</v>
      </c>
      <c r="R965" s="45">
        <v>166</v>
      </c>
      <c r="S965" s="46">
        <v>46.3934426</v>
      </c>
      <c r="T965" s="46">
        <v>17.868852499999999</v>
      </c>
      <c r="U965" s="46">
        <v>35.737704899999997</v>
      </c>
      <c r="V965" s="46">
        <v>67.599410899999995</v>
      </c>
      <c r="W965" s="46">
        <v>12.371134</v>
      </c>
      <c r="X965" s="46">
        <v>20.0294551</v>
      </c>
      <c r="Y965" s="46">
        <v>70.080862499999995</v>
      </c>
      <c r="Z965" s="46">
        <v>7.5471697999999998</v>
      </c>
      <c r="AA965" s="46">
        <v>22.371967699999999</v>
      </c>
      <c r="AB965" s="26">
        <f>SUM(W965:X965)</f>
        <v>32.400589099999998</v>
      </c>
      <c r="AC965" s="26">
        <f>SUM(Z965:AA965)</f>
        <v>29.919137499999998</v>
      </c>
      <c r="AD965" s="57">
        <f>M965+N965</f>
        <v>220</v>
      </c>
      <c r="AE965" s="57">
        <f>Q965+R965</f>
        <v>222</v>
      </c>
      <c r="AF965" s="26">
        <f>W965</f>
        <v>12.371134</v>
      </c>
      <c r="AG965" s="26">
        <f>Z965</f>
        <v>7.5471697999999998</v>
      </c>
      <c r="AH965" s="26">
        <f>M965</f>
        <v>84</v>
      </c>
      <c r="AI965" s="26">
        <f>Q965</f>
        <v>56</v>
      </c>
      <c r="AJ965" s="26">
        <f>X965</f>
        <v>20.0294551</v>
      </c>
      <c r="AK965" s="26">
        <f>AA965</f>
        <v>22.371967699999999</v>
      </c>
      <c r="AL965" s="57">
        <f>N965</f>
        <v>136</v>
      </c>
      <c r="AM965" s="57">
        <f>R965</f>
        <v>166</v>
      </c>
    </row>
    <row r="966" spans="1:39" hidden="1" x14ac:dyDescent="0.3">
      <c r="A966" s="37">
        <v>962</v>
      </c>
      <c r="B966" s="38" t="s">
        <v>521</v>
      </c>
      <c r="C966" s="38" t="s">
        <v>267</v>
      </c>
      <c r="D966" s="38" t="s">
        <v>325</v>
      </c>
      <c r="E966" s="38" t="s">
        <v>327</v>
      </c>
      <c r="F966" s="47" t="s">
        <v>519</v>
      </c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1"/>
      <c r="T966" s="41"/>
      <c r="U966" s="41"/>
      <c r="V966" s="41"/>
      <c r="W966" s="41"/>
      <c r="X966" s="41"/>
      <c r="Y966" s="41"/>
      <c r="Z966" s="41"/>
      <c r="AA966" s="41"/>
    </row>
    <row r="967" spans="1:39" hidden="1" x14ac:dyDescent="0.3">
      <c r="A967" s="37">
        <v>963</v>
      </c>
      <c r="B967" s="38" t="s">
        <v>521</v>
      </c>
      <c r="C967" s="38" t="s">
        <v>267</v>
      </c>
      <c r="D967" s="38" t="s">
        <v>325</v>
      </c>
      <c r="E967" s="38" t="s">
        <v>327</v>
      </c>
      <c r="F967" s="47" t="s">
        <v>520</v>
      </c>
      <c r="G967" s="40">
        <v>610</v>
      </c>
      <c r="H967" s="40">
        <v>283</v>
      </c>
      <c r="I967" s="40">
        <v>109</v>
      </c>
      <c r="J967" s="40">
        <v>218</v>
      </c>
      <c r="K967" s="40">
        <v>679</v>
      </c>
      <c r="L967" s="40">
        <v>459</v>
      </c>
      <c r="M967" s="40">
        <v>84</v>
      </c>
      <c r="N967" s="40">
        <v>136</v>
      </c>
      <c r="O967" s="40">
        <v>742</v>
      </c>
      <c r="P967" s="40">
        <v>520</v>
      </c>
      <c r="Q967" s="40">
        <v>56</v>
      </c>
      <c r="R967" s="40">
        <v>166</v>
      </c>
      <c r="S967" s="41">
        <v>46.3934426</v>
      </c>
      <c r="T967" s="41">
        <v>17.868852499999999</v>
      </c>
      <c r="U967" s="41">
        <v>35.737704899999997</v>
      </c>
      <c r="V967" s="41">
        <v>67.599410899999995</v>
      </c>
      <c r="W967" s="41">
        <v>12.371134</v>
      </c>
      <c r="X967" s="41">
        <v>20.0294551</v>
      </c>
      <c r="Y967" s="41">
        <v>70.080862499999995</v>
      </c>
      <c r="Z967" s="41">
        <v>7.5471697999999998</v>
      </c>
      <c r="AA967" s="41">
        <v>22.371967699999999</v>
      </c>
    </row>
    <row r="968" spans="1:39" hidden="1" x14ac:dyDescent="0.3">
      <c r="A968" s="32">
        <v>964</v>
      </c>
      <c r="B968" s="33" t="s">
        <v>1</v>
      </c>
      <c r="C968" s="49" t="s">
        <v>267</v>
      </c>
      <c r="D968" s="49" t="s">
        <v>328</v>
      </c>
      <c r="E968" s="49"/>
      <c r="F968" s="34" t="s">
        <v>328</v>
      </c>
      <c r="G968" s="35">
        <v>8965</v>
      </c>
      <c r="H968" s="35">
        <v>4403</v>
      </c>
      <c r="I968" s="35">
        <v>1859</v>
      </c>
      <c r="J968" s="35">
        <v>2703</v>
      </c>
      <c r="K968" s="35">
        <v>12074</v>
      </c>
      <c r="L968" s="35">
        <v>7472</v>
      </c>
      <c r="M968" s="35">
        <v>2066</v>
      </c>
      <c r="N968" s="35">
        <v>2536</v>
      </c>
      <c r="O968" s="35">
        <v>14433</v>
      </c>
      <c r="P968" s="35">
        <v>10285</v>
      </c>
      <c r="Q968" s="35">
        <v>2022</v>
      </c>
      <c r="R968" s="35">
        <v>2126</v>
      </c>
      <c r="S968" s="36">
        <v>49.113218099999997</v>
      </c>
      <c r="T968" s="36">
        <v>20.7361963</v>
      </c>
      <c r="U968" s="36">
        <v>30.150585599999999</v>
      </c>
      <c r="V968" s="36">
        <v>61.885042200000001</v>
      </c>
      <c r="W968" s="36">
        <v>17.111147899999999</v>
      </c>
      <c r="X968" s="36">
        <v>21.003809799999999</v>
      </c>
      <c r="Y968" s="36">
        <v>71.260306200000002</v>
      </c>
      <c r="Z968" s="36">
        <v>14.009561400000001</v>
      </c>
      <c r="AA968" s="36">
        <v>14.730132299999999</v>
      </c>
    </row>
    <row r="969" spans="1:39" hidden="1" x14ac:dyDescent="0.3">
      <c r="A969" s="37">
        <v>965</v>
      </c>
      <c r="B969" s="38" t="s">
        <v>1</v>
      </c>
      <c r="C969" s="38" t="s">
        <v>267</v>
      </c>
      <c r="D969" s="38" t="s">
        <v>328</v>
      </c>
      <c r="E969" s="38"/>
      <c r="F969" s="39" t="s">
        <v>519</v>
      </c>
      <c r="G969" s="40">
        <v>6863</v>
      </c>
      <c r="H969" s="40">
        <v>3402</v>
      </c>
      <c r="I969" s="40">
        <v>1458</v>
      </c>
      <c r="J969" s="40">
        <v>2003</v>
      </c>
      <c r="K969" s="40">
        <v>9384</v>
      </c>
      <c r="L969" s="40">
        <v>5942</v>
      </c>
      <c r="M969" s="40">
        <v>1618</v>
      </c>
      <c r="N969" s="40">
        <v>1824</v>
      </c>
      <c r="O969" s="40">
        <v>11445</v>
      </c>
      <c r="P969" s="40">
        <v>8094</v>
      </c>
      <c r="Q969" s="40">
        <v>1631</v>
      </c>
      <c r="R969" s="40">
        <v>1720</v>
      </c>
      <c r="S969" s="41">
        <v>49.570158800000002</v>
      </c>
      <c r="T969" s="41">
        <v>21.244353799999999</v>
      </c>
      <c r="U969" s="41">
        <v>29.1854874</v>
      </c>
      <c r="V969" s="41">
        <v>63.320545600000003</v>
      </c>
      <c r="W969" s="41">
        <v>17.2421142</v>
      </c>
      <c r="X969" s="41">
        <v>19.437340200000001</v>
      </c>
      <c r="Y969" s="41">
        <v>70.720838799999996</v>
      </c>
      <c r="Z969" s="41">
        <v>14.250764500000001</v>
      </c>
      <c r="AA969" s="41">
        <v>15.0283967</v>
      </c>
    </row>
    <row r="970" spans="1:39" hidden="1" x14ac:dyDescent="0.3">
      <c r="A970" s="37">
        <v>966</v>
      </c>
      <c r="B970" s="38" t="s">
        <v>1</v>
      </c>
      <c r="C970" s="38" t="s">
        <v>267</v>
      </c>
      <c r="D970" s="38" t="s">
        <v>328</v>
      </c>
      <c r="E970" s="38"/>
      <c r="F970" s="39" t="s">
        <v>520</v>
      </c>
      <c r="G970" s="40">
        <v>2102</v>
      </c>
      <c r="H970" s="40">
        <v>1001</v>
      </c>
      <c r="I970" s="40">
        <v>401</v>
      </c>
      <c r="J970" s="40">
        <v>700</v>
      </c>
      <c r="K970" s="40">
        <v>2690</v>
      </c>
      <c r="L970" s="40">
        <v>1530</v>
      </c>
      <c r="M970" s="40">
        <v>448</v>
      </c>
      <c r="N970" s="40">
        <v>712</v>
      </c>
      <c r="O970" s="40">
        <v>2988</v>
      </c>
      <c r="P970" s="40">
        <v>2191</v>
      </c>
      <c r="Q970" s="40">
        <v>391</v>
      </c>
      <c r="R970" s="40">
        <v>406</v>
      </c>
      <c r="S970" s="41">
        <v>47.621313000000001</v>
      </c>
      <c r="T970" s="41">
        <v>19.0770695</v>
      </c>
      <c r="U970" s="41">
        <v>33.301617499999999</v>
      </c>
      <c r="V970" s="41">
        <v>56.877323400000002</v>
      </c>
      <c r="W970" s="41">
        <v>16.6542751</v>
      </c>
      <c r="X970" s="41">
        <v>26.468401499999999</v>
      </c>
      <c r="Y970" s="41">
        <v>73.326639900000004</v>
      </c>
      <c r="Z970" s="41">
        <v>13.085675999999999</v>
      </c>
      <c r="AA970" s="41">
        <v>13.587684100000001</v>
      </c>
    </row>
    <row r="971" spans="1:39" hidden="1" x14ac:dyDescent="0.3">
      <c r="A971" s="42">
        <v>967</v>
      </c>
      <c r="B971" s="43" t="s">
        <v>521</v>
      </c>
      <c r="C971" s="50" t="s">
        <v>267</v>
      </c>
      <c r="D971" s="50" t="s">
        <v>328</v>
      </c>
      <c r="E971" s="50" t="s">
        <v>329</v>
      </c>
      <c r="F971" s="51" t="s">
        <v>329</v>
      </c>
      <c r="G971" s="45">
        <v>8965</v>
      </c>
      <c r="H971" s="45">
        <v>4403</v>
      </c>
      <c r="I971" s="45">
        <v>1859</v>
      </c>
      <c r="J971" s="45">
        <v>2703</v>
      </c>
      <c r="K971" s="45">
        <v>12074</v>
      </c>
      <c r="L971" s="45">
        <v>7472</v>
      </c>
      <c r="M971" s="45">
        <v>2066</v>
      </c>
      <c r="N971" s="45">
        <v>2536</v>
      </c>
      <c r="O971" s="45">
        <v>14433</v>
      </c>
      <c r="P971" s="45">
        <v>10285</v>
      </c>
      <c r="Q971" s="45">
        <v>2022</v>
      </c>
      <c r="R971" s="45">
        <v>2126</v>
      </c>
      <c r="S971" s="46">
        <v>49.113218099999997</v>
      </c>
      <c r="T971" s="46">
        <v>20.7361963</v>
      </c>
      <c r="U971" s="46">
        <v>30.150585599999999</v>
      </c>
      <c r="V971" s="46">
        <v>61.885042200000001</v>
      </c>
      <c r="W971" s="46">
        <v>17.111147899999999</v>
      </c>
      <c r="X971" s="46">
        <v>21.003809799999999</v>
      </c>
      <c r="Y971" s="46">
        <v>71.260306200000002</v>
      </c>
      <c r="Z971" s="46">
        <v>14.009561400000001</v>
      </c>
      <c r="AA971" s="46">
        <v>14.730132299999999</v>
      </c>
      <c r="AB971" s="26">
        <f>SUM(W971:X971)</f>
        <v>38.114957699999998</v>
      </c>
      <c r="AC971" s="26">
        <f>SUM(Z971:AA971)</f>
        <v>28.7396937</v>
      </c>
      <c r="AD971" s="57">
        <f>M971+N971</f>
        <v>4602</v>
      </c>
      <c r="AE971" s="57">
        <f>Q971+R971</f>
        <v>4148</v>
      </c>
      <c r="AF971" s="26">
        <f>W971</f>
        <v>17.111147899999999</v>
      </c>
      <c r="AG971" s="26">
        <f>Z971</f>
        <v>14.009561400000001</v>
      </c>
      <c r="AH971" s="26">
        <f>M971</f>
        <v>2066</v>
      </c>
      <c r="AI971" s="26">
        <f>Q971</f>
        <v>2022</v>
      </c>
      <c r="AJ971" s="26">
        <f>X971</f>
        <v>21.003809799999999</v>
      </c>
      <c r="AK971" s="26">
        <f>AA971</f>
        <v>14.730132299999999</v>
      </c>
      <c r="AL971" s="57">
        <f>N971</f>
        <v>2536</v>
      </c>
      <c r="AM971" s="57">
        <f>R971</f>
        <v>2126</v>
      </c>
    </row>
    <row r="972" spans="1:39" hidden="1" x14ac:dyDescent="0.3">
      <c r="A972" s="37">
        <v>968</v>
      </c>
      <c r="B972" s="38" t="s">
        <v>521</v>
      </c>
      <c r="C972" s="38" t="s">
        <v>267</v>
      </c>
      <c r="D972" s="38" t="s">
        <v>328</v>
      </c>
      <c r="E972" s="38" t="s">
        <v>329</v>
      </c>
      <c r="F972" s="47" t="s">
        <v>519</v>
      </c>
      <c r="G972" s="40">
        <v>6863</v>
      </c>
      <c r="H972" s="40">
        <v>3402</v>
      </c>
      <c r="I972" s="40">
        <v>1458</v>
      </c>
      <c r="J972" s="40">
        <v>2003</v>
      </c>
      <c r="K972" s="40">
        <v>9384</v>
      </c>
      <c r="L972" s="40">
        <v>5942</v>
      </c>
      <c r="M972" s="40">
        <v>1618</v>
      </c>
      <c r="N972" s="40">
        <v>1824</v>
      </c>
      <c r="O972" s="40">
        <v>11445</v>
      </c>
      <c r="P972" s="40">
        <v>8094</v>
      </c>
      <c r="Q972" s="40">
        <v>1631</v>
      </c>
      <c r="R972" s="40">
        <v>1720</v>
      </c>
      <c r="S972" s="41">
        <v>49.570158800000002</v>
      </c>
      <c r="T972" s="41">
        <v>21.244353799999999</v>
      </c>
      <c r="U972" s="41">
        <v>29.1854874</v>
      </c>
      <c r="V972" s="41">
        <v>63.320545600000003</v>
      </c>
      <c r="W972" s="41">
        <v>17.2421142</v>
      </c>
      <c r="X972" s="41">
        <v>19.437340200000001</v>
      </c>
      <c r="Y972" s="41">
        <v>70.720838799999996</v>
      </c>
      <c r="Z972" s="41">
        <v>14.250764500000001</v>
      </c>
      <c r="AA972" s="41">
        <v>15.0283967</v>
      </c>
    </row>
    <row r="973" spans="1:39" hidden="1" x14ac:dyDescent="0.3">
      <c r="A973" s="37">
        <v>969</v>
      </c>
      <c r="B973" s="38" t="s">
        <v>521</v>
      </c>
      <c r="C973" s="38" t="s">
        <v>267</v>
      </c>
      <c r="D973" s="38" t="s">
        <v>328</v>
      </c>
      <c r="E973" s="38" t="s">
        <v>329</v>
      </c>
      <c r="F973" s="47" t="s">
        <v>520</v>
      </c>
      <c r="G973" s="40">
        <v>2102</v>
      </c>
      <c r="H973" s="40">
        <v>1001</v>
      </c>
      <c r="I973" s="40">
        <v>401</v>
      </c>
      <c r="J973" s="40">
        <v>700</v>
      </c>
      <c r="K973" s="40">
        <v>2690</v>
      </c>
      <c r="L973" s="40">
        <v>1530</v>
      </c>
      <c r="M973" s="40">
        <v>448</v>
      </c>
      <c r="N973" s="40">
        <v>712</v>
      </c>
      <c r="O973" s="40">
        <v>2988</v>
      </c>
      <c r="P973" s="40">
        <v>2191</v>
      </c>
      <c r="Q973" s="40">
        <v>391</v>
      </c>
      <c r="R973" s="40">
        <v>406</v>
      </c>
      <c r="S973" s="41">
        <v>47.621313000000001</v>
      </c>
      <c r="T973" s="41">
        <v>19.0770695</v>
      </c>
      <c r="U973" s="41">
        <v>33.301617499999999</v>
      </c>
      <c r="V973" s="41">
        <v>56.877323400000002</v>
      </c>
      <c r="W973" s="41">
        <v>16.6542751</v>
      </c>
      <c r="X973" s="41">
        <v>26.468401499999999</v>
      </c>
      <c r="Y973" s="41">
        <v>73.326639900000004</v>
      </c>
      <c r="Z973" s="41">
        <v>13.085675999999999</v>
      </c>
      <c r="AA973" s="41">
        <v>13.587684100000001</v>
      </c>
    </row>
    <row r="974" spans="1:39" hidden="1" x14ac:dyDescent="0.3">
      <c r="A974" s="32">
        <v>970</v>
      </c>
      <c r="B974" s="33" t="s">
        <v>1</v>
      </c>
      <c r="C974" s="49" t="s">
        <v>267</v>
      </c>
      <c r="D974" s="49" t="s">
        <v>330</v>
      </c>
      <c r="E974" s="49"/>
      <c r="F974" s="34" t="s">
        <v>330</v>
      </c>
      <c r="G974" s="35">
        <v>360</v>
      </c>
      <c r="H974" s="35">
        <v>135</v>
      </c>
      <c r="I974" s="35">
        <v>72</v>
      </c>
      <c r="J974" s="35">
        <v>153</v>
      </c>
      <c r="K974" s="35">
        <v>489</v>
      </c>
      <c r="L974" s="35">
        <v>331</v>
      </c>
      <c r="M974" s="35">
        <v>64</v>
      </c>
      <c r="N974" s="35">
        <v>94</v>
      </c>
      <c r="O974" s="35">
        <v>667</v>
      </c>
      <c r="P974" s="35">
        <v>495</v>
      </c>
      <c r="Q974" s="35">
        <v>79</v>
      </c>
      <c r="R974" s="35">
        <v>93</v>
      </c>
      <c r="S974" s="36">
        <v>37.5</v>
      </c>
      <c r="T974" s="36">
        <v>20</v>
      </c>
      <c r="U974" s="36">
        <v>42.5</v>
      </c>
      <c r="V974" s="36">
        <v>67.689161600000006</v>
      </c>
      <c r="W974" s="36">
        <v>13.087934600000001</v>
      </c>
      <c r="X974" s="36">
        <v>19.222903899999999</v>
      </c>
      <c r="Y974" s="36">
        <v>74.212893600000001</v>
      </c>
      <c r="Z974" s="36">
        <v>11.844078</v>
      </c>
      <c r="AA974" s="36">
        <v>13.9430285</v>
      </c>
    </row>
    <row r="975" spans="1:39" hidden="1" x14ac:dyDescent="0.3">
      <c r="A975" s="37">
        <v>971</v>
      </c>
      <c r="B975" s="38" t="s">
        <v>1</v>
      </c>
      <c r="C975" s="38" t="s">
        <v>267</v>
      </c>
      <c r="D975" s="38" t="s">
        <v>330</v>
      </c>
      <c r="E975" s="38"/>
      <c r="F975" s="39" t="s">
        <v>519</v>
      </c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1"/>
      <c r="T975" s="41"/>
      <c r="U975" s="41"/>
      <c r="V975" s="41"/>
      <c r="W975" s="41"/>
      <c r="X975" s="41"/>
      <c r="Y975" s="41"/>
      <c r="Z975" s="41"/>
      <c r="AA975" s="41"/>
    </row>
    <row r="976" spans="1:39" hidden="1" x14ac:dyDescent="0.3">
      <c r="A976" s="37">
        <v>972</v>
      </c>
      <c r="B976" s="38" t="s">
        <v>1</v>
      </c>
      <c r="C976" s="38" t="s">
        <v>267</v>
      </c>
      <c r="D976" s="38" t="s">
        <v>330</v>
      </c>
      <c r="E976" s="38"/>
      <c r="F976" s="39" t="s">
        <v>520</v>
      </c>
      <c r="G976" s="40">
        <v>360</v>
      </c>
      <c r="H976" s="40">
        <v>135</v>
      </c>
      <c r="I976" s="40">
        <v>72</v>
      </c>
      <c r="J976" s="40">
        <v>153</v>
      </c>
      <c r="K976" s="40">
        <v>489</v>
      </c>
      <c r="L976" s="40">
        <v>331</v>
      </c>
      <c r="M976" s="40">
        <v>64</v>
      </c>
      <c r="N976" s="40">
        <v>94</v>
      </c>
      <c r="O976" s="40">
        <v>667</v>
      </c>
      <c r="P976" s="40">
        <v>495</v>
      </c>
      <c r="Q976" s="40">
        <v>79</v>
      </c>
      <c r="R976" s="40">
        <v>93</v>
      </c>
      <c r="S976" s="41">
        <v>37.5</v>
      </c>
      <c r="T976" s="41">
        <v>20</v>
      </c>
      <c r="U976" s="41">
        <v>42.5</v>
      </c>
      <c r="V976" s="41">
        <v>67.689161600000006</v>
      </c>
      <c r="W976" s="41">
        <v>13.087934600000001</v>
      </c>
      <c r="X976" s="41">
        <v>19.222903899999999</v>
      </c>
      <c r="Y976" s="41">
        <v>74.212893600000001</v>
      </c>
      <c r="Z976" s="41">
        <v>11.844078</v>
      </c>
      <c r="AA976" s="41">
        <v>13.9430285</v>
      </c>
    </row>
    <row r="977" spans="1:39" hidden="1" x14ac:dyDescent="0.3">
      <c r="A977" s="42">
        <v>973</v>
      </c>
      <c r="B977" s="43" t="s">
        <v>521</v>
      </c>
      <c r="C977" s="50" t="s">
        <v>267</v>
      </c>
      <c r="D977" s="50" t="s">
        <v>330</v>
      </c>
      <c r="E977" s="50" t="s">
        <v>331</v>
      </c>
      <c r="F977" s="51" t="s">
        <v>331</v>
      </c>
      <c r="G977" s="45">
        <v>360</v>
      </c>
      <c r="H977" s="45">
        <v>135</v>
      </c>
      <c r="I977" s="45">
        <v>72</v>
      </c>
      <c r="J977" s="45">
        <v>153</v>
      </c>
      <c r="K977" s="45">
        <v>489</v>
      </c>
      <c r="L977" s="45">
        <v>331</v>
      </c>
      <c r="M977" s="45">
        <v>64</v>
      </c>
      <c r="N977" s="45">
        <v>94</v>
      </c>
      <c r="O977" s="45">
        <v>667</v>
      </c>
      <c r="P977" s="45">
        <v>495</v>
      </c>
      <c r="Q977" s="45">
        <v>79</v>
      </c>
      <c r="R977" s="45">
        <v>93</v>
      </c>
      <c r="S977" s="46">
        <v>37.5</v>
      </c>
      <c r="T977" s="46">
        <v>20</v>
      </c>
      <c r="U977" s="46">
        <v>42.5</v>
      </c>
      <c r="V977" s="46">
        <v>67.689161600000006</v>
      </c>
      <c r="W977" s="46">
        <v>13.087934600000001</v>
      </c>
      <c r="X977" s="46">
        <v>19.222903899999999</v>
      </c>
      <c r="Y977" s="46">
        <v>74.212893600000001</v>
      </c>
      <c r="Z977" s="46">
        <v>11.844078</v>
      </c>
      <c r="AA977" s="46">
        <v>13.9430285</v>
      </c>
      <c r="AB977" s="26">
        <f>SUM(W977:X977)</f>
        <v>32.310838500000003</v>
      </c>
      <c r="AC977" s="26">
        <f>SUM(Z977:AA977)</f>
        <v>25.7871065</v>
      </c>
      <c r="AD977" s="57">
        <f>M977+N977</f>
        <v>158</v>
      </c>
      <c r="AE977" s="57">
        <f>Q977+R977</f>
        <v>172</v>
      </c>
      <c r="AF977" s="26">
        <f>W977</f>
        <v>13.087934600000001</v>
      </c>
      <c r="AG977" s="26">
        <f>Z977</f>
        <v>11.844078</v>
      </c>
      <c r="AH977" s="26">
        <f>M977</f>
        <v>64</v>
      </c>
      <c r="AI977" s="26">
        <f>Q977</f>
        <v>79</v>
      </c>
      <c r="AJ977" s="26">
        <f>X977</f>
        <v>19.222903899999999</v>
      </c>
      <c r="AK977" s="26">
        <f>AA977</f>
        <v>13.9430285</v>
      </c>
      <c r="AL977" s="57">
        <f>N977</f>
        <v>94</v>
      </c>
      <c r="AM977" s="57">
        <f>R977</f>
        <v>93</v>
      </c>
    </row>
    <row r="978" spans="1:39" hidden="1" x14ac:dyDescent="0.3">
      <c r="A978" s="37">
        <v>974</v>
      </c>
      <c r="B978" s="38" t="s">
        <v>521</v>
      </c>
      <c r="C978" s="38" t="s">
        <v>267</v>
      </c>
      <c r="D978" s="38" t="s">
        <v>330</v>
      </c>
      <c r="E978" s="38" t="s">
        <v>331</v>
      </c>
      <c r="F978" s="47" t="s">
        <v>519</v>
      </c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1"/>
      <c r="T978" s="41"/>
      <c r="U978" s="41"/>
      <c r="V978" s="41"/>
      <c r="W978" s="41"/>
      <c r="X978" s="41"/>
      <c r="Y978" s="41"/>
      <c r="Z978" s="41"/>
      <c r="AA978" s="41"/>
    </row>
    <row r="979" spans="1:39" hidden="1" x14ac:dyDescent="0.3">
      <c r="A979" s="37">
        <v>975</v>
      </c>
      <c r="B979" s="38" t="s">
        <v>521</v>
      </c>
      <c r="C979" s="38" t="s">
        <v>267</v>
      </c>
      <c r="D979" s="38" t="s">
        <v>330</v>
      </c>
      <c r="E979" s="38" t="s">
        <v>331</v>
      </c>
      <c r="F979" s="47" t="s">
        <v>520</v>
      </c>
      <c r="G979" s="40">
        <v>360</v>
      </c>
      <c r="H979" s="40">
        <v>135</v>
      </c>
      <c r="I979" s="40">
        <v>72</v>
      </c>
      <c r="J979" s="40">
        <v>153</v>
      </c>
      <c r="K979" s="40">
        <v>489</v>
      </c>
      <c r="L979" s="40">
        <v>331</v>
      </c>
      <c r="M979" s="40">
        <v>64</v>
      </c>
      <c r="N979" s="40">
        <v>94</v>
      </c>
      <c r="O979" s="40">
        <v>667</v>
      </c>
      <c r="P979" s="40">
        <v>495</v>
      </c>
      <c r="Q979" s="40">
        <v>79</v>
      </c>
      <c r="R979" s="40">
        <v>93</v>
      </c>
      <c r="S979" s="41">
        <v>37.5</v>
      </c>
      <c r="T979" s="41">
        <v>20</v>
      </c>
      <c r="U979" s="41">
        <v>42.5</v>
      </c>
      <c r="V979" s="41">
        <v>67.689161600000006</v>
      </c>
      <c r="W979" s="41">
        <v>13.087934600000001</v>
      </c>
      <c r="X979" s="41">
        <v>19.222903899999999</v>
      </c>
      <c r="Y979" s="41">
        <v>74.212893600000001</v>
      </c>
      <c r="Z979" s="41">
        <v>11.844078</v>
      </c>
      <c r="AA979" s="41">
        <v>13.9430285</v>
      </c>
    </row>
    <row r="980" spans="1:39" x14ac:dyDescent="0.3">
      <c r="A980" s="21">
        <v>976</v>
      </c>
      <c r="B980" s="22" t="s">
        <v>464</v>
      </c>
      <c r="C980" s="22" t="s">
        <v>332</v>
      </c>
      <c r="D980" s="22"/>
      <c r="E980" s="22"/>
      <c r="F980" s="23" t="s">
        <v>332</v>
      </c>
      <c r="G980" s="24">
        <v>87157</v>
      </c>
      <c r="H980" s="24">
        <v>40973</v>
      </c>
      <c r="I980" s="24">
        <v>18811</v>
      </c>
      <c r="J980" s="24">
        <v>27373</v>
      </c>
      <c r="K980" s="24">
        <v>126248</v>
      </c>
      <c r="L980" s="24">
        <v>78793</v>
      </c>
      <c r="M980" s="24">
        <v>23939</v>
      </c>
      <c r="N980" s="24">
        <v>23516</v>
      </c>
      <c r="O980" s="24">
        <v>160254</v>
      </c>
      <c r="P980" s="24">
        <v>116749</v>
      </c>
      <c r="Q980" s="24">
        <v>22917</v>
      </c>
      <c r="R980" s="24">
        <v>20588</v>
      </c>
      <c r="S980" s="25">
        <v>47.010567100000003</v>
      </c>
      <c r="T980" s="25">
        <v>21.582890599999999</v>
      </c>
      <c r="U980" s="25">
        <v>31.406542200000001</v>
      </c>
      <c r="V980" s="25">
        <v>62.411285700000001</v>
      </c>
      <c r="W980" s="25">
        <v>18.9618845</v>
      </c>
      <c r="X980" s="25">
        <v>18.626829699999998</v>
      </c>
      <c r="Y980" s="25">
        <v>72.852471699999995</v>
      </c>
      <c r="Z980" s="25">
        <v>14.3004231</v>
      </c>
      <c r="AA980" s="25">
        <v>12.8471052</v>
      </c>
      <c r="AC980" s="26">
        <f>W980+X980</f>
        <v>37.588714199999998</v>
      </c>
      <c r="AD980" s="26">
        <f>Z980+AA980</f>
        <v>27.147528299999998</v>
      </c>
      <c r="AE980" s="57">
        <f>M980+N980</f>
        <v>47455</v>
      </c>
      <c r="AF980" s="57">
        <f>Q980+R980</f>
        <v>43505</v>
      </c>
    </row>
    <row r="981" spans="1:39" hidden="1" x14ac:dyDescent="0.3">
      <c r="A981" s="27">
        <v>977</v>
      </c>
      <c r="B981" s="28" t="s">
        <v>464</v>
      </c>
      <c r="C981" s="48" t="s">
        <v>332</v>
      </c>
      <c r="D981" s="48"/>
      <c r="E981" s="48"/>
      <c r="F981" s="29" t="s">
        <v>519</v>
      </c>
      <c r="G981" s="30">
        <v>57429</v>
      </c>
      <c r="H981" s="30">
        <v>29658</v>
      </c>
      <c r="I981" s="30">
        <v>12499</v>
      </c>
      <c r="J981" s="30">
        <v>15272</v>
      </c>
      <c r="K981" s="30">
        <v>81982</v>
      </c>
      <c r="L981" s="30">
        <v>54046</v>
      </c>
      <c r="M981" s="30">
        <v>14872</v>
      </c>
      <c r="N981" s="30">
        <v>13064</v>
      </c>
      <c r="O981" s="30">
        <v>110632</v>
      </c>
      <c r="P981" s="30">
        <v>82914</v>
      </c>
      <c r="Q981" s="30">
        <v>14826</v>
      </c>
      <c r="R981" s="30">
        <v>12892</v>
      </c>
      <c r="S981" s="31">
        <v>51.642898199999998</v>
      </c>
      <c r="T981" s="31">
        <v>21.764265399999999</v>
      </c>
      <c r="U981" s="31">
        <v>26.592836399999999</v>
      </c>
      <c r="V981" s="31">
        <v>65.924227299999998</v>
      </c>
      <c r="W981" s="31">
        <v>18.140567399999998</v>
      </c>
      <c r="X981" s="31">
        <v>15.9352053</v>
      </c>
      <c r="Y981" s="31">
        <v>74.9457661</v>
      </c>
      <c r="Z981" s="31">
        <v>13.4011859</v>
      </c>
      <c r="AA981" s="31">
        <v>11.653047900000001</v>
      </c>
    </row>
    <row r="982" spans="1:39" hidden="1" x14ac:dyDescent="0.3">
      <c r="A982" s="27">
        <v>978</v>
      </c>
      <c r="B982" s="28" t="s">
        <v>464</v>
      </c>
      <c r="C982" s="48" t="s">
        <v>332</v>
      </c>
      <c r="D982" s="48"/>
      <c r="E982" s="48"/>
      <c r="F982" s="29" t="s">
        <v>520</v>
      </c>
      <c r="G982" s="30">
        <v>29728</v>
      </c>
      <c r="H982" s="30">
        <v>11315</v>
      </c>
      <c r="I982" s="30">
        <v>6312</v>
      </c>
      <c r="J982" s="30">
        <v>12101</v>
      </c>
      <c r="K982" s="30">
        <v>44266</v>
      </c>
      <c r="L982" s="30">
        <v>24747</v>
      </c>
      <c r="M982" s="30">
        <v>9067</v>
      </c>
      <c r="N982" s="30">
        <v>10452</v>
      </c>
      <c r="O982" s="30">
        <v>49622</v>
      </c>
      <c r="P982" s="30">
        <v>33835</v>
      </c>
      <c r="Q982" s="30">
        <v>8091</v>
      </c>
      <c r="R982" s="30">
        <v>7696</v>
      </c>
      <c r="S982" s="31">
        <v>38.06176</v>
      </c>
      <c r="T982" s="31">
        <v>21.2325081</v>
      </c>
      <c r="U982" s="31">
        <v>40.705731999999998</v>
      </c>
      <c r="V982" s="31">
        <v>55.905209399999997</v>
      </c>
      <c r="W982" s="31">
        <v>20.482989199999999</v>
      </c>
      <c r="X982" s="31">
        <v>23.611801400000001</v>
      </c>
      <c r="Y982" s="31">
        <v>68.185482199999996</v>
      </c>
      <c r="Z982" s="31">
        <v>16.305267799999999</v>
      </c>
      <c r="AA982" s="31">
        <v>15.5092499</v>
      </c>
    </row>
    <row r="983" spans="1:39" hidden="1" x14ac:dyDescent="0.3">
      <c r="A983" s="32">
        <v>979</v>
      </c>
      <c r="B983" s="33" t="s">
        <v>1</v>
      </c>
      <c r="C983" s="49" t="s">
        <v>332</v>
      </c>
      <c r="D983" s="49" t="s">
        <v>158</v>
      </c>
      <c r="E983" s="49"/>
      <c r="F983" s="34" t="s">
        <v>158</v>
      </c>
      <c r="G983" s="35">
        <v>36126</v>
      </c>
      <c r="H983" s="35">
        <v>19300</v>
      </c>
      <c r="I983" s="35">
        <v>7566</v>
      </c>
      <c r="J983" s="35">
        <v>9260</v>
      </c>
      <c r="K983" s="35">
        <v>54926</v>
      </c>
      <c r="L983" s="35">
        <v>36737</v>
      </c>
      <c r="M983" s="35">
        <v>9522</v>
      </c>
      <c r="N983" s="35">
        <v>8667</v>
      </c>
      <c r="O983" s="35">
        <v>72709</v>
      </c>
      <c r="P983" s="35">
        <v>55300</v>
      </c>
      <c r="Q983" s="35">
        <v>9217</v>
      </c>
      <c r="R983" s="35">
        <v>8192</v>
      </c>
      <c r="S983" s="36">
        <v>53.424126700000002</v>
      </c>
      <c r="T983" s="36">
        <v>20.943364899999999</v>
      </c>
      <c r="U983" s="36">
        <v>25.632508399999999</v>
      </c>
      <c r="V983" s="36">
        <v>66.884535600000007</v>
      </c>
      <c r="W983" s="36">
        <v>17.3360521</v>
      </c>
      <c r="X983" s="36">
        <v>15.779412300000001</v>
      </c>
      <c r="Y983" s="36">
        <v>76.056609199999997</v>
      </c>
      <c r="Z983" s="36">
        <v>12.67656</v>
      </c>
      <c r="AA983" s="36">
        <v>11.266830799999999</v>
      </c>
    </row>
    <row r="984" spans="1:39" hidden="1" x14ac:dyDescent="0.3">
      <c r="A984" s="37">
        <v>980</v>
      </c>
      <c r="B984" s="38" t="s">
        <v>1</v>
      </c>
      <c r="C984" s="38" t="s">
        <v>332</v>
      </c>
      <c r="D984" s="38" t="s">
        <v>158</v>
      </c>
      <c r="E984" s="38"/>
      <c r="F984" s="39" t="s">
        <v>519</v>
      </c>
      <c r="G984" s="40">
        <v>32135</v>
      </c>
      <c r="H984" s="40">
        <v>17546</v>
      </c>
      <c r="I984" s="40">
        <v>6677</v>
      </c>
      <c r="J984" s="40">
        <v>7912</v>
      </c>
      <c r="K984" s="40">
        <v>47826</v>
      </c>
      <c r="L984" s="40">
        <v>32577</v>
      </c>
      <c r="M984" s="40">
        <v>8138</v>
      </c>
      <c r="N984" s="40">
        <v>7111</v>
      </c>
      <c r="O984" s="40">
        <v>65296</v>
      </c>
      <c r="P984" s="40">
        <v>49852</v>
      </c>
      <c r="Q984" s="40">
        <v>8166</v>
      </c>
      <c r="R984" s="40">
        <v>7278</v>
      </c>
      <c r="S984" s="41">
        <v>54.600902400000003</v>
      </c>
      <c r="T984" s="41">
        <v>20.7779679</v>
      </c>
      <c r="U984" s="41">
        <v>24.6211296</v>
      </c>
      <c r="V984" s="41">
        <v>68.115669299999993</v>
      </c>
      <c r="W984" s="41">
        <v>17.015849100000001</v>
      </c>
      <c r="X984" s="41">
        <v>14.868481600000001</v>
      </c>
      <c r="Y984" s="41">
        <v>76.347708900000001</v>
      </c>
      <c r="Z984" s="41">
        <v>12.506125900000001</v>
      </c>
      <c r="AA984" s="41">
        <v>11.1461652</v>
      </c>
    </row>
    <row r="985" spans="1:39" hidden="1" x14ac:dyDescent="0.3">
      <c r="A985" s="37">
        <v>981</v>
      </c>
      <c r="B985" s="38" t="s">
        <v>1</v>
      </c>
      <c r="C985" s="38" t="s">
        <v>332</v>
      </c>
      <c r="D985" s="38" t="s">
        <v>158</v>
      </c>
      <c r="E985" s="38"/>
      <c r="F985" s="39" t="s">
        <v>520</v>
      </c>
      <c r="G985" s="40">
        <v>3991</v>
      </c>
      <c r="H985" s="40">
        <v>1754</v>
      </c>
      <c r="I985" s="40">
        <v>889</v>
      </c>
      <c r="J985" s="40">
        <v>1348</v>
      </c>
      <c r="K985" s="40">
        <v>7100</v>
      </c>
      <c r="L985" s="40">
        <v>4160</v>
      </c>
      <c r="M985" s="40">
        <v>1384</v>
      </c>
      <c r="N985" s="40">
        <v>1556</v>
      </c>
      <c r="O985" s="40">
        <v>7413</v>
      </c>
      <c r="P985" s="40">
        <v>5448</v>
      </c>
      <c r="Q985" s="40">
        <v>1051</v>
      </c>
      <c r="R985" s="40">
        <v>914</v>
      </c>
      <c r="S985" s="41">
        <v>43.948884999999997</v>
      </c>
      <c r="T985" s="41">
        <v>22.275119</v>
      </c>
      <c r="U985" s="41">
        <v>33.775995999999999</v>
      </c>
      <c r="V985" s="41">
        <v>58.591549299999997</v>
      </c>
      <c r="W985" s="41">
        <v>19.492957700000002</v>
      </c>
      <c r="X985" s="41">
        <v>21.915493000000001</v>
      </c>
      <c r="Y985" s="41">
        <v>73.492513200000005</v>
      </c>
      <c r="Z985" s="41">
        <v>14.1777958</v>
      </c>
      <c r="AA985" s="41">
        <v>12.3296911</v>
      </c>
    </row>
    <row r="986" spans="1:39" hidden="1" x14ac:dyDescent="0.3">
      <c r="A986" s="42">
        <v>982</v>
      </c>
      <c r="B986" s="43" t="s">
        <v>521</v>
      </c>
      <c r="C986" s="50" t="s">
        <v>332</v>
      </c>
      <c r="D986" s="50" t="s">
        <v>158</v>
      </c>
      <c r="E986" s="50" t="s">
        <v>332</v>
      </c>
      <c r="F986" s="51" t="s">
        <v>332</v>
      </c>
      <c r="G986" s="45">
        <v>36126</v>
      </c>
      <c r="H986" s="45">
        <v>19300</v>
      </c>
      <c r="I986" s="45">
        <v>7566</v>
      </c>
      <c r="J986" s="45">
        <v>9260</v>
      </c>
      <c r="K986" s="45">
        <v>54926</v>
      </c>
      <c r="L986" s="45">
        <v>36737</v>
      </c>
      <c r="M986" s="45">
        <v>9522</v>
      </c>
      <c r="N986" s="45">
        <v>8667</v>
      </c>
      <c r="O986" s="45">
        <v>72709</v>
      </c>
      <c r="P986" s="45">
        <v>55300</v>
      </c>
      <c r="Q986" s="45">
        <v>9217</v>
      </c>
      <c r="R986" s="45">
        <v>8192</v>
      </c>
      <c r="S986" s="46">
        <v>53.424126700000002</v>
      </c>
      <c r="T986" s="46">
        <v>20.943364899999999</v>
      </c>
      <c r="U986" s="46">
        <v>25.632508399999999</v>
      </c>
      <c r="V986" s="46">
        <v>66.884535600000007</v>
      </c>
      <c r="W986" s="46">
        <v>17.3360521</v>
      </c>
      <c r="X986" s="46">
        <v>15.779412300000001</v>
      </c>
      <c r="Y986" s="46">
        <v>76.056609199999997</v>
      </c>
      <c r="Z986" s="46">
        <v>12.67656</v>
      </c>
      <c r="AA986" s="46">
        <v>11.266830799999999</v>
      </c>
      <c r="AB986" s="26">
        <f>SUM(W986:X986)</f>
        <v>33.1154644</v>
      </c>
      <c r="AC986" s="26">
        <f>SUM(Z986:AA986)</f>
        <v>23.9433908</v>
      </c>
      <c r="AD986" s="57">
        <f>M986+N986</f>
        <v>18189</v>
      </c>
      <c r="AE986" s="57">
        <f>Q986+R986</f>
        <v>17409</v>
      </c>
      <c r="AF986" s="26">
        <f>W986</f>
        <v>17.3360521</v>
      </c>
      <c r="AG986" s="26">
        <f>Z986</f>
        <v>12.67656</v>
      </c>
      <c r="AH986" s="26">
        <f>M986</f>
        <v>9522</v>
      </c>
      <c r="AI986" s="26">
        <f>Q986</f>
        <v>9217</v>
      </c>
      <c r="AJ986" s="26">
        <f>X986</f>
        <v>15.779412300000001</v>
      </c>
      <c r="AK986" s="26">
        <f>AA986</f>
        <v>11.266830799999999</v>
      </c>
      <c r="AL986" s="57">
        <f>N986</f>
        <v>8667</v>
      </c>
      <c r="AM986" s="57">
        <f>R986</f>
        <v>8192</v>
      </c>
    </row>
    <row r="987" spans="1:39" hidden="1" x14ac:dyDescent="0.3">
      <c r="A987" s="37">
        <v>983</v>
      </c>
      <c r="B987" s="38" t="s">
        <v>521</v>
      </c>
      <c r="C987" s="38" t="s">
        <v>332</v>
      </c>
      <c r="D987" s="38" t="s">
        <v>158</v>
      </c>
      <c r="E987" s="38" t="s">
        <v>332</v>
      </c>
      <c r="F987" s="47" t="s">
        <v>519</v>
      </c>
      <c r="G987" s="40">
        <v>32135</v>
      </c>
      <c r="H987" s="40">
        <v>17546</v>
      </c>
      <c r="I987" s="40">
        <v>6677</v>
      </c>
      <c r="J987" s="40">
        <v>7912</v>
      </c>
      <c r="K987" s="40">
        <v>47826</v>
      </c>
      <c r="L987" s="40">
        <v>32577</v>
      </c>
      <c r="M987" s="40">
        <v>8138</v>
      </c>
      <c r="N987" s="40">
        <v>7111</v>
      </c>
      <c r="O987" s="40">
        <v>65296</v>
      </c>
      <c r="P987" s="40">
        <v>49852</v>
      </c>
      <c r="Q987" s="40">
        <v>8166</v>
      </c>
      <c r="R987" s="40">
        <v>7278</v>
      </c>
      <c r="S987" s="41">
        <v>54.600902400000003</v>
      </c>
      <c r="T987" s="41">
        <v>20.7779679</v>
      </c>
      <c r="U987" s="41">
        <v>24.6211296</v>
      </c>
      <c r="V987" s="41">
        <v>68.115669299999993</v>
      </c>
      <c r="W987" s="41">
        <v>17.015849100000001</v>
      </c>
      <c r="X987" s="41">
        <v>14.868481600000001</v>
      </c>
      <c r="Y987" s="41">
        <v>76.347708900000001</v>
      </c>
      <c r="Z987" s="41">
        <v>12.506125900000001</v>
      </c>
      <c r="AA987" s="41">
        <v>11.1461652</v>
      </c>
    </row>
    <row r="988" spans="1:39" hidden="1" x14ac:dyDescent="0.3">
      <c r="A988" s="37">
        <v>984</v>
      </c>
      <c r="B988" s="38" t="s">
        <v>521</v>
      </c>
      <c r="C988" s="38" t="s">
        <v>332</v>
      </c>
      <c r="D988" s="38" t="s">
        <v>158</v>
      </c>
      <c r="E988" s="38" t="s">
        <v>332</v>
      </c>
      <c r="F988" s="47" t="s">
        <v>520</v>
      </c>
      <c r="G988" s="40">
        <v>3991</v>
      </c>
      <c r="H988" s="40">
        <v>1754</v>
      </c>
      <c r="I988" s="40">
        <v>889</v>
      </c>
      <c r="J988" s="40">
        <v>1348</v>
      </c>
      <c r="K988" s="40">
        <v>7100</v>
      </c>
      <c r="L988" s="40">
        <v>4160</v>
      </c>
      <c r="M988" s="40">
        <v>1384</v>
      </c>
      <c r="N988" s="40">
        <v>1556</v>
      </c>
      <c r="O988" s="40">
        <v>7413</v>
      </c>
      <c r="P988" s="40">
        <v>5448</v>
      </c>
      <c r="Q988" s="40">
        <v>1051</v>
      </c>
      <c r="R988" s="40">
        <v>914</v>
      </c>
      <c r="S988" s="41">
        <v>43.948884999999997</v>
      </c>
      <c r="T988" s="41">
        <v>22.275119</v>
      </c>
      <c r="U988" s="41">
        <v>33.775995999999999</v>
      </c>
      <c r="V988" s="41">
        <v>58.591549299999997</v>
      </c>
      <c r="W988" s="41">
        <v>19.492957700000002</v>
      </c>
      <c r="X988" s="41">
        <v>21.915493000000001</v>
      </c>
      <c r="Y988" s="41">
        <v>73.492513200000005</v>
      </c>
      <c r="Z988" s="41">
        <v>14.1777958</v>
      </c>
      <c r="AA988" s="41">
        <v>12.3296911</v>
      </c>
    </row>
    <row r="989" spans="1:39" hidden="1" x14ac:dyDescent="0.3">
      <c r="A989" s="32">
        <v>985</v>
      </c>
      <c r="B989" s="33" t="s">
        <v>1</v>
      </c>
      <c r="C989" s="49" t="s">
        <v>332</v>
      </c>
      <c r="D989" s="49" t="s">
        <v>333</v>
      </c>
      <c r="E989" s="49"/>
      <c r="F989" s="34" t="s">
        <v>333</v>
      </c>
      <c r="G989" s="35">
        <v>11170</v>
      </c>
      <c r="H989" s="35">
        <v>4924</v>
      </c>
      <c r="I989" s="35">
        <v>2424</v>
      </c>
      <c r="J989" s="35">
        <v>3822</v>
      </c>
      <c r="K989" s="35">
        <v>14102</v>
      </c>
      <c r="L989" s="35">
        <v>8276</v>
      </c>
      <c r="M989" s="35">
        <v>2879</v>
      </c>
      <c r="N989" s="35">
        <v>2947</v>
      </c>
      <c r="O989" s="35">
        <v>16275</v>
      </c>
      <c r="P989" s="35">
        <v>11558</v>
      </c>
      <c r="Q989" s="35">
        <v>2590</v>
      </c>
      <c r="R989" s="35">
        <v>2127</v>
      </c>
      <c r="S989" s="36">
        <v>44.0823635</v>
      </c>
      <c r="T989" s="36">
        <v>21.700984800000001</v>
      </c>
      <c r="U989" s="36">
        <v>34.2166517</v>
      </c>
      <c r="V989" s="36">
        <v>58.686711099999997</v>
      </c>
      <c r="W989" s="36">
        <v>20.415543899999999</v>
      </c>
      <c r="X989" s="36">
        <v>20.897745</v>
      </c>
      <c r="Y989" s="36">
        <v>71.016897099999994</v>
      </c>
      <c r="Z989" s="36">
        <v>15.913978500000001</v>
      </c>
      <c r="AA989" s="36">
        <v>13.0691244</v>
      </c>
    </row>
    <row r="990" spans="1:39" hidden="1" x14ac:dyDescent="0.3">
      <c r="A990" s="37">
        <v>986</v>
      </c>
      <c r="B990" s="38" t="s">
        <v>1</v>
      </c>
      <c r="C990" s="38" t="s">
        <v>332</v>
      </c>
      <c r="D990" s="38" t="s">
        <v>333</v>
      </c>
      <c r="E990" s="38"/>
      <c r="F990" s="39" t="s">
        <v>519</v>
      </c>
      <c r="G990" s="40">
        <v>6106</v>
      </c>
      <c r="H990" s="40">
        <v>2950</v>
      </c>
      <c r="I990" s="40">
        <v>1363</v>
      </c>
      <c r="J990" s="40">
        <v>1793</v>
      </c>
      <c r="K990" s="40">
        <v>7600</v>
      </c>
      <c r="L990" s="40">
        <v>4677</v>
      </c>
      <c r="M990" s="40">
        <v>1552</v>
      </c>
      <c r="N990" s="40">
        <v>1371</v>
      </c>
      <c r="O990" s="40">
        <v>9414</v>
      </c>
      <c r="P990" s="40">
        <v>6731</v>
      </c>
      <c r="Q990" s="40">
        <v>1488</v>
      </c>
      <c r="R990" s="40">
        <v>1195</v>
      </c>
      <c r="S990" s="41">
        <v>48.313134599999998</v>
      </c>
      <c r="T990" s="41">
        <v>22.3223059</v>
      </c>
      <c r="U990" s="41">
        <v>29.364559400000001</v>
      </c>
      <c r="V990" s="41">
        <v>61.539473700000002</v>
      </c>
      <c r="W990" s="41">
        <v>20.421052599999999</v>
      </c>
      <c r="X990" s="41">
        <v>18.039473699999999</v>
      </c>
      <c r="Y990" s="41">
        <v>71.499893799999995</v>
      </c>
      <c r="Z990" s="41">
        <v>15.806246</v>
      </c>
      <c r="AA990" s="41">
        <v>12.6938602</v>
      </c>
    </row>
    <row r="991" spans="1:39" hidden="1" x14ac:dyDescent="0.3">
      <c r="A991" s="37">
        <v>987</v>
      </c>
      <c r="B991" s="38" t="s">
        <v>1</v>
      </c>
      <c r="C991" s="38" t="s">
        <v>332</v>
      </c>
      <c r="D991" s="38" t="s">
        <v>333</v>
      </c>
      <c r="E991" s="38"/>
      <c r="F991" s="39" t="s">
        <v>520</v>
      </c>
      <c r="G991" s="40">
        <v>5064</v>
      </c>
      <c r="H991" s="40">
        <v>1974</v>
      </c>
      <c r="I991" s="40">
        <v>1061</v>
      </c>
      <c r="J991" s="40">
        <v>2029</v>
      </c>
      <c r="K991" s="40">
        <v>6502</v>
      </c>
      <c r="L991" s="40">
        <v>3599</v>
      </c>
      <c r="M991" s="40">
        <v>1327</v>
      </c>
      <c r="N991" s="40">
        <v>1576</v>
      </c>
      <c r="O991" s="40">
        <v>6861</v>
      </c>
      <c r="P991" s="40">
        <v>4827</v>
      </c>
      <c r="Q991" s="40">
        <v>1102</v>
      </c>
      <c r="R991" s="40">
        <v>932</v>
      </c>
      <c r="S991" s="41">
        <v>38.981042700000003</v>
      </c>
      <c r="T991" s="41">
        <v>20.951816699999998</v>
      </c>
      <c r="U991" s="41">
        <v>40.067140600000002</v>
      </c>
      <c r="V991" s="41">
        <v>55.352199300000002</v>
      </c>
      <c r="W991" s="41">
        <v>20.409104899999999</v>
      </c>
      <c r="X991" s="41">
        <v>24.238695799999999</v>
      </c>
      <c r="Y991" s="41">
        <v>70.354175799999993</v>
      </c>
      <c r="Z991" s="41">
        <v>16.061798599999999</v>
      </c>
      <c r="AA991" s="41">
        <v>13.5840257</v>
      </c>
    </row>
    <row r="992" spans="1:39" hidden="1" x14ac:dyDescent="0.3">
      <c r="A992" s="42">
        <v>988</v>
      </c>
      <c r="B992" s="43" t="s">
        <v>521</v>
      </c>
      <c r="C992" s="50" t="s">
        <v>332</v>
      </c>
      <c r="D992" s="50" t="s">
        <v>333</v>
      </c>
      <c r="E992" s="50" t="s">
        <v>334</v>
      </c>
      <c r="F992" s="51" t="s">
        <v>334</v>
      </c>
      <c r="G992" s="45">
        <v>4171</v>
      </c>
      <c r="H992" s="45">
        <v>1659</v>
      </c>
      <c r="I992" s="45">
        <v>879</v>
      </c>
      <c r="J992" s="45">
        <v>1633</v>
      </c>
      <c r="K992" s="45">
        <v>5090</v>
      </c>
      <c r="L992" s="45">
        <v>2838</v>
      </c>
      <c r="M992" s="45">
        <v>1077</v>
      </c>
      <c r="N992" s="45">
        <v>1175</v>
      </c>
      <c r="O992" s="45">
        <v>5649</v>
      </c>
      <c r="P992" s="45">
        <v>4057</v>
      </c>
      <c r="Q992" s="45">
        <v>878</v>
      </c>
      <c r="R992" s="45">
        <v>714</v>
      </c>
      <c r="S992" s="46">
        <v>39.774634399999997</v>
      </c>
      <c r="T992" s="46">
        <v>21.074083000000002</v>
      </c>
      <c r="U992" s="46">
        <v>39.151282700000003</v>
      </c>
      <c r="V992" s="46">
        <v>55.756385100000003</v>
      </c>
      <c r="W992" s="46">
        <v>21.159135599999999</v>
      </c>
      <c r="X992" s="46">
        <v>23.084479399999999</v>
      </c>
      <c r="Y992" s="46">
        <v>71.818020899999993</v>
      </c>
      <c r="Z992" s="46">
        <v>15.542573900000001</v>
      </c>
      <c r="AA992" s="46">
        <v>12.639405200000001</v>
      </c>
      <c r="AB992" s="26">
        <f>SUM(W992:X992)</f>
        <v>44.243614999999998</v>
      </c>
      <c r="AC992" s="26">
        <f>SUM(Z992:AA992)</f>
        <v>28.1819791</v>
      </c>
      <c r="AD992" s="57">
        <f>M992+N992</f>
        <v>2252</v>
      </c>
      <c r="AE992" s="57">
        <f>Q992+R992</f>
        <v>1592</v>
      </c>
      <c r="AF992" s="26">
        <f>W992</f>
        <v>21.159135599999999</v>
      </c>
      <c r="AG992" s="26">
        <f>Z992</f>
        <v>15.542573900000001</v>
      </c>
      <c r="AH992" s="26">
        <f>M992</f>
        <v>1077</v>
      </c>
      <c r="AI992" s="26">
        <f>Q992</f>
        <v>878</v>
      </c>
      <c r="AJ992" s="26">
        <f>X992</f>
        <v>23.084479399999999</v>
      </c>
      <c r="AK992" s="26">
        <f>AA992</f>
        <v>12.639405200000001</v>
      </c>
      <c r="AL992" s="57">
        <f>N992</f>
        <v>1175</v>
      </c>
      <c r="AM992" s="57">
        <f>R992</f>
        <v>714</v>
      </c>
    </row>
    <row r="993" spans="1:39" hidden="1" x14ac:dyDescent="0.3">
      <c r="A993" s="37">
        <v>989</v>
      </c>
      <c r="B993" s="38" t="s">
        <v>521</v>
      </c>
      <c r="C993" s="38" t="s">
        <v>332</v>
      </c>
      <c r="D993" s="38" t="s">
        <v>333</v>
      </c>
      <c r="E993" s="38" t="s">
        <v>334</v>
      </c>
      <c r="F993" s="47" t="s">
        <v>519</v>
      </c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1"/>
      <c r="T993" s="41"/>
      <c r="U993" s="41"/>
      <c r="V993" s="41"/>
      <c r="W993" s="41"/>
      <c r="X993" s="41"/>
      <c r="Y993" s="41"/>
      <c r="Z993" s="41"/>
      <c r="AA993" s="41"/>
    </row>
    <row r="994" spans="1:39" hidden="1" x14ac:dyDescent="0.3">
      <c r="A994" s="37">
        <v>990</v>
      </c>
      <c r="B994" s="38" t="s">
        <v>521</v>
      </c>
      <c r="C994" s="38" t="s">
        <v>332</v>
      </c>
      <c r="D994" s="38" t="s">
        <v>333</v>
      </c>
      <c r="E994" s="38" t="s">
        <v>334</v>
      </c>
      <c r="F994" s="47" t="s">
        <v>520</v>
      </c>
      <c r="G994" s="40">
        <v>4171</v>
      </c>
      <c r="H994" s="40">
        <v>1659</v>
      </c>
      <c r="I994" s="40">
        <v>879</v>
      </c>
      <c r="J994" s="40">
        <v>1633</v>
      </c>
      <c r="K994" s="40">
        <v>5090</v>
      </c>
      <c r="L994" s="40">
        <v>2838</v>
      </c>
      <c r="M994" s="40">
        <v>1077</v>
      </c>
      <c r="N994" s="40">
        <v>1175</v>
      </c>
      <c r="O994" s="40">
        <v>5649</v>
      </c>
      <c r="P994" s="40">
        <v>4057</v>
      </c>
      <c r="Q994" s="40">
        <v>878</v>
      </c>
      <c r="R994" s="40">
        <v>714</v>
      </c>
      <c r="S994" s="41">
        <v>39.774634399999997</v>
      </c>
      <c r="T994" s="41">
        <v>21.074083000000002</v>
      </c>
      <c r="U994" s="41">
        <v>39.151282700000003</v>
      </c>
      <c r="V994" s="41">
        <v>55.756385100000003</v>
      </c>
      <c r="W994" s="41">
        <v>21.159135599999999</v>
      </c>
      <c r="X994" s="41">
        <v>23.084479399999999</v>
      </c>
      <c r="Y994" s="41">
        <v>71.818020899999993</v>
      </c>
      <c r="Z994" s="41">
        <v>15.542573900000001</v>
      </c>
      <c r="AA994" s="41">
        <v>12.639405200000001</v>
      </c>
    </row>
    <row r="995" spans="1:39" hidden="1" x14ac:dyDescent="0.3">
      <c r="A995" s="42">
        <v>991</v>
      </c>
      <c r="B995" s="43" t="s">
        <v>521</v>
      </c>
      <c r="C995" s="50" t="s">
        <v>332</v>
      </c>
      <c r="D995" s="50" t="s">
        <v>333</v>
      </c>
      <c r="E995" s="50" t="s">
        <v>335</v>
      </c>
      <c r="F995" s="51" t="s">
        <v>335</v>
      </c>
      <c r="G995" s="45">
        <v>6999</v>
      </c>
      <c r="H995" s="45">
        <v>3265</v>
      </c>
      <c r="I995" s="45">
        <v>1545</v>
      </c>
      <c r="J995" s="45">
        <v>2189</v>
      </c>
      <c r="K995" s="45">
        <v>9012</v>
      </c>
      <c r="L995" s="45">
        <v>5438</v>
      </c>
      <c r="M995" s="45">
        <v>1802</v>
      </c>
      <c r="N995" s="45">
        <v>1772</v>
      </c>
      <c r="O995" s="45">
        <v>10626</v>
      </c>
      <c r="P995" s="45">
        <v>7501</v>
      </c>
      <c r="Q995" s="45">
        <v>1712</v>
      </c>
      <c r="R995" s="45">
        <v>1413</v>
      </c>
      <c r="S995" s="46">
        <v>46.649521399999998</v>
      </c>
      <c r="T995" s="46">
        <v>22.074582100000001</v>
      </c>
      <c r="U995" s="46">
        <v>31.275896599999999</v>
      </c>
      <c r="V995" s="46">
        <v>60.341766499999999</v>
      </c>
      <c r="W995" s="46">
        <v>19.995561500000001</v>
      </c>
      <c r="X995" s="46">
        <v>19.662672000000001</v>
      </c>
      <c r="Y995" s="46">
        <v>70.591003200000003</v>
      </c>
      <c r="Z995" s="46">
        <v>16.111424800000002</v>
      </c>
      <c r="AA995" s="46">
        <v>13.297572000000001</v>
      </c>
      <c r="AB995" s="26">
        <f>SUM(W995:X995)</f>
        <v>39.658233500000001</v>
      </c>
      <c r="AC995" s="26">
        <f>SUM(Z995:AA995)</f>
        <v>29.408996800000004</v>
      </c>
      <c r="AD995" s="57">
        <f>M995+N995</f>
        <v>3574</v>
      </c>
      <c r="AE995" s="57">
        <f>Q995+R995</f>
        <v>3125</v>
      </c>
      <c r="AF995" s="26">
        <f>W995</f>
        <v>19.995561500000001</v>
      </c>
      <c r="AG995" s="26">
        <f>Z995</f>
        <v>16.111424800000002</v>
      </c>
      <c r="AH995" s="26">
        <f>M995</f>
        <v>1802</v>
      </c>
      <c r="AI995" s="26">
        <f>Q995</f>
        <v>1712</v>
      </c>
      <c r="AJ995" s="26">
        <f>X995</f>
        <v>19.662672000000001</v>
      </c>
      <c r="AK995" s="26">
        <f>AA995</f>
        <v>13.297572000000001</v>
      </c>
      <c r="AL995" s="57">
        <f>N995</f>
        <v>1772</v>
      </c>
      <c r="AM995" s="57">
        <f>R995</f>
        <v>1413</v>
      </c>
    </row>
    <row r="996" spans="1:39" hidden="1" x14ac:dyDescent="0.3">
      <c r="A996" s="37">
        <v>992</v>
      </c>
      <c r="B996" s="38" t="s">
        <v>521</v>
      </c>
      <c r="C996" s="38" t="s">
        <v>332</v>
      </c>
      <c r="D996" s="38" t="s">
        <v>333</v>
      </c>
      <c r="E996" s="38" t="s">
        <v>335</v>
      </c>
      <c r="F996" s="47" t="s">
        <v>519</v>
      </c>
      <c r="G996" s="40">
        <v>6106</v>
      </c>
      <c r="H996" s="40">
        <v>2950</v>
      </c>
      <c r="I996" s="40">
        <v>1363</v>
      </c>
      <c r="J996" s="40">
        <v>1793</v>
      </c>
      <c r="K996" s="40">
        <v>7600</v>
      </c>
      <c r="L996" s="40">
        <v>4677</v>
      </c>
      <c r="M996" s="40">
        <v>1552</v>
      </c>
      <c r="N996" s="40">
        <v>1371</v>
      </c>
      <c r="O996" s="40">
        <v>9414</v>
      </c>
      <c r="P996" s="40">
        <v>6731</v>
      </c>
      <c r="Q996" s="40">
        <v>1488</v>
      </c>
      <c r="R996" s="40">
        <v>1195</v>
      </c>
      <c r="S996" s="41">
        <v>48.313134599999998</v>
      </c>
      <c r="T996" s="41">
        <v>22.3223059</v>
      </c>
      <c r="U996" s="41">
        <v>29.364559400000001</v>
      </c>
      <c r="V996" s="41">
        <v>61.539473700000002</v>
      </c>
      <c r="W996" s="41">
        <v>20.421052599999999</v>
      </c>
      <c r="X996" s="41">
        <v>18.039473699999999</v>
      </c>
      <c r="Y996" s="41">
        <v>71.499893799999995</v>
      </c>
      <c r="Z996" s="41">
        <v>15.806246</v>
      </c>
      <c r="AA996" s="41">
        <v>12.6938602</v>
      </c>
    </row>
    <row r="997" spans="1:39" hidden="1" x14ac:dyDescent="0.3">
      <c r="A997" s="37">
        <v>993</v>
      </c>
      <c r="B997" s="38" t="s">
        <v>521</v>
      </c>
      <c r="C997" s="38" t="s">
        <v>332</v>
      </c>
      <c r="D997" s="38" t="s">
        <v>333</v>
      </c>
      <c r="E997" s="38" t="s">
        <v>335</v>
      </c>
      <c r="F997" s="47" t="s">
        <v>520</v>
      </c>
      <c r="G997" s="40">
        <v>893</v>
      </c>
      <c r="H997" s="40">
        <v>315</v>
      </c>
      <c r="I997" s="40">
        <v>182</v>
      </c>
      <c r="J997" s="40">
        <v>396</v>
      </c>
      <c r="K997" s="40">
        <v>1412</v>
      </c>
      <c r="L997" s="40">
        <v>761</v>
      </c>
      <c r="M997" s="40">
        <v>250</v>
      </c>
      <c r="N997" s="40">
        <v>401</v>
      </c>
      <c r="O997" s="40">
        <v>1212</v>
      </c>
      <c r="P997" s="40">
        <v>770</v>
      </c>
      <c r="Q997" s="40">
        <v>224</v>
      </c>
      <c r="R997" s="40">
        <v>218</v>
      </c>
      <c r="S997" s="41">
        <v>35.274356099999999</v>
      </c>
      <c r="T997" s="41">
        <v>20.3807391</v>
      </c>
      <c r="U997" s="41">
        <v>44.344904800000002</v>
      </c>
      <c r="V997" s="41">
        <v>53.895184100000002</v>
      </c>
      <c r="W997" s="41">
        <v>17.705382400000001</v>
      </c>
      <c r="X997" s="41">
        <v>28.399433399999999</v>
      </c>
      <c r="Y997" s="41">
        <v>63.531353099999997</v>
      </c>
      <c r="Z997" s="41">
        <v>18.481848200000002</v>
      </c>
      <c r="AA997" s="41">
        <v>17.986798700000001</v>
      </c>
    </row>
    <row r="998" spans="1:39" hidden="1" x14ac:dyDescent="0.3">
      <c r="A998" s="32">
        <v>994</v>
      </c>
      <c r="B998" s="33" t="s">
        <v>1</v>
      </c>
      <c r="C998" s="49" t="s">
        <v>332</v>
      </c>
      <c r="D998" s="49" t="s">
        <v>336</v>
      </c>
      <c r="E998" s="49"/>
      <c r="F998" s="34" t="s">
        <v>336</v>
      </c>
      <c r="G998" s="35">
        <v>25110</v>
      </c>
      <c r="H998" s="35">
        <v>11063</v>
      </c>
      <c r="I998" s="35">
        <v>5708</v>
      </c>
      <c r="J998" s="35">
        <v>8339</v>
      </c>
      <c r="K998" s="35">
        <v>36422</v>
      </c>
      <c r="L998" s="35">
        <v>21756</v>
      </c>
      <c r="M998" s="35">
        <v>7338</v>
      </c>
      <c r="N998" s="35">
        <v>7328</v>
      </c>
      <c r="O998" s="35">
        <v>46032</v>
      </c>
      <c r="P998" s="35">
        <v>32251</v>
      </c>
      <c r="Q998" s="35">
        <v>7190</v>
      </c>
      <c r="R998" s="35">
        <v>6591</v>
      </c>
      <c r="S998" s="36">
        <v>44.058144200000001</v>
      </c>
      <c r="T998" s="36">
        <v>22.731979299999999</v>
      </c>
      <c r="U998" s="36">
        <v>33.2098765</v>
      </c>
      <c r="V998" s="36">
        <v>59.733128299999997</v>
      </c>
      <c r="W998" s="36">
        <v>20.147163800000001</v>
      </c>
      <c r="X998" s="36">
        <v>20.119707900000002</v>
      </c>
      <c r="Y998" s="36">
        <v>70.062130699999997</v>
      </c>
      <c r="Z998" s="36">
        <v>15.619569</v>
      </c>
      <c r="AA998" s="36">
        <v>14.318300300000001</v>
      </c>
    </row>
    <row r="999" spans="1:39" hidden="1" x14ac:dyDescent="0.3">
      <c r="A999" s="37">
        <v>995</v>
      </c>
      <c r="B999" s="38" t="s">
        <v>1</v>
      </c>
      <c r="C999" s="38" t="s">
        <v>332</v>
      </c>
      <c r="D999" s="38" t="s">
        <v>336</v>
      </c>
      <c r="E999" s="38"/>
      <c r="F999" s="39" t="s">
        <v>519</v>
      </c>
      <c r="G999" s="40">
        <v>17960</v>
      </c>
      <c r="H999" s="40">
        <v>8474</v>
      </c>
      <c r="I999" s="40">
        <v>4200</v>
      </c>
      <c r="J999" s="40">
        <v>5286</v>
      </c>
      <c r="K999" s="40">
        <v>24528</v>
      </c>
      <c r="L999" s="40">
        <v>15462</v>
      </c>
      <c r="M999" s="40">
        <v>4818</v>
      </c>
      <c r="N999" s="40">
        <v>4248</v>
      </c>
      <c r="O999" s="40">
        <v>32165</v>
      </c>
      <c r="P999" s="40">
        <v>23505</v>
      </c>
      <c r="Q999" s="40">
        <v>4667</v>
      </c>
      <c r="R999" s="40">
        <v>3993</v>
      </c>
      <c r="S999" s="41">
        <v>47.182628100000002</v>
      </c>
      <c r="T999" s="41">
        <v>23.385300699999998</v>
      </c>
      <c r="U999" s="41">
        <v>29.4320713</v>
      </c>
      <c r="V999" s="41">
        <v>63.038160499999996</v>
      </c>
      <c r="W999" s="41">
        <v>19.642857100000001</v>
      </c>
      <c r="X999" s="41">
        <v>17.318982399999999</v>
      </c>
      <c r="Y999" s="41">
        <v>73.076325199999999</v>
      </c>
      <c r="Z999" s="41">
        <v>14.5095601</v>
      </c>
      <c r="AA999" s="41">
        <v>12.414114700000001</v>
      </c>
    </row>
    <row r="1000" spans="1:39" hidden="1" x14ac:dyDescent="0.3">
      <c r="A1000" s="37">
        <v>996</v>
      </c>
      <c r="B1000" s="38" t="s">
        <v>1</v>
      </c>
      <c r="C1000" s="38" t="s">
        <v>332</v>
      </c>
      <c r="D1000" s="38" t="s">
        <v>336</v>
      </c>
      <c r="E1000" s="38"/>
      <c r="F1000" s="39" t="s">
        <v>520</v>
      </c>
      <c r="G1000" s="40">
        <v>7150</v>
      </c>
      <c r="H1000" s="40">
        <v>2589</v>
      </c>
      <c r="I1000" s="40">
        <v>1508</v>
      </c>
      <c r="J1000" s="40">
        <v>3053</v>
      </c>
      <c r="K1000" s="40">
        <v>11894</v>
      </c>
      <c r="L1000" s="40">
        <v>6294</v>
      </c>
      <c r="M1000" s="40">
        <v>2520</v>
      </c>
      <c r="N1000" s="40">
        <v>3080</v>
      </c>
      <c r="O1000" s="40">
        <v>13867</v>
      </c>
      <c r="P1000" s="40">
        <v>8746</v>
      </c>
      <c r="Q1000" s="40">
        <v>2523</v>
      </c>
      <c r="R1000" s="40">
        <v>2598</v>
      </c>
      <c r="S1000" s="41">
        <v>36.2097902</v>
      </c>
      <c r="T1000" s="41">
        <v>21.090909100000001</v>
      </c>
      <c r="U1000" s="41">
        <v>42.699300700000002</v>
      </c>
      <c r="V1000" s="41">
        <v>52.917437399999997</v>
      </c>
      <c r="W1000" s="41">
        <v>21.187153200000001</v>
      </c>
      <c r="X1000" s="41">
        <v>25.8954095</v>
      </c>
      <c r="Y1000" s="41">
        <v>63.070599299999998</v>
      </c>
      <c r="Z1000" s="41">
        <v>18.194274199999999</v>
      </c>
      <c r="AA1000" s="41">
        <v>18.735126600000001</v>
      </c>
    </row>
    <row r="1001" spans="1:39" hidden="1" x14ac:dyDescent="0.3">
      <c r="A1001" s="42">
        <v>997</v>
      </c>
      <c r="B1001" s="43" t="s">
        <v>521</v>
      </c>
      <c r="C1001" s="50" t="s">
        <v>332</v>
      </c>
      <c r="D1001" s="50" t="s">
        <v>336</v>
      </c>
      <c r="E1001" s="50" t="s">
        <v>337</v>
      </c>
      <c r="F1001" s="51" t="s">
        <v>337</v>
      </c>
      <c r="G1001" s="45">
        <v>18250</v>
      </c>
      <c r="H1001" s="45">
        <v>8011</v>
      </c>
      <c r="I1001" s="45">
        <v>4279</v>
      </c>
      <c r="J1001" s="45">
        <v>5960</v>
      </c>
      <c r="K1001" s="45">
        <v>22138</v>
      </c>
      <c r="L1001" s="45">
        <v>13076</v>
      </c>
      <c r="M1001" s="45">
        <v>4624</v>
      </c>
      <c r="N1001" s="45">
        <v>4438</v>
      </c>
      <c r="O1001" s="45">
        <v>27308</v>
      </c>
      <c r="P1001" s="45">
        <v>19266</v>
      </c>
      <c r="Q1001" s="45">
        <v>4291</v>
      </c>
      <c r="R1001" s="45">
        <v>3751</v>
      </c>
      <c r="S1001" s="46">
        <v>43.895890399999999</v>
      </c>
      <c r="T1001" s="46">
        <v>23.446575299999999</v>
      </c>
      <c r="U1001" s="46">
        <v>32.657534200000001</v>
      </c>
      <c r="V1001" s="46">
        <v>59.065859600000003</v>
      </c>
      <c r="W1001" s="46">
        <v>20.8871623</v>
      </c>
      <c r="X1001" s="46">
        <v>20.046977999999999</v>
      </c>
      <c r="Y1001" s="46">
        <v>70.550754400000002</v>
      </c>
      <c r="Z1001" s="46">
        <v>15.7133441</v>
      </c>
      <c r="AA1001" s="46">
        <v>13.7359016</v>
      </c>
      <c r="AB1001" s="26">
        <f>SUM(W1001:X1001)</f>
        <v>40.934140299999996</v>
      </c>
      <c r="AC1001" s="26">
        <f>SUM(Z1001:AA1001)</f>
        <v>29.449245699999999</v>
      </c>
      <c r="AD1001" s="57">
        <f>M1001+N1001</f>
        <v>9062</v>
      </c>
      <c r="AE1001" s="57">
        <f>Q1001+R1001</f>
        <v>8042</v>
      </c>
      <c r="AF1001" s="26">
        <f>W1001</f>
        <v>20.8871623</v>
      </c>
      <c r="AG1001" s="26">
        <f>Z1001</f>
        <v>15.7133441</v>
      </c>
      <c r="AH1001" s="26">
        <f>M1001</f>
        <v>4624</v>
      </c>
      <c r="AI1001" s="26">
        <f>Q1001</f>
        <v>4291</v>
      </c>
      <c r="AJ1001" s="26">
        <f>X1001</f>
        <v>20.046977999999999</v>
      </c>
      <c r="AK1001" s="26">
        <f>AA1001</f>
        <v>13.7359016</v>
      </c>
      <c r="AL1001" s="57">
        <f>N1001</f>
        <v>4438</v>
      </c>
      <c r="AM1001" s="57">
        <f>R1001</f>
        <v>3751</v>
      </c>
    </row>
    <row r="1002" spans="1:39" hidden="1" x14ac:dyDescent="0.3">
      <c r="A1002" s="37">
        <v>998</v>
      </c>
      <c r="B1002" s="38" t="s">
        <v>521</v>
      </c>
      <c r="C1002" s="38" t="s">
        <v>332</v>
      </c>
      <c r="D1002" s="38" t="s">
        <v>336</v>
      </c>
      <c r="E1002" s="38" t="s">
        <v>337</v>
      </c>
      <c r="F1002" s="47" t="s">
        <v>519</v>
      </c>
      <c r="G1002" s="40">
        <v>14520</v>
      </c>
      <c r="H1002" s="40">
        <v>6743</v>
      </c>
      <c r="I1002" s="40">
        <v>3461</v>
      </c>
      <c r="J1002" s="40">
        <v>4316</v>
      </c>
      <c r="K1002" s="40">
        <v>15658</v>
      </c>
      <c r="L1002" s="40">
        <v>9932</v>
      </c>
      <c r="M1002" s="40">
        <v>3186</v>
      </c>
      <c r="N1002" s="40">
        <v>2540</v>
      </c>
      <c r="O1002" s="40">
        <v>20574</v>
      </c>
      <c r="P1002" s="40">
        <v>15243</v>
      </c>
      <c r="Q1002" s="40">
        <v>2971</v>
      </c>
      <c r="R1002" s="40">
        <v>2360</v>
      </c>
      <c r="S1002" s="41">
        <v>46.439393899999999</v>
      </c>
      <c r="T1002" s="41">
        <v>23.836088199999999</v>
      </c>
      <c r="U1002" s="41">
        <v>29.724517899999999</v>
      </c>
      <c r="V1002" s="41">
        <v>63.430834099999998</v>
      </c>
      <c r="W1002" s="41">
        <v>20.347426200000001</v>
      </c>
      <c r="X1002" s="41">
        <v>16.221739700000001</v>
      </c>
      <c r="Y1002" s="41">
        <v>74.088655599999996</v>
      </c>
      <c r="Z1002" s="41">
        <v>14.440556000000001</v>
      </c>
      <c r="AA1002" s="41">
        <v>11.4707884</v>
      </c>
    </row>
    <row r="1003" spans="1:39" hidden="1" x14ac:dyDescent="0.3">
      <c r="A1003" s="37">
        <v>999</v>
      </c>
      <c r="B1003" s="38" t="s">
        <v>521</v>
      </c>
      <c r="C1003" s="38" t="s">
        <v>332</v>
      </c>
      <c r="D1003" s="38" t="s">
        <v>336</v>
      </c>
      <c r="E1003" s="38" t="s">
        <v>337</v>
      </c>
      <c r="F1003" s="47" t="s">
        <v>520</v>
      </c>
      <c r="G1003" s="40">
        <v>3730</v>
      </c>
      <c r="H1003" s="40">
        <v>1268</v>
      </c>
      <c r="I1003" s="40">
        <v>818</v>
      </c>
      <c r="J1003" s="40">
        <v>1644</v>
      </c>
      <c r="K1003" s="40">
        <v>6480</v>
      </c>
      <c r="L1003" s="40">
        <v>3144</v>
      </c>
      <c r="M1003" s="40">
        <v>1438</v>
      </c>
      <c r="N1003" s="40">
        <v>1898</v>
      </c>
      <c r="O1003" s="40">
        <v>6734</v>
      </c>
      <c r="P1003" s="40">
        <v>4023</v>
      </c>
      <c r="Q1003" s="40">
        <v>1320</v>
      </c>
      <c r="R1003" s="40">
        <v>1391</v>
      </c>
      <c r="S1003" s="41">
        <v>33.994638100000003</v>
      </c>
      <c r="T1003" s="41">
        <v>21.9302949</v>
      </c>
      <c r="U1003" s="41">
        <v>44.075066999999997</v>
      </c>
      <c r="V1003" s="41">
        <v>48.518518499999999</v>
      </c>
      <c r="W1003" s="41">
        <v>22.191358000000001</v>
      </c>
      <c r="X1003" s="41">
        <v>29.2901235</v>
      </c>
      <c r="Y1003" s="41">
        <v>59.741609699999998</v>
      </c>
      <c r="Z1003" s="41">
        <v>19.602019599999998</v>
      </c>
      <c r="AA1003" s="41">
        <v>20.6563707</v>
      </c>
    </row>
    <row r="1004" spans="1:39" hidden="1" x14ac:dyDescent="0.3">
      <c r="A1004" s="42">
        <v>1000</v>
      </c>
      <c r="B1004" s="43" t="s">
        <v>521</v>
      </c>
      <c r="C1004" s="50" t="s">
        <v>332</v>
      </c>
      <c r="D1004" s="50" t="s">
        <v>336</v>
      </c>
      <c r="E1004" s="50" t="s">
        <v>338</v>
      </c>
      <c r="F1004" s="51" t="s">
        <v>338</v>
      </c>
      <c r="G1004" s="45">
        <v>1799</v>
      </c>
      <c r="H1004" s="45">
        <v>680</v>
      </c>
      <c r="I1004" s="45">
        <v>388</v>
      </c>
      <c r="J1004" s="45">
        <v>731</v>
      </c>
      <c r="K1004" s="45">
        <v>3995</v>
      </c>
      <c r="L1004" s="45">
        <v>2515</v>
      </c>
      <c r="M1004" s="45">
        <v>743</v>
      </c>
      <c r="N1004" s="45">
        <v>737</v>
      </c>
      <c r="O1004" s="45">
        <v>4684</v>
      </c>
      <c r="P1004" s="45">
        <v>3286</v>
      </c>
      <c r="Q1004" s="45">
        <v>759</v>
      </c>
      <c r="R1004" s="45">
        <v>639</v>
      </c>
      <c r="S1004" s="46">
        <v>37.798777100000002</v>
      </c>
      <c r="T1004" s="46">
        <v>21.5675375</v>
      </c>
      <c r="U1004" s="46">
        <v>40.633685399999997</v>
      </c>
      <c r="V1004" s="46">
        <v>62.953692099999998</v>
      </c>
      <c r="W1004" s="46">
        <v>18.598247799999999</v>
      </c>
      <c r="X1004" s="46">
        <v>18.448060099999999</v>
      </c>
      <c r="Y1004" s="46">
        <v>70.153714800000003</v>
      </c>
      <c r="Z1004" s="46">
        <v>16.204099100000001</v>
      </c>
      <c r="AA1004" s="46">
        <v>13.642186199999999</v>
      </c>
      <c r="AB1004" s="26">
        <f>SUM(W1004:X1004)</f>
        <v>37.046307900000002</v>
      </c>
      <c r="AC1004" s="26">
        <f>SUM(Z1004:AA1004)</f>
        <v>29.846285299999998</v>
      </c>
      <c r="AD1004" s="57">
        <f>M1004+N1004</f>
        <v>1480</v>
      </c>
      <c r="AE1004" s="57">
        <f>Q1004+R1004</f>
        <v>1398</v>
      </c>
      <c r="AF1004" s="26">
        <f>W1004</f>
        <v>18.598247799999999</v>
      </c>
      <c r="AG1004" s="26">
        <f>Z1004</f>
        <v>16.204099100000001</v>
      </c>
      <c r="AH1004" s="26">
        <f>M1004</f>
        <v>743</v>
      </c>
      <c r="AI1004" s="26">
        <f>Q1004</f>
        <v>759</v>
      </c>
      <c r="AJ1004" s="26">
        <f>X1004</f>
        <v>18.448060099999999</v>
      </c>
      <c r="AK1004" s="26">
        <f>AA1004</f>
        <v>13.642186199999999</v>
      </c>
      <c r="AL1004" s="57">
        <f>N1004</f>
        <v>737</v>
      </c>
      <c r="AM1004" s="57">
        <f>R1004</f>
        <v>639</v>
      </c>
    </row>
    <row r="1005" spans="1:39" hidden="1" x14ac:dyDescent="0.3">
      <c r="A1005" s="37">
        <v>1001</v>
      </c>
      <c r="B1005" s="38" t="s">
        <v>521</v>
      </c>
      <c r="C1005" s="38" t="s">
        <v>332</v>
      </c>
      <c r="D1005" s="38" t="s">
        <v>336</v>
      </c>
      <c r="E1005" s="38" t="s">
        <v>338</v>
      </c>
      <c r="F1005" s="47" t="s">
        <v>519</v>
      </c>
      <c r="G1005" s="40"/>
      <c r="H1005" s="40"/>
      <c r="I1005" s="40"/>
      <c r="J1005" s="40"/>
      <c r="K1005" s="40">
        <v>962</v>
      </c>
      <c r="L1005" s="40">
        <v>641</v>
      </c>
      <c r="M1005" s="40">
        <v>166</v>
      </c>
      <c r="N1005" s="40">
        <v>155</v>
      </c>
      <c r="O1005" s="40">
        <v>1260</v>
      </c>
      <c r="P1005" s="40">
        <v>943</v>
      </c>
      <c r="Q1005" s="40">
        <v>162</v>
      </c>
      <c r="R1005" s="40">
        <v>155</v>
      </c>
      <c r="S1005" s="41"/>
      <c r="T1005" s="41"/>
      <c r="U1005" s="41"/>
      <c r="V1005" s="41">
        <v>66.6320166</v>
      </c>
      <c r="W1005" s="41">
        <v>17.255717300000001</v>
      </c>
      <c r="X1005" s="41">
        <v>16.112266099999999</v>
      </c>
      <c r="Y1005" s="41">
        <v>74.841269800000006</v>
      </c>
      <c r="Z1005" s="41">
        <v>12.857142899999999</v>
      </c>
      <c r="AA1005" s="41">
        <v>12.3015873</v>
      </c>
    </row>
    <row r="1006" spans="1:39" hidden="1" x14ac:dyDescent="0.3">
      <c r="A1006" s="37">
        <v>1002</v>
      </c>
      <c r="B1006" s="38" t="s">
        <v>521</v>
      </c>
      <c r="C1006" s="38" t="s">
        <v>332</v>
      </c>
      <c r="D1006" s="38" t="s">
        <v>336</v>
      </c>
      <c r="E1006" s="38" t="s">
        <v>338</v>
      </c>
      <c r="F1006" s="47" t="s">
        <v>520</v>
      </c>
      <c r="G1006" s="40">
        <v>1799</v>
      </c>
      <c r="H1006" s="40">
        <v>680</v>
      </c>
      <c r="I1006" s="40">
        <v>388</v>
      </c>
      <c r="J1006" s="40">
        <v>731</v>
      </c>
      <c r="K1006" s="40">
        <v>3033</v>
      </c>
      <c r="L1006" s="40">
        <v>1874</v>
      </c>
      <c r="M1006" s="40">
        <v>577</v>
      </c>
      <c r="N1006" s="40">
        <v>582</v>
      </c>
      <c r="O1006" s="40">
        <v>3424</v>
      </c>
      <c r="P1006" s="40">
        <v>2343</v>
      </c>
      <c r="Q1006" s="40">
        <v>597</v>
      </c>
      <c r="R1006" s="40">
        <v>484</v>
      </c>
      <c r="S1006" s="41">
        <v>37.798777100000002</v>
      </c>
      <c r="T1006" s="41">
        <v>21.5675375</v>
      </c>
      <c r="U1006" s="41">
        <v>40.633685399999997</v>
      </c>
      <c r="V1006" s="41">
        <v>61.787009599999998</v>
      </c>
      <c r="W1006" s="41">
        <v>19.0240686</v>
      </c>
      <c r="X1006" s="41">
        <v>19.1889219</v>
      </c>
      <c r="Y1006" s="41">
        <v>68.428738300000006</v>
      </c>
      <c r="Z1006" s="41">
        <v>17.4357477</v>
      </c>
      <c r="AA1006" s="41">
        <v>14.135514000000001</v>
      </c>
    </row>
    <row r="1007" spans="1:39" hidden="1" x14ac:dyDescent="0.3">
      <c r="A1007" s="42">
        <v>1003</v>
      </c>
      <c r="B1007" s="43" t="s">
        <v>521</v>
      </c>
      <c r="C1007" s="50" t="s">
        <v>332</v>
      </c>
      <c r="D1007" s="50" t="s">
        <v>336</v>
      </c>
      <c r="E1007" s="50" t="s">
        <v>339</v>
      </c>
      <c r="F1007" s="51" t="s">
        <v>339</v>
      </c>
      <c r="G1007" s="45">
        <v>5061</v>
      </c>
      <c r="H1007" s="45">
        <v>2372</v>
      </c>
      <c r="I1007" s="45">
        <v>1041</v>
      </c>
      <c r="J1007" s="45">
        <v>1648</v>
      </c>
      <c r="K1007" s="45">
        <v>10289</v>
      </c>
      <c r="L1007" s="45">
        <v>6165</v>
      </c>
      <c r="M1007" s="45">
        <v>1971</v>
      </c>
      <c r="N1007" s="45">
        <v>2153</v>
      </c>
      <c r="O1007" s="45">
        <v>14040</v>
      </c>
      <c r="P1007" s="45">
        <v>9699</v>
      </c>
      <c r="Q1007" s="45">
        <v>2140</v>
      </c>
      <c r="R1007" s="45">
        <v>2201</v>
      </c>
      <c r="S1007" s="46">
        <v>46.868207900000002</v>
      </c>
      <c r="T1007" s="46">
        <v>20.5690575</v>
      </c>
      <c r="U1007" s="46">
        <v>32.562734599999999</v>
      </c>
      <c r="V1007" s="46">
        <v>59.9183594</v>
      </c>
      <c r="W1007" s="46">
        <v>19.156380599999999</v>
      </c>
      <c r="X1007" s="46">
        <v>20.925260000000002</v>
      </c>
      <c r="Y1007" s="46">
        <v>69.081196599999998</v>
      </c>
      <c r="Z1007" s="46">
        <v>15.242165200000001</v>
      </c>
      <c r="AA1007" s="46">
        <v>15.676638199999999</v>
      </c>
      <c r="AB1007" s="26">
        <f>SUM(W1007:X1007)</f>
        <v>40.0816406</v>
      </c>
      <c r="AC1007" s="26">
        <f>SUM(Z1007:AA1007)</f>
        <v>30.918803400000002</v>
      </c>
      <c r="AD1007" s="57">
        <f>M1007+N1007</f>
        <v>4124</v>
      </c>
      <c r="AE1007" s="57">
        <f>Q1007+R1007</f>
        <v>4341</v>
      </c>
      <c r="AF1007" s="26">
        <f>W1007</f>
        <v>19.156380599999999</v>
      </c>
      <c r="AG1007" s="26">
        <f>Z1007</f>
        <v>15.242165200000001</v>
      </c>
      <c r="AH1007" s="26">
        <f>M1007</f>
        <v>1971</v>
      </c>
      <c r="AI1007" s="26">
        <f>Q1007</f>
        <v>2140</v>
      </c>
      <c r="AJ1007" s="26">
        <f>X1007</f>
        <v>20.925260000000002</v>
      </c>
      <c r="AK1007" s="26">
        <f>AA1007</f>
        <v>15.676638199999999</v>
      </c>
      <c r="AL1007" s="57">
        <f>N1007</f>
        <v>2153</v>
      </c>
      <c r="AM1007" s="57">
        <f>R1007</f>
        <v>2201</v>
      </c>
    </row>
    <row r="1008" spans="1:39" hidden="1" x14ac:dyDescent="0.3">
      <c r="A1008" s="37">
        <v>1004</v>
      </c>
      <c r="B1008" s="38" t="s">
        <v>521</v>
      </c>
      <c r="C1008" s="38" t="s">
        <v>332</v>
      </c>
      <c r="D1008" s="38" t="s">
        <v>336</v>
      </c>
      <c r="E1008" s="38" t="s">
        <v>339</v>
      </c>
      <c r="F1008" s="47" t="s">
        <v>519</v>
      </c>
      <c r="G1008" s="40">
        <v>3440</v>
      </c>
      <c r="H1008" s="40">
        <v>1731</v>
      </c>
      <c r="I1008" s="40">
        <v>739</v>
      </c>
      <c r="J1008" s="40">
        <v>970</v>
      </c>
      <c r="K1008" s="40">
        <v>7908</v>
      </c>
      <c r="L1008" s="40">
        <v>4889</v>
      </c>
      <c r="M1008" s="40">
        <v>1466</v>
      </c>
      <c r="N1008" s="40">
        <v>1553</v>
      </c>
      <c r="O1008" s="40">
        <v>10331</v>
      </c>
      <c r="P1008" s="40">
        <v>7319</v>
      </c>
      <c r="Q1008" s="40">
        <v>1534</v>
      </c>
      <c r="R1008" s="40">
        <v>1478</v>
      </c>
      <c r="S1008" s="41">
        <v>50.319767400000003</v>
      </c>
      <c r="T1008" s="41">
        <v>21.482558099999999</v>
      </c>
      <c r="U1008" s="41">
        <v>28.1976744</v>
      </c>
      <c r="V1008" s="41">
        <v>61.823469899999999</v>
      </c>
      <c r="W1008" s="41">
        <v>18.538189200000001</v>
      </c>
      <c r="X1008" s="41">
        <v>19.638340899999999</v>
      </c>
      <c r="Y1008" s="41">
        <v>70.845029499999995</v>
      </c>
      <c r="Z1008" s="41">
        <v>14.8485142</v>
      </c>
      <c r="AA1008" s="41">
        <v>14.306456300000001</v>
      </c>
    </row>
    <row r="1009" spans="1:39" hidden="1" x14ac:dyDescent="0.3">
      <c r="A1009" s="37">
        <v>1005</v>
      </c>
      <c r="B1009" s="38" t="s">
        <v>521</v>
      </c>
      <c r="C1009" s="38" t="s">
        <v>332</v>
      </c>
      <c r="D1009" s="38" t="s">
        <v>336</v>
      </c>
      <c r="E1009" s="38" t="s">
        <v>339</v>
      </c>
      <c r="F1009" s="47" t="s">
        <v>520</v>
      </c>
      <c r="G1009" s="40">
        <v>1621</v>
      </c>
      <c r="H1009" s="40">
        <v>641</v>
      </c>
      <c r="I1009" s="40">
        <v>302</v>
      </c>
      <c r="J1009" s="40">
        <v>678</v>
      </c>
      <c r="K1009" s="40">
        <v>2381</v>
      </c>
      <c r="L1009" s="40">
        <v>1276</v>
      </c>
      <c r="M1009" s="40">
        <v>505</v>
      </c>
      <c r="N1009" s="40">
        <v>600</v>
      </c>
      <c r="O1009" s="40">
        <v>3709</v>
      </c>
      <c r="P1009" s="40">
        <v>2380</v>
      </c>
      <c r="Q1009" s="40">
        <v>606</v>
      </c>
      <c r="R1009" s="40">
        <v>723</v>
      </c>
      <c r="S1009" s="41">
        <v>39.543491699999997</v>
      </c>
      <c r="T1009" s="41">
        <v>18.630475000000001</v>
      </c>
      <c r="U1009" s="41">
        <v>41.826033299999999</v>
      </c>
      <c r="V1009" s="41">
        <v>53.5909282</v>
      </c>
      <c r="W1009" s="41">
        <v>21.2095758</v>
      </c>
      <c r="X1009" s="41">
        <v>25.199496</v>
      </c>
      <c r="Y1009" s="41">
        <v>64.168239400000004</v>
      </c>
      <c r="Z1009" s="41">
        <v>16.338635799999999</v>
      </c>
      <c r="AA1009" s="41">
        <v>19.4931248</v>
      </c>
    </row>
    <row r="1010" spans="1:39" hidden="1" x14ac:dyDescent="0.3">
      <c r="A1010" s="32">
        <v>1006</v>
      </c>
      <c r="B1010" s="33" t="s">
        <v>1</v>
      </c>
      <c r="C1010" s="49" t="s">
        <v>332</v>
      </c>
      <c r="D1010" s="49" t="s">
        <v>528</v>
      </c>
      <c r="E1010" s="49"/>
      <c r="F1010" s="34" t="s">
        <v>528</v>
      </c>
      <c r="G1010" s="35">
        <v>4047</v>
      </c>
      <c r="H1010" s="35">
        <v>1670</v>
      </c>
      <c r="I1010" s="35">
        <v>801</v>
      </c>
      <c r="J1010" s="35">
        <v>1576</v>
      </c>
      <c r="K1010" s="35">
        <v>5646</v>
      </c>
      <c r="L1010" s="35">
        <v>3228</v>
      </c>
      <c r="M1010" s="35">
        <v>1174</v>
      </c>
      <c r="N1010" s="35">
        <v>1244</v>
      </c>
      <c r="O1010" s="35">
        <v>6446</v>
      </c>
      <c r="P1010" s="35">
        <v>4387</v>
      </c>
      <c r="Q1010" s="35">
        <v>1061</v>
      </c>
      <c r="R1010" s="35">
        <v>998</v>
      </c>
      <c r="S1010" s="36">
        <v>41.265134699999997</v>
      </c>
      <c r="T1010" s="36">
        <v>19.792438799999999</v>
      </c>
      <c r="U1010" s="36">
        <v>38.942426500000003</v>
      </c>
      <c r="V1010" s="36">
        <v>57.173220000000001</v>
      </c>
      <c r="W1010" s="36">
        <v>20.793482099999999</v>
      </c>
      <c r="X1010" s="36">
        <v>22.033297900000001</v>
      </c>
      <c r="Y1010" s="36">
        <v>68.057710200000002</v>
      </c>
      <c r="Z1010" s="36">
        <v>16.459820000000001</v>
      </c>
      <c r="AA1010" s="36">
        <v>15.482469699999999</v>
      </c>
    </row>
    <row r="1011" spans="1:39" hidden="1" x14ac:dyDescent="0.3">
      <c r="A1011" s="37">
        <v>1007</v>
      </c>
      <c r="B1011" s="38" t="s">
        <v>1</v>
      </c>
      <c r="C1011" s="38" t="s">
        <v>332</v>
      </c>
      <c r="D1011" s="38" t="s">
        <v>528</v>
      </c>
      <c r="E1011" s="38"/>
      <c r="F1011" s="39" t="s">
        <v>519</v>
      </c>
      <c r="G1011" s="40"/>
      <c r="H1011" s="40"/>
      <c r="I1011" s="40"/>
      <c r="J1011" s="40"/>
      <c r="K1011" s="40"/>
      <c r="L1011" s="40"/>
      <c r="M1011" s="40"/>
      <c r="N1011" s="40"/>
      <c r="O1011" s="40">
        <v>703</v>
      </c>
      <c r="P1011" s="40">
        <v>515</v>
      </c>
      <c r="Q1011" s="40">
        <v>111</v>
      </c>
      <c r="R1011" s="40">
        <v>77</v>
      </c>
      <c r="S1011" s="41"/>
      <c r="T1011" s="41"/>
      <c r="U1011" s="41"/>
      <c r="V1011" s="41"/>
      <c r="W1011" s="41"/>
      <c r="X1011" s="41"/>
      <c r="Y1011" s="41">
        <v>73.257468000000003</v>
      </c>
      <c r="Z1011" s="41">
        <v>15.7894737</v>
      </c>
      <c r="AA1011" s="41">
        <v>10.9530583</v>
      </c>
    </row>
    <row r="1012" spans="1:39" hidden="1" x14ac:dyDescent="0.3">
      <c r="A1012" s="37">
        <v>1008</v>
      </c>
      <c r="B1012" s="38" t="s">
        <v>1</v>
      </c>
      <c r="C1012" s="38" t="s">
        <v>332</v>
      </c>
      <c r="D1012" s="38" t="s">
        <v>528</v>
      </c>
      <c r="E1012" s="38"/>
      <c r="F1012" s="39" t="s">
        <v>520</v>
      </c>
      <c r="G1012" s="40">
        <v>4047</v>
      </c>
      <c r="H1012" s="40">
        <v>1670</v>
      </c>
      <c r="I1012" s="40">
        <v>801</v>
      </c>
      <c r="J1012" s="40">
        <v>1576</v>
      </c>
      <c r="K1012" s="40">
        <v>5646</v>
      </c>
      <c r="L1012" s="40">
        <v>3228</v>
      </c>
      <c r="M1012" s="40">
        <v>1174</v>
      </c>
      <c r="N1012" s="40">
        <v>1244</v>
      </c>
      <c r="O1012" s="40">
        <v>5743</v>
      </c>
      <c r="P1012" s="40">
        <v>3872</v>
      </c>
      <c r="Q1012" s="40">
        <v>950</v>
      </c>
      <c r="R1012" s="40">
        <v>921</v>
      </c>
      <c r="S1012" s="41">
        <v>41.265134699999997</v>
      </c>
      <c r="T1012" s="41">
        <v>19.792438799999999</v>
      </c>
      <c r="U1012" s="41">
        <v>38.942426500000003</v>
      </c>
      <c r="V1012" s="41">
        <v>57.173220000000001</v>
      </c>
      <c r="W1012" s="41">
        <v>20.793482099999999</v>
      </c>
      <c r="X1012" s="41">
        <v>22.033297900000001</v>
      </c>
      <c r="Y1012" s="41">
        <v>67.421208399999998</v>
      </c>
      <c r="Z1012" s="41">
        <v>16.541877100000001</v>
      </c>
      <c r="AA1012" s="41">
        <v>16.036914500000002</v>
      </c>
    </row>
    <row r="1013" spans="1:39" hidden="1" x14ac:dyDescent="0.3">
      <c r="A1013" s="42">
        <v>1009</v>
      </c>
      <c r="B1013" s="43" t="s">
        <v>521</v>
      </c>
      <c r="C1013" s="50" t="s">
        <v>332</v>
      </c>
      <c r="D1013" s="50" t="s">
        <v>528</v>
      </c>
      <c r="E1013" s="50" t="s">
        <v>341</v>
      </c>
      <c r="F1013" s="51" t="s">
        <v>341</v>
      </c>
      <c r="G1013" s="45">
        <v>2796</v>
      </c>
      <c r="H1013" s="45">
        <v>1154</v>
      </c>
      <c r="I1013" s="45">
        <v>584</v>
      </c>
      <c r="J1013" s="45">
        <v>1058</v>
      </c>
      <c r="K1013" s="45">
        <v>4162</v>
      </c>
      <c r="L1013" s="45">
        <v>2431</v>
      </c>
      <c r="M1013" s="45">
        <v>874</v>
      </c>
      <c r="N1013" s="45">
        <v>857</v>
      </c>
      <c r="O1013" s="45">
        <v>4916</v>
      </c>
      <c r="P1013" s="45">
        <v>3380</v>
      </c>
      <c r="Q1013" s="45">
        <v>814</v>
      </c>
      <c r="R1013" s="45">
        <v>722</v>
      </c>
      <c r="S1013" s="46">
        <v>41.273247499999997</v>
      </c>
      <c r="T1013" s="46">
        <v>20.8869814</v>
      </c>
      <c r="U1013" s="46">
        <v>37.8397711</v>
      </c>
      <c r="V1013" s="46">
        <v>58.409418500000001</v>
      </c>
      <c r="W1013" s="46">
        <v>20.999519500000002</v>
      </c>
      <c r="X1013" s="46">
        <v>20.591062000000001</v>
      </c>
      <c r="Y1013" s="46">
        <v>68.755085399999999</v>
      </c>
      <c r="Z1013" s="46">
        <v>16.558177400000002</v>
      </c>
      <c r="AA1013" s="46">
        <v>14.6867372</v>
      </c>
      <c r="AB1013" s="26">
        <f>SUM(W1013:X1013)</f>
        <v>41.590581499999999</v>
      </c>
      <c r="AC1013" s="26">
        <f>SUM(Z1013:AA1013)</f>
        <v>31.244914600000001</v>
      </c>
      <c r="AD1013" s="57">
        <f>M1013+N1013</f>
        <v>1731</v>
      </c>
      <c r="AE1013" s="57">
        <f>Q1013+R1013</f>
        <v>1536</v>
      </c>
      <c r="AF1013" s="26">
        <f>W1013</f>
        <v>20.999519500000002</v>
      </c>
      <c r="AG1013" s="26">
        <f>Z1013</f>
        <v>16.558177400000002</v>
      </c>
      <c r="AH1013" s="26">
        <f>M1013</f>
        <v>874</v>
      </c>
      <c r="AI1013" s="26">
        <f>Q1013</f>
        <v>814</v>
      </c>
      <c r="AJ1013" s="26">
        <f>X1013</f>
        <v>20.591062000000001</v>
      </c>
      <c r="AK1013" s="26">
        <f>AA1013</f>
        <v>14.6867372</v>
      </c>
      <c r="AL1013" s="57">
        <f>N1013</f>
        <v>857</v>
      </c>
      <c r="AM1013" s="57">
        <f>R1013</f>
        <v>722</v>
      </c>
    </row>
    <row r="1014" spans="1:39" hidden="1" x14ac:dyDescent="0.3">
      <c r="A1014" s="37">
        <v>1010</v>
      </c>
      <c r="B1014" s="38" t="s">
        <v>521</v>
      </c>
      <c r="C1014" s="38" t="s">
        <v>332</v>
      </c>
      <c r="D1014" s="38" t="s">
        <v>528</v>
      </c>
      <c r="E1014" s="38" t="s">
        <v>341</v>
      </c>
      <c r="F1014" s="47" t="s">
        <v>519</v>
      </c>
      <c r="G1014" s="40"/>
      <c r="H1014" s="40"/>
      <c r="I1014" s="40"/>
      <c r="J1014" s="40"/>
      <c r="K1014" s="40"/>
      <c r="L1014" s="40"/>
      <c r="M1014" s="40"/>
      <c r="N1014" s="40"/>
      <c r="O1014" s="40">
        <v>703</v>
      </c>
      <c r="P1014" s="40">
        <v>515</v>
      </c>
      <c r="Q1014" s="40">
        <v>111</v>
      </c>
      <c r="R1014" s="40">
        <v>77</v>
      </c>
      <c r="S1014" s="41"/>
      <c r="T1014" s="41"/>
      <c r="U1014" s="41"/>
      <c r="V1014" s="41"/>
      <c r="W1014" s="41"/>
      <c r="X1014" s="41"/>
      <c r="Y1014" s="41">
        <v>73.257468000000003</v>
      </c>
      <c r="Z1014" s="41">
        <v>15.7894737</v>
      </c>
      <c r="AA1014" s="41">
        <v>10.9530583</v>
      </c>
    </row>
    <row r="1015" spans="1:39" hidden="1" x14ac:dyDescent="0.3">
      <c r="A1015" s="37">
        <v>1011</v>
      </c>
      <c r="B1015" s="38" t="s">
        <v>521</v>
      </c>
      <c r="C1015" s="38" t="s">
        <v>332</v>
      </c>
      <c r="D1015" s="38" t="s">
        <v>528</v>
      </c>
      <c r="E1015" s="38" t="s">
        <v>341</v>
      </c>
      <c r="F1015" s="47" t="s">
        <v>520</v>
      </c>
      <c r="G1015" s="40">
        <v>2796</v>
      </c>
      <c r="H1015" s="40">
        <v>1154</v>
      </c>
      <c r="I1015" s="40">
        <v>584</v>
      </c>
      <c r="J1015" s="40">
        <v>1058</v>
      </c>
      <c r="K1015" s="40">
        <v>4162</v>
      </c>
      <c r="L1015" s="40">
        <v>2431</v>
      </c>
      <c r="M1015" s="40">
        <v>874</v>
      </c>
      <c r="N1015" s="40">
        <v>857</v>
      </c>
      <c r="O1015" s="40">
        <v>4213</v>
      </c>
      <c r="P1015" s="40">
        <v>2865</v>
      </c>
      <c r="Q1015" s="40">
        <v>703</v>
      </c>
      <c r="R1015" s="40">
        <v>645</v>
      </c>
      <c r="S1015" s="41">
        <v>41.273247499999997</v>
      </c>
      <c r="T1015" s="41">
        <v>20.8869814</v>
      </c>
      <c r="U1015" s="41">
        <v>37.8397711</v>
      </c>
      <c r="V1015" s="41">
        <v>58.409418500000001</v>
      </c>
      <c r="W1015" s="41">
        <v>20.999519500000002</v>
      </c>
      <c r="X1015" s="41">
        <v>20.591062000000001</v>
      </c>
      <c r="Y1015" s="41">
        <v>68.003797800000001</v>
      </c>
      <c r="Z1015" s="41">
        <v>16.686446700000001</v>
      </c>
      <c r="AA1015" s="41">
        <v>15.3097555</v>
      </c>
    </row>
    <row r="1016" spans="1:39" hidden="1" x14ac:dyDescent="0.3">
      <c r="A1016" s="42">
        <v>1012</v>
      </c>
      <c r="B1016" s="43" t="s">
        <v>521</v>
      </c>
      <c r="C1016" s="50" t="s">
        <v>332</v>
      </c>
      <c r="D1016" s="50" t="s">
        <v>528</v>
      </c>
      <c r="E1016" s="50" t="s">
        <v>343</v>
      </c>
      <c r="F1016" s="51" t="s">
        <v>343</v>
      </c>
      <c r="G1016" s="45">
        <v>1251</v>
      </c>
      <c r="H1016" s="45">
        <v>516</v>
      </c>
      <c r="I1016" s="45">
        <v>217</v>
      </c>
      <c r="J1016" s="45">
        <v>518</v>
      </c>
      <c r="K1016" s="45">
        <v>1484</v>
      </c>
      <c r="L1016" s="45">
        <v>797</v>
      </c>
      <c r="M1016" s="45">
        <v>300</v>
      </c>
      <c r="N1016" s="45">
        <v>387</v>
      </c>
      <c r="O1016" s="45">
        <v>1530</v>
      </c>
      <c r="P1016" s="45">
        <v>1007</v>
      </c>
      <c r="Q1016" s="45">
        <v>247</v>
      </c>
      <c r="R1016" s="45">
        <v>276</v>
      </c>
      <c r="S1016" s="46">
        <v>41.2470024</v>
      </c>
      <c r="T1016" s="46">
        <v>17.3461231</v>
      </c>
      <c r="U1016" s="46">
        <v>41.406874500000001</v>
      </c>
      <c r="V1016" s="46">
        <v>53.706199499999997</v>
      </c>
      <c r="W1016" s="46">
        <v>20.215633400000002</v>
      </c>
      <c r="X1016" s="46">
        <v>26.078167100000002</v>
      </c>
      <c r="Y1016" s="46">
        <v>65.816993499999995</v>
      </c>
      <c r="Z1016" s="46">
        <v>16.143790800000001</v>
      </c>
      <c r="AA1016" s="46">
        <v>18.0392157</v>
      </c>
      <c r="AB1016" s="26">
        <f>SUM(W1016:X1016)</f>
        <v>46.293800500000003</v>
      </c>
      <c r="AC1016" s="26">
        <f>SUM(Z1016:AA1016)</f>
        <v>34.183006500000005</v>
      </c>
      <c r="AD1016" s="57">
        <f>M1016+N1016</f>
        <v>687</v>
      </c>
      <c r="AE1016" s="57">
        <f>Q1016+R1016</f>
        <v>523</v>
      </c>
      <c r="AF1016" s="26">
        <f>W1016</f>
        <v>20.215633400000002</v>
      </c>
      <c r="AG1016" s="26">
        <f>Z1016</f>
        <v>16.143790800000001</v>
      </c>
      <c r="AH1016" s="26">
        <f>M1016</f>
        <v>300</v>
      </c>
      <c r="AI1016" s="26">
        <f>Q1016</f>
        <v>247</v>
      </c>
      <c r="AJ1016" s="26">
        <f>X1016</f>
        <v>26.078167100000002</v>
      </c>
      <c r="AK1016" s="26">
        <f>AA1016</f>
        <v>18.0392157</v>
      </c>
      <c r="AL1016" s="57">
        <f>N1016</f>
        <v>387</v>
      </c>
      <c r="AM1016" s="57">
        <f>R1016</f>
        <v>276</v>
      </c>
    </row>
    <row r="1017" spans="1:39" hidden="1" x14ac:dyDescent="0.3">
      <c r="A1017" s="37">
        <v>1013</v>
      </c>
      <c r="B1017" s="38" t="s">
        <v>521</v>
      </c>
      <c r="C1017" s="38" t="s">
        <v>332</v>
      </c>
      <c r="D1017" s="38" t="s">
        <v>528</v>
      </c>
      <c r="E1017" s="38" t="s">
        <v>343</v>
      </c>
      <c r="F1017" s="47" t="s">
        <v>519</v>
      </c>
      <c r="G1017" s="40"/>
      <c r="H1017" s="40"/>
      <c r="I1017" s="40"/>
      <c r="J1017" s="40"/>
      <c r="K1017" s="40"/>
      <c r="L1017" s="40"/>
      <c r="M1017" s="40"/>
      <c r="N1017" s="40"/>
      <c r="O1017" s="40"/>
      <c r="P1017" s="40"/>
      <c r="Q1017" s="40"/>
      <c r="R1017" s="40"/>
      <c r="S1017" s="41"/>
      <c r="T1017" s="41"/>
      <c r="U1017" s="41"/>
      <c r="V1017" s="41"/>
      <c r="W1017" s="41"/>
      <c r="X1017" s="41"/>
      <c r="Y1017" s="41"/>
      <c r="Z1017" s="41"/>
      <c r="AA1017" s="41"/>
    </row>
    <row r="1018" spans="1:39" hidden="1" x14ac:dyDescent="0.3">
      <c r="A1018" s="37">
        <v>1014</v>
      </c>
      <c r="B1018" s="38" t="s">
        <v>521</v>
      </c>
      <c r="C1018" s="38" t="s">
        <v>332</v>
      </c>
      <c r="D1018" s="38" t="s">
        <v>528</v>
      </c>
      <c r="E1018" s="38" t="s">
        <v>343</v>
      </c>
      <c r="F1018" s="47" t="s">
        <v>520</v>
      </c>
      <c r="G1018" s="40">
        <v>1251</v>
      </c>
      <c r="H1018" s="40">
        <v>516</v>
      </c>
      <c r="I1018" s="40">
        <v>217</v>
      </c>
      <c r="J1018" s="40">
        <v>518</v>
      </c>
      <c r="K1018" s="40">
        <v>1484</v>
      </c>
      <c r="L1018" s="40">
        <v>797</v>
      </c>
      <c r="M1018" s="40">
        <v>300</v>
      </c>
      <c r="N1018" s="40">
        <v>387</v>
      </c>
      <c r="O1018" s="40">
        <v>1530</v>
      </c>
      <c r="P1018" s="40">
        <v>1007</v>
      </c>
      <c r="Q1018" s="40">
        <v>247</v>
      </c>
      <c r="R1018" s="40">
        <v>276</v>
      </c>
      <c r="S1018" s="41">
        <v>41.2470024</v>
      </c>
      <c r="T1018" s="41">
        <v>17.3461231</v>
      </c>
      <c r="U1018" s="41">
        <v>41.406874500000001</v>
      </c>
      <c r="V1018" s="41">
        <v>53.706199499999997</v>
      </c>
      <c r="W1018" s="41">
        <v>20.215633400000002</v>
      </c>
      <c r="X1018" s="41">
        <v>26.078167100000002</v>
      </c>
      <c r="Y1018" s="41">
        <v>65.816993499999995</v>
      </c>
      <c r="Z1018" s="41">
        <v>16.143790800000001</v>
      </c>
      <c r="AA1018" s="41">
        <v>18.0392157</v>
      </c>
    </row>
    <row r="1019" spans="1:39" hidden="1" x14ac:dyDescent="0.3">
      <c r="A1019" s="32">
        <v>1015</v>
      </c>
      <c r="B1019" s="33" t="s">
        <v>1</v>
      </c>
      <c r="C1019" s="49" t="s">
        <v>332</v>
      </c>
      <c r="D1019" s="49" t="s">
        <v>344</v>
      </c>
      <c r="E1019" s="49"/>
      <c r="F1019" s="34" t="s">
        <v>344</v>
      </c>
      <c r="G1019" s="35">
        <v>6917</v>
      </c>
      <c r="H1019" s="35">
        <v>2669</v>
      </c>
      <c r="I1019" s="35">
        <v>1539</v>
      </c>
      <c r="J1019" s="35">
        <v>2709</v>
      </c>
      <c r="K1019" s="35">
        <v>9737</v>
      </c>
      <c r="L1019" s="35">
        <v>5779</v>
      </c>
      <c r="M1019" s="35">
        <v>1948</v>
      </c>
      <c r="N1019" s="35">
        <v>2010</v>
      </c>
      <c r="O1019" s="35">
        <v>12576</v>
      </c>
      <c r="P1019" s="35">
        <v>9075</v>
      </c>
      <c r="Q1019" s="35">
        <v>1841</v>
      </c>
      <c r="R1019" s="35">
        <v>1660</v>
      </c>
      <c r="S1019" s="36">
        <v>38.586092200000003</v>
      </c>
      <c r="T1019" s="36">
        <v>22.249530100000001</v>
      </c>
      <c r="U1019" s="36">
        <v>39.164377600000002</v>
      </c>
      <c r="V1019" s="36">
        <v>59.350929399999998</v>
      </c>
      <c r="W1019" s="36">
        <v>20.006162100000001</v>
      </c>
      <c r="X1019" s="36">
        <v>20.642908500000001</v>
      </c>
      <c r="Y1019" s="36">
        <v>72.1612595</v>
      </c>
      <c r="Z1019" s="36">
        <v>14.6389949</v>
      </c>
      <c r="AA1019" s="36">
        <v>13.199745500000001</v>
      </c>
    </row>
    <row r="1020" spans="1:39" hidden="1" x14ac:dyDescent="0.3">
      <c r="A1020" s="37">
        <v>1016</v>
      </c>
      <c r="B1020" s="38" t="s">
        <v>1</v>
      </c>
      <c r="C1020" s="38" t="s">
        <v>332</v>
      </c>
      <c r="D1020" s="38" t="s">
        <v>344</v>
      </c>
      <c r="E1020" s="38"/>
      <c r="F1020" s="39" t="s">
        <v>519</v>
      </c>
      <c r="G1020" s="40">
        <v>659</v>
      </c>
      <c r="H1020" s="40">
        <v>391</v>
      </c>
      <c r="I1020" s="40">
        <v>145</v>
      </c>
      <c r="J1020" s="40">
        <v>123</v>
      </c>
      <c r="K1020" s="40">
        <v>874</v>
      </c>
      <c r="L1020" s="40">
        <v>624</v>
      </c>
      <c r="M1020" s="40">
        <v>148</v>
      </c>
      <c r="N1020" s="40">
        <v>102</v>
      </c>
      <c r="O1020" s="40">
        <v>1762</v>
      </c>
      <c r="P1020" s="40">
        <v>1370</v>
      </c>
      <c r="Q1020" s="40">
        <v>201</v>
      </c>
      <c r="R1020" s="40">
        <v>191</v>
      </c>
      <c r="S1020" s="41">
        <v>59.332321700000001</v>
      </c>
      <c r="T1020" s="41">
        <v>22.003034899999999</v>
      </c>
      <c r="U1020" s="41">
        <v>18.664643399999999</v>
      </c>
      <c r="V1020" s="41">
        <v>71.395881000000003</v>
      </c>
      <c r="W1020" s="41">
        <v>16.9336384</v>
      </c>
      <c r="X1020" s="41">
        <v>11.6704805</v>
      </c>
      <c r="Y1020" s="41">
        <v>77.752553899999995</v>
      </c>
      <c r="Z1020" s="41">
        <v>11.407491500000001</v>
      </c>
      <c r="AA1020" s="41">
        <v>10.8399546</v>
      </c>
    </row>
    <row r="1021" spans="1:39" hidden="1" x14ac:dyDescent="0.3">
      <c r="A1021" s="37">
        <v>1017</v>
      </c>
      <c r="B1021" s="38" t="s">
        <v>1</v>
      </c>
      <c r="C1021" s="38" t="s">
        <v>332</v>
      </c>
      <c r="D1021" s="38" t="s">
        <v>344</v>
      </c>
      <c r="E1021" s="38"/>
      <c r="F1021" s="39" t="s">
        <v>520</v>
      </c>
      <c r="G1021" s="40">
        <v>6258</v>
      </c>
      <c r="H1021" s="40">
        <v>2278</v>
      </c>
      <c r="I1021" s="40">
        <v>1394</v>
      </c>
      <c r="J1021" s="40">
        <v>2586</v>
      </c>
      <c r="K1021" s="40">
        <v>8863</v>
      </c>
      <c r="L1021" s="40">
        <v>5155</v>
      </c>
      <c r="M1021" s="40">
        <v>1800</v>
      </c>
      <c r="N1021" s="40">
        <v>1908</v>
      </c>
      <c r="O1021" s="40">
        <v>10814</v>
      </c>
      <c r="P1021" s="40">
        <v>7705</v>
      </c>
      <c r="Q1021" s="40">
        <v>1640</v>
      </c>
      <c r="R1021" s="40">
        <v>1469</v>
      </c>
      <c r="S1021" s="41">
        <v>36.401406199999997</v>
      </c>
      <c r="T1021" s="41">
        <v>22.275487399999999</v>
      </c>
      <c r="U1021" s="41">
        <v>41.3231064</v>
      </c>
      <c r="V1021" s="41">
        <v>58.163150199999997</v>
      </c>
      <c r="W1021" s="41">
        <v>20.3091504</v>
      </c>
      <c r="X1021" s="41">
        <v>21.527699399999999</v>
      </c>
      <c r="Y1021" s="41">
        <v>71.250231200000002</v>
      </c>
      <c r="Z1021" s="41">
        <v>15.1655262</v>
      </c>
      <c r="AA1021" s="41">
        <v>13.5842426</v>
      </c>
    </row>
    <row r="1022" spans="1:39" hidden="1" x14ac:dyDescent="0.3">
      <c r="A1022" s="42">
        <v>1018</v>
      </c>
      <c r="B1022" s="43" t="s">
        <v>521</v>
      </c>
      <c r="C1022" s="50" t="s">
        <v>332</v>
      </c>
      <c r="D1022" s="50" t="s">
        <v>344</v>
      </c>
      <c r="E1022" s="50" t="s">
        <v>345</v>
      </c>
      <c r="F1022" s="51" t="s">
        <v>345</v>
      </c>
      <c r="G1022" s="45">
        <v>4517</v>
      </c>
      <c r="H1022" s="45">
        <v>1803</v>
      </c>
      <c r="I1022" s="45">
        <v>1025</v>
      </c>
      <c r="J1022" s="45">
        <v>1689</v>
      </c>
      <c r="K1022" s="45">
        <v>6484</v>
      </c>
      <c r="L1022" s="45">
        <v>3941</v>
      </c>
      <c r="M1022" s="45">
        <v>1231</v>
      </c>
      <c r="N1022" s="45">
        <v>1312</v>
      </c>
      <c r="O1022" s="45">
        <v>9336</v>
      </c>
      <c r="P1022" s="45">
        <v>6737</v>
      </c>
      <c r="Q1022" s="45">
        <v>1342</v>
      </c>
      <c r="R1022" s="45">
        <v>1257</v>
      </c>
      <c r="S1022" s="46">
        <v>39.915873400000002</v>
      </c>
      <c r="T1022" s="46">
        <v>22.692052199999999</v>
      </c>
      <c r="U1022" s="46">
        <v>37.392074399999998</v>
      </c>
      <c r="V1022" s="46">
        <v>60.780382500000002</v>
      </c>
      <c r="W1022" s="46">
        <v>18.9851943</v>
      </c>
      <c r="X1022" s="46">
        <v>20.234423199999998</v>
      </c>
      <c r="Y1022" s="46">
        <v>72.161525299999994</v>
      </c>
      <c r="Z1022" s="46">
        <v>14.374464400000001</v>
      </c>
      <c r="AA1022" s="46">
        <v>13.4640103</v>
      </c>
      <c r="AB1022" s="26">
        <f>SUM(W1022:X1022)</f>
        <v>39.219617499999998</v>
      </c>
      <c r="AC1022" s="26">
        <f>SUM(Z1022:AA1022)</f>
        <v>27.838474699999999</v>
      </c>
      <c r="AD1022" s="57">
        <f>M1022+N1022</f>
        <v>2543</v>
      </c>
      <c r="AE1022" s="57">
        <f>Q1022+R1022</f>
        <v>2599</v>
      </c>
      <c r="AF1022" s="26">
        <f>W1022</f>
        <v>18.9851943</v>
      </c>
      <c r="AG1022" s="26">
        <f>Z1022</f>
        <v>14.374464400000001</v>
      </c>
      <c r="AH1022" s="26">
        <f>M1022</f>
        <v>1231</v>
      </c>
      <c r="AI1022" s="26">
        <f>Q1022</f>
        <v>1342</v>
      </c>
      <c r="AJ1022" s="26">
        <f>X1022</f>
        <v>20.234423199999998</v>
      </c>
      <c r="AK1022" s="26">
        <f>AA1022</f>
        <v>13.4640103</v>
      </c>
      <c r="AL1022" s="57">
        <f>N1022</f>
        <v>1312</v>
      </c>
      <c r="AM1022" s="57">
        <f>R1022</f>
        <v>1257</v>
      </c>
    </row>
    <row r="1023" spans="1:39" hidden="1" x14ac:dyDescent="0.3">
      <c r="A1023" s="37">
        <v>1019</v>
      </c>
      <c r="B1023" s="38" t="s">
        <v>521</v>
      </c>
      <c r="C1023" s="38" t="s">
        <v>332</v>
      </c>
      <c r="D1023" s="38" t="s">
        <v>344</v>
      </c>
      <c r="E1023" s="38" t="s">
        <v>345</v>
      </c>
      <c r="F1023" s="47" t="s">
        <v>519</v>
      </c>
      <c r="G1023" s="40">
        <v>659</v>
      </c>
      <c r="H1023" s="40">
        <v>391</v>
      </c>
      <c r="I1023" s="40">
        <v>145</v>
      </c>
      <c r="J1023" s="40">
        <v>123</v>
      </c>
      <c r="K1023" s="40">
        <v>874</v>
      </c>
      <c r="L1023" s="40">
        <v>624</v>
      </c>
      <c r="M1023" s="40">
        <v>148</v>
      </c>
      <c r="N1023" s="40">
        <v>102</v>
      </c>
      <c r="O1023" s="40">
        <v>1762</v>
      </c>
      <c r="P1023" s="40">
        <v>1370</v>
      </c>
      <c r="Q1023" s="40">
        <v>201</v>
      </c>
      <c r="R1023" s="40">
        <v>191</v>
      </c>
      <c r="S1023" s="41">
        <v>59.332321700000001</v>
      </c>
      <c r="T1023" s="41">
        <v>22.003034899999999</v>
      </c>
      <c r="U1023" s="41">
        <v>18.664643399999999</v>
      </c>
      <c r="V1023" s="41">
        <v>71.395881000000003</v>
      </c>
      <c r="W1023" s="41">
        <v>16.9336384</v>
      </c>
      <c r="X1023" s="41">
        <v>11.6704805</v>
      </c>
      <c r="Y1023" s="41">
        <v>77.752553899999995</v>
      </c>
      <c r="Z1023" s="41">
        <v>11.407491500000001</v>
      </c>
      <c r="AA1023" s="41">
        <v>10.8399546</v>
      </c>
    </row>
    <row r="1024" spans="1:39" hidden="1" x14ac:dyDescent="0.3">
      <c r="A1024" s="37">
        <v>1020</v>
      </c>
      <c r="B1024" s="38" t="s">
        <v>521</v>
      </c>
      <c r="C1024" s="38" t="s">
        <v>332</v>
      </c>
      <c r="D1024" s="38" t="s">
        <v>344</v>
      </c>
      <c r="E1024" s="38" t="s">
        <v>345</v>
      </c>
      <c r="F1024" s="47" t="s">
        <v>520</v>
      </c>
      <c r="G1024" s="40">
        <v>3858</v>
      </c>
      <c r="H1024" s="40">
        <v>1412</v>
      </c>
      <c r="I1024" s="40">
        <v>880</v>
      </c>
      <c r="J1024" s="40">
        <v>1566</v>
      </c>
      <c r="K1024" s="40">
        <v>5610</v>
      </c>
      <c r="L1024" s="40">
        <v>3317</v>
      </c>
      <c r="M1024" s="40">
        <v>1083</v>
      </c>
      <c r="N1024" s="40">
        <v>1210</v>
      </c>
      <c r="O1024" s="40">
        <v>7574</v>
      </c>
      <c r="P1024" s="40">
        <v>5367</v>
      </c>
      <c r="Q1024" s="40">
        <v>1141</v>
      </c>
      <c r="R1024" s="40">
        <v>1066</v>
      </c>
      <c r="S1024" s="41">
        <v>36.599274200000004</v>
      </c>
      <c r="T1024" s="41">
        <v>22.809746000000001</v>
      </c>
      <c r="U1024" s="41">
        <v>40.590979799999999</v>
      </c>
      <c r="V1024" s="41">
        <v>59.126559700000001</v>
      </c>
      <c r="W1024" s="41">
        <v>19.304812800000001</v>
      </c>
      <c r="X1024" s="41">
        <v>21.568627500000002</v>
      </c>
      <c r="Y1024" s="41">
        <v>70.8608397</v>
      </c>
      <c r="Z1024" s="41">
        <v>15.064695</v>
      </c>
      <c r="AA1024" s="41">
        <v>14.0744653</v>
      </c>
    </row>
    <row r="1025" spans="1:39" hidden="1" x14ac:dyDescent="0.3">
      <c r="A1025" s="42">
        <v>1021</v>
      </c>
      <c r="B1025" s="43" t="s">
        <v>521</v>
      </c>
      <c r="C1025" s="50" t="s">
        <v>332</v>
      </c>
      <c r="D1025" s="50" t="s">
        <v>344</v>
      </c>
      <c r="E1025" s="50" t="s">
        <v>347</v>
      </c>
      <c r="F1025" s="51" t="s">
        <v>347</v>
      </c>
      <c r="G1025" s="45">
        <v>2400</v>
      </c>
      <c r="H1025" s="45">
        <v>866</v>
      </c>
      <c r="I1025" s="45">
        <v>514</v>
      </c>
      <c r="J1025" s="45">
        <v>1020</v>
      </c>
      <c r="K1025" s="45">
        <v>3253</v>
      </c>
      <c r="L1025" s="45">
        <v>1838</v>
      </c>
      <c r="M1025" s="45">
        <v>717</v>
      </c>
      <c r="N1025" s="45">
        <v>698</v>
      </c>
      <c r="O1025" s="45">
        <v>3240</v>
      </c>
      <c r="P1025" s="45">
        <v>2338</v>
      </c>
      <c r="Q1025" s="45">
        <v>499</v>
      </c>
      <c r="R1025" s="45">
        <v>403</v>
      </c>
      <c r="S1025" s="46">
        <v>36.0833333</v>
      </c>
      <c r="T1025" s="46">
        <v>21.4166667</v>
      </c>
      <c r="U1025" s="46">
        <v>42.5</v>
      </c>
      <c r="V1025" s="46">
        <v>56.501690699999997</v>
      </c>
      <c r="W1025" s="46">
        <v>22.0411927</v>
      </c>
      <c r="X1025" s="46">
        <v>21.457116500000001</v>
      </c>
      <c r="Y1025" s="46">
        <v>72.160493799999998</v>
      </c>
      <c r="Z1025" s="46">
        <v>15.4012346</v>
      </c>
      <c r="AA1025" s="46">
        <v>12.4382716</v>
      </c>
      <c r="AB1025" s="26">
        <f>SUM(W1025:X1025)</f>
        <v>43.498309200000001</v>
      </c>
      <c r="AC1025" s="26">
        <f>SUM(Z1025:AA1025)</f>
        <v>27.839506200000002</v>
      </c>
      <c r="AD1025" s="57">
        <f>M1025+N1025</f>
        <v>1415</v>
      </c>
      <c r="AE1025" s="57">
        <f>Q1025+R1025</f>
        <v>902</v>
      </c>
      <c r="AF1025" s="26">
        <f>W1025</f>
        <v>22.0411927</v>
      </c>
      <c r="AG1025" s="26">
        <f>Z1025</f>
        <v>15.4012346</v>
      </c>
      <c r="AH1025" s="26">
        <f>M1025</f>
        <v>717</v>
      </c>
      <c r="AI1025" s="26">
        <f>Q1025</f>
        <v>499</v>
      </c>
      <c r="AJ1025" s="26">
        <f>X1025</f>
        <v>21.457116500000001</v>
      </c>
      <c r="AK1025" s="26">
        <f>AA1025</f>
        <v>12.4382716</v>
      </c>
      <c r="AL1025" s="57">
        <f>N1025</f>
        <v>698</v>
      </c>
      <c r="AM1025" s="57">
        <f>R1025</f>
        <v>403</v>
      </c>
    </row>
    <row r="1026" spans="1:39" hidden="1" x14ac:dyDescent="0.3">
      <c r="A1026" s="37">
        <v>1022</v>
      </c>
      <c r="B1026" s="38" t="s">
        <v>521</v>
      </c>
      <c r="C1026" s="38" t="s">
        <v>332</v>
      </c>
      <c r="D1026" s="38" t="s">
        <v>344</v>
      </c>
      <c r="E1026" s="38" t="s">
        <v>347</v>
      </c>
      <c r="F1026" s="47" t="s">
        <v>519</v>
      </c>
      <c r="G1026" s="40"/>
      <c r="H1026" s="40"/>
      <c r="I1026" s="40"/>
      <c r="J1026" s="40"/>
      <c r="K1026" s="40"/>
      <c r="L1026" s="40"/>
      <c r="M1026" s="40"/>
      <c r="N1026" s="40"/>
      <c r="O1026" s="40"/>
      <c r="P1026" s="40"/>
      <c r="Q1026" s="40"/>
      <c r="R1026" s="40"/>
      <c r="S1026" s="41"/>
      <c r="T1026" s="41"/>
      <c r="U1026" s="41"/>
      <c r="V1026" s="41"/>
      <c r="W1026" s="41"/>
      <c r="X1026" s="41"/>
      <c r="Y1026" s="41"/>
      <c r="Z1026" s="41"/>
      <c r="AA1026" s="41"/>
    </row>
    <row r="1027" spans="1:39" hidden="1" x14ac:dyDescent="0.3">
      <c r="A1027" s="37">
        <v>1023</v>
      </c>
      <c r="B1027" s="38" t="s">
        <v>521</v>
      </c>
      <c r="C1027" s="38" t="s">
        <v>332</v>
      </c>
      <c r="D1027" s="38" t="s">
        <v>344</v>
      </c>
      <c r="E1027" s="38" t="s">
        <v>347</v>
      </c>
      <c r="F1027" s="47" t="s">
        <v>520</v>
      </c>
      <c r="G1027" s="40">
        <v>2400</v>
      </c>
      <c r="H1027" s="40">
        <v>866</v>
      </c>
      <c r="I1027" s="40">
        <v>514</v>
      </c>
      <c r="J1027" s="40">
        <v>1020</v>
      </c>
      <c r="K1027" s="40">
        <v>3253</v>
      </c>
      <c r="L1027" s="40">
        <v>1838</v>
      </c>
      <c r="M1027" s="40">
        <v>717</v>
      </c>
      <c r="N1027" s="40">
        <v>698</v>
      </c>
      <c r="O1027" s="40">
        <v>3240</v>
      </c>
      <c r="P1027" s="40">
        <v>2338</v>
      </c>
      <c r="Q1027" s="40">
        <v>499</v>
      </c>
      <c r="R1027" s="40">
        <v>403</v>
      </c>
      <c r="S1027" s="41">
        <v>36.0833333</v>
      </c>
      <c r="T1027" s="41">
        <v>21.4166667</v>
      </c>
      <c r="U1027" s="41">
        <v>42.5</v>
      </c>
      <c r="V1027" s="41">
        <v>56.501690699999997</v>
      </c>
      <c r="W1027" s="41">
        <v>22.0411927</v>
      </c>
      <c r="X1027" s="41">
        <v>21.457116500000001</v>
      </c>
      <c r="Y1027" s="41">
        <v>72.160493799999998</v>
      </c>
      <c r="Z1027" s="41">
        <v>15.4012346</v>
      </c>
      <c r="AA1027" s="41">
        <v>12.4382716</v>
      </c>
    </row>
    <row r="1028" spans="1:39" hidden="1" x14ac:dyDescent="0.3">
      <c r="A1028" s="32">
        <v>1024</v>
      </c>
      <c r="B1028" s="33" t="s">
        <v>1</v>
      </c>
      <c r="C1028" s="49" t="s">
        <v>332</v>
      </c>
      <c r="D1028" s="49" t="s">
        <v>348</v>
      </c>
      <c r="E1028" s="49"/>
      <c r="F1028" s="34" t="s">
        <v>348</v>
      </c>
      <c r="G1028" s="35">
        <v>3787</v>
      </c>
      <c r="H1028" s="35">
        <v>1347</v>
      </c>
      <c r="I1028" s="35">
        <v>773</v>
      </c>
      <c r="J1028" s="35">
        <v>1667</v>
      </c>
      <c r="K1028" s="35">
        <v>5415</v>
      </c>
      <c r="L1028" s="35">
        <v>3017</v>
      </c>
      <c r="M1028" s="35">
        <v>1078</v>
      </c>
      <c r="N1028" s="35">
        <v>1320</v>
      </c>
      <c r="O1028" s="35">
        <v>6216</v>
      </c>
      <c r="P1028" s="35">
        <v>4178</v>
      </c>
      <c r="Q1028" s="35">
        <v>1018</v>
      </c>
      <c r="R1028" s="35">
        <v>1020</v>
      </c>
      <c r="S1028" s="36">
        <v>35.569051999999999</v>
      </c>
      <c r="T1028" s="36">
        <v>20.4119356</v>
      </c>
      <c r="U1028" s="36">
        <v>44.019012400000001</v>
      </c>
      <c r="V1028" s="36">
        <v>55.715604800000001</v>
      </c>
      <c r="W1028" s="36">
        <v>19.907663899999999</v>
      </c>
      <c r="X1028" s="36">
        <v>24.376731299999999</v>
      </c>
      <c r="Y1028" s="36">
        <v>67.213642199999995</v>
      </c>
      <c r="Z1028" s="36">
        <v>16.377091400000001</v>
      </c>
      <c r="AA1028" s="36">
        <v>16.4092664</v>
      </c>
    </row>
    <row r="1029" spans="1:39" hidden="1" x14ac:dyDescent="0.3">
      <c r="A1029" s="37">
        <v>1025</v>
      </c>
      <c r="B1029" s="38" t="s">
        <v>1</v>
      </c>
      <c r="C1029" s="38" t="s">
        <v>332</v>
      </c>
      <c r="D1029" s="38" t="s">
        <v>348</v>
      </c>
      <c r="E1029" s="38"/>
      <c r="F1029" s="39" t="s">
        <v>519</v>
      </c>
      <c r="G1029" s="40">
        <v>569</v>
      </c>
      <c r="H1029" s="40">
        <v>297</v>
      </c>
      <c r="I1029" s="40">
        <v>114</v>
      </c>
      <c r="J1029" s="40">
        <v>158</v>
      </c>
      <c r="K1029" s="40">
        <v>1154</v>
      </c>
      <c r="L1029" s="40">
        <v>706</v>
      </c>
      <c r="M1029" s="40">
        <v>216</v>
      </c>
      <c r="N1029" s="40">
        <v>232</v>
      </c>
      <c r="O1029" s="40">
        <v>1292</v>
      </c>
      <c r="P1029" s="40">
        <v>941</v>
      </c>
      <c r="Q1029" s="40">
        <v>193</v>
      </c>
      <c r="R1029" s="40">
        <v>158</v>
      </c>
      <c r="S1029" s="41">
        <v>52.196836599999997</v>
      </c>
      <c r="T1029" s="41">
        <v>20.035149400000002</v>
      </c>
      <c r="U1029" s="41">
        <v>27.768014099999998</v>
      </c>
      <c r="V1029" s="41">
        <v>61.178509499999997</v>
      </c>
      <c r="W1029" s="41">
        <v>18.717504300000002</v>
      </c>
      <c r="X1029" s="41">
        <v>20.1039861</v>
      </c>
      <c r="Y1029" s="41">
        <v>72.832817300000002</v>
      </c>
      <c r="Z1029" s="41">
        <v>14.9380805</v>
      </c>
      <c r="AA1029" s="41">
        <v>12.2291022</v>
      </c>
    </row>
    <row r="1030" spans="1:39" hidden="1" x14ac:dyDescent="0.3">
      <c r="A1030" s="37">
        <v>1026</v>
      </c>
      <c r="B1030" s="38" t="s">
        <v>1</v>
      </c>
      <c r="C1030" s="38" t="s">
        <v>332</v>
      </c>
      <c r="D1030" s="38" t="s">
        <v>348</v>
      </c>
      <c r="E1030" s="38"/>
      <c r="F1030" s="39" t="s">
        <v>520</v>
      </c>
      <c r="G1030" s="40">
        <v>3218</v>
      </c>
      <c r="H1030" s="40">
        <v>1050</v>
      </c>
      <c r="I1030" s="40">
        <v>659</v>
      </c>
      <c r="J1030" s="40">
        <v>1509</v>
      </c>
      <c r="K1030" s="40">
        <v>4261</v>
      </c>
      <c r="L1030" s="40">
        <v>2311</v>
      </c>
      <c r="M1030" s="40">
        <v>862</v>
      </c>
      <c r="N1030" s="40">
        <v>1088</v>
      </c>
      <c r="O1030" s="40">
        <v>4924</v>
      </c>
      <c r="P1030" s="40">
        <v>3237</v>
      </c>
      <c r="Q1030" s="40">
        <v>825</v>
      </c>
      <c r="R1030" s="40">
        <v>862</v>
      </c>
      <c r="S1030" s="41">
        <v>32.628962100000003</v>
      </c>
      <c r="T1030" s="41">
        <v>20.478558100000001</v>
      </c>
      <c r="U1030" s="41">
        <v>46.892479799999997</v>
      </c>
      <c r="V1030" s="41">
        <v>54.236094799999996</v>
      </c>
      <c r="W1030" s="41">
        <v>20.229993</v>
      </c>
      <c r="X1030" s="41">
        <v>25.5339122</v>
      </c>
      <c r="Y1030" s="41">
        <v>65.739236399999996</v>
      </c>
      <c r="Z1030" s="41">
        <v>16.754670999999998</v>
      </c>
      <c r="AA1030" s="41">
        <v>17.506092599999999</v>
      </c>
    </row>
    <row r="1031" spans="1:39" hidden="1" x14ac:dyDescent="0.3">
      <c r="A1031" s="42">
        <v>1027</v>
      </c>
      <c r="B1031" s="43" t="s">
        <v>521</v>
      </c>
      <c r="C1031" s="50" t="s">
        <v>332</v>
      </c>
      <c r="D1031" s="50" t="s">
        <v>348</v>
      </c>
      <c r="E1031" s="50" t="s">
        <v>201</v>
      </c>
      <c r="F1031" s="51" t="s">
        <v>201</v>
      </c>
      <c r="G1031" s="45">
        <v>3787</v>
      </c>
      <c r="H1031" s="45">
        <v>1347</v>
      </c>
      <c r="I1031" s="45">
        <v>773</v>
      </c>
      <c r="J1031" s="45">
        <v>1667</v>
      </c>
      <c r="K1031" s="45">
        <v>5415</v>
      </c>
      <c r="L1031" s="45">
        <v>3017</v>
      </c>
      <c r="M1031" s="45">
        <v>1078</v>
      </c>
      <c r="N1031" s="45">
        <v>1320</v>
      </c>
      <c r="O1031" s="45">
        <v>6216</v>
      </c>
      <c r="P1031" s="45">
        <v>4178</v>
      </c>
      <c r="Q1031" s="45">
        <v>1018</v>
      </c>
      <c r="R1031" s="45">
        <v>1020</v>
      </c>
      <c r="S1031" s="46">
        <v>35.569051999999999</v>
      </c>
      <c r="T1031" s="46">
        <v>20.4119356</v>
      </c>
      <c r="U1031" s="46">
        <v>44.019012400000001</v>
      </c>
      <c r="V1031" s="46">
        <v>55.715604800000001</v>
      </c>
      <c r="W1031" s="46">
        <v>19.907663899999999</v>
      </c>
      <c r="X1031" s="46">
        <v>24.376731299999999</v>
      </c>
      <c r="Y1031" s="46">
        <v>67.213642199999995</v>
      </c>
      <c r="Z1031" s="46">
        <v>16.377091400000001</v>
      </c>
      <c r="AA1031" s="46">
        <v>16.4092664</v>
      </c>
      <c r="AB1031" s="26">
        <f>SUM(W1031:X1031)</f>
        <v>44.284395199999999</v>
      </c>
      <c r="AC1031" s="26">
        <f>SUM(Z1031:AA1031)</f>
        <v>32.786357800000005</v>
      </c>
      <c r="AD1031" s="57">
        <f>M1031+N1031</f>
        <v>2398</v>
      </c>
      <c r="AE1031" s="57">
        <f>Q1031+R1031</f>
        <v>2038</v>
      </c>
      <c r="AF1031" s="26">
        <f>W1031</f>
        <v>19.907663899999999</v>
      </c>
      <c r="AG1031" s="26">
        <f>Z1031</f>
        <v>16.377091400000001</v>
      </c>
      <c r="AH1031" s="26">
        <f>M1031</f>
        <v>1078</v>
      </c>
      <c r="AI1031" s="26">
        <f>Q1031</f>
        <v>1018</v>
      </c>
      <c r="AJ1031" s="26">
        <f>X1031</f>
        <v>24.376731299999999</v>
      </c>
      <c r="AK1031" s="26">
        <f>AA1031</f>
        <v>16.4092664</v>
      </c>
      <c r="AL1031" s="57">
        <f>N1031</f>
        <v>1320</v>
      </c>
      <c r="AM1031" s="57">
        <f>R1031</f>
        <v>1020</v>
      </c>
    </row>
    <row r="1032" spans="1:39" hidden="1" x14ac:dyDescent="0.3">
      <c r="A1032" s="37">
        <v>1028</v>
      </c>
      <c r="B1032" s="38" t="s">
        <v>521</v>
      </c>
      <c r="C1032" s="38" t="s">
        <v>332</v>
      </c>
      <c r="D1032" s="38" t="s">
        <v>348</v>
      </c>
      <c r="E1032" s="38" t="s">
        <v>201</v>
      </c>
      <c r="F1032" s="47" t="s">
        <v>519</v>
      </c>
      <c r="G1032" s="40">
        <v>569</v>
      </c>
      <c r="H1032" s="40">
        <v>297</v>
      </c>
      <c r="I1032" s="40">
        <v>114</v>
      </c>
      <c r="J1032" s="40">
        <v>158</v>
      </c>
      <c r="K1032" s="40">
        <v>1154</v>
      </c>
      <c r="L1032" s="40">
        <v>706</v>
      </c>
      <c r="M1032" s="40">
        <v>216</v>
      </c>
      <c r="N1032" s="40">
        <v>232</v>
      </c>
      <c r="O1032" s="40">
        <v>1292</v>
      </c>
      <c r="P1032" s="40">
        <v>941</v>
      </c>
      <c r="Q1032" s="40">
        <v>193</v>
      </c>
      <c r="R1032" s="40">
        <v>158</v>
      </c>
      <c r="S1032" s="41">
        <v>52.196836599999997</v>
      </c>
      <c r="T1032" s="41">
        <v>20.035149400000002</v>
      </c>
      <c r="U1032" s="41">
        <v>27.768014099999998</v>
      </c>
      <c r="V1032" s="41">
        <v>61.178509499999997</v>
      </c>
      <c r="W1032" s="41">
        <v>18.717504300000002</v>
      </c>
      <c r="X1032" s="41">
        <v>20.1039861</v>
      </c>
      <c r="Y1032" s="41">
        <v>72.832817300000002</v>
      </c>
      <c r="Z1032" s="41">
        <v>14.9380805</v>
      </c>
      <c r="AA1032" s="41">
        <v>12.2291022</v>
      </c>
    </row>
    <row r="1033" spans="1:39" hidden="1" x14ac:dyDescent="0.3">
      <c r="A1033" s="37">
        <v>1029</v>
      </c>
      <c r="B1033" s="38" t="s">
        <v>521</v>
      </c>
      <c r="C1033" s="38" t="s">
        <v>332</v>
      </c>
      <c r="D1033" s="38" t="s">
        <v>348</v>
      </c>
      <c r="E1033" s="38" t="s">
        <v>201</v>
      </c>
      <c r="F1033" s="47" t="s">
        <v>520</v>
      </c>
      <c r="G1033" s="40">
        <v>3218</v>
      </c>
      <c r="H1033" s="40">
        <v>1050</v>
      </c>
      <c r="I1033" s="40">
        <v>659</v>
      </c>
      <c r="J1033" s="40">
        <v>1509</v>
      </c>
      <c r="K1033" s="40">
        <v>4261</v>
      </c>
      <c r="L1033" s="40">
        <v>2311</v>
      </c>
      <c r="M1033" s="40">
        <v>862</v>
      </c>
      <c r="N1033" s="40">
        <v>1088</v>
      </c>
      <c r="O1033" s="40">
        <v>4924</v>
      </c>
      <c r="P1033" s="40">
        <v>3237</v>
      </c>
      <c r="Q1033" s="40">
        <v>825</v>
      </c>
      <c r="R1033" s="40">
        <v>862</v>
      </c>
      <c r="S1033" s="41">
        <v>32.628962100000003</v>
      </c>
      <c r="T1033" s="41">
        <v>20.478558100000001</v>
      </c>
      <c r="U1033" s="41">
        <v>46.892479799999997</v>
      </c>
      <c r="V1033" s="41">
        <v>54.236094799999996</v>
      </c>
      <c r="W1033" s="41">
        <v>20.229993</v>
      </c>
      <c r="X1033" s="41">
        <v>25.5339122</v>
      </c>
      <c r="Y1033" s="41">
        <v>65.739236399999996</v>
      </c>
      <c r="Z1033" s="41">
        <v>16.754670999999998</v>
      </c>
      <c r="AA1033" s="41">
        <v>17.506092599999999</v>
      </c>
    </row>
    <row r="1034" spans="1:39" x14ac:dyDescent="0.3">
      <c r="A1034" s="21">
        <v>1030</v>
      </c>
      <c r="B1034" s="22" t="s">
        <v>464</v>
      </c>
      <c r="C1034" s="22" t="s">
        <v>349</v>
      </c>
      <c r="D1034" s="22"/>
      <c r="E1034" s="22"/>
      <c r="F1034" s="23" t="s">
        <v>349</v>
      </c>
      <c r="G1034" s="24">
        <v>428653</v>
      </c>
      <c r="H1034" s="24">
        <v>187538</v>
      </c>
      <c r="I1034" s="24">
        <v>93484</v>
      </c>
      <c r="J1034" s="24">
        <v>147631</v>
      </c>
      <c r="K1034" s="24">
        <v>644854</v>
      </c>
      <c r="L1034" s="24">
        <v>373058</v>
      </c>
      <c r="M1034" s="24">
        <v>124645</v>
      </c>
      <c r="N1034" s="24">
        <v>147151</v>
      </c>
      <c r="O1034" s="24">
        <v>877257</v>
      </c>
      <c r="P1034" s="24">
        <v>595668</v>
      </c>
      <c r="Q1034" s="24">
        <v>136321</v>
      </c>
      <c r="R1034" s="24">
        <v>145268</v>
      </c>
      <c r="S1034" s="25">
        <v>43.750539500000002</v>
      </c>
      <c r="T1034" s="25">
        <v>21.808782399999998</v>
      </c>
      <c r="U1034" s="25">
        <v>34.4406781</v>
      </c>
      <c r="V1034" s="25">
        <v>57.851544699999998</v>
      </c>
      <c r="W1034" s="25">
        <v>19.329181500000001</v>
      </c>
      <c r="X1034" s="25">
        <v>22.819273800000001</v>
      </c>
      <c r="Y1034" s="25">
        <v>67.901196600000006</v>
      </c>
      <c r="Z1034" s="25">
        <v>15.539459900000001</v>
      </c>
      <c r="AA1034" s="25">
        <v>16.559343500000001</v>
      </c>
      <c r="AC1034" s="26">
        <f>W1034+X1034</f>
        <v>42.148455300000002</v>
      </c>
      <c r="AD1034" s="26">
        <f>Z1034+AA1034</f>
        <v>32.098803400000001</v>
      </c>
      <c r="AE1034" s="57">
        <f>M1034+N1034</f>
        <v>271796</v>
      </c>
      <c r="AF1034" s="57">
        <f>Q1034+R1034</f>
        <v>281589</v>
      </c>
    </row>
    <row r="1035" spans="1:39" hidden="1" x14ac:dyDescent="0.3">
      <c r="A1035" s="27">
        <v>1031</v>
      </c>
      <c r="B1035" s="28" t="s">
        <v>464</v>
      </c>
      <c r="C1035" s="48" t="s">
        <v>349</v>
      </c>
      <c r="D1035" s="48"/>
      <c r="E1035" s="48"/>
      <c r="F1035" s="29" t="s">
        <v>519</v>
      </c>
      <c r="G1035" s="30">
        <v>334458</v>
      </c>
      <c r="H1035" s="30">
        <v>157054</v>
      </c>
      <c r="I1035" s="30">
        <v>75176</v>
      </c>
      <c r="J1035" s="30">
        <v>102228</v>
      </c>
      <c r="K1035" s="30">
        <v>529389</v>
      </c>
      <c r="L1035" s="30">
        <v>318456</v>
      </c>
      <c r="M1035" s="30">
        <v>102214</v>
      </c>
      <c r="N1035" s="30">
        <v>108719</v>
      </c>
      <c r="O1035" s="30">
        <v>718856</v>
      </c>
      <c r="P1035" s="30">
        <v>500874</v>
      </c>
      <c r="Q1035" s="30">
        <v>110353</v>
      </c>
      <c r="R1035" s="30">
        <v>107629</v>
      </c>
      <c r="S1035" s="31">
        <v>46.957764500000003</v>
      </c>
      <c r="T1035" s="31">
        <v>22.476962700000001</v>
      </c>
      <c r="U1035" s="31">
        <v>30.565272799999999</v>
      </c>
      <c r="V1035" s="31">
        <v>60.155386700000001</v>
      </c>
      <c r="W1035" s="31">
        <v>19.307919099999999</v>
      </c>
      <c r="X1035" s="31">
        <v>20.536694199999999</v>
      </c>
      <c r="Y1035" s="31">
        <v>69.676541599999993</v>
      </c>
      <c r="Z1035" s="31">
        <v>15.3511969</v>
      </c>
      <c r="AA1035" s="31">
        <v>14.9722615</v>
      </c>
    </row>
    <row r="1036" spans="1:39" hidden="1" x14ac:dyDescent="0.3">
      <c r="A1036" s="27">
        <v>1032</v>
      </c>
      <c r="B1036" s="28" t="s">
        <v>464</v>
      </c>
      <c r="C1036" s="48" t="s">
        <v>349</v>
      </c>
      <c r="D1036" s="48"/>
      <c r="E1036" s="48"/>
      <c r="F1036" s="29" t="s">
        <v>520</v>
      </c>
      <c r="G1036" s="30">
        <v>94195</v>
      </c>
      <c r="H1036" s="30">
        <v>30484</v>
      </c>
      <c r="I1036" s="30">
        <v>18308</v>
      </c>
      <c r="J1036" s="30">
        <v>45403</v>
      </c>
      <c r="K1036" s="30">
        <v>115465</v>
      </c>
      <c r="L1036" s="30">
        <v>54602</v>
      </c>
      <c r="M1036" s="30">
        <v>22431</v>
      </c>
      <c r="N1036" s="30">
        <v>38432</v>
      </c>
      <c r="O1036" s="30">
        <v>158401</v>
      </c>
      <c r="P1036" s="30">
        <v>94794</v>
      </c>
      <c r="Q1036" s="30">
        <v>25968</v>
      </c>
      <c r="R1036" s="30">
        <v>37639</v>
      </c>
      <c r="S1036" s="31">
        <v>32.362651900000003</v>
      </c>
      <c r="T1036" s="31">
        <v>19.436275800000001</v>
      </c>
      <c r="U1036" s="31">
        <v>48.201072199999999</v>
      </c>
      <c r="V1036" s="31">
        <v>47.288788799999999</v>
      </c>
      <c r="W1036" s="31">
        <v>19.426666099999998</v>
      </c>
      <c r="X1036" s="31">
        <v>33.284545100000003</v>
      </c>
      <c r="Y1036" s="31">
        <v>59.844319200000001</v>
      </c>
      <c r="Z1036" s="31">
        <v>16.393835899999999</v>
      </c>
      <c r="AA1036" s="31">
        <v>23.7618449</v>
      </c>
    </row>
    <row r="1037" spans="1:39" hidden="1" x14ac:dyDescent="0.3">
      <c r="A1037" s="32">
        <v>1033</v>
      </c>
      <c r="B1037" s="33" t="s">
        <v>1</v>
      </c>
      <c r="C1037" s="49" t="s">
        <v>349</v>
      </c>
      <c r="D1037" s="49" t="s">
        <v>350</v>
      </c>
      <c r="E1037" s="49"/>
      <c r="F1037" s="34" t="s">
        <v>350</v>
      </c>
      <c r="G1037" s="35">
        <v>277223</v>
      </c>
      <c r="H1037" s="35">
        <v>133191</v>
      </c>
      <c r="I1037" s="35">
        <v>61666</v>
      </c>
      <c r="J1037" s="35">
        <v>82366</v>
      </c>
      <c r="K1037" s="35">
        <v>410289</v>
      </c>
      <c r="L1037" s="35">
        <v>253738</v>
      </c>
      <c r="M1037" s="35">
        <v>77666</v>
      </c>
      <c r="N1037" s="35">
        <v>78885</v>
      </c>
      <c r="O1037" s="35">
        <v>544512</v>
      </c>
      <c r="P1037" s="35">
        <v>387685</v>
      </c>
      <c r="Q1037" s="35">
        <v>80097</v>
      </c>
      <c r="R1037" s="35">
        <v>76730</v>
      </c>
      <c r="S1037" s="36">
        <v>48.044714900000002</v>
      </c>
      <c r="T1037" s="36">
        <v>22.2441861</v>
      </c>
      <c r="U1037" s="36">
        <v>29.711099000000001</v>
      </c>
      <c r="V1037" s="36">
        <v>61.843724799999997</v>
      </c>
      <c r="W1037" s="36">
        <v>18.9295838</v>
      </c>
      <c r="X1037" s="36">
        <v>19.2266914</v>
      </c>
      <c r="Y1037" s="36">
        <v>71.198614500000005</v>
      </c>
      <c r="Z1037" s="36">
        <v>14.709868699999999</v>
      </c>
      <c r="AA1037" s="36">
        <v>14.091516800000001</v>
      </c>
    </row>
    <row r="1038" spans="1:39" hidden="1" x14ac:dyDescent="0.3">
      <c r="A1038" s="37">
        <v>1034</v>
      </c>
      <c r="B1038" s="38" t="s">
        <v>1</v>
      </c>
      <c r="C1038" s="38" t="s">
        <v>349</v>
      </c>
      <c r="D1038" s="38" t="s">
        <v>350</v>
      </c>
      <c r="E1038" s="38"/>
      <c r="F1038" s="39" t="s">
        <v>519</v>
      </c>
      <c r="G1038" s="40">
        <v>260442</v>
      </c>
      <c r="H1038" s="40">
        <v>127560</v>
      </c>
      <c r="I1038" s="40">
        <v>58200</v>
      </c>
      <c r="J1038" s="40">
        <v>74682</v>
      </c>
      <c r="K1038" s="40">
        <v>392949</v>
      </c>
      <c r="L1038" s="40">
        <v>245504</v>
      </c>
      <c r="M1038" s="40">
        <v>74016</v>
      </c>
      <c r="N1038" s="40">
        <v>73429</v>
      </c>
      <c r="O1038" s="40">
        <v>526832</v>
      </c>
      <c r="P1038" s="40">
        <v>376795</v>
      </c>
      <c r="Q1038" s="40">
        <v>77096</v>
      </c>
      <c r="R1038" s="40">
        <v>72941</v>
      </c>
      <c r="S1038" s="41">
        <v>48.978275400000001</v>
      </c>
      <c r="T1038" s="41">
        <v>22.346626100000002</v>
      </c>
      <c r="U1038" s="41">
        <v>28.675098500000001</v>
      </c>
      <c r="V1038" s="41">
        <v>62.4773189</v>
      </c>
      <c r="W1038" s="41">
        <v>18.836032199999998</v>
      </c>
      <c r="X1038" s="41">
        <v>18.686648900000002</v>
      </c>
      <c r="Y1038" s="41">
        <v>71.520902300000003</v>
      </c>
      <c r="Z1038" s="41">
        <v>14.633887100000001</v>
      </c>
      <c r="AA1038" s="41">
        <v>13.8452106</v>
      </c>
    </row>
    <row r="1039" spans="1:39" hidden="1" x14ac:dyDescent="0.3">
      <c r="A1039" s="37">
        <v>1035</v>
      </c>
      <c r="B1039" s="38" t="s">
        <v>1</v>
      </c>
      <c r="C1039" s="38" t="s">
        <v>349</v>
      </c>
      <c r="D1039" s="38" t="s">
        <v>350</v>
      </c>
      <c r="E1039" s="38"/>
      <c r="F1039" s="39" t="s">
        <v>520</v>
      </c>
      <c r="G1039" s="40">
        <v>16781</v>
      </c>
      <c r="H1039" s="40">
        <v>5631</v>
      </c>
      <c r="I1039" s="40">
        <v>3466</v>
      </c>
      <c r="J1039" s="40">
        <v>7684</v>
      </c>
      <c r="K1039" s="40">
        <v>17340</v>
      </c>
      <c r="L1039" s="40">
        <v>8234</v>
      </c>
      <c r="M1039" s="40">
        <v>3650</v>
      </c>
      <c r="N1039" s="40">
        <v>5456</v>
      </c>
      <c r="O1039" s="40">
        <v>17680</v>
      </c>
      <c r="P1039" s="40">
        <v>10890</v>
      </c>
      <c r="Q1039" s="40">
        <v>3001</v>
      </c>
      <c r="R1039" s="40">
        <v>3789</v>
      </c>
      <c r="S1039" s="41">
        <v>33.555807199999997</v>
      </c>
      <c r="T1039" s="41">
        <v>20.654311400000001</v>
      </c>
      <c r="U1039" s="41">
        <v>45.789881399999999</v>
      </c>
      <c r="V1039" s="41">
        <v>47.4855825</v>
      </c>
      <c r="W1039" s="41">
        <v>21.049596300000001</v>
      </c>
      <c r="X1039" s="41">
        <v>31.464821199999999</v>
      </c>
      <c r="Y1039" s="41">
        <v>61.5950226</v>
      </c>
      <c r="Z1039" s="41">
        <v>16.973981899999998</v>
      </c>
      <c r="AA1039" s="41">
        <v>21.430995500000002</v>
      </c>
    </row>
    <row r="1040" spans="1:39" hidden="1" x14ac:dyDescent="0.3">
      <c r="A1040" s="42">
        <v>1036</v>
      </c>
      <c r="B1040" s="43" t="s">
        <v>521</v>
      </c>
      <c r="C1040" s="50" t="s">
        <v>349</v>
      </c>
      <c r="D1040" s="50" t="s">
        <v>350</v>
      </c>
      <c r="E1040" s="50" t="s">
        <v>351</v>
      </c>
      <c r="F1040" s="51" t="s">
        <v>351</v>
      </c>
      <c r="G1040" s="45">
        <v>251342</v>
      </c>
      <c r="H1040" s="45">
        <v>124016</v>
      </c>
      <c r="I1040" s="45">
        <v>55711</v>
      </c>
      <c r="J1040" s="45">
        <v>71615</v>
      </c>
      <c r="K1040" s="45">
        <v>360441</v>
      </c>
      <c r="L1040" s="45">
        <v>227926</v>
      </c>
      <c r="M1040" s="45">
        <v>66839</v>
      </c>
      <c r="N1040" s="45">
        <v>65676</v>
      </c>
      <c r="O1040" s="45">
        <v>453158</v>
      </c>
      <c r="P1040" s="45">
        <v>327884</v>
      </c>
      <c r="Q1040" s="45">
        <v>64300</v>
      </c>
      <c r="R1040" s="45">
        <v>60974</v>
      </c>
      <c r="S1040" s="46">
        <v>49.341534600000003</v>
      </c>
      <c r="T1040" s="46">
        <v>22.165416</v>
      </c>
      <c r="U1040" s="46">
        <v>28.493049299999999</v>
      </c>
      <c r="V1040" s="46">
        <v>63.235314500000001</v>
      </c>
      <c r="W1040" s="46">
        <v>18.543672900000001</v>
      </c>
      <c r="X1040" s="46">
        <v>18.221012600000002</v>
      </c>
      <c r="Y1040" s="46">
        <v>72.355337399999996</v>
      </c>
      <c r="Z1040" s="46">
        <v>14.189311500000001</v>
      </c>
      <c r="AA1040" s="46">
        <v>13.4553511</v>
      </c>
      <c r="AB1040" s="26">
        <f>SUM(W1040:X1040)</f>
        <v>36.764685499999999</v>
      </c>
      <c r="AC1040" s="26">
        <f>SUM(Z1040:AA1040)</f>
        <v>27.6446626</v>
      </c>
      <c r="AD1040" s="57">
        <f>M1040+N1040</f>
        <v>132515</v>
      </c>
      <c r="AE1040" s="57">
        <f>Q1040+R1040</f>
        <v>125274</v>
      </c>
      <c r="AF1040" s="26">
        <f>W1040</f>
        <v>18.543672900000001</v>
      </c>
      <c r="AG1040" s="26">
        <f>Z1040</f>
        <v>14.189311500000001</v>
      </c>
      <c r="AH1040" s="26">
        <f>M1040</f>
        <v>66839</v>
      </c>
      <c r="AI1040" s="26">
        <f>Q1040</f>
        <v>64300</v>
      </c>
      <c r="AJ1040" s="26">
        <f>X1040</f>
        <v>18.221012600000002</v>
      </c>
      <c r="AK1040" s="26">
        <f>AA1040</f>
        <v>13.4553511</v>
      </c>
      <c r="AL1040" s="57">
        <f>N1040</f>
        <v>65676</v>
      </c>
      <c r="AM1040" s="57">
        <f>R1040</f>
        <v>60974</v>
      </c>
    </row>
    <row r="1041" spans="1:39" hidden="1" x14ac:dyDescent="0.3">
      <c r="A1041" s="37">
        <v>1037</v>
      </c>
      <c r="B1041" s="38" t="s">
        <v>521</v>
      </c>
      <c r="C1041" s="38" t="s">
        <v>349</v>
      </c>
      <c r="D1041" s="38" t="s">
        <v>350</v>
      </c>
      <c r="E1041" s="38" t="s">
        <v>351</v>
      </c>
      <c r="F1041" s="47" t="s">
        <v>519</v>
      </c>
      <c r="G1041" s="40">
        <v>247710</v>
      </c>
      <c r="H1041" s="40">
        <v>122808</v>
      </c>
      <c r="I1041" s="40">
        <v>55007</v>
      </c>
      <c r="J1041" s="40">
        <v>69895</v>
      </c>
      <c r="K1041" s="40">
        <v>357586</v>
      </c>
      <c r="L1041" s="40">
        <v>226439</v>
      </c>
      <c r="M1041" s="40">
        <v>66272</v>
      </c>
      <c r="N1041" s="40">
        <v>64875</v>
      </c>
      <c r="O1041" s="40">
        <v>450791</v>
      </c>
      <c r="P1041" s="40">
        <v>326641</v>
      </c>
      <c r="Q1041" s="40">
        <v>63813</v>
      </c>
      <c r="R1041" s="40">
        <v>60337</v>
      </c>
      <c r="S1041" s="41">
        <v>49.577328299999998</v>
      </c>
      <c r="T1041" s="41">
        <v>22.2062089</v>
      </c>
      <c r="U1041" s="41">
        <v>28.216462799999999</v>
      </c>
      <c r="V1041" s="41">
        <v>63.324347199999998</v>
      </c>
      <c r="W1041" s="41">
        <v>18.5331641</v>
      </c>
      <c r="X1041" s="41">
        <v>18.142488799999999</v>
      </c>
      <c r="Y1041" s="41">
        <v>72.459521199999998</v>
      </c>
      <c r="Z1041" s="41">
        <v>14.155783899999999</v>
      </c>
      <c r="AA1041" s="41">
        <v>13.3846949</v>
      </c>
    </row>
    <row r="1042" spans="1:39" hidden="1" x14ac:dyDescent="0.3">
      <c r="A1042" s="37">
        <v>1038</v>
      </c>
      <c r="B1042" s="38" t="s">
        <v>521</v>
      </c>
      <c r="C1042" s="38" t="s">
        <v>349</v>
      </c>
      <c r="D1042" s="38" t="s">
        <v>350</v>
      </c>
      <c r="E1042" s="38" t="s">
        <v>351</v>
      </c>
      <c r="F1042" s="47" t="s">
        <v>520</v>
      </c>
      <c r="G1042" s="40">
        <v>3632</v>
      </c>
      <c r="H1042" s="40">
        <v>1208</v>
      </c>
      <c r="I1042" s="40">
        <v>704</v>
      </c>
      <c r="J1042" s="40">
        <v>1720</v>
      </c>
      <c r="K1042" s="40">
        <v>2855</v>
      </c>
      <c r="L1042" s="40">
        <v>1487</v>
      </c>
      <c r="M1042" s="40">
        <v>567</v>
      </c>
      <c r="N1042" s="40">
        <v>801</v>
      </c>
      <c r="O1042" s="40">
        <v>2367</v>
      </c>
      <c r="P1042" s="40">
        <v>1243</v>
      </c>
      <c r="Q1042" s="40">
        <v>487</v>
      </c>
      <c r="R1042" s="40">
        <v>637</v>
      </c>
      <c r="S1042" s="41">
        <v>33.259911899999999</v>
      </c>
      <c r="T1042" s="41">
        <v>19.383259899999999</v>
      </c>
      <c r="U1042" s="41">
        <v>47.356828200000002</v>
      </c>
      <c r="V1042" s="41">
        <v>52.084063</v>
      </c>
      <c r="W1042" s="41">
        <v>19.8598949</v>
      </c>
      <c r="X1042" s="41">
        <v>28.056042000000001</v>
      </c>
      <c r="Y1042" s="41">
        <v>52.513730500000001</v>
      </c>
      <c r="Z1042" s="41">
        <v>20.574566999999998</v>
      </c>
      <c r="AA1042" s="41">
        <v>26.911702600000002</v>
      </c>
    </row>
    <row r="1043" spans="1:39" hidden="1" x14ac:dyDescent="0.3">
      <c r="A1043" s="42">
        <v>1039</v>
      </c>
      <c r="B1043" s="43" t="s">
        <v>521</v>
      </c>
      <c r="C1043" s="50" t="s">
        <v>349</v>
      </c>
      <c r="D1043" s="50" t="s">
        <v>350</v>
      </c>
      <c r="E1043" s="50" t="s">
        <v>352</v>
      </c>
      <c r="F1043" s="51" t="s">
        <v>352</v>
      </c>
      <c r="G1043" s="45">
        <v>7197</v>
      </c>
      <c r="H1043" s="45">
        <v>2401</v>
      </c>
      <c r="I1043" s="45">
        <v>1714</v>
      </c>
      <c r="J1043" s="45">
        <v>3082</v>
      </c>
      <c r="K1043" s="45">
        <v>12677</v>
      </c>
      <c r="L1043" s="45">
        <v>5996</v>
      </c>
      <c r="M1043" s="45">
        <v>2867</v>
      </c>
      <c r="N1043" s="45">
        <v>3814</v>
      </c>
      <c r="O1043" s="45">
        <v>27833</v>
      </c>
      <c r="P1043" s="45">
        <v>16454</v>
      </c>
      <c r="Q1043" s="45">
        <v>5336</v>
      </c>
      <c r="R1043" s="45">
        <v>6043</v>
      </c>
      <c r="S1043" s="46">
        <v>33.361122700000003</v>
      </c>
      <c r="T1043" s="46">
        <v>23.8154787</v>
      </c>
      <c r="U1043" s="46">
        <v>42.823398599999997</v>
      </c>
      <c r="V1043" s="46">
        <v>47.298256700000003</v>
      </c>
      <c r="W1043" s="46">
        <v>22.6157608</v>
      </c>
      <c r="X1043" s="46">
        <v>30.0859825</v>
      </c>
      <c r="Y1043" s="46">
        <v>59.116875700000001</v>
      </c>
      <c r="Z1043" s="46">
        <v>19.1714871</v>
      </c>
      <c r="AA1043" s="46">
        <v>21.7116373</v>
      </c>
      <c r="AB1043" s="26">
        <f>SUM(W1043:X1043)</f>
        <v>52.701743300000004</v>
      </c>
      <c r="AC1043" s="26">
        <f>SUM(Z1043:AA1043)</f>
        <v>40.8831244</v>
      </c>
      <c r="AD1043" s="57">
        <f>M1043+N1043</f>
        <v>6681</v>
      </c>
      <c r="AE1043" s="57">
        <f>Q1043+R1043</f>
        <v>11379</v>
      </c>
      <c r="AF1043" s="26">
        <f>W1043</f>
        <v>22.6157608</v>
      </c>
      <c r="AG1043" s="26">
        <f>Z1043</f>
        <v>19.1714871</v>
      </c>
      <c r="AH1043" s="26">
        <f>M1043</f>
        <v>2867</v>
      </c>
      <c r="AI1043" s="26">
        <f>Q1043</f>
        <v>5336</v>
      </c>
      <c r="AJ1043" s="26">
        <f>X1043</f>
        <v>30.0859825</v>
      </c>
      <c r="AK1043" s="26">
        <f>AA1043</f>
        <v>21.7116373</v>
      </c>
      <c r="AL1043" s="57">
        <f>N1043</f>
        <v>3814</v>
      </c>
      <c r="AM1043" s="57">
        <f>R1043</f>
        <v>6043</v>
      </c>
    </row>
    <row r="1044" spans="1:39" hidden="1" x14ac:dyDescent="0.3">
      <c r="A1044" s="37">
        <v>1040</v>
      </c>
      <c r="B1044" s="38" t="s">
        <v>521</v>
      </c>
      <c r="C1044" s="38" t="s">
        <v>349</v>
      </c>
      <c r="D1044" s="38" t="s">
        <v>350</v>
      </c>
      <c r="E1044" s="38" t="s">
        <v>352</v>
      </c>
      <c r="F1044" s="47" t="s">
        <v>519</v>
      </c>
      <c r="G1044" s="40">
        <v>3346</v>
      </c>
      <c r="H1044" s="40">
        <v>1194</v>
      </c>
      <c r="I1044" s="40">
        <v>807</v>
      </c>
      <c r="J1044" s="40">
        <v>1345</v>
      </c>
      <c r="K1044" s="40">
        <v>7746</v>
      </c>
      <c r="L1044" s="40">
        <v>3894</v>
      </c>
      <c r="M1044" s="40">
        <v>1719</v>
      </c>
      <c r="N1044" s="40">
        <v>2133</v>
      </c>
      <c r="O1044" s="40">
        <v>23514</v>
      </c>
      <c r="P1044" s="40">
        <v>14064</v>
      </c>
      <c r="Q1044" s="40">
        <v>4515</v>
      </c>
      <c r="R1044" s="40">
        <v>4935</v>
      </c>
      <c r="S1044" s="41">
        <v>35.684399300000003</v>
      </c>
      <c r="T1044" s="41">
        <v>24.118350299999999</v>
      </c>
      <c r="U1044" s="41">
        <v>40.197250400000001</v>
      </c>
      <c r="V1044" s="41">
        <v>50.271107700000002</v>
      </c>
      <c r="W1044" s="41">
        <v>22.1920991</v>
      </c>
      <c r="X1044" s="41">
        <v>27.536793200000002</v>
      </c>
      <c r="Y1044" s="41">
        <v>59.8111763</v>
      </c>
      <c r="Z1044" s="41">
        <v>19.201326900000002</v>
      </c>
      <c r="AA1044" s="41">
        <v>20.987496799999999</v>
      </c>
    </row>
    <row r="1045" spans="1:39" hidden="1" x14ac:dyDescent="0.3">
      <c r="A1045" s="37">
        <v>1041</v>
      </c>
      <c r="B1045" s="38" t="s">
        <v>521</v>
      </c>
      <c r="C1045" s="38" t="s">
        <v>349</v>
      </c>
      <c r="D1045" s="38" t="s">
        <v>350</v>
      </c>
      <c r="E1045" s="38" t="s">
        <v>352</v>
      </c>
      <c r="F1045" s="47" t="s">
        <v>520</v>
      </c>
      <c r="G1045" s="40">
        <v>3851</v>
      </c>
      <c r="H1045" s="40">
        <v>1207</v>
      </c>
      <c r="I1045" s="40">
        <v>907</v>
      </c>
      <c r="J1045" s="40">
        <v>1737</v>
      </c>
      <c r="K1045" s="40">
        <v>4931</v>
      </c>
      <c r="L1045" s="40">
        <v>2102</v>
      </c>
      <c r="M1045" s="40">
        <v>1148</v>
      </c>
      <c r="N1045" s="40">
        <v>1681</v>
      </c>
      <c r="O1045" s="40">
        <v>4319</v>
      </c>
      <c r="P1045" s="40">
        <v>2390</v>
      </c>
      <c r="Q1045" s="40">
        <v>821</v>
      </c>
      <c r="R1045" s="40">
        <v>1108</v>
      </c>
      <c r="S1045" s="41">
        <v>31.3425084</v>
      </c>
      <c r="T1045" s="41">
        <v>23.5523241</v>
      </c>
      <c r="U1045" s="41">
        <v>45.1051675</v>
      </c>
      <c r="V1045" s="41">
        <v>42.628270100000002</v>
      </c>
      <c r="W1045" s="41">
        <v>23.281281700000001</v>
      </c>
      <c r="X1045" s="41">
        <v>34.090448199999997</v>
      </c>
      <c r="Y1045" s="41">
        <v>55.336883499999999</v>
      </c>
      <c r="Z1045" s="41">
        <v>19.009029900000002</v>
      </c>
      <c r="AA1045" s="41">
        <v>25.654086599999999</v>
      </c>
    </row>
    <row r="1046" spans="1:39" hidden="1" x14ac:dyDescent="0.3">
      <c r="A1046" s="42">
        <v>1042</v>
      </c>
      <c r="B1046" s="43" t="s">
        <v>521</v>
      </c>
      <c r="C1046" s="50" t="s">
        <v>349</v>
      </c>
      <c r="D1046" s="50" t="s">
        <v>350</v>
      </c>
      <c r="E1046" s="50" t="s">
        <v>353</v>
      </c>
      <c r="F1046" s="51" t="s">
        <v>353</v>
      </c>
      <c r="G1046" s="45">
        <v>2360</v>
      </c>
      <c r="H1046" s="45">
        <v>874</v>
      </c>
      <c r="I1046" s="45">
        <v>467</v>
      </c>
      <c r="J1046" s="45">
        <v>1019</v>
      </c>
      <c r="K1046" s="45">
        <v>3622</v>
      </c>
      <c r="L1046" s="45">
        <v>1982</v>
      </c>
      <c r="M1046" s="45">
        <v>547</v>
      </c>
      <c r="N1046" s="45">
        <v>1093</v>
      </c>
      <c r="O1046" s="45">
        <v>6642</v>
      </c>
      <c r="P1046" s="45">
        <v>4959</v>
      </c>
      <c r="Q1046" s="45">
        <v>731</v>
      </c>
      <c r="R1046" s="45">
        <v>952</v>
      </c>
      <c r="S1046" s="46">
        <v>37.033898299999997</v>
      </c>
      <c r="T1046" s="46">
        <v>19.7881356</v>
      </c>
      <c r="U1046" s="46">
        <v>43.177966099999999</v>
      </c>
      <c r="V1046" s="46">
        <v>54.721148499999998</v>
      </c>
      <c r="W1046" s="46">
        <v>15.1021535</v>
      </c>
      <c r="X1046" s="46">
        <v>30.176697999999998</v>
      </c>
      <c r="Y1046" s="46">
        <v>74.661246599999998</v>
      </c>
      <c r="Z1046" s="46">
        <v>11.0057212</v>
      </c>
      <c r="AA1046" s="46">
        <v>14.3330322</v>
      </c>
      <c r="AB1046" s="26">
        <f>SUM(W1046:X1046)</f>
        <v>45.278851500000002</v>
      </c>
      <c r="AC1046" s="26">
        <f>SUM(Z1046:AA1046)</f>
        <v>25.338753400000002</v>
      </c>
      <c r="AD1046" s="57">
        <f>M1046+N1046</f>
        <v>1640</v>
      </c>
      <c r="AE1046" s="57">
        <f>Q1046+R1046</f>
        <v>1683</v>
      </c>
      <c r="AF1046" s="26">
        <f>W1046</f>
        <v>15.1021535</v>
      </c>
      <c r="AG1046" s="26">
        <f>Z1046</f>
        <v>11.0057212</v>
      </c>
      <c r="AH1046" s="26">
        <f>M1046</f>
        <v>547</v>
      </c>
      <c r="AI1046" s="26">
        <f>Q1046</f>
        <v>731</v>
      </c>
      <c r="AJ1046" s="26">
        <f>X1046</f>
        <v>30.176697999999998</v>
      </c>
      <c r="AK1046" s="26">
        <f>AA1046</f>
        <v>14.3330322</v>
      </c>
      <c r="AL1046" s="57">
        <f>N1046</f>
        <v>1093</v>
      </c>
      <c r="AM1046" s="57">
        <f>R1046</f>
        <v>952</v>
      </c>
    </row>
    <row r="1047" spans="1:39" hidden="1" x14ac:dyDescent="0.3">
      <c r="A1047" s="37">
        <v>1043</v>
      </c>
      <c r="B1047" s="38" t="s">
        <v>521</v>
      </c>
      <c r="C1047" s="38" t="s">
        <v>349</v>
      </c>
      <c r="D1047" s="38" t="s">
        <v>350</v>
      </c>
      <c r="E1047" s="38" t="s">
        <v>353</v>
      </c>
      <c r="F1047" s="47" t="s">
        <v>519</v>
      </c>
      <c r="G1047" s="40"/>
      <c r="H1047" s="40"/>
      <c r="I1047" s="40"/>
      <c r="J1047" s="40"/>
      <c r="K1047" s="40">
        <v>958</v>
      </c>
      <c r="L1047" s="40">
        <v>764</v>
      </c>
      <c r="M1047" s="40">
        <v>98</v>
      </c>
      <c r="N1047" s="40">
        <v>96</v>
      </c>
      <c r="O1047" s="40">
        <v>3074</v>
      </c>
      <c r="P1047" s="40">
        <v>2622</v>
      </c>
      <c r="Q1047" s="40">
        <v>204</v>
      </c>
      <c r="R1047" s="40">
        <v>248</v>
      </c>
      <c r="S1047" s="41"/>
      <c r="T1047" s="41"/>
      <c r="U1047" s="41"/>
      <c r="V1047" s="41">
        <v>79.749478100000005</v>
      </c>
      <c r="W1047" s="41">
        <v>10.229645100000001</v>
      </c>
      <c r="X1047" s="41">
        <v>10.0208768</v>
      </c>
      <c r="Y1047" s="41">
        <v>85.296031200000002</v>
      </c>
      <c r="Z1047" s="41">
        <v>6.6363044999999996</v>
      </c>
      <c r="AA1047" s="41">
        <v>8.0676643000000006</v>
      </c>
    </row>
    <row r="1048" spans="1:39" hidden="1" x14ac:dyDescent="0.3">
      <c r="A1048" s="37">
        <v>1044</v>
      </c>
      <c r="B1048" s="38" t="s">
        <v>521</v>
      </c>
      <c r="C1048" s="38" t="s">
        <v>349</v>
      </c>
      <c r="D1048" s="38" t="s">
        <v>350</v>
      </c>
      <c r="E1048" s="38" t="s">
        <v>353</v>
      </c>
      <c r="F1048" s="47" t="s">
        <v>520</v>
      </c>
      <c r="G1048" s="40">
        <v>2360</v>
      </c>
      <c r="H1048" s="40">
        <v>874</v>
      </c>
      <c r="I1048" s="40">
        <v>467</v>
      </c>
      <c r="J1048" s="40">
        <v>1019</v>
      </c>
      <c r="K1048" s="40">
        <v>2664</v>
      </c>
      <c r="L1048" s="40">
        <v>1218</v>
      </c>
      <c r="M1048" s="40">
        <v>449</v>
      </c>
      <c r="N1048" s="40">
        <v>997</v>
      </c>
      <c r="O1048" s="40">
        <v>3568</v>
      </c>
      <c r="P1048" s="40">
        <v>2337</v>
      </c>
      <c r="Q1048" s="40">
        <v>527</v>
      </c>
      <c r="R1048" s="40">
        <v>704</v>
      </c>
      <c r="S1048" s="41">
        <v>37.033898299999997</v>
      </c>
      <c r="T1048" s="41">
        <v>19.7881356</v>
      </c>
      <c r="U1048" s="41">
        <v>43.177966099999999</v>
      </c>
      <c r="V1048" s="41">
        <v>45.720720700000001</v>
      </c>
      <c r="W1048" s="41">
        <v>16.854354399999998</v>
      </c>
      <c r="X1048" s="41">
        <v>37.424924900000001</v>
      </c>
      <c r="Y1048" s="41">
        <v>65.498878899999994</v>
      </c>
      <c r="Z1048" s="41">
        <v>14.7701794</v>
      </c>
      <c r="AA1048" s="41">
        <v>19.730941699999999</v>
      </c>
    </row>
    <row r="1049" spans="1:39" hidden="1" x14ac:dyDescent="0.3">
      <c r="A1049" s="42">
        <v>1045</v>
      </c>
      <c r="B1049" s="43" t="s">
        <v>521</v>
      </c>
      <c r="C1049" s="50" t="s">
        <v>349</v>
      </c>
      <c r="D1049" s="50" t="s">
        <v>350</v>
      </c>
      <c r="E1049" s="50" t="s">
        <v>355</v>
      </c>
      <c r="F1049" s="51" t="s">
        <v>355</v>
      </c>
      <c r="G1049" s="45">
        <v>8195</v>
      </c>
      <c r="H1049" s="45">
        <v>3020</v>
      </c>
      <c r="I1049" s="45">
        <v>1928</v>
      </c>
      <c r="J1049" s="45">
        <v>3247</v>
      </c>
      <c r="K1049" s="45">
        <v>21314</v>
      </c>
      <c r="L1049" s="45">
        <v>11406</v>
      </c>
      <c r="M1049" s="45">
        <v>4741</v>
      </c>
      <c r="N1049" s="45">
        <v>5167</v>
      </c>
      <c r="O1049" s="45">
        <v>40267</v>
      </c>
      <c r="P1049" s="45">
        <v>27006</v>
      </c>
      <c r="Q1049" s="45">
        <v>7056</v>
      </c>
      <c r="R1049" s="45">
        <v>6205</v>
      </c>
      <c r="S1049" s="46">
        <v>36.851738900000001</v>
      </c>
      <c r="T1049" s="46">
        <v>23.526540600000001</v>
      </c>
      <c r="U1049" s="46">
        <v>39.621720600000003</v>
      </c>
      <c r="V1049" s="46">
        <v>53.514122200000003</v>
      </c>
      <c r="W1049" s="46">
        <v>22.243595800000001</v>
      </c>
      <c r="X1049" s="46">
        <v>24.242282100000001</v>
      </c>
      <c r="Y1049" s="46">
        <v>67.067325600000004</v>
      </c>
      <c r="Z1049" s="46">
        <v>17.523033699999999</v>
      </c>
      <c r="AA1049" s="46">
        <v>15.409640599999999</v>
      </c>
      <c r="AB1049" s="26">
        <f>SUM(W1049:X1049)</f>
        <v>46.485877900000006</v>
      </c>
      <c r="AC1049" s="26">
        <f>SUM(Z1049:AA1049)</f>
        <v>32.932674300000002</v>
      </c>
      <c r="AD1049" s="57">
        <f>M1049+N1049</f>
        <v>9908</v>
      </c>
      <c r="AE1049" s="57">
        <f>Q1049+R1049</f>
        <v>13261</v>
      </c>
      <c r="AF1049" s="26">
        <f>W1049</f>
        <v>22.243595800000001</v>
      </c>
      <c r="AG1049" s="26">
        <f>Z1049</f>
        <v>17.523033699999999</v>
      </c>
      <c r="AH1049" s="26">
        <f>M1049</f>
        <v>4741</v>
      </c>
      <c r="AI1049" s="26">
        <f>Q1049</f>
        <v>7056</v>
      </c>
      <c r="AJ1049" s="26">
        <f>X1049</f>
        <v>24.242282100000001</v>
      </c>
      <c r="AK1049" s="26">
        <f>AA1049</f>
        <v>15.409640599999999</v>
      </c>
      <c r="AL1049" s="57">
        <f>N1049</f>
        <v>5167</v>
      </c>
      <c r="AM1049" s="57">
        <f>R1049</f>
        <v>6205</v>
      </c>
    </row>
    <row r="1050" spans="1:39" hidden="1" x14ac:dyDescent="0.3">
      <c r="A1050" s="37">
        <v>1046</v>
      </c>
      <c r="B1050" s="38" t="s">
        <v>521</v>
      </c>
      <c r="C1050" s="38" t="s">
        <v>349</v>
      </c>
      <c r="D1050" s="38" t="s">
        <v>350</v>
      </c>
      <c r="E1050" s="38" t="s">
        <v>355</v>
      </c>
      <c r="F1050" s="47" t="s">
        <v>519</v>
      </c>
      <c r="G1050" s="40">
        <v>5294</v>
      </c>
      <c r="H1050" s="40">
        <v>2034</v>
      </c>
      <c r="I1050" s="40">
        <v>1334</v>
      </c>
      <c r="J1050" s="40">
        <v>1926</v>
      </c>
      <c r="K1050" s="40">
        <v>18957</v>
      </c>
      <c r="L1050" s="40">
        <v>10288</v>
      </c>
      <c r="M1050" s="40">
        <v>4203</v>
      </c>
      <c r="N1050" s="40">
        <v>4466</v>
      </c>
      <c r="O1050" s="40">
        <v>37921</v>
      </c>
      <c r="P1050" s="40">
        <v>25474</v>
      </c>
      <c r="Q1050" s="40">
        <v>6664</v>
      </c>
      <c r="R1050" s="40">
        <v>5783</v>
      </c>
      <c r="S1050" s="41">
        <v>38.420853800000003</v>
      </c>
      <c r="T1050" s="41">
        <v>25.1983377</v>
      </c>
      <c r="U1050" s="41">
        <v>36.380808500000001</v>
      </c>
      <c r="V1050" s="41">
        <v>54.270190399999997</v>
      </c>
      <c r="W1050" s="41">
        <v>22.1712296</v>
      </c>
      <c r="X1050" s="41">
        <v>23.558579900000002</v>
      </c>
      <c r="Y1050" s="41">
        <v>67.176498499999994</v>
      </c>
      <c r="Z1050" s="41">
        <v>17.573376199999998</v>
      </c>
      <c r="AA1050" s="41">
        <v>15.250125300000001</v>
      </c>
    </row>
    <row r="1051" spans="1:39" hidden="1" x14ac:dyDescent="0.3">
      <c r="A1051" s="37">
        <v>1047</v>
      </c>
      <c r="B1051" s="38" t="s">
        <v>521</v>
      </c>
      <c r="C1051" s="38" t="s">
        <v>349</v>
      </c>
      <c r="D1051" s="38" t="s">
        <v>350</v>
      </c>
      <c r="E1051" s="38" t="s">
        <v>355</v>
      </c>
      <c r="F1051" s="47" t="s">
        <v>520</v>
      </c>
      <c r="G1051" s="40">
        <v>2901</v>
      </c>
      <c r="H1051" s="40">
        <v>986</v>
      </c>
      <c r="I1051" s="40">
        <v>594</v>
      </c>
      <c r="J1051" s="40">
        <v>1321</v>
      </c>
      <c r="K1051" s="40">
        <v>2357</v>
      </c>
      <c r="L1051" s="40">
        <v>1118</v>
      </c>
      <c r="M1051" s="40">
        <v>538</v>
      </c>
      <c r="N1051" s="40">
        <v>701</v>
      </c>
      <c r="O1051" s="40">
        <v>2346</v>
      </c>
      <c r="P1051" s="40">
        <v>1532</v>
      </c>
      <c r="Q1051" s="40">
        <v>392</v>
      </c>
      <c r="R1051" s="40">
        <v>422</v>
      </c>
      <c r="S1051" s="41">
        <v>33.988279900000002</v>
      </c>
      <c r="T1051" s="41">
        <v>20.475698000000001</v>
      </c>
      <c r="U1051" s="41">
        <v>45.536022099999997</v>
      </c>
      <c r="V1051" s="41">
        <v>47.433177800000003</v>
      </c>
      <c r="W1051" s="41">
        <v>22.825625800000001</v>
      </c>
      <c r="X1051" s="41">
        <v>29.7411964</v>
      </c>
      <c r="Y1051" s="41">
        <v>65.302642800000001</v>
      </c>
      <c r="Z1051" s="41">
        <v>16.709292399999999</v>
      </c>
      <c r="AA1051" s="41">
        <v>17.9880648</v>
      </c>
    </row>
    <row r="1052" spans="1:39" hidden="1" x14ac:dyDescent="0.3">
      <c r="A1052" s="42">
        <v>1048</v>
      </c>
      <c r="B1052" s="43" t="s">
        <v>521</v>
      </c>
      <c r="C1052" s="50" t="s">
        <v>349</v>
      </c>
      <c r="D1052" s="50" t="s">
        <v>350</v>
      </c>
      <c r="E1052" s="50" t="s">
        <v>356</v>
      </c>
      <c r="F1052" s="51" t="s">
        <v>356</v>
      </c>
      <c r="G1052" s="45">
        <v>8129</v>
      </c>
      <c r="H1052" s="45">
        <v>2880</v>
      </c>
      <c r="I1052" s="45">
        <v>1846</v>
      </c>
      <c r="J1052" s="45">
        <v>3403</v>
      </c>
      <c r="K1052" s="45">
        <v>12235</v>
      </c>
      <c r="L1052" s="45">
        <v>6428</v>
      </c>
      <c r="M1052" s="45">
        <v>2672</v>
      </c>
      <c r="N1052" s="45">
        <v>3135</v>
      </c>
      <c r="O1052" s="45">
        <v>16612</v>
      </c>
      <c r="P1052" s="45">
        <v>11382</v>
      </c>
      <c r="Q1052" s="45">
        <v>2674</v>
      </c>
      <c r="R1052" s="45">
        <v>2556</v>
      </c>
      <c r="S1052" s="46">
        <v>35.428711999999997</v>
      </c>
      <c r="T1052" s="46">
        <v>22.708820299999999</v>
      </c>
      <c r="U1052" s="46">
        <v>41.862467700000003</v>
      </c>
      <c r="V1052" s="46">
        <v>52.537801399999999</v>
      </c>
      <c r="W1052" s="46">
        <v>21.838986500000001</v>
      </c>
      <c r="X1052" s="46">
        <v>25.6232121</v>
      </c>
      <c r="Y1052" s="46">
        <v>68.516734900000003</v>
      </c>
      <c r="Z1052" s="46">
        <v>16.096797500000001</v>
      </c>
      <c r="AA1052" s="46">
        <v>15.3864676</v>
      </c>
      <c r="AB1052" s="26">
        <f>SUM(W1052:X1052)</f>
        <v>47.462198600000001</v>
      </c>
      <c r="AC1052" s="26">
        <f>SUM(Z1052:AA1052)</f>
        <v>31.483265100000001</v>
      </c>
      <c r="AD1052" s="57">
        <f>M1052+N1052</f>
        <v>5807</v>
      </c>
      <c r="AE1052" s="57">
        <f>Q1052+R1052</f>
        <v>5230</v>
      </c>
      <c r="AF1052" s="26">
        <f>W1052</f>
        <v>21.838986500000001</v>
      </c>
      <c r="AG1052" s="26">
        <f>Z1052</f>
        <v>16.096797500000001</v>
      </c>
      <c r="AH1052" s="26">
        <f>M1052</f>
        <v>2672</v>
      </c>
      <c r="AI1052" s="26">
        <f>Q1052</f>
        <v>2674</v>
      </c>
      <c r="AJ1052" s="26">
        <f>X1052</f>
        <v>25.6232121</v>
      </c>
      <c r="AK1052" s="26">
        <f>AA1052</f>
        <v>15.3864676</v>
      </c>
      <c r="AL1052" s="57">
        <f>N1052</f>
        <v>3135</v>
      </c>
      <c r="AM1052" s="57">
        <f>R1052</f>
        <v>2556</v>
      </c>
    </row>
    <row r="1053" spans="1:39" hidden="1" x14ac:dyDescent="0.3">
      <c r="A1053" s="37">
        <v>1049</v>
      </c>
      <c r="B1053" s="38" t="s">
        <v>521</v>
      </c>
      <c r="C1053" s="38" t="s">
        <v>349</v>
      </c>
      <c r="D1053" s="38" t="s">
        <v>350</v>
      </c>
      <c r="E1053" s="38" t="s">
        <v>356</v>
      </c>
      <c r="F1053" s="47" t="s">
        <v>519</v>
      </c>
      <c r="G1053" s="40">
        <v>4092</v>
      </c>
      <c r="H1053" s="40">
        <v>1524</v>
      </c>
      <c r="I1053" s="40">
        <v>1052</v>
      </c>
      <c r="J1053" s="40">
        <v>1516</v>
      </c>
      <c r="K1053" s="40">
        <v>7702</v>
      </c>
      <c r="L1053" s="40">
        <v>4119</v>
      </c>
      <c r="M1053" s="40">
        <v>1724</v>
      </c>
      <c r="N1053" s="40">
        <v>1859</v>
      </c>
      <c r="O1053" s="40">
        <v>11532</v>
      </c>
      <c r="P1053" s="40">
        <v>7994</v>
      </c>
      <c r="Q1053" s="40">
        <v>1900</v>
      </c>
      <c r="R1053" s="40">
        <v>1638</v>
      </c>
      <c r="S1053" s="41">
        <v>37.243401800000001</v>
      </c>
      <c r="T1053" s="41">
        <v>25.708699899999999</v>
      </c>
      <c r="U1053" s="41">
        <v>37.0478983</v>
      </c>
      <c r="V1053" s="41">
        <v>53.479615699999997</v>
      </c>
      <c r="W1053" s="41">
        <v>22.383796400000001</v>
      </c>
      <c r="X1053" s="41">
        <v>24.136587899999999</v>
      </c>
      <c r="Y1053" s="41">
        <v>69.3201526</v>
      </c>
      <c r="Z1053" s="41">
        <v>16.475893200000002</v>
      </c>
      <c r="AA1053" s="41">
        <v>14.2039542</v>
      </c>
    </row>
    <row r="1054" spans="1:39" hidden="1" x14ac:dyDescent="0.3">
      <c r="A1054" s="37">
        <v>1050</v>
      </c>
      <c r="B1054" s="38" t="s">
        <v>521</v>
      </c>
      <c r="C1054" s="38" t="s">
        <v>349</v>
      </c>
      <c r="D1054" s="38" t="s">
        <v>350</v>
      </c>
      <c r="E1054" s="38" t="s">
        <v>356</v>
      </c>
      <c r="F1054" s="47" t="s">
        <v>520</v>
      </c>
      <c r="G1054" s="40">
        <v>4037</v>
      </c>
      <c r="H1054" s="40">
        <v>1356</v>
      </c>
      <c r="I1054" s="40">
        <v>794</v>
      </c>
      <c r="J1054" s="40">
        <v>1887</v>
      </c>
      <c r="K1054" s="40">
        <v>4533</v>
      </c>
      <c r="L1054" s="40">
        <v>2309</v>
      </c>
      <c r="M1054" s="40">
        <v>948</v>
      </c>
      <c r="N1054" s="40">
        <v>1276</v>
      </c>
      <c r="O1054" s="40">
        <v>5080</v>
      </c>
      <c r="P1054" s="40">
        <v>3388</v>
      </c>
      <c r="Q1054" s="40">
        <v>774</v>
      </c>
      <c r="R1054" s="40">
        <v>918</v>
      </c>
      <c r="S1054" s="41">
        <v>33.589298999999997</v>
      </c>
      <c r="T1054" s="41">
        <v>19.6680703</v>
      </c>
      <c r="U1054" s="41">
        <v>46.742630699999999</v>
      </c>
      <c r="V1054" s="41">
        <v>50.937568900000002</v>
      </c>
      <c r="W1054" s="41">
        <v>20.913302399999999</v>
      </c>
      <c r="X1054" s="41">
        <v>28.149128600000001</v>
      </c>
      <c r="Y1054" s="41">
        <v>66.692913399999995</v>
      </c>
      <c r="Z1054" s="41">
        <v>15.2362205</v>
      </c>
      <c r="AA1054" s="41">
        <v>18.0708661</v>
      </c>
    </row>
    <row r="1055" spans="1:39" hidden="1" x14ac:dyDescent="0.3">
      <c r="A1055" s="32">
        <v>1051</v>
      </c>
      <c r="B1055" s="33" t="s">
        <v>1</v>
      </c>
      <c r="C1055" s="49" t="s">
        <v>349</v>
      </c>
      <c r="D1055" s="49" t="s">
        <v>357</v>
      </c>
      <c r="E1055" s="49"/>
      <c r="F1055" s="34" t="s">
        <v>357</v>
      </c>
      <c r="G1055" s="35">
        <v>11198</v>
      </c>
      <c r="H1055" s="35">
        <v>3702</v>
      </c>
      <c r="I1055" s="35">
        <v>2473</v>
      </c>
      <c r="J1055" s="35">
        <v>5023</v>
      </c>
      <c r="K1055" s="35">
        <v>25778</v>
      </c>
      <c r="L1055" s="35">
        <v>12349</v>
      </c>
      <c r="M1055" s="35">
        <v>5563</v>
      </c>
      <c r="N1055" s="35">
        <v>7866</v>
      </c>
      <c r="O1055" s="35">
        <v>43493</v>
      </c>
      <c r="P1055" s="35">
        <v>26953</v>
      </c>
      <c r="Q1055" s="35">
        <v>8109</v>
      </c>
      <c r="R1055" s="35">
        <v>8431</v>
      </c>
      <c r="S1055" s="36">
        <v>33.059474899999998</v>
      </c>
      <c r="T1055" s="36">
        <v>22.084300800000001</v>
      </c>
      <c r="U1055" s="36">
        <v>44.856224300000001</v>
      </c>
      <c r="V1055" s="36">
        <v>47.905190500000003</v>
      </c>
      <c r="W1055" s="36">
        <v>21.580417400000002</v>
      </c>
      <c r="X1055" s="36">
        <v>30.514392099999998</v>
      </c>
      <c r="Y1055" s="36">
        <v>61.970891899999998</v>
      </c>
      <c r="Z1055" s="36">
        <v>18.644379600000001</v>
      </c>
      <c r="AA1055" s="36">
        <v>19.384728599999999</v>
      </c>
    </row>
    <row r="1056" spans="1:39" hidden="1" x14ac:dyDescent="0.3">
      <c r="A1056" s="37">
        <v>1052</v>
      </c>
      <c r="B1056" s="38" t="s">
        <v>1</v>
      </c>
      <c r="C1056" s="38" t="s">
        <v>349</v>
      </c>
      <c r="D1056" s="38" t="s">
        <v>357</v>
      </c>
      <c r="E1056" s="38"/>
      <c r="F1056" s="39" t="s">
        <v>519</v>
      </c>
      <c r="G1056" s="40">
        <v>4964</v>
      </c>
      <c r="H1056" s="40">
        <v>1768</v>
      </c>
      <c r="I1056" s="40">
        <v>1208</v>
      </c>
      <c r="J1056" s="40">
        <v>1988</v>
      </c>
      <c r="K1056" s="40">
        <v>20750</v>
      </c>
      <c r="L1056" s="40">
        <v>10088</v>
      </c>
      <c r="M1056" s="40">
        <v>4574</v>
      </c>
      <c r="N1056" s="40">
        <v>6088</v>
      </c>
      <c r="O1056" s="40">
        <v>37618</v>
      </c>
      <c r="P1056" s="40">
        <v>23628</v>
      </c>
      <c r="Q1056" s="40">
        <v>6964</v>
      </c>
      <c r="R1056" s="40">
        <v>7026</v>
      </c>
      <c r="S1056" s="41">
        <v>35.6164384</v>
      </c>
      <c r="T1056" s="41">
        <v>24.335213499999998</v>
      </c>
      <c r="U1056" s="41">
        <v>40.048348099999998</v>
      </c>
      <c r="V1056" s="41">
        <v>48.616867499999998</v>
      </c>
      <c r="W1056" s="41">
        <v>22.043373500000001</v>
      </c>
      <c r="X1056" s="41">
        <v>29.339759000000001</v>
      </c>
      <c r="Y1056" s="41">
        <v>62.8103567</v>
      </c>
      <c r="Z1056" s="41">
        <v>18.5124143</v>
      </c>
      <c r="AA1056" s="41">
        <v>18.677229000000001</v>
      </c>
    </row>
    <row r="1057" spans="1:39" hidden="1" x14ac:dyDescent="0.3">
      <c r="A1057" s="37">
        <v>1053</v>
      </c>
      <c r="B1057" s="38" t="s">
        <v>1</v>
      </c>
      <c r="C1057" s="38" t="s">
        <v>349</v>
      </c>
      <c r="D1057" s="38" t="s">
        <v>357</v>
      </c>
      <c r="E1057" s="38"/>
      <c r="F1057" s="39" t="s">
        <v>520</v>
      </c>
      <c r="G1057" s="40">
        <v>6234</v>
      </c>
      <c r="H1057" s="40">
        <v>1934</v>
      </c>
      <c r="I1057" s="40">
        <v>1265</v>
      </c>
      <c r="J1057" s="40">
        <v>3035</v>
      </c>
      <c r="K1057" s="40">
        <v>5028</v>
      </c>
      <c r="L1057" s="40">
        <v>2261</v>
      </c>
      <c r="M1057" s="40">
        <v>989</v>
      </c>
      <c r="N1057" s="40">
        <v>1778</v>
      </c>
      <c r="O1057" s="40">
        <v>5875</v>
      </c>
      <c r="P1057" s="40">
        <v>3325</v>
      </c>
      <c r="Q1057" s="40">
        <v>1145</v>
      </c>
      <c r="R1057" s="40">
        <v>1405</v>
      </c>
      <c r="S1057" s="41">
        <v>31.023420000000002</v>
      </c>
      <c r="T1057" s="41">
        <v>20.291947400000002</v>
      </c>
      <c r="U1057" s="41">
        <v>48.684632700000002</v>
      </c>
      <c r="V1057" s="41">
        <v>44.968178199999997</v>
      </c>
      <c r="W1057" s="41">
        <v>19.6698488</v>
      </c>
      <c r="X1057" s="41">
        <v>35.361972999999999</v>
      </c>
      <c r="Y1057" s="41">
        <v>56.595744699999997</v>
      </c>
      <c r="Z1057" s="41">
        <v>19.4893617</v>
      </c>
      <c r="AA1057" s="41">
        <v>23.914893599999999</v>
      </c>
    </row>
    <row r="1058" spans="1:39" hidden="1" x14ac:dyDescent="0.3">
      <c r="A1058" s="42">
        <v>1054</v>
      </c>
      <c r="B1058" s="43" t="s">
        <v>521</v>
      </c>
      <c r="C1058" s="50" t="s">
        <v>349</v>
      </c>
      <c r="D1058" s="50" t="s">
        <v>357</v>
      </c>
      <c r="E1058" s="50" t="s">
        <v>357</v>
      </c>
      <c r="F1058" s="51" t="s">
        <v>357</v>
      </c>
      <c r="G1058" s="45">
        <v>8946</v>
      </c>
      <c r="H1058" s="45">
        <v>2956</v>
      </c>
      <c r="I1058" s="45">
        <v>2006</v>
      </c>
      <c r="J1058" s="45">
        <v>3984</v>
      </c>
      <c r="K1058" s="45">
        <v>23218</v>
      </c>
      <c r="L1058" s="45">
        <v>11278</v>
      </c>
      <c r="M1058" s="45">
        <v>5068</v>
      </c>
      <c r="N1058" s="45">
        <v>6872</v>
      </c>
      <c r="O1058" s="45">
        <v>40597</v>
      </c>
      <c r="P1058" s="45">
        <v>25273</v>
      </c>
      <c r="Q1058" s="45">
        <v>7551</v>
      </c>
      <c r="R1058" s="45">
        <v>7773</v>
      </c>
      <c r="S1058" s="46">
        <v>33.042700600000003</v>
      </c>
      <c r="T1058" s="46">
        <v>22.423429500000001</v>
      </c>
      <c r="U1058" s="46">
        <v>44.533869899999999</v>
      </c>
      <c r="V1058" s="46">
        <v>48.574381899999999</v>
      </c>
      <c r="W1058" s="46">
        <v>21.827892200000001</v>
      </c>
      <c r="X1058" s="46">
        <v>29.5977259</v>
      </c>
      <c r="Y1058" s="46">
        <v>62.253368500000001</v>
      </c>
      <c r="Z1058" s="46">
        <v>18.5998965</v>
      </c>
      <c r="AA1058" s="46">
        <v>19.146735</v>
      </c>
      <c r="AB1058" s="26">
        <f>SUM(W1058:X1058)</f>
        <v>51.425618100000001</v>
      </c>
      <c r="AC1058" s="26">
        <f>SUM(Z1058:AA1058)</f>
        <v>37.746631499999999</v>
      </c>
      <c r="AD1058" s="57">
        <f>M1058+N1058</f>
        <v>11940</v>
      </c>
      <c r="AE1058" s="57">
        <f>Q1058+R1058</f>
        <v>15324</v>
      </c>
      <c r="AF1058" s="26">
        <f>W1058</f>
        <v>21.827892200000001</v>
      </c>
      <c r="AG1058" s="26">
        <f>Z1058</f>
        <v>18.5998965</v>
      </c>
      <c r="AH1058" s="26">
        <f>M1058</f>
        <v>5068</v>
      </c>
      <c r="AI1058" s="26">
        <f>Q1058</f>
        <v>7551</v>
      </c>
      <c r="AJ1058" s="26">
        <f>X1058</f>
        <v>29.5977259</v>
      </c>
      <c r="AK1058" s="26">
        <f>AA1058</f>
        <v>19.146735</v>
      </c>
      <c r="AL1058" s="57">
        <f>N1058</f>
        <v>6872</v>
      </c>
      <c r="AM1058" s="57">
        <f>R1058</f>
        <v>7773</v>
      </c>
    </row>
    <row r="1059" spans="1:39" hidden="1" x14ac:dyDescent="0.3">
      <c r="A1059" s="37">
        <v>1055</v>
      </c>
      <c r="B1059" s="38" t="s">
        <v>521</v>
      </c>
      <c r="C1059" s="38" t="s">
        <v>349</v>
      </c>
      <c r="D1059" s="38" t="s">
        <v>357</v>
      </c>
      <c r="E1059" s="38" t="s">
        <v>357</v>
      </c>
      <c r="F1059" s="47" t="s">
        <v>519</v>
      </c>
      <c r="G1059" s="40">
        <v>4190</v>
      </c>
      <c r="H1059" s="40">
        <v>1540</v>
      </c>
      <c r="I1059" s="40">
        <v>1024</v>
      </c>
      <c r="J1059" s="40">
        <v>1626</v>
      </c>
      <c r="K1059" s="40">
        <v>19509</v>
      </c>
      <c r="L1059" s="40">
        <v>9599</v>
      </c>
      <c r="M1059" s="40">
        <v>4334</v>
      </c>
      <c r="N1059" s="40">
        <v>5576</v>
      </c>
      <c r="O1059" s="40">
        <v>36182</v>
      </c>
      <c r="P1059" s="40">
        <v>22796</v>
      </c>
      <c r="Q1059" s="40">
        <v>6684</v>
      </c>
      <c r="R1059" s="40">
        <v>6702</v>
      </c>
      <c r="S1059" s="41">
        <v>36.754176600000001</v>
      </c>
      <c r="T1059" s="41">
        <v>24.439140800000001</v>
      </c>
      <c r="U1059" s="41">
        <v>38.806682600000002</v>
      </c>
      <c r="V1059" s="41">
        <v>49.202931999999997</v>
      </c>
      <c r="W1059" s="41">
        <v>22.215387799999998</v>
      </c>
      <c r="X1059" s="41">
        <v>28.581680299999999</v>
      </c>
      <c r="Y1059" s="41">
        <v>63.0037035</v>
      </c>
      <c r="Z1059" s="41">
        <v>18.473274</v>
      </c>
      <c r="AA1059" s="41">
        <v>18.5230225</v>
      </c>
    </row>
    <row r="1060" spans="1:39" hidden="1" x14ac:dyDescent="0.3">
      <c r="A1060" s="37">
        <v>1056</v>
      </c>
      <c r="B1060" s="38" t="s">
        <v>521</v>
      </c>
      <c r="C1060" s="38" t="s">
        <v>349</v>
      </c>
      <c r="D1060" s="38" t="s">
        <v>357</v>
      </c>
      <c r="E1060" s="38" t="s">
        <v>357</v>
      </c>
      <c r="F1060" s="47" t="s">
        <v>520</v>
      </c>
      <c r="G1060" s="40">
        <v>4756</v>
      </c>
      <c r="H1060" s="40">
        <v>1416</v>
      </c>
      <c r="I1060" s="40">
        <v>982</v>
      </c>
      <c r="J1060" s="40">
        <v>2358</v>
      </c>
      <c r="K1060" s="40">
        <v>3709</v>
      </c>
      <c r="L1060" s="40">
        <v>1679</v>
      </c>
      <c r="M1060" s="40">
        <v>734</v>
      </c>
      <c r="N1060" s="40">
        <v>1296</v>
      </c>
      <c r="O1060" s="40">
        <v>4415</v>
      </c>
      <c r="P1060" s="40">
        <v>2477</v>
      </c>
      <c r="Q1060" s="40">
        <v>867</v>
      </c>
      <c r="R1060" s="40">
        <v>1071</v>
      </c>
      <c r="S1060" s="41">
        <v>29.772918399999998</v>
      </c>
      <c r="T1060" s="41">
        <v>20.647603</v>
      </c>
      <c r="U1060" s="41">
        <v>49.579478600000002</v>
      </c>
      <c r="V1060" s="41">
        <v>45.268266400000002</v>
      </c>
      <c r="W1060" s="41">
        <v>19.789700700000001</v>
      </c>
      <c r="X1060" s="41">
        <v>34.942032900000001</v>
      </c>
      <c r="Y1060" s="41">
        <v>56.104190299999999</v>
      </c>
      <c r="Z1060" s="41">
        <v>19.637599099999999</v>
      </c>
      <c r="AA1060" s="41">
        <v>24.258210600000002</v>
      </c>
    </row>
    <row r="1061" spans="1:39" hidden="1" x14ac:dyDescent="0.3">
      <c r="A1061" s="42">
        <v>1057</v>
      </c>
      <c r="B1061" s="43" t="s">
        <v>521</v>
      </c>
      <c r="C1061" s="50" t="s">
        <v>349</v>
      </c>
      <c r="D1061" s="50" t="s">
        <v>357</v>
      </c>
      <c r="E1061" s="50" t="s">
        <v>358</v>
      </c>
      <c r="F1061" s="51" t="s">
        <v>358</v>
      </c>
      <c r="G1061" s="45">
        <v>2252</v>
      </c>
      <c r="H1061" s="45">
        <v>746</v>
      </c>
      <c r="I1061" s="45">
        <v>467</v>
      </c>
      <c r="J1061" s="45">
        <v>1039</v>
      </c>
      <c r="K1061" s="45">
        <v>2560</v>
      </c>
      <c r="L1061" s="45">
        <v>1071</v>
      </c>
      <c r="M1061" s="45">
        <v>495</v>
      </c>
      <c r="N1061" s="45">
        <v>994</v>
      </c>
      <c r="O1061" s="45">
        <v>2896</v>
      </c>
      <c r="P1061" s="45">
        <v>1680</v>
      </c>
      <c r="Q1061" s="45">
        <v>558</v>
      </c>
      <c r="R1061" s="45">
        <v>658</v>
      </c>
      <c r="S1061" s="46">
        <v>33.126110099999998</v>
      </c>
      <c r="T1061" s="46">
        <v>20.737122599999999</v>
      </c>
      <c r="U1061" s="46">
        <v>46.136767300000002</v>
      </c>
      <c r="V1061" s="46">
        <v>41.8359375</v>
      </c>
      <c r="W1061" s="46">
        <v>19.3359375</v>
      </c>
      <c r="X1061" s="46">
        <v>38.828125</v>
      </c>
      <c r="Y1061" s="46">
        <v>58.011049700000001</v>
      </c>
      <c r="Z1061" s="46">
        <v>19.267955799999999</v>
      </c>
      <c r="AA1061" s="46">
        <v>22.7209945</v>
      </c>
      <c r="AB1061" s="26">
        <f>SUM(W1061:X1061)</f>
        <v>58.1640625</v>
      </c>
      <c r="AC1061" s="26">
        <f>SUM(Z1061:AA1061)</f>
        <v>41.988950299999999</v>
      </c>
      <c r="AD1061" s="57">
        <f>M1061+N1061</f>
        <v>1489</v>
      </c>
      <c r="AE1061" s="57">
        <f>Q1061+R1061</f>
        <v>1216</v>
      </c>
      <c r="AF1061" s="26">
        <f>W1061</f>
        <v>19.3359375</v>
      </c>
      <c r="AG1061" s="26">
        <f>Z1061</f>
        <v>19.267955799999999</v>
      </c>
      <c r="AH1061" s="26">
        <f>M1061</f>
        <v>495</v>
      </c>
      <c r="AI1061" s="26">
        <f>Q1061</f>
        <v>558</v>
      </c>
      <c r="AJ1061" s="26">
        <f>X1061</f>
        <v>38.828125</v>
      </c>
      <c r="AK1061" s="26">
        <f>AA1061</f>
        <v>22.7209945</v>
      </c>
      <c r="AL1061" s="57">
        <f>N1061</f>
        <v>994</v>
      </c>
      <c r="AM1061" s="57">
        <f>R1061</f>
        <v>658</v>
      </c>
    </row>
    <row r="1062" spans="1:39" hidden="1" x14ac:dyDescent="0.3">
      <c r="A1062" s="37">
        <v>1058</v>
      </c>
      <c r="B1062" s="38" t="s">
        <v>521</v>
      </c>
      <c r="C1062" s="38" t="s">
        <v>349</v>
      </c>
      <c r="D1062" s="38" t="s">
        <v>357</v>
      </c>
      <c r="E1062" s="38" t="s">
        <v>358</v>
      </c>
      <c r="F1062" s="47" t="s">
        <v>519</v>
      </c>
      <c r="G1062" s="40">
        <v>774</v>
      </c>
      <c r="H1062" s="40">
        <v>228</v>
      </c>
      <c r="I1062" s="40">
        <v>184</v>
      </c>
      <c r="J1062" s="40">
        <v>362</v>
      </c>
      <c r="K1062" s="40">
        <v>1241</v>
      </c>
      <c r="L1062" s="40">
        <v>489</v>
      </c>
      <c r="M1062" s="40">
        <v>240</v>
      </c>
      <c r="N1062" s="40">
        <v>512</v>
      </c>
      <c r="O1062" s="40">
        <v>1436</v>
      </c>
      <c r="P1062" s="40">
        <v>832</v>
      </c>
      <c r="Q1062" s="40">
        <v>280</v>
      </c>
      <c r="R1062" s="40">
        <v>324</v>
      </c>
      <c r="S1062" s="41">
        <v>29.457364299999998</v>
      </c>
      <c r="T1062" s="41">
        <v>23.772609800000001</v>
      </c>
      <c r="U1062" s="41">
        <v>46.770025799999999</v>
      </c>
      <c r="V1062" s="41">
        <v>39.403706700000001</v>
      </c>
      <c r="W1062" s="41">
        <v>19.339242500000001</v>
      </c>
      <c r="X1062" s="41">
        <v>41.257050800000002</v>
      </c>
      <c r="Y1062" s="41">
        <v>57.938718700000003</v>
      </c>
      <c r="Z1062" s="41">
        <v>19.498607199999999</v>
      </c>
      <c r="AA1062" s="41">
        <v>22.562674099999999</v>
      </c>
    </row>
    <row r="1063" spans="1:39" hidden="1" x14ac:dyDescent="0.3">
      <c r="A1063" s="37">
        <v>1059</v>
      </c>
      <c r="B1063" s="38" t="s">
        <v>521</v>
      </c>
      <c r="C1063" s="38" t="s">
        <v>349</v>
      </c>
      <c r="D1063" s="38" t="s">
        <v>357</v>
      </c>
      <c r="E1063" s="38" t="s">
        <v>358</v>
      </c>
      <c r="F1063" s="47" t="s">
        <v>520</v>
      </c>
      <c r="G1063" s="40">
        <v>1478</v>
      </c>
      <c r="H1063" s="40">
        <v>518</v>
      </c>
      <c r="I1063" s="40">
        <v>283</v>
      </c>
      <c r="J1063" s="40">
        <v>677</v>
      </c>
      <c r="K1063" s="40">
        <v>1319</v>
      </c>
      <c r="L1063" s="40">
        <v>582</v>
      </c>
      <c r="M1063" s="40">
        <v>255</v>
      </c>
      <c r="N1063" s="40">
        <v>482</v>
      </c>
      <c r="O1063" s="40">
        <v>1460</v>
      </c>
      <c r="P1063" s="40">
        <v>848</v>
      </c>
      <c r="Q1063" s="40">
        <v>278</v>
      </c>
      <c r="R1063" s="40">
        <v>334</v>
      </c>
      <c r="S1063" s="41">
        <v>35.047361299999999</v>
      </c>
      <c r="T1063" s="41">
        <v>19.1474966</v>
      </c>
      <c r="U1063" s="41">
        <v>45.805142099999998</v>
      </c>
      <c r="V1063" s="41">
        <v>44.124336599999999</v>
      </c>
      <c r="W1063" s="41">
        <v>19.332827900000002</v>
      </c>
      <c r="X1063" s="41">
        <v>36.542835500000002</v>
      </c>
      <c r="Y1063" s="41">
        <v>58.082191799999997</v>
      </c>
      <c r="Z1063" s="41">
        <v>19.041095899999998</v>
      </c>
      <c r="AA1063" s="41">
        <v>22.876712300000001</v>
      </c>
    </row>
    <row r="1064" spans="1:39" hidden="1" x14ac:dyDescent="0.3">
      <c r="A1064" s="32">
        <v>1060</v>
      </c>
      <c r="B1064" s="33" t="s">
        <v>1</v>
      </c>
      <c r="C1064" s="49" t="s">
        <v>349</v>
      </c>
      <c r="D1064" s="49" t="s">
        <v>359</v>
      </c>
      <c r="E1064" s="49"/>
      <c r="F1064" s="34" t="s">
        <v>359</v>
      </c>
      <c r="G1064" s="35">
        <v>9702</v>
      </c>
      <c r="H1064" s="35">
        <v>2763</v>
      </c>
      <c r="I1064" s="35">
        <v>2042</v>
      </c>
      <c r="J1064" s="35">
        <v>4897</v>
      </c>
      <c r="K1064" s="35">
        <v>14546</v>
      </c>
      <c r="L1064" s="35">
        <v>6332</v>
      </c>
      <c r="M1064" s="35">
        <v>2976</v>
      </c>
      <c r="N1064" s="35">
        <v>5238</v>
      </c>
      <c r="O1064" s="35">
        <v>25104</v>
      </c>
      <c r="P1064" s="35">
        <v>13809</v>
      </c>
      <c r="Q1064" s="35">
        <v>4352</v>
      </c>
      <c r="R1064" s="35">
        <v>6943</v>
      </c>
      <c r="S1064" s="36">
        <v>28.478664200000001</v>
      </c>
      <c r="T1064" s="36">
        <v>21.047206800000001</v>
      </c>
      <c r="U1064" s="36">
        <v>50.474128999999998</v>
      </c>
      <c r="V1064" s="36">
        <v>43.530867600000001</v>
      </c>
      <c r="W1064" s="36">
        <v>20.459232799999999</v>
      </c>
      <c r="X1064" s="36">
        <v>36.009899599999997</v>
      </c>
      <c r="Y1064" s="36">
        <v>55.007170199999997</v>
      </c>
      <c r="Z1064" s="36">
        <v>17.335882699999999</v>
      </c>
      <c r="AA1064" s="36">
        <v>27.6569471</v>
      </c>
    </row>
    <row r="1065" spans="1:39" hidden="1" x14ac:dyDescent="0.3">
      <c r="A1065" s="37">
        <v>1061</v>
      </c>
      <c r="B1065" s="38" t="s">
        <v>1</v>
      </c>
      <c r="C1065" s="38" t="s">
        <v>349</v>
      </c>
      <c r="D1065" s="38" t="s">
        <v>359</v>
      </c>
      <c r="E1065" s="38"/>
      <c r="F1065" s="39" t="s">
        <v>519</v>
      </c>
      <c r="G1065" s="40">
        <v>4533</v>
      </c>
      <c r="H1065" s="40">
        <v>1676</v>
      </c>
      <c r="I1065" s="40">
        <v>1090</v>
      </c>
      <c r="J1065" s="40">
        <v>1767</v>
      </c>
      <c r="K1065" s="40">
        <v>6674</v>
      </c>
      <c r="L1065" s="40">
        <v>3653</v>
      </c>
      <c r="M1065" s="40">
        <v>1404</v>
      </c>
      <c r="N1065" s="40">
        <v>1617</v>
      </c>
      <c r="O1065" s="40">
        <v>10963</v>
      </c>
      <c r="P1065" s="40">
        <v>6874</v>
      </c>
      <c r="Q1065" s="40">
        <v>1939</v>
      </c>
      <c r="R1065" s="40">
        <v>2150</v>
      </c>
      <c r="S1065" s="41">
        <v>36.973306899999997</v>
      </c>
      <c r="T1065" s="41">
        <v>24.045885699999999</v>
      </c>
      <c r="U1065" s="41">
        <v>38.980807400000003</v>
      </c>
      <c r="V1065" s="41">
        <v>54.734791700000002</v>
      </c>
      <c r="W1065" s="41">
        <v>21.036859499999998</v>
      </c>
      <c r="X1065" s="41">
        <v>24.228348799999999</v>
      </c>
      <c r="Y1065" s="41">
        <v>62.701815199999999</v>
      </c>
      <c r="Z1065" s="41">
        <v>17.6867646</v>
      </c>
      <c r="AA1065" s="41">
        <v>19.611420200000001</v>
      </c>
    </row>
    <row r="1066" spans="1:39" hidden="1" x14ac:dyDescent="0.3">
      <c r="A1066" s="37">
        <v>1062</v>
      </c>
      <c r="B1066" s="38" t="s">
        <v>1</v>
      </c>
      <c r="C1066" s="38" t="s">
        <v>349</v>
      </c>
      <c r="D1066" s="38" t="s">
        <v>359</v>
      </c>
      <c r="E1066" s="38"/>
      <c r="F1066" s="39" t="s">
        <v>520</v>
      </c>
      <c r="G1066" s="40">
        <v>5169</v>
      </c>
      <c r="H1066" s="40">
        <v>1087</v>
      </c>
      <c r="I1066" s="40">
        <v>952</v>
      </c>
      <c r="J1066" s="40">
        <v>3130</v>
      </c>
      <c r="K1066" s="40">
        <v>7872</v>
      </c>
      <c r="L1066" s="40">
        <v>2679</v>
      </c>
      <c r="M1066" s="40">
        <v>1572</v>
      </c>
      <c r="N1066" s="40">
        <v>3621</v>
      </c>
      <c r="O1066" s="40">
        <v>14141</v>
      </c>
      <c r="P1066" s="40">
        <v>6935</v>
      </c>
      <c r="Q1066" s="40">
        <v>2413</v>
      </c>
      <c r="R1066" s="40">
        <v>4793</v>
      </c>
      <c r="S1066" s="41">
        <v>21.029212600000001</v>
      </c>
      <c r="T1066" s="41">
        <v>18.417488899999999</v>
      </c>
      <c r="U1066" s="41">
        <v>60.553298499999997</v>
      </c>
      <c r="V1066" s="41">
        <v>34.032012199999997</v>
      </c>
      <c r="W1066" s="41">
        <v>19.9695122</v>
      </c>
      <c r="X1066" s="41">
        <v>45.998475599999999</v>
      </c>
      <c r="Y1066" s="41">
        <v>49.041793400000003</v>
      </c>
      <c r="Z1066" s="41">
        <v>17.063856900000001</v>
      </c>
      <c r="AA1066" s="41">
        <v>33.894349800000001</v>
      </c>
    </row>
    <row r="1067" spans="1:39" hidden="1" x14ac:dyDescent="0.3">
      <c r="A1067" s="42">
        <v>1063</v>
      </c>
      <c r="B1067" s="43" t="s">
        <v>521</v>
      </c>
      <c r="C1067" s="50" t="s">
        <v>349</v>
      </c>
      <c r="D1067" s="50" t="s">
        <v>359</v>
      </c>
      <c r="E1067" s="50" t="s">
        <v>360</v>
      </c>
      <c r="F1067" s="51" t="s">
        <v>360</v>
      </c>
      <c r="G1067" s="45">
        <v>7098</v>
      </c>
      <c r="H1067" s="45">
        <v>2061</v>
      </c>
      <c r="I1067" s="45">
        <v>1526</v>
      </c>
      <c r="J1067" s="45">
        <v>3511</v>
      </c>
      <c r="K1067" s="45">
        <v>10825</v>
      </c>
      <c r="L1067" s="45">
        <v>4693</v>
      </c>
      <c r="M1067" s="45">
        <v>2263</v>
      </c>
      <c r="N1067" s="45">
        <v>3869</v>
      </c>
      <c r="O1067" s="45">
        <v>17760</v>
      </c>
      <c r="P1067" s="45">
        <v>9682</v>
      </c>
      <c r="Q1067" s="45">
        <v>3200</v>
      </c>
      <c r="R1067" s="45">
        <v>4878</v>
      </c>
      <c r="S1067" s="46">
        <v>29.0363483</v>
      </c>
      <c r="T1067" s="46">
        <v>21.4990138</v>
      </c>
      <c r="U1067" s="46">
        <v>49.4646379</v>
      </c>
      <c r="V1067" s="46">
        <v>43.353348699999998</v>
      </c>
      <c r="W1067" s="46">
        <v>20.9053118</v>
      </c>
      <c r="X1067" s="46">
        <v>35.741339500000002</v>
      </c>
      <c r="Y1067" s="46">
        <v>54.515765799999997</v>
      </c>
      <c r="Z1067" s="46">
        <v>18.018018000000001</v>
      </c>
      <c r="AA1067" s="46">
        <v>27.466216200000002</v>
      </c>
      <c r="AB1067" s="26">
        <f>SUM(W1067:X1067)</f>
        <v>56.646651300000002</v>
      </c>
      <c r="AC1067" s="26">
        <f>SUM(Z1067:AA1067)</f>
        <v>45.484234200000003</v>
      </c>
      <c r="AD1067" s="57">
        <f>M1067+N1067</f>
        <v>6132</v>
      </c>
      <c r="AE1067" s="57">
        <f>Q1067+R1067</f>
        <v>8078</v>
      </c>
      <c r="AF1067" s="26">
        <f>W1067</f>
        <v>20.9053118</v>
      </c>
      <c r="AG1067" s="26">
        <f>Z1067</f>
        <v>18.018018000000001</v>
      </c>
      <c r="AH1067" s="26">
        <f>M1067</f>
        <v>2263</v>
      </c>
      <c r="AI1067" s="26">
        <f>Q1067</f>
        <v>3200</v>
      </c>
      <c r="AJ1067" s="26">
        <f>X1067</f>
        <v>35.741339500000002</v>
      </c>
      <c r="AK1067" s="26">
        <f>AA1067</f>
        <v>27.466216200000002</v>
      </c>
      <c r="AL1067" s="57">
        <f>N1067</f>
        <v>3869</v>
      </c>
      <c r="AM1067" s="57">
        <f>R1067</f>
        <v>4878</v>
      </c>
    </row>
    <row r="1068" spans="1:39" hidden="1" x14ac:dyDescent="0.3">
      <c r="A1068" s="37">
        <v>1064</v>
      </c>
      <c r="B1068" s="38" t="s">
        <v>521</v>
      </c>
      <c r="C1068" s="38" t="s">
        <v>349</v>
      </c>
      <c r="D1068" s="38" t="s">
        <v>359</v>
      </c>
      <c r="E1068" s="38" t="s">
        <v>360</v>
      </c>
      <c r="F1068" s="47" t="s">
        <v>519</v>
      </c>
      <c r="G1068" s="40">
        <v>3385</v>
      </c>
      <c r="H1068" s="40">
        <v>1308</v>
      </c>
      <c r="I1068" s="40">
        <v>813</v>
      </c>
      <c r="J1068" s="40">
        <v>1264</v>
      </c>
      <c r="K1068" s="40">
        <v>4874</v>
      </c>
      <c r="L1068" s="40">
        <v>2632</v>
      </c>
      <c r="M1068" s="40">
        <v>1017</v>
      </c>
      <c r="N1068" s="40">
        <v>1225</v>
      </c>
      <c r="O1068" s="40">
        <v>8746</v>
      </c>
      <c r="P1068" s="40">
        <v>5457</v>
      </c>
      <c r="Q1068" s="40">
        <v>1517</v>
      </c>
      <c r="R1068" s="40">
        <v>1772</v>
      </c>
      <c r="S1068" s="41">
        <v>38.641063500000001</v>
      </c>
      <c r="T1068" s="41">
        <v>24.017725299999999</v>
      </c>
      <c r="U1068" s="41">
        <v>37.341211199999996</v>
      </c>
      <c r="V1068" s="41">
        <v>54.000820699999998</v>
      </c>
      <c r="W1068" s="41">
        <v>20.865818600000001</v>
      </c>
      <c r="X1068" s="41">
        <v>25.133360700000001</v>
      </c>
      <c r="Y1068" s="41">
        <v>62.394237400000002</v>
      </c>
      <c r="Z1068" s="41">
        <v>17.345071999999998</v>
      </c>
      <c r="AA1068" s="41">
        <v>20.2606906</v>
      </c>
    </row>
    <row r="1069" spans="1:39" hidden="1" x14ac:dyDescent="0.3">
      <c r="A1069" s="37">
        <v>1065</v>
      </c>
      <c r="B1069" s="38" t="s">
        <v>521</v>
      </c>
      <c r="C1069" s="38" t="s">
        <v>349</v>
      </c>
      <c r="D1069" s="38" t="s">
        <v>359</v>
      </c>
      <c r="E1069" s="38" t="s">
        <v>360</v>
      </c>
      <c r="F1069" s="47" t="s">
        <v>520</v>
      </c>
      <c r="G1069" s="40">
        <v>3713</v>
      </c>
      <c r="H1069" s="40">
        <v>753</v>
      </c>
      <c r="I1069" s="40">
        <v>713</v>
      </c>
      <c r="J1069" s="40">
        <v>2247</v>
      </c>
      <c r="K1069" s="40">
        <v>5951</v>
      </c>
      <c r="L1069" s="40">
        <v>2061</v>
      </c>
      <c r="M1069" s="40">
        <v>1246</v>
      </c>
      <c r="N1069" s="40">
        <v>2644</v>
      </c>
      <c r="O1069" s="40">
        <v>9014</v>
      </c>
      <c r="P1069" s="40">
        <v>4225</v>
      </c>
      <c r="Q1069" s="40">
        <v>1683</v>
      </c>
      <c r="R1069" s="40">
        <v>3106</v>
      </c>
      <c r="S1069" s="41">
        <v>20.280097000000001</v>
      </c>
      <c r="T1069" s="41">
        <v>19.202801000000001</v>
      </c>
      <c r="U1069" s="41">
        <v>60.517102100000002</v>
      </c>
      <c r="V1069" s="41">
        <v>34.632834799999998</v>
      </c>
      <c r="W1069" s="41">
        <v>20.9376575</v>
      </c>
      <c r="X1069" s="41">
        <v>44.429507600000001</v>
      </c>
      <c r="Y1069" s="41">
        <v>46.871533200000002</v>
      </c>
      <c r="Z1069" s="41">
        <v>18.6709563</v>
      </c>
      <c r="AA1069" s="41">
        <v>34.457510499999998</v>
      </c>
    </row>
    <row r="1070" spans="1:39" hidden="1" x14ac:dyDescent="0.3">
      <c r="A1070" s="42">
        <v>1066</v>
      </c>
      <c r="B1070" s="43" t="s">
        <v>521</v>
      </c>
      <c r="C1070" s="50" t="s">
        <v>349</v>
      </c>
      <c r="D1070" s="50" t="s">
        <v>359</v>
      </c>
      <c r="E1070" s="50" t="s">
        <v>361</v>
      </c>
      <c r="F1070" s="51" t="s">
        <v>361</v>
      </c>
      <c r="G1070" s="45">
        <v>1873</v>
      </c>
      <c r="H1070" s="45">
        <v>548</v>
      </c>
      <c r="I1070" s="45">
        <v>376</v>
      </c>
      <c r="J1070" s="45">
        <v>949</v>
      </c>
      <c r="K1070" s="45">
        <v>2582</v>
      </c>
      <c r="L1070" s="45">
        <v>1203</v>
      </c>
      <c r="M1070" s="45">
        <v>484</v>
      </c>
      <c r="N1070" s="45">
        <v>895</v>
      </c>
      <c r="O1070" s="45">
        <v>4447</v>
      </c>
      <c r="P1070" s="45">
        <v>2522</v>
      </c>
      <c r="Q1070" s="45">
        <v>762</v>
      </c>
      <c r="R1070" s="45">
        <v>1163</v>
      </c>
      <c r="S1070" s="46">
        <v>29.2578751</v>
      </c>
      <c r="T1070" s="46">
        <v>20.074746399999999</v>
      </c>
      <c r="U1070" s="46">
        <v>50.667378499999998</v>
      </c>
      <c r="V1070" s="46">
        <v>46.591789300000002</v>
      </c>
      <c r="W1070" s="46">
        <v>18.745158799999999</v>
      </c>
      <c r="X1070" s="46">
        <v>34.663051899999999</v>
      </c>
      <c r="Y1070" s="46">
        <v>56.712390399999997</v>
      </c>
      <c r="Z1070" s="46">
        <v>17.1351473</v>
      </c>
      <c r="AA1070" s="46">
        <v>26.1524623</v>
      </c>
      <c r="AB1070" s="26">
        <f>SUM(W1070:X1070)</f>
        <v>53.408210699999998</v>
      </c>
      <c r="AC1070" s="26">
        <f>SUM(Z1070:AA1070)</f>
        <v>43.287609599999996</v>
      </c>
      <c r="AD1070" s="57">
        <f>M1070+N1070</f>
        <v>1379</v>
      </c>
      <c r="AE1070" s="57">
        <f>Q1070+R1070</f>
        <v>1925</v>
      </c>
      <c r="AF1070" s="26">
        <f>W1070</f>
        <v>18.745158799999999</v>
      </c>
      <c r="AG1070" s="26">
        <f>Z1070</f>
        <v>17.1351473</v>
      </c>
      <c r="AH1070" s="26">
        <f>M1070</f>
        <v>484</v>
      </c>
      <c r="AI1070" s="26">
        <f>Q1070</f>
        <v>762</v>
      </c>
      <c r="AJ1070" s="26">
        <f>X1070</f>
        <v>34.663051899999999</v>
      </c>
      <c r="AK1070" s="26">
        <f>AA1070</f>
        <v>26.1524623</v>
      </c>
      <c r="AL1070" s="57">
        <f>N1070</f>
        <v>895</v>
      </c>
      <c r="AM1070" s="57">
        <f>R1070</f>
        <v>1163</v>
      </c>
    </row>
    <row r="1071" spans="1:39" hidden="1" x14ac:dyDescent="0.3">
      <c r="A1071" s="37">
        <v>1067</v>
      </c>
      <c r="B1071" s="38" t="s">
        <v>521</v>
      </c>
      <c r="C1071" s="38" t="s">
        <v>349</v>
      </c>
      <c r="D1071" s="38" t="s">
        <v>359</v>
      </c>
      <c r="E1071" s="38" t="s">
        <v>361</v>
      </c>
      <c r="F1071" s="47" t="s">
        <v>519</v>
      </c>
      <c r="G1071" s="40">
        <v>821</v>
      </c>
      <c r="H1071" s="40">
        <v>294</v>
      </c>
      <c r="I1071" s="40">
        <v>195</v>
      </c>
      <c r="J1071" s="40">
        <v>332</v>
      </c>
      <c r="K1071" s="40">
        <v>1177</v>
      </c>
      <c r="L1071" s="40">
        <v>768</v>
      </c>
      <c r="M1071" s="40">
        <v>238</v>
      </c>
      <c r="N1071" s="40">
        <v>171</v>
      </c>
      <c r="O1071" s="40">
        <v>1456</v>
      </c>
      <c r="P1071" s="40">
        <v>963</v>
      </c>
      <c r="Q1071" s="40">
        <v>278</v>
      </c>
      <c r="R1071" s="40">
        <v>215</v>
      </c>
      <c r="S1071" s="41">
        <v>35.809987800000002</v>
      </c>
      <c r="T1071" s="41">
        <v>23.7515225</v>
      </c>
      <c r="U1071" s="41">
        <v>40.438489599999997</v>
      </c>
      <c r="V1071" s="41">
        <v>65.2506372</v>
      </c>
      <c r="W1071" s="41">
        <v>20.2209006</v>
      </c>
      <c r="X1071" s="41">
        <v>14.5284622</v>
      </c>
      <c r="Y1071" s="41">
        <v>66.140109899999999</v>
      </c>
      <c r="Z1071" s="41">
        <v>19.093406600000002</v>
      </c>
      <c r="AA1071" s="41">
        <v>14.7664835</v>
      </c>
    </row>
    <row r="1072" spans="1:39" hidden="1" x14ac:dyDescent="0.3">
      <c r="A1072" s="37">
        <v>1068</v>
      </c>
      <c r="B1072" s="38" t="s">
        <v>521</v>
      </c>
      <c r="C1072" s="38" t="s">
        <v>349</v>
      </c>
      <c r="D1072" s="38" t="s">
        <v>359</v>
      </c>
      <c r="E1072" s="38" t="s">
        <v>361</v>
      </c>
      <c r="F1072" s="47" t="s">
        <v>520</v>
      </c>
      <c r="G1072" s="40">
        <v>1052</v>
      </c>
      <c r="H1072" s="40">
        <v>254</v>
      </c>
      <c r="I1072" s="40">
        <v>181</v>
      </c>
      <c r="J1072" s="40">
        <v>617</v>
      </c>
      <c r="K1072" s="40">
        <v>1405</v>
      </c>
      <c r="L1072" s="40">
        <v>435</v>
      </c>
      <c r="M1072" s="40">
        <v>246</v>
      </c>
      <c r="N1072" s="40">
        <v>724</v>
      </c>
      <c r="O1072" s="40">
        <v>2991</v>
      </c>
      <c r="P1072" s="40">
        <v>1559</v>
      </c>
      <c r="Q1072" s="40">
        <v>484</v>
      </c>
      <c r="R1072" s="40">
        <v>948</v>
      </c>
      <c r="S1072" s="41">
        <v>24.144486700000002</v>
      </c>
      <c r="T1072" s="41">
        <v>17.205323199999999</v>
      </c>
      <c r="U1072" s="41">
        <v>58.650190100000003</v>
      </c>
      <c r="V1072" s="41">
        <v>30.960854099999999</v>
      </c>
      <c r="W1072" s="41">
        <v>17.508896799999999</v>
      </c>
      <c r="X1072" s="41">
        <v>51.530249099999999</v>
      </c>
      <c r="Y1072" s="41">
        <v>52.123035799999997</v>
      </c>
      <c r="Z1072" s="41">
        <v>16.181878999999999</v>
      </c>
      <c r="AA1072" s="41">
        <v>31.695085299999999</v>
      </c>
    </row>
    <row r="1073" spans="1:39" hidden="1" x14ac:dyDescent="0.3">
      <c r="A1073" s="42">
        <v>1069</v>
      </c>
      <c r="B1073" s="43" t="s">
        <v>521</v>
      </c>
      <c r="C1073" s="50" t="s">
        <v>349</v>
      </c>
      <c r="D1073" s="50" t="s">
        <v>359</v>
      </c>
      <c r="E1073" s="50" t="s">
        <v>362</v>
      </c>
      <c r="F1073" s="51" t="s">
        <v>362</v>
      </c>
      <c r="G1073" s="45">
        <v>731</v>
      </c>
      <c r="H1073" s="45">
        <v>154</v>
      </c>
      <c r="I1073" s="45">
        <v>140</v>
      </c>
      <c r="J1073" s="45">
        <v>437</v>
      </c>
      <c r="K1073" s="45">
        <v>1139</v>
      </c>
      <c r="L1073" s="45">
        <v>436</v>
      </c>
      <c r="M1073" s="45">
        <v>229</v>
      </c>
      <c r="N1073" s="45">
        <v>474</v>
      </c>
      <c r="O1073" s="45">
        <v>2897</v>
      </c>
      <c r="P1073" s="45">
        <v>1605</v>
      </c>
      <c r="Q1073" s="45">
        <v>390</v>
      </c>
      <c r="R1073" s="45">
        <v>902</v>
      </c>
      <c r="S1073" s="46">
        <v>21.067031499999999</v>
      </c>
      <c r="T1073" s="46">
        <v>19.151846800000001</v>
      </c>
      <c r="U1073" s="46">
        <v>59.781121800000001</v>
      </c>
      <c r="V1073" s="46">
        <v>38.279192299999998</v>
      </c>
      <c r="W1073" s="46">
        <v>20.105355599999999</v>
      </c>
      <c r="X1073" s="46">
        <v>41.6154522</v>
      </c>
      <c r="Y1073" s="46">
        <v>55.402140099999997</v>
      </c>
      <c r="Z1073" s="46">
        <v>13.4622023</v>
      </c>
      <c r="AA1073" s="46">
        <v>31.135657599999998</v>
      </c>
      <c r="AB1073" s="26">
        <f>SUM(W1073:X1073)</f>
        <v>61.720807800000003</v>
      </c>
      <c r="AC1073" s="26">
        <f>SUM(Z1073:AA1073)</f>
        <v>44.597859899999996</v>
      </c>
      <c r="AD1073" s="57">
        <f>M1073+N1073</f>
        <v>703</v>
      </c>
      <c r="AE1073" s="57">
        <f>Q1073+R1073</f>
        <v>1292</v>
      </c>
      <c r="AF1073" s="26">
        <f>W1073</f>
        <v>20.105355599999999</v>
      </c>
      <c r="AG1073" s="26">
        <f>Z1073</f>
        <v>13.4622023</v>
      </c>
      <c r="AH1073" s="26">
        <f>M1073</f>
        <v>229</v>
      </c>
      <c r="AI1073" s="26">
        <f>Q1073</f>
        <v>390</v>
      </c>
      <c r="AJ1073" s="26">
        <f>X1073</f>
        <v>41.6154522</v>
      </c>
      <c r="AK1073" s="26">
        <f>AA1073</f>
        <v>31.135657599999998</v>
      </c>
      <c r="AL1073" s="57">
        <f>N1073</f>
        <v>474</v>
      </c>
      <c r="AM1073" s="57">
        <f>R1073</f>
        <v>902</v>
      </c>
    </row>
    <row r="1074" spans="1:39" hidden="1" x14ac:dyDescent="0.3">
      <c r="A1074" s="37">
        <v>1070</v>
      </c>
      <c r="B1074" s="38" t="s">
        <v>521</v>
      </c>
      <c r="C1074" s="38" t="s">
        <v>349</v>
      </c>
      <c r="D1074" s="38" t="s">
        <v>359</v>
      </c>
      <c r="E1074" s="38" t="s">
        <v>362</v>
      </c>
      <c r="F1074" s="47" t="s">
        <v>519</v>
      </c>
      <c r="G1074" s="40">
        <v>327</v>
      </c>
      <c r="H1074" s="40">
        <v>74</v>
      </c>
      <c r="I1074" s="40">
        <v>82</v>
      </c>
      <c r="J1074" s="40">
        <v>171</v>
      </c>
      <c r="K1074" s="40">
        <v>623</v>
      </c>
      <c r="L1074" s="40">
        <v>253</v>
      </c>
      <c r="M1074" s="40">
        <v>149</v>
      </c>
      <c r="N1074" s="40">
        <v>221</v>
      </c>
      <c r="O1074" s="40">
        <v>761</v>
      </c>
      <c r="P1074" s="40">
        <v>454</v>
      </c>
      <c r="Q1074" s="40">
        <v>144</v>
      </c>
      <c r="R1074" s="40">
        <v>163</v>
      </c>
      <c r="S1074" s="41">
        <v>22.6299694</v>
      </c>
      <c r="T1074" s="41">
        <v>25.0764526</v>
      </c>
      <c r="U1074" s="41">
        <v>52.293577999999997</v>
      </c>
      <c r="V1074" s="41">
        <v>40.609951799999997</v>
      </c>
      <c r="W1074" s="41">
        <v>23.9165329</v>
      </c>
      <c r="X1074" s="41">
        <v>35.473515200000001</v>
      </c>
      <c r="Y1074" s="41">
        <v>59.658344300000003</v>
      </c>
      <c r="Z1074" s="41">
        <v>18.922470400000002</v>
      </c>
      <c r="AA1074" s="41">
        <v>21.419185299999999</v>
      </c>
    </row>
    <row r="1075" spans="1:39" hidden="1" x14ac:dyDescent="0.3">
      <c r="A1075" s="37">
        <v>1071</v>
      </c>
      <c r="B1075" s="38" t="s">
        <v>521</v>
      </c>
      <c r="C1075" s="38" t="s">
        <v>349</v>
      </c>
      <c r="D1075" s="38" t="s">
        <v>359</v>
      </c>
      <c r="E1075" s="38" t="s">
        <v>362</v>
      </c>
      <c r="F1075" s="47" t="s">
        <v>520</v>
      </c>
      <c r="G1075" s="40">
        <v>404</v>
      </c>
      <c r="H1075" s="40">
        <v>80</v>
      </c>
      <c r="I1075" s="40">
        <v>58</v>
      </c>
      <c r="J1075" s="40">
        <v>266</v>
      </c>
      <c r="K1075" s="40">
        <v>516</v>
      </c>
      <c r="L1075" s="40">
        <v>183</v>
      </c>
      <c r="M1075" s="40">
        <v>80</v>
      </c>
      <c r="N1075" s="40">
        <v>253</v>
      </c>
      <c r="O1075" s="40">
        <v>2136</v>
      </c>
      <c r="P1075" s="40">
        <v>1151</v>
      </c>
      <c r="Q1075" s="40">
        <v>246</v>
      </c>
      <c r="R1075" s="40">
        <v>739</v>
      </c>
      <c r="S1075" s="41">
        <v>19.801980199999999</v>
      </c>
      <c r="T1075" s="41">
        <v>14.356435599999999</v>
      </c>
      <c r="U1075" s="41">
        <v>65.8415842</v>
      </c>
      <c r="V1075" s="41">
        <v>35.465116299999998</v>
      </c>
      <c r="W1075" s="41">
        <v>15.503876</v>
      </c>
      <c r="X1075" s="41">
        <v>49.031007799999998</v>
      </c>
      <c r="Y1075" s="41">
        <v>53.885767800000004</v>
      </c>
      <c r="Z1075" s="41">
        <v>11.516853899999999</v>
      </c>
      <c r="AA1075" s="41">
        <v>34.597378300000003</v>
      </c>
    </row>
    <row r="1076" spans="1:39" hidden="1" x14ac:dyDescent="0.3">
      <c r="A1076" s="32">
        <v>1072</v>
      </c>
      <c r="B1076" s="33" t="s">
        <v>1</v>
      </c>
      <c r="C1076" s="49" t="s">
        <v>349</v>
      </c>
      <c r="D1076" s="49" t="s">
        <v>363</v>
      </c>
      <c r="E1076" s="49"/>
      <c r="F1076" s="34" t="s">
        <v>363</v>
      </c>
      <c r="G1076" s="35">
        <v>14984</v>
      </c>
      <c r="H1076" s="35">
        <v>5728</v>
      </c>
      <c r="I1076" s="35">
        <v>3051</v>
      </c>
      <c r="J1076" s="35">
        <v>6205</v>
      </c>
      <c r="K1076" s="35">
        <v>24574</v>
      </c>
      <c r="L1076" s="35">
        <v>13556</v>
      </c>
      <c r="M1076" s="35">
        <v>4549</v>
      </c>
      <c r="N1076" s="35">
        <v>6469</v>
      </c>
      <c r="O1076" s="35">
        <v>32331</v>
      </c>
      <c r="P1076" s="35">
        <v>21714</v>
      </c>
      <c r="Q1076" s="35">
        <v>4846</v>
      </c>
      <c r="R1076" s="35">
        <v>5771</v>
      </c>
      <c r="S1076" s="36">
        <v>38.227442600000003</v>
      </c>
      <c r="T1076" s="36">
        <v>20.3617192</v>
      </c>
      <c r="U1076" s="36">
        <v>41.410838200000001</v>
      </c>
      <c r="V1076" s="36">
        <v>55.163994500000001</v>
      </c>
      <c r="W1076" s="36">
        <v>18.5114348</v>
      </c>
      <c r="X1076" s="36">
        <v>26.324570699999999</v>
      </c>
      <c r="Y1076" s="36">
        <v>67.1615477</v>
      </c>
      <c r="Z1076" s="36">
        <v>14.9887105</v>
      </c>
      <c r="AA1076" s="36">
        <v>17.849741699999999</v>
      </c>
    </row>
    <row r="1077" spans="1:39" hidden="1" x14ac:dyDescent="0.3">
      <c r="A1077" s="37">
        <v>1073</v>
      </c>
      <c r="B1077" s="38" t="s">
        <v>1</v>
      </c>
      <c r="C1077" s="38" t="s">
        <v>349</v>
      </c>
      <c r="D1077" s="38" t="s">
        <v>363</v>
      </c>
      <c r="E1077" s="38"/>
      <c r="F1077" s="39" t="s">
        <v>519</v>
      </c>
      <c r="G1077" s="40">
        <v>6594</v>
      </c>
      <c r="H1077" s="40">
        <v>2475</v>
      </c>
      <c r="I1077" s="40">
        <v>1531</v>
      </c>
      <c r="J1077" s="40">
        <v>2588</v>
      </c>
      <c r="K1077" s="40">
        <v>13523</v>
      </c>
      <c r="L1077" s="40">
        <v>7097</v>
      </c>
      <c r="M1077" s="40">
        <v>2754</v>
      </c>
      <c r="N1077" s="40">
        <v>3672</v>
      </c>
      <c r="O1077" s="40">
        <v>16853</v>
      </c>
      <c r="P1077" s="40">
        <v>11027</v>
      </c>
      <c r="Q1077" s="40">
        <v>2933</v>
      </c>
      <c r="R1077" s="40">
        <v>2893</v>
      </c>
      <c r="S1077" s="41">
        <v>37.534121900000002</v>
      </c>
      <c r="T1077" s="41">
        <v>23.218077000000001</v>
      </c>
      <c r="U1077" s="41">
        <v>39.247801000000003</v>
      </c>
      <c r="V1077" s="41">
        <v>52.480958399999999</v>
      </c>
      <c r="W1077" s="41">
        <v>20.365303600000001</v>
      </c>
      <c r="X1077" s="41">
        <v>27.153738100000002</v>
      </c>
      <c r="Y1077" s="41">
        <v>65.430487200000002</v>
      </c>
      <c r="Z1077" s="41">
        <v>17.4034297</v>
      </c>
      <c r="AA1077" s="41">
        <v>17.166083199999999</v>
      </c>
    </row>
    <row r="1078" spans="1:39" hidden="1" x14ac:dyDescent="0.3">
      <c r="A1078" s="37">
        <v>1074</v>
      </c>
      <c r="B1078" s="38" t="s">
        <v>1</v>
      </c>
      <c r="C1078" s="38" t="s">
        <v>349</v>
      </c>
      <c r="D1078" s="38" t="s">
        <v>363</v>
      </c>
      <c r="E1078" s="38"/>
      <c r="F1078" s="39" t="s">
        <v>520</v>
      </c>
      <c r="G1078" s="40">
        <v>8390</v>
      </c>
      <c r="H1078" s="40">
        <v>3253</v>
      </c>
      <c r="I1078" s="40">
        <v>1520</v>
      </c>
      <c r="J1078" s="40">
        <v>3617</v>
      </c>
      <c r="K1078" s="40">
        <v>11051</v>
      </c>
      <c r="L1078" s="40">
        <v>6459</v>
      </c>
      <c r="M1078" s="40">
        <v>1795</v>
      </c>
      <c r="N1078" s="40">
        <v>2797</v>
      </c>
      <c r="O1078" s="40">
        <v>15478</v>
      </c>
      <c r="P1078" s="40">
        <v>10687</v>
      </c>
      <c r="Q1078" s="40">
        <v>1913</v>
      </c>
      <c r="R1078" s="40">
        <v>2878</v>
      </c>
      <c r="S1078" s="41">
        <v>38.772348000000001</v>
      </c>
      <c r="T1078" s="41">
        <v>18.1168057</v>
      </c>
      <c r="U1078" s="41">
        <v>43.110846199999997</v>
      </c>
      <c r="V1078" s="41">
        <v>58.447199300000001</v>
      </c>
      <c r="W1078" s="41">
        <v>16.242873899999999</v>
      </c>
      <c r="X1078" s="41">
        <v>25.309926699999998</v>
      </c>
      <c r="Y1078" s="41">
        <v>69.046388399999998</v>
      </c>
      <c r="Z1078" s="41">
        <v>12.359477999999999</v>
      </c>
      <c r="AA1078" s="41">
        <v>18.594133599999999</v>
      </c>
    </row>
    <row r="1079" spans="1:39" hidden="1" x14ac:dyDescent="0.3">
      <c r="A1079" s="42">
        <v>1075</v>
      </c>
      <c r="B1079" s="43" t="s">
        <v>521</v>
      </c>
      <c r="C1079" s="50" t="s">
        <v>349</v>
      </c>
      <c r="D1079" s="50" t="s">
        <v>363</v>
      </c>
      <c r="E1079" s="50" t="s">
        <v>364</v>
      </c>
      <c r="F1079" s="51" t="s">
        <v>364</v>
      </c>
      <c r="G1079" s="45">
        <v>2743</v>
      </c>
      <c r="H1079" s="45">
        <v>1025</v>
      </c>
      <c r="I1079" s="45">
        <v>547</v>
      </c>
      <c r="J1079" s="45">
        <v>1171</v>
      </c>
      <c r="K1079" s="45">
        <v>3171</v>
      </c>
      <c r="L1079" s="45">
        <v>1670</v>
      </c>
      <c r="M1079" s="45">
        <v>645</v>
      </c>
      <c r="N1079" s="45">
        <v>856</v>
      </c>
      <c r="O1079" s="45">
        <v>3776</v>
      </c>
      <c r="P1079" s="45">
        <v>2470</v>
      </c>
      <c r="Q1079" s="45">
        <v>666</v>
      </c>
      <c r="R1079" s="45">
        <v>640</v>
      </c>
      <c r="S1079" s="46">
        <v>37.3678454</v>
      </c>
      <c r="T1079" s="46">
        <v>19.941669699999998</v>
      </c>
      <c r="U1079" s="46">
        <v>42.690484900000001</v>
      </c>
      <c r="V1079" s="46">
        <v>52.6647745</v>
      </c>
      <c r="W1079" s="46">
        <v>20.340586600000002</v>
      </c>
      <c r="X1079" s="46">
        <v>26.994638900000002</v>
      </c>
      <c r="Y1079" s="46">
        <v>65.413135600000004</v>
      </c>
      <c r="Z1079" s="46">
        <v>17.637711899999999</v>
      </c>
      <c r="AA1079" s="46">
        <v>16.9491525</v>
      </c>
      <c r="AB1079" s="26">
        <f>SUM(W1079:X1079)</f>
        <v>47.335225500000007</v>
      </c>
      <c r="AC1079" s="26">
        <f>SUM(Z1079:AA1079)</f>
        <v>34.586864399999996</v>
      </c>
      <c r="AD1079" s="57">
        <f>M1079+N1079</f>
        <v>1501</v>
      </c>
      <c r="AE1079" s="57">
        <f>Q1079+R1079</f>
        <v>1306</v>
      </c>
      <c r="AF1079" s="26">
        <f>W1079</f>
        <v>20.340586600000002</v>
      </c>
      <c r="AG1079" s="26">
        <f>Z1079</f>
        <v>17.637711899999999</v>
      </c>
      <c r="AH1079" s="26">
        <f>M1079</f>
        <v>645</v>
      </c>
      <c r="AI1079" s="26">
        <f>Q1079</f>
        <v>666</v>
      </c>
      <c r="AJ1079" s="26">
        <f>X1079</f>
        <v>26.994638900000002</v>
      </c>
      <c r="AK1079" s="26">
        <f>AA1079</f>
        <v>16.9491525</v>
      </c>
      <c r="AL1079" s="57">
        <f>N1079</f>
        <v>856</v>
      </c>
      <c r="AM1079" s="57">
        <f>R1079</f>
        <v>640</v>
      </c>
    </row>
    <row r="1080" spans="1:39" hidden="1" x14ac:dyDescent="0.3">
      <c r="A1080" s="37">
        <v>1076</v>
      </c>
      <c r="B1080" s="38" t="s">
        <v>521</v>
      </c>
      <c r="C1080" s="38" t="s">
        <v>349</v>
      </c>
      <c r="D1080" s="38" t="s">
        <v>363</v>
      </c>
      <c r="E1080" s="38" t="s">
        <v>364</v>
      </c>
      <c r="F1080" s="47" t="s">
        <v>519</v>
      </c>
      <c r="G1080" s="40">
        <v>800</v>
      </c>
      <c r="H1080" s="40">
        <v>359</v>
      </c>
      <c r="I1080" s="40">
        <v>171</v>
      </c>
      <c r="J1080" s="40">
        <v>270</v>
      </c>
      <c r="K1080" s="40">
        <v>1019</v>
      </c>
      <c r="L1080" s="40">
        <v>582</v>
      </c>
      <c r="M1080" s="40">
        <v>200</v>
      </c>
      <c r="N1080" s="40">
        <v>237</v>
      </c>
      <c r="O1080" s="40">
        <v>1435</v>
      </c>
      <c r="P1080" s="40">
        <v>972</v>
      </c>
      <c r="Q1080" s="40">
        <v>260</v>
      </c>
      <c r="R1080" s="40">
        <v>203</v>
      </c>
      <c r="S1080" s="41">
        <v>44.875</v>
      </c>
      <c r="T1080" s="41">
        <v>21.375</v>
      </c>
      <c r="U1080" s="41">
        <v>33.75</v>
      </c>
      <c r="V1080" s="41">
        <v>57.114818399999997</v>
      </c>
      <c r="W1080" s="41">
        <v>19.627085399999999</v>
      </c>
      <c r="X1080" s="41">
        <v>23.258096200000001</v>
      </c>
      <c r="Y1080" s="41">
        <v>67.735191599999993</v>
      </c>
      <c r="Z1080" s="41">
        <v>18.118466900000001</v>
      </c>
      <c r="AA1080" s="41">
        <v>14.1463415</v>
      </c>
    </row>
    <row r="1081" spans="1:39" hidden="1" x14ac:dyDescent="0.3">
      <c r="A1081" s="37">
        <v>1077</v>
      </c>
      <c r="B1081" s="38" t="s">
        <v>521</v>
      </c>
      <c r="C1081" s="38" t="s">
        <v>349</v>
      </c>
      <c r="D1081" s="38" t="s">
        <v>363</v>
      </c>
      <c r="E1081" s="38" t="s">
        <v>364</v>
      </c>
      <c r="F1081" s="47" t="s">
        <v>520</v>
      </c>
      <c r="G1081" s="40">
        <v>1943</v>
      </c>
      <c r="H1081" s="40">
        <v>666</v>
      </c>
      <c r="I1081" s="40">
        <v>376</v>
      </c>
      <c r="J1081" s="40">
        <v>901</v>
      </c>
      <c r="K1081" s="40">
        <v>2152</v>
      </c>
      <c r="L1081" s="40">
        <v>1088</v>
      </c>
      <c r="M1081" s="40">
        <v>445</v>
      </c>
      <c r="N1081" s="40">
        <v>619</v>
      </c>
      <c r="O1081" s="40">
        <v>2341</v>
      </c>
      <c r="P1081" s="40">
        <v>1498</v>
      </c>
      <c r="Q1081" s="40">
        <v>406</v>
      </c>
      <c r="R1081" s="40">
        <v>437</v>
      </c>
      <c r="S1081" s="41">
        <v>34.276891399999997</v>
      </c>
      <c r="T1081" s="41">
        <v>19.351518299999999</v>
      </c>
      <c r="U1081" s="41">
        <v>46.371590300000001</v>
      </c>
      <c r="V1081" s="41">
        <v>50.557620800000002</v>
      </c>
      <c r="W1081" s="41">
        <v>20.678438700000001</v>
      </c>
      <c r="X1081" s="41">
        <v>28.7639405</v>
      </c>
      <c r="Y1081" s="41">
        <v>63.989747999999999</v>
      </c>
      <c r="Z1081" s="41">
        <v>17.3430158</v>
      </c>
      <c r="AA1081" s="41">
        <v>18.667236200000001</v>
      </c>
    </row>
    <row r="1082" spans="1:39" hidden="1" x14ac:dyDescent="0.3">
      <c r="A1082" s="42">
        <v>1078</v>
      </c>
      <c r="B1082" s="43" t="s">
        <v>521</v>
      </c>
      <c r="C1082" s="50" t="s">
        <v>349</v>
      </c>
      <c r="D1082" s="50" t="s">
        <v>363</v>
      </c>
      <c r="E1082" s="50" t="s">
        <v>365</v>
      </c>
      <c r="F1082" s="51" t="s">
        <v>365</v>
      </c>
      <c r="G1082" s="45">
        <v>3329</v>
      </c>
      <c r="H1082" s="45">
        <v>1191</v>
      </c>
      <c r="I1082" s="45">
        <v>730</v>
      </c>
      <c r="J1082" s="45">
        <v>1408</v>
      </c>
      <c r="K1082" s="45">
        <v>4573</v>
      </c>
      <c r="L1082" s="45">
        <v>2158</v>
      </c>
      <c r="M1082" s="45">
        <v>899</v>
      </c>
      <c r="N1082" s="45">
        <v>1516</v>
      </c>
      <c r="O1082" s="45">
        <v>5523</v>
      </c>
      <c r="P1082" s="45">
        <v>3586</v>
      </c>
      <c r="Q1082" s="45">
        <v>951</v>
      </c>
      <c r="R1082" s="45">
        <v>986</v>
      </c>
      <c r="S1082" s="46">
        <v>35.776509500000003</v>
      </c>
      <c r="T1082" s="46">
        <v>21.928507100000001</v>
      </c>
      <c r="U1082" s="46">
        <v>42.294983500000001</v>
      </c>
      <c r="V1082" s="46">
        <v>47.190028400000003</v>
      </c>
      <c r="W1082" s="46">
        <v>19.658867300000001</v>
      </c>
      <c r="X1082" s="46">
        <v>33.1511043</v>
      </c>
      <c r="Y1082" s="46">
        <v>64.928480899999997</v>
      </c>
      <c r="Z1082" s="46">
        <v>17.218902799999999</v>
      </c>
      <c r="AA1082" s="46">
        <v>17.852616300000001</v>
      </c>
      <c r="AB1082" s="26">
        <f>SUM(W1082:X1082)</f>
        <v>52.809971599999997</v>
      </c>
      <c r="AC1082" s="26">
        <f>SUM(Z1082:AA1082)</f>
        <v>35.071519100000003</v>
      </c>
      <c r="AD1082" s="57">
        <f>M1082+N1082</f>
        <v>2415</v>
      </c>
      <c r="AE1082" s="57">
        <f>Q1082+R1082</f>
        <v>1937</v>
      </c>
      <c r="AF1082" s="26">
        <f>W1082</f>
        <v>19.658867300000001</v>
      </c>
      <c r="AG1082" s="26">
        <f>Z1082</f>
        <v>17.218902799999999</v>
      </c>
      <c r="AH1082" s="26">
        <f>M1082</f>
        <v>899</v>
      </c>
      <c r="AI1082" s="26">
        <f>Q1082</f>
        <v>951</v>
      </c>
      <c r="AJ1082" s="26">
        <f>X1082</f>
        <v>33.1511043</v>
      </c>
      <c r="AK1082" s="26">
        <f>AA1082</f>
        <v>17.852616300000001</v>
      </c>
      <c r="AL1082" s="57">
        <f>N1082</f>
        <v>1516</v>
      </c>
      <c r="AM1082" s="57">
        <f>R1082</f>
        <v>986</v>
      </c>
    </row>
    <row r="1083" spans="1:39" hidden="1" x14ac:dyDescent="0.3">
      <c r="A1083" s="37">
        <v>1079</v>
      </c>
      <c r="B1083" s="38" t="s">
        <v>521</v>
      </c>
      <c r="C1083" s="38" t="s">
        <v>349</v>
      </c>
      <c r="D1083" s="38" t="s">
        <v>363</v>
      </c>
      <c r="E1083" s="38" t="s">
        <v>365</v>
      </c>
      <c r="F1083" s="47" t="s">
        <v>519</v>
      </c>
      <c r="G1083" s="40">
        <v>1916</v>
      </c>
      <c r="H1083" s="40">
        <v>685</v>
      </c>
      <c r="I1083" s="40">
        <v>456</v>
      </c>
      <c r="J1083" s="40">
        <v>775</v>
      </c>
      <c r="K1083" s="40">
        <v>2936</v>
      </c>
      <c r="L1083" s="40">
        <v>1453</v>
      </c>
      <c r="M1083" s="40">
        <v>608</v>
      </c>
      <c r="N1083" s="40">
        <v>875</v>
      </c>
      <c r="O1083" s="40">
        <v>3491</v>
      </c>
      <c r="P1083" s="40">
        <v>2264</v>
      </c>
      <c r="Q1083" s="40">
        <v>643</v>
      </c>
      <c r="R1083" s="40">
        <v>584</v>
      </c>
      <c r="S1083" s="41">
        <v>35.751565800000002</v>
      </c>
      <c r="T1083" s="41">
        <v>23.7995825</v>
      </c>
      <c r="U1083" s="41">
        <v>40.4488518</v>
      </c>
      <c r="V1083" s="41">
        <v>49.489100800000003</v>
      </c>
      <c r="W1083" s="41">
        <v>20.708446899999998</v>
      </c>
      <c r="X1083" s="41">
        <v>29.802452299999999</v>
      </c>
      <c r="Y1083" s="41">
        <v>64.852477800000003</v>
      </c>
      <c r="Z1083" s="41">
        <v>18.418791200000001</v>
      </c>
      <c r="AA1083" s="41">
        <v>16.728731</v>
      </c>
    </row>
    <row r="1084" spans="1:39" hidden="1" x14ac:dyDescent="0.3">
      <c r="A1084" s="37">
        <v>1080</v>
      </c>
      <c r="B1084" s="38" t="s">
        <v>521</v>
      </c>
      <c r="C1084" s="38" t="s">
        <v>349</v>
      </c>
      <c r="D1084" s="38" t="s">
        <v>363</v>
      </c>
      <c r="E1084" s="38" t="s">
        <v>365</v>
      </c>
      <c r="F1084" s="47" t="s">
        <v>520</v>
      </c>
      <c r="G1084" s="40">
        <v>1413</v>
      </c>
      <c r="H1084" s="40">
        <v>506</v>
      </c>
      <c r="I1084" s="40">
        <v>274</v>
      </c>
      <c r="J1084" s="40">
        <v>633</v>
      </c>
      <c r="K1084" s="40">
        <v>1637</v>
      </c>
      <c r="L1084" s="40">
        <v>705</v>
      </c>
      <c r="M1084" s="40">
        <v>291</v>
      </c>
      <c r="N1084" s="40">
        <v>641</v>
      </c>
      <c r="O1084" s="40">
        <v>2032</v>
      </c>
      <c r="P1084" s="40">
        <v>1322</v>
      </c>
      <c r="Q1084" s="40">
        <v>308</v>
      </c>
      <c r="R1084" s="40">
        <v>402</v>
      </c>
      <c r="S1084" s="41">
        <v>35.810332600000002</v>
      </c>
      <c r="T1084" s="41">
        <v>19.3913659</v>
      </c>
      <c r="U1084" s="41">
        <v>44.798301500000001</v>
      </c>
      <c r="V1084" s="41">
        <v>43.066585199999999</v>
      </c>
      <c r="W1084" s="41">
        <v>17.776420300000002</v>
      </c>
      <c r="X1084" s="41">
        <v>39.156994500000003</v>
      </c>
      <c r="Y1084" s="41">
        <v>65.059055099999995</v>
      </c>
      <c r="Z1084" s="41">
        <v>15.1574803</v>
      </c>
      <c r="AA1084" s="41">
        <v>19.783464599999999</v>
      </c>
    </row>
    <row r="1085" spans="1:39" hidden="1" x14ac:dyDescent="0.3">
      <c r="A1085" s="42">
        <v>1081</v>
      </c>
      <c r="B1085" s="43" t="s">
        <v>521</v>
      </c>
      <c r="C1085" s="50" t="s">
        <v>349</v>
      </c>
      <c r="D1085" s="50" t="s">
        <v>363</v>
      </c>
      <c r="E1085" s="50" t="s">
        <v>366</v>
      </c>
      <c r="F1085" s="51" t="s">
        <v>366</v>
      </c>
      <c r="G1085" s="45">
        <v>6751</v>
      </c>
      <c r="H1085" s="45">
        <v>2603</v>
      </c>
      <c r="I1085" s="45">
        <v>1389</v>
      </c>
      <c r="J1085" s="45">
        <v>2759</v>
      </c>
      <c r="K1085" s="45">
        <v>14775</v>
      </c>
      <c r="L1085" s="45">
        <v>8735</v>
      </c>
      <c r="M1085" s="45">
        <v>2624</v>
      </c>
      <c r="N1085" s="45">
        <v>3416</v>
      </c>
      <c r="O1085" s="45">
        <v>20075</v>
      </c>
      <c r="P1085" s="45">
        <v>13782</v>
      </c>
      <c r="Q1085" s="45">
        <v>2694</v>
      </c>
      <c r="R1085" s="45">
        <v>3599</v>
      </c>
      <c r="S1085" s="46">
        <v>38.557250799999998</v>
      </c>
      <c r="T1085" s="46">
        <v>20.574729699999999</v>
      </c>
      <c r="U1085" s="46">
        <v>40.868019599999997</v>
      </c>
      <c r="V1085" s="46">
        <v>59.120135400000002</v>
      </c>
      <c r="W1085" s="46">
        <v>17.7597293</v>
      </c>
      <c r="X1085" s="46">
        <v>23.120135399999999</v>
      </c>
      <c r="Y1085" s="46">
        <v>68.652552900000003</v>
      </c>
      <c r="Z1085" s="46">
        <v>13.4196762</v>
      </c>
      <c r="AA1085" s="46">
        <v>17.927770899999999</v>
      </c>
      <c r="AB1085" s="26">
        <f>SUM(W1085:X1085)</f>
        <v>40.879864699999999</v>
      </c>
      <c r="AC1085" s="26">
        <f>SUM(Z1085:AA1085)</f>
        <v>31.347447099999997</v>
      </c>
      <c r="AD1085" s="57">
        <f>M1085+N1085</f>
        <v>6040</v>
      </c>
      <c r="AE1085" s="57">
        <f>Q1085+R1085</f>
        <v>6293</v>
      </c>
      <c r="AF1085" s="26">
        <f>W1085</f>
        <v>17.7597293</v>
      </c>
      <c r="AG1085" s="26">
        <f>Z1085</f>
        <v>13.4196762</v>
      </c>
      <c r="AH1085" s="26">
        <f>M1085</f>
        <v>2624</v>
      </c>
      <c r="AI1085" s="26">
        <f>Q1085</f>
        <v>2694</v>
      </c>
      <c r="AJ1085" s="26">
        <f>X1085</f>
        <v>23.120135399999999</v>
      </c>
      <c r="AK1085" s="26">
        <f>AA1085</f>
        <v>17.927770899999999</v>
      </c>
      <c r="AL1085" s="57">
        <f>N1085</f>
        <v>3416</v>
      </c>
      <c r="AM1085" s="57">
        <f>R1085</f>
        <v>3599</v>
      </c>
    </row>
    <row r="1086" spans="1:39" hidden="1" x14ac:dyDescent="0.3">
      <c r="A1086" s="37">
        <v>1082</v>
      </c>
      <c r="B1086" s="38" t="s">
        <v>521</v>
      </c>
      <c r="C1086" s="38" t="s">
        <v>349</v>
      </c>
      <c r="D1086" s="38" t="s">
        <v>363</v>
      </c>
      <c r="E1086" s="38" t="s">
        <v>366</v>
      </c>
      <c r="F1086" s="47" t="s">
        <v>519</v>
      </c>
      <c r="G1086" s="40">
        <v>3210</v>
      </c>
      <c r="H1086" s="40">
        <v>1203</v>
      </c>
      <c r="I1086" s="40">
        <v>749</v>
      </c>
      <c r="J1086" s="40">
        <v>1258</v>
      </c>
      <c r="K1086" s="40">
        <v>8484</v>
      </c>
      <c r="L1086" s="40">
        <v>4549</v>
      </c>
      <c r="M1086" s="40">
        <v>1740</v>
      </c>
      <c r="N1086" s="40">
        <v>2195</v>
      </c>
      <c r="O1086" s="40">
        <v>10463</v>
      </c>
      <c r="P1086" s="40">
        <v>6908</v>
      </c>
      <c r="Q1086" s="40">
        <v>1726</v>
      </c>
      <c r="R1086" s="40">
        <v>1829</v>
      </c>
      <c r="S1086" s="41">
        <v>37.4766355</v>
      </c>
      <c r="T1086" s="41">
        <v>23.3333333</v>
      </c>
      <c r="U1086" s="41">
        <v>39.1900312</v>
      </c>
      <c r="V1086" s="41">
        <v>53.618576099999999</v>
      </c>
      <c r="W1086" s="41">
        <v>20.509193799999998</v>
      </c>
      <c r="X1086" s="41">
        <v>25.872230099999999</v>
      </c>
      <c r="Y1086" s="41">
        <v>66.023129100000006</v>
      </c>
      <c r="Z1086" s="41">
        <v>16.4962248</v>
      </c>
      <c r="AA1086" s="41">
        <v>17.480646100000001</v>
      </c>
    </row>
    <row r="1087" spans="1:39" hidden="1" x14ac:dyDescent="0.3">
      <c r="A1087" s="37">
        <v>1083</v>
      </c>
      <c r="B1087" s="38" t="s">
        <v>521</v>
      </c>
      <c r="C1087" s="38" t="s">
        <v>349</v>
      </c>
      <c r="D1087" s="38" t="s">
        <v>363</v>
      </c>
      <c r="E1087" s="38" t="s">
        <v>366</v>
      </c>
      <c r="F1087" s="47" t="s">
        <v>520</v>
      </c>
      <c r="G1087" s="40">
        <v>3541</v>
      </c>
      <c r="H1087" s="40">
        <v>1400</v>
      </c>
      <c r="I1087" s="40">
        <v>640</v>
      </c>
      <c r="J1087" s="40">
        <v>1501</v>
      </c>
      <c r="K1087" s="40">
        <v>6291</v>
      </c>
      <c r="L1087" s="40">
        <v>4186</v>
      </c>
      <c r="M1087" s="40">
        <v>884</v>
      </c>
      <c r="N1087" s="40">
        <v>1221</v>
      </c>
      <c r="O1087" s="40">
        <v>9612</v>
      </c>
      <c r="P1087" s="40">
        <v>6874</v>
      </c>
      <c r="Q1087" s="40">
        <v>968</v>
      </c>
      <c r="R1087" s="40">
        <v>1770</v>
      </c>
      <c r="S1087" s="41">
        <v>39.536853999999998</v>
      </c>
      <c r="T1087" s="41">
        <v>18.0739904</v>
      </c>
      <c r="U1087" s="41">
        <v>42.389155600000002</v>
      </c>
      <c r="V1087" s="41">
        <v>66.539500899999993</v>
      </c>
      <c r="W1087" s="41">
        <v>14.0518201</v>
      </c>
      <c r="X1087" s="41">
        <v>19.408679100000001</v>
      </c>
      <c r="Y1087" s="41">
        <v>71.514773199999993</v>
      </c>
      <c r="Z1087" s="41">
        <v>10.070744899999999</v>
      </c>
      <c r="AA1087" s="41">
        <v>18.414481899999998</v>
      </c>
    </row>
    <row r="1088" spans="1:39" hidden="1" x14ac:dyDescent="0.3">
      <c r="A1088" s="42">
        <v>1084</v>
      </c>
      <c r="B1088" s="43" t="s">
        <v>521</v>
      </c>
      <c r="C1088" s="50" t="s">
        <v>349</v>
      </c>
      <c r="D1088" s="50" t="s">
        <v>363</v>
      </c>
      <c r="E1088" s="50" t="s">
        <v>367</v>
      </c>
      <c r="F1088" s="51" t="s">
        <v>367</v>
      </c>
      <c r="G1088" s="45">
        <v>2161</v>
      </c>
      <c r="H1088" s="45">
        <v>909</v>
      </c>
      <c r="I1088" s="45">
        <v>385</v>
      </c>
      <c r="J1088" s="45">
        <v>867</v>
      </c>
      <c r="K1088" s="45">
        <v>2055</v>
      </c>
      <c r="L1088" s="45">
        <v>993</v>
      </c>
      <c r="M1088" s="45">
        <v>381</v>
      </c>
      <c r="N1088" s="45">
        <v>681</v>
      </c>
      <c r="O1088" s="45">
        <v>2957</v>
      </c>
      <c r="P1088" s="45">
        <v>1876</v>
      </c>
      <c r="Q1088" s="45">
        <v>535</v>
      </c>
      <c r="R1088" s="45">
        <v>546</v>
      </c>
      <c r="S1088" s="46">
        <v>42.063859299999997</v>
      </c>
      <c r="T1088" s="46">
        <v>17.815826000000001</v>
      </c>
      <c r="U1088" s="46">
        <v>40.120314700000002</v>
      </c>
      <c r="V1088" s="46">
        <v>48.321167899999999</v>
      </c>
      <c r="W1088" s="46">
        <v>18.540146</v>
      </c>
      <c r="X1088" s="46">
        <v>33.138686100000001</v>
      </c>
      <c r="Y1088" s="46">
        <v>63.442678399999998</v>
      </c>
      <c r="Z1088" s="46">
        <v>18.092661499999998</v>
      </c>
      <c r="AA1088" s="46">
        <v>18.4646601</v>
      </c>
      <c r="AB1088" s="26">
        <f>SUM(W1088:X1088)</f>
        <v>51.678832100000001</v>
      </c>
      <c r="AC1088" s="26">
        <f>SUM(Z1088:AA1088)</f>
        <v>36.557321599999995</v>
      </c>
      <c r="AD1088" s="57">
        <f>M1088+N1088</f>
        <v>1062</v>
      </c>
      <c r="AE1088" s="57">
        <f>Q1088+R1088</f>
        <v>1081</v>
      </c>
      <c r="AF1088" s="26">
        <f>W1088</f>
        <v>18.540146</v>
      </c>
      <c r="AG1088" s="26">
        <f>Z1088</f>
        <v>18.092661499999998</v>
      </c>
      <c r="AH1088" s="26">
        <f>M1088</f>
        <v>381</v>
      </c>
      <c r="AI1088" s="26">
        <f>Q1088</f>
        <v>535</v>
      </c>
      <c r="AJ1088" s="26">
        <f>X1088</f>
        <v>33.138686100000001</v>
      </c>
      <c r="AK1088" s="26">
        <f>AA1088</f>
        <v>18.4646601</v>
      </c>
      <c r="AL1088" s="57">
        <f>N1088</f>
        <v>681</v>
      </c>
      <c r="AM1088" s="57">
        <f>R1088</f>
        <v>546</v>
      </c>
    </row>
    <row r="1089" spans="1:39" hidden="1" x14ac:dyDescent="0.3">
      <c r="A1089" s="37">
        <v>1085</v>
      </c>
      <c r="B1089" s="38" t="s">
        <v>521</v>
      </c>
      <c r="C1089" s="38" t="s">
        <v>349</v>
      </c>
      <c r="D1089" s="38" t="s">
        <v>363</v>
      </c>
      <c r="E1089" s="38" t="s">
        <v>367</v>
      </c>
      <c r="F1089" s="47" t="s">
        <v>519</v>
      </c>
      <c r="G1089" s="40">
        <v>668</v>
      </c>
      <c r="H1089" s="40">
        <v>228</v>
      </c>
      <c r="I1089" s="40">
        <v>155</v>
      </c>
      <c r="J1089" s="40">
        <v>285</v>
      </c>
      <c r="K1089" s="40">
        <v>1084</v>
      </c>
      <c r="L1089" s="40">
        <v>513</v>
      </c>
      <c r="M1089" s="40">
        <v>206</v>
      </c>
      <c r="N1089" s="40">
        <v>365</v>
      </c>
      <c r="O1089" s="40">
        <v>1464</v>
      </c>
      <c r="P1089" s="40">
        <v>883</v>
      </c>
      <c r="Q1089" s="40">
        <v>304</v>
      </c>
      <c r="R1089" s="40">
        <v>277</v>
      </c>
      <c r="S1089" s="41">
        <v>34.131736500000002</v>
      </c>
      <c r="T1089" s="41">
        <v>23.203592799999999</v>
      </c>
      <c r="U1089" s="41">
        <v>42.664670700000002</v>
      </c>
      <c r="V1089" s="41">
        <v>47.324723200000001</v>
      </c>
      <c r="W1089" s="41">
        <v>19.003689999999999</v>
      </c>
      <c r="X1089" s="41">
        <v>33.671586699999999</v>
      </c>
      <c r="Y1089" s="41">
        <v>60.314207699999997</v>
      </c>
      <c r="Z1089" s="41">
        <v>20.7650273</v>
      </c>
      <c r="AA1089" s="41">
        <v>18.920764999999999</v>
      </c>
    </row>
    <row r="1090" spans="1:39" hidden="1" x14ac:dyDescent="0.3">
      <c r="A1090" s="37">
        <v>1086</v>
      </c>
      <c r="B1090" s="38" t="s">
        <v>521</v>
      </c>
      <c r="C1090" s="38" t="s">
        <v>349</v>
      </c>
      <c r="D1090" s="38" t="s">
        <v>363</v>
      </c>
      <c r="E1090" s="38" t="s">
        <v>367</v>
      </c>
      <c r="F1090" s="47" t="s">
        <v>520</v>
      </c>
      <c r="G1090" s="40">
        <v>1493</v>
      </c>
      <c r="H1090" s="40">
        <v>681</v>
      </c>
      <c r="I1090" s="40">
        <v>230</v>
      </c>
      <c r="J1090" s="40">
        <v>582</v>
      </c>
      <c r="K1090" s="40">
        <v>971</v>
      </c>
      <c r="L1090" s="40">
        <v>480</v>
      </c>
      <c r="M1090" s="40">
        <v>175</v>
      </c>
      <c r="N1090" s="40">
        <v>316</v>
      </c>
      <c r="O1090" s="40">
        <v>1493</v>
      </c>
      <c r="P1090" s="40">
        <v>993</v>
      </c>
      <c r="Q1090" s="40">
        <v>231</v>
      </c>
      <c r="R1090" s="40">
        <v>269</v>
      </c>
      <c r="S1090" s="41">
        <v>45.612859999999998</v>
      </c>
      <c r="T1090" s="41">
        <v>15.4052244</v>
      </c>
      <c r="U1090" s="41">
        <v>38.981915600000001</v>
      </c>
      <c r="V1090" s="41">
        <v>49.433573600000003</v>
      </c>
      <c r="W1090" s="41">
        <v>18.0226571</v>
      </c>
      <c r="X1090" s="41">
        <v>32.543769300000001</v>
      </c>
      <c r="Y1090" s="41">
        <v>66.510381800000005</v>
      </c>
      <c r="Z1090" s="41">
        <v>15.4722036</v>
      </c>
      <c r="AA1090" s="41">
        <v>18.017414599999999</v>
      </c>
    </row>
    <row r="1091" spans="1:39" hidden="1" x14ac:dyDescent="0.3">
      <c r="A1091" s="32">
        <v>1087</v>
      </c>
      <c r="B1091" s="33" t="s">
        <v>1</v>
      </c>
      <c r="C1091" s="49" t="s">
        <v>349</v>
      </c>
      <c r="D1091" s="49" t="s">
        <v>368</v>
      </c>
      <c r="E1091" s="49"/>
      <c r="F1091" s="34" t="s">
        <v>368</v>
      </c>
      <c r="G1091" s="35">
        <v>10956</v>
      </c>
      <c r="H1091" s="35">
        <v>3817</v>
      </c>
      <c r="I1091" s="35">
        <v>2388</v>
      </c>
      <c r="J1091" s="35">
        <v>4751</v>
      </c>
      <c r="K1091" s="35">
        <v>15495</v>
      </c>
      <c r="L1091" s="35">
        <v>7039</v>
      </c>
      <c r="M1091" s="35">
        <v>3415</v>
      </c>
      <c r="N1091" s="35">
        <v>5041</v>
      </c>
      <c r="O1091" s="35">
        <v>29925</v>
      </c>
      <c r="P1091" s="35">
        <v>17055</v>
      </c>
      <c r="Q1091" s="35">
        <v>5585</v>
      </c>
      <c r="R1091" s="35">
        <v>7285</v>
      </c>
      <c r="S1091" s="36">
        <v>34.839357399999997</v>
      </c>
      <c r="T1091" s="36">
        <v>21.796275999999999</v>
      </c>
      <c r="U1091" s="36">
        <v>43.364366599999997</v>
      </c>
      <c r="V1091" s="36">
        <v>45.427557299999997</v>
      </c>
      <c r="W1091" s="36">
        <v>22.039367500000001</v>
      </c>
      <c r="X1091" s="36">
        <v>32.533075199999999</v>
      </c>
      <c r="Y1091" s="36">
        <v>56.9924812</v>
      </c>
      <c r="Z1091" s="36">
        <v>18.663325</v>
      </c>
      <c r="AA1091" s="36">
        <v>24.344193799999999</v>
      </c>
    </row>
    <row r="1092" spans="1:39" hidden="1" x14ac:dyDescent="0.3">
      <c r="A1092" s="37">
        <v>1088</v>
      </c>
      <c r="B1092" s="38" t="s">
        <v>1</v>
      </c>
      <c r="C1092" s="38" t="s">
        <v>349</v>
      </c>
      <c r="D1092" s="38" t="s">
        <v>368</v>
      </c>
      <c r="E1092" s="38"/>
      <c r="F1092" s="39" t="s">
        <v>519</v>
      </c>
      <c r="G1092" s="40">
        <v>4829</v>
      </c>
      <c r="H1092" s="40">
        <v>1872</v>
      </c>
      <c r="I1092" s="40">
        <v>1047</v>
      </c>
      <c r="J1092" s="40">
        <v>1910</v>
      </c>
      <c r="K1092" s="40">
        <v>7260</v>
      </c>
      <c r="L1092" s="40">
        <v>3750</v>
      </c>
      <c r="M1092" s="40">
        <v>1605</v>
      </c>
      <c r="N1092" s="40">
        <v>1905</v>
      </c>
      <c r="O1092" s="40">
        <v>11099</v>
      </c>
      <c r="P1092" s="40">
        <v>6713</v>
      </c>
      <c r="Q1092" s="40">
        <v>2080</v>
      </c>
      <c r="R1092" s="40">
        <v>2306</v>
      </c>
      <c r="S1092" s="41">
        <v>38.765790000000003</v>
      </c>
      <c r="T1092" s="41">
        <v>21.6815076</v>
      </c>
      <c r="U1092" s="41">
        <v>39.552702400000001</v>
      </c>
      <c r="V1092" s="41">
        <v>51.652892600000001</v>
      </c>
      <c r="W1092" s="41">
        <v>22.107437999999998</v>
      </c>
      <c r="X1092" s="41">
        <v>26.2396694</v>
      </c>
      <c r="Y1092" s="41">
        <v>60.482926399999997</v>
      </c>
      <c r="Z1092" s="41">
        <v>18.740427100000002</v>
      </c>
      <c r="AA1092" s="41">
        <v>20.776646499999998</v>
      </c>
    </row>
    <row r="1093" spans="1:39" hidden="1" x14ac:dyDescent="0.3">
      <c r="A1093" s="37">
        <v>1089</v>
      </c>
      <c r="B1093" s="38" t="s">
        <v>1</v>
      </c>
      <c r="C1093" s="38" t="s">
        <v>349</v>
      </c>
      <c r="D1093" s="38" t="s">
        <v>368</v>
      </c>
      <c r="E1093" s="38"/>
      <c r="F1093" s="39" t="s">
        <v>520</v>
      </c>
      <c r="G1093" s="40">
        <v>6127</v>
      </c>
      <c r="H1093" s="40">
        <v>1945</v>
      </c>
      <c r="I1093" s="40">
        <v>1341</v>
      </c>
      <c r="J1093" s="40">
        <v>2841</v>
      </c>
      <c r="K1093" s="40">
        <v>8235</v>
      </c>
      <c r="L1093" s="40">
        <v>3289</v>
      </c>
      <c r="M1093" s="40">
        <v>1810</v>
      </c>
      <c r="N1093" s="40">
        <v>3136</v>
      </c>
      <c r="O1093" s="40">
        <v>18826</v>
      </c>
      <c r="P1093" s="40">
        <v>10342</v>
      </c>
      <c r="Q1093" s="40">
        <v>3505</v>
      </c>
      <c r="R1093" s="40">
        <v>4979</v>
      </c>
      <c r="S1093" s="41">
        <v>31.744736400000001</v>
      </c>
      <c r="T1093" s="41">
        <v>21.8867309</v>
      </c>
      <c r="U1093" s="41">
        <v>46.368532700000003</v>
      </c>
      <c r="V1093" s="41">
        <v>39.939283500000002</v>
      </c>
      <c r="W1093" s="41">
        <v>21.9793564</v>
      </c>
      <c r="X1093" s="41">
        <v>38.081359999999997</v>
      </c>
      <c r="Y1093" s="41">
        <v>54.9346648</v>
      </c>
      <c r="Z1093" s="41">
        <v>18.617868900000001</v>
      </c>
      <c r="AA1093" s="41">
        <v>26.447466299999999</v>
      </c>
    </row>
    <row r="1094" spans="1:39" hidden="1" x14ac:dyDescent="0.3">
      <c r="A1094" s="42">
        <v>1090</v>
      </c>
      <c r="B1094" s="43" t="s">
        <v>521</v>
      </c>
      <c r="C1094" s="50" t="s">
        <v>349</v>
      </c>
      <c r="D1094" s="50" t="s">
        <v>368</v>
      </c>
      <c r="E1094" s="50" t="s">
        <v>369</v>
      </c>
      <c r="F1094" s="51" t="s">
        <v>369</v>
      </c>
      <c r="G1094" s="45">
        <v>2893</v>
      </c>
      <c r="H1094" s="45">
        <v>962</v>
      </c>
      <c r="I1094" s="45">
        <v>617</v>
      </c>
      <c r="J1094" s="45">
        <v>1314</v>
      </c>
      <c r="K1094" s="45">
        <v>4566</v>
      </c>
      <c r="L1094" s="45">
        <v>2003</v>
      </c>
      <c r="M1094" s="45">
        <v>880</v>
      </c>
      <c r="N1094" s="45">
        <v>1683</v>
      </c>
      <c r="O1094" s="45">
        <v>11607</v>
      </c>
      <c r="P1094" s="45">
        <v>6652</v>
      </c>
      <c r="Q1094" s="45">
        <v>2029</v>
      </c>
      <c r="R1094" s="45">
        <v>2926</v>
      </c>
      <c r="S1094" s="46">
        <v>33.252678899999999</v>
      </c>
      <c r="T1094" s="46">
        <v>21.3273419</v>
      </c>
      <c r="U1094" s="46">
        <v>45.419979300000001</v>
      </c>
      <c r="V1094" s="46">
        <v>43.867717900000002</v>
      </c>
      <c r="W1094" s="46">
        <v>19.2728866</v>
      </c>
      <c r="X1094" s="46">
        <v>36.859395499999998</v>
      </c>
      <c r="Y1094" s="46">
        <v>57.310243800000002</v>
      </c>
      <c r="Z1094" s="46">
        <v>17.4808305</v>
      </c>
      <c r="AA1094" s="46">
        <v>25.208925600000001</v>
      </c>
      <c r="AB1094" s="26">
        <f>SUM(W1094:X1094)</f>
        <v>56.132282099999998</v>
      </c>
      <c r="AC1094" s="26">
        <f>SUM(Z1094:AA1094)</f>
        <v>42.689756099999997</v>
      </c>
      <c r="AD1094" s="57">
        <f>M1094+N1094</f>
        <v>2563</v>
      </c>
      <c r="AE1094" s="57">
        <f>Q1094+R1094</f>
        <v>4955</v>
      </c>
      <c r="AF1094" s="26">
        <f>W1094</f>
        <v>19.2728866</v>
      </c>
      <c r="AG1094" s="26">
        <f>Z1094</f>
        <v>17.4808305</v>
      </c>
      <c r="AH1094" s="26">
        <f>M1094</f>
        <v>880</v>
      </c>
      <c r="AI1094" s="26">
        <f>Q1094</f>
        <v>2029</v>
      </c>
      <c r="AJ1094" s="26">
        <f>X1094</f>
        <v>36.859395499999998</v>
      </c>
      <c r="AK1094" s="26">
        <f>AA1094</f>
        <v>25.208925600000001</v>
      </c>
      <c r="AL1094" s="57">
        <f>N1094</f>
        <v>1683</v>
      </c>
      <c r="AM1094" s="57">
        <f>R1094</f>
        <v>2926</v>
      </c>
    </row>
    <row r="1095" spans="1:39" hidden="1" x14ac:dyDescent="0.3">
      <c r="A1095" s="37">
        <v>1091</v>
      </c>
      <c r="B1095" s="38" t="s">
        <v>521</v>
      </c>
      <c r="C1095" s="38" t="s">
        <v>349</v>
      </c>
      <c r="D1095" s="38" t="s">
        <v>368</v>
      </c>
      <c r="E1095" s="38" t="s">
        <v>369</v>
      </c>
      <c r="F1095" s="47" t="s">
        <v>519</v>
      </c>
      <c r="G1095" s="40">
        <v>1560</v>
      </c>
      <c r="H1095" s="40">
        <v>547</v>
      </c>
      <c r="I1095" s="40">
        <v>344</v>
      </c>
      <c r="J1095" s="40">
        <v>669</v>
      </c>
      <c r="K1095" s="40">
        <v>2680</v>
      </c>
      <c r="L1095" s="40">
        <v>1335</v>
      </c>
      <c r="M1095" s="40">
        <v>606</v>
      </c>
      <c r="N1095" s="40">
        <v>739</v>
      </c>
      <c r="O1095" s="40">
        <v>3535</v>
      </c>
      <c r="P1095" s="40">
        <v>2150</v>
      </c>
      <c r="Q1095" s="40">
        <v>653</v>
      </c>
      <c r="R1095" s="40">
        <v>732</v>
      </c>
      <c r="S1095" s="41">
        <v>35.064102599999998</v>
      </c>
      <c r="T1095" s="41">
        <v>22.051282100000002</v>
      </c>
      <c r="U1095" s="41">
        <v>42.884615400000001</v>
      </c>
      <c r="V1095" s="41">
        <v>49.813432800000001</v>
      </c>
      <c r="W1095" s="41">
        <v>22.611940300000001</v>
      </c>
      <c r="X1095" s="41">
        <v>27.574626899999998</v>
      </c>
      <c r="Y1095" s="41">
        <v>60.8203678</v>
      </c>
      <c r="Z1095" s="41">
        <v>18.472418699999999</v>
      </c>
      <c r="AA1095" s="41">
        <v>20.707213599999999</v>
      </c>
    </row>
    <row r="1096" spans="1:39" hidden="1" x14ac:dyDescent="0.3">
      <c r="A1096" s="37">
        <v>1092</v>
      </c>
      <c r="B1096" s="38" t="s">
        <v>521</v>
      </c>
      <c r="C1096" s="38" t="s">
        <v>349</v>
      </c>
      <c r="D1096" s="38" t="s">
        <v>368</v>
      </c>
      <c r="E1096" s="38" t="s">
        <v>369</v>
      </c>
      <c r="F1096" s="47" t="s">
        <v>520</v>
      </c>
      <c r="G1096" s="40">
        <v>1333</v>
      </c>
      <c r="H1096" s="40">
        <v>415</v>
      </c>
      <c r="I1096" s="40">
        <v>273</v>
      </c>
      <c r="J1096" s="40">
        <v>645</v>
      </c>
      <c r="K1096" s="40">
        <v>1886</v>
      </c>
      <c r="L1096" s="40">
        <v>668</v>
      </c>
      <c r="M1096" s="40">
        <v>274</v>
      </c>
      <c r="N1096" s="40">
        <v>944</v>
      </c>
      <c r="O1096" s="40">
        <v>8072</v>
      </c>
      <c r="P1096" s="40">
        <v>4502</v>
      </c>
      <c r="Q1096" s="40">
        <v>1376</v>
      </c>
      <c r="R1096" s="40">
        <v>2194</v>
      </c>
      <c r="S1096" s="41">
        <v>31.132783199999999</v>
      </c>
      <c r="T1096" s="41">
        <v>20.480119999999999</v>
      </c>
      <c r="U1096" s="41">
        <v>48.387096800000002</v>
      </c>
      <c r="V1096" s="41">
        <v>35.418875900000003</v>
      </c>
      <c r="W1096" s="41">
        <v>14.5281018</v>
      </c>
      <c r="X1096" s="41">
        <v>50.053022300000002</v>
      </c>
      <c r="Y1096" s="41">
        <v>55.773042599999997</v>
      </c>
      <c r="Z1096" s="41">
        <v>17.046580800000001</v>
      </c>
      <c r="AA1096" s="41">
        <v>27.180376599999999</v>
      </c>
    </row>
    <row r="1097" spans="1:39" hidden="1" x14ac:dyDescent="0.3">
      <c r="A1097" s="42">
        <v>1093</v>
      </c>
      <c r="B1097" s="43" t="s">
        <v>521</v>
      </c>
      <c r="C1097" s="50" t="s">
        <v>349</v>
      </c>
      <c r="D1097" s="50" t="s">
        <v>368</v>
      </c>
      <c r="E1097" s="50" t="s">
        <v>370</v>
      </c>
      <c r="F1097" s="51" t="s">
        <v>370</v>
      </c>
      <c r="G1097" s="45">
        <v>5247</v>
      </c>
      <c r="H1097" s="45">
        <v>1643</v>
      </c>
      <c r="I1097" s="45">
        <v>1157</v>
      </c>
      <c r="J1097" s="45">
        <v>2447</v>
      </c>
      <c r="K1097" s="45">
        <v>7182</v>
      </c>
      <c r="L1097" s="45">
        <v>2883</v>
      </c>
      <c r="M1097" s="45">
        <v>1771</v>
      </c>
      <c r="N1097" s="45">
        <v>2528</v>
      </c>
      <c r="O1097" s="45">
        <v>12970</v>
      </c>
      <c r="P1097" s="45">
        <v>6914</v>
      </c>
      <c r="Q1097" s="45">
        <v>2699</v>
      </c>
      <c r="R1097" s="45">
        <v>3357</v>
      </c>
      <c r="S1097" s="46">
        <v>31.313131299999998</v>
      </c>
      <c r="T1097" s="46">
        <v>22.050695600000001</v>
      </c>
      <c r="U1097" s="46">
        <v>46.636173100000001</v>
      </c>
      <c r="V1097" s="46">
        <v>40.142021700000001</v>
      </c>
      <c r="W1097" s="46">
        <v>24.6588694</v>
      </c>
      <c r="X1097" s="46">
        <v>35.199108899999999</v>
      </c>
      <c r="Y1097" s="46">
        <v>53.307633000000003</v>
      </c>
      <c r="Z1097" s="46">
        <v>20.8095605</v>
      </c>
      <c r="AA1097" s="46">
        <v>25.882806500000001</v>
      </c>
      <c r="AB1097" s="26">
        <f>SUM(W1097:X1097)</f>
        <v>59.857978299999999</v>
      </c>
      <c r="AC1097" s="26">
        <f>SUM(Z1097:AA1097)</f>
        <v>46.692367000000004</v>
      </c>
      <c r="AD1097" s="57">
        <f>M1097+N1097</f>
        <v>4299</v>
      </c>
      <c r="AE1097" s="57">
        <f>Q1097+R1097</f>
        <v>6056</v>
      </c>
      <c r="AF1097" s="26">
        <f>W1097</f>
        <v>24.6588694</v>
      </c>
      <c r="AG1097" s="26">
        <f>Z1097</f>
        <v>20.8095605</v>
      </c>
      <c r="AH1097" s="26">
        <f>M1097</f>
        <v>1771</v>
      </c>
      <c r="AI1097" s="26">
        <f>Q1097</f>
        <v>2699</v>
      </c>
      <c r="AJ1097" s="26">
        <f>X1097</f>
        <v>35.199108899999999</v>
      </c>
      <c r="AK1097" s="26">
        <f>AA1097</f>
        <v>25.882806500000001</v>
      </c>
      <c r="AL1097" s="57">
        <f>N1097</f>
        <v>2528</v>
      </c>
      <c r="AM1097" s="57">
        <f>R1097</f>
        <v>3357</v>
      </c>
    </row>
    <row r="1098" spans="1:39" hidden="1" x14ac:dyDescent="0.3">
      <c r="A1098" s="37">
        <v>1094</v>
      </c>
      <c r="B1098" s="38" t="s">
        <v>521</v>
      </c>
      <c r="C1098" s="38" t="s">
        <v>349</v>
      </c>
      <c r="D1098" s="38" t="s">
        <v>368</v>
      </c>
      <c r="E1098" s="38" t="s">
        <v>370</v>
      </c>
      <c r="F1098" s="47" t="s">
        <v>519</v>
      </c>
      <c r="G1098" s="40">
        <v>1442</v>
      </c>
      <c r="H1098" s="40">
        <v>470</v>
      </c>
      <c r="I1098" s="40">
        <v>302</v>
      </c>
      <c r="J1098" s="40">
        <v>670</v>
      </c>
      <c r="K1098" s="40">
        <v>2138</v>
      </c>
      <c r="L1098" s="40">
        <v>1007</v>
      </c>
      <c r="M1098" s="40">
        <v>486</v>
      </c>
      <c r="N1098" s="40">
        <v>645</v>
      </c>
      <c r="O1098" s="40">
        <v>4296</v>
      </c>
      <c r="P1098" s="40">
        <v>2405</v>
      </c>
      <c r="Q1098" s="40">
        <v>896</v>
      </c>
      <c r="R1098" s="40">
        <v>995</v>
      </c>
      <c r="S1098" s="41">
        <v>32.593620000000001</v>
      </c>
      <c r="T1098" s="41">
        <v>20.943134499999999</v>
      </c>
      <c r="U1098" s="41">
        <v>46.463245499999999</v>
      </c>
      <c r="V1098" s="41">
        <v>47.1000935</v>
      </c>
      <c r="W1098" s="41">
        <v>22.731524799999999</v>
      </c>
      <c r="X1098" s="41">
        <v>30.168381700000001</v>
      </c>
      <c r="Y1098" s="41">
        <v>55.982309100000002</v>
      </c>
      <c r="Z1098" s="41">
        <v>20.856610799999999</v>
      </c>
      <c r="AA1098" s="41">
        <v>23.1610801</v>
      </c>
    </row>
    <row r="1099" spans="1:39" hidden="1" x14ac:dyDescent="0.3">
      <c r="A1099" s="37">
        <v>1095</v>
      </c>
      <c r="B1099" s="38" t="s">
        <v>521</v>
      </c>
      <c r="C1099" s="38" t="s">
        <v>349</v>
      </c>
      <c r="D1099" s="38" t="s">
        <v>368</v>
      </c>
      <c r="E1099" s="38" t="s">
        <v>370</v>
      </c>
      <c r="F1099" s="47" t="s">
        <v>520</v>
      </c>
      <c r="G1099" s="40">
        <v>3805</v>
      </c>
      <c r="H1099" s="40">
        <v>1173</v>
      </c>
      <c r="I1099" s="40">
        <v>855</v>
      </c>
      <c r="J1099" s="40">
        <v>1777</v>
      </c>
      <c r="K1099" s="40">
        <v>5044</v>
      </c>
      <c r="L1099" s="40">
        <v>1876</v>
      </c>
      <c r="M1099" s="40">
        <v>1285</v>
      </c>
      <c r="N1099" s="40">
        <v>1883</v>
      </c>
      <c r="O1099" s="40">
        <v>8674</v>
      </c>
      <c r="P1099" s="40">
        <v>4509</v>
      </c>
      <c r="Q1099" s="40">
        <v>1803</v>
      </c>
      <c r="R1099" s="40">
        <v>2362</v>
      </c>
      <c r="S1099" s="41">
        <v>30.8278581</v>
      </c>
      <c r="T1099" s="41">
        <v>22.4704336</v>
      </c>
      <c r="U1099" s="41">
        <v>46.7017083</v>
      </c>
      <c r="V1099" s="41">
        <v>37.192704200000001</v>
      </c>
      <c r="W1099" s="41">
        <v>25.4758128</v>
      </c>
      <c r="X1099" s="41">
        <v>37.331482999999999</v>
      </c>
      <c r="Y1099" s="41">
        <v>51.982937499999998</v>
      </c>
      <c r="Z1099" s="41">
        <v>20.786257800000001</v>
      </c>
      <c r="AA1099" s="41">
        <v>27.2308047</v>
      </c>
    </row>
    <row r="1100" spans="1:39" hidden="1" x14ac:dyDescent="0.3">
      <c r="A1100" s="42">
        <v>1096</v>
      </c>
      <c r="B1100" s="43" t="s">
        <v>521</v>
      </c>
      <c r="C1100" s="50" t="s">
        <v>349</v>
      </c>
      <c r="D1100" s="50" t="s">
        <v>368</v>
      </c>
      <c r="E1100" s="50" t="s">
        <v>371</v>
      </c>
      <c r="F1100" s="51" t="s">
        <v>371</v>
      </c>
      <c r="G1100" s="45">
        <v>2816</v>
      </c>
      <c r="H1100" s="45">
        <v>1212</v>
      </c>
      <c r="I1100" s="45">
        <v>614</v>
      </c>
      <c r="J1100" s="45">
        <v>990</v>
      </c>
      <c r="K1100" s="45">
        <v>3747</v>
      </c>
      <c r="L1100" s="45">
        <v>2153</v>
      </c>
      <c r="M1100" s="45">
        <v>764</v>
      </c>
      <c r="N1100" s="45">
        <v>830</v>
      </c>
      <c r="O1100" s="45">
        <v>5348</v>
      </c>
      <c r="P1100" s="45">
        <v>3489</v>
      </c>
      <c r="Q1100" s="45">
        <v>857</v>
      </c>
      <c r="R1100" s="45">
        <v>1002</v>
      </c>
      <c r="S1100" s="46">
        <v>43.0397727</v>
      </c>
      <c r="T1100" s="46">
        <v>21.8039773</v>
      </c>
      <c r="U1100" s="46">
        <v>35.15625</v>
      </c>
      <c r="V1100" s="46">
        <v>57.459300800000001</v>
      </c>
      <c r="W1100" s="46">
        <v>20.389645000000002</v>
      </c>
      <c r="X1100" s="46">
        <v>22.151054200000001</v>
      </c>
      <c r="Y1100" s="46">
        <v>65.239341800000005</v>
      </c>
      <c r="Z1100" s="46">
        <v>16.0246821</v>
      </c>
      <c r="AA1100" s="46">
        <v>18.735976099999998</v>
      </c>
      <c r="AB1100" s="26">
        <f>SUM(W1100:X1100)</f>
        <v>42.540699200000006</v>
      </c>
      <c r="AC1100" s="26">
        <f>SUM(Z1100:AA1100)</f>
        <v>34.760658199999995</v>
      </c>
      <c r="AD1100" s="57">
        <f>M1100+N1100</f>
        <v>1594</v>
      </c>
      <c r="AE1100" s="57">
        <f>Q1100+R1100</f>
        <v>1859</v>
      </c>
      <c r="AF1100" s="26">
        <f>W1100</f>
        <v>20.389645000000002</v>
      </c>
      <c r="AG1100" s="26">
        <f>Z1100</f>
        <v>16.0246821</v>
      </c>
      <c r="AH1100" s="26">
        <f>M1100</f>
        <v>764</v>
      </c>
      <c r="AI1100" s="26">
        <f>Q1100</f>
        <v>857</v>
      </c>
      <c r="AJ1100" s="26">
        <f>X1100</f>
        <v>22.151054200000001</v>
      </c>
      <c r="AK1100" s="26">
        <f>AA1100</f>
        <v>18.735976099999998</v>
      </c>
      <c r="AL1100" s="57">
        <f>N1100</f>
        <v>830</v>
      </c>
      <c r="AM1100" s="57">
        <f>R1100</f>
        <v>1002</v>
      </c>
    </row>
    <row r="1101" spans="1:39" hidden="1" x14ac:dyDescent="0.3">
      <c r="A1101" s="37">
        <v>1097</v>
      </c>
      <c r="B1101" s="38" t="s">
        <v>521</v>
      </c>
      <c r="C1101" s="38" t="s">
        <v>349</v>
      </c>
      <c r="D1101" s="38" t="s">
        <v>368</v>
      </c>
      <c r="E1101" s="38" t="s">
        <v>371</v>
      </c>
      <c r="F1101" s="47" t="s">
        <v>519</v>
      </c>
      <c r="G1101" s="40">
        <v>1827</v>
      </c>
      <c r="H1101" s="40">
        <v>855</v>
      </c>
      <c r="I1101" s="40">
        <v>401</v>
      </c>
      <c r="J1101" s="40">
        <v>571</v>
      </c>
      <c r="K1101" s="40">
        <v>2442</v>
      </c>
      <c r="L1101" s="40">
        <v>1408</v>
      </c>
      <c r="M1101" s="40">
        <v>513</v>
      </c>
      <c r="N1101" s="40">
        <v>521</v>
      </c>
      <c r="O1101" s="40">
        <v>3268</v>
      </c>
      <c r="P1101" s="40">
        <v>2158</v>
      </c>
      <c r="Q1101" s="40">
        <v>531</v>
      </c>
      <c r="R1101" s="40">
        <v>579</v>
      </c>
      <c r="S1101" s="41">
        <v>46.7980296</v>
      </c>
      <c r="T1101" s="41">
        <v>21.948549499999999</v>
      </c>
      <c r="U1101" s="41">
        <v>31.253420899999998</v>
      </c>
      <c r="V1101" s="41">
        <v>57.657657700000001</v>
      </c>
      <c r="W1101" s="41">
        <v>21.007370999999999</v>
      </c>
      <c r="X1101" s="41">
        <v>21.334971299999999</v>
      </c>
      <c r="Y1101" s="41">
        <v>66.034271700000005</v>
      </c>
      <c r="Z1101" s="41">
        <v>16.248470000000001</v>
      </c>
      <c r="AA1101" s="41">
        <v>17.717258300000001</v>
      </c>
    </row>
    <row r="1102" spans="1:39" hidden="1" x14ac:dyDescent="0.3">
      <c r="A1102" s="37">
        <v>1098</v>
      </c>
      <c r="B1102" s="38" t="s">
        <v>521</v>
      </c>
      <c r="C1102" s="38" t="s">
        <v>349</v>
      </c>
      <c r="D1102" s="38" t="s">
        <v>368</v>
      </c>
      <c r="E1102" s="38" t="s">
        <v>371</v>
      </c>
      <c r="F1102" s="47" t="s">
        <v>520</v>
      </c>
      <c r="G1102" s="40">
        <v>989</v>
      </c>
      <c r="H1102" s="40">
        <v>357</v>
      </c>
      <c r="I1102" s="40">
        <v>213</v>
      </c>
      <c r="J1102" s="40">
        <v>419</v>
      </c>
      <c r="K1102" s="40">
        <v>1305</v>
      </c>
      <c r="L1102" s="40">
        <v>745</v>
      </c>
      <c r="M1102" s="40">
        <v>251</v>
      </c>
      <c r="N1102" s="40">
        <v>309</v>
      </c>
      <c r="O1102" s="40">
        <v>2080</v>
      </c>
      <c r="P1102" s="40">
        <v>1331</v>
      </c>
      <c r="Q1102" s="40">
        <v>326</v>
      </c>
      <c r="R1102" s="40">
        <v>423</v>
      </c>
      <c r="S1102" s="41">
        <v>36.097067699999997</v>
      </c>
      <c r="T1102" s="41">
        <v>21.536905999999998</v>
      </c>
      <c r="U1102" s="41">
        <v>42.366026300000001</v>
      </c>
      <c r="V1102" s="41">
        <v>57.088122599999998</v>
      </c>
      <c r="W1102" s="41">
        <v>19.2337165</v>
      </c>
      <c r="X1102" s="41">
        <v>23.678160900000002</v>
      </c>
      <c r="Y1102" s="41">
        <v>63.990384599999999</v>
      </c>
      <c r="Z1102" s="41">
        <v>15.6730769</v>
      </c>
      <c r="AA1102" s="41">
        <v>20.3365385</v>
      </c>
    </row>
    <row r="1103" spans="1:39" hidden="1" x14ac:dyDescent="0.3">
      <c r="A1103" s="32">
        <v>1099</v>
      </c>
      <c r="B1103" s="33" t="s">
        <v>1</v>
      </c>
      <c r="C1103" s="49" t="s">
        <v>349</v>
      </c>
      <c r="D1103" s="49" t="s">
        <v>372</v>
      </c>
      <c r="E1103" s="49"/>
      <c r="F1103" s="34" t="s">
        <v>372</v>
      </c>
      <c r="G1103" s="35">
        <v>7883</v>
      </c>
      <c r="H1103" s="35">
        <v>3114</v>
      </c>
      <c r="I1103" s="35">
        <v>1694</v>
      </c>
      <c r="J1103" s="35">
        <v>3075</v>
      </c>
      <c r="K1103" s="35">
        <v>10451</v>
      </c>
      <c r="L1103" s="35">
        <v>5575</v>
      </c>
      <c r="M1103" s="35">
        <v>2064</v>
      </c>
      <c r="N1103" s="35">
        <v>2812</v>
      </c>
      <c r="O1103" s="35">
        <v>12935</v>
      </c>
      <c r="P1103" s="35">
        <v>8533</v>
      </c>
      <c r="Q1103" s="35">
        <v>2040</v>
      </c>
      <c r="R1103" s="35">
        <v>2362</v>
      </c>
      <c r="S1103" s="36">
        <v>39.502727399999998</v>
      </c>
      <c r="T1103" s="36">
        <v>21.489280699999998</v>
      </c>
      <c r="U1103" s="36">
        <v>39.0079919</v>
      </c>
      <c r="V1103" s="36">
        <v>53.344177600000002</v>
      </c>
      <c r="W1103" s="36">
        <v>19.749306300000001</v>
      </c>
      <c r="X1103" s="36">
        <v>26.906516100000001</v>
      </c>
      <c r="Y1103" s="36">
        <v>65.9683031</v>
      </c>
      <c r="Z1103" s="36">
        <v>15.7711635</v>
      </c>
      <c r="AA1103" s="36">
        <v>18.2605334</v>
      </c>
    </row>
    <row r="1104" spans="1:39" hidden="1" x14ac:dyDescent="0.3">
      <c r="A1104" s="37">
        <v>1100</v>
      </c>
      <c r="B1104" s="38" t="s">
        <v>1</v>
      </c>
      <c r="C1104" s="38" t="s">
        <v>349</v>
      </c>
      <c r="D1104" s="38" t="s">
        <v>372</v>
      </c>
      <c r="E1104" s="38"/>
      <c r="F1104" s="39" t="s">
        <v>519</v>
      </c>
      <c r="G1104" s="40">
        <v>4117</v>
      </c>
      <c r="H1104" s="40">
        <v>1651</v>
      </c>
      <c r="I1104" s="40">
        <v>1013</v>
      </c>
      <c r="J1104" s="40">
        <v>1453</v>
      </c>
      <c r="K1104" s="40">
        <v>5404</v>
      </c>
      <c r="L1104" s="40">
        <v>2956</v>
      </c>
      <c r="M1104" s="40">
        <v>1188</v>
      </c>
      <c r="N1104" s="40">
        <v>1260</v>
      </c>
      <c r="O1104" s="40">
        <v>6698</v>
      </c>
      <c r="P1104" s="40">
        <v>4362</v>
      </c>
      <c r="Q1104" s="40">
        <v>1137</v>
      </c>
      <c r="R1104" s="40">
        <v>1199</v>
      </c>
      <c r="S1104" s="41">
        <v>40.102015999999999</v>
      </c>
      <c r="T1104" s="41">
        <v>24.605295099999999</v>
      </c>
      <c r="U1104" s="41">
        <v>35.292688900000002</v>
      </c>
      <c r="V1104" s="41">
        <v>54.700222099999998</v>
      </c>
      <c r="W1104" s="41">
        <v>21.983715799999999</v>
      </c>
      <c r="X1104" s="41">
        <v>23.316062200000001</v>
      </c>
      <c r="Y1104" s="41">
        <v>65.123917599999999</v>
      </c>
      <c r="Z1104" s="41">
        <v>16.975216499999998</v>
      </c>
      <c r="AA1104" s="41">
        <v>17.900865899999999</v>
      </c>
    </row>
    <row r="1105" spans="1:39" hidden="1" x14ac:dyDescent="0.3">
      <c r="A1105" s="37">
        <v>1101</v>
      </c>
      <c r="B1105" s="38" t="s">
        <v>1</v>
      </c>
      <c r="C1105" s="38" t="s">
        <v>349</v>
      </c>
      <c r="D1105" s="38" t="s">
        <v>372</v>
      </c>
      <c r="E1105" s="38"/>
      <c r="F1105" s="39" t="s">
        <v>520</v>
      </c>
      <c r="G1105" s="40">
        <v>3766</v>
      </c>
      <c r="H1105" s="40">
        <v>1463</v>
      </c>
      <c r="I1105" s="40">
        <v>681</v>
      </c>
      <c r="J1105" s="40">
        <v>1622</v>
      </c>
      <c r="K1105" s="40">
        <v>5047</v>
      </c>
      <c r="L1105" s="40">
        <v>2619</v>
      </c>
      <c r="M1105" s="40">
        <v>876</v>
      </c>
      <c r="N1105" s="40">
        <v>1552</v>
      </c>
      <c r="O1105" s="40">
        <v>6237</v>
      </c>
      <c r="P1105" s="40">
        <v>4171</v>
      </c>
      <c r="Q1105" s="40">
        <v>903</v>
      </c>
      <c r="R1105" s="40">
        <v>1163</v>
      </c>
      <c r="S1105" s="41">
        <v>38.8475836</v>
      </c>
      <c r="T1105" s="41">
        <v>18.082846499999999</v>
      </c>
      <c r="U1105" s="41">
        <v>43.069569799999996</v>
      </c>
      <c r="V1105" s="41">
        <v>51.8922132</v>
      </c>
      <c r="W1105" s="41">
        <v>17.356845700000001</v>
      </c>
      <c r="X1105" s="41">
        <v>30.7509412</v>
      </c>
      <c r="Y1105" s="41">
        <v>66.875100200000006</v>
      </c>
      <c r="Z1105" s="41">
        <v>14.4781145</v>
      </c>
      <c r="AA1105" s="41">
        <v>18.646785300000001</v>
      </c>
    </row>
    <row r="1106" spans="1:39" hidden="1" x14ac:dyDescent="0.3">
      <c r="A1106" s="42">
        <v>1102</v>
      </c>
      <c r="B1106" s="43" t="s">
        <v>521</v>
      </c>
      <c r="C1106" s="50" t="s">
        <v>349</v>
      </c>
      <c r="D1106" s="50" t="s">
        <v>372</v>
      </c>
      <c r="E1106" s="50" t="s">
        <v>373</v>
      </c>
      <c r="F1106" s="51" t="s">
        <v>373</v>
      </c>
      <c r="G1106" s="45">
        <v>3413</v>
      </c>
      <c r="H1106" s="45">
        <v>1452</v>
      </c>
      <c r="I1106" s="45">
        <v>805</v>
      </c>
      <c r="J1106" s="45">
        <v>1156</v>
      </c>
      <c r="K1106" s="45">
        <v>4119</v>
      </c>
      <c r="L1106" s="45">
        <v>2389</v>
      </c>
      <c r="M1106" s="45">
        <v>817</v>
      </c>
      <c r="N1106" s="45">
        <v>913</v>
      </c>
      <c r="O1106" s="45">
        <v>5445</v>
      </c>
      <c r="P1106" s="45">
        <v>3617</v>
      </c>
      <c r="Q1106" s="45">
        <v>914</v>
      </c>
      <c r="R1106" s="45">
        <v>914</v>
      </c>
      <c r="S1106" s="46">
        <v>42.5432171</v>
      </c>
      <c r="T1106" s="46">
        <v>23.5862877</v>
      </c>
      <c r="U1106" s="46">
        <v>33.870495200000001</v>
      </c>
      <c r="V1106" s="46">
        <v>57.999514400000002</v>
      </c>
      <c r="W1106" s="46">
        <v>19.834911399999999</v>
      </c>
      <c r="X1106" s="46">
        <v>22.165574199999998</v>
      </c>
      <c r="Y1106" s="46">
        <v>66.427915499999997</v>
      </c>
      <c r="Z1106" s="46">
        <v>16.786042200000001</v>
      </c>
      <c r="AA1106" s="46">
        <v>16.786042200000001</v>
      </c>
      <c r="AB1106" s="26">
        <f>SUM(W1106:X1106)</f>
        <v>42.000485599999998</v>
      </c>
      <c r="AC1106" s="26">
        <f>SUM(Z1106:AA1106)</f>
        <v>33.572084400000001</v>
      </c>
      <c r="AD1106" s="57">
        <f>M1106+N1106</f>
        <v>1730</v>
      </c>
      <c r="AE1106" s="57">
        <f>Q1106+R1106</f>
        <v>1828</v>
      </c>
      <c r="AF1106" s="26">
        <f>W1106</f>
        <v>19.834911399999999</v>
      </c>
      <c r="AG1106" s="26">
        <f>Z1106</f>
        <v>16.786042200000001</v>
      </c>
      <c r="AH1106" s="26">
        <f>M1106</f>
        <v>817</v>
      </c>
      <c r="AI1106" s="26">
        <f>Q1106</f>
        <v>914</v>
      </c>
      <c r="AJ1106" s="26">
        <f>X1106</f>
        <v>22.165574199999998</v>
      </c>
      <c r="AK1106" s="26">
        <f>AA1106</f>
        <v>16.786042200000001</v>
      </c>
      <c r="AL1106" s="57">
        <f>N1106</f>
        <v>913</v>
      </c>
      <c r="AM1106" s="57">
        <f>R1106</f>
        <v>914</v>
      </c>
    </row>
    <row r="1107" spans="1:39" hidden="1" x14ac:dyDescent="0.3">
      <c r="A1107" s="37">
        <v>1103</v>
      </c>
      <c r="B1107" s="38" t="s">
        <v>521</v>
      </c>
      <c r="C1107" s="38" t="s">
        <v>349</v>
      </c>
      <c r="D1107" s="38" t="s">
        <v>372</v>
      </c>
      <c r="E1107" s="38" t="s">
        <v>373</v>
      </c>
      <c r="F1107" s="47" t="s">
        <v>519</v>
      </c>
      <c r="G1107" s="40">
        <v>2304</v>
      </c>
      <c r="H1107" s="40">
        <v>999</v>
      </c>
      <c r="I1107" s="40">
        <v>582</v>
      </c>
      <c r="J1107" s="40">
        <v>723</v>
      </c>
      <c r="K1107" s="40">
        <v>3189</v>
      </c>
      <c r="L1107" s="40">
        <v>1904</v>
      </c>
      <c r="M1107" s="40">
        <v>640</v>
      </c>
      <c r="N1107" s="40">
        <v>645</v>
      </c>
      <c r="O1107" s="40">
        <v>4186</v>
      </c>
      <c r="P1107" s="40">
        <v>2847</v>
      </c>
      <c r="Q1107" s="40">
        <v>693</v>
      </c>
      <c r="R1107" s="40">
        <v>646</v>
      </c>
      <c r="S1107" s="41">
        <v>43.359375</v>
      </c>
      <c r="T1107" s="41">
        <v>25.2604167</v>
      </c>
      <c r="U1107" s="41">
        <v>31.3802083</v>
      </c>
      <c r="V1107" s="41">
        <v>59.705236800000002</v>
      </c>
      <c r="W1107" s="41">
        <v>20.068987100000001</v>
      </c>
      <c r="X1107" s="41">
        <v>20.225776100000001</v>
      </c>
      <c r="Y1107" s="41">
        <v>68.012422400000005</v>
      </c>
      <c r="Z1107" s="41">
        <v>16.555183899999999</v>
      </c>
      <c r="AA1107" s="41">
        <v>15.4323937</v>
      </c>
    </row>
    <row r="1108" spans="1:39" hidden="1" x14ac:dyDescent="0.3">
      <c r="A1108" s="37">
        <v>1104</v>
      </c>
      <c r="B1108" s="38" t="s">
        <v>521</v>
      </c>
      <c r="C1108" s="38" t="s">
        <v>349</v>
      </c>
      <c r="D1108" s="38" t="s">
        <v>372</v>
      </c>
      <c r="E1108" s="38" t="s">
        <v>373</v>
      </c>
      <c r="F1108" s="47" t="s">
        <v>520</v>
      </c>
      <c r="G1108" s="40">
        <v>1109</v>
      </c>
      <c r="H1108" s="40">
        <v>453</v>
      </c>
      <c r="I1108" s="40">
        <v>223</v>
      </c>
      <c r="J1108" s="40">
        <v>433</v>
      </c>
      <c r="K1108" s="40">
        <v>930</v>
      </c>
      <c r="L1108" s="40">
        <v>485</v>
      </c>
      <c r="M1108" s="40">
        <v>177</v>
      </c>
      <c r="N1108" s="40">
        <v>268</v>
      </c>
      <c r="O1108" s="40">
        <v>1259</v>
      </c>
      <c r="P1108" s="40">
        <v>770</v>
      </c>
      <c r="Q1108" s="40">
        <v>221</v>
      </c>
      <c r="R1108" s="40">
        <v>268</v>
      </c>
      <c r="S1108" s="41">
        <v>40.847610500000002</v>
      </c>
      <c r="T1108" s="41">
        <v>20.108205600000002</v>
      </c>
      <c r="U1108" s="41">
        <v>39.0441839</v>
      </c>
      <c r="V1108" s="41">
        <v>52.1505376</v>
      </c>
      <c r="W1108" s="41">
        <v>19.0322581</v>
      </c>
      <c r="X1108" s="41">
        <v>28.8172043</v>
      </c>
      <c r="Y1108" s="41">
        <v>61.159650499999998</v>
      </c>
      <c r="Z1108" s="41">
        <v>17.553614</v>
      </c>
      <c r="AA1108" s="41">
        <v>21.286735499999999</v>
      </c>
    </row>
    <row r="1109" spans="1:39" hidden="1" x14ac:dyDescent="0.3">
      <c r="A1109" s="42">
        <v>1105</v>
      </c>
      <c r="B1109" s="43" t="s">
        <v>521</v>
      </c>
      <c r="C1109" s="50" t="s">
        <v>349</v>
      </c>
      <c r="D1109" s="50" t="s">
        <v>372</v>
      </c>
      <c r="E1109" s="50" t="s">
        <v>374</v>
      </c>
      <c r="F1109" s="51" t="s">
        <v>374</v>
      </c>
      <c r="G1109" s="45">
        <v>3231</v>
      </c>
      <c r="H1109" s="45">
        <v>1217</v>
      </c>
      <c r="I1109" s="45">
        <v>605</v>
      </c>
      <c r="J1109" s="45">
        <v>1409</v>
      </c>
      <c r="K1109" s="45">
        <v>4978</v>
      </c>
      <c r="L1109" s="45">
        <v>2591</v>
      </c>
      <c r="M1109" s="45">
        <v>912</v>
      </c>
      <c r="N1109" s="45">
        <v>1475</v>
      </c>
      <c r="O1109" s="45">
        <v>5957</v>
      </c>
      <c r="P1109" s="45">
        <v>4025</v>
      </c>
      <c r="Q1109" s="45">
        <v>853</v>
      </c>
      <c r="R1109" s="45">
        <v>1079</v>
      </c>
      <c r="S1109" s="46">
        <v>37.6663572</v>
      </c>
      <c r="T1109" s="46">
        <v>18.724853</v>
      </c>
      <c r="U1109" s="46">
        <v>43.608789799999997</v>
      </c>
      <c r="V1109" s="46">
        <v>52.049015699999998</v>
      </c>
      <c r="W1109" s="46">
        <v>18.3206107</v>
      </c>
      <c r="X1109" s="46">
        <v>29.630373599999999</v>
      </c>
      <c r="Y1109" s="46">
        <v>67.567567600000004</v>
      </c>
      <c r="Z1109" s="46">
        <v>14.319288200000001</v>
      </c>
      <c r="AA1109" s="46">
        <v>18.113144200000001</v>
      </c>
      <c r="AB1109" s="26">
        <f>SUM(W1109:X1109)</f>
        <v>47.950984300000002</v>
      </c>
      <c r="AC1109" s="26">
        <f>SUM(Z1109:AA1109)</f>
        <v>32.432432400000003</v>
      </c>
      <c r="AD1109" s="57">
        <f>M1109+N1109</f>
        <v>2387</v>
      </c>
      <c r="AE1109" s="57">
        <f>Q1109+R1109</f>
        <v>1932</v>
      </c>
      <c r="AF1109" s="26">
        <f>W1109</f>
        <v>18.3206107</v>
      </c>
      <c r="AG1109" s="26">
        <f>Z1109</f>
        <v>14.319288200000001</v>
      </c>
      <c r="AH1109" s="26">
        <f>M1109</f>
        <v>912</v>
      </c>
      <c r="AI1109" s="26">
        <f>Q1109</f>
        <v>853</v>
      </c>
      <c r="AJ1109" s="26">
        <f>X1109</f>
        <v>29.630373599999999</v>
      </c>
      <c r="AK1109" s="26">
        <f>AA1109</f>
        <v>18.113144200000001</v>
      </c>
      <c r="AL1109" s="57">
        <f>N1109</f>
        <v>1475</v>
      </c>
      <c r="AM1109" s="57">
        <f>R1109</f>
        <v>1079</v>
      </c>
    </row>
    <row r="1110" spans="1:39" hidden="1" x14ac:dyDescent="0.3">
      <c r="A1110" s="37">
        <v>1106</v>
      </c>
      <c r="B1110" s="38" t="s">
        <v>521</v>
      </c>
      <c r="C1110" s="38" t="s">
        <v>349</v>
      </c>
      <c r="D1110" s="38" t="s">
        <v>372</v>
      </c>
      <c r="E1110" s="38" t="s">
        <v>374</v>
      </c>
      <c r="F1110" s="47" t="s">
        <v>519</v>
      </c>
      <c r="G1110" s="40">
        <v>792</v>
      </c>
      <c r="H1110" s="40">
        <v>286</v>
      </c>
      <c r="I1110" s="40">
        <v>182</v>
      </c>
      <c r="J1110" s="40">
        <v>324</v>
      </c>
      <c r="K1110" s="40">
        <v>1164</v>
      </c>
      <c r="L1110" s="40">
        <v>557</v>
      </c>
      <c r="M1110" s="40">
        <v>280</v>
      </c>
      <c r="N1110" s="40">
        <v>327</v>
      </c>
      <c r="O1110" s="40">
        <v>1288</v>
      </c>
      <c r="P1110" s="40">
        <v>824</v>
      </c>
      <c r="Q1110" s="40">
        <v>209</v>
      </c>
      <c r="R1110" s="40">
        <v>255</v>
      </c>
      <c r="S1110" s="41">
        <v>36.111111100000002</v>
      </c>
      <c r="T1110" s="41">
        <v>22.979797999999999</v>
      </c>
      <c r="U1110" s="41">
        <v>40.909090900000002</v>
      </c>
      <c r="V1110" s="41">
        <v>47.852233699999999</v>
      </c>
      <c r="W1110" s="41">
        <v>24.054982800000001</v>
      </c>
      <c r="X1110" s="41">
        <v>28.092783499999999</v>
      </c>
      <c r="Y1110" s="41">
        <v>63.975155299999997</v>
      </c>
      <c r="Z1110" s="41">
        <v>16.2267081</v>
      </c>
      <c r="AA1110" s="41">
        <v>19.798136599999999</v>
      </c>
    </row>
    <row r="1111" spans="1:39" hidden="1" x14ac:dyDescent="0.3">
      <c r="A1111" s="37">
        <v>1107</v>
      </c>
      <c r="B1111" s="38" t="s">
        <v>521</v>
      </c>
      <c r="C1111" s="38" t="s">
        <v>349</v>
      </c>
      <c r="D1111" s="38" t="s">
        <v>372</v>
      </c>
      <c r="E1111" s="38" t="s">
        <v>374</v>
      </c>
      <c r="F1111" s="47" t="s">
        <v>520</v>
      </c>
      <c r="G1111" s="40">
        <v>2439</v>
      </c>
      <c r="H1111" s="40">
        <v>931</v>
      </c>
      <c r="I1111" s="40">
        <v>423</v>
      </c>
      <c r="J1111" s="40">
        <v>1085</v>
      </c>
      <c r="K1111" s="40">
        <v>3814</v>
      </c>
      <c r="L1111" s="40">
        <v>2034</v>
      </c>
      <c r="M1111" s="40">
        <v>632</v>
      </c>
      <c r="N1111" s="40">
        <v>1148</v>
      </c>
      <c r="O1111" s="40">
        <v>4669</v>
      </c>
      <c r="P1111" s="40">
        <v>3201</v>
      </c>
      <c r="Q1111" s="40">
        <v>644</v>
      </c>
      <c r="R1111" s="40">
        <v>824</v>
      </c>
      <c r="S1111" s="41">
        <v>38.171381699999998</v>
      </c>
      <c r="T1111" s="41">
        <v>17.343173400000001</v>
      </c>
      <c r="U1111" s="41">
        <v>44.485444899999997</v>
      </c>
      <c r="V1111" s="41">
        <v>53.329837400000002</v>
      </c>
      <c r="W1111" s="41">
        <v>16.5705296</v>
      </c>
      <c r="X1111" s="41">
        <v>30.0996329</v>
      </c>
      <c r="Y1111" s="41">
        <v>68.558577900000003</v>
      </c>
      <c r="Z1111" s="41">
        <v>13.7931034</v>
      </c>
      <c r="AA1111" s="41">
        <v>17.648318700000001</v>
      </c>
    </row>
    <row r="1112" spans="1:39" hidden="1" x14ac:dyDescent="0.3">
      <c r="A1112" s="42">
        <v>1108</v>
      </c>
      <c r="B1112" s="43" t="s">
        <v>521</v>
      </c>
      <c r="C1112" s="50" t="s">
        <v>349</v>
      </c>
      <c r="D1112" s="50" t="s">
        <v>372</v>
      </c>
      <c r="E1112" s="50" t="s">
        <v>375</v>
      </c>
      <c r="F1112" s="51" t="s">
        <v>375</v>
      </c>
      <c r="G1112" s="45">
        <v>1239</v>
      </c>
      <c r="H1112" s="45">
        <v>445</v>
      </c>
      <c r="I1112" s="45">
        <v>284</v>
      </c>
      <c r="J1112" s="45">
        <v>510</v>
      </c>
      <c r="K1112" s="45">
        <v>1354</v>
      </c>
      <c r="L1112" s="45">
        <v>595</v>
      </c>
      <c r="M1112" s="45">
        <v>335</v>
      </c>
      <c r="N1112" s="45">
        <v>424</v>
      </c>
      <c r="O1112" s="45">
        <v>1533</v>
      </c>
      <c r="P1112" s="45">
        <v>891</v>
      </c>
      <c r="Q1112" s="45">
        <v>273</v>
      </c>
      <c r="R1112" s="45">
        <v>369</v>
      </c>
      <c r="S1112" s="46">
        <v>35.916061300000003</v>
      </c>
      <c r="T1112" s="46">
        <v>22.9217111</v>
      </c>
      <c r="U1112" s="46">
        <v>41.162227600000001</v>
      </c>
      <c r="V1112" s="46">
        <v>43.943869999999997</v>
      </c>
      <c r="W1112" s="46">
        <v>24.741506600000001</v>
      </c>
      <c r="X1112" s="46">
        <v>31.314623300000001</v>
      </c>
      <c r="Y1112" s="46">
        <v>58.121330700000001</v>
      </c>
      <c r="Z1112" s="46">
        <v>17.8082192</v>
      </c>
      <c r="AA1112" s="46">
        <v>24.070450099999999</v>
      </c>
      <c r="AB1112" s="26">
        <f>SUM(W1112:X1112)</f>
        <v>56.056129900000002</v>
      </c>
      <c r="AC1112" s="26">
        <f>SUM(Z1112:AA1112)</f>
        <v>41.878669299999999</v>
      </c>
      <c r="AD1112" s="57">
        <f>M1112+N1112</f>
        <v>759</v>
      </c>
      <c r="AE1112" s="57">
        <f>Q1112+R1112</f>
        <v>642</v>
      </c>
      <c r="AF1112" s="26">
        <f>W1112</f>
        <v>24.741506600000001</v>
      </c>
      <c r="AG1112" s="26">
        <f>Z1112</f>
        <v>17.8082192</v>
      </c>
      <c r="AH1112" s="26">
        <f>M1112</f>
        <v>335</v>
      </c>
      <c r="AI1112" s="26">
        <f>Q1112</f>
        <v>273</v>
      </c>
      <c r="AJ1112" s="26">
        <f>X1112</f>
        <v>31.314623300000001</v>
      </c>
      <c r="AK1112" s="26">
        <f>AA1112</f>
        <v>24.070450099999999</v>
      </c>
      <c r="AL1112" s="57">
        <f>N1112</f>
        <v>424</v>
      </c>
      <c r="AM1112" s="57">
        <f>R1112</f>
        <v>369</v>
      </c>
    </row>
    <row r="1113" spans="1:39" hidden="1" x14ac:dyDescent="0.3">
      <c r="A1113" s="37">
        <v>1109</v>
      </c>
      <c r="B1113" s="38" t="s">
        <v>521</v>
      </c>
      <c r="C1113" s="38" t="s">
        <v>349</v>
      </c>
      <c r="D1113" s="38" t="s">
        <v>372</v>
      </c>
      <c r="E1113" s="38" t="s">
        <v>375</v>
      </c>
      <c r="F1113" s="47" t="s">
        <v>519</v>
      </c>
      <c r="G1113" s="40">
        <v>1021</v>
      </c>
      <c r="H1113" s="40">
        <v>366</v>
      </c>
      <c r="I1113" s="40">
        <v>249</v>
      </c>
      <c r="J1113" s="40">
        <v>406</v>
      </c>
      <c r="K1113" s="40">
        <v>1051</v>
      </c>
      <c r="L1113" s="40">
        <v>495</v>
      </c>
      <c r="M1113" s="40">
        <v>268</v>
      </c>
      <c r="N1113" s="40">
        <v>288</v>
      </c>
      <c r="O1113" s="40">
        <v>1224</v>
      </c>
      <c r="P1113" s="40">
        <v>691</v>
      </c>
      <c r="Q1113" s="40">
        <v>235</v>
      </c>
      <c r="R1113" s="40">
        <v>298</v>
      </c>
      <c r="S1113" s="41">
        <v>35.847208600000002</v>
      </c>
      <c r="T1113" s="41">
        <v>24.387854999999998</v>
      </c>
      <c r="U1113" s="41">
        <v>39.764936300000002</v>
      </c>
      <c r="V1113" s="41">
        <v>47.0980019</v>
      </c>
      <c r="W1113" s="41">
        <v>25.499524300000001</v>
      </c>
      <c r="X1113" s="41">
        <v>27.402473799999999</v>
      </c>
      <c r="Y1113" s="41">
        <v>56.454248399999997</v>
      </c>
      <c r="Z1113" s="41">
        <v>19.1993464</v>
      </c>
      <c r="AA1113" s="41">
        <v>24.3464052</v>
      </c>
    </row>
    <row r="1114" spans="1:39" hidden="1" x14ac:dyDescent="0.3">
      <c r="A1114" s="37">
        <v>1110</v>
      </c>
      <c r="B1114" s="38" t="s">
        <v>521</v>
      </c>
      <c r="C1114" s="38" t="s">
        <v>349</v>
      </c>
      <c r="D1114" s="38" t="s">
        <v>372</v>
      </c>
      <c r="E1114" s="38" t="s">
        <v>375</v>
      </c>
      <c r="F1114" s="47" t="s">
        <v>520</v>
      </c>
      <c r="G1114" s="40">
        <v>218</v>
      </c>
      <c r="H1114" s="40">
        <v>79</v>
      </c>
      <c r="I1114" s="40">
        <v>35</v>
      </c>
      <c r="J1114" s="40">
        <v>104</v>
      </c>
      <c r="K1114" s="40">
        <v>303</v>
      </c>
      <c r="L1114" s="40">
        <v>100</v>
      </c>
      <c r="M1114" s="40">
        <v>67</v>
      </c>
      <c r="N1114" s="40">
        <v>136</v>
      </c>
      <c r="O1114" s="40">
        <v>309</v>
      </c>
      <c r="P1114" s="40">
        <v>200</v>
      </c>
      <c r="Q1114" s="40">
        <v>38</v>
      </c>
      <c r="R1114" s="40">
        <v>71</v>
      </c>
      <c r="S1114" s="41">
        <v>36.2385321</v>
      </c>
      <c r="T1114" s="41">
        <v>16.0550459</v>
      </c>
      <c r="U1114" s="41">
        <v>47.706422000000003</v>
      </c>
      <c r="V1114" s="41">
        <v>33.003300299999999</v>
      </c>
      <c r="W1114" s="41">
        <v>22.112211200000001</v>
      </c>
      <c r="X1114" s="41">
        <v>44.884488400000002</v>
      </c>
      <c r="Y1114" s="41">
        <v>64.724919099999994</v>
      </c>
      <c r="Z1114" s="41">
        <v>12.2977346</v>
      </c>
      <c r="AA1114" s="41">
        <v>22.977346300000001</v>
      </c>
    </row>
    <row r="1115" spans="1:39" hidden="1" x14ac:dyDescent="0.3">
      <c r="A1115" s="32">
        <v>1111</v>
      </c>
      <c r="B1115" s="33" t="s">
        <v>1</v>
      </c>
      <c r="C1115" s="49" t="s">
        <v>349</v>
      </c>
      <c r="D1115" s="49" t="s">
        <v>376</v>
      </c>
      <c r="E1115" s="49"/>
      <c r="F1115" s="34" t="s">
        <v>376</v>
      </c>
      <c r="G1115" s="35">
        <v>18828</v>
      </c>
      <c r="H1115" s="35">
        <v>6989</v>
      </c>
      <c r="I1115" s="35">
        <v>3835</v>
      </c>
      <c r="J1115" s="35">
        <v>8004</v>
      </c>
      <c r="K1115" s="35">
        <v>25882</v>
      </c>
      <c r="L1115" s="35">
        <v>12577</v>
      </c>
      <c r="M1115" s="35">
        <v>5209</v>
      </c>
      <c r="N1115" s="35">
        <v>8096</v>
      </c>
      <c r="O1115" s="35">
        <v>34985</v>
      </c>
      <c r="P1115" s="35">
        <v>20708</v>
      </c>
      <c r="Q1115" s="35">
        <v>6162</v>
      </c>
      <c r="R1115" s="35">
        <v>8115</v>
      </c>
      <c r="S1115" s="36">
        <v>37.120246399999999</v>
      </c>
      <c r="T1115" s="36">
        <v>20.368600000000001</v>
      </c>
      <c r="U1115" s="36">
        <v>42.5111536</v>
      </c>
      <c r="V1115" s="36">
        <v>48.593617199999997</v>
      </c>
      <c r="W1115" s="36">
        <v>20.125956299999999</v>
      </c>
      <c r="X1115" s="36">
        <v>31.280426599999998</v>
      </c>
      <c r="Y1115" s="36">
        <v>59.1910819</v>
      </c>
      <c r="Z1115" s="36">
        <v>17.613262800000001</v>
      </c>
      <c r="AA1115" s="36">
        <v>23.195655299999999</v>
      </c>
    </row>
    <row r="1116" spans="1:39" hidden="1" x14ac:dyDescent="0.3">
      <c r="A1116" s="37">
        <v>1112</v>
      </c>
      <c r="B1116" s="38" t="s">
        <v>1</v>
      </c>
      <c r="C1116" s="38" t="s">
        <v>349</v>
      </c>
      <c r="D1116" s="38" t="s">
        <v>376</v>
      </c>
      <c r="E1116" s="38"/>
      <c r="F1116" s="39" t="s">
        <v>519</v>
      </c>
      <c r="G1116" s="40">
        <v>7089</v>
      </c>
      <c r="H1116" s="40">
        <v>3712</v>
      </c>
      <c r="I1116" s="40">
        <v>1511</v>
      </c>
      <c r="J1116" s="40">
        <v>1866</v>
      </c>
      <c r="K1116" s="40">
        <v>10425</v>
      </c>
      <c r="L1116" s="40">
        <v>6592</v>
      </c>
      <c r="M1116" s="40">
        <v>1871</v>
      </c>
      <c r="N1116" s="40">
        <v>1962</v>
      </c>
      <c r="O1116" s="40">
        <v>12872</v>
      </c>
      <c r="P1116" s="40">
        <v>9078</v>
      </c>
      <c r="Q1116" s="40">
        <v>1896</v>
      </c>
      <c r="R1116" s="40">
        <v>1898</v>
      </c>
      <c r="S1116" s="41">
        <v>52.362815599999998</v>
      </c>
      <c r="T1116" s="41">
        <v>21.3147129</v>
      </c>
      <c r="U1116" s="41">
        <v>26.322471400000001</v>
      </c>
      <c r="V1116" s="41">
        <v>63.232613899999997</v>
      </c>
      <c r="W1116" s="41">
        <v>17.947242200000002</v>
      </c>
      <c r="X1116" s="41">
        <v>18.820143900000001</v>
      </c>
      <c r="Y1116" s="41">
        <v>70.525170900000006</v>
      </c>
      <c r="Z1116" s="41">
        <v>14.729645700000001</v>
      </c>
      <c r="AA1116" s="41">
        <v>14.745183300000001</v>
      </c>
    </row>
    <row r="1117" spans="1:39" hidden="1" x14ac:dyDescent="0.3">
      <c r="A1117" s="37">
        <v>1113</v>
      </c>
      <c r="B1117" s="38" t="s">
        <v>1</v>
      </c>
      <c r="C1117" s="38" t="s">
        <v>349</v>
      </c>
      <c r="D1117" s="38" t="s">
        <v>376</v>
      </c>
      <c r="E1117" s="38"/>
      <c r="F1117" s="39" t="s">
        <v>520</v>
      </c>
      <c r="G1117" s="40">
        <v>11739</v>
      </c>
      <c r="H1117" s="40">
        <v>3277</v>
      </c>
      <c r="I1117" s="40">
        <v>2324</v>
      </c>
      <c r="J1117" s="40">
        <v>6138</v>
      </c>
      <c r="K1117" s="40">
        <v>15457</v>
      </c>
      <c r="L1117" s="40">
        <v>5985</v>
      </c>
      <c r="M1117" s="40">
        <v>3338</v>
      </c>
      <c r="N1117" s="40">
        <v>6134</v>
      </c>
      <c r="O1117" s="40">
        <v>22113</v>
      </c>
      <c r="P1117" s="40">
        <v>11630</v>
      </c>
      <c r="Q1117" s="40">
        <v>4266</v>
      </c>
      <c r="R1117" s="40">
        <v>6217</v>
      </c>
      <c r="S1117" s="41">
        <v>27.915495400000001</v>
      </c>
      <c r="T1117" s="41">
        <v>19.797256999999998</v>
      </c>
      <c r="U1117" s="41">
        <v>52.287247600000001</v>
      </c>
      <c r="V1117" s="41">
        <v>38.720320899999997</v>
      </c>
      <c r="W1117" s="41">
        <v>21.595393699999999</v>
      </c>
      <c r="X1117" s="41">
        <v>39.6842854</v>
      </c>
      <c r="Y1117" s="41">
        <v>52.593496999999999</v>
      </c>
      <c r="Z1117" s="41">
        <v>19.2918193</v>
      </c>
      <c r="AA1117" s="41">
        <v>28.1146837</v>
      </c>
    </row>
    <row r="1118" spans="1:39" hidden="1" x14ac:dyDescent="0.3">
      <c r="A1118" s="42">
        <v>1114</v>
      </c>
      <c r="B1118" s="43" t="s">
        <v>521</v>
      </c>
      <c r="C1118" s="50" t="s">
        <v>349</v>
      </c>
      <c r="D1118" s="50" t="s">
        <v>376</v>
      </c>
      <c r="E1118" s="50" t="s">
        <v>377</v>
      </c>
      <c r="F1118" s="51" t="s">
        <v>377</v>
      </c>
      <c r="G1118" s="45">
        <v>1000</v>
      </c>
      <c r="H1118" s="45">
        <v>287</v>
      </c>
      <c r="I1118" s="45">
        <v>169</v>
      </c>
      <c r="J1118" s="45">
        <v>544</v>
      </c>
      <c r="K1118" s="45">
        <v>1071</v>
      </c>
      <c r="L1118" s="45">
        <v>446</v>
      </c>
      <c r="M1118" s="45">
        <v>235</v>
      </c>
      <c r="N1118" s="45">
        <v>390</v>
      </c>
      <c r="O1118" s="45">
        <v>1569</v>
      </c>
      <c r="P1118" s="45">
        <v>883</v>
      </c>
      <c r="Q1118" s="45">
        <v>302</v>
      </c>
      <c r="R1118" s="45">
        <v>384</v>
      </c>
      <c r="S1118" s="46">
        <v>28.7</v>
      </c>
      <c r="T1118" s="46">
        <v>16.899999999999999</v>
      </c>
      <c r="U1118" s="46">
        <v>54.4</v>
      </c>
      <c r="V1118" s="46">
        <v>41.643324</v>
      </c>
      <c r="W1118" s="46">
        <v>21.942110199999998</v>
      </c>
      <c r="X1118" s="46">
        <v>36.414565799999998</v>
      </c>
      <c r="Y1118" s="46">
        <v>56.277884</v>
      </c>
      <c r="Z1118" s="46">
        <v>19.247928600000002</v>
      </c>
      <c r="AA1118" s="46">
        <v>24.474187400000002</v>
      </c>
      <c r="AB1118" s="26">
        <f>SUM(W1118:X1118)</f>
        <v>58.356675999999993</v>
      </c>
      <c r="AC1118" s="26">
        <f>SUM(Z1118:AA1118)</f>
        <v>43.722116</v>
      </c>
      <c r="AD1118" s="57">
        <f>M1118+N1118</f>
        <v>625</v>
      </c>
      <c r="AE1118" s="57">
        <f>Q1118+R1118</f>
        <v>686</v>
      </c>
      <c r="AF1118" s="26">
        <f>W1118</f>
        <v>21.942110199999998</v>
      </c>
      <c r="AG1118" s="26">
        <f>Z1118</f>
        <v>19.247928600000002</v>
      </c>
      <c r="AH1118" s="26">
        <f>M1118</f>
        <v>235</v>
      </c>
      <c r="AI1118" s="26">
        <f>Q1118</f>
        <v>302</v>
      </c>
      <c r="AJ1118" s="26">
        <f>X1118</f>
        <v>36.414565799999998</v>
      </c>
      <c r="AK1118" s="26">
        <f>AA1118</f>
        <v>24.474187400000002</v>
      </c>
      <c r="AL1118" s="57">
        <f>N1118</f>
        <v>390</v>
      </c>
      <c r="AM1118" s="57">
        <f>R1118</f>
        <v>384</v>
      </c>
    </row>
    <row r="1119" spans="1:39" hidden="1" x14ac:dyDescent="0.3">
      <c r="A1119" s="37">
        <v>1115</v>
      </c>
      <c r="B1119" s="38" t="s">
        <v>521</v>
      </c>
      <c r="C1119" s="38" t="s">
        <v>349</v>
      </c>
      <c r="D1119" s="38" t="s">
        <v>376</v>
      </c>
      <c r="E1119" s="38" t="s">
        <v>377</v>
      </c>
      <c r="F1119" s="47" t="s">
        <v>519</v>
      </c>
      <c r="G1119" s="40"/>
      <c r="H1119" s="40"/>
      <c r="I1119" s="40"/>
      <c r="J1119" s="40"/>
      <c r="K1119" s="40"/>
      <c r="L1119" s="40"/>
      <c r="M1119" s="40"/>
      <c r="N1119" s="40"/>
      <c r="O1119" s="40"/>
      <c r="P1119" s="40"/>
      <c r="Q1119" s="40"/>
      <c r="R1119" s="40"/>
      <c r="S1119" s="41"/>
      <c r="T1119" s="41"/>
      <c r="U1119" s="41"/>
      <c r="V1119" s="41"/>
      <c r="W1119" s="41"/>
      <c r="X1119" s="41"/>
      <c r="Y1119" s="41"/>
      <c r="Z1119" s="41"/>
      <c r="AA1119" s="41"/>
    </row>
    <row r="1120" spans="1:39" hidden="1" x14ac:dyDescent="0.3">
      <c r="A1120" s="37">
        <v>1116</v>
      </c>
      <c r="B1120" s="38" t="s">
        <v>521</v>
      </c>
      <c r="C1120" s="38" t="s">
        <v>349</v>
      </c>
      <c r="D1120" s="38" t="s">
        <v>376</v>
      </c>
      <c r="E1120" s="38" t="s">
        <v>377</v>
      </c>
      <c r="F1120" s="47" t="s">
        <v>520</v>
      </c>
      <c r="G1120" s="40">
        <v>1000</v>
      </c>
      <c r="H1120" s="40">
        <v>287</v>
      </c>
      <c r="I1120" s="40">
        <v>169</v>
      </c>
      <c r="J1120" s="40">
        <v>544</v>
      </c>
      <c r="K1120" s="40">
        <v>1071</v>
      </c>
      <c r="L1120" s="40">
        <v>446</v>
      </c>
      <c r="M1120" s="40">
        <v>235</v>
      </c>
      <c r="N1120" s="40">
        <v>390</v>
      </c>
      <c r="O1120" s="40">
        <v>1569</v>
      </c>
      <c r="P1120" s="40">
        <v>883</v>
      </c>
      <c r="Q1120" s="40">
        <v>302</v>
      </c>
      <c r="R1120" s="40">
        <v>384</v>
      </c>
      <c r="S1120" s="41">
        <v>28.7</v>
      </c>
      <c r="T1120" s="41">
        <v>16.899999999999999</v>
      </c>
      <c r="U1120" s="41">
        <v>54.4</v>
      </c>
      <c r="V1120" s="41">
        <v>41.643324</v>
      </c>
      <c r="W1120" s="41">
        <v>21.942110199999998</v>
      </c>
      <c r="X1120" s="41">
        <v>36.414565799999998</v>
      </c>
      <c r="Y1120" s="41">
        <v>56.277884</v>
      </c>
      <c r="Z1120" s="41">
        <v>19.247928600000002</v>
      </c>
      <c r="AA1120" s="41">
        <v>24.474187400000002</v>
      </c>
    </row>
    <row r="1121" spans="1:39" hidden="1" x14ac:dyDescent="0.3">
      <c r="A1121" s="42">
        <v>1117</v>
      </c>
      <c r="B1121" s="43" t="s">
        <v>521</v>
      </c>
      <c r="C1121" s="50" t="s">
        <v>349</v>
      </c>
      <c r="D1121" s="50" t="s">
        <v>376</v>
      </c>
      <c r="E1121" s="50" t="s">
        <v>488</v>
      </c>
      <c r="F1121" s="51" t="s">
        <v>488</v>
      </c>
      <c r="G1121" s="45">
        <v>4062</v>
      </c>
      <c r="H1121" s="45">
        <v>1077</v>
      </c>
      <c r="I1121" s="45">
        <v>847</v>
      </c>
      <c r="J1121" s="45">
        <v>2138</v>
      </c>
      <c r="K1121" s="45">
        <v>6289</v>
      </c>
      <c r="L1121" s="45">
        <v>2403</v>
      </c>
      <c r="M1121" s="45">
        <v>1326</v>
      </c>
      <c r="N1121" s="45">
        <v>2560</v>
      </c>
      <c r="O1121" s="45">
        <v>9548</v>
      </c>
      <c r="P1121" s="45">
        <v>4984</v>
      </c>
      <c r="Q1121" s="45">
        <v>1820</v>
      </c>
      <c r="R1121" s="45">
        <v>2744</v>
      </c>
      <c r="S1121" s="46">
        <v>26.514032499999999</v>
      </c>
      <c r="T1121" s="46">
        <v>20.851797099999999</v>
      </c>
      <c r="U1121" s="46">
        <v>52.634170400000002</v>
      </c>
      <c r="V1121" s="46">
        <v>38.209572299999998</v>
      </c>
      <c r="W1121" s="46">
        <v>21.084433099999998</v>
      </c>
      <c r="X1121" s="46">
        <v>40.705994599999997</v>
      </c>
      <c r="Y1121" s="46">
        <v>52.199413499999999</v>
      </c>
      <c r="Z1121" s="46">
        <v>19.061583599999999</v>
      </c>
      <c r="AA1121" s="46">
        <v>28.739002899999999</v>
      </c>
      <c r="AB1121" s="26">
        <f>SUM(W1121:X1121)</f>
        <v>61.790427699999995</v>
      </c>
      <c r="AC1121" s="26">
        <f>SUM(Z1121:AA1121)</f>
        <v>47.800586499999994</v>
      </c>
      <c r="AD1121" s="57">
        <f>M1121+N1121</f>
        <v>3886</v>
      </c>
      <c r="AE1121" s="57">
        <f>Q1121+R1121</f>
        <v>4564</v>
      </c>
      <c r="AF1121" s="26">
        <f>W1121</f>
        <v>21.084433099999998</v>
      </c>
      <c r="AG1121" s="26">
        <f>Z1121</f>
        <v>19.061583599999999</v>
      </c>
      <c r="AH1121" s="26">
        <f>M1121</f>
        <v>1326</v>
      </c>
      <c r="AI1121" s="26">
        <f>Q1121</f>
        <v>1820</v>
      </c>
      <c r="AJ1121" s="26">
        <f>X1121</f>
        <v>40.705994599999997</v>
      </c>
      <c r="AK1121" s="26">
        <f>AA1121</f>
        <v>28.739002899999999</v>
      </c>
      <c r="AL1121" s="57">
        <f>N1121</f>
        <v>2560</v>
      </c>
      <c r="AM1121" s="57">
        <f>R1121</f>
        <v>2744</v>
      </c>
    </row>
    <row r="1122" spans="1:39" hidden="1" x14ac:dyDescent="0.3">
      <c r="A1122" s="37">
        <v>1118</v>
      </c>
      <c r="B1122" s="38" t="s">
        <v>521</v>
      </c>
      <c r="C1122" s="38" t="s">
        <v>349</v>
      </c>
      <c r="D1122" s="38" t="s">
        <v>376</v>
      </c>
      <c r="E1122" s="38" t="s">
        <v>488</v>
      </c>
      <c r="F1122" s="47" t="s">
        <v>519</v>
      </c>
      <c r="G1122" s="40">
        <v>481</v>
      </c>
      <c r="H1122" s="40">
        <v>208</v>
      </c>
      <c r="I1122" s="40">
        <v>111</v>
      </c>
      <c r="J1122" s="40">
        <v>162</v>
      </c>
      <c r="K1122" s="40">
        <v>742</v>
      </c>
      <c r="L1122" s="40">
        <v>423</v>
      </c>
      <c r="M1122" s="40">
        <v>129</v>
      </c>
      <c r="N1122" s="40">
        <v>190</v>
      </c>
      <c r="O1122" s="40">
        <v>1504</v>
      </c>
      <c r="P1122" s="40">
        <v>1006</v>
      </c>
      <c r="Q1122" s="40">
        <v>229</v>
      </c>
      <c r="R1122" s="40">
        <v>269</v>
      </c>
      <c r="S1122" s="41">
        <v>43.243243200000002</v>
      </c>
      <c r="T1122" s="41">
        <v>23.076923099999998</v>
      </c>
      <c r="U1122" s="41">
        <v>33.679833700000003</v>
      </c>
      <c r="V1122" s="41">
        <v>57.008086300000002</v>
      </c>
      <c r="W1122" s="41">
        <v>17.385444700000001</v>
      </c>
      <c r="X1122" s="41">
        <v>25.606469000000001</v>
      </c>
      <c r="Y1122" s="41">
        <v>66.888297899999998</v>
      </c>
      <c r="Z1122" s="41">
        <v>15.2260638</v>
      </c>
      <c r="AA1122" s="41">
        <v>17.8856383</v>
      </c>
    </row>
    <row r="1123" spans="1:39" hidden="1" x14ac:dyDescent="0.3">
      <c r="A1123" s="37">
        <v>1119</v>
      </c>
      <c r="B1123" s="38" t="s">
        <v>521</v>
      </c>
      <c r="C1123" s="38" t="s">
        <v>349</v>
      </c>
      <c r="D1123" s="38" t="s">
        <v>376</v>
      </c>
      <c r="E1123" s="38" t="s">
        <v>488</v>
      </c>
      <c r="F1123" s="47" t="s">
        <v>520</v>
      </c>
      <c r="G1123" s="40">
        <v>3581</v>
      </c>
      <c r="H1123" s="40">
        <v>869</v>
      </c>
      <c r="I1123" s="40">
        <v>736</v>
      </c>
      <c r="J1123" s="40">
        <v>1976</v>
      </c>
      <c r="K1123" s="40">
        <v>5547</v>
      </c>
      <c r="L1123" s="40">
        <v>1980</v>
      </c>
      <c r="M1123" s="40">
        <v>1197</v>
      </c>
      <c r="N1123" s="40">
        <v>2370</v>
      </c>
      <c r="O1123" s="40">
        <v>8044</v>
      </c>
      <c r="P1123" s="40">
        <v>3978</v>
      </c>
      <c r="Q1123" s="40">
        <v>1591</v>
      </c>
      <c r="R1123" s="40">
        <v>2475</v>
      </c>
      <c r="S1123" s="41">
        <v>24.2669645</v>
      </c>
      <c r="T1123" s="41">
        <v>20.552918200000001</v>
      </c>
      <c r="U1123" s="41">
        <v>55.180117299999999</v>
      </c>
      <c r="V1123" s="41">
        <v>35.694970300000001</v>
      </c>
      <c r="W1123" s="41">
        <v>21.579232000000001</v>
      </c>
      <c r="X1123" s="41">
        <v>42.725797700000001</v>
      </c>
      <c r="Y1123" s="41">
        <v>49.453008500000003</v>
      </c>
      <c r="Z1123" s="41">
        <v>19.778717100000001</v>
      </c>
      <c r="AA1123" s="41">
        <v>30.7682745</v>
      </c>
    </row>
    <row r="1124" spans="1:39" hidden="1" x14ac:dyDescent="0.3">
      <c r="A1124" s="42">
        <v>1120</v>
      </c>
      <c r="B1124" s="43" t="s">
        <v>521</v>
      </c>
      <c r="C1124" s="50" t="s">
        <v>349</v>
      </c>
      <c r="D1124" s="50" t="s">
        <v>376</v>
      </c>
      <c r="E1124" s="50" t="s">
        <v>379</v>
      </c>
      <c r="F1124" s="51" t="s">
        <v>379</v>
      </c>
      <c r="G1124" s="45">
        <v>3917</v>
      </c>
      <c r="H1124" s="45">
        <v>1158</v>
      </c>
      <c r="I1124" s="45">
        <v>863</v>
      </c>
      <c r="J1124" s="45">
        <v>1896</v>
      </c>
      <c r="K1124" s="45">
        <v>5628</v>
      </c>
      <c r="L1124" s="45">
        <v>2433</v>
      </c>
      <c r="M1124" s="45">
        <v>1279</v>
      </c>
      <c r="N1124" s="45">
        <v>1916</v>
      </c>
      <c r="O1124" s="45">
        <v>8291</v>
      </c>
      <c r="P1124" s="45">
        <v>4617</v>
      </c>
      <c r="Q1124" s="45">
        <v>1656</v>
      </c>
      <c r="R1124" s="45">
        <v>2018</v>
      </c>
      <c r="S1124" s="46">
        <v>29.563441399999999</v>
      </c>
      <c r="T1124" s="46">
        <v>22.0321675</v>
      </c>
      <c r="U1124" s="46">
        <v>48.404391099999998</v>
      </c>
      <c r="V1124" s="46">
        <v>43.230277200000003</v>
      </c>
      <c r="W1124" s="46">
        <v>22.725657399999999</v>
      </c>
      <c r="X1124" s="46">
        <v>34.044065400000001</v>
      </c>
      <c r="Y1124" s="46">
        <v>55.686889399999998</v>
      </c>
      <c r="Z1124" s="46">
        <v>19.9734652</v>
      </c>
      <c r="AA1124" s="46">
        <v>24.339645399999998</v>
      </c>
      <c r="AB1124" s="26">
        <f>SUM(W1124:X1124)</f>
        <v>56.769722799999997</v>
      </c>
      <c r="AC1124" s="26">
        <f>SUM(Z1124:AA1124)</f>
        <v>44.313110600000002</v>
      </c>
      <c r="AD1124" s="57">
        <f>M1124+N1124</f>
        <v>3195</v>
      </c>
      <c r="AE1124" s="57">
        <f>Q1124+R1124</f>
        <v>3674</v>
      </c>
      <c r="AF1124" s="26">
        <f>W1124</f>
        <v>22.725657399999999</v>
      </c>
      <c r="AG1124" s="26">
        <f>Z1124</f>
        <v>19.9734652</v>
      </c>
      <c r="AH1124" s="26">
        <f>M1124</f>
        <v>1279</v>
      </c>
      <c r="AI1124" s="26">
        <f>Q1124</f>
        <v>1656</v>
      </c>
      <c r="AJ1124" s="26">
        <f>X1124</f>
        <v>34.044065400000001</v>
      </c>
      <c r="AK1124" s="26">
        <f>AA1124</f>
        <v>24.339645399999998</v>
      </c>
      <c r="AL1124" s="57">
        <f>N1124</f>
        <v>1916</v>
      </c>
      <c r="AM1124" s="57">
        <f>R1124</f>
        <v>2018</v>
      </c>
    </row>
    <row r="1125" spans="1:39" hidden="1" x14ac:dyDescent="0.3">
      <c r="A1125" s="37">
        <v>1121</v>
      </c>
      <c r="B1125" s="38" t="s">
        <v>521</v>
      </c>
      <c r="C1125" s="38" t="s">
        <v>349</v>
      </c>
      <c r="D1125" s="38" t="s">
        <v>376</v>
      </c>
      <c r="E1125" s="38" t="s">
        <v>379</v>
      </c>
      <c r="F1125" s="47" t="s">
        <v>519</v>
      </c>
      <c r="G1125" s="40">
        <v>378</v>
      </c>
      <c r="H1125" s="40">
        <v>94</v>
      </c>
      <c r="I1125" s="40">
        <v>72</v>
      </c>
      <c r="J1125" s="40">
        <v>212</v>
      </c>
      <c r="K1125" s="40">
        <v>1067</v>
      </c>
      <c r="L1125" s="40">
        <v>521</v>
      </c>
      <c r="M1125" s="40">
        <v>250</v>
      </c>
      <c r="N1125" s="40">
        <v>296</v>
      </c>
      <c r="O1125" s="40">
        <v>2248</v>
      </c>
      <c r="P1125" s="40">
        <v>1272</v>
      </c>
      <c r="Q1125" s="40">
        <v>455</v>
      </c>
      <c r="R1125" s="40">
        <v>521</v>
      </c>
      <c r="S1125" s="41">
        <v>24.867724899999999</v>
      </c>
      <c r="T1125" s="41">
        <v>19.047619000000001</v>
      </c>
      <c r="U1125" s="41">
        <v>56.084656099999997</v>
      </c>
      <c r="V1125" s="41">
        <v>48.828491100000001</v>
      </c>
      <c r="W1125" s="41">
        <v>23.430178099999999</v>
      </c>
      <c r="X1125" s="41">
        <v>27.7413308</v>
      </c>
      <c r="Y1125" s="41">
        <v>56.583629899999998</v>
      </c>
      <c r="Z1125" s="41">
        <v>20.240213499999999</v>
      </c>
      <c r="AA1125" s="41">
        <v>23.176156599999999</v>
      </c>
    </row>
    <row r="1126" spans="1:39" hidden="1" x14ac:dyDescent="0.3">
      <c r="A1126" s="37">
        <v>1122</v>
      </c>
      <c r="B1126" s="38" t="s">
        <v>521</v>
      </c>
      <c r="C1126" s="38" t="s">
        <v>349</v>
      </c>
      <c r="D1126" s="38" t="s">
        <v>376</v>
      </c>
      <c r="E1126" s="38" t="s">
        <v>379</v>
      </c>
      <c r="F1126" s="47" t="s">
        <v>520</v>
      </c>
      <c r="G1126" s="40">
        <v>3539</v>
      </c>
      <c r="H1126" s="40">
        <v>1064</v>
      </c>
      <c r="I1126" s="40">
        <v>791</v>
      </c>
      <c r="J1126" s="40">
        <v>1684</v>
      </c>
      <c r="K1126" s="40">
        <v>4561</v>
      </c>
      <c r="L1126" s="40">
        <v>1912</v>
      </c>
      <c r="M1126" s="40">
        <v>1029</v>
      </c>
      <c r="N1126" s="40">
        <v>1620</v>
      </c>
      <c r="O1126" s="40">
        <v>6043</v>
      </c>
      <c r="P1126" s="40">
        <v>3345</v>
      </c>
      <c r="Q1126" s="40">
        <v>1201</v>
      </c>
      <c r="R1126" s="40">
        <v>1497</v>
      </c>
      <c r="S1126" s="41">
        <v>30.064990099999999</v>
      </c>
      <c r="T1126" s="41">
        <v>22.3509466</v>
      </c>
      <c r="U1126" s="41">
        <v>47.584063299999997</v>
      </c>
      <c r="V1126" s="41">
        <v>41.920631399999998</v>
      </c>
      <c r="W1126" s="41">
        <v>22.5608419</v>
      </c>
      <c r="X1126" s="41">
        <v>35.518526600000001</v>
      </c>
      <c r="Y1126" s="41">
        <v>55.353301299999998</v>
      </c>
      <c r="Z1126" s="41">
        <v>19.874234699999999</v>
      </c>
      <c r="AA1126" s="41">
        <v>24.772463999999999</v>
      </c>
    </row>
    <row r="1127" spans="1:39" hidden="1" x14ac:dyDescent="0.3">
      <c r="A1127" s="42">
        <v>1123</v>
      </c>
      <c r="B1127" s="43" t="s">
        <v>521</v>
      </c>
      <c r="C1127" s="50" t="s">
        <v>349</v>
      </c>
      <c r="D1127" s="50" t="s">
        <v>376</v>
      </c>
      <c r="E1127" s="50" t="s">
        <v>380</v>
      </c>
      <c r="F1127" s="51" t="s">
        <v>380</v>
      </c>
      <c r="G1127" s="45">
        <v>673</v>
      </c>
      <c r="H1127" s="45">
        <v>285</v>
      </c>
      <c r="I1127" s="45">
        <v>145</v>
      </c>
      <c r="J1127" s="45">
        <v>243</v>
      </c>
      <c r="K1127" s="45">
        <v>1117</v>
      </c>
      <c r="L1127" s="45">
        <v>560</v>
      </c>
      <c r="M1127" s="45">
        <v>250</v>
      </c>
      <c r="N1127" s="45">
        <v>307</v>
      </c>
      <c r="O1127" s="45">
        <v>1261</v>
      </c>
      <c r="P1127" s="45">
        <v>713</v>
      </c>
      <c r="Q1127" s="45">
        <v>254</v>
      </c>
      <c r="R1127" s="45">
        <v>294</v>
      </c>
      <c r="S1127" s="46">
        <v>42.347696900000003</v>
      </c>
      <c r="T1127" s="46">
        <v>21.545319500000002</v>
      </c>
      <c r="U1127" s="46">
        <v>36.106983700000001</v>
      </c>
      <c r="V1127" s="46">
        <v>50.134288300000001</v>
      </c>
      <c r="W1127" s="46">
        <v>22.381378699999999</v>
      </c>
      <c r="X1127" s="46">
        <v>27.484332999999999</v>
      </c>
      <c r="Y1127" s="46">
        <v>56.542426599999999</v>
      </c>
      <c r="Z1127" s="46">
        <v>20.142743899999999</v>
      </c>
      <c r="AA1127" s="46">
        <v>23.314829499999998</v>
      </c>
      <c r="AB1127" s="26">
        <f>SUM(W1127:X1127)</f>
        <v>49.865711699999999</v>
      </c>
      <c r="AC1127" s="26">
        <f>SUM(Z1127:AA1127)</f>
        <v>43.457573400000001</v>
      </c>
      <c r="AD1127" s="57">
        <f>M1127+N1127</f>
        <v>557</v>
      </c>
      <c r="AE1127" s="57">
        <f>Q1127+R1127</f>
        <v>548</v>
      </c>
      <c r="AF1127" s="26">
        <f>W1127</f>
        <v>22.381378699999999</v>
      </c>
      <c r="AG1127" s="26">
        <f>Z1127</f>
        <v>20.142743899999999</v>
      </c>
      <c r="AH1127" s="26">
        <f>M1127</f>
        <v>250</v>
      </c>
      <c r="AI1127" s="26">
        <f>Q1127</f>
        <v>254</v>
      </c>
      <c r="AJ1127" s="26">
        <f>X1127</f>
        <v>27.484332999999999</v>
      </c>
      <c r="AK1127" s="26">
        <f>AA1127</f>
        <v>23.314829499999998</v>
      </c>
      <c r="AL1127" s="57">
        <f>N1127</f>
        <v>307</v>
      </c>
      <c r="AM1127" s="57">
        <f>R1127</f>
        <v>294</v>
      </c>
    </row>
    <row r="1128" spans="1:39" hidden="1" x14ac:dyDescent="0.3">
      <c r="A1128" s="37">
        <v>1124</v>
      </c>
      <c r="B1128" s="38" t="s">
        <v>521</v>
      </c>
      <c r="C1128" s="38" t="s">
        <v>349</v>
      </c>
      <c r="D1128" s="38" t="s">
        <v>376</v>
      </c>
      <c r="E1128" s="38" t="s">
        <v>380</v>
      </c>
      <c r="F1128" s="47" t="s">
        <v>519</v>
      </c>
      <c r="G1128" s="40"/>
      <c r="H1128" s="40"/>
      <c r="I1128" s="40"/>
      <c r="J1128" s="40"/>
      <c r="K1128" s="40">
        <v>570</v>
      </c>
      <c r="L1128" s="40">
        <v>317</v>
      </c>
      <c r="M1128" s="40">
        <v>125</v>
      </c>
      <c r="N1128" s="40">
        <v>128</v>
      </c>
      <c r="O1128" s="40">
        <v>546</v>
      </c>
      <c r="P1128" s="40">
        <v>278</v>
      </c>
      <c r="Q1128" s="40">
        <v>146</v>
      </c>
      <c r="R1128" s="40">
        <v>122</v>
      </c>
      <c r="S1128" s="41"/>
      <c r="T1128" s="41"/>
      <c r="U1128" s="41"/>
      <c r="V1128" s="41">
        <v>55.614035100000002</v>
      </c>
      <c r="W1128" s="41">
        <v>21.9298246</v>
      </c>
      <c r="X1128" s="41">
        <v>22.456140399999999</v>
      </c>
      <c r="Y1128" s="41">
        <v>50.915750899999999</v>
      </c>
      <c r="Z1128" s="41">
        <v>26.739926700000002</v>
      </c>
      <c r="AA1128" s="41">
        <v>22.344322300000002</v>
      </c>
    </row>
    <row r="1129" spans="1:39" hidden="1" x14ac:dyDescent="0.3">
      <c r="A1129" s="37">
        <v>1125</v>
      </c>
      <c r="B1129" s="38" t="s">
        <v>521</v>
      </c>
      <c r="C1129" s="38" t="s">
        <v>349</v>
      </c>
      <c r="D1129" s="38" t="s">
        <v>376</v>
      </c>
      <c r="E1129" s="38" t="s">
        <v>380</v>
      </c>
      <c r="F1129" s="47" t="s">
        <v>520</v>
      </c>
      <c r="G1129" s="40">
        <v>673</v>
      </c>
      <c r="H1129" s="40">
        <v>285</v>
      </c>
      <c r="I1129" s="40">
        <v>145</v>
      </c>
      <c r="J1129" s="40">
        <v>243</v>
      </c>
      <c r="K1129" s="40">
        <v>547</v>
      </c>
      <c r="L1129" s="40">
        <v>243</v>
      </c>
      <c r="M1129" s="40">
        <v>125</v>
      </c>
      <c r="N1129" s="40">
        <v>179</v>
      </c>
      <c r="O1129" s="40">
        <v>715</v>
      </c>
      <c r="P1129" s="40">
        <v>435</v>
      </c>
      <c r="Q1129" s="40">
        <v>108</v>
      </c>
      <c r="R1129" s="40">
        <v>172</v>
      </c>
      <c r="S1129" s="41">
        <v>42.347696900000003</v>
      </c>
      <c r="T1129" s="41">
        <v>21.545319500000002</v>
      </c>
      <c r="U1129" s="41">
        <v>36.106983700000001</v>
      </c>
      <c r="V1129" s="41">
        <v>44.424131600000003</v>
      </c>
      <c r="W1129" s="41">
        <v>22.851919599999999</v>
      </c>
      <c r="X1129" s="41">
        <v>32.723948800000002</v>
      </c>
      <c r="Y1129" s="41">
        <v>60.839160800000002</v>
      </c>
      <c r="Z1129" s="41">
        <v>15.1048951</v>
      </c>
      <c r="AA1129" s="41">
        <v>24.055944100000001</v>
      </c>
    </row>
    <row r="1130" spans="1:39" hidden="1" x14ac:dyDescent="0.3">
      <c r="A1130" s="42">
        <v>1126</v>
      </c>
      <c r="B1130" s="43" t="s">
        <v>521</v>
      </c>
      <c r="C1130" s="50" t="s">
        <v>349</v>
      </c>
      <c r="D1130" s="50" t="s">
        <v>376</v>
      </c>
      <c r="E1130" s="50" t="s">
        <v>489</v>
      </c>
      <c r="F1130" s="51" t="s">
        <v>489</v>
      </c>
      <c r="G1130" s="45">
        <v>1989</v>
      </c>
      <c r="H1130" s="45">
        <v>473</v>
      </c>
      <c r="I1130" s="45">
        <v>329</v>
      </c>
      <c r="J1130" s="45">
        <v>1187</v>
      </c>
      <c r="K1130" s="45">
        <v>2390</v>
      </c>
      <c r="L1130" s="45">
        <v>873</v>
      </c>
      <c r="M1130" s="45">
        <v>470</v>
      </c>
      <c r="N1130" s="45">
        <v>1047</v>
      </c>
      <c r="O1130" s="45">
        <v>3626</v>
      </c>
      <c r="P1130" s="45">
        <v>1884</v>
      </c>
      <c r="Q1130" s="45">
        <v>664</v>
      </c>
      <c r="R1130" s="45">
        <v>1078</v>
      </c>
      <c r="S1130" s="46">
        <v>23.780794400000001</v>
      </c>
      <c r="T1130" s="46">
        <v>16.540975400000001</v>
      </c>
      <c r="U1130" s="46">
        <v>59.678230300000003</v>
      </c>
      <c r="V1130" s="46">
        <v>36.527196699999998</v>
      </c>
      <c r="W1130" s="46">
        <v>19.665272000000002</v>
      </c>
      <c r="X1130" s="46">
        <v>43.807531400000002</v>
      </c>
      <c r="Y1130" s="46">
        <v>51.958080500000001</v>
      </c>
      <c r="Z1130" s="46">
        <v>18.312189700000001</v>
      </c>
      <c r="AA1130" s="46">
        <v>29.7297297</v>
      </c>
      <c r="AB1130" s="26">
        <f>SUM(W1130:X1130)</f>
        <v>63.472803400000004</v>
      </c>
      <c r="AC1130" s="26">
        <f>SUM(Z1130:AA1130)</f>
        <v>48.041919399999998</v>
      </c>
      <c r="AD1130" s="57">
        <f>M1130+N1130</f>
        <v>1517</v>
      </c>
      <c r="AE1130" s="57">
        <f>Q1130+R1130</f>
        <v>1742</v>
      </c>
      <c r="AF1130" s="26">
        <f>W1130</f>
        <v>19.665272000000002</v>
      </c>
      <c r="AG1130" s="26">
        <f>Z1130</f>
        <v>18.312189700000001</v>
      </c>
      <c r="AH1130" s="26">
        <f>M1130</f>
        <v>470</v>
      </c>
      <c r="AI1130" s="26">
        <f>Q1130</f>
        <v>664</v>
      </c>
      <c r="AJ1130" s="26">
        <f>X1130</f>
        <v>43.807531400000002</v>
      </c>
      <c r="AK1130" s="26">
        <f>AA1130</f>
        <v>29.7297297</v>
      </c>
      <c r="AL1130" s="57">
        <f>N1130</f>
        <v>1047</v>
      </c>
      <c r="AM1130" s="57">
        <f>R1130</f>
        <v>1078</v>
      </c>
    </row>
    <row r="1131" spans="1:39" hidden="1" x14ac:dyDescent="0.3">
      <c r="A1131" s="37">
        <v>1127</v>
      </c>
      <c r="B1131" s="38" t="s">
        <v>521</v>
      </c>
      <c r="C1131" s="38" t="s">
        <v>349</v>
      </c>
      <c r="D1131" s="38" t="s">
        <v>376</v>
      </c>
      <c r="E1131" s="38" t="s">
        <v>489</v>
      </c>
      <c r="F1131" s="47" t="s">
        <v>519</v>
      </c>
      <c r="G1131" s="40"/>
      <c r="H1131" s="40"/>
      <c r="I1131" s="40"/>
      <c r="J1131" s="40"/>
      <c r="K1131" s="40"/>
      <c r="L1131" s="40"/>
      <c r="M1131" s="40"/>
      <c r="N1131" s="40"/>
      <c r="O1131" s="40"/>
      <c r="P1131" s="40"/>
      <c r="Q1131" s="40"/>
      <c r="R1131" s="40"/>
      <c r="S1131" s="41"/>
      <c r="T1131" s="41"/>
      <c r="U1131" s="41"/>
      <c r="V1131" s="41"/>
      <c r="W1131" s="41"/>
      <c r="X1131" s="41"/>
      <c r="Y1131" s="41"/>
      <c r="Z1131" s="41"/>
      <c r="AA1131" s="41"/>
    </row>
    <row r="1132" spans="1:39" hidden="1" x14ac:dyDescent="0.3">
      <c r="A1132" s="37">
        <v>1128</v>
      </c>
      <c r="B1132" s="38" t="s">
        <v>521</v>
      </c>
      <c r="C1132" s="38" t="s">
        <v>349</v>
      </c>
      <c r="D1132" s="38" t="s">
        <v>376</v>
      </c>
      <c r="E1132" s="38" t="s">
        <v>489</v>
      </c>
      <c r="F1132" s="47" t="s">
        <v>520</v>
      </c>
      <c r="G1132" s="40">
        <v>1989</v>
      </c>
      <c r="H1132" s="40">
        <v>473</v>
      </c>
      <c r="I1132" s="40">
        <v>329</v>
      </c>
      <c r="J1132" s="40">
        <v>1187</v>
      </c>
      <c r="K1132" s="40">
        <v>2390</v>
      </c>
      <c r="L1132" s="40">
        <v>873</v>
      </c>
      <c r="M1132" s="40">
        <v>470</v>
      </c>
      <c r="N1132" s="40">
        <v>1047</v>
      </c>
      <c r="O1132" s="40">
        <v>3626</v>
      </c>
      <c r="P1132" s="40">
        <v>1884</v>
      </c>
      <c r="Q1132" s="40">
        <v>664</v>
      </c>
      <c r="R1132" s="40">
        <v>1078</v>
      </c>
      <c r="S1132" s="41">
        <v>23.780794400000001</v>
      </c>
      <c r="T1132" s="41">
        <v>16.540975400000001</v>
      </c>
      <c r="U1132" s="41">
        <v>59.678230300000003</v>
      </c>
      <c r="V1132" s="41">
        <v>36.527196699999998</v>
      </c>
      <c r="W1132" s="41">
        <v>19.665272000000002</v>
      </c>
      <c r="X1132" s="41">
        <v>43.807531400000002</v>
      </c>
      <c r="Y1132" s="41">
        <v>51.958080500000001</v>
      </c>
      <c r="Z1132" s="41">
        <v>18.312189700000001</v>
      </c>
      <c r="AA1132" s="41">
        <v>29.7297297</v>
      </c>
    </row>
    <row r="1133" spans="1:39" hidden="1" x14ac:dyDescent="0.3">
      <c r="A1133" s="42">
        <v>1129</v>
      </c>
      <c r="B1133" s="43" t="s">
        <v>521</v>
      </c>
      <c r="C1133" s="50" t="s">
        <v>349</v>
      </c>
      <c r="D1133" s="50" t="s">
        <v>376</v>
      </c>
      <c r="E1133" s="50" t="s">
        <v>382</v>
      </c>
      <c r="F1133" s="51" t="s">
        <v>382</v>
      </c>
      <c r="G1133" s="45">
        <v>6488</v>
      </c>
      <c r="H1133" s="45">
        <v>3460</v>
      </c>
      <c r="I1133" s="45">
        <v>1333</v>
      </c>
      <c r="J1133" s="45">
        <v>1695</v>
      </c>
      <c r="K1133" s="45">
        <v>8374</v>
      </c>
      <c r="L1133" s="45">
        <v>5377</v>
      </c>
      <c r="M1133" s="45">
        <v>1439</v>
      </c>
      <c r="N1133" s="45">
        <v>1558</v>
      </c>
      <c r="O1133" s="45">
        <v>9305</v>
      </c>
      <c r="P1133" s="45">
        <v>6827</v>
      </c>
      <c r="Q1133" s="45">
        <v>1241</v>
      </c>
      <c r="R1133" s="45">
        <v>1237</v>
      </c>
      <c r="S1133" s="46">
        <v>53.329223200000001</v>
      </c>
      <c r="T1133" s="46">
        <v>20.545622699999999</v>
      </c>
      <c r="U1133" s="46">
        <v>26.1251541</v>
      </c>
      <c r="V1133" s="46">
        <v>64.210651999999996</v>
      </c>
      <c r="W1133" s="46">
        <v>17.184141400000001</v>
      </c>
      <c r="X1133" s="46">
        <v>18.605206599999999</v>
      </c>
      <c r="Y1133" s="46">
        <v>73.369156399999994</v>
      </c>
      <c r="Z1133" s="46">
        <v>13.336915599999999</v>
      </c>
      <c r="AA1133" s="46">
        <v>13.293927999999999</v>
      </c>
      <c r="AB1133" s="26">
        <f>SUM(W1133:X1133)</f>
        <v>35.789348000000004</v>
      </c>
      <c r="AC1133" s="26">
        <f>SUM(Z1133:AA1133)</f>
        <v>26.630843599999999</v>
      </c>
      <c r="AD1133" s="57">
        <f>M1133+N1133</f>
        <v>2997</v>
      </c>
      <c r="AE1133" s="57">
        <f>Q1133+R1133</f>
        <v>2478</v>
      </c>
      <c r="AF1133" s="26">
        <f>W1133</f>
        <v>17.184141400000001</v>
      </c>
      <c r="AG1133" s="26">
        <f>Z1133</f>
        <v>13.336915599999999</v>
      </c>
      <c r="AH1133" s="26">
        <f>M1133</f>
        <v>1439</v>
      </c>
      <c r="AI1133" s="26">
        <f>Q1133</f>
        <v>1241</v>
      </c>
      <c r="AJ1133" s="26">
        <f>X1133</f>
        <v>18.605206599999999</v>
      </c>
      <c r="AK1133" s="26">
        <f>AA1133</f>
        <v>13.293927999999999</v>
      </c>
      <c r="AL1133" s="57">
        <f>N1133</f>
        <v>1558</v>
      </c>
      <c r="AM1133" s="57">
        <f>R1133</f>
        <v>1237</v>
      </c>
    </row>
    <row r="1134" spans="1:39" hidden="1" x14ac:dyDescent="0.3">
      <c r="A1134" s="37">
        <v>1130</v>
      </c>
      <c r="B1134" s="38" t="s">
        <v>521</v>
      </c>
      <c r="C1134" s="38" t="s">
        <v>349</v>
      </c>
      <c r="D1134" s="38" t="s">
        <v>376</v>
      </c>
      <c r="E1134" s="38" t="s">
        <v>382</v>
      </c>
      <c r="F1134" s="47" t="s">
        <v>519</v>
      </c>
      <c r="G1134" s="40">
        <v>5727</v>
      </c>
      <c r="H1134" s="40">
        <v>3221</v>
      </c>
      <c r="I1134" s="40">
        <v>1207</v>
      </c>
      <c r="J1134" s="40">
        <v>1299</v>
      </c>
      <c r="K1134" s="40">
        <v>7338</v>
      </c>
      <c r="L1134" s="40">
        <v>4954</v>
      </c>
      <c r="M1134" s="40">
        <v>1228</v>
      </c>
      <c r="N1134" s="40">
        <v>1156</v>
      </c>
      <c r="O1134" s="40">
        <v>7611</v>
      </c>
      <c r="P1134" s="40">
        <v>5901</v>
      </c>
      <c r="Q1134" s="40">
        <v>904</v>
      </c>
      <c r="R1134" s="40">
        <v>806</v>
      </c>
      <c r="S1134" s="41">
        <v>56.242360699999999</v>
      </c>
      <c r="T1134" s="41">
        <v>21.075606799999999</v>
      </c>
      <c r="U1134" s="41">
        <v>22.682032499999998</v>
      </c>
      <c r="V1134" s="41">
        <v>67.5115835</v>
      </c>
      <c r="W1134" s="41">
        <v>16.734805099999999</v>
      </c>
      <c r="X1134" s="41">
        <v>15.753611299999999</v>
      </c>
      <c r="Y1134" s="41">
        <v>77.532518699999997</v>
      </c>
      <c r="Z1134" s="41">
        <v>11.877545700000001</v>
      </c>
      <c r="AA1134" s="41">
        <v>10.5899356</v>
      </c>
    </row>
    <row r="1135" spans="1:39" hidden="1" x14ac:dyDescent="0.3">
      <c r="A1135" s="37">
        <v>1131</v>
      </c>
      <c r="B1135" s="38" t="s">
        <v>521</v>
      </c>
      <c r="C1135" s="38" t="s">
        <v>349</v>
      </c>
      <c r="D1135" s="38" t="s">
        <v>376</v>
      </c>
      <c r="E1135" s="38" t="s">
        <v>382</v>
      </c>
      <c r="F1135" s="47" t="s">
        <v>520</v>
      </c>
      <c r="G1135" s="40">
        <v>761</v>
      </c>
      <c r="H1135" s="40">
        <v>239</v>
      </c>
      <c r="I1135" s="40">
        <v>126</v>
      </c>
      <c r="J1135" s="40">
        <v>396</v>
      </c>
      <c r="K1135" s="40">
        <v>1036</v>
      </c>
      <c r="L1135" s="40">
        <v>423</v>
      </c>
      <c r="M1135" s="40">
        <v>211</v>
      </c>
      <c r="N1135" s="40">
        <v>402</v>
      </c>
      <c r="O1135" s="40">
        <v>1694</v>
      </c>
      <c r="P1135" s="40">
        <v>926</v>
      </c>
      <c r="Q1135" s="40">
        <v>337</v>
      </c>
      <c r="R1135" s="40">
        <v>431</v>
      </c>
      <c r="S1135" s="41">
        <v>31.406044699999999</v>
      </c>
      <c r="T1135" s="41">
        <v>16.557161600000001</v>
      </c>
      <c r="U1135" s="41">
        <v>52.036793699999997</v>
      </c>
      <c r="V1135" s="41">
        <v>40.830115800000002</v>
      </c>
      <c r="W1135" s="41">
        <v>20.366795400000001</v>
      </c>
      <c r="X1135" s="41">
        <v>38.803088799999998</v>
      </c>
      <c r="Y1135" s="41">
        <v>54.6635183</v>
      </c>
      <c r="Z1135" s="41">
        <v>19.893742599999999</v>
      </c>
      <c r="AA1135" s="41">
        <v>25.442739100000001</v>
      </c>
    </row>
    <row r="1136" spans="1:39" hidden="1" x14ac:dyDescent="0.3">
      <c r="A1136" s="42">
        <v>1132</v>
      </c>
      <c r="B1136" s="43" t="s">
        <v>521</v>
      </c>
      <c r="C1136" s="50" t="s">
        <v>349</v>
      </c>
      <c r="D1136" s="50" t="s">
        <v>376</v>
      </c>
      <c r="E1136" s="50" t="s">
        <v>383</v>
      </c>
      <c r="F1136" s="51" t="s">
        <v>383</v>
      </c>
      <c r="G1136" s="45">
        <v>699</v>
      </c>
      <c r="H1136" s="45">
        <v>249</v>
      </c>
      <c r="I1136" s="45">
        <v>149</v>
      </c>
      <c r="J1136" s="45">
        <v>301</v>
      </c>
      <c r="K1136" s="45">
        <v>1013</v>
      </c>
      <c r="L1136" s="45">
        <v>485</v>
      </c>
      <c r="M1136" s="45">
        <v>210</v>
      </c>
      <c r="N1136" s="45">
        <v>318</v>
      </c>
      <c r="O1136" s="45">
        <v>1385</v>
      </c>
      <c r="P1136" s="45">
        <v>800</v>
      </c>
      <c r="Q1136" s="45">
        <v>225</v>
      </c>
      <c r="R1136" s="45">
        <v>360</v>
      </c>
      <c r="S1136" s="46">
        <v>35.622317600000002</v>
      </c>
      <c r="T1136" s="46">
        <v>21.316165999999999</v>
      </c>
      <c r="U1136" s="46">
        <v>43.061516500000003</v>
      </c>
      <c r="V1136" s="46">
        <v>47.877591299999999</v>
      </c>
      <c r="W1136" s="46">
        <v>20.730503500000001</v>
      </c>
      <c r="X1136" s="46">
        <v>31.3919052</v>
      </c>
      <c r="Y1136" s="46">
        <v>57.761732899999998</v>
      </c>
      <c r="Z1136" s="46">
        <v>16.245487399999998</v>
      </c>
      <c r="AA1136" s="46">
        <v>25.992779800000001</v>
      </c>
      <c r="AB1136" s="26">
        <f>SUM(W1136:X1136)</f>
        <v>52.122408700000001</v>
      </c>
      <c r="AC1136" s="26">
        <f>SUM(Z1136:AA1136)</f>
        <v>42.238267199999996</v>
      </c>
      <c r="AD1136" s="57">
        <f>M1136+N1136</f>
        <v>528</v>
      </c>
      <c r="AE1136" s="57">
        <f>Q1136+R1136</f>
        <v>585</v>
      </c>
      <c r="AF1136" s="26">
        <f>W1136</f>
        <v>20.730503500000001</v>
      </c>
      <c r="AG1136" s="26">
        <f>Z1136</f>
        <v>16.245487399999998</v>
      </c>
      <c r="AH1136" s="26">
        <f>M1136</f>
        <v>210</v>
      </c>
      <c r="AI1136" s="26">
        <f>Q1136</f>
        <v>225</v>
      </c>
      <c r="AJ1136" s="26">
        <f>X1136</f>
        <v>31.3919052</v>
      </c>
      <c r="AK1136" s="26">
        <f>AA1136</f>
        <v>25.992779800000001</v>
      </c>
      <c r="AL1136" s="57">
        <f>N1136</f>
        <v>318</v>
      </c>
      <c r="AM1136" s="57">
        <f>R1136</f>
        <v>360</v>
      </c>
    </row>
    <row r="1137" spans="1:39" hidden="1" x14ac:dyDescent="0.3">
      <c r="A1137" s="37">
        <v>1133</v>
      </c>
      <c r="B1137" s="38" t="s">
        <v>521</v>
      </c>
      <c r="C1137" s="38" t="s">
        <v>349</v>
      </c>
      <c r="D1137" s="38" t="s">
        <v>376</v>
      </c>
      <c r="E1137" s="38" t="s">
        <v>383</v>
      </c>
      <c r="F1137" s="47" t="s">
        <v>519</v>
      </c>
      <c r="G1137" s="40">
        <v>503</v>
      </c>
      <c r="H1137" s="40">
        <v>189</v>
      </c>
      <c r="I1137" s="40">
        <v>121</v>
      </c>
      <c r="J1137" s="40">
        <v>193</v>
      </c>
      <c r="K1137" s="40">
        <v>708</v>
      </c>
      <c r="L1137" s="40">
        <v>377</v>
      </c>
      <c r="M1137" s="40">
        <v>139</v>
      </c>
      <c r="N1137" s="40">
        <v>192</v>
      </c>
      <c r="O1137" s="40">
        <v>963</v>
      </c>
      <c r="P1137" s="40">
        <v>621</v>
      </c>
      <c r="Q1137" s="40">
        <v>162</v>
      </c>
      <c r="R1137" s="40">
        <v>180</v>
      </c>
      <c r="S1137" s="41">
        <v>37.574552699999998</v>
      </c>
      <c r="T1137" s="41">
        <v>24.055665999999999</v>
      </c>
      <c r="U1137" s="41">
        <v>38.3697813</v>
      </c>
      <c r="V1137" s="41">
        <v>53.2485876</v>
      </c>
      <c r="W1137" s="41">
        <v>19.6327684</v>
      </c>
      <c r="X1137" s="41">
        <v>27.118644100000001</v>
      </c>
      <c r="Y1137" s="41">
        <v>64.485981300000006</v>
      </c>
      <c r="Z1137" s="41">
        <v>16.822429899999999</v>
      </c>
      <c r="AA1137" s="41">
        <v>18.691588800000002</v>
      </c>
    </row>
    <row r="1138" spans="1:39" hidden="1" x14ac:dyDescent="0.3">
      <c r="A1138" s="37">
        <v>1134</v>
      </c>
      <c r="B1138" s="38" t="s">
        <v>521</v>
      </c>
      <c r="C1138" s="38" t="s">
        <v>349</v>
      </c>
      <c r="D1138" s="38" t="s">
        <v>376</v>
      </c>
      <c r="E1138" s="38" t="s">
        <v>383</v>
      </c>
      <c r="F1138" s="47" t="s">
        <v>520</v>
      </c>
      <c r="G1138" s="40">
        <v>196</v>
      </c>
      <c r="H1138" s="40">
        <v>60</v>
      </c>
      <c r="I1138" s="40">
        <v>28</v>
      </c>
      <c r="J1138" s="40">
        <v>108</v>
      </c>
      <c r="K1138" s="40">
        <v>305</v>
      </c>
      <c r="L1138" s="40">
        <v>108</v>
      </c>
      <c r="M1138" s="40">
        <v>71</v>
      </c>
      <c r="N1138" s="40">
        <v>126</v>
      </c>
      <c r="O1138" s="40">
        <v>422</v>
      </c>
      <c r="P1138" s="40">
        <v>179</v>
      </c>
      <c r="Q1138" s="40">
        <v>63</v>
      </c>
      <c r="R1138" s="40">
        <v>180</v>
      </c>
      <c r="S1138" s="41">
        <v>30.6122449</v>
      </c>
      <c r="T1138" s="41">
        <v>14.2857143</v>
      </c>
      <c r="U1138" s="41">
        <v>55.102040799999997</v>
      </c>
      <c r="V1138" s="41">
        <v>35.4098361</v>
      </c>
      <c r="W1138" s="41">
        <v>23.278688500000001</v>
      </c>
      <c r="X1138" s="41">
        <v>41.311475399999999</v>
      </c>
      <c r="Y1138" s="41">
        <v>42.417061599999997</v>
      </c>
      <c r="Z1138" s="41">
        <v>14.92891</v>
      </c>
      <c r="AA1138" s="41">
        <v>42.654028400000001</v>
      </c>
    </row>
    <row r="1139" spans="1:39" hidden="1" x14ac:dyDescent="0.3">
      <c r="A1139" s="32">
        <v>1135</v>
      </c>
      <c r="B1139" s="33" t="s">
        <v>1</v>
      </c>
      <c r="C1139" s="49" t="s">
        <v>349</v>
      </c>
      <c r="D1139" s="49" t="s">
        <v>529</v>
      </c>
      <c r="E1139" s="49"/>
      <c r="F1139" s="34" t="s">
        <v>529</v>
      </c>
      <c r="G1139" s="35">
        <v>7007</v>
      </c>
      <c r="H1139" s="35">
        <v>3359</v>
      </c>
      <c r="I1139" s="35">
        <v>1402</v>
      </c>
      <c r="J1139" s="35">
        <v>2246</v>
      </c>
      <c r="K1139" s="35">
        <v>7956</v>
      </c>
      <c r="L1139" s="35">
        <v>4812</v>
      </c>
      <c r="M1139" s="35">
        <v>1460</v>
      </c>
      <c r="N1139" s="35">
        <v>1684</v>
      </c>
      <c r="O1139" s="35">
        <v>9338</v>
      </c>
      <c r="P1139" s="35">
        <v>6812</v>
      </c>
      <c r="Q1139" s="35">
        <v>1262</v>
      </c>
      <c r="R1139" s="35">
        <v>1264</v>
      </c>
      <c r="S1139" s="36">
        <v>47.937776499999998</v>
      </c>
      <c r="T1139" s="36">
        <v>20.008562900000001</v>
      </c>
      <c r="U1139" s="36">
        <v>32.053660600000001</v>
      </c>
      <c r="V1139" s="36">
        <v>60.482654599999996</v>
      </c>
      <c r="W1139" s="36">
        <v>18.350930099999999</v>
      </c>
      <c r="X1139" s="36">
        <v>21.166415300000001</v>
      </c>
      <c r="Y1139" s="36">
        <v>72.949239700000007</v>
      </c>
      <c r="Z1139" s="36">
        <v>13.5146712</v>
      </c>
      <c r="AA1139" s="36">
        <v>13.5360891</v>
      </c>
    </row>
    <row r="1140" spans="1:39" hidden="1" x14ac:dyDescent="0.3">
      <c r="A1140" s="37">
        <v>1136</v>
      </c>
      <c r="B1140" s="38" t="s">
        <v>1</v>
      </c>
      <c r="C1140" s="38" t="s">
        <v>349</v>
      </c>
      <c r="D1140" s="38" t="s">
        <v>529</v>
      </c>
      <c r="E1140" s="38"/>
      <c r="F1140" s="39" t="s">
        <v>519</v>
      </c>
      <c r="G1140" s="40">
        <v>2068</v>
      </c>
      <c r="H1140" s="40">
        <v>1170</v>
      </c>
      <c r="I1140" s="40">
        <v>446</v>
      </c>
      <c r="J1140" s="40">
        <v>452</v>
      </c>
      <c r="K1140" s="40">
        <v>2981</v>
      </c>
      <c r="L1140" s="40">
        <v>2003</v>
      </c>
      <c r="M1140" s="40">
        <v>483</v>
      </c>
      <c r="N1140" s="40">
        <v>495</v>
      </c>
      <c r="O1140" s="40">
        <v>3589</v>
      </c>
      <c r="P1140" s="40">
        <v>2687</v>
      </c>
      <c r="Q1140" s="40">
        <v>454</v>
      </c>
      <c r="R1140" s="40">
        <v>448</v>
      </c>
      <c r="S1140" s="41">
        <v>56.576402299999998</v>
      </c>
      <c r="T1140" s="41">
        <v>21.566731099999998</v>
      </c>
      <c r="U1140" s="41">
        <v>21.856866499999999</v>
      </c>
      <c r="V1140" s="41">
        <v>67.192217400000004</v>
      </c>
      <c r="W1140" s="41">
        <v>16.202616599999999</v>
      </c>
      <c r="X1140" s="41">
        <v>16.605166100000002</v>
      </c>
      <c r="Y1140" s="41">
        <v>74.867651199999997</v>
      </c>
      <c r="Z1140" s="41">
        <v>12.649763200000001</v>
      </c>
      <c r="AA1140" s="41">
        <v>12.4825857</v>
      </c>
    </row>
    <row r="1141" spans="1:39" hidden="1" x14ac:dyDescent="0.3">
      <c r="A1141" s="37">
        <v>1137</v>
      </c>
      <c r="B1141" s="38" t="s">
        <v>1</v>
      </c>
      <c r="C1141" s="38" t="s">
        <v>349</v>
      </c>
      <c r="D1141" s="38" t="s">
        <v>529</v>
      </c>
      <c r="E1141" s="38"/>
      <c r="F1141" s="39" t="s">
        <v>520</v>
      </c>
      <c r="G1141" s="40">
        <v>4939</v>
      </c>
      <c r="H1141" s="40">
        <v>2189</v>
      </c>
      <c r="I1141" s="40">
        <v>956</v>
      </c>
      <c r="J1141" s="40">
        <v>1794</v>
      </c>
      <c r="K1141" s="40">
        <v>4975</v>
      </c>
      <c r="L1141" s="40">
        <v>2809</v>
      </c>
      <c r="M1141" s="40">
        <v>977</v>
      </c>
      <c r="N1141" s="40">
        <v>1189</v>
      </c>
      <c r="O1141" s="40">
        <v>5749</v>
      </c>
      <c r="P1141" s="40">
        <v>4125</v>
      </c>
      <c r="Q1141" s="40">
        <v>808</v>
      </c>
      <c r="R1141" s="40">
        <v>816</v>
      </c>
      <c r="S1141" s="41">
        <v>44.320712700000001</v>
      </c>
      <c r="T1141" s="41">
        <v>19.356145000000001</v>
      </c>
      <c r="U1141" s="41">
        <v>36.323142300000001</v>
      </c>
      <c r="V1141" s="41">
        <v>56.4623116</v>
      </c>
      <c r="W1141" s="41">
        <v>19.638190999999999</v>
      </c>
      <c r="X1141" s="41">
        <v>23.899497499999999</v>
      </c>
      <c r="Y1141" s="41">
        <v>71.751609000000002</v>
      </c>
      <c r="Z1141" s="41">
        <v>14.0546182</v>
      </c>
      <c r="AA1141" s="41">
        <v>14.1937728</v>
      </c>
    </row>
    <row r="1142" spans="1:39" hidden="1" x14ac:dyDescent="0.3">
      <c r="A1142" s="42">
        <v>1138</v>
      </c>
      <c r="B1142" s="43" t="s">
        <v>521</v>
      </c>
      <c r="C1142" s="50" t="s">
        <v>349</v>
      </c>
      <c r="D1142" s="50" t="s">
        <v>529</v>
      </c>
      <c r="E1142" s="50" t="s">
        <v>384</v>
      </c>
      <c r="F1142" s="51" t="s">
        <v>384</v>
      </c>
      <c r="G1142" s="45">
        <v>4432</v>
      </c>
      <c r="H1142" s="45">
        <v>2228</v>
      </c>
      <c r="I1142" s="45">
        <v>928</v>
      </c>
      <c r="J1142" s="45">
        <v>1276</v>
      </c>
      <c r="K1142" s="45">
        <v>5275</v>
      </c>
      <c r="L1142" s="45">
        <v>3357</v>
      </c>
      <c r="M1142" s="45">
        <v>923</v>
      </c>
      <c r="N1142" s="45">
        <v>995</v>
      </c>
      <c r="O1142" s="45">
        <v>6197</v>
      </c>
      <c r="P1142" s="45">
        <v>4605</v>
      </c>
      <c r="Q1142" s="45">
        <v>792</v>
      </c>
      <c r="R1142" s="45">
        <v>800</v>
      </c>
      <c r="S1142" s="46">
        <v>50.270758100000002</v>
      </c>
      <c r="T1142" s="46">
        <v>20.9386282</v>
      </c>
      <c r="U1142" s="46">
        <v>28.790613700000002</v>
      </c>
      <c r="V1142" s="46">
        <v>63.639810400000002</v>
      </c>
      <c r="W1142" s="46">
        <v>17.497630300000001</v>
      </c>
      <c r="X1142" s="46">
        <v>18.8625592</v>
      </c>
      <c r="Y1142" s="46">
        <v>74.310150100000001</v>
      </c>
      <c r="Z1142" s="46">
        <v>12.7803776</v>
      </c>
      <c r="AA1142" s="46">
        <v>12.909472299999999</v>
      </c>
      <c r="AB1142" s="26">
        <f>SUM(W1142:X1142)</f>
        <v>36.360189500000004</v>
      </c>
      <c r="AC1142" s="26">
        <f>SUM(Z1142:AA1142)</f>
        <v>25.689849899999999</v>
      </c>
      <c r="AD1142" s="57">
        <f>M1142+N1142</f>
        <v>1918</v>
      </c>
      <c r="AE1142" s="57">
        <f>Q1142+R1142</f>
        <v>1592</v>
      </c>
      <c r="AF1142" s="26">
        <f>W1142</f>
        <v>17.497630300000001</v>
      </c>
      <c r="AG1142" s="26">
        <f>Z1142</f>
        <v>12.7803776</v>
      </c>
      <c r="AH1142" s="26">
        <f>M1142</f>
        <v>923</v>
      </c>
      <c r="AI1142" s="26">
        <f>Q1142</f>
        <v>792</v>
      </c>
      <c r="AJ1142" s="26">
        <f>X1142</f>
        <v>18.8625592</v>
      </c>
      <c r="AK1142" s="26">
        <f>AA1142</f>
        <v>12.909472299999999</v>
      </c>
      <c r="AL1142" s="57">
        <f>N1142</f>
        <v>995</v>
      </c>
      <c r="AM1142" s="57">
        <f>R1142</f>
        <v>800</v>
      </c>
    </row>
    <row r="1143" spans="1:39" hidden="1" x14ac:dyDescent="0.3">
      <c r="A1143" s="37">
        <v>1139</v>
      </c>
      <c r="B1143" s="38" t="s">
        <v>521</v>
      </c>
      <c r="C1143" s="38" t="s">
        <v>349</v>
      </c>
      <c r="D1143" s="38" t="s">
        <v>529</v>
      </c>
      <c r="E1143" s="38" t="s">
        <v>384</v>
      </c>
      <c r="F1143" s="47" t="s">
        <v>519</v>
      </c>
      <c r="G1143" s="40">
        <v>2068</v>
      </c>
      <c r="H1143" s="40">
        <v>1170</v>
      </c>
      <c r="I1143" s="40">
        <v>446</v>
      </c>
      <c r="J1143" s="40">
        <v>452</v>
      </c>
      <c r="K1143" s="40">
        <v>2981</v>
      </c>
      <c r="L1143" s="40">
        <v>2003</v>
      </c>
      <c r="M1143" s="40">
        <v>483</v>
      </c>
      <c r="N1143" s="40">
        <v>495</v>
      </c>
      <c r="O1143" s="40">
        <v>3589</v>
      </c>
      <c r="P1143" s="40">
        <v>2687</v>
      </c>
      <c r="Q1143" s="40">
        <v>454</v>
      </c>
      <c r="R1143" s="40">
        <v>448</v>
      </c>
      <c r="S1143" s="41">
        <v>56.576402299999998</v>
      </c>
      <c r="T1143" s="41">
        <v>21.566731099999998</v>
      </c>
      <c r="U1143" s="41">
        <v>21.856866499999999</v>
      </c>
      <c r="V1143" s="41">
        <v>67.192217400000004</v>
      </c>
      <c r="W1143" s="41">
        <v>16.202616599999999</v>
      </c>
      <c r="X1143" s="41">
        <v>16.605166100000002</v>
      </c>
      <c r="Y1143" s="41">
        <v>74.867651199999997</v>
      </c>
      <c r="Z1143" s="41">
        <v>12.649763200000001</v>
      </c>
      <c r="AA1143" s="41">
        <v>12.4825857</v>
      </c>
    </row>
    <row r="1144" spans="1:39" hidden="1" x14ac:dyDescent="0.3">
      <c r="A1144" s="37">
        <v>1140</v>
      </c>
      <c r="B1144" s="38" t="s">
        <v>521</v>
      </c>
      <c r="C1144" s="38" t="s">
        <v>349</v>
      </c>
      <c r="D1144" s="38" t="s">
        <v>529</v>
      </c>
      <c r="E1144" s="38" t="s">
        <v>384</v>
      </c>
      <c r="F1144" s="47" t="s">
        <v>520</v>
      </c>
      <c r="G1144" s="40">
        <v>2364</v>
      </c>
      <c r="H1144" s="40">
        <v>1058</v>
      </c>
      <c r="I1144" s="40">
        <v>482</v>
      </c>
      <c r="J1144" s="40">
        <v>824</v>
      </c>
      <c r="K1144" s="40">
        <v>2294</v>
      </c>
      <c r="L1144" s="40">
        <v>1354</v>
      </c>
      <c r="M1144" s="40">
        <v>440</v>
      </c>
      <c r="N1144" s="40">
        <v>500</v>
      </c>
      <c r="O1144" s="40">
        <v>2608</v>
      </c>
      <c r="P1144" s="40">
        <v>1918</v>
      </c>
      <c r="Q1144" s="40">
        <v>338</v>
      </c>
      <c r="R1144" s="40">
        <v>352</v>
      </c>
      <c r="S1144" s="41">
        <v>44.754653099999999</v>
      </c>
      <c r="T1144" s="41">
        <v>20.3891709</v>
      </c>
      <c r="U1144" s="41">
        <v>34.856175999999998</v>
      </c>
      <c r="V1144" s="41">
        <v>59.023539700000001</v>
      </c>
      <c r="W1144" s="41">
        <v>19.180470799999998</v>
      </c>
      <c r="X1144" s="41">
        <v>21.795989500000001</v>
      </c>
      <c r="Y1144" s="41">
        <v>73.542944800000001</v>
      </c>
      <c r="Z1144" s="41">
        <v>12.960122699999999</v>
      </c>
      <c r="AA1144" s="41">
        <v>13.4969325</v>
      </c>
    </row>
    <row r="1145" spans="1:39" hidden="1" x14ac:dyDescent="0.3">
      <c r="A1145" s="42">
        <v>1141</v>
      </c>
      <c r="B1145" s="43" t="s">
        <v>521</v>
      </c>
      <c r="C1145" s="50" t="s">
        <v>349</v>
      </c>
      <c r="D1145" s="50" t="s">
        <v>529</v>
      </c>
      <c r="E1145" s="50" t="s">
        <v>385</v>
      </c>
      <c r="F1145" s="51" t="s">
        <v>385</v>
      </c>
      <c r="G1145" s="45">
        <v>586</v>
      </c>
      <c r="H1145" s="45">
        <v>309</v>
      </c>
      <c r="I1145" s="45">
        <v>116</v>
      </c>
      <c r="J1145" s="45">
        <v>161</v>
      </c>
      <c r="K1145" s="45">
        <v>576</v>
      </c>
      <c r="L1145" s="45">
        <v>337</v>
      </c>
      <c r="M1145" s="45">
        <v>111</v>
      </c>
      <c r="N1145" s="45">
        <v>128</v>
      </c>
      <c r="O1145" s="45">
        <v>795</v>
      </c>
      <c r="P1145" s="45">
        <v>587</v>
      </c>
      <c r="Q1145" s="45">
        <v>117</v>
      </c>
      <c r="R1145" s="45">
        <v>91</v>
      </c>
      <c r="S1145" s="46">
        <v>52.7303754</v>
      </c>
      <c r="T1145" s="46">
        <v>19.7952218</v>
      </c>
      <c r="U1145" s="46">
        <v>27.474402699999999</v>
      </c>
      <c r="V1145" s="46">
        <v>58.506944400000002</v>
      </c>
      <c r="W1145" s="46">
        <v>19.2708333</v>
      </c>
      <c r="X1145" s="46">
        <v>22.222222200000001</v>
      </c>
      <c r="Y1145" s="46">
        <v>73.836478</v>
      </c>
      <c r="Z1145" s="46">
        <v>14.7169811</v>
      </c>
      <c r="AA1145" s="46">
        <v>11.4465409</v>
      </c>
      <c r="AB1145" s="26">
        <f>SUM(W1145:X1145)</f>
        <v>41.493055499999997</v>
      </c>
      <c r="AC1145" s="26">
        <f>SUM(Z1145:AA1145)</f>
        <v>26.163522</v>
      </c>
      <c r="AD1145" s="57">
        <f>M1145+N1145</f>
        <v>239</v>
      </c>
      <c r="AE1145" s="57">
        <f>Q1145+R1145</f>
        <v>208</v>
      </c>
      <c r="AF1145" s="26">
        <f>W1145</f>
        <v>19.2708333</v>
      </c>
      <c r="AG1145" s="26">
        <f>Z1145</f>
        <v>14.7169811</v>
      </c>
      <c r="AH1145" s="26">
        <f>M1145</f>
        <v>111</v>
      </c>
      <c r="AI1145" s="26">
        <f>Q1145</f>
        <v>117</v>
      </c>
      <c r="AJ1145" s="26">
        <f>X1145</f>
        <v>22.222222200000001</v>
      </c>
      <c r="AK1145" s="26">
        <f>AA1145</f>
        <v>11.4465409</v>
      </c>
      <c r="AL1145" s="57">
        <f>N1145</f>
        <v>128</v>
      </c>
      <c r="AM1145" s="57">
        <f>R1145</f>
        <v>91</v>
      </c>
    </row>
    <row r="1146" spans="1:39" hidden="1" x14ac:dyDescent="0.3">
      <c r="A1146" s="37">
        <v>1142</v>
      </c>
      <c r="B1146" s="38" t="s">
        <v>521</v>
      </c>
      <c r="C1146" s="38" t="s">
        <v>349</v>
      </c>
      <c r="D1146" s="38" t="s">
        <v>529</v>
      </c>
      <c r="E1146" s="38" t="s">
        <v>385</v>
      </c>
      <c r="F1146" s="47" t="s">
        <v>519</v>
      </c>
      <c r="G1146" s="40"/>
      <c r="H1146" s="40"/>
      <c r="I1146" s="40"/>
      <c r="J1146" s="40"/>
      <c r="K1146" s="40"/>
      <c r="L1146" s="40"/>
      <c r="M1146" s="40"/>
      <c r="N1146" s="40"/>
      <c r="O1146" s="40"/>
      <c r="P1146" s="40"/>
      <c r="Q1146" s="40"/>
      <c r="R1146" s="40"/>
      <c r="S1146" s="41"/>
      <c r="T1146" s="41"/>
      <c r="U1146" s="41"/>
      <c r="V1146" s="41"/>
      <c r="W1146" s="41"/>
      <c r="X1146" s="41"/>
      <c r="Y1146" s="41"/>
      <c r="Z1146" s="41"/>
      <c r="AA1146" s="41"/>
    </row>
    <row r="1147" spans="1:39" hidden="1" x14ac:dyDescent="0.3">
      <c r="A1147" s="37">
        <v>1143</v>
      </c>
      <c r="B1147" s="38" t="s">
        <v>521</v>
      </c>
      <c r="C1147" s="38" t="s">
        <v>349</v>
      </c>
      <c r="D1147" s="38" t="s">
        <v>529</v>
      </c>
      <c r="E1147" s="38" t="s">
        <v>385</v>
      </c>
      <c r="F1147" s="47" t="s">
        <v>520</v>
      </c>
      <c r="G1147" s="40">
        <v>586</v>
      </c>
      <c r="H1147" s="40">
        <v>309</v>
      </c>
      <c r="I1147" s="40">
        <v>116</v>
      </c>
      <c r="J1147" s="40">
        <v>161</v>
      </c>
      <c r="K1147" s="40">
        <v>576</v>
      </c>
      <c r="L1147" s="40">
        <v>337</v>
      </c>
      <c r="M1147" s="40">
        <v>111</v>
      </c>
      <c r="N1147" s="40">
        <v>128</v>
      </c>
      <c r="O1147" s="40">
        <v>795</v>
      </c>
      <c r="P1147" s="40">
        <v>587</v>
      </c>
      <c r="Q1147" s="40">
        <v>117</v>
      </c>
      <c r="R1147" s="40">
        <v>91</v>
      </c>
      <c r="S1147" s="41">
        <v>52.7303754</v>
      </c>
      <c r="T1147" s="41">
        <v>19.7952218</v>
      </c>
      <c r="U1147" s="41">
        <v>27.474402699999999</v>
      </c>
      <c r="V1147" s="41">
        <v>58.506944400000002</v>
      </c>
      <c r="W1147" s="41">
        <v>19.2708333</v>
      </c>
      <c r="X1147" s="41">
        <v>22.222222200000001</v>
      </c>
      <c r="Y1147" s="41">
        <v>73.836478</v>
      </c>
      <c r="Z1147" s="41">
        <v>14.7169811</v>
      </c>
      <c r="AA1147" s="41">
        <v>11.4465409</v>
      </c>
    </row>
    <row r="1148" spans="1:39" hidden="1" x14ac:dyDescent="0.3">
      <c r="A1148" s="42">
        <v>1144</v>
      </c>
      <c r="B1148" s="43" t="s">
        <v>521</v>
      </c>
      <c r="C1148" s="50" t="s">
        <v>349</v>
      </c>
      <c r="D1148" s="50" t="s">
        <v>529</v>
      </c>
      <c r="E1148" s="50" t="s">
        <v>386</v>
      </c>
      <c r="F1148" s="51" t="s">
        <v>386</v>
      </c>
      <c r="G1148" s="45">
        <v>882</v>
      </c>
      <c r="H1148" s="45">
        <v>403</v>
      </c>
      <c r="I1148" s="45">
        <v>150</v>
      </c>
      <c r="J1148" s="45">
        <v>329</v>
      </c>
      <c r="K1148" s="45">
        <v>870</v>
      </c>
      <c r="L1148" s="45">
        <v>477</v>
      </c>
      <c r="M1148" s="45">
        <v>196</v>
      </c>
      <c r="N1148" s="45">
        <v>197</v>
      </c>
      <c r="O1148" s="45">
        <v>991</v>
      </c>
      <c r="P1148" s="45">
        <v>682</v>
      </c>
      <c r="Q1148" s="45">
        <v>150</v>
      </c>
      <c r="R1148" s="45">
        <v>159</v>
      </c>
      <c r="S1148" s="46">
        <v>45.691609999999997</v>
      </c>
      <c r="T1148" s="46">
        <v>17.006802700000001</v>
      </c>
      <c r="U1148" s="46">
        <v>37.301587300000001</v>
      </c>
      <c r="V1148" s="46">
        <v>54.827586199999999</v>
      </c>
      <c r="W1148" s="46">
        <v>22.528735600000001</v>
      </c>
      <c r="X1148" s="46">
        <v>22.6436782</v>
      </c>
      <c r="Y1148" s="46">
        <v>68.819374400000001</v>
      </c>
      <c r="Z1148" s="46">
        <v>15.136226000000001</v>
      </c>
      <c r="AA1148" s="46">
        <v>16.044399599999998</v>
      </c>
      <c r="AB1148" s="26">
        <f>SUM(W1148:X1148)</f>
        <v>45.172413800000001</v>
      </c>
      <c r="AC1148" s="26">
        <f>SUM(Z1148:AA1148)</f>
        <v>31.180625599999999</v>
      </c>
      <c r="AD1148" s="57">
        <f>M1148+N1148</f>
        <v>393</v>
      </c>
      <c r="AE1148" s="57">
        <f>Q1148+R1148</f>
        <v>309</v>
      </c>
      <c r="AF1148" s="26">
        <f>W1148</f>
        <v>22.528735600000001</v>
      </c>
      <c r="AG1148" s="26">
        <f>Z1148</f>
        <v>15.136226000000001</v>
      </c>
      <c r="AH1148" s="26">
        <f>M1148</f>
        <v>196</v>
      </c>
      <c r="AI1148" s="26">
        <f>Q1148</f>
        <v>150</v>
      </c>
      <c r="AJ1148" s="26">
        <f>X1148</f>
        <v>22.6436782</v>
      </c>
      <c r="AK1148" s="26">
        <f>AA1148</f>
        <v>16.044399599999998</v>
      </c>
      <c r="AL1148" s="57">
        <f>N1148</f>
        <v>197</v>
      </c>
      <c r="AM1148" s="57">
        <f>R1148</f>
        <v>159</v>
      </c>
    </row>
    <row r="1149" spans="1:39" hidden="1" x14ac:dyDescent="0.3">
      <c r="A1149" s="37">
        <v>1145</v>
      </c>
      <c r="B1149" s="38" t="s">
        <v>521</v>
      </c>
      <c r="C1149" s="38" t="s">
        <v>349</v>
      </c>
      <c r="D1149" s="38" t="s">
        <v>529</v>
      </c>
      <c r="E1149" s="38" t="s">
        <v>386</v>
      </c>
      <c r="F1149" s="47" t="s">
        <v>519</v>
      </c>
      <c r="G1149" s="40"/>
      <c r="H1149" s="40"/>
      <c r="I1149" s="40"/>
      <c r="J1149" s="40"/>
      <c r="K1149" s="40"/>
      <c r="L1149" s="40"/>
      <c r="M1149" s="40"/>
      <c r="N1149" s="40"/>
      <c r="O1149" s="40"/>
      <c r="P1149" s="40"/>
      <c r="Q1149" s="40"/>
      <c r="R1149" s="40"/>
      <c r="S1149" s="41"/>
      <c r="T1149" s="41"/>
      <c r="U1149" s="41"/>
      <c r="V1149" s="41"/>
      <c r="W1149" s="41"/>
      <c r="X1149" s="41"/>
      <c r="Y1149" s="41"/>
      <c r="Z1149" s="41"/>
      <c r="AA1149" s="41"/>
    </row>
    <row r="1150" spans="1:39" hidden="1" x14ac:dyDescent="0.3">
      <c r="A1150" s="37">
        <v>1146</v>
      </c>
      <c r="B1150" s="38" t="s">
        <v>521</v>
      </c>
      <c r="C1150" s="38" t="s">
        <v>349</v>
      </c>
      <c r="D1150" s="38" t="s">
        <v>529</v>
      </c>
      <c r="E1150" s="38" t="s">
        <v>386</v>
      </c>
      <c r="F1150" s="47" t="s">
        <v>520</v>
      </c>
      <c r="G1150" s="40">
        <v>882</v>
      </c>
      <c r="H1150" s="40">
        <v>403</v>
      </c>
      <c r="I1150" s="40">
        <v>150</v>
      </c>
      <c r="J1150" s="40">
        <v>329</v>
      </c>
      <c r="K1150" s="40">
        <v>870</v>
      </c>
      <c r="L1150" s="40">
        <v>477</v>
      </c>
      <c r="M1150" s="40">
        <v>196</v>
      </c>
      <c r="N1150" s="40">
        <v>197</v>
      </c>
      <c r="O1150" s="40">
        <v>991</v>
      </c>
      <c r="P1150" s="40">
        <v>682</v>
      </c>
      <c r="Q1150" s="40">
        <v>150</v>
      </c>
      <c r="R1150" s="40">
        <v>159</v>
      </c>
      <c r="S1150" s="41">
        <v>45.691609999999997</v>
      </c>
      <c r="T1150" s="41">
        <v>17.006802700000001</v>
      </c>
      <c r="U1150" s="41">
        <v>37.301587300000001</v>
      </c>
      <c r="V1150" s="41">
        <v>54.827586199999999</v>
      </c>
      <c r="W1150" s="41">
        <v>22.528735600000001</v>
      </c>
      <c r="X1150" s="41">
        <v>22.6436782</v>
      </c>
      <c r="Y1150" s="41">
        <v>68.819374400000001</v>
      </c>
      <c r="Z1150" s="41">
        <v>15.136226000000001</v>
      </c>
      <c r="AA1150" s="41">
        <v>16.044399599999998</v>
      </c>
    </row>
    <row r="1151" spans="1:39" hidden="1" x14ac:dyDescent="0.3">
      <c r="A1151" s="42">
        <v>1147</v>
      </c>
      <c r="B1151" s="43" t="s">
        <v>521</v>
      </c>
      <c r="C1151" s="50" t="s">
        <v>349</v>
      </c>
      <c r="D1151" s="50" t="s">
        <v>529</v>
      </c>
      <c r="E1151" s="50" t="s">
        <v>387</v>
      </c>
      <c r="F1151" s="51" t="s">
        <v>387</v>
      </c>
      <c r="G1151" s="45">
        <v>494</v>
      </c>
      <c r="H1151" s="45">
        <v>187</v>
      </c>
      <c r="I1151" s="45">
        <v>93</v>
      </c>
      <c r="J1151" s="45">
        <v>214</v>
      </c>
      <c r="K1151" s="45">
        <v>600</v>
      </c>
      <c r="L1151" s="45">
        <v>303</v>
      </c>
      <c r="M1151" s="45">
        <v>121</v>
      </c>
      <c r="N1151" s="45">
        <v>176</v>
      </c>
      <c r="O1151" s="45">
        <v>606</v>
      </c>
      <c r="P1151" s="45">
        <v>414</v>
      </c>
      <c r="Q1151" s="45">
        <v>95</v>
      </c>
      <c r="R1151" s="45">
        <v>97</v>
      </c>
      <c r="S1151" s="46">
        <v>37.854250999999998</v>
      </c>
      <c r="T1151" s="46">
        <v>18.8259109</v>
      </c>
      <c r="U1151" s="46">
        <v>43.319838099999998</v>
      </c>
      <c r="V1151" s="46">
        <v>50.5</v>
      </c>
      <c r="W1151" s="46">
        <v>20.1666667</v>
      </c>
      <c r="X1151" s="46">
        <v>29.3333333</v>
      </c>
      <c r="Y1151" s="46">
        <v>68.316831699999994</v>
      </c>
      <c r="Z1151" s="46">
        <v>15.6765677</v>
      </c>
      <c r="AA1151" s="46">
        <v>16.0066007</v>
      </c>
      <c r="AB1151" s="26">
        <f>SUM(W1151:X1151)</f>
        <v>49.5</v>
      </c>
      <c r="AC1151" s="26">
        <f>SUM(Z1151:AA1151)</f>
        <v>31.6831684</v>
      </c>
      <c r="AD1151" s="57">
        <f>M1151+N1151</f>
        <v>297</v>
      </c>
      <c r="AE1151" s="57">
        <f>Q1151+R1151</f>
        <v>192</v>
      </c>
      <c r="AF1151" s="26">
        <f>W1151</f>
        <v>20.1666667</v>
      </c>
      <c r="AG1151" s="26">
        <f>Z1151</f>
        <v>15.6765677</v>
      </c>
      <c r="AH1151" s="26">
        <f>M1151</f>
        <v>121</v>
      </c>
      <c r="AI1151" s="26">
        <f>Q1151</f>
        <v>95</v>
      </c>
      <c r="AJ1151" s="26">
        <f>X1151</f>
        <v>29.3333333</v>
      </c>
      <c r="AK1151" s="26">
        <f>AA1151</f>
        <v>16.0066007</v>
      </c>
      <c r="AL1151" s="57">
        <f>N1151</f>
        <v>176</v>
      </c>
      <c r="AM1151" s="57">
        <f>R1151</f>
        <v>97</v>
      </c>
    </row>
    <row r="1152" spans="1:39" hidden="1" x14ac:dyDescent="0.3">
      <c r="A1152" s="37">
        <v>1148</v>
      </c>
      <c r="B1152" s="38" t="s">
        <v>521</v>
      </c>
      <c r="C1152" s="38" t="s">
        <v>349</v>
      </c>
      <c r="D1152" s="38" t="s">
        <v>529</v>
      </c>
      <c r="E1152" s="38" t="s">
        <v>387</v>
      </c>
      <c r="F1152" s="47" t="s">
        <v>519</v>
      </c>
      <c r="G1152" s="40"/>
      <c r="H1152" s="40"/>
      <c r="I1152" s="40"/>
      <c r="J1152" s="40"/>
      <c r="K1152" s="40"/>
      <c r="L1152" s="40"/>
      <c r="M1152" s="40"/>
      <c r="N1152" s="40"/>
      <c r="O1152" s="40"/>
      <c r="P1152" s="40"/>
      <c r="Q1152" s="40"/>
      <c r="R1152" s="40"/>
      <c r="S1152" s="41"/>
      <c r="T1152" s="41"/>
      <c r="U1152" s="41"/>
      <c r="V1152" s="41"/>
      <c r="W1152" s="41"/>
      <c r="X1152" s="41"/>
      <c r="Y1152" s="41"/>
      <c r="Z1152" s="41"/>
      <c r="AA1152" s="41"/>
    </row>
    <row r="1153" spans="1:39" hidden="1" x14ac:dyDescent="0.3">
      <c r="A1153" s="37">
        <v>1149</v>
      </c>
      <c r="B1153" s="38" t="s">
        <v>521</v>
      </c>
      <c r="C1153" s="38" t="s">
        <v>349</v>
      </c>
      <c r="D1153" s="38" t="s">
        <v>529</v>
      </c>
      <c r="E1153" s="38" t="s">
        <v>387</v>
      </c>
      <c r="F1153" s="47" t="s">
        <v>520</v>
      </c>
      <c r="G1153" s="40">
        <v>494</v>
      </c>
      <c r="H1153" s="40">
        <v>187</v>
      </c>
      <c r="I1153" s="40">
        <v>93</v>
      </c>
      <c r="J1153" s="40">
        <v>214</v>
      </c>
      <c r="K1153" s="40">
        <v>600</v>
      </c>
      <c r="L1153" s="40">
        <v>303</v>
      </c>
      <c r="M1153" s="40">
        <v>121</v>
      </c>
      <c r="N1153" s="40">
        <v>176</v>
      </c>
      <c r="O1153" s="40">
        <v>606</v>
      </c>
      <c r="P1153" s="40">
        <v>414</v>
      </c>
      <c r="Q1153" s="40">
        <v>95</v>
      </c>
      <c r="R1153" s="40">
        <v>97</v>
      </c>
      <c r="S1153" s="41">
        <v>37.854250999999998</v>
      </c>
      <c r="T1153" s="41">
        <v>18.8259109</v>
      </c>
      <c r="U1153" s="41">
        <v>43.319838099999998</v>
      </c>
      <c r="V1153" s="41">
        <v>50.5</v>
      </c>
      <c r="W1153" s="41">
        <v>20.1666667</v>
      </c>
      <c r="X1153" s="41">
        <v>29.3333333</v>
      </c>
      <c r="Y1153" s="41">
        <v>68.316831699999994</v>
      </c>
      <c r="Z1153" s="41">
        <v>15.6765677</v>
      </c>
      <c r="AA1153" s="41">
        <v>16.0066007</v>
      </c>
    </row>
    <row r="1154" spans="1:39" hidden="1" x14ac:dyDescent="0.3">
      <c r="A1154" s="42">
        <v>1150</v>
      </c>
      <c r="B1154" s="43" t="s">
        <v>521</v>
      </c>
      <c r="C1154" s="50" t="s">
        <v>349</v>
      </c>
      <c r="D1154" s="50" t="s">
        <v>529</v>
      </c>
      <c r="E1154" s="50" t="s">
        <v>388</v>
      </c>
      <c r="F1154" s="51" t="s">
        <v>388</v>
      </c>
      <c r="G1154" s="45">
        <v>613</v>
      </c>
      <c r="H1154" s="45">
        <v>232</v>
      </c>
      <c r="I1154" s="45">
        <v>115</v>
      </c>
      <c r="J1154" s="45">
        <v>266</v>
      </c>
      <c r="K1154" s="45">
        <v>635</v>
      </c>
      <c r="L1154" s="45">
        <v>338</v>
      </c>
      <c r="M1154" s="45">
        <v>109</v>
      </c>
      <c r="N1154" s="45">
        <v>188</v>
      </c>
      <c r="O1154" s="45">
        <v>749</v>
      </c>
      <c r="P1154" s="45">
        <v>524</v>
      </c>
      <c r="Q1154" s="45">
        <v>108</v>
      </c>
      <c r="R1154" s="45">
        <v>117</v>
      </c>
      <c r="S1154" s="46">
        <v>37.846655800000001</v>
      </c>
      <c r="T1154" s="46">
        <v>18.760195800000002</v>
      </c>
      <c r="U1154" s="46">
        <v>43.393148500000002</v>
      </c>
      <c r="V1154" s="46">
        <v>53.228346500000001</v>
      </c>
      <c r="W1154" s="46">
        <v>17.165354300000001</v>
      </c>
      <c r="X1154" s="46">
        <v>29.606299199999999</v>
      </c>
      <c r="Y1154" s="46">
        <v>69.959946599999995</v>
      </c>
      <c r="Z1154" s="46">
        <v>14.419225600000001</v>
      </c>
      <c r="AA1154" s="46">
        <v>15.620827800000001</v>
      </c>
      <c r="AB1154" s="26">
        <f>SUM(W1154:X1154)</f>
        <v>46.771653499999999</v>
      </c>
      <c r="AC1154" s="26">
        <f>SUM(Z1154:AA1154)</f>
        <v>30.040053400000001</v>
      </c>
      <c r="AD1154" s="57">
        <f>M1154+N1154</f>
        <v>297</v>
      </c>
      <c r="AE1154" s="57">
        <f>Q1154+R1154</f>
        <v>225</v>
      </c>
      <c r="AF1154" s="26">
        <f>W1154</f>
        <v>17.165354300000001</v>
      </c>
      <c r="AG1154" s="26">
        <f>Z1154</f>
        <v>14.419225600000001</v>
      </c>
      <c r="AH1154" s="26">
        <f>M1154</f>
        <v>109</v>
      </c>
      <c r="AI1154" s="26">
        <f>Q1154</f>
        <v>108</v>
      </c>
      <c r="AJ1154" s="26">
        <f>X1154</f>
        <v>29.606299199999999</v>
      </c>
      <c r="AK1154" s="26">
        <f>AA1154</f>
        <v>15.620827800000001</v>
      </c>
      <c r="AL1154" s="57">
        <f>N1154</f>
        <v>188</v>
      </c>
      <c r="AM1154" s="57">
        <f>R1154</f>
        <v>117</v>
      </c>
    </row>
    <row r="1155" spans="1:39" hidden="1" x14ac:dyDescent="0.3">
      <c r="A1155" s="37">
        <v>1151</v>
      </c>
      <c r="B1155" s="38" t="s">
        <v>521</v>
      </c>
      <c r="C1155" s="38" t="s">
        <v>349</v>
      </c>
      <c r="D1155" s="38" t="s">
        <v>529</v>
      </c>
      <c r="E1155" s="38" t="s">
        <v>388</v>
      </c>
      <c r="F1155" s="47" t="s">
        <v>519</v>
      </c>
      <c r="G1155" s="40"/>
      <c r="H1155" s="40"/>
      <c r="I1155" s="40"/>
      <c r="J1155" s="40"/>
      <c r="K1155" s="40"/>
      <c r="L1155" s="40"/>
      <c r="M1155" s="40"/>
      <c r="N1155" s="40"/>
      <c r="O1155" s="40"/>
      <c r="P1155" s="40"/>
      <c r="Q1155" s="40"/>
      <c r="R1155" s="40"/>
      <c r="S1155" s="41"/>
      <c r="T1155" s="41"/>
      <c r="U1155" s="41"/>
      <c r="V1155" s="41"/>
      <c r="W1155" s="41"/>
      <c r="X1155" s="41"/>
      <c r="Y1155" s="41"/>
      <c r="Z1155" s="41"/>
      <c r="AA1155" s="41"/>
    </row>
    <row r="1156" spans="1:39" hidden="1" x14ac:dyDescent="0.3">
      <c r="A1156" s="37">
        <v>1152</v>
      </c>
      <c r="B1156" s="38" t="s">
        <v>521</v>
      </c>
      <c r="C1156" s="38" t="s">
        <v>349</v>
      </c>
      <c r="D1156" s="38" t="s">
        <v>529</v>
      </c>
      <c r="E1156" s="38" t="s">
        <v>388</v>
      </c>
      <c r="F1156" s="47" t="s">
        <v>520</v>
      </c>
      <c r="G1156" s="40">
        <v>613</v>
      </c>
      <c r="H1156" s="40">
        <v>232</v>
      </c>
      <c r="I1156" s="40">
        <v>115</v>
      </c>
      <c r="J1156" s="40">
        <v>266</v>
      </c>
      <c r="K1156" s="40">
        <v>635</v>
      </c>
      <c r="L1156" s="40">
        <v>338</v>
      </c>
      <c r="M1156" s="40">
        <v>109</v>
      </c>
      <c r="N1156" s="40">
        <v>188</v>
      </c>
      <c r="O1156" s="40">
        <v>749</v>
      </c>
      <c r="P1156" s="40">
        <v>524</v>
      </c>
      <c r="Q1156" s="40">
        <v>108</v>
      </c>
      <c r="R1156" s="40">
        <v>117</v>
      </c>
      <c r="S1156" s="41">
        <v>37.846655800000001</v>
      </c>
      <c r="T1156" s="41">
        <v>18.760195800000002</v>
      </c>
      <c r="U1156" s="41">
        <v>43.393148500000002</v>
      </c>
      <c r="V1156" s="41">
        <v>53.228346500000001</v>
      </c>
      <c r="W1156" s="41">
        <v>17.165354300000001</v>
      </c>
      <c r="X1156" s="41">
        <v>29.606299199999999</v>
      </c>
      <c r="Y1156" s="41">
        <v>69.959946599999995</v>
      </c>
      <c r="Z1156" s="41">
        <v>14.419225600000001</v>
      </c>
      <c r="AA1156" s="41">
        <v>15.620827800000001</v>
      </c>
    </row>
    <row r="1157" spans="1:39" hidden="1" x14ac:dyDescent="0.3">
      <c r="A1157" s="32">
        <v>1153</v>
      </c>
      <c r="B1157" s="33" t="s">
        <v>1</v>
      </c>
      <c r="C1157" s="49" t="s">
        <v>349</v>
      </c>
      <c r="D1157" s="49" t="s">
        <v>389</v>
      </c>
      <c r="E1157" s="49"/>
      <c r="F1157" s="34" t="s">
        <v>389</v>
      </c>
      <c r="G1157" s="35">
        <v>6859</v>
      </c>
      <c r="H1157" s="35">
        <v>3119</v>
      </c>
      <c r="I1157" s="35">
        <v>1387</v>
      </c>
      <c r="J1157" s="35">
        <v>2353</v>
      </c>
      <c r="K1157" s="35">
        <v>9507</v>
      </c>
      <c r="L1157" s="35">
        <v>5665</v>
      </c>
      <c r="M1157" s="35">
        <v>1728</v>
      </c>
      <c r="N1157" s="35">
        <v>2114</v>
      </c>
      <c r="O1157" s="35">
        <v>12199</v>
      </c>
      <c r="P1157" s="35">
        <v>8305</v>
      </c>
      <c r="Q1157" s="35">
        <v>1732</v>
      </c>
      <c r="R1157" s="35">
        <v>2162</v>
      </c>
      <c r="S1157" s="36">
        <v>45.473101</v>
      </c>
      <c r="T1157" s="36">
        <v>20.221606600000001</v>
      </c>
      <c r="U1157" s="36">
        <v>34.305292299999998</v>
      </c>
      <c r="V1157" s="36">
        <v>59.5876722</v>
      </c>
      <c r="W1157" s="36">
        <v>18.176080800000001</v>
      </c>
      <c r="X1157" s="36">
        <v>22.236246999999999</v>
      </c>
      <c r="Y1157" s="36">
        <v>68.0793508</v>
      </c>
      <c r="Z1157" s="36">
        <v>14.197885100000001</v>
      </c>
      <c r="AA1157" s="36">
        <v>17.7227642</v>
      </c>
    </row>
    <row r="1158" spans="1:39" hidden="1" x14ac:dyDescent="0.3">
      <c r="A1158" s="37">
        <v>1154</v>
      </c>
      <c r="B1158" s="38" t="s">
        <v>1</v>
      </c>
      <c r="C1158" s="38" t="s">
        <v>349</v>
      </c>
      <c r="D1158" s="38" t="s">
        <v>389</v>
      </c>
      <c r="E1158" s="38"/>
      <c r="F1158" s="39" t="s">
        <v>519</v>
      </c>
      <c r="G1158" s="40">
        <v>2351</v>
      </c>
      <c r="H1158" s="40">
        <v>1191</v>
      </c>
      <c r="I1158" s="40">
        <v>466</v>
      </c>
      <c r="J1158" s="40">
        <v>694</v>
      </c>
      <c r="K1158" s="40">
        <v>4185</v>
      </c>
      <c r="L1158" s="40">
        <v>2604</v>
      </c>
      <c r="M1158" s="40">
        <v>742</v>
      </c>
      <c r="N1158" s="40">
        <v>839</v>
      </c>
      <c r="O1158" s="40">
        <v>5420</v>
      </c>
      <c r="P1158" s="40">
        <v>3840</v>
      </c>
      <c r="Q1158" s="40">
        <v>757</v>
      </c>
      <c r="R1158" s="40">
        <v>823</v>
      </c>
      <c r="S1158" s="41">
        <v>50.659293900000002</v>
      </c>
      <c r="T1158" s="41">
        <v>19.821352600000001</v>
      </c>
      <c r="U1158" s="41">
        <v>29.519353500000001</v>
      </c>
      <c r="V1158" s="41">
        <v>62.222222199999997</v>
      </c>
      <c r="W1158" s="41">
        <v>17.7299881</v>
      </c>
      <c r="X1158" s="41">
        <v>20.047789699999999</v>
      </c>
      <c r="Y1158" s="41">
        <v>70.848708500000001</v>
      </c>
      <c r="Z1158" s="41">
        <v>13.9667897</v>
      </c>
      <c r="AA1158" s="41">
        <v>15.1845018</v>
      </c>
    </row>
    <row r="1159" spans="1:39" hidden="1" x14ac:dyDescent="0.3">
      <c r="A1159" s="37">
        <v>1155</v>
      </c>
      <c r="B1159" s="38" t="s">
        <v>1</v>
      </c>
      <c r="C1159" s="38" t="s">
        <v>349</v>
      </c>
      <c r="D1159" s="38" t="s">
        <v>389</v>
      </c>
      <c r="E1159" s="38"/>
      <c r="F1159" s="39" t="s">
        <v>520</v>
      </c>
      <c r="G1159" s="40">
        <v>4508</v>
      </c>
      <c r="H1159" s="40">
        <v>1928</v>
      </c>
      <c r="I1159" s="40">
        <v>921</v>
      </c>
      <c r="J1159" s="40">
        <v>1659</v>
      </c>
      <c r="K1159" s="40">
        <v>5322</v>
      </c>
      <c r="L1159" s="40">
        <v>3061</v>
      </c>
      <c r="M1159" s="40">
        <v>986</v>
      </c>
      <c r="N1159" s="40">
        <v>1275</v>
      </c>
      <c r="O1159" s="40">
        <v>6779</v>
      </c>
      <c r="P1159" s="40">
        <v>4465</v>
      </c>
      <c r="Q1159" s="40">
        <v>975</v>
      </c>
      <c r="R1159" s="40">
        <v>1339</v>
      </c>
      <c r="S1159" s="41">
        <v>42.768411700000001</v>
      </c>
      <c r="T1159" s="41">
        <v>20.430346100000001</v>
      </c>
      <c r="U1159" s="41">
        <v>36.801242199999997</v>
      </c>
      <c r="V1159" s="41">
        <v>57.515971399999998</v>
      </c>
      <c r="W1159" s="41">
        <v>18.526869600000001</v>
      </c>
      <c r="X1159" s="41">
        <v>23.957159000000001</v>
      </c>
      <c r="Y1159" s="41">
        <v>65.865171900000007</v>
      </c>
      <c r="Z1159" s="41">
        <v>14.3826523</v>
      </c>
      <c r="AA1159" s="41">
        <v>19.7521758</v>
      </c>
    </row>
    <row r="1160" spans="1:39" hidden="1" x14ac:dyDescent="0.3">
      <c r="A1160" s="42">
        <v>1156</v>
      </c>
      <c r="B1160" s="43" t="s">
        <v>521</v>
      </c>
      <c r="C1160" s="50" t="s">
        <v>349</v>
      </c>
      <c r="D1160" s="50" t="s">
        <v>389</v>
      </c>
      <c r="E1160" s="50" t="s">
        <v>390</v>
      </c>
      <c r="F1160" s="51" t="s">
        <v>390</v>
      </c>
      <c r="G1160" s="45">
        <v>2411</v>
      </c>
      <c r="H1160" s="45">
        <v>1165</v>
      </c>
      <c r="I1160" s="45">
        <v>456</v>
      </c>
      <c r="J1160" s="45">
        <v>790</v>
      </c>
      <c r="K1160" s="45">
        <v>3099</v>
      </c>
      <c r="L1160" s="45">
        <v>1956</v>
      </c>
      <c r="M1160" s="45">
        <v>521</v>
      </c>
      <c r="N1160" s="45">
        <v>622</v>
      </c>
      <c r="O1160" s="45">
        <v>4052</v>
      </c>
      <c r="P1160" s="45">
        <v>2968</v>
      </c>
      <c r="Q1160" s="45">
        <v>506</v>
      </c>
      <c r="R1160" s="45">
        <v>578</v>
      </c>
      <c r="S1160" s="46">
        <v>48.320199100000004</v>
      </c>
      <c r="T1160" s="46">
        <v>18.913314</v>
      </c>
      <c r="U1160" s="46">
        <v>32.766486899999997</v>
      </c>
      <c r="V1160" s="46">
        <v>63.1171346</v>
      </c>
      <c r="W1160" s="46">
        <v>16.811874799999998</v>
      </c>
      <c r="X1160" s="46">
        <v>20.070990599999998</v>
      </c>
      <c r="Y1160" s="46">
        <v>73.2477789</v>
      </c>
      <c r="Z1160" s="46">
        <v>12.487660399999999</v>
      </c>
      <c r="AA1160" s="46">
        <v>14.264560700000001</v>
      </c>
      <c r="AB1160" s="26">
        <f>SUM(W1160:X1160)</f>
        <v>36.8828654</v>
      </c>
      <c r="AC1160" s="26">
        <f>SUM(Z1160:AA1160)</f>
        <v>26.7522211</v>
      </c>
      <c r="AD1160" s="57">
        <f>M1160+N1160</f>
        <v>1143</v>
      </c>
      <c r="AE1160" s="57">
        <f>Q1160+R1160</f>
        <v>1084</v>
      </c>
      <c r="AF1160" s="26">
        <f>W1160</f>
        <v>16.811874799999998</v>
      </c>
      <c r="AG1160" s="26">
        <f>Z1160</f>
        <v>12.487660399999999</v>
      </c>
      <c r="AH1160" s="26">
        <f>M1160</f>
        <v>521</v>
      </c>
      <c r="AI1160" s="26">
        <f>Q1160</f>
        <v>506</v>
      </c>
      <c r="AJ1160" s="26">
        <f>X1160</f>
        <v>20.070990599999998</v>
      </c>
      <c r="AK1160" s="26">
        <f>AA1160</f>
        <v>14.264560700000001</v>
      </c>
      <c r="AL1160" s="57">
        <f>N1160</f>
        <v>622</v>
      </c>
      <c r="AM1160" s="57">
        <f>R1160</f>
        <v>578</v>
      </c>
    </row>
    <row r="1161" spans="1:39" hidden="1" x14ac:dyDescent="0.3">
      <c r="A1161" s="37">
        <v>1157</v>
      </c>
      <c r="B1161" s="38" t="s">
        <v>521</v>
      </c>
      <c r="C1161" s="38" t="s">
        <v>349</v>
      </c>
      <c r="D1161" s="38" t="s">
        <v>389</v>
      </c>
      <c r="E1161" s="38" t="s">
        <v>390</v>
      </c>
      <c r="F1161" s="47" t="s">
        <v>519</v>
      </c>
      <c r="G1161" s="40">
        <v>712</v>
      </c>
      <c r="H1161" s="40">
        <v>410</v>
      </c>
      <c r="I1161" s="40">
        <v>121</v>
      </c>
      <c r="J1161" s="40">
        <v>181</v>
      </c>
      <c r="K1161" s="40">
        <v>1290</v>
      </c>
      <c r="L1161" s="40">
        <v>877</v>
      </c>
      <c r="M1161" s="40">
        <v>212</v>
      </c>
      <c r="N1161" s="40">
        <v>201</v>
      </c>
      <c r="O1161" s="40">
        <v>1760</v>
      </c>
      <c r="P1161" s="40">
        <v>1316</v>
      </c>
      <c r="Q1161" s="40">
        <v>213</v>
      </c>
      <c r="R1161" s="40">
        <v>231</v>
      </c>
      <c r="S1161" s="41">
        <v>57.5842697</v>
      </c>
      <c r="T1161" s="41">
        <v>16.994382000000002</v>
      </c>
      <c r="U1161" s="41">
        <v>25.421348299999998</v>
      </c>
      <c r="V1161" s="41">
        <v>67.984496100000001</v>
      </c>
      <c r="W1161" s="41">
        <v>16.434108500000001</v>
      </c>
      <c r="X1161" s="41">
        <v>15.581395300000001</v>
      </c>
      <c r="Y1161" s="41">
        <v>74.7727273</v>
      </c>
      <c r="Z1161" s="41">
        <v>12.1022727</v>
      </c>
      <c r="AA1161" s="41">
        <v>13.125</v>
      </c>
    </row>
    <row r="1162" spans="1:39" hidden="1" x14ac:dyDescent="0.3">
      <c r="A1162" s="37">
        <v>1158</v>
      </c>
      <c r="B1162" s="38" t="s">
        <v>521</v>
      </c>
      <c r="C1162" s="38" t="s">
        <v>349</v>
      </c>
      <c r="D1162" s="38" t="s">
        <v>389</v>
      </c>
      <c r="E1162" s="38" t="s">
        <v>390</v>
      </c>
      <c r="F1162" s="47" t="s">
        <v>520</v>
      </c>
      <c r="G1162" s="40">
        <v>1699</v>
      </c>
      <c r="H1162" s="40">
        <v>755</v>
      </c>
      <c r="I1162" s="40">
        <v>335</v>
      </c>
      <c r="J1162" s="40">
        <v>609</v>
      </c>
      <c r="K1162" s="40">
        <v>1809</v>
      </c>
      <c r="L1162" s="40">
        <v>1079</v>
      </c>
      <c r="M1162" s="40">
        <v>309</v>
      </c>
      <c r="N1162" s="40">
        <v>421</v>
      </c>
      <c r="O1162" s="40">
        <v>2292</v>
      </c>
      <c r="P1162" s="40">
        <v>1652</v>
      </c>
      <c r="Q1162" s="40">
        <v>293</v>
      </c>
      <c r="R1162" s="40">
        <v>347</v>
      </c>
      <c r="S1162" s="41">
        <v>44.437904600000003</v>
      </c>
      <c r="T1162" s="41">
        <v>19.717480900000002</v>
      </c>
      <c r="U1162" s="41">
        <v>35.844614499999999</v>
      </c>
      <c r="V1162" s="41">
        <v>59.646213400000001</v>
      </c>
      <c r="W1162" s="41">
        <v>17.081260400000001</v>
      </c>
      <c r="X1162" s="41">
        <v>23.272526299999999</v>
      </c>
      <c r="Y1162" s="41">
        <v>72.076788800000003</v>
      </c>
      <c r="Z1162" s="41">
        <v>12.783595099999999</v>
      </c>
      <c r="AA1162" s="41">
        <v>15.1396161</v>
      </c>
    </row>
    <row r="1163" spans="1:39" hidden="1" x14ac:dyDescent="0.3">
      <c r="A1163" s="42">
        <v>1159</v>
      </c>
      <c r="B1163" s="43" t="s">
        <v>521</v>
      </c>
      <c r="C1163" s="50" t="s">
        <v>349</v>
      </c>
      <c r="D1163" s="50" t="s">
        <v>389</v>
      </c>
      <c r="E1163" s="50" t="s">
        <v>490</v>
      </c>
      <c r="F1163" s="51" t="s">
        <v>490</v>
      </c>
      <c r="G1163" s="45">
        <v>2045</v>
      </c>
      <c r="H1163" s="45">
        <v>879</v>
      </c>
      <c r="I1163" s="45">
        <v>432</v>
      </c>
      <c r="J1163" s="45">
        <v>734</v>
      </c>
      <c r="K1163" s="45">
        <v>2714</v>
      </c>
      <c r="L1163" s="45">
        <v>1624</v>
      </c>
      <c r="M1163" s="45">
        <v>482</v>
      </c>
      <c r="N1163" s="45">
        <v>608</v>
      </c>
      <c r="O1163" s="45">
        <v>3050</v>
      </c>
      <c r="P1163" s="45">
        <v>2036</v>
      </c>
      <c r="Q1163" s="45">
        <v>455</v>
      </c>
      <c r="R1163" s="45">
        <v>559</v>
      </c>
      <c r="S1163" s="46">
        <v>42.982885099999997</v>
      </c>
      <c r="T1163" s="46">
        <v>21.124694399999999</v>
      </c>
      <c r="U1163" s="46">
        <v>35.8924205</v>
      </c>
      <c r="V1163" s="46">
        <v>59.8378777</v>
      </c>
      <c r="W1163" s="46">
        <v>17.759764199999999</v>
      </c>
      <c r="X1163" s="46">
        <v>22.402358100000001</v>
      </c>
      <c r="Y1163" s="46">
        <v>66.754098400000004</v>
      </c>
      <c r="Z1163" s="46">
        <v>14.918032800000001</v>
      </c>
      <c r="AA1163" s="46">
        <v>18.327868899999999</v>
      </c>
      <c r="AB1163" s="26">
        <f>SUM(W1163:X1163)</f>
        <v>40.1621223</v>
      </c>
      <c r="AC1163" s="26">
        <f>SUM(Z1163:AA1163)</f>
        <v>33.245901699999997</v>
      </c>
      <c r="AD1163" s="57">
        <f>M1163+N1163</f>
        <v>1090</v>
      </c>
      <c r="AE1163" s="57">
        <f>Q1163+R1163</f>
        <v>1014</v>
      </c>
      <c r="AF1163" s="26">
        <f>W1163</f>
        <v>17.759764199999999</v>
      </c>
      <c r="AG1163" s="26">
        <f>Z1163</f>
        <v>14.918032800000001</v>
      </c>
      <c r="AH1163" s="26">
        <f>M1163</f>
        <v>482</v>
      </c>
      <c r="AI1163" s="26">
        <f>Q1163</f>
        <v>455</v>
      </c>
      <c r="AJ1163" s="26">
        <f>X1163</f>
        <v>22.402358100000001</v>
      </c>
      <c r="AK1163" s="26">
        <f>AA1163</f>
        <v>18.327868899999999</v>
      </c>
      <c r="AL1163" s="57">
        <f>N1163</f>
        <v>608</v>
      </c>
      <c r="AM1163" s="57">
        <f>R1163</f>
        <v>559</v>
      </c>
    </row>
    <row r="1164" spans="1:39" hidden="1" x14ac:dyDescent="0.3">
      <c r="A1164" s="37">
        <v>1160</v>
      </c>
      <c r="B1164" s="38" t="s">
        <v>521</v>
      </c>
      <c r="C1164" s="38" t="s">
        <v>349</v>
      </c>
      <c r="D1164" s="38" t="s">
        <v>389</v>
      </c>
      <c r="E1164" s="38" t="s">
        <v>490</v>
      </c>
      <c r="F1164" s="47" t="s">
        <v>519</v>
      </c>
      <c r="G1164" s="40">
        <v>669</v>
      </c>
      <c r="H1164" s="40">
        <v>273</v>
      </c>
      <c r="I1164" s="40">
        <v>144</v>
      </c>
      <c r="J1164" s="40">
        <v>252</v>
      </c>
      <c r="K1164" s="40">
        <v>1002</v>
      </c>
      <c r="L1164" s="40">
        <v>580</v>
      </c>
      <c r="M1164" s="40">
        <v>196</v>
      </c>
      <c r="N1164" s="40">
        <v>226</v>
      </c>
      <c r="O1164" s="40">
        <v>1181</v>
      </c>
      <c r="P1164" s="40">
        <v>798</v>
      </c>
      <c r="Q1164" s="40">
        <v>177</v>
      </c>
      <c r="R1164" s="40">
        <v>206</v>
      </c>
      <c r="S1164" s="41">
        <v>40.8071749</v>
      </c>
      <c r="T1164" s="41">
        <v>21.524663700000001</v>
      </c>
      <c r="U1164" s="41">
        <v>37.668161400000002</v>
      </c>
      <c r="V1164" s="41">
        <v>57.884231499999999</v>
      </c>
      <c r="W1164" s="41">
        <v>19.560878200000001</v>
      </c>
      <c r="X1164" s="41">
        <v>22.554890199999999</v>
      </c>
      <c r="Y1164" s="41">
        <v>67.569856099999996</v>
      </c>
      <c r="Z1164" s="41">
        <v>14.987298900000001</v>
      </c>
      <c r="AA1164" s="41">
        <v>17.442844999999998</v>
      </c>
    </row>
    <row r="1165" spans="1:39" hidden="1" x14ac:dyDescent="0.3">
      <c r="A1165" s="37">
        <v>1161</v>
      </c>
      <c r="B1165" s="38" t="s">
        <v>521</v>
      </c>
      <c r="C1165" s="38" t="s">
        <v>349</v>
      </c>
      <c r="D1165" s="38" t="s">
        <v>389</v>
      </c>
      <c r="E1165" s="38" t="s">
        <v>490</v>
      </c>
      <c r="F1165" s="47" t="s">
        <v>520</v>
      </c>
      <c r="G1165" s="40">
        <v>1376</v>
      </c>
      <c r="H1165" s="40">
        <v>606</v>
      </c>
      <c r="I1165" s="40">
        <v>288</v>
      </c>
      <c r="J1165" s="40">
        <v>482</v>
      </c>
      <c r="K1165" s="40">
        <v>1712</v>
      </c>
      <c r="L1165" s="40">
        <v>1044</v>
      </c>
      <c r="M1165" s="40">
        <v>286</v>
      </c>
      <c r="N1165" s="40">
        <v>382</v>
      </c>
      <c r="O1165" s="40">
        <v>1869</v>
      </c>
      <c r="P1165" s="40">
        <v>1238</v>
      </c>
      <c r="Q1165" s="40">
        <v>278</v>
      </c>
      <c r="R1165" s="40">
        <v>353</v>
      </c>
      <c r="S1165" s="41">
        <v>44.040697700000003</v>
      </c>
      <c r="T1165" s="41">
        <v>20.9302326</v>
      </c>
      <c r="U1165" s="41">
        <v>35.029069800000002</v>
      </c>
      <c r="V1165" s="41">
        <v>60.981308400000003</v>
      </c>
      <c r="W1165" s="41">
        <v>16.705607499999999</v>
      </c>
      <c r="X1165" s="41">
        <v>22.313084100000001</v>
      </c>
      <c r="Y1165" s="41">
        <v>66.238630299999997</v>
      </c>
      <c r="Z1165" s="41">
        <v>14.8742643</v>
      </c>
      <c r="AA1165" s="41">
        <v>18.887105399999999</v>
      </c>
    </row>
    <row r="1166" spans="1:39" hidden="1" x14ac:dyDescent="0.3">
      <c r="A1166" s="42">
        <v>1162</v>
      </c>
      <c r="B1166" s="43" t="s">
        <v>521</v>
      </c>
      <c r="C1166" s="50" t="s">
        <v>349</v>
      </c>
      <c r="D1166" s="50" t="s">
        <v>389</v>
      </c>
      <c r="E1166" s="50" t="s">
        <v>392</v>
      </c>
      <c r="F1166" s="51" t="s">
        <v>392</v>
      </c>
      <c r="G1166" s="45">
        <v>1959</v>
      </c>
      <c r="H1166" s="45">
        <v>927</v>
      </c>
      <c r="I1166" s="45">
        <v>401</v>
      </c>
      <c r="J1166" s="45">
        <v>631</v>
      </c>
      <c r="K1166" s="45">
        <v>2964</v>
      </c>
      <c r="L1166" s="45">
        <v>1759</v>
      </c>
      <c r="M1166" s="45">
        <v>533</v>
      </c>
      <c r="N1166" s="45">
        <v>672</v>
      </c>
      <c r="O1166" s="45">
        <v>4310</v>
      </c>
      <c r="P1166" s="45">
        <v>2908</v>
      </c>
      <c r="Q1166" s="45">
        <v>611</v>
      </c>
      <c r="R1166" s="45">
        <v>791</v>
      </c>
      <c r="S1166" s="46">
        <v>47.320061299999999</v>
      </c>
      <c r="T1166" s="46">
        <v>20.4696274</v>
      </c>
      <c r="U1166" s="46">
        <v>32.210311400000002</v>
      </c>
      <c r="V1166" s="46">
        <v>59.345479099999999</v>
      </c>
      <c r="W1166" s="46">
        <v>17.9824561</v>
      </c>
      <c r="X1166" s="46">
        <v>22.672064800000001</v>
      </c>
      <c r="Y1166" s="46">
        <v>67.470997699999998</v>
      </c>
      <c r="Z1166" s="46">
        <v>14.1763341</v>
      </c>
      <c r="AA1166" s="46">
        <v>18.3526682</v>
      </c>
      <c r="AB1166" s="26">
        <f>SUM(W1166:X1166)</f>
        <v>40.654520900000001</v>
      </c>
      <c r="AC1166" s="26">
        <f>SUM(Z1166:AA1166)</f>
        <v>32.529002300000002</v>
      </c>
      <c r="AD1166" s="57">
        <f>M1166+N1166</f>
        <v>1205</v>
      </c>
      <c r="AE1166" s="57">
        <f>Q1166+R1166</f>
        <v>1402</v>
      </c>
      <c r="AF1166" s="26">
        <f>W1166</f>
        <v>17.9824561</v>
      </c>
      <c r="AG1166" s="26">
        <f>Z1166</f>
        <v>14.1763341</v>
      </c>
      <c r="AH1166" s="26">
        <f>M1166</f>
        <v>533</v>
      </c>
      <c r="AI1166" s="26">
        <f>Q1166</f>
        <v>611</v>
      </c>
      <c r="AJ1166" s="26">
        <f>X1166</f>
        <v>22.672064800000001</v>
      </c>
      <c r="AK1166" s="26">
        <f>AA1166</f>
        <v>18.3526682</v>
      </c>
      <c r="AL1166" s="57">
        <f>N1166</f>
        <v>672</v>
      </c>
      <c r="AM1166" s="57">
        <f>R1166</f>
        <v>791</v>
      </c>
    </row>
    <row r="1167" spans="1:39" hidden="1" x14ac:dyDescent="0.3">
      <c r="A1167" s="37">
        <v>1163</v>
      </c>
      <c r="B1167" s="38" t="s">
        <v>521</v>
      </c>
      <c r="C1167" s="38" t="s">
        <v>349</v>
      </c>
      <c r="D1167" s="38" t="s">
        <v>389</v>
      </c>
      <c r="E1167" s="38" t="s">
        <v>392</v>
      </c>
      <c r="F1167" s="47" t="s">
        <v>519</v>
      </c>
      <c r="G1167" s="40">
        <v>970</v>
      </c>
      <c r="H1167" s="40">
        <v>508</v>
      </c>
      <c r="I1167" s="40">
        <v>201</v>
      </c>
      <c r="J1167" s="40">
        <v>261</v>
      </c>
      <c r="K1167" s="40">
        <v>1893</v>
      </c>
      <c r="L1167" s="40">
        <v>1147</v>
      </c>
      <c r="M1167" s="40">
        <v>334</v>
      </c>
      <c r="N1167" s="40">
        <v>412</v>
      </c>
      <c r="O1167" s="40">
        <v>2479</v>
      </c>
      <c r="P1167" s="40">
        <v>1726</v>
      </c>
      <c r="Q1167" s="40">
        <v>367</v>
      </c>
      <c r="R1167" s="40">
        <v>386</v>
      </c>
      <c r="S1167" s="41">
        <v>52.371133999999998</v>
      </c>
      <c r="T1167" s="41">
        <v>20.721649500000002</v>
      </c>
      <c r="U1167" s="41">
        <v>26.907216500000001</v>
      </c>
      <c r="V1167" s="41">
        <v>60.5916535</v>
      </c>
      <c r="W1167" s="41">
        <v>17.643951399999999</v>
      </c>
      <c r="X1167" s="41">
        <v>21.764395100000002</v>
      </c>
      <c r="Y1167" s="41">
        <v>69.624848700000001</v>
      </c>
      <c r="Z1167" s="41">
        <v>14.8043566</v>
      </c>
      <c r="AA1167" s="41">
        <v>15.5707947</v>
      </c>
    </row>
    <row r="1168" spans="1:39" hidden="1" x14ac:dyDescent="0.3">
      <c r="A1168" s="37">
        <v>1164</v>
      </c>
      <c r="B1168" s="38" t="s">
        <v>521</v>
      </c>
      <c r="C1168" s="38" t="s">
        <v>349</v>
      </c>
      <c r="D1168" s="38" t="s">
        <v>389</v>
      </c>
      <c r="E1168" s="38" t="s">
        <v>392</v>
      </c>
      <c r="F1168" s="47" t="s">
        <v>520</v>
      </c>
      <c r="G1168" s="40">
        <v>989</v>
      </c>
      <c r="H1168" s="40">
        <v>419</v>
      </c>
      <c r="I1168" s="40">
        <v>200</v>
      </c>
      <c r="J1168" s="40">
        <v>370</v>
      </c>
      <c r="K1168" s="40">
        <v>1071</v>
      </c>
      <c r="L1168" s="40">
        <v>612</v>
      </c>
      <c r="M1168" s="40">
        <v>199</v>
      </c>
      <c r="N1168" s="40">
        <v>260</v>
      </c>
      <c r="O1168" s="40">
        <v>1831</v>
      </c>
      <c r="P1168" s="40">
        <v>1182</v>
      </c>
      <c r="Q1168" s="40">
        <v>244</v>
      </c>
      <c r="R1168" s="40">
        <v>405</v>
      </c>
      <c r="S1168" s="41">
        <v>42.366026300000001</v>
      </c>
      <c r="T1168" s="41">
        <v>20.222446900000001</v>
      </c>
      <c r="U1168" s="41">
        <v>37.411526799999997</v>
      </c>
      <c r="V1168" s="41">
        <v>57.142857100000001</v>
      </c>
      <c r="W1168" s="41">
        <v>18.580765599999999</v>
      </c>
      <c r="X1168" s="41">
        <v>24.276377199999999</v>
      </c>
      <c r="Y1168" s="41">
        <v>64.554888000000005</v>
      </c>
      <c r="Z1168" s="41">
        <v>13.3260513</v>
      </c>
      <c r="AA1168" s="41">
        <v>22.119060600000001</v>
      </c>
    </row>
    <row r="1169" spans="1:39" hidden="1" x14ac:dyDescent="0.3">
      <c r="A1169" s="42">
        <v>1165</v>
      </c>
      <c r="B1169" s="43" t="s">
        <v>521</v>
      </c>
      <c r="C1169" s="50" t="s">
        <v>349</v>
      </c>
      <c r="D1169" s="50" t="s">
        <v>389</v>
      </c>
      <c r="E1169" s="50" t="s">
        <v>393</v>
      </c>
      <c r="F1169" s="51" t="s">
        <v>393</v>
      </c>
      <c r="G1169" s="45">
        <v>444</v>
      </c>
      <c r="H1169" s="45">
        <v>148</v>
      </c>
      <c r="I1169" s="45">
        <v>98</v>
      </c>
      <c r="J1169" s="45">
        <v>198</v>
      </c>
      <c r="K1169" s="45">
        <v>730</v>
      </c>
      <c r="L1169" s="45">
        <v>326</v>
      </c>
      <c r="M1169" s="45">
        <v>192</v>
      </c>
      <c r="N1169" s="45">
        <v>212</v>
      </c>
      <c r="O1169" s="45">
        <v>787</v>
      </c>
      <c r="P1169" s="45">
        <v>393</v>
      </c>
      <c r="Q1169" s="45">
        <v>160</v>
      </c>
      <c r="R1169" s="45">
        <v>234</v>
      </c>
      <c r="S1169" s="46">
        <v>33.3333333</v>
      </c>
      <c r="T1169" s="46">
        <v>22.0720721</v>
      </c>
      <c r="U1169" s="46">
        <v>44.594594600000001</v>
      </c>
      <c r="V1169" s="46">
        <v>44.657534200000001</v>
      </c>
      <c r="W1169" s="46">
        <v>26.301369900000001</v>
      </c>
      <c r="X1169" s="46">
        <v>29.041095899999998</v>
      </c>
      <c r="Y1169" s="46">
        <v>49.9364676</v>
      </c>
      <c r="Z1169" s="46">
        <v>20.330368499999999</v>
      </c>
      <c r="AA1169" s="46">
        <v>29.733163900000001</v>
      </c>
      <c r="AB1169" s="26">
        <f>SUM(W1169:X1169)</f>
        <v>55.342465799999999</v>
      </c>
      <c r="AC1169" s="26">
        <f>SUM(Z1169:AA1169)</f>
        <v>50.0635324</v>
      </c>
      <c r="AD1169" s="57">
        <f>M1169+N1169</f>
        <v>404</v>
      </c>
      <c r="AE1169" s="57">
        <f>Q1169+R1169</f>
        <v>394</v>
      </c>
      <c r="AF1169" s="26">
        <f>W1169</f>
        <v>26.301369900000001</v>
      </c>
      <c r="AG1169" s="26">
        <f>Z1169</f>
        <v>20.330368499999999</v>
      </c>
      <c r="AH1169" s="26">
        <f>M1169</f>
        <v>192</v>
      </c>
      <c r="AI1169" s="26">
        <f>Q1169</f>
        <v>160</v>
      </c>
      <c r="AJ1169" s="26">
        <f>X1169</f>
        <v>29.041095899999998</v>
      </c>
      <c r="AK1169" s="26">
        <f>AA1169</f>
        <v>29.733163900000001</v>
      </c>
      <c r="AL1169" s="57">
        <f>N1169</f>
        <v>212</v>
      </c>
      <c r="AM1169" s="57">
        <f>R1169</f>
        <v>234</v>
      </c>
    </row>
    <row r="1170" spans="1:39" hidden="1" x14ac:dyDescent="0.3">
      <c r="A1170" s="37">
        <v>1166</v>
      </c>
      <c r="B1170" s="38" t="s">
        <v>521</v>
      </c>
      <c r="C1170" s="38" t="s">
        <v>349</v>
      </c>
      <c r="D1170" s="38" t="s">
        <v>389</v>
      </c>
      <c r="E1170" s="38" t="s">
        <v>393</v>
      </c>
      <c r="F1170" s="47" t="s">
        <v>519</v>
      </c>
      <c r="G1170" s="40"/>
      <c r="H1170" s="40"/>
      <c r="I1170" s="40"/>
      <c r="J1170" s="40"/>
      <c r="K1170" s="40"/>
      <c r="L1170" s="40"/>
      <c r="M1170" s="40"/>
      <c r="N1170" s="40"/>
      <c r="O1170" s="40"/>
      <c r="P1170" s="40"/>
      <c r="Q1170" s="40"/>
      <c r="R1170" s="40"/>
      <c r="S1170" s="41"/>
      <c r="T1170" s="41"/>
      <c r="U1170" s="41"/>
      <c r="V1170" s="41"/>
      <c r="W1170" s="41"/>
      <c r="X1170" s="41"/>
      <c r="Y1170" s="41"/>
      <c r="Z1170" s="41"/>
      <c r="AA1170" s="41"/>
    </row>
    <row r="1171" spans="1:39" hidden="1" x14ac:dyDescent="0.3">
      <c r="A1171" s="37">
        <v>1167</v>
      </c>
      <c r="B1171" s="38" t="s">
        <v>521</v>
      </c>
      <c r="C1171" s="38" t="s">
        <v>349</v>
      </c>
      <c r="D1171" s="38" t="s">
        <v>389</v>
      </c>
      <c r="E1171" s="38" t="s">
        <v>393</v>
      </c>
      <c r="F1171" s="47" t="s">
        <v>520</v>
      </c>
      <c r="G1171" s="40">
        <v>444</v>
      </c>
      <c r="H1171" s="40">
        <v>148</v>
      </c>
      <c r="I1171" s="40">
        <v>98</v>
      </c>
      <c r="J1171" s="40">
        <v>198</v>
      </c>
      <c r="K1171" s="40">
        <v>730</v>
      </c>
      <c r="L1171" s="40">
        <v>326</v>
      </c>
      <c r="M1171" s="40">
        <v>192</v>
      </c>
      <c r="N1171" s="40">
        <v>212</v>
      </c>
      <c r="O1171" s="40">
        <v>787</v>
      </c>
      <c r="P1171" s="40">
        <v>393</v>
      </c>
      <c r="Q1171" s="40">
        <v>160</v>
      </c>
      <c r="R1171" s="40">
        <v>234</v>
      </c>
      <c r="S1171" s="41">
        <v>33.3333333</v>
      </c>
      <c r="T1171" s="41">
        <v>22.0720721</v>
      </c>
      <c r="U1171" s="41">
        <v>44.594594600000001</v>
      </c>
      <c r="V1171" s="41">
        <v>44.657534200000001</v>
      </c>
      <c r="W1171" s="41">
        <v>26.301369900000001</v>
      </c>
      <c r="X1171" s="41">
        <v>29.041095899999998</v>
      </c>
      <c r="Y1171" s="41">
        <v>49.9364676</v>
      </c>
      <c r="Z1171" s="41">
        <v>20.330368499999999</v>
      </c>
      <c r="AA1171" s="41">
        <v>29.733163900000001</v>
      </c>
    </row>
    <row r="1172" spans="1:39" hidden="1" x14ac:dyDescent="0.3">
      <c r="A1172" s="32">
        <v>1168</v>
      </c>
      <c r="B1172" s="33" t="s">
        <v>1</v>
      </c>
      <c r="C1172" s="49" t="s">
        <v>349</v>
      </c>
      <c r="D1172" s="49" t="s">
        <v>530</v>
      </c>
      <c r="E1172" s="49"/>
      <c r="F1172" s="34" t="s">
        <v>530</v>
      </c>
      <c r="G1172" s="35">
        <v>27092</v>
      </c>
      <c r="H1172" s="35">
        <v>9544</v>
      </c>
      <c r="I1172" s="35">
        <v>6000</v>
      </c>
      <c r="J1172" s="35">
        <v>11548</v>
      </c>
      <c r="K1172" s="35">
        <v>41546</v>
      </c>
      <c r="L1172" s="35">
        <v>21529</v>
      </c>
      <c r="M1172" s="35">
        <v>8529</v>
      </c>
      <c r="N1172" s="35">
        <v>11488</v>
      </c>
      <c r="O1172" s="35">
        <v>51149</v>
      </c>
      <c r="P1172" s="35">
        <v>32386</v>
      </c>
      <c r="Q1172" s="35">
        <v>9016</v>
      </c>
      <c r="R1172" s="35">
        <v>9747</v>
      </c>
      <c r="S1172" s="36">
        <v>35.228111599999998</v>
      </c>
      <c r="T1172" s="36">
        <v>22.146759200000002</v>
      </c>
      <c r="U1172" s="36">
        <v>42.625129200000003</v>
      </c>
      <c r="V1172" s="36">
        <v>51.8196698</v>
      </c>
      <c r="W1172" s="36">
        <v>20.529052100000001</v>
      </c>
      <c r="X1172" s="36">
        <v>27.651278099999999</v>
      </c>
      <c r="Y1172" s="36">
        <v>63.316975900000003</v>
      </c>
      <c r="Z1172" s="36">
        <v>17.626933099999999</v>
      </c>
      <c r="AA1172" s="36">
        <v>19.056090999999999</v>
      </c>
    </row>
    <row r="1173" spans="1:39" hidden="1" x14ac:dyDescent="0.3">
      <c r="A1173" s="37">
        <v>1169</v>
      </c>
      <c r="B1173" s="38" t="s">
        <v>1</v>
      </c>
      <c r="C1173" s="38" t="s">
        <v>349</v>
      </c>
      <c r="D1173" s="38" t="s">
        <v>530</v>
      </c>
      <c r="E1173" s="38"/>
      <c r="F1173" s="39" t="s">
        <v>519</v>
      </c>
      <c r="G1173" s="40">
        <v>21587</v>
      </c>
      <c r="H1173" s="40">
        <v>8141</v>
      </c>
      <c r="I1173" s="40">
        <v>4992</v>
      </c>
      <c r="J1173" s="40">
        <v>8454</v>
      </c>
      <c r="K1173" s="40">
        <v>34714</v>
      </c>
      <c r="L1173" s="40">
        <v>18841</v>
      </c>
      <c r="M1173" s="40">
        <v>7190</v>
      </c>
      <c r="N1173" s="40">
        <v>8683</v>
      </c>
      <c r="O1173" s="40">
        <v>45332</v>
      </c>
      <c r="P1173" s="40">
        <v>29327</v>
      </c>
      <c r="Q1173" s="40">
        <v>7935</v>
      </c>
      <c r="R1173" s="40">
        <v>8070</v>
      </c>
      <c r="S1173" s="41">
        <v>37.712512199999999</v>
      </c>
      <c r="T1173" s="41">
        <v>23.125029000000001</v>
      </c>
      <c r="U1173" s="41">
        <v>39.162458899999997</v>
      </c>
      <c r="V1173" s="41">
        <v>54.274932300000003</v>
      </c>
      <c r="W1173" s="41">
        <v>20.7121046</v>
      </c>
      <c r="X1173" s="41">
        <v>25.0129631</v>
      </c>
      <c r="Y1173" s="41">
        <v>64.693814500000002</v>
      </c>
      <c r="Z1173" s="41">
        <v>17.504191299999999</v>
      </c>
      <c r="AA1173" s="41">
        <v>17.801994199999999</v>
      </c>
    </row>
    <row r="1174" spans="1:39" hidden="1" x14ac:dyDescent="0.3">
      <c r="A1174" s="37">
        <v>1170</v>
      </c>
      <c r="B1174" s="38" t="s">
        <v>1</v>
      </c>
      <c r="C1174" s="38" t="s">
        <v>349</v>
      </c>
      <c r="D1174" s="38" t="s">
        <v>530</v>
      </c>
      <c r="E1174" s="38"/>
      <c r="F1174" s="39" t="s">
        <v>520</v>
      </c>
      <c r="G1174" s="40">
        <v>5505</v>
      </c>
      <c r="H1174" s="40">
        <v>1403</v>
      </c>
      <c r="I1174" s="40">
        <v>1008</v>
      </c>
      <c r="J1174" s="40">
        <v>3094</v>
      </c>
      <c r="K1174" s="40">
        <v>6832</v>
      </c>
      <c r="L1174" s="40">
        <v>2688</v>
      </c>
      <c r="M1174" s="40">
        <v>1339</v>
      </c>
      <c r="N1174" s="40">
        <v>2805</v>
      </c>
      <c r="O1174" s="40">
        <v>5817</v>
      </c>
      <c r="P1174" s="40">
        <v>3059</v>
      </c>
      <c r="Q1174" s="40">
        <v>1081</v>
      </c>
      <c r="R1174" s="40">
        <v>1677</v>
      </c>
      <c r="S1174" s="41">
        <v>25.485921900000001</v>
      </c>
      <c r="T1174" s="41">
        <v>18.3106267</v>
      </c>
      <c r="U1174" s="41">
        <v>56.203451399999999</v>
      </c>
      <c r="V1174" s="41">
        <v>39.344262299999997</v>
      </c>
      <c r="W1174" s="41">
        <v>19.598946099999999</v>
      </c>
      <c r="X1174" s="41">
        <v>41.056791599999997</v>
      </c>
      <c r="Y1174" s="41">
        <v>52.587244300000002</v>
      </c>
      <c r="Z1174" s="41">
        <v>18.583462300000001</v>
      </c>
      <c r="AA1174" s="41">
        <v>28.829293499999999</v>
      </c>
    </row>
    <row r="1175" spans="1:39" hidden="1" x14ac:dyDescent="0.3">
      <c r="A1175" s="42">
        <v>1171</v>
      </c>
      <c r="B1175" s="43" t="s">
        <v>521</v>
      </c>
      <c r="C1175" s="50" t="s">
        <v>349</v>
      </c>
      <c r="D1175" s="50" t="s">
        <v>530</v>
      </c>
      <c r="E1175" s="50" t="s">
        <v>395</v>
      </c>
      <c r="F1175" s="51" t="s">
        <v>395</v>
      </c>
      <c r="G1175" s="45">
        <v>16216</v>
      </c>
      <c r="H1175" s="45">
        <v>6605</v>
      </c>
      <c r="I1175" s="45">
        <v>3751</v>
      </c>
      <c r="J1175" s="45">
        <v>5860</v>
      </c>
      <c r="K1175" s="45">
        <v>26343</v>
      </c>
      <c r="L1175" s="45">
        <v>15004</v>
      </c>
      <c r="M1175" s="45">
        <v>5285</v>
      </c>
      <c r="N1175" s="45">
        <v>6054</v>
      </c>
      <c r="O1175" s="45">
        <v>33384</v>
      </c>
      <c r="P1175" s="45">
        <v>22147</v>
      </c>
      <c r="Q1175" s="45">
        <v>5701</v>
      </c>
      <c r="R1175" s="45">
        <v>5536</v>
      </c>
      <c r="S1175" s="46">
        <v>40.731376400000002</v>
      </c>
      <c r="T1175" s="46">
        <v>23.131475099999999</v>
      </c>
      <c r="U1175" s="46">
        <v>36.137148500000002</v>
      </c>
      <c r="V1175" s="46">
        <v>56.956307199999998</v>
      </c>
      <c r="W1175" s="46">
        <v>20.0622556</v>
      </c>
      <c r="X1175" s="46">
        <v>22.981437199999998</v>
      </c>
      <c r="Y1175" s="46">
        <v>66.340163000000004</v>
      </c>
      <c r="Z1175" s="46">
        <v>17.077042899999999</v>
      </c>
      <c r="AA1175" s="46">
        <v>16.582794199999999</v>
      </c>
      <c r="AB1175" s="26">
        <f>SUM(W1175:X1175)</f>
        <v>43.043692800000002</v>
      </c>
      <c r="AC1175" s="26">
        <f>SUM(Z1175:AA1175)</f>
        <v>33.659837099999997</v>
      </c>
      <c r="AD1175" s="57">
        <f>M1175+N1175</f>
        <v>11339</v>
      </c>
      <c r="AE1175" s="57">
        <f>Q1175+R1175</f>
        <v>11237</v>
      </c>
      <c r="AF1175" s="26">
        <f>W1175</f>
        <v>20.0622556</v>
      </c>
      <c r="AG1175" s="26">
        <f>Z1175</f>
        <v>17.077042899999999</v>
      </c>
      <c r="AH1175" s="26">
        <f>M1175</f>
        <v>5285</v>
      </c>
      <c r="AI1175" s="26">
        <f>Q1175</f>
        <v>5701</v>
      </c>
      <c r="AJ1175" s="26">
        <f>X1175</f>
        <v>22.981437199999998</v>
      </c>
      <c r="AK1175" s="26">
        <f>AA1175</f>
        <v>16.582794199999999</v>
      </c>
      <c r="AL1175" s="57">
        <f>N1175</f>
        <v>6054</v>
      </c>
      <c r="AM1175" s="57">
        <f>R1175</f>
        <v>5536</v>
      </c>
    </row>
    <row r="1176" spans="1:39" hidden="1" x14ac:dyDescent="0.3">
      <c r="A1176" s="37">
        <v>1172</v>
      </c>
      <c r="B1176" s="38" t="s">
        <v>521</v>
      </c>
      <c r="C1176" s="38" t="s">
        <v>349</v>
      </c>
      <c r="D1176" s="38" t="s">
        <v>530</v>
      </c>
      <c r="E1176" s="38" t="s">
        <v>395</v>
      </c>
      <c r="F1176" s="47" t="s">
        <v>519</v>
      </c>
      <c r="G1176" s="40">
        <v>15775</v>
      </c>
      <c r="H1176" s="40">
        <v>6452</v>
      </c>
      <c r="I1176" s="40">
        <v>3666</v>
      </c>
      <c r="J1176" s="40">
        <v>5657</v>
      </c>
      <c r="K1176" s="40">
        <v>25783</v>
      </c>
      <c r="L1176" s="40">
        <v>14745</v>
      </c>
      <c r="M1176" s="40">
        <v>5174</v>
      </c>
      <c r="N1176" s="40">
        <v>5864</v>
      </c>
      <c r="O1176" s="40">
        <v>33175</v>
      </c>
      <c r="P1176" s="40">
        <v>22039</v>
      </c>
      <c r="Q1176" s="40">
        <v>5660</v>
      </c>
      <c r="R1176" s="40">
        <v>5476</v>
      </c>
      <c r="S1176" s="41">
        <v>40.900158500000003</v>
      </c>
      <c r="T1176" s="41">
        <v>23.2393027</v>
      </c>
      <c r="U1176" s="41">
        <v>35.8605388</v>
      </c>
      <c r="V1176" s="41">
        <v>57.188845399999998</v>
      </c>
      <c r="W1176" s="41">
        <v>20.067486299999999</v>
      </c>
      <c r="X1176" s="41">
        <v>22.7436683</v>
      </c>
      <c r="Y1176" s="41">
        <v>66.432554600000003</v>
      </c>
      <c r="Z1176" s="41">
        <v>17.061039900000001</v>
      </c>
      <c r="AA1176" s="41">
        <v>16.506405399999998</v>
      </c>
    </row>
    <row r="1177" spans="1:39" hidden="1" x14ac:dyDescent="0.3">
      <c r="A1177" s="37">
        <v>1173</v>
      </c>
      <c r="B1177" s="38" t="s">
        <v>521</v>
      </c>
      <c r="C1177" s="38" t="s">
        <v>349</v>
      </c>
      <c r="D1177" s="38" t="s">
        <v>530</v>
      </c>
      <c r="E1177" s="38" t="s">
        <v>395</v>
      </c>
      <c r="F1177" s="47" t="s">
        <v>520</v>
      </c>
      <c r="G1177" s="40">
        <v>441</v>
      </c>
      <c r="H1177" s="40">
        <v>153</v>
      </c>
      <c r="I1177" s="40">
        <v>85</v>
      </c>
      <c r="J1177" s="40">
        <v>203</v>
      </c>
      <c r="K1177" s="40">
        <v>560</v>
      </c>
      <c r="L1177" s="40">
        <v>259</v>
      </c>
      <c r="M1177" s="40">
        <v>111</v>
      </c>
      <c r="N1177" s="40">
        <v>190</v>
      </c>
      <c r="O1177" s="40">
        <v>209</v>
      </c>
      <c r="P1177" s="40">
        <v>108</v>
      </c>
      <c r="Q1177" s="40">
        <v>41</v>
      </c>
      <c r="R1177" s="40">
        <v>60</v>
      </c>
      <c r="S1177" s="41">
        <v>34.6938776</v>
      </c>
      <c r="T1177" s="41">
        <v>19.274376400000001</v>
      </c>
      <c r="U1177" s="41">
        <v>46.031745999999998</v>
      </c>
      <c r="V1177" s="41">
        <v>46.25</v>
      </c>
      <c r="W1177" s="41">
        <v>19.821428600000001</v>
      </c>
      <c r="X1177" s="41">
        <v>33.928571400000003</v>
      </c>
      <c r="Y1177" s="41">
        <v>51.674641100000002</v>
      </c>
      <c r="Z1177" s="41">
        <v>19.6172249</v>
      </c>
      <c r="AA1177" s="41">
        <v>28.708134000000001</v>
      </c>
    </row>
    <row r="1178" spans="1:39" hidden="1" x14ac:dyDescent="0.3">
      <c r="A1178" s="42">
        <v>1174</v>
      </c>
      <c r="B1178" s="43" t="s">
        <v>521</v>
      </c>
      <c r="C1178" s="50" t="s">
        <v>349</v>
      </c>
      <c r="D1178" s="50" t="s">
        <v>530</v>
      </c>
      <c r="E1178" s="50" t="s">
        <v>396</v>
      </c>
      <c r="F1178" s="51" t="s">
        <v>396</v>
      </c>
      <c r="G1178" s="45">
        <v>2747</v>
      </c>
      <c r="H1178" s="45">
        <v>749</v>
      </c>
      <c r="I1178" s="45">
        <v>540</v>
      </c>
      <c r="J1178" s="45">
        <v>1458</v>
      </c>
      <c r="K1178" s="45">
        <v>3236</v>
      </c>
      <c r="L1178" s="45">
        <v>1375</v>
      </c>
      <c r="M1178" s="45">
        <v>697</v>
      </c>
      <c r="N1178" s="45">
        <v>1164</v>
      </c>
      <c r="O1178" s="45">
        <v>4358</v>
      </c>
      <c r="P1178" s="45">
        <v>2339</v>
      </c>
      <c r="Q1178" s="45">
        <v>823</v>
      </c>
      <c r="R1178" s="45">
        <v>1196</v>
      </c>
      <c r="S1178" s="46">
        <v>27.266108500000001</v>
      </c>
      <c r="T1178" s="46">
        <v>19.657808500000002</v>
      </c>
      <c r="U1178" s="46">
        <v>53.076082999999997</v>
      </c>
      <c r="V1178" s="46">
        <v>42.490729299999998</v>
      </c>
      <c r="W1178" s="46">
        <v>21.538937000000001</v>
      </c>
      <c r="X1178" s="46">
        <v>35.970333699999998</v>
      </c>
      <c r="Y1178" s="46">
        <v>53.671408900000003</v>
      </c>
      <c r="Z1178" s="46">
        <v>18.884809499999999</v>
      </c>
      <c r="AA1178" s="46">
        <v>27.443781600000001</v>
      </c>
      <c r="AB1178" s="26">
        <f>SUM(W1178:X1178)</f>
        <v>57.509270700000002</v>
      </c>
      <c r="AC1178" s="26">
        <f>SUM(Z1178:AA1178)</f>
        <v>46.328591099999997</v>
      </c>
      <c r="AD1178" s="57">
        <f>M1178+N1178</f>
        <v>1861</v>
      </c>
      <c r="AE1178" s="57">
        <f>Q1178+R1178</f>
        <v>2019</v>
      </c>
      <c r="AF1178" s="26">
        <f>W1178</f>
        <v>21.538937000000001</v>
      </c>
      <c r="AG1178" s="26">
        <f>Z1178</f>
        <v>18.884809499999999</v>
      </c>
      <c r="AH1178" s="26">
        <f>M1178</f>
        <v>697</v>
      </c>
      <c r="AI1178" s="26">
        <f>Q1178</f>
        <v>823</v>
      </c>
      <c r="AJ1178" s="26">
        <f>X1178</f>
        <v>35.970333699999998</v>
      </c>
      <c r="AK1178" s="26">
        <f>AA1178</f>
        <v>27.443781600000001</v>
      </c>
      <c r="AL1178" s="57">
        <f>N1178</f>
        <v>1164</v>
      </c>
      <c r="AM1178" s="57">
        <f>R1178</f>
        <v>1196</v>
      </c>
    </row>
    <row r="1179" spans="1:39" hidden="1" x14ac:dyDescent="0.3">
      <c r="A1179" s="37">
        <v>1175</v>
      </c>
      <c r="B1179" s="38" t="s">
        <v>521</v>
      </c>
      <c r="C1179" s="38" t="s">
        <v>349</v>
      </c>
      <c r="D1179" s="38" t="s">
        <v>530</v>
      </c>
      <c r="E1179" s="38" t="s">
        <v>396</v>
      </c>
      <c r="F1179" s="47" t="s">
        <v>519</v>
      </c>
      <c r="G1179" s="40">
        <v>692</v>
      </c>
      <c r="H1179" s="40">
        <v>231</v>
      </c>
      <c r="I1179" s="40">
        <v>160</v>
      </c>
      <c r="J1179" s="40">
        <v>301</v>
      </c>
      <c r="K1179" s="40">
        <v>1177</v>
      </c>
      <c r="L1179" s="40">
        <v>559</v>
      </c>
      <c r="M1179" s="40">
        <v>286</v>
      </c>
      <c r="N1179" s="40">
        <v>332</v>
      </c>
      <c r="O1179" s="40">
        <v>1986</v>
      </c>
      <c r="P1179" s="40">
        <v>1100</v>
      </c>
      <c r="Q1179" s="40">
        <v>414</v>
      </c>
      <c r="R1179" s="40">
        <v>472</v>
      </c>
      <c r="S1179" s="41">
        <v>33.381502900000001</v>
      </c>
      <c r="T1179" s="41">
        <v>23.121387299999999</v>
      </c>
      <c r="U1179" s="41">
        <v>43.497109799999997</v>
      </c>
      <c r="V1179" s="41">
        <v>47.4936279</v>
      </c>
      <c r="W1179" s="41">
        <v>24.2990654</v>
      </c>
      <c r="X1179" s="41">
        <v>28.2073067</v>
      </c>
      <c r="Y1179" s="41">
        <v>55.387714000000003</v>
      </c>
      <c r="Z1179" s="41">
        <v>20.845921499999999</v>
      </c>
      <c r="AA1179" s="41">
        <v>23.766364599999999</v>
      </c>
    </row>
    <row r="1180" spans="1:39" hidden="1" x14ac:dyDescent="0.3">
      <c r="A1180" s="37">
        <v>1176</v>
      </c>
      <c r="B1180" s="38" t="s">
        <v>521</v>
      </c>
      <c r="C1180" s="38" t="s">
        <v>349</v>
      </c>
      <c r="D1180" s="38" t="s">
        <v>530</v>
      </c>
      <c r="E1180" s="38" t="s">
        <v>396</v>
      </c>
      <c r="F1180" s="47" t="s">
        <v>520</v>
      </c>
      <c r="G1180" s="40">
        <v>2055</v>
      </c>
      <c r="H1180" s="40">
        <v>518</v>
      </c>
      <c r="I1180" s="40">
        <v>380</v>
      </c>
      <c r="J1180" s="40">
        <v>1157</v>
      </c>
      <c r="K1180" s="40">
        <v>2059</v>
      </c>
      <c r="L1180" s="40">
        <v>816</v>
      </c>
      <c r="M1180" s="40">
        <v>411</v>
      </c>
      <c r="N1180" s="40">
        <v>832</v>
      </c>
      <c r="O1180" s="40">
        <v>2372</v>
      </c>
      <c r="P1180" s="40">
        <v>1239</v>
      </c>
      <c r="Q1180" s="40">
        <v>409</v>
      </c>
      <c r="R1180" s="40">
        <v>724</v>
      </c>
      <c r="S1180" s="41">
        <v>25.2068127</v>
      </c>
      <c r="T1180" s="41">
        <v>18.491484199999999</v>
      </c>
      <c r="U1180" s="41">
        <v>56.301703199999999</v>
      </c>
      <c r="V1180" s="41">
        <v>39.630888800000001</v>
      </c>
      <c r="W1180" s="41">
        <v>19.961146200000002</v>
      </c>
      <c r="X1180" s="41">
        <v>40.407964999999997</v>
      </c>
      <c r="Y1180" s="41">
        <v>52.234401300000002</v>
      </c>
      <c r="Z1180" s="41">
        <v>17.242833099999999</v>
      </c>
      <c r="AA1180" s="41">
        <v>30.5227656</v>
      </c>
    </row>
    <row r="1181" spans="1:39" hidden="1" x14ac:dyDescent="0.3">
      <c r="A1181" s="42">
        <v>1177</v>
      </c>
      <c r="B1181" s="43" t="s">
        <v>521</v>
      </c>
      <c r="C1181" s="50" t="s">
        <v>349</v>
      </c>
      <c r="D1181" s="50" t="s">
        <v>530</v>
      </c>
      <c r="E1181" s="50" t="s">
        <v>397</v>
      </c>
      <c r="F1181" s="51" t="s">
        <v>397</v>
      </c>
      <c r="G1181" s="45">
        <v>3492</v>
      </c>
      <c r="H1181" s="45">
        <v>1022</v>
      </c>
      <c r="I1181" s="45">
        <v>789</v>
      </c>
      <c r="J1181" s="45">
        <v>1681</v>
      </c>
      <c r="K1181" s="45">
        <v>5327</v>
      </c>
      <c r="L1181" s="45">
        <v>2395</v>
      </c>
      <c r="M1181" s="45">
        <v>1104</v>
      </c>
      <c r="N1181" s="45">
        <v>1828</v>
      </c>
      <c r="O1181" s="45">
        <v>6194</v>
      </c>
      <c r="P1181" s="45">
        <v>3607</v>
      </c>
      <c r="Q1181" s="45">
        <v>1161</v>
      </c>
      <c r="R1181" s="45">
        <v>1426</v>
      </c>
      <c r="S1181" s="46">
        <v>29.2668958</v>
      </c>
      <c r="T1181" s="46">
        <v>22.594501699999999</v>
      </c>
      <c r="U1181" s="46">
        <v>48.138602499999998</v>
      </c>
      <c r="V1181" s="46">
        <v>44.959639600000003</v>
      </c>
      <c r="W1181" s="46">
        <v>20.724610500000001</v>
      </c>
      <c r="X1181" s="46">
        <v>34.315750000000001</v>
      </c>
      <c r="Y1181" s="46">
        <v>58.233774599999997</v>
      </c>
      <c r="Z1181" s="46">
        <v>18.743945799999999</v>
      </c>
      <c r="AA1181" s="46">
        <v>23.022279600000001</v>
      </c>
      <c r="AB1181" s="26">
        <f>SUM(W1181:X1181)</f>
        <v>55.040360500000006</v>
      </c>
      <c r="AC1181" s="26">
        <f>SUM(Z1181:AA1181)</f>
        <v>41.766225399999996</v>
      </c>
      <c r="AD1181" s="57">
        <f>M1181+N1181</f>
        <v>2932</v>
      </c>
      <c r="AE1181" s="57">
        <f>Q1181+R1181</f>
        <v>2587</v>
      </c>
      <c r="AF1181" s="26">
        <f>W1181</f>
        <v>20.724610500000001</v>
      </c>
      <c r="AG1181" s="26">
        <f>Z1181</f>
        <v>18.743945799999999</v>
      </c>
      <c r="AH1181" s="26">
        <f>M1181</f>
        <v>1104</v>
      </c>
      <c r="AI1181" s="26">
        <f>Q1181</f>
        <v>1161</v>
      </c>
      <c r="AJ1181" s="26">
        <f>X1181</f>
        <v>34.315750000000001</v>
      </c>
      <c r="AK1181" s="26">
        <f>AA1181</f>
        <v>23.022279600000001</v>
      </c>
      <c r="AL1181" s="57">
        <f>N1181</f>
        <v>1828</v>
      </c>
      <c r="AM1181" s="57">
        <f>R1181</f>
        <v>1426</v>
      </c>
    </row>
    <row r="1182" spans="1:39" hidden="1" x14ac:dyDescent="0.3">
      <c r="A1182" s="37">
        <v>1178</v>
      </c>
      <c r="B1182" s="38" t="s">
        <v>521</v>
      </c>
      <c r="C1182" s="38" t="s">
        <v>349</v>
      </c>
      <c r="D1182" s="38" t="s">
        <v>530</v>
      </c>
      <c r="E1182" s="38" t="s">
        <v>397</v>
      </c>
      <c r="F1182" s="47" t="s">
        <v>519</v>
      </c>
      <c r="G1182" s="40">
        <v>2661</v>
      </c>
      <c r="H1182" s="40">
        <v>857</v>
      </c>
      <c r="I1182" s="40">
        <v>644</v>
      </c>
      <c r="J1182" s="40">
        <v>1160</v>
      </c>
      <c r="K1182" s="40">
        <v>4211</v>
      </c>
      <c r="L1182" s="40">
        <v>2002</v>
      </c>
      <c r="M1182" s="40">
        <v>897</v>
      </c>
      <c r="N1182" s="40">
        <v>1312</v>
      </c>
      <c r="O1182" s="40">
        <v>4954</v>
      </c>
      <c r="P1182" s="40">
        <v>2987</v>
      </c>
      <c r="Q1182" s="40">
        <v>915</v>
      </c>
      <c r="R1182" s="40">
        <v>1052</v>
      </c>
      <c r="S1182" s="41">
        <v>32.205937599999999</v>
      </c>
      <c r="T1182" s="41">
        <v>24.201428</v>
      </c>
      <c r="U1182" s="41">
        <v>43.5926343</v>
      </c>
      <c r="V1182" s="41">
        <v>47.542151500000003</v>
      </c>
      <c r="W1182" s="41">
        <v>21.301353599999999</v>
      </c>
      <c r="X1182" s="41">
        <v>31.156494899999998</v>
      </c>
      <c r="Y1182" s="41">
        <v>60.294711300000003</v>
      </c>
      <c r="Z1182" s="41">
        <v>18.469923300000001</v>
      </c>
      <c r="AA1182" s="41">
        <v>21.235365399999999</v>
      </c>
    </row>
    <row r="1183" spans="1:39" hidden="1" x14ac:dyDescent="0.3">
      <c r="A1183" s="37">
        <v>1179</v>
      </c>
      <c r="B1183" s="38" t="s">
        <v>521</v>
      </c>
      <c r="C1183" s="38" t="s">
        <v>349</v>
      </c>
      <c r="D1183" s="38" t="s">
        <v>530</v>
      </c>
      <c r="E1183" s="38" t="s">
        <v>397</v>
      </c>
      <c r="F1183" s="47" t="s">
        <v>520</v>
      </c>
      <c r="G1183" s="40">
        <v>831</v>
      </c>
      <c r="H1183" s="40">
        <v>165</v>
      </c>
      <c r="I1183" s="40">
        <v>145</v>
      </c>
      <c r="J1183" s="40">
        <v>521</v>
      </c>
      <c r="K1183" s="40">
        <v>1116</v>
      </c>
      <c r="L1183" s="40">
        <v>393</v>
      </c>
      <c r="M1183" s="40">
        <v>207</v>
      </c>
      <c r="N1183" s="40">
        <v>516</v>
      </c>
      <c r="O1183" s="40">
        <v>1240</v>
      </c>
      <c r="P1183" s="40">
        <v>620</v>
      </c>
      <c r="Q1183" s="40">
        <v>246</v>
      </c>
      <c r="R1183" s="40">
        <v>374</v>
      </c>
      <c r="S1183" s="41">
        <v>19.855595699999999</v>
      </c>
      <c r="T1183" s="41">
        <v>17.448856800000001</v>
      </c>
      <c r="U1183" s="41">
        <v>62.695547500000004</v>
      </c>
      <c r="V1183" s="41">
        <v>35.2150538</v>
      </c>
      <c r="W1183" s="41">
        <v>18.548387099999999</v>
      </c>
      <c r="X1183" s="41">
        <v>46.236559100000001</v>
      </c>
      <c r="Y1183" s="41">
        <v>50</v>
      </c>
      <c r="Z1183" s="41">
        <v>19.838709699999999</v>
      </c>
      <c r="AA1183" s="41">
        <v>30.161290300000001</v>
      </c>
    </row>
    <row r="1184" spans="1:39" hidden="1" x14ac:dyDescent="0.3">
      <c r="A1184" s="42">
        <v>1180</v>
      </c>
      <c r="B1184" s="43" t="s">
        <v>521</v>
      </c>
      <c r="C1184" s="50" t="s">
        <v>349</v>
      </c>
      <c r="D1184" s="50" t="s">
        <v>530</v>
      </c>
      <c r="E1184" s="50" t="s">
        <v>398</v>
      </c>
      <c r="F1184" s="51" t="s">
        <v>398</v>
      </c>
      <c r="G1184" s="45">
        <v>2032</v>
      </c>
      <c r="H1184" s="45">
        <v>490</v>
      </c>
      <c r="I1184" s="45">
        <v>427</v>
      </c>
      <c r="J1184" s="45">
        <v>1115</v>
      </c>
      <c r="K1184" s="45">
        <v>3163</v>
      </c>
      <c r="L1184" s="45">
        <v>1369</v>
      </c>
      <c r="M1184" s="45">
        <v>618</v>
      </c>
      <c r="N1184" s="45">
        <v>1176</v>
      </c>
      <c r="O1184" s="45">
        <v>3438</v>
      </c>
      <c r="P1184" s="45">
        <v>1973</v>
      </c>
      <c r="Q1184" s="45">
        <v>646</v>
      </c>
      <c r="R1184" s="45">
        <v>819</v>
      </c>
      <c r="S1184" s="46">
        <v>24.1141732</v>
      </c>
      <c r="T1184" s="46">
        <v>21.013779499999998</v>
      </c>
      <c r="U1184" s="46">
        <v>54.872047199999997</v>
      </c>
      <c r="V1184" s="46">
        <v>43.281694600000002</v>
      </c>
      <c r="W1184" s="46">
        <v>19.538412900000001</v>
      </c>
      <c r="X1184" s="46">
        <v>37.179892500000001</v>
      </c>
      <c r="Y1184" s="46">
        <v>57.388016299999997</v>
      </c>
      <c r="Z1184" s="46">
        <v>18.789994199999999</v>
      </c>
      <c r="AA1184" s="46">
        <v>23.821989500000001</v>
      </c>
      <c r="AB1184" s="26">
        <f>SUM(W1184:X1184)</f>
        <v>56.718305400000006</v>
      </c>
      <c r="AC1184" s="26">
        <f>SUM(Z1184:AA1184)</f>
        <v>42.611983699999996</v>
      </c>
      <c r="AD1184" s="57">
        <f>M1184+N1184</f>
        <v>1794</v>
      </c>
      <c r="AE1184" s="57">
        <f>Q1184+R1184</f>
        <v>1465</v>
      </c>
      <c r="AF1184" s="26">
        <f>W1184</f>
        <v>19.538412900000001</v>
      </c>
      <c r="AG1184" s="26">
        <f>Z1184</f>
        <v>18.789994199999999</v>
      </c>
      <c r="AH1184" s="26">
        <f>M1184</f>
        <v>618</v>
      </c>
      <c r="AI1184" s="26">
        <f>Q1184</f>
        <v>646</v>
      </c>
      <c r="AJ1184" s="26">
        <f>X1184</f>
        <v>37.179892500000001</v>
      </c>
      <c r="AK1184" s="26">
        <f>AA1184</f>
        <v>23.821989500000001</v>
      </c>
      <c r="AL1184" s="57">
        <f>N1184</f>
        <v>1176</v>
      </c>
      <c r="AM1184" s="57">
        <f>R1184</f>
        <v>819</v>
      </c>
    </row>
    <row r="1185" spans="1:39" hidden="1" x14ac:dyDescent="0.3">
      <c r="A1185" s="37">
        <v>1181</v>
      </c>
      <c r="B1185" s="38" t="s">
        <v>521</v>
      </c>
      <c r="C1185" s="38" t="s">
        <v>349</v>
      </c>
      <c r="D1185" s="38" t="s">
        <v>530</v>
      </c>
      <c r="E1185" s="38" t="s">
        <v>398</v>
      </c>
      <c r="F1185" s="47" t="s">
        <v>519</v>
      </c>
      <c r="G1185" s="40">
        <v>1434</v>
      </c>
      <c r="H1185" s="40">
        <v>348</v>
      </c>
      <c r="I1185" s="40">
        <v>310</v>
      </c>
      <c r="J1185" s="40">
        <v>776</v>
      </c>
      <c r="K1185" s="40">
        <v>2113</v>
      </c>
      <c r="L1185" s="40">
        <v>1002</v>
      </c>
      <c r="M1185" s="40">
        <v>453</v>
      </c>
      <c r="N1185" s="40">
        <v>658</v>
      </c>
      <c r="O1185" s="40">
        <v>2870</v>
      </c>
      <c r="P1185" s="40">
        <v>1702</v>
      </c>
      <c r="Q1185" s="40">
        <v>539</v>
      </c>
      <c r="R1185" s="40">
        <v>629</v>
      </c>
      <c r="S1185" s="41">
        <v>24.267782400000002</v>
      </c>
      <c r="T1185" s="41">
        <v>21.617852200000002</v>
      </c>
      <c r="U1185" s="41">
        <v>54.114365399999997</v>
      </c>
      <c r="V1185" s="41">
        <v>47.420728799999999</v>
      </c>
      <c r="W1185" s="41">
        <v>21.4387127</v>
      </c>
      <c r="X1185" s="41">
        <v>31.1405584</v>
      </c>
      <c r="Y1185" s="41">
        <v>59.303135900000001</v>
      </c>
      <c r="Z1185" s="41">
        <v>18.7804878</v>
      </c>
      <c r="AA1185" s="41">
        <v>21.9163763</v>
      </c>
    </row>
    <row r="1186" spans="1:39" hidden="1" x14ac:dyDescent="0.3">
      <c r="A1186" s="37">
        <v>1182</v>
      </c>
      <c r="B1186" s="38" t="s">
        <v>521</v>
      </c>
      <c r="C1186" s="38" t="s">
        <v>349</v>
      </c>
      <c r="D1186" s="38" t="s">
        <v>530</v>
      </c>
      <c r="E1186" s="38" t="s">
        <v>398</v>
      </c>
      <c r="F1186" s="47" t="s">
        <v>520</v>
      </c>
      <c r="G1186" s="40">
        <v>598</v>
      </c>
      <c r="H1186" s="40">
        <v>142</v>
      </c>
      <c r="I1186" s="40">
        <v>117</v>
      </c>
      <c r="J1186" s="40">
        <v>339</v>
      </c>
      <c r="K1186" s="40">
        <v>1050</v>
      </c>
      <c r="L1186" s="40">
        <v>367</v>
      </c>
      <c r="M1186" s="40">
        <v>165</v>
      </c>
      <c r="N1186" s="40">
        <v>518</v>
      </c>
      <c r="O1186" s="40">
        <v>568</v>
      </c>
      <c r="P1186" s="40">
        <v>271</v>
      </c>
      <c r="Q1186" s="40">
        <v>107</v>
      </c>
      <c r="R1186" s="40">
        <v>190</v>
      </c>
      <c r="S1186" s="41">
        <v>23.745819399999998</v>
      </c>
      <c r="T1186" s="41">
        <v>19.565217400000002</v>
      </c>
      <c r="U1186" s="41">
        <v>56.688963200000003</v>
      </c>
      <c r="V1186" s="41">
        <v>34.952381000000003</v>
      </c>
      <c r="W1186" s="41">
        <v>15.7142857</v>
      </c>
      <c r="X1186" s="41">
        <v>49.3333333</v>
      </c>
      <c r="Y1186" s="41">
        <v>47.711267599999999</v>
      </c>
      <c r="Z1186" s="41">
        <v>18.8380282</v>
      </c>
      <c r="AA1186" s="41">
        <v>33.450704199999997</v>
      </c>
    </row>
    <row r="1187" spans="1:39" hidden="1" x14ac:dyDescent="0.3">
      <c r="A1187" s="42">
        <v>1183</v>
      </c>
      <c r="B1187" s="43" t="s">
        <v>521</v>
      </c>
      <c r="C1187" s="50" t="s">
        <v>349</v>
      </c>
      <c r="D1187" s="50" t="s">
        <v>530</v>
      </c>
      <c r="E1187" s="50" t="s">
        <v>290</v>
      </c>
      <c r="F1187" s="51" t="s">
        <v>290</v>
      </c>
      <c r="G1187" s="45">
        <v>2605</v>
      </c>
      <c r="H1187" s="45">
        <v>678</v>
      </c>
      <c r="I1187" s="45">
        <v>493</v>
      </c>
      <c r="J1187" s="45">
        <v>1434</v>
      </c>
      <c r="K1187" s="45">
        <v>3477</v>
      </c>
      <c r="L1187" s="45">
        <v>1386</v>
      </c>
      <c r="M1187" s="45">
        <v>825</v>
      </c>
      <c r="N1187" s="45">
        <v>1266</v>
      </c>
      <c r="O1187" s="45">
        <v>3775</v>
      </c>
      <c r="P1187" s="45">
        <v>2320</v>
      </c>
      <c r="Q1187" s="45">
        <v>685</v>
      </c>
      <c r="R1187" s="45">
        <v>770</v>
      </c>
      <c r="S1187" s="46">
        <v>26.026871400000001</v>
      </c>
      <c r="T1187" s="46">
        <v>18.925144</v>
      </c>
      <c r="U1187" s="46">
        <v>55.047984599999999</v>
      </c>
      <c r="V1187" s="46">
        <v>39.86195</v>
      </c>
      <c r="W1187" s="46">
        <v>23.727351200000001</v>
      </c>
      <c r="X1187" s="46">
        <v>36.4106989</v>
      </c>
      <c r="Y1187" s="46">
        <v>61.456953599999999</v>
      </c>
      <c r="Z1187" s="46">
        <v>18.145695400000001</v>
      </c>
      <c r="AA1187" s="46">
        <v>20.397351</v>
      </c>
      <c r="AB1187" s="26">
        <f>SUM(W1187:X1187)</f>
        <v>60.138050100000001</v>
      </c>
      <c r="AC1187" s="26">
        <f>SUM(Z1187:AA1187)</f>
        <v>38.543046400000001</v>
      </c>
      <c r="AD1187" s="57">
        <f>M1187+N1187</f>
        <v>2091</v>
      </c>
      <c r="AE1187" s="57">
        <f>Q1187+R1187</f>
        <v>1455</v>
      </c>
      <c r="AF1187" s="26">
        <f>W1187</f>
        <v>23.727351200000001</v>
      </c>
      <c r="AG1187" s="26">
        <f>Z1187</f>
        <v>18.145695400000001</v>
      </c>
      <c r="AH1187" s="26">
        <f>M1187</f>
        <v>825</v>
      </c>
      <c r="AI1187" s="26">
        <f>Q1187</f>
        <v>685</v>
      </c>
      <c r="AJ1187" s="26">
        <f>X1187</f>
        <v>36.4106989</v>
      </c>
      <c r="AK1187" s="26">
        <f>AA1187</f>
        <v>20.397351</v>
      </c>
      <c r="AL1187" s="57">
        <f>N1187</f>
        <v>1266</v>
      </c>
      <c r="AM1187" s="57">
        <f>R1187</f>
        <v>770</v>
      </c>
    </row>
    <row r="1188" spans="1:39" hidden="1" x14ac:dyDescent="0.3">
      <c r="A1188" s="37">
        <v>1184</v>
      </c>
      <c r="B1188" s="38" t="s">
        <v>521</v>
      </c>
      <c r="C1188" s="38" t="s">
        <v>349</v>
      </c>
      <c r="D1188" s="38" t="s">
        <v>530</v>
      </c>
      <c r="E1188" s="38" t="s">
        <v>290</v>
      </c>
      <c r="F1188" s="47" t="s">
        <v>519</v>
      </c>
      <c r="G1188" s="40">
        <v>1025</v>
      </c>
      <c r="H1188" s="40">
        <v>253</v>
      </c>
      <c r="I1188" s="40">
        <v>212</v>
      </c>
      <c r="J1188" s="40">
        <v>560</v>
      </c>
      <c r="K1188" s="40">
        <v>1430</v>
      </c>
      <c r="L1188" s="40">
        <v>533</v>
      </c>
      <c r="M1188" s="40">
        <v>380</v>
      </c>
      <c r="N1188" s="40">
        <v>517</v>
      </c>
      <c r="O1188" s="40">
        <v>2347</v>
      </c>
      <c r="P1188" s="40">
        <v>1499</v>
      </c>
      <c r="Q1188" s="40">
        <v>407</v>
      </c>
      <c r="R1188" s="40">
        <v>441</v>
      </c>
      <c r="S1188" s="41">
        <v>24.682926800000001</v>
      </c>
      <c r="T1188" s="41">
        <v>20.682926800000001</v>
      </c>
      <c r="U1188" s="41">
        <v>54.634146299999998</v>
      </c>
      <c r="V1188" s="41">
        <v>37.2727273</v>
      </c>
      <c r="W1188" s="41">
        <v>26.573426600000001</v>
      </c>
      <c r="X1188" s="41">
        <v>36.153846199999997</v>
      </c>
      <c r="Y1188" s="41">
        <v>63.868768600000003</v>
      </c>
      <c r="Z1188" s="41">
        <v>17.341286700000001</v>
      </c>
      <c r="AA1188" s="41">
        <v>18.789944599999998</v>
      </c>
    </row>
    <row r="1189" spans="1:39" hidden="1" x14ac:dyDescent="0.3">
      <c r="A1189" s="37">
        <v>1185</v>
      </c>
      <c r="B1189" s="38" t="s">
        <v>521</v>
      </c>
      <c r="C1189" s="38" t="s">
        <v>349</v>
      </c>
      <c r="D1189" s="38" t="s">
        <v>530</v>
      </c>
      <c r="E1189" s="38" t="s">
        <v>290</v>
      </c>
      <c r="F1189" s="47" t="s">
        <v>520</v>
      </c>
      <c r="G1189" s="40">
        <v>1580</v>
      </c>
      <c r="H1189" s="40">
        <v>425</v>
      </c>
      <c r="I1189" s="40">
        <v>281</v>
      </c>
      <c r="J1189" s="40">
        <v>874</v>
      </c>
      <c r="K1189" s="40">
        <v>2047</v>
      </c>
      <c r="L1189" s="40">
        <v>853</v>
      </c>
      <c r="M1189" s="40">
        <v>445</v>
      </c>
      <c r="N1189" s="40">
        <v>749</v>
      </c>
      <c r="O1189" s="40">
        <v>1428</v>
      </c>
      <c r="P1189" s="40">
        <v>821</v>
      </c>
      <c r="Q1189" s="40">
        <v>278</v>
      </c>
      <c r="R1189" s="40">
        <v>329</v>
      </c>
      <c r="S1189" s="41">
        <v>26.8987342</v>
      </c>
      <c r="T1189" s="41">
        <v>17.784810100000001</v>
      </c>
      <c r="U1189" s="41">
        <v>55.316455699999999</v>
      </c>
      <c r="V1189" s="41">
        <v>41.670737699999997</v>
      </c>
      <c r="W1189" s="41">
        <v>21.739130400000001</v>
      </c>
      <c r="X1189" s="41">
        <v>36.590131900000003</v>
      </c>
      <c r="Y1189" s="41">
        <v>57.492997199999998</v>
      </c>
      <c r="Z1189" s="41">
        <v>19.467787099999999</v>
      </c>
      <c r="AA1189" s="41">
        <v>23.0392157</v>
      </c>
    </row>
    <row r="1190" spans="1:39" hidden="1" x14ac:dyDescent="0.3">
      <c r="A1190" s="32">
        <v>1186</v>
      </c>
      <c r="B1190" s="33" t="s">
        <v>1</v>
      </c>
      <c r="C1190" s="49" t="s">
        <v>349</v>
      </c>
      <c r="D1190" s="49" t="s">
        <v>531</v>
      </c>
      <c r="E1190" s="49"/>
      <c r="F1190" s="34" t="s">
        <v>531</v>
      </c>
      <c r="G1190" s="35">
        <v>17360</v>
      </c>
      <c r="H1190" s="35">
        <v>4901</v>
      </c>
      <c r="I1190" s="35">
        <v>3365</v>
      </c>
      <c r="J1190" s="35">
        <v>9094</v>
      </c>
      <c r="K1190" s="35">
        <v>28102</v>
      </c>
      <c r="L1190" s="35">
        <v>14044</v>
      </c>
      <c r="M1190" s="35">
        <v>5526</v>
      </c>
      <c r="N1190" s="35">
        <v>8532</v>
      </c>
      <c r="O1190" s="35">
        <v>38255</v>
      </c>
      <c r="P1190" s="35">
        <v>23995</v>
      </c>
      <c r="Q1190" s="35">
        <v>6351</v>
      </c>
      <c r="R1190" s="35">
        <v>7909</v>
      </c>
      <c r="S1190" s="36">
        <v>28.2315668</v>
      </c>
      <c r="T1190" s="36">
        <v>19.3836406</v>
      </c>
      <c r="U1190" s="36">
        <v>52.384792599999997</v>
      </c>
      <c r="V1190" s="36">
        <v>49.975090700000003</v>
      </c>
      <c r="W1190" s="36">
        <v>19.664080800000001</v>
      </c>
      <c r="X1190" s="36">
        <v>30.360828399999999</v>
      </c>
      <c r="Y1190" s="36">
        <v>62.723827</v>
      </c>
      <c r="Z1190" s="36">
        <v>16.601751400000001</v>
      </c>
      <c r="AA1190" s="36">
        <v>20.674421599999999</v>
      </c>
    </row>
    <row r="1191" spans="1:39" hidden="1" x14ac:dyDescent="0.3">
      <c r="A1191" s="37">
        <v>1187</v>
      </c>
      <c r="B1191" s="38" t="s">
        <v>1</v>
      </c>
      <c r="C1191" s="38" t="s">
        <v>349</v>
      </c>
      <c r="D1191" s="38" t="s">
        <v>531</v>
      </c>
      <c r="E1191" s="38"/>
      <c r="F1191" s="39" t="s">
        <v>519</v>
      </c>
      <c r="G1191" s="40">
        <v>5282</v>
      </c>
      <c r="H1191" s="40">
        <v>1720</v>
      </c>
      <c r="I1191" s="40">
        <v>1174</v>
      </c>
      <c r="J1191" s="40">
        <v>2388</v>
      </c>
      <c r="K1191" s="40">
        <v>12417</v>
      </c>
      <c r="L1191" s="40">
        <v>6275</v>
      </c>
      <c r="M1191" s="40">
        <v>2607</v>
      </c>
      <c r="N1191" s="40">
        <v>3535</v>
      </c>
      <c r="O1191" s="40">
        <v>18864</v>
      </c>
      <c r="P1191" s="40">
        <v>12142</v>
      </c>
      <c r="Q1191" s="40">
        <v>3186</v>
      </c>
      <c r="R1191" s="40">
        <v>3536</v>
      </c>
      <c r="S1191" s="41">
        <v>32.563422899999999</v>
      </c>
      <c r="T1191" s="41">
        <v>22.226429400000001</v>
      </c>
      <c r="U1191" s="41">
        <v>45.2101477</v>
      </c>
      <c r="V1191" s="41">
        <v>50.535556100000001</v>
      </c>
      <c r="W1191" s="41">
        <v>20.995409500000001</v>
      </c>
      <c r="X1191" s="41">
        <v>28.469034400000002</v>
      </c>
      <c r="Y1191" s="41">
        <v>64.365988099999996</v>
      </c>
      <c r="Z1191" s="41">
        <v>16.889313000000001</v>
      </c>
      <c r="AA1191" s="41">
        <v>18.744698899999999</v>
      </c>
    </row>
    <row r="1192" spans="1:39" hidden="1" x14ac:dyDescent="0.3">
      <c r="A1192" s="37">
        <v>1188</v>
      </c>
      <c r="B1192" s="38" t="s">
        <v>1</v>
      </c>
      <c r="C1192" s="38" t="s">
        <v>349</v>
      </c>
      <c r="D1192" s="38" t="s">
        <v>531</v>
      </c>
      <c r="E1192" s="38"/>
      <c r="F1192" s="39" t="s">
        <v>520</v>
      </c>
      <c r="G1192" s="40">
        <v>12078</v>
      </c>
      <c r="H1192" s="40">
        <v>3181</v>
      </c>
      <c r="I1192" s="40">
        <v>2191</v>
      </c>
      <c r="J1192" s="40">
        <v>6706</v>
      </c>
      <c r="K1192" s="40">
        <v>15685</v>
      </c>
      <c r="L1192" s="40">
        <v>7769</v>
      </c>
      <c r="M1192" s="40">
        <v>2919</v>
      </c>
      <c r="N1192" s="40">
        <v>4997</v>
      </c>
      <c r="O1192" s="40">
        <v>19391</v>
      </c>
      <c r="P1192" s="40">
        <v>11853</v>
      </c>
      <c r="Q1192" s="40">
        <v>3165</v>
      </c>
      <c r="R1192" s="40">
        <v>4373</v>
      </c>
      <c r="S1192" s="41">
        <v>26.337141899999999</v>
      </c>
      <c r="T1192" s="41">
        <v>18.140420599999999</v>
      </c>
      <c r="U1192" s="41">
        <v>55.522437500000002</v>
      </c>
      <c r="V1192" s="41">
        <v>49.531399399999998</v>
      </c>
      <c r="W1192" s="41">
        <v>18.610137099999999</v>
      </c>
      <c r="X1192" s="41">
        <v>31.858463499999999</v>
      </c>
      <c r="Y1192" s="41">
        <v>61.1262957</v>
      </c>
      <c r="Z1192" s="41">
        <v>16.322005099999998</v>
      </c>
      <c r="AA1192" s="41">
        <v>22.551699200000002</v>
      </c>
    </row>
    <row r="1193" spans="1:39" hidden="1" x14ac:dyDescent="0.3">
      <c r="A1193" s="42">
        <v>1189</v>
      </c>
      <c r="B1193" s="43" t="s">
        <v>521</v>
      </c>
      <c r="C1193" s="50" t="s">
        <v>349</v>
      </c>
      <c r="D1193" s="50" t="s">
        <v>531</v>
      </c>
      <c r="E1193" s="50" t="s">
        <v>342</v>
      </c>
      <c r="F1193" s="51" t="s">
        <v>342</v>
      </c>
      <c r="G1193" s="45">
        <v>2485</v>
      </c>
      <c r="H1193" s="45">
        <v>684</v>
      </c>
      <c r="I1193" s="45">
        <v>510</v>
      </c>
      <c r="J1193" s="45">
        <v>1291</v>
      </c>
      <c r="K1193" s="45">
        <v>4261</v>
      </c>
      <c r="L1193" s="45">
        <v>2001</v>
      </c>
      <c r="M1193" s="45">
        <v>831</v>
      </c>
      <c r="N1193" s="45">
        <v>1429</v>
      </c>
      <c r="O1193" s="45">
        <v>9407</v>
      </c>
      <c r="P1193" s="45">
        <v>5856</v>
      </c>
      <c r="Q1193" s="45">
        <v>1498</v>
      </c>
      <c r="R1193" s="45">
        <v>2053</v>
      </c>
      <c r="S1193" s="46">
        <v>27.5251509</v>
      </c>
      <c r="T1193" s="46">
        <v>20.523138800000002</v>
      </c>
      <c r="U1193" s="46">
        <v>51.951710300000002</v>
      </c>
      <c r="V1193" s="46">
        <v>46.960807299999999</v>
      </c>
      <c r="W1193" s="46">
        <v>19.502464199999999</v>
      </c>
      <c r="X1193" s="46">
        <v>33.536728500000002</v>
      </c>
      <c r="Y1193" s="46">
        <v>62.251514800000002</v>
      </c>
      <c r="Z1193" s="46">
        <v>15.924311700000001</v>
      </c>
      <c r="AA1193" s="46">
        <v>21.824173500000001</v>
      </c>
      <c r="AB1193" s="26">
        <f>SUM(W1193:X1193)</f>
        <v>53.039192700000001</v>
      </c>
      <c r="AC1193" s="26">
        <f>SUM(Z1193:AA1193)</f>
        <v>37.748485200000005</v>
      </c>
      <c r="AD1193" s="57">
        <f>M1193+N1193</f>
        <v>2260</v>
      </c>
      <c r="AE1193" s="57">
        <f>Q1193+R1193</f>
        <v>3551</v>
      </c>
      <c r="AF1193" s="26">
        <f>W1193</f>
        <v>19.502464199999999</v>
      </c>
      <c r="AG1193" s="26">
        <f>Z1193</f>
        <v>15.924311700000001</v>
      </c>
      <c r="AH1193" s="26">
        <f>M1193</f>
        <v>831</v>
      </c>
      <c r="AI1193" s="26">
        <f>Q1193</f>
        <v>1498</v>
      </c>
      <c r="AJ1193" s="26">
        <f>X1193</f>
        <v>33.536728500000002</v>
      </c>
      <c r="AK1193" s="26">
        <f>AA1193</f>
        <v>21.824173500000001</v>
      </c>
      <c r="AL1193" s="57">
        <f>N1193</f>
        <v>1429</v>
      </c>
      <c r="AM1193" s="57">
        <f>R1193</f>
        <v>2053</v>
      </c>
    </row>
    <row r="1194" spans="1:39" hidden="1" x14ac:dyDescent="0.3">
      <c r="A1194" s="37">
        <v>1190</v>
      </c>
      <c r="B1194" s="38" t="s">
        <v>521</v>
      </c>
      <c r="C1194" s="38" t="s">
        <v>349</v>
      </c>
      <c r="D1194" s="38" t="s">
        <v>531</v>
      </c>
      <c r="E1194" s="38" t="s">
        <v>342</v>
      </c>
      <c r="F1194" s="47" t="s">
        <v>519</v>
      </c>
      <c r="G1194" s="40">
        <v>983</v>
      </c>
      <c r="H1194" s="40">
        <v>349</v>
      </c>
      <c r="I1194" s="40">
        <v>246</v>
      </c>
      <c r="J1194" s="40">
        <v>388</v>
      </c>
      <c r="K1194" s="40">
        <v>2292</v>
      </c>
      <c r="L1194" s="40">
        <v>1189</v>
      </c>
      <c r="M1194" s="40">
        <v>470</v>
      </c>
      <c r="N1194" s="40">
        <v>633</v>
      </c>
      <c r="O1194" s="40">
        <v>4163</v>
      </c>
      <c r="P1194" s="40">
        <v>2586</v>
      </c>
      <c r="Q1194" s="40">
        <v>757</v>
      </c>
      <c r="R1194" s="40">
        <v>820</v>
      </c>
      <c r="S1194" s="41">
        <v>35.503560499999999</v>
      </c>
      <c r="T1194" s="41">
        <v>25.025432299999999</v>
      </c>
      <c r="U1194" s="41">
        <v>39.471007100000001</v>
      </c>
      <c r="V1194" s="41">
        <v>51.8760908</v>
      </c>
      <c r="W1194" s="41">
        <v>20.5061082</v>
      </c>
      <c r="X1194" s="41">
        <v>27.617801</v>
      </c>
      <c r="Y1194" s="41">
        <v>62.1186644</v>
      </c>
      <c r="Z1194" s="41">
        <v>18.184001899999998</v>
      </c>
      <c r="AA1194" s="41">
        <v>19.697333700000001</v>
      </c>
    </row>
    <row r="1195" spans="1:39" hidden="1" x14ac:dyDescent="0.3">
      <c r="A1195" s="37">
        <v>1191</v>
      </c>
      <c r="B1195" s="38" t="s">
        <v>521</v>
      </c>
      <c r="C1195" s="38" t="s">
        <v>349</v>
      </c>
      <c r="D1195" s="38" t="s">
        <v>531</v>
      </c>
      <c r="E1195" s="38" t="s">
        <v>342</v>
      </c>
      <c r="F1195" s="47" t="s">
        <v>520</v>
      </c>
      <c r="G1195" s="40">
        <v>1502</v>
      </c>
      <c r="H1195" s="40">
        <v>335</v>
      </c>
      <c r="I1195" s="40">
        <v>264</v>
      </c>
      <c r="J1195" s="40">
        <v>903</v>
      </c>
      <c r="K1195" s="40">
        <v>1969</v>
      </c>
      <c r="L1195" s="40">
        <v>812</v>
      </c>
      <c r="M1195" s="40">
        <v>361</v>
      </c>
      <c r="N1195" s="40">
        <v>796</v>
      </c>
      <c r="O1195" s="40">
        <v>5244</v>
      </c>
      <c r="P1195" s="40">
        <v>3270</v>
      </c>
      <c r="Q1195" s="40">
        <v>741</v>
      </c>
      <c r="R1195" s="40">
        <v>1233</v>
      </c>
      <c r="S1195" s="41">
        <v>22.3035952</v>
      </c>
      <c r="T1195" s="41">
        <v>17.576564600000001</v>
      </c>
      <c r="U1195" s="41">
        <v>60.119840199999999</v>
      </c>
      <c r="V1195" s="41">
        <v>41.239207700000001</v>
      </c>
      <c r="W1195" s="41">
        <v>18.334179800000001</v>
      </c>
      <c r="X1195" s="41">
        <v>40.426612499999997</v>
      </c>
      <c r="Y1195" s="41">
        <v>62.3569794</v>
      </c>
      <c r="Z1195" s="41">
        <v>14.1304348</v>
      </c>
      <c r="AA1195" s="41">
        <v>23.5125858</v>
      </c>
    </row>
    <row r="1196" spans="1:39" hidden="1" x14ac:dyDescent="0.3">
      <c r="A1196" s="42">
        <v>1192</v>
      </c>
      <c r="B1196" s="43" t="s">
        <v>521</v>
      </c>
      <c r="C1196" s="50" t="s">
        <v>349</v>
      </c>
      <c r="D1196" s="50" t="s">
        <v>531</v>
      </c>
      <c r="E1196" s="50" t="s">
        <v>400</v>
      </c>
      <c r="F1196" s="51" t="s">
        <v>400</v>
      </c>
      <c r="G1196" s="45">
        <v>1978</v>
      </c>
      <c r="H1196" s="45">
        <v>630</v>
      </c>
      <c r="I1196" s="45">
        <v>416</v>
      </c>
      <c r="J1196" s="45">
        <v>932</v>
      </c>
      <c r="K1196" s="45">
        <v>3185</v>
      </c>
      <c r="L1196" s="45">
        <v>1609</v>
      </c>
      <c r="M1196" s="45">
        <v>636</v>
      </c>
      <c r="N1196" s="45">
        <v>940</v>
      </c>
      <c r="O1196" s="45">
        <v>3941</v>
      </c>
      <c r="P1196" s="45">
        <v>2190</v>
      </c>
      <c r="Q1196" s="45">
        <v>722</v>
      </c>
      <c r="R1196" s="45">
        <v>1029</v>
      </c>
      <c r="S1196" s="46">
        <v>31.850353900000002</v>
      </c>
      <c r="T1196" s="46">
        <v>21.031344799999999</v>
      </c>
      <c r="U1196" s="46">
        <v>47.118301299999999</v>
      </c>
      <c r="V1196" s="46">
        <v>50.518053399999999</v>
      </c>
      <c r="W1196" s="46">
        <v>19.968602799999999</v>
      </c>
      <c r="X1196" s="46">
        <v>29.513343800000001</v>
      </c>
      <c r="Y1196" s="46">
        <v>55.569652400000003</v>
      </c>
      <c r="Z1196" s="46">
        <v>18.320223299999999</v>
      </c>
      <c r="AA1196" s="46">
        <v>26.110124299999999</v>
      </c>
      <c r="AB1196" s="26">
        <f>SUM(W1196:X1196)</f>
        <v>49.481946600000001</v>
      </c>
      <c r="AC1196" s="26">
        <f>SUM(Z1196:AA1196)</f>
        <v>44.430347599999997</v>
      </c>
      <c r="AD1196" s="57">
        <f>M1196+N1196</f>
        <v>1576</v>
      </c>
      <c r="AE1196" s="57">
        <f>Q1196+R1196</f>
        <v>1751</v>
      </c>
      <c r="AF1196" s="26">
        <f>W1196</f>
        <v>19.968602799999999</v>
      </c>
      <c r="AG1196" s="26">
        <f>Z1196</f>
        <v>18.320223299999999</v>
      </c>
      <c r="AH1196" s="26">
        <f>M1196</f>
        <v>636</v>
      </c>
      <c r="AI1196" s="26">
        <f>Q1196</f>
        <v>722</v>
      </c>
      <c r="AJ1196" s="26">
        <f>X1196</f>
        <v>29.513343800000001</v>
      </c>
      <c r="AK1196" s="26">
        <f>AA1196</f>
        <v>26.110124299999999</v>
      </c>
      <c r="AL1196" s="57">
        <f>N1196</f>
        <v>940</v>
      </c>
      <c r="AM1196" s="57">
        <f>R1196</f>
        <v>1029</v>
      </c>
    </row>
    <row r="1197" spans="1:39" hidden="1" x14ac:dyDescent="0.3">
      <c r="A1197" s="37">
        <v>1193</v>
      </c>
      <c r="B1197" s="38" t="s">
        <v>521</v>
      </c>
      <c r="C1197" s="38" t="s">
        <v>349</v>
      </c>
      <c r="D1197" s="38" t="s">
        <v>531</v>
      </c>
      <c r="E1197" s="38" t="s">
        <v>400</v>
      </c>
      <c r="F1197" s="47" t="s">
        <v>519</v>
      </c>
      <c r="G1197" s="40">
        <v>1006</v>
      </c>
      <c r="H1197" s="40">
        <v>339</v>
      </c>
      <c r="I1197" s="40">
        <v>249</v>
      </c>
      <c r="J1197" s="40">
        <v>418</v>
      </c>
      <c r="K1197" s="40">
        <v>1677</v>
      </c>
      <c r="L1197" s="40">
        <v>875</v>
      </c>
      <c r="M1197" s="40">
        <v>360</v>
      </c>
      <c r="N1197" s="40">
        <v>442</v>
      </c>
      <c r="O1197" s="40">
        <v>2107</v>
      </c>
      <c r="P1197" s="40">
        <v>1185</v>
      </c>
      <c r="Q1197" s="40">
        <v>407</v>
      </c>
      <c r="R1197" s="40">
        <v>515</v>
      </c>
      <c r="S1197" s="41">
        <v>33.697813099999998</v>
      </c>
      <c r="T1197" s="41">
        <v>24.751491099999999</v>
      </c>
      <c r="U1197" s="41">
        <v>41.5506958</v>
      </c>
      <c r="V1197" s="41">
        <v>52.1765057</v>
      </c>
      <c r="W1197" s="41">
        <v>21.466905199999999</v>
      </c>
      <c r="X1197" s="41">
        <v>26.356589100000001</v>
      </c>
      <c r="Y1197" s="41">
        <v>56.241101100000002</v>
      </c>
      <c r="Z1197" s="41">
        <v>19.316563800000001</v>
      </c>
      <c r="AA1197" s="41">
        <v>24.442335100000001</v>
      </c>
    </row>
    <row r="1198" spans="1:39" hidden="1" x14ac:dyDescent="0.3">
      <c r="A1198" s="37">
        <v>1194</v>
      </c>
      <c r="B1198" s="38" t="s">
        <v>521</v>
      </c>
      <c r="C1198" s="38" t="s">
        <v>349</v>
      </c>
      <c r="D1198" s="38" t="s">
        <v>531</v>
      </c>
      <c r="E1198" s="38" t="s">
        <v>400</v>
      </c>
      <c r="F1198" s="47" t="s">
        <v>520</v>
      </c>
      <c r="G1198" s="40">
        <v>972</v>
      </c>
      <c r="H1198" s="40">
        <v>291</v>
      </c>
      <c r="I1198" s="40">
        <v>167</v>
      </c>
      <c r="J1198" s="40">
        <v>514</v>
      </c>
      <c r="K1198" s="40">
        <v>1508</v>
      </c>
      <c r="L1198" s="40">
        <v>734</v>
      </c>
      <c r="M1198" s="40">
        <v>276</v>
      </c>
      <c r="N1198" s="40">
        <v>498</v>
      </c>
      <c r="O1198" s="40">
        <v>1834</v>
      </c>
      <c r="P1198" s="40">
        <v>1005</v>
      </c>
      <c r="Q1198" s="40">
        <v>315</v>
      </c>
      <c r="R1198" s="40">
        <v>514</v>
      </c>
      <c r="S1198" s="41">
        <v>29.9382716</v>
      </c>
      <c r="T1198" s="41">
        <v>17.181069999999998</v>
      </c>
      <c r="U1198" s="41">
        <v>52.880658400000002</v>
      </c>
      <c r="V1198" s="41">
        <v>48.673740100000003</v>
      </c>
      <c r="W1198" s="41">
        <v>18.302387299999999</v>
      </c>
      <c r="X1198" s="41">
        <v>33.023872699999998</v>
      </c>
      <c r="Y1198" s="41">
        <v>54.7982552</v>
      </c>
      <c r="Z1198" s="41">
        <v>17.175572500000001</v>
      </c>
      <c r="AA1198" s="41">
        <v>28.026172299999999</v>
      </c>
    </row>
    <row r="1199" spans="1:39" hidden="1" x14ac:dyDescent="0.3">
      <c r="A1199" s="42">
        <v>1195</v>
      </c>
      <c r="B1199" s="43" t="s">
        <v>521</v>
      </c>
      <c r="C1199" s="50" t="s">
        <v>349</v>
      </c>
      <c r="D1199" s="50" t="s">
        <v>531</v>
      </c>
      <c r="E1199" s="50" t="s">
        <v>402</v>
      </c>
      <c r="F1199" s="51" t="s">
        <v>402</v>
      </c>
      <c r="G1199" s="45">
        <v>7536</v>
      </c>
      <c r="H1199" s="45">
        <v>2113</v>
      </c>
      <c r="I1199" s="45">
        <v>1346</v>
      </c>
      <c r="J1199" s="45">
        <v>4077</v>
      </c>
      <c r="K1199" s="45">
        <v>12767</v>
      </c>
      <c r="L1199" s="45">
        <v>6828</v>
      </c>
      <c r="M1199" s="45">
        <v>2283</v>
      </c>
      <c r="N1199" s="45">
        <v>3656</v>
      </c>
      <c r="O1199" s="45">
        <v>14448</v>
      </c>
      <c r="P1199" s="45">
        <v>9877</v>
      </c>
      <c r="Q1199" s="45">
        <v>2029</v>
      </c>
      <c r="R1199" s="45">
        <v>2542</v>
      </c>
      <c r="S1199" s="46">
        <v>28.038747300000001</v>
      </c>
      <c r="T1199" s="46">
        <v>17.860934199999999</v>
      </c>
      <c r="U1199" s="46">
        <v>54.1003185</v>
      </c>
      <c r="V1199" s="46">
        <v>53.481632300000001</v>
      </c>
      <c r="W1199" s="46">
        <v>17.882039599999999</v>
      </c>
      <c r="X1199" s="46">
        <v>28.636327999999999</v>
      </c>
      <c r="Y1199" s="46">
        <v>68.362403099999995</v>
      </c>
      <c r="Z1199" s="46">
        <v>14.043466199999999</v>
      </c>
      <c r="AA1199" s="46">
        <v>17.594130700000001</v>
      </c>
      <c r="AB1199" s="26">
        <f>SUM(W1199:X1199)</f>
        <v>46.518367599999998</v>
      </c>
      <c r="AC1199" s="26">
        <f>SUM(Z1199:AA1199)</f>
        <v>31.637596899999998</v>
      </c>
      <c r="AD1199" s="57">
        <f>M1199+N1199</f>
        <v>5939</v>
      </c>
      <c r="AE1199" s="57">
        <f>Q1199+R1199</f>
        <v>4571</v>
      </c>
      <c r="AF1199" s="26">
        <f>W1199</f>
        <v>17.882039599999999</v>
      </c>
      <c r="AG1199" s="26">
        <f>Z1199</f>
        <v>14.043466199999999</v>
      </c>
      <c r="AH1199" s="26">
        <f>M1199</f>
        <v>2283</v>
      </c>
      <c r="AI1199" s="26">
        <f>Q1199</f>
        <v>2029</v>
      </c>
      <c r="AJ1199" s="26">
        <f>X1199</f>
        <v>28.636327999999999</v>
      </c>
      <c r="AK1199" s="26">
        <f>AA1199</f>
        <v>17.594130700000001</v>
      </c>
      <c r="AL1199" s="57">
        <f>N1199</f>
        <v>3656</v>
      </c>
      <c r="AM1199" s="57">
        <f>R1199</f>
        <v>2542</v>
      </c>
    </row>
    <row r="1200" spans="1:39" hidden="1" x14ac:dyDescent="0.3">
      <c r="A1200" s="37">
        <v>1196</v>
      </c>
      <c r="B1200" s="38" t="s">
        <v>521</v>
      </c>
      <c r="C1200" s="38" t="s">
        <v>349</v>
      </c>
      <c r="D1200" s="38" t="s">
        <v>531</v>
      </c>
      <c r="E1200" s="38" t="s">
        <v>402</v>
      </c>
      <c r="F1200" s="47" t="s">
        <v>519</v>
      </c>
      <c r="G1200" s="40">
        <v>1395</v>
      </c>
      <c r="H1200" s="40">
        <v>442</v>
      </c>
      <c r="I1200" s="40">
        <v>264</v>
      </c>
      <c r="J1200" s="40">
        <v>689</v>
      </c>
      <c r="K1200" s="40">
        <v>4926</v>
      </c>
      <c r="L1200" s="40">
        <v>2508</v>
      </c>
      <c r="M1200" s="40">
        <v>1002</v>
      </c>
      <c r="N1200" s="40">
        <v>1416</v>
      </c>
      <c r="O1200" s="40">
        <v>7582</v>
      </c>
      <c r="P1200" s="40">
        <v>5378</v>
      </c>
      <c r="Q1200" s="40">
        <v>1065</v>
      </c>
      <c r="R1200" s="40">
        <v>1139</v>
      </c>
      <c r="S1200" s="41">
        <v>31.684587799999999</v>
      </c>
      <c r="T1200" s="41">
        <v>18.9247312</v>
      </c>
      <c r="U1200" s="41">
        <v>49.390681000000001</v>
      </c>
      <c r="V1200" s="41">
        <v>50.9135201</v>
      </c>
      <c r="W1200" s="41">
        <v>20.341047499999998</v>
      </c>
      <c r="X1200" s="41">
        <v>28.745432399999999</v>
      </c>
      <c r="Y1200" s="41">
        <v>70.931152699999998</v>
      </c>
      <c r="Z1200" s="41">
        <v>14.0464257</v>
      </c>
      <c r="AA1200" s="41">
        <v>15.0224215</v>
      </c>
    </row>
    <row r="1201" spans="1:39" hidden="1" x14ac:dyDescent="0.3">
      <c r="A1201" s="37">
        <v>1197</v>
      </c>
      <c r="B1201" s="38" t="s">
        <v>521</v>
      </c>
      <c r="C1201" s="38" t="s">
        <v>349</v>
      </c>
      <c r="D1201" s="38" t="s">
        <v>531</v>
      </c>
      <c r="E1201" s="38" t="s">
        <v>402</v>
      </c>
      <c r="F1201" s="47" t="s">
        <v>520</v>
      </c>
      <c r="G1201" s="40">
        <v>6141</v>
      </c>
      <c r="H1201" s="40">
        <v>1671</v>
      </c>
      <c r="I1201" s="40">
        <v>1082</v>
      </c>
      <c r="J1201" s="40">
        <v>3388</v>
      </c>
      <c r="K1201" s="40">
        <v>7841</v>
      </c>
      <c r="L1201" s="40">
        <v>4320</v>
      </c>
      <c r="M1201" s="40">
        <v>1281</v>
      </c>
      <c r="N1201" s="40">
        <v>2240</v>
      </c>
      <c r="O1201" s="40">
        <v>6866</v>
      </c>
      <c r="P1201" s="40">
        <v>4499</v>
      </c>
      <c r="Q1201" s="40">
        <v>964</v>
      </c>
      <c r="R1201" s="40">
        <v>1403</v>
      </c>
      <c r="S1201" s="41">
        <v>27.210552</v>
      </c>
      <c r="T1201" s="41">
        <v>17.619280199999999</v>
      </c>
      <c r="U1201" s="41">
        <v>55.1701677</v>
      </c>
      <c r="V1201" s="41">
        <v>55.095013399999999</v>
      </c>
      <c r="W1201" s="41">
        <v>16.3372019</v>
      </c>
      <c r="X1201" s="41">
        <v>28.567784700000001</v>
      </c>
      <c r="Y1201" s="41">
        <v>65.525779200000002</v>
      </c>
      <c r="Z1201" s="41">
        <v>14.0401981</v>
      </c>
      <c r="AA1201" s="41">
        <v>20.4340227</v>
      </c>
    </row>
    <row r="1202" spans="1:39" hidden="1" x14ac:dyDescent="0.3">
      <c r="A1202" s="42">
        <v>1198</v>
      </c>
      <c r="B1202" s="43" t="s">
        <v>521</v>
      </c>
      <c r="C1202" s="50" t="s">
        <v>349</v>
      </c>
      <c r="D1202" s="50" t="s">
        <v>531</v>
      </c>
      <c r="E1202" s="50" t="s">
        <v>403</v>
      </c>
      <c r="F1202" s="51" t="s">
        <v>403</v>
      </c>
      <c r="G1202" s="45">
        <v>954</v>
      </c>
      <c r="H1202" s="45">
        <v>154</v>
      </c>
      <c r="I1202" s="45">
        <v>170</v>
      </c>
      <c r="J1202" s="45">
        <v>630</v>
      </c>
      <c r="K1202" s="45">
        <v>1146</v>
      </c>
      <c r="L1202" s="45">
        <v>325</v>
      </c>
      <c r="M1202" s="45">
        <v>259</v>
      </c>
      <c r="N1202" s="45">
        <v>562</v>
      </c>
      <c r="O1202" s="45">
        <v>1475</v>
      </c>
      <c r="P1202" s="45">
        <v>685</v>
      </c>
      <c r="Q1202" s="45">
        <v>350</v>
      </c>
      <c r="R1202" s="45">
        <v>440</v>
      </c>
      <c r="S1202" s="46">
        <v>16.142557700000001</v>
      </c>
      <c r="T1202" s="46">
        <v>17.819706499999999</v>
      </c>
      <c r="U1202" s="46">
        <v>66.037735799999993</v>
      </c>
      <c r="V1202" s="46">
        <v>28.359511300000001</v>
      </c>
      <c r="W1202" s="46">
        <v>22.600349000000001</v>
      </c>
      <c r="X1202" s="46">
        <v>49.040139600000003</v>
      </c>
      <c r="Y1202" s="46">
        <v>46.440677999999998</v>
      </c>
      <c r="Z1202" s="46">
        <v>23.728813599999999</v>
      </c>
      <c r="AA1202" s="46">
        <v>29.830508500000001</v>
      </c>
      <c r="AB1202" s="26">
        <f>SUM(W1202:X1202)</f>
        <v>71.640488599999998</v>
      </c>
      <c r="AC1202" s="26">
        <f>SUM(Z1202:AA1202)</f>
        <v>53.559322100000003</v>
      </c>
      <c r="AD1202" s="57">
        <f>M1202+N1202</f>
        <v>821</v>
      </c>
      <c r="AE1202" s="57">
        <f>Q1202+R1202</f>
        <v>790</v>
      </c>
      <c r="AF1202" s="26">
        <f>W1202</f>
        <v>22.600349000000001</v>
      </c>
      <c r="AG1202" s="26">
        <f>Z1202</f>
        <v>23.728813599999999</v>
      </c>
      <c r="AH1202" s="26">
        <f>M1202</f>
        <v>259</v>
      </c>
      <c r="AI1202" s="26">
        <f>Q1202</f>
        <v>350</v>
      </c>
      <c r="AJ1202" s="26">
        <f>X1202</f>
        <v>49.040139600000003</v>
      </c>
      <c r="AK1202" s="26">
        <f>AA1202</f>
        <v>29.830508500000001</v>
      </c>
      <c r="AL1202" s="57">
        <f>N1202</f>
        <v>562</v>
      </c>
      <c r="AM1202" s="57">
        <f>R1202</f>
        <v>440</v>
      </c>
    </row>
    <row r="1203" spans="1:39" hidden="1" x14ac:dyDescent="0.3">
      <c r="A1203" s="37">
        <v>1199</v>
      </c>
      <c r="B1203" s="38" t="s">
        <v>521</v>
      </c>
      <c r="C1203" s="38" t="s">
        <v>349</v>
      </c>
      <c r="D1203" s="38" t="s">
        <v>531</v>
      </c>
      <c r="E1203" s="38" t="s">
        <v>403</v>
      </c>
      <c r="F1203" s="47" t="s">
        <v>519</v>
      </c>
      <c r="G1203" s="40"/>
      <c r="H1203" s="40"/>
      <c r="I1203" s="40"/>
      <c r="J1203" s="40"/>
      <c r="K1203" s="40"/>
      <c r="L1203" s="40"/>
      <c r="M1203" s="40"/>
      <c r="N1203" s="40"/>
      <c r="O1203" s="40"/>
      <c r="P1203" s="40"/>
      <c r="Q1203" s="40"/>
      <c r="R1203" s="40"/>
      <c r="S1203" s="41"/>
      <c r="T1203" s="41"/>
      <c r="U1203" s="41"/>
      <c r="V1203" s="41"/>
      <c r="W1203" s="41"/>
      <c r="X1203" s="41"/>
      <c r="Y1203" s="41"/>
      <c r="Z1203" s="41"/>
      <c r="AA1203" s="41"/>
    </row>
    <row r="1204" spans="1:39" hidden="1" x14ac:dyDescent="0.3">
      <c r="A1204" s="37">
        <v>1200</v>
      </c>
      <c r="B1204" s="38" t="s">
        <v>521</v>
      </c>
      <c r="C1204" s="38" t="s">
        <v>349</v>
      </c>
      <c r="D1204" s="38" t="s">
        <v>531</v>
      </c>
      <c r="E1204" s="38" t="s">
        <v>403</v>
      </c>
      <c r="F1204" s="47" t="s">
        <v>520</v>
      </c>
      <c r="G1204" s="40">
        <v>954</v>
      </c>
      <c r="H1204" s="40">
        <v>154</v>
      </c>
      <c r="I1204" s="40">
        <v>170</v>
      </c>
      <c r="J1204" s="40">
        <v>630</v>
      </c>
      <c r="K1204" s="40">
        <v>1146</v>
      </c>
      <c r="L1204" s="40">
        <v>325</v>
      </c>
      <c r="M1204" s="40">
        <v>259</v>
      </c>
      <c r="N1204" s="40">
        <v>562</v>
      </c>
      <c r="O1204" s="40">
        <v>1475</v>
      </c>
      <c r="P1204" s="40">
        <v>685</v>
      </c>
      <c r="Q1204" s="40">
        <v>350</v>
      </c>
      <c r="R1204" s="40">
        <v>440</v>
      </c>
      <c r="S1204" s="41">
        <v>16.142557700000001</v>
      </c>
      <c r="T1204" s="41">
        <v>17.819706499999999</v>
      </c>
      <c r="U1204" s="41">
        <v>66.037735799999993</v>
      </c>
      <c r="V1204" s="41">
        <v>28.359511300000001</v>
      </c>
      <c r="W1204" s="41">
        <v>22.600349000000001</v>
      </c>
      <c r="X1204" s="41">
        <v>49.040139600000003</v>
      </c>
      <c r="Y1204" s="41">
        <v>46.440677999999998</v>
      </c>
      <c r="Z1204" s="41">
        <v>23.728813599999999</v>
      </c>
      <c r="AA1204" s="41">
        <v>29.830508500000001</v>
      </c>
    </row>
    <row r="1205" spans="1:39" hidden="1" x14ac:dyDescent="0.3">
      <c r="A1205" s="42">
        <v>1201</v>
      </c>
      <c r="B1205" s="43" t="s">
        <v>521</v>
      </c>
      <c r="C1205" s="50" t="s">
        <v>349</v>
      </c>
      <c r="D1205" s="50" t="s">
        <v>531</v>
      </c>
      <c r="E1205" s="50" t="s">
        <v>401</v>
      </c>
      <c r="F1205" s="51" t="s">
        <v>401</v>
      </c>
      <c r="G1205" s="45">
        <v>1086</v>
      </c>
      <c r="H1205" s="45">
        <v>369</v>
      </c>
      <c r="I1205" s="45">
        <v>221</v>
      </c>
      <c r="J1205" s="45">
        <v>496</v>
      </c>
      <c r="K1205" s="45">
        <v>1685</v>
      </c>
      <c r="L1205" s="45">
        <v>813</v>
      </c>
      <c r="M1205" s="45">
        <v>375</v>
      </c>
      <c r="N1205" s="45">
        <v>497</v>
      </c>
      <c r="O1205" s="45">
        <v>2433</v>
      </c>
      <c r="P1205" s="45">
        <v>1413</v>
      </c>
      <c r="Q1205" s="45">
        <v>471</v>
      </c>
      <c r="R1205" s="45">
        <v>549</v>
      </c>
      <c r="S1205" s="46">
        <v>33.977900599999998</v>
      </c>
      <c r="T1205" s="46">
        <v>20.349907900000002</v>
      </c>
      <c r="U1205" s="46">
        <v>45.672191499999997</v>
      </c>
      <c r="V1205" s="46">
        <v>48.2492582</v>
      </c>
      <c r="W1205" s="46">
        <v>22.255192900000001</v>
      </c>
      <c r="X1205" s="46">
        <v>29.495549</v>
      </c>
      <c r="Y1205" s="46">
        <v>58.076448800000001</v>
      </c>
      <c r="Z1205" s="46">
        <v>19.358816300000001</v>
      </c>
      <c r="AA1205" s="46">
        <v>22.564734900000001</v>
      </c>
      <c r="AB1205" s="26">
        <f>SUM(W1205:X1205)</f>
        <v>51.750741900000001</v>
      </c>
      <c r="AC1205" s="26">
        <f>SUM(Z1205:AA1205)</f>
        <v>41.923551200000006</v>
      </c>
      <c r="AD1205" s="57">
        <f>M1205+N1205</f>
        <v>872</v>
      </c>
      <c r="AE1205" s="57">
        <f>Q1205+R1205</f>
        <v>1020</v>
      </c>
      <c r="AF1205" s="26">
        <f>W1205</f>
        <v>22.255192900000001</v>
      </c>
      <c r="AG1205" s="26">
        <f>Z1205</f>
        <v>19.358816300000001</v>
      </c>
      <c r="AH1205" s="26">
        <f>M1205</f>
        <v>375</v>
      </c>
      <c r="AI1205" s="26">
        <f>Q1205</f>
        <v>471</v>
      </c>
      <c r="AJ1205" s="26">
        <f>X1205</f>
        <v>29.495549</v>
      </c>
      <c r="AK1205" s="26">
        <f>AA1205</f>
        <v>22.564734900000001</v>
      </c>
      <c r="AL1205" s="57">
        <f>N1205</f>
        <v>497</v>
      </c>
      <c r="AM1205" s="57">
        <f>R1205</f>
        <v>549</v>
      </c>
    </row>
    <row r="1206" spans="1:39" hidden="1" x14ac:dyDescent="0.3">
      <c r="A1206" s="37">
        <v>1202</v>
      </c>
      <c r="B1206" s="38" t="s">
        <v>521</v>
      </c>
      <c r="C1206" s="38" t="s">
        <v>349</v>
      </c>
      <c r="D1206" s="38" t="s">
        <v>531</v>
      </c>
      <c r="E1206" s="38" t="s">
        <v>401</v>
      </c>
      <c r="F1206" s="47" t="s">
        <v>519</v>
      </c>
      <c r="G1206" s="40">
        <v>928</v>
      </c>
      <c r="H1206" s="40">
        <v>306</v>
      </c>
      <c r="I1206" s="40">
        <v>200</v>
      </c>
      <c r="J1206" s="40">
        <v>422</v>
      </c>
      <c r="K1206" s="40">
        <v>1446</v>
      </c>
      <c r="L1206" s="40">
        <v>677</v>
      </c>
      <c r="M1206" s="40">
        <v>329</v>
      </c>
      <c r="N1206" s="40">
        <v>440</v>
      </c>
      <c r="O1206" s="40">
        <v>1959</v>
      </c>
      <c r="P1206" s="40">
        <v>1091</v>
      </c>
      <c r="Q1206" s="40">
        <v>413</v>
      </c>
      <c r="R1206" s="40">
        <v>455</v>
      </c>
      <c r="S1206" s="41">
        <v>32.974137900000002</v>
      </c>
      <c r="T1206" s="41">
        <v>21.551724100000001</v>
      </c>
      <c r="U1206" s="41">
        <v>45.474137900000002</v>
      </c>
      <c r="V1206" s="41">
        <v>46.818810499999998</v>
      </c>
      <c r="W1206" s="41">
        <v>22.752420499999999</v>
      </c>
      <c r="X1206" s="41">
        <v>30.428768999999999</v>
      </c>
      <c r="Y1206" s="41">
        <v>55.691679399999998</v>
      </c>
      <c r="Z1206" s="41">
        <v>21.0821848</v>
      </c>
      <c r="AA1206" s="41">
        <v>23.226135800000002</v>
      </c>
    </row>
    <row r="1207" spans="1:39" hidden="1" x14ac:dyDescent="0.3">
      <c r="A1207" s="37">
        <v>1203</v>
      </c>
      <c r="B1207" s="38" t="s">
        <v>521</v>
      </c>
      <c r="C1207" s="38" t="s">
        <v>349</v>
      </c>
      <c r="D1207" s="38" t="s">
        <v>531</v>
      </c>
      <c r="E1207" s="38" t="s">
        <v>401</v>
      </c>
      <c r="F1207" s="47" t="s">
        <v>520</v>
      </c>
      <c r="G1207" s="40">
        <v>158</v>
      </c>
      <c r="H1207" s="40">
        <v>63</v>
      </c>
      <c r="I1207" s="40">
        <v>21</v>
      </c>
      <c r="J1207" s="40">
        <v>74</v>
      </c>
      <c r="K1207" s="40">
        <v>239</v>
      </c>
      <c r="L1207" s="40">
        <v>136</v>
      </c>
      <c r="M1207" s="40">
        <v>46</v>
      </c>
      <c r="N1207" s="40">
        <v>57</v>
      </c>
      <c r="O1207" s="40">
        <v>474</v>
      </c>
      <c r="P1207" s="40">
        <v>322</v>
      </c>
      <c r="Q1207" s="40">
        <v>58</v>
      </c>
      <c r="R1207" s="40">
        <v>94</v>
      </c>
      <c r="S1207" s="41">
        <v>39.873417699999997</v>
      </c>
      <c r="T1207" s="41">
        <v>13.2911392</v>
      </c>
      <c r="U1207" s="41">
        <v>46.835442999999998</v>
      </c>
      <c r="V1207" s="41">
        <v>56.903765700000001</v>
      </c>
      <c r="W1207" s="41">
        <v>19.246861899999999</v>
      </c>
      <c r="X1207" s="41">
        <v>23.8493724</v>
      </c>
      <c r="Y1207" s="41">
        <v>67.932489500000003</v>
      </c>
      <c r="Z1207" s="41">
        <v>12.2362869</v>
      </c>
      <c r="AA1207" s="41">
        <v>19.831223600000001</v>
      </c>
    </row>
    <row r="1208" spans="1:39" hidden="1" x14ac:dyDescent="0.3">
      <c r="A1208" s="42">
        <v>1204</v>
      </c>
      <c r="B1208" s="43" t="s">
        <v>521</v>
      </c>
      <c r="C1208" s="50" t="s">
        <v>349</v>
      </c>
      <c r="D1208" s="50" t="s">
        <v>531</v>
      </c>
      <c r="E1208" s="50" t="s">
        <v>404</v>
      </c>
      <c r="F1208" s="51" t="s">
        <v>404</v>
      </c>
      <c r="G1208" s="45">
        <v>3321</v>
      </c>
      <c r="H1208" s="45">
        <v>951</v>
      </c>
      <c r="I1208" s="45">
        <v>702</v>
      </c>
      <c r="J1208" s="45">
        <v>1668</v>
      </c>
      <c r="K1208" s="45">
        <v>5058</v>
      </c>
      <c r="L1208" s="45">
        <v>2468</v>
      </c>
      <c r="M1208" s="45">
        <v>1142</v>
      </c>
      <c r="N1208" s="45">
        <v>1448</v>
      </c>
      <c r="O1208" s="45">
        <v>6551</v>
      </c>
      <c r="P1208" s="45">
        <v>3974</v>
      </c>
      <c r="Q1208" s="45">
        <v>1281</v>
      </c>
      <c r="R1208" s="45">
        <v>1296</v>
      </c>
      <c r="S1208" s="46">
        <v>28.635953000000001</v>
      </c>
      <c r="T1208" s="46">
        <v>21.138211399999999</v>
      </c>
      <c r="U1208" s="46">
        <v>50.225835600000003</v>
      </c>
      <c r="V1208" s="46">
        <v>48.793989699999997</v>
      </c>
      <c r="W1208" s="46">
        <v>22.578094100000001</v>
      </c>
      <c r="X1208" s="46">
        <v>28.627916200000001</v>
      </c>
      <c r="Y1208" s="46">
        <v>60.662494299999999</v>
      </c>
      <c r="Z1208" s="46">
        <v>19.554266500000001</v>
      </c>
      <c r="AA1208" s="46">
        <v>19.783239200000001</v>
      </c>
      <c r="AB1208" s="26">
        <f>SUM(W1208:X1208)</f>
        <v>51.206010300000003</v>
      </c>
      <c r="AC1208" s="26">
        <f>SUM(Z1208:AA1208)</f>
        <v>39.337505700000001</v>
      </c>
      <c r="AD1208" s="57">
        <f>M1208+N1208</f>
        <v>2590</v>
      </c>
      <c r="AE1208" s="57">
        <f>Q1208+R1208</f>
        <v>2577</v>
      </c>
      <c r="AF1208" s="26">
        <f>W1208</f>
        <v>22.578094100000001</v>
      </c>
      <c r="AG1208" s="26">
        <f>Z1208</f>
        <v>19.554266500000001</v>
      </c>
      <c r="AH1208" s="26">
        <f>M1208</f>
        <v>1142</v>
      </c>
      <c r="AI1208" s="26">
        <f>Q1208</f>
        <v>1281</v>
      </c>
      <c r="AJ1208" s="26">
        <f>X1208</f>
        <v>28.627916200000001</v>
      </c>
      <c r="AK1208" s="26">
        <f>AA1208</f>
        <v>19.783239200000001</v>
      </c>
      <c r="AL1208" s="57">
        <f>N1208</f>
        <v>1448</v>
      </c>
      <c r="AM1208" s="57">
        <f>R1208</f>
        <v>1296</v>
      </c>
    </row>
    <row r="1209" spans="1:39" hidden="1" x14ac:dyDescent="0.3">
      <c r="A1209" s="37">
        <v>1205</v>
      </c>
      <c r="B1209" s="38" t="s">
        <v>521</v>
      </c>
      <c r="C1209" s="38" t="s">
        <v>349</v>
      </c>
      <c r="D1209" s="38" t="s">
        <v>531</v>
      </c>
      <c r="E1209" s="38" t="s">
        <v>404</v>
      </c>
      <c r="F1209" s="47" t="s">
        <v>519</v>
      </c>
      <c r="G1209" s="40">
        <v>970</v>
      </c>
      <c r="H1209" s="40">
        <v>284</v>
      </c>
      <c r="I1209" s="40">
        <v>215</v>
      </c>
      <c r="J1209" s="40">
        <v>471</v>
      </c>
      <c r="K1209" s="40">
        <v>2076</v>
      </c>
      <c r="L1209" s="40">
        <v>1026</v>
      </c>
      <c r="M1209" s="40">
        <v>446</v>
      </c>
      <c r="N1209" s="40">
        <v>604</v>
      </c>
      <c r="O1209" s="40">
        <v>3053</v>
      </c>
      <c r="P1209" s="40">
        <v>1902</v>
      </c>
      <c r="Q1209" s="40">
        <v>544</v>
      </c>
      <c r="R1209" s="40">
        <v>607</v>
      </c>
      <c r="S1209" s="41">
        <v>29.278350499999998</v>
      </c>
      <c r="T1209" s="41">
        <v>22.164948500000001</v>
      </c>
      <c r="U1209" s="41">
        <v>48.556700999999997</v>
      </c>
      <c r="V1209" s="41">
        <v>49.421965299999997</v>
      </c>
      <c r="W1209" s="41">
        <v>21.483622400000002</v>
      </c>
      <c r="X1209" s="41">
        <v>29.094412299999998</v>
      </c>
      <c r="Y1209" s="41">
        <v>62.299377700000001</v>
      </c>
      <c r="Z1209" s="41">
        <v>17.818539099999999</v>
      </c>
      <c r="AA1209" s="41">
        <v>19.8820832</v>
      </c>
    </row>
    <row r="1210" spans="1:39" hidden="1" x14ac:dyDescent="0.3">
      <c r="A1210" s="37">
        <v>1206</v>
      </c>
      <c r="B1210" s="38" t="s">
        <v>521</v>
      </c>
      <c r="C1210" s="38" t="s">
        <v>349</v>
      </c>
      <c r="D1210" s="38" t="s">
        <v>531</v>
      </c>
      <c r="E1210" s="38" t="s">
        <v>404</v>
      </c>
      <c r="F1210" s="47" t="s">
        <v>520</v>
      </c>
      <c r="G1210" s="40">
        <v>2351</v>
      </c>
      <c r="H1210" s="40">
        <v>667</v>
      </c>
      <c r="I1210" s="40">
        <v>487</v>
      </c>
      <c r="J1210" s="40">
        <v>1197</v>
      </c>
      <c r="K1210" s="40">
        <v>2982</v>
      </c>
      <c r="L1210" s="40">
        <v>1442</v>
      </c>
      <c r="M1210" s="40">
        <v>696</v>
      </c>
      <c r="N1210" s="40">
        <v>844</v>
      </c>
      <c r="O1210" s="40">
        <v>3498</v>
      </c>
      <c r="P1210" s="40">
        <v>2072</v>
      </c>
      <c r="Q1210" s="40">
        <v>737</v>
      </c>
      <c r="R1210" s="40">
        <v>689</v>
      </c>
      <c r="S1210" s="41">
        <v>28.370906000000002</v>
      </c>
      <c r="T1210" s="41">
        <v>20.714589499999999</v>
      </c>
      <c r="U1210" s="41">
        <v>50.9145045</v>
      </c>
      <c r="V1210" s="41">
        <v>48.356807500000002</v>
      </c>
      <c r="W1210" s="41">
        <v>23.340040200000001</v>
      </c>
      <c r="X1210" s="41">
        <v>28.3031522</v>
      </c>
      <c r="Y1210" s="41">
        <v>59.233847900000001</v>
      </c>
      <c r="Z1210" s="41">
        <v>21.069182399999999</v>
      </c>
      <c r="AA1210" s="41">
        <v>19.6969697</v>
      </c>
    </row>
    <row r="1211" spans="1:39" hidden="1" x14ac:dyDescent="0.3">
      <c r="A1211" s="32">
        <v>1207</v>
      </c>
      <c r="B1211" s="33" t="s">
        <v>1</v>
      </c>
      <c r="C1211" s="49" t="s">
        <v>349</v>
      </c>
      <c r="D1211" s="49" t="s">
        <v>532</v>
      </c>
      <c r="E1211" s="49"/>
      <c r="F1211" s="34" t="s">
        <v>532</v>
      </c>
      <c r="G1211" s="35">
        <v>2334</v>
      </c>
      <c r="H1211" s="35">
        <v>832</v>
      </c>
      <c r="I1211" s="35">
        <v>572</v>
      </c>
      <c r="J1211" s="35">
        <v>930</v>
      </c>
      <c r="K1211" s="35">
        <v>3215</v>
      </c>
      <c r="L1211" s="35">
        <v>1685</v>
      </c>
      <c r="M1211" s="35">
        <v>664</v>
      </c>
      <c r="N1211" s="35">
        <v>866</v>
      </c>
      <c r="O1211" s="35">
        <v>4145</v>
      </c>
      <c r="P1211" s="35">
        <v>2445</v>
      </c>
      <c r="Q1211" s="35">
        <v>830</v>
      </c>
      <c r="R1211" s="35">
        <v>870</v>
      </c>
      <c r="S1211" s="36">
        <v>35.646957999999998</v>
      </c>
      <c r="T1211" s="36">
        <v>24.507283600000001</v>
      </c>
      <c r="U1211" s="36">
        <v>39.845758400000001</v>
      </c>
      <c r="V1211" s="36">
        <v>52.410575399999999</v>
      </c>
      <c r="W1211" s="36">
        <v>20.653188199999999</v>
      </c>
      <c r="X1211" s="36">
        <v>26.936236399999999</v>
      </c>
      <c r="Y1211" s="36">
        <v>58.986730999999999</v>
      </c>
      <c r="Z1211" s="36">
        <v>20.0241255</v>
      </c>
      <c r="AA1211" s="36">
        <v>20.989143500000001</v>
      </c>
    </row>
    <row r="1212" spans="1:39" hidden="1" x14ac:dyDescent="0.3">
      <c r="A1212" s="37">
        <v>1208</v>
      </c>
      <c r="B1212" s="38" t="s">
        <v>1</v>
      </c>
      <c r="C1212" s="38" t="s">
        <v>349</v>
      </c>
      <c r="D1212" s="38" t="s">
        <v>532</v>
      </c>
      <c r="E1212" s="38"/>
      <c r="F1212" s="39" t="s">
        <v>519</v>
      </c>
      <c r="G1212" s="40">
        <v>1009</v>
      </c>
      <c r="H1212" s="40">
        <v>462</v>
      </c>
      <c r="I1212" s="40">
        <v>268</v>
      </c>
      <c r="J1212" s="40">
        <v>279</v>
      </c>
      <c r="K1212" s="40">
        <v>1501</v>
      </c>
      <c r="L1212" s="40">
        <v>894</v>
      </c>
      <c r="M1212" s="40">
        <v>322</v>
      </c>
      <c r="N1212" s="40">
        <v>285</v>
      </c>
      <c r="O1212" s="40">
        <v>2079</v>
      </c>
      <c r="P1212" s="40">
        <v>1295</v>
      </c>
      <c r="Q1212" s="40">
        <v>398</v>
      </c>
      <c r="R1212" s="40">
        <v>386</v>
      </c>
      <c r="S1212" s="41">
        <v>45.787908799999997</v>
      </c>
      <c r="T1212" s="41">
        <v>26.5609514</v>
      </c>
      <c r="U1212" s="41">
        <v>27.651139700000002</v>
      </c>
      <c r="V1212" s="41">
        <v>59.560293100000003</v>
      </c>
      <c r="W1212" s="41">
        <v>21.452365100000002</v>
      </c>
      <c r="X1212" s="41">
        <v>18.987341799999999</v>
      </c>
      <c r="Y1212" s="41">
        <v>62.2895623</v>
      </c>
      <c r="Z1212" s="41">
        <v>19.143819100000002</v>
      </c>
      <c r="AA1212" s="41">
        <v>18.566618600000002</v>
      </c>
    </row>
    <row r="1213" spans="1:39" hidden="1" x14ac:dyDescent="0.3">
      <c r="A1213" s="37">
        <v>1209</v>
      </c>
      <c r="B1213" s="38" t="s">
        <v>1</v>
      </c>
      <c r="C1213" s="38" t="s">
        <v>349</v>
      </c>
      <c r="D1213" s="38" t="s">
        <v>532</v>
      </c>
      <c r="E1213" s="38"/>
      <c r="F1213" s="39" t="s">
        <v>520</v>
      </c>
      <c r="G1213" s="40">
        <v>1325</v>
      </c>
      <c r="H1213" s="40">
        <v>370</v>
      </c>
      <c r="I1213" s="40">
        <v>304</v>
      </c>
      <c r="J1213" s="40">
        <v>651</v>
      </c>
      <c r="K1213" s="40">
        <v>1714</v>
      </c>
      <c r="L1213" s="40">
        <v>791</v>
      </c>
      <c r="M1213" s="40">
        <v>342</v>
      </c>
      <c r="N1213" s="40">
        <v>581</v>
      </c>
      <c r="O1213" s="40">
        <v>2066</v>
      </c>
      <c r="P1213" s="40">
        <v>1150</v>
      </c>
      <c r="Q1213" s="40">
        <v>432</v>
      </c>
      <c r="R1213" s="40">
        <v>484</v>
      </c>
      <c r="S1213" s="41">
        <v>27.924528299999999</v>
      </c>
      <c r="T1213" s="41">
        <v>22.943396199999999</v>
      </c>
      <c r="U1213" s="41">
        <v>49.132075499999999</v>
      </c>
      <c r="V1213" s="41">
        <v>46.149358200000002</v>
      </c>
      <c r="W1213" s="41">
        <v>19.953325599999999</v>
      </c>
      <c r="X1213" s="41">
        <v>33.897316199999999</v>
      </c>
      <c r="Y1213" s="41">
        <v>55.663117100000001</v>
      </c>
      <c r="Z1213" s="41">
        <v>20.909970999999999</v>
      </c>
      <c r="AA1213" s="41">
        <v>23.4269119</v>
      </c>
    </row>
    <row r="1214" spans="1:39" hidden="1" x14ac:dyDescent="0.3">
      <c r="A1214" s="42">
        <v>1210</v>
      </c>
      <c r="B1214" s="43" t="s">
        <v>521</v>
      </c>
      <c r="C1214" s="50" t="s">
        <v>349</v>
      </c>
      <c r="D1214" s="50" t="s">
        <v>532</v>
      </c>
      <c r="E1214" s="50" t="s">
        <v>406</v>
      </c>
      <c r="F1214" s="51" t="s">
        <v>406</v>
      </c>
      <c r="G1214" s="45">
        <v>2334</v>
      </c>
      <c r="H1214" s="45">
        <v>832</v>
      </c>
      <c r="I1214" s="45">
        <v>572</v>
      </c>
      <c r="J1214" s="45">
        <v>930</v>
      </c>
      <c r="K1214" s="45">
        <v>3215</v>
      </c>
      <c r="L1214" s="45">
        <v>1685</v>
      </c>
      <c r="M1214" s="45">
        <v>664</v>
      </c>
      <c r="N1214" s="45">
        <v>866</v>
      </c>
      <c r="O1214" s="45">
        <v>4145</v>
      </c>
      <c r="P1214" s="45">
        <v>2445</v>
      </c>
      <c r="Q1214" s="45">
        <v>830</v>
      </c>
      <c r="R1214" s="45">
        <v>870</v>
      </c>
      <c r="S1214" s="46">
        <v>35.646957999999998</v>
      </c>
      <c r="T1214" s="46">
        <v>24.507283600000001</v>
      </c>
      <c r="U1214" s="46">
        <v>39.845758400000001</v>
      </c>
      <c r="V1214" s="46">
        <v>52.410575399999999</v>
      </c>
      <c r="W1214" s="46">
        <v>20.653188199999999</v>
      </c>
      <c r="X1214" s="46">
        <v>26.936236399999999</v>
      </c>
      <c r="Y1214" s="46">
        <v>58.986730999999999</v>
      </c>
      <c r="Z1214" s="46">
        <v>20.0241255</v>
      </c>
      <c r="AA1214" s="46">
        <v>20.989143500000001</v>
      </c>
      <c r="AB1214" s="26">
        <f>SUM(W1214:X1214)</f>
        <v>47.589424600000001</v>
      </c>
      <c r="AC1214" s="26">
        <f>SUM(Z1214:AA1214)</f>
        <v>41.013269000000001</v>
      </c>
      <c r="AD1214" s="57">
        <f>M1214+N1214</f>
        <v>1530</v>
      </c>
      <c r="AE1214" s="57">
        <f>Q1214+R1214</f>
        <v>1700</v>
      </c>
      <c r="AF1214" s="26">
        <f>W1214</f>
        <v>20.653188199999999</v>
      </c>
      <c r="AG1214" s="26">
        <f>Z1214</f>
        <v>20.0241255</v>
      </c>
      <c r="AH1214" s="26">
        <f>M1214</f>
        <v>664</v>
      </c>
      <c r="AI1214" s="26">
        <f>Q1214</f>
        <v>830</v>
      </c>
      <c r="AJ1214" s="26">
        <f>X1214</f>
        <v>26.936236399999999</v>
      </c>
      <c r="AK1214" s="26">
        <f>AA1214</f>
        <v>20.989143500000001</v>
      </c>
      <c r="AL1214" s="57">
        <f>N1214</f>
        <v>866</v>
      </c>
      <c r="AM1214" s="57">
        <f>R1214</f>
        <v>870</v>
      </c>
    </row>
    <row r="1215" spans="1:39" hidden="1" x14ac:dyDescent="0.3">
      <c r="A1215" s="37">
        <v>1211</v>
      </c>
      <c r="B1215" s="38" t="s">
        <v>521</v>
      </c>
      <c r="C1215" s="38" t="s">
        <v>349</v>
      </c>
      <c r="D1215" s="38" t="s">
        <v>532</v>
      </c>
      <c r="E1215" s="38" t="s">
        <v>406</v>
      </c>
      <c r="F1215" s="47" t="s">
        <v>519</v>
      </c>
      <c r="G1215" s="40">
        <v>1009</v>
      </c>
      <c r="H1215" s="40">
        <v>462</v>
      </c>
      <c r="I1215" s="40">
        <v>268</v>
      </c>
      <c r="J1215" s="40">
        <v>279</v>
      </c>
      <c r="K1215" s="40">
        <v>1501</v>
      </c>
      <c r="L1215" s="40">
        <v>894</v>
      </c>
      <c r="M1215" s="40">
        <v>322</v>
      </c>
      <c r="N1215" s="40">
        <v>285</v>
      </c>
      <c r="O1215" s="40">
        <v>2079</v>
      </c>
      <c r="P1215" s="40">
        <v>1295</v>
      </c>
      <c r="Q1215" s="40">
        <v>398</v>
      </c>
      <c r="R1215" s="40">
        <v>386</v>
      </c>
      <c r="S1215" s="41">
        <v>45.787908799999997</v>
      </c>
      <c r="T1215" s="41">
        <v>26.5609514</v>
      </c>
      <c r="U1215" s="41">
        <v>27.651139700000002</v>
      </c>
      <c r="V1215" s="41">
        <v>59.560293100000003</v>
      </c>
      <c r="W1215" s="41">
        <v>21.452365100000002</v>
      </c>
      <c r="X1215" s="41">
        <v>18.987341799999999</v>
      </c>
      <c r="Y1215" s="41">
        <v>62.2895623</v>
      </c>
      <c r="Z1215" s="41">
        <v>19.143819100000002</v>
      </c>
      <c r="AA1215" s="41">
        <v>18.566618600000002</v>
      </c>
    </row>
    <row r="1216" spans="1:39" hidden="1" x14ac:dyDescent="0.3">
      <c r="A1216" s="37">
        <v>1212</v>
      </c>
      <c r="B1216" s="38" t="s">
        <v>521</v>
      </c>
      <c r="C1216" s="38" t="s">
        <v>349</v>
      </c>
      <c r="D1216" s="38" t="s">
        <v>532</v>
      </c>
      <c r="E1216" s="38" t="s">
        <v>406</v>
      </c>
      <c r="F1216" s="47" t="s">
        <v>520</v>
      </c>
      <c r="G1216" s="40">
        <v>1325</v>
      </c>
      <c r="H1216" s="40">
        <v>370</v>
      </c>
      <c r="I1216" s="40">
        <v>304</v>
      </c>
      <c r="J1216" s="40">
        <v>651</v>
      </c>
      <c r="K1216" s="40">
        <v>1714</v>
      </c>
      <c r="L1216" s="40">
        <v>791</v>
      </c>
      <c r="M1216" s="40">
        <v>342</v>
      </c>
      <c r="N1216" s="40">
        <v>581</v>
      </c>
      <c r="O1216" s="40">
        <v>2066</v>
      </c>
      <c r="P1216" s="40">
        <v>1150</v>
      </c>
      <c r="Q1216" s="40">
        <v>432</v>
      </c>
      <c r="R1216" s="40">
        <v>484</v>
      </c>
      <c r="S1216" s="41">
        <v>27.924528299999999</v>
      </c>
      <c r="T1216" s="41">
        <v>22.943396199999999</v>
      </c>
      <c r="U1216" s="41">
        <v>49.132075499999999</v>
      </c>
      <c r="V1216" s="41">
        <v>46.149358200000002</v>
      </c>
      <c r="W1216" s="41">
        <v>19.953325599999999</v>
      </c>
      <c r="X1216" s="41">
        <v>33.897316199999999</v>
      </c>
      <c r="Y1216" s="41">
        <v>55.663117100000001</v>
      </c>
      <c r="Z1216" s="41">
        <v>20.909970999999999</v>
      </c>
      <c r="AA1216" s="41">
        <v>23.4269119</v>
      </c>
    </row>
    <row r="1217" spans="1:39" hidden="1" x14ac:dyDescent="0.3">
      <c r="A1217" s="32">
        <v>1213</v>
      </c>
      <c r="B1217" s="33" t="s">
        <v>1</v>
      </c>
      <c r="C1217" s="49" t="s">
        <v>349</v>
      </c>
      <c r="D1217" s="49" t="s">
        <v>407</v>
      </c>
      <c r="E1217" s="49"/>
      <c r="F1217" s="34" t="s">
        <v>407</v>
      </c>
      <c r="G1217" s="35">
        <v>4782</v>
      </c>
      <c r="H1217" s="35">
        <v>2020</v>
      </c>
      <c r="I1217" s="35">
        <v>892</v>
      </c>
      <c r="J1217" s="35">
        <v>1870</v>
      </c>
      <c r="K1217" s="35">
        <v>6422</v>
      </c>
      <c r="L1217" s="35">
        <v>3353</v>
      </c>
      <c r="M1217" s="35">
        <v>1152</v>
      </c>
      <c r="N1217" s="35">
        <v>1917</v>
      </c>
      <c r="O1217" s="35">
        <v>7743</v>
      </c>
      <c r="P1217" s="35">
        <v>5170</v>
      </c>
      <c r="Q1217" s="35">
        <v>1148</v>
      </c>
      <c r="R1217" s="35">
        <v>1425</v>
      </c>
      <c r="S1217" s="36">
        <v>42.241739899999999</v>
      </c>
      <c r="T1217" s="36">
        <v>18.653283099999999</v>
      </c>
      <c r="U1217" s="36">
        <v>39.104976999999998</v>
      </c>
      <c r="V1217" s="36">
        <v>52.211149200000001</v>
      </c>
      <c r="W1217" s="36">
        <v>17.938337000000001</v>
      </c>
      <c r="X1217" s="36">
        <v>29.850513899999999</v>
      </c>
      <c r="Y1217" s="36">
        <v>66.769985800000001</v>
      </c>
      <c r="Z1217" s="36">
        <v>14.8262947</v>
      </c>
      <c r="AA1217" s="36">
        <v>18.403719500000001</v>
      </c>
    </row>
    <row r="1218" spans="1:39" hidden="1" x14ac:dyDescent="0.3">
      <c r="A1218" s="37">
        <v>1214</v>
      </c>
      <c r="B1218" s="38" t="s">
        <v>1</v>
      </c>
      <c r="C1218" s="38" t="s">
        <v>349</v>
      </c>
      <c r="D1218" s="38" t="s">
        <v>407</v>
      </c>
      <c r="E1218" s="38"/>
      <c r="F1218" s="39" t="s">
        <v>519</v>
      </c>
      <c r="G1218" s="40">
        <v>1541</v>
      </c>
      <c r="H1218" s="40">
        <v>714</v>
      </c>
      <c r="I1218" s="40">
        <v>298</v>
      </c>
      <c r="J1218" s="40">
        <v>529</v>
      </c>
      <c r="K1218" s="40">
        <v>2423</v>
      </c>
      <c r="L1218" s="40">
        <v>1272</v>
      </c>
      <c r="M1218" s="40">
        <v>441</v>
      </c>
      <c r="N1218" s="40">
        <v>710</v>
      </c>
      <c r="O1218" s="40">
        <v>3217</v>
      </c>
      <c r="P1218" s="40">
        <v>2266</v>
      </c>
      <c r="Q1218" s="40">
        <v>469</v>
      </c>
      <c r="R1218" s="40">
        <v>482</v>
      </c>
      <c r="S1218" s="41">
        <v>46.333549599999998</v>
      </c>
      <c r="T1218" s="41">
        <v>19.338092100000001</v>
      </c>
      <c r="U1218" s="41">
        <v>34.328358199999997</v>
      </c>
      <c r="V1218" s="41">
        <v>52.496904700000002</v>
      </c>
      <c r="W1218" s="41">
        <v>18.200577800000001</v>
      </c>
      <c r="X1218" s="41">
        <v>29.3025175</v>
      </c>
      <c r="Y1218" s="41">
        <v>70.438296500000007</v>
      </c>
      <c r="Z1218" s="41">
        <v>14.5788001</v>
      </c>
      <c r="AA1218" s="41">
        <v>14.9829033</v>
      </c>
    </row>
    <row r="1219" spans="1:39" hidden="1" x14ac:dyDescent="0.3">
      <c r="A1219" s="37">
        <v>1215</v>
      </c>
      <c r="B1219" s="38" t="s">
        <v>1</v>
      </c>
      <c r="C1219" s="38" t="s">
        <v>349</v>
      </c>
      <c r="D1219" s="38" t="s">
        <v>407</v>
      </c>
      <c r="E1219" s="38"/>
      <c r="F1219" s="39" t="s">
        <v>520</v>
      </c>
      <c r="G1219" s="40">
        <v>3241</v>
      </c>
      <c r="H1219" s="40">
        <v>1306</v>
      </c>
      <c r="I1219" s="40">
        <v>594</v>
      </c>
      <c r="J1219" s="40">
        <v>1341</v>
      </c>
      <c r="K1219" s="40">
        <v>3999</v>
      </c>
      <c r="L1219" s="40">
        <v>2081</v>
      </c>
      <c r="M1219" s="40">
        <v>711</v>
      </c>
      <c r="N1219" s="40">
        <v>1207</v>
      </c>
      <c r="O1219" s="40">
        <v>4526</v>
      </c>
      <c r="P1219" s="40">
        <v>2904</v>
      </c>
      <c r="Q1219" s="40">
        <v>679</v>
      </c>
      <c r="R1219" s="40">
        <v>943</v>
      </c>
      <c r="S1219" s="41">
        <v>40.296204899999999</v>
      </c>
      <c r="T1219" s="41">
        <v>18.3276766</v>
      </c>
      <c r="U1219" s="41">
        <v>41.376118499999997</v>
      </c>
      <c r="V1219" s="41">
        <v>52.038009500000001</v>
      </c>
      <c r="W1219" s="41">
        <v>17.779444900000001</v>
      </c>
      <c r="X1219" s="41">
        <v>30.182545600000001</v>
      </c>
      <c r="Y1219" s="41">
        <v>64.162616</v>
      </c>
      <c r="Z1219" s="41">
        <v>15.002209499999999</v>
      </c>
      <c r="AA1219" s="41">
        <v>20.835174500000001</v>
      </c>
    </row>
    <row r="1220" spans="1:39" hidden="1" x14ac:dyDescent="0.3">
      <c r="A1220" s="42">
        <v>1216</v>
      </c>
      <c r="B1220" s="43" t="s">
        <v>521</v>
      </c>
      <c r="C1220" s="50" t="s">
        <v>349</v>
      </c>
      <c r="D1220" s="50" t="s">
        <v>407</v>
      </c>
      <c r="E1220" s="50" t="s">
        <v>408</v>
      </c>
      <c r="F1220" s="51" t="s">
        <v>408</v>
      </c>
      <c r="G1220" s="45">
        <v>3577</v>
      </c>
      <c r="H1220" s="45">
        <v>1559</v>
      </c>
      <c r="I1220" s="45">
        <v>674</v>
      </c>
      <c r="J1220" s="45">
        <v>1344</v>
      </c>
      <c r="K1220" s="45">
        <v>4639</v>
      </c>
      <c r="L1220" s="45">
        <v>2553</v>
      </c>
      <c r="M1220" s="45">
        <v>819</v>
      </c>
      <c r="N1220" s="45">
        <v>1267</v>
      </c>
      <c r="O1220" s="45">
        <v>5754</v>
      </c>
      <c r="P1220" s="45">
        <v>3850</v>
      </c>
      <c r="Q1220" s="45">
        <v>840</v>
      </c>
      <c r="R1220" s="45">
        <v>1064</v>
      </c>
      <c r="S1220" s="46">
        <v>43.584008900000001</v>
      </c>
      <c r="T1220" s="46">
        <v>18.842605500000001</v>
      </c>
      <c r="U1220" s="46">
        <v>37.573385500000001</v>
      </c>
      <c r="V1220" s="46">
        <v>55.033412400000003</v>
      </c>
      <c r="W1220" s="46">
        <v>17.654667</v>
      </c>
      <c r="X1220" s="46">
        <v>27.311920700000002</v>
      </c>
      <c r="Y1220" s="46">
        <v>66.909975700000004</v>
      </c>
      <c r="Z1220" s="46">
        <v>14.598540099999999</v>
      </c>
      <c r="AA1220" s="46">
        <v>18.491484199999999</v>
      </c>
      <c r="AB1220" s="26">
        <f>SUM(W1220:X1220)</f>
        <v>44.966587700000005</v>
      </c>
      <c r="AC1220" s="26">
        <f>SUM(Z1220:AA1220)</f>
        <v>33.090024299999996</v>
      </c>
      <c r="AD1220" s="57">
        <f>M1220+N1220</f>
        <v>2086</v>
      </c>
      <c r="AE1220" s="57">
        <f>Q1220+R1220</f>
        <v>1904</v>
      </c>
      <c r="AF1220" s="26">
        <f>W1220</f>
        <v>17.654667</v>
      </c>
      <c r="AG1220" s="26">
        <f>Z1220</f>
        <v>14.598540099999999</v>
      </c>
      <c r="AH1220" s="26">
        <f>M1220</f>
        <v>819</v>
      </c>
      <c r="AI1220" s="26">
        <f>Q1220</f>
        <v>840</v>
      </c>
      <c r="AJ1220" s="26">
        <f>X1220</f>
        <v>27.311920700000002</v>
      </c>
      <c r="AK1220" s="26">
        <f>AA1220</f>
        <v>18.491484199999999</v>
      </c>
      <c r="AL1220" s="57">
        <f>N1220</f>
        <v>1267</v>
      </c>
      <c r="AM1220" s="57">
        <f>R1220</f>
        <v>1064</v>
      </c>
    </row>
    <row r="1221" spans="1:39" hidden="1" x14ac:dyDescent="0.3">
      <c r="A1221" s="37">
        <v>1217</v>
      </c>
      <c r="B1221" s="38" t="s">
        <v>521</v>
      </c>
      <c r="C1221" s="38" t="s">
        <v>349</v>
      </c>
      <c r="D1221" s="38" t="s">
        <v>407</v>
      </c>
      <c r="E1221" s="38" t="s">
        <v>408</v>
      </c>
      <c r="F1221" s="47" t="s">
        <v>519</v>
      </c>
      <c r="G1221" s="40">
        <v>982</v>
      </c>
      <c r="H1221" s="40">
        <v>491</v>
      </c>
      <c r="I1221" s="40">
        <v>193</v>
      </c>
      <c r="J1221" s="40">
        <v>298</v>
      </c>
      <c r="K1221" s="40">
        <v>1507</v>
      </c>
      <c r="L1221" s="40">
        <v>893</v>
      </c>
      <c r="M1221" s="40">
        <v>267</v>
      </c>
      <c r="N1221" s="40">
        <v>347</v>
      </c>
      <c r="O1221" s="40">
        <v>2031</v>
      </c>
      <c r="P1221" s="40">
        <v>1441</v>
      </c>
      <c r="Q1221" s="40">
        <v>291</v>
      </c>
      <c r="R1221" s="40">
        <v>299</v>
      </c>
      <c r="S1221" s="41">
        <v>50</v>
      </c>
      <c r="T1221" s="41">
        <v>19.653767800000001</v>
      </c>
      <c r="U1221" s="41">
        <v>30.346232199999999</v>
      </c>
      <c r="V1221" s="41">
        <v>59.256801600000003</v>
      </c>
      <c r="W1221" s="41">
        <v>17.717319199999999</v>
      </c>
      <c r="X1221" s="41">
        <v>23.025879199999999</v>
      </c>
      <c r="Y1221" s="41">
        <v>70.950270799999998</v>
      </c>
      <c r="Z1221" s="41">
        <v>14.327917299999999</v>
      </c>
      <c r="AA1221" s="41">
        <v>14.721811900000001</v>
      </c>
    </row>
    <row r="1222" spans="1:39" hidden="1" x14ac:dyDescent="0.3">
      <c r="A1222" s="37">
        <v>1218</v>
      </c>
      <c r="B1222" s="38" t="s">
        <v>521</v>
      </c>
      <c r="C1222" s="38" t="s">
        <v>349</v>
      </c>
      <c r="D1222" s="38" t="s">
        <v>407</v>
      </c>
      <c r="E1222" s="38" t="s">
        <v>408</v>
      </c>
      <c r="F1222" s="47" t="s">
        <v>520</v>
      </c>
      <c r="G1222" s="40">
        <v>2595</v>
      </c>
      <c r="H1222" s="40">
        <v>1068</v>
      </c>
      <c r="I1222" s="40">
        <v>481</v>
      </c>
      <c r="J1222" s="40">
        <v>1046</v>
      </c>
      <c r="K1222" s="40">
        <v>3132</v>
      </c>
      <c r="L1222" s="40">
        <v>1660</v>
      </c>
      <c r="M1222" s="40">
        <v>552</v>
      </c>
      <c r="N1222" s="40">
        <v>920</v>
      </c>
      <c r="O1222" s="40">
        <v>3723</v>
      </c>
      <c r="P1222" s="40">
        <v>2409</v>
      </c>
      <c r="Q1222" s="40">
        <v>549</v>
      </c>
      <c r="R1222" s="40">
        <v>765</v>
      </c>
      <c r="S1222" s="41">
        <v>41.1560694</v>
      </c>
      <c r="T1222" s="41">
        <v>18.535645500000001</v>
      </c>
      <c r="U1222" s="41">
        <v>40.3082852</v>
      </c>
      <c r="V1222" s="41">
        <v>53.001277100000003</v>
      </c>
      <c r="W1222" s="41">
        <v>17.624521099999999</v>
      </c>
      <c r="X1222" s="41">
        <v>29.374201800000002</v>
      </c>
      <c r="Y1222" s="41">
        <v>64.705882399999993</v>
      </c>
      <c r="Z1222" s="41">
        <v>14.746172400000001</v>
      </c>
      <c r="AA1222" s="41">
        <v>20.547945200000001</v>
      </c>
    </row>
    <row r="1223" spans="1:39" hidden="1" x14ac:dyDescent="0.3">
      <c r="A1223" s="42">
        <v>1219</v>
      </c>
      <c r="B1223" s="43" t="s">
        <v>521</v>
      </c>
      <c r="C1223" s="50" t="s">
        <v>349</v>
      </c>
      <c r="D1223" s="50" t="s">
        <v>407</v>
      </c>
      <c r="E1223" s="50" t="s">
        <v>409</v>
      </c>
      <c r="F1223" s="51" t="s">
        <v>409</v>
      </c>
      <c r="G1223" s="45">
        <v>1205</v>
      </c>
      <c r="H1223" s="45">
        <v>461</v>
      </c>
      <c r="I1223" s="45">
        <v>218</v>
      </c>
      <c r="J1223" s="45">
        <v>526</v>
      </c>
      <c r="K1223" s="45">
        <v>1783</v>
      </c>
      <c r="L1223" s="45">
        <v>800</v>
      </c>
      <c r="M1223" s="45">
        <v>333</v>
      </c>
      <c r="N1223" s="45">
        <v>650</v>
      </c>
      <c r="O1223" s="45">
        <v>1989</v>
      </c>
      <c r="P1223" s="45">
        <v>1320</v>
      </c>
      <c r="Q1223" s="45">
        <v>308</v>
      </c>
      <c r="R1223" s="45">
        <v>361</v>
      </c>
      <c r="S1223" s="46">
        <v>38.257261399999997</v>
      </c>
      <c r="T1223" s="46">
        <v>18.0912863</v>
      </c>
      <c r="U1223" s="46">
        <v>43.651452300000003</v>
      </c>
      <c r="V1223" s="46">
        <v>44.868199699999998</v>
      </c>
      <c r="W1223" s="46">
        <v>18.6763881</v>
      </c>
      <c r="X1223" s="46">
        <v>36.455412199999998</v>
      </c>
      <c r="Y1223" s="46">
        <v>66.365007500000004</v>
      </c>
      <c r="Z1223" s="46">
        <v>15.485168399999999</v>
      </c>
      <c r="AA1223" s="46">
        <v>18.149823999999999</v>
      </c>
      <c r="AB1223" s="26">
        <f>SUM(W1223:X1223)</f>
        <v>55.131800299999995</v>
      </c>
      <c r="AC1223" s="26">
        <f>SUM(Z1223:AA1223)</f>
        <v>33.634992400000002</v>
      </c>
      <c r="AD1223" s="57">
        <f>M1223+N1223</f>
        <v>983</v>
      </c>
      <c r="AE1223" s="57">
        <f>Q1223+R1223</f>
        <v>669</v>
      </c>
      <c r="AF1223" s="26">
        <f>W1223</f>
        <v>18.6763881</v>
      </c>
      <c r="AG1223" s="26">
        <f>Z1223</f>
        <v>15.485168399999999</v>
      </c>
      <c r="AH1223" s="26">
        <f>M1223</f>
        <v>333</v>
      </c>
      <c r="AI1223" s="26">
        <f>Q1223</f>
        <v>308</v>
      </c>
      <c r="AJ1223" s="26">
        <f>X1223</f>
        <v>36.455412199999998</v>
      </c>
      <c r="AK1223" s="26">
        <f>AA1223</f>
        <v>18.149823999999999</v>
      </c>
      <c r="AL1223" s="57">
        <f>N1223</f>
        <v>650</v>
      </c>
      <c r="AM1223" s="57">
        <f>R1223</f>
        <v>361</v>
      </c>
    </row>
    <row r="1224" spans="1:39" hidden="1" x14ac:dyDescent="0.3">
      <c r="A1224" s="37">
        <v>1220</v>
      </c>
      <c r="B1224" s="38" t="s">
        <v>521</v>
      </c>
      <c r="C1224" s="38" t="s">
        <v>349</v>
      </c>
      <c r="D1224" s="38" t="s">
        <v>407</v>
      </c>
      <c r="E1224" s="38" t="s">
        <v>409</v>
      </c>
      <c r="F1224" s="47" t="s">
        <v>519</v>
      </c>
      <c r="G1224" s="40">
        <v>559</v>
      </c>
      <c r="H1224" s="40">
        <v>223</v>
      </c>
      <c r="I1224" s="40">
        <v>105</v>
      </c>
      <c r="J1224" s="40">
        <v>231</v>
      </c>
      <c r="K1224" s="40">
        <v>916</v>
      </c>
      <c r="L1224" s="40">
        <v>379</v>
      </c>
      <c r="M1224" s="40">
        <v>174</v>
      </c>
      <c r="N1224" s="40">
        <v>363</v>
      </c>
      <c r="O1224" s="40">
        <v>1186</v>
      </c>
      <c r="P1224" s="40">
        <v>825</v>
      </c>
      <c r="Q1224" s="40">
        <v>178</v>
      </c>
      <c r="R1224" s="40">
        <v>183</v>
      </c>
      <c r="S1224" s="41">
        <v>39.8926655</v>
      </c>
      <c r="T1224" s="41">
        <v>18.783542000000001</v>
      </c>
      <c r="U1224" s="41">
        <v>41.323792500000003</v>
      </c>
      <c r="V1224" s="41">
        <v>41.375545899999999</v>
      </c>
      <c r="W1224" s="41">
        <v>18.9956332</v>
      </c>
      <c r="X1224" s="41">
        <v>39.628821000000002</v>
      </c>
      <c r="Y1224" s="41">
        <v>69.561551399999999</v>
      </c>
      <c r="Z1224" s="41">
        <v>15.008431699999999</v>
      </c>
      <c r="AA1224" s="41">
        <v>15.4300169</v>
      </c>
    </row>
    <row r="1225" spans="1:39" hidden="1" x14ac:dyDescent="0.3">
      <c r="A1225" s="37">
        <v>1221</v>
      </c>
      <c r="B1225" s="38" t="s">
        <v>521</v>
      </c>
      <c r="C1225" s="38" t="s">
        <v>349</v>
      </c>
      <c r="D1225" s="38" t="s">
        <v>407</v>
      </c>
      <c r="E1225" s="38" t="s">
        <v>409</v>
      </c>
      <c r="F1225" s="47" t="s">
        <v>520</v>
      </c>
      <c r="G1225" s="40">
        <v>646</v>
      </c>
      <c r="H1225" s="40">
        <v>238</v>
      </c>
      <c r="I1225" s="40">
        <v>113</v>
      </c>
      <c r="J1225" s="40">
        <v>295</v>
      </c>
      <c r="K1225" s="40">
        <v>867</v>
      </c>
      <c r="L1225" s="40">
        <v>421</v>
      </c>
      <c r="M1225" s="40">
        <v>159</v>
      </c>
      <c r="N1225" s="40">
        <v>287</v>
      </c>
      <c r="O1225" s="40">
        <v>803</v>
      </c>
      <c r="P1225" s="40">
        <v>495</v>
      </c>
      <c r="Q1225" s="40">
        <v>130</v>
      </c>
      <c r="R1225" s="40">
        <v>178</v>
      </c>
      <c r="S1225" s="41">
        <v>36.8421053</v>
      </c>
      <c r="T1225" s="41">
        <v>17.492260099999999</v>
      </c>
      <c r="U1225" s="41">
        <v>45.665634699999998</v>
      </c>
      <c r="V1225" s="41">
        <v>48.558246799999999</v>
      </c>
      <c r="W1225" s="41">
        <v>18.339100299999998</v>
      </c>
      <c r="X1225" s="41">
        <v>33.102652800000001</v>
      </c>
      <c r="Y1225" s="41">
        <v>61.643835600000003</v>
      </c>
      <c r="Z1225" s="41">
        <v>16.189290199999999</v>
      </c>
      <c r="AA1225" s="41">
        <v>22.166874199999999</v>
      </c>
    </row>
    <row r="1226" spans="1:39" hidden="1" x14ac:dyDescent="0.3">
      <c r="A1226" s="32">
        <v>1222</v>
      </c>
      <c r="B1226" s="33" t="s">
        <v>1</v>
      </c>
      <c r="C1226" s="49" t="s">
        <v>349</v>
      </c>
      <c r="D1226" s="49" t="s">
        <v>410</v>
      </c>
      <c r="E1226" s="49"/>
      <c r="F1226" s="34" t="s">
        <v>410</v>
      </c>
      <c r="G1226" s="35">
        <v>6562</v>
      </c>
      <c r="H1226" s="35">
        <v>2650</v>
      </c>
      <c r="I1226" s="35">
        <v>1591</v>
      </c>
      <c r="J1226" s="35">
        <v>2321</v>
      </c>
      <c r="K1226" s="35">
        <v>9927</v>
      </c>
      <c r="L1226" s="35">
        <v>5396</v>
      </c>
      <c r="M1226" s="35">
        <v>1975</v>
      </c>
      <c r="N1226" s="35">
        <v>2556</v>
      </c>
      <c r="O1226" s="35">
        <v>12246</v>
      </c>
      <c r="P1226" s="35">
        <v>7780</v>
      </c>
      <c r="Q1226" s="35">
        <v>2112</v>
      </c>
      <c r="R1226" s="35">
        <v>2354</v>
      </c>
      <c r="S1226" s="36">
        <v>40.384029300000002</v>
      </c>
      <c r="T1226" s="36">
        <v>24.245656799999999</v>
      </c>
      <c r="U1226" s="36">
        <v>35.370313899999999</v>
      </c>
      <c r="V1226" s="36">
        <v>54.356804699999998</v>
      </c>
      <c r="W1226" s="36">
        <v>19.895235199999998</v>
      </c>
      <c r="X1226" s="36">
        <v>25.7479601</v>
      </c>
      <c r="Y1226" s="36">
        <v>63.530948899999999</v>
      </c>
      <c r="Z1226" s="36">
        <v>17.246447799999999</v>
      </c>
      <c r="AA1226" s="36">
        <v>19.222603299999999</v>
      </c>
    </row>
    <row r="1227" spans="1:39" hidden="1" x14ac:dyDescent="0.3">
      <c r="A1227" s="37">
        <v>1223</v>
      </c>
      <c r="B1227" s="38" t="s">
        <v>1</v>
      </c>
      <c r="C1227" s="38" t="s">
        <v>349</v>
      </c>
      <c r="D1227" s="38" t="s">
        <v>410</v>
      </c>
      <c r="E1227" s="38"/>
      <c r="F1227" s="39" t="s">
        <v>519</v>
      </c>
      <c r="G1227" s="40">
        <v>5375</v>
      </c>
      <c r="H1227" s="40">
        <v>2216</v>
      </c>
      <c r="I1227" s="40">
        <v>1334</v>
      </c>
      <c r="J1227" s="40">
        <v>1825</v>
      </c>
      <c r="K1227" s="40">
        <v>8064</v>
      </c>
      <c r="L1227" s="40">
        <v>4339</v>
      </c>
      <c r="M1227" s="40">
        <v>1678</v>
      </c>
      <c r="N1227" s="40">
        <v>2047</v>
      </c>
      <c r="O1227" s="40">
        <v>9184</v>
      </c>
      <c r="P1227" s="40">
        <v>5930</v>
      </c>
      <c r="Q1227" s="40">
        <v>1590</v>
      </c>
      <c r="R1227" s="40">
        <v>1664</v>
      </c>
      <c r="S1227" s="41">
        <v>41.227907000000002</v>
      </c>
      <c r="T1227" s="41">
        <v>24.818604700000002</v>
      </c>
      <c r="U1227" s="41">
        <v>33.953488399999998</v>
      </c>
      <c r="V1227" s="41">
        <v>53.807043700000001</v>
      </c>
      <c r="W1227" s="41">
        <v>20.8085317</v>
      </c>
      <c r="X1227" s="41">
        <v>25.384424599999999</v>
      </c>
      <c r="Y1227" s="41">
        <v>64.568815299999997</v>
      </c>
      <c r="Z1227" s="41">
        <v>17.312717800000001</v>
      </c>
      <c r="AA1227" s="41">
        <v>18.118466900000001</v>
      </c>
    </row>
    <row r="1228" spans="1:39" hidden="1" x14ac:dyDescent="0.3">
      <c r="A1228" s="37">
        <v>1224</v>
      </c>
      <c r="B1228" s="38" t="s">
        <v>1</v>
      </c>
      <c r="C1228" s="38" t="s">
        <v>349</v>
      </c>
      <c r="D1228" s="38" t="s">
        <v>410</v>
      </c>
      <c r="E1228" s="38"/>
      <c r="F1228" s="39" t="s">
        <v>520</v>
      </c>
      <c r="G1228" s="40">
        <v>1187</v>
      </c>
      <c r="H1228" s="40">
        <v>434</v>
      </c>
      <c r="I1228" s="40">
        <v>257</v>
      </c>
      <c r="J1228" s="40">
        <v>496</v>
      </c>
      <c r="K1228" s="40">
        <v>1863</v>
      </c>
      <c r="L1228" s="40">
        <v>1057</v>
      </c>
      <c r="M1228" s="40">
        <v>297</v>
      </c>
      <c r="N1228" s="40">
        <v>509</v>
      </c>
      <c r="O1228" s="40">
        <v>3062</v>
      </c>
      <c r="P1228" s="40">
        <v>1850</v>
      </c>
      <c r="Q1228" s="40">
        <v>522</v>
      </c>
      <c r="R1228" s="40">
        <v>690</v>
      </c>
      <c r="S1228" s="41">
        <v>36.5627633</v>
      </c>
      <c r="T1228" s="41">
        <v>21.6512216</v>
      </c>
      <c r="U1228" s="41">
        <v>41.786015200000001</v>
      </c>
      <c r="V1228" s="41">
        <v>56.736446600000001</v>
      </c>
      <c r="W1228" s="41">
        <v>15.942029</v>
      </c>
      <c r="X1228" s="41">
        <v>27.321524400000001</v>
      </c>
      <c r="Y1228" s="41">
        <v>60.4180274</v>
      </c>
      <c r="Z1228" s="41">
        <v>17.047681300000001</v>
      </c>
      <c r="AA1228" s="41">
        <v>22.5342913</v>
      </c>
    </row>
    <row r="1229" spans="1:39" hidden="1" x14ac:dyDescent="0.3">
      <c r="A1229" s="42">
        <v>1225</v>
      </c>
      <c r="B1229" s="43" t="s">
        <v>521</v>
      </c>
      <c r="C1229" s="50" t="s">
        <v>349</v>
      </c>
      <c r="D1229" s="50" t="s">
        <v>410</v>
      </c>
      <c r="E1229" s="50" t="s">
        <v>491</v>
      </c>
      <c r="F1229" s="51" t="s">
        <v>491</v>
      </c>
      <c r="G1229" s="45">
        <v>3006</v>
      </c>
      <c r="H1229" s="45">
        <v>1290</v>
      </c>
      <c r="I1229" s="45">
        <v>688</v>
      </c>
      <c r="J1229" s="45">
        <v>1028</v>
      </c>
      <c r="K1229" s="45">
        <v>4554</v>
      </c>
      <c r="L1229" s="45">
        <v>2536</v>
      </c>
      <c r="M1229" s="45">
        <v>891</v>
      </c>
      <c r="N1229" s="45">
        <v>1127</v>
      </c>
      <c r="O1229" s="45">
        <v>4859</v>
      </c>
      <c r="P1229" s="45">
        <v>3211</v>
      </c>
      <c r="Q1229" s="45">
        <v>776</v>
      </c>
      <c r="R1229" s="45">
        <v>872</v>
      </c>
      <c r="S1229" s="46">
        <v>42.914171699999997</v>
      </c>
      <c r="T1229" s="46">
        <v>22.887558200000001</v>
      </c>
      <c r="U1229" s="46">
        <v>34.198270100000002</v>
      </c>
      <c r="V1229" s="46">
        <v>55.6873079</v>
      </c>
      <c r="W1229" s="46">
        <v>19.565217400000002</v>
      </c>
      <c r="X1229" s="46">
        <v>24.747474700000001</v>
      </c>
      <c r="Y1229" s="46">
        <v>66.083556299999998</v>
      </c>
      <c r="Z1229" s="46">
        <v>15.9703643</v>
      </c>
      <c r="AA1229" s="46">
        <v>17.946079399999999</v>
      </c>
      <c r="AB1229" s="26">
        <f>SUM(W1229:X1229)</f>
        <v>44.312692100000007</v>
      </c>
      <c r="AC1229" s="26">
        <f>SUM(Z1229:AA1229)</f>
        <v>33.916443700000002</v>
      </c>
      <c r="AD1229" s="57">
        <f>M1229+N1229</f>
        <v>2018</v>
      </c>
      <c r="AE1229" s="57">
        <f>Q1229+R1229</f>
        <v>1648</v>
      </c>
      <c r="AF1229" s="26">
        <f>W1229</f>
        <v>19.565217400000002</v>
      </c>
      <c r="AG1229" s="26">
        <f>Z1229</f>
        <v>15.9703643</v>
      </c>
      <c r="AH1229" s="26">
        <f>M1229</f>
        <v>891</v>
      </c>
      <c r="AI1229" s="26">
        <f>Q1229</f>
        <v>776</v>
      </c>
      <c r="AJ1229" s="26">
        <f>X1229</f>
        <v>24.747474700000001</v>
      </c>
      <c r="AK1229" s="26">
        <f>AA1229</f>
        <v>17.946079399999999</v>
      </c>
      <c r="AL1229" s="57">
        <f>N1229</f>
        <v>1127</v>
      </c>
      <c r="AM1229" s="57">
        <f>R1229</f>
        <v>872</v>
      </c>
    </row>
    <row r="1230" spans="1:39" hidden="1" x14ac:dyDescent="0.3">
      <c r="A1230" s="37">
        <v>1226</v>
      </c>
      <c r="B1230" s="38" t="s">
        <v>521</v>
      </c>
      <c r="C1230" s="38" t="s">
        <v>349</v>
      </c>
      <c r="D1230" s="38" t="s">
        <v>410</v>
      </c>
      <c r="E1230" s="38" t="s">
        <v>491</v>
      </c>
      <c r="F1230" s="47" t="s">
        <v>519</v>
      </c>
      <c r="G1230" s="40">
        <v>2299</v>
      </c>
      <c r="H1230" s="40">
        <v>1031</v>
      </c>
      <c r="I1230" s="40">
        <v>540</v>
      </c>
      <c r="J1230" s="40">
        <v>728</v>
      </c>
      <c r="K1230" s="40">
        <v>3590</v>
      </c>
      <c r="L1230" s="40">
        <v>1960</v>
      </c>
      <c r="M1230" s="40">
        <v>713</v>
      </c>
      <c r="N1230" s="40">
        <v>917</v>
      </c>
      <c r="O1230" s="40">
        <v>3361</v>
      </c>
      <c r="P1230" s="40">
        <v>2297</v>
      </c>
      <c r="Q1230" s="40">
        <v>502</v>
      </c>
      <c r="R1230" s="40">
        <v>562</v>
      </c>
      <c r="S1230" s="41">
        <v>44.845585</v>
      </c>
      <c r="T1230" s="41">
        <v>23.488473200000001</v>
      </c>
      <c r="U1230" s="41">
        <v>31.665941700000001</v>
      </c>
      <c r="V1230" s="41">
        <v>54.596100300000003</v>
      </c>
      <c r="W1230" s="41">
        <v>19.8607242</v>
      </c>
      <c r="X1230" s="41">
        <v>25.5431755</v>
      </c>
      <c r="Y1230" s="41">
        <v>68.342755100000005</v>
      </c>
      <c r="Z1230" s="41">
        <v>14.9360309</v>
      </c>
      <c r="AA1230" s="41">
        <v>16.721213899999999</v>
      </c>
    </row>
    <row r="1231" spans="1:39" hidden="1" x14ac:dyDescent="0.3">
      <c r="A1231" s="37">
        <v>1227</v>
      </c>
      <c r="B1231" s="38" t="s">
        <v>521</v>
      </c>
      <c r="C1231" s="38" t="s">
        <v>349</v>
      </c>
      <c r="D1231" s="38" t="s">
        <v>410</v>
      </c>
      <c r="E1231" s="38" t="s">
        <v>491</v>
      </c>
      <c r="F1231" s="47" t="s">
        <v>520</v>
      </c>
      <c r="G1231" s="40">
        <v>707</v>
      </c>
      <c r="H1231" s="40">
        <v>259</v>
      </c>
      <c r="I1231" s="40">
        <v>148</v>
      </c>
      <c r="J1231" s="40">
        <v>300</v>
      </c>
      <c r="K1231" s="40">
        <v>964</v>
      </c>
      <c r="L1231" s="40">
        <v>576</v>
      </c>
      <c r="M1231" s="40">
        <v>178</v>
      </c>
      <c r="N1231" s="40">
        <v>210</v>
      </c>
      <c r="O1231" s="40">
        <v>1498</v>
      </c>
      <c r="P1231" s="40">
        <v>914</v>
      </c>
      <c r="Q1231" s="40">
        <v>274</v>
      </c>
      <c r="R1231" s="40">
        <v>310</v>
      </c>
      <c r="S1231" s="41">
        <v>36.633663400000003</v>
      </c>
      <c r="T1231" s="41">
        <v>20.933521899999999</v>
      </c>
      <c r="U1231" s="41">
        <v>42.432814700000002</v>
      </c>
      <c r="V1231" s="41">
        <v>59.7510373</v>
      </c>
      <c r="W1231" s="41">
        <v>18.464730299999999</v>
      </c>
      <c r="X1231" s="41">
        <v>21.7842324</v>
      </c>
      <c r="Y1231" s="41">
        <v>61.0146862</v>
      </c>
      <c r="Z1231" s="41">
        <v>18.2910547</v>
      </c>
      <c r="AA1231" s="41">
        <v>20.694258999999999</v>
      </c>
    </row>
    <row r="1232" spans="1:39" hidden="1" x14ac:dyDescent="0.3">
      <c r="A1232" s="42">
        <v>1228</v>
      </c>
      <c r="B1232" s="43" t="s">
        <v>521</v>
      </c>
      <c r="C1232" s="50" t="s">
        <v>349</v>
      </c>
      <c r="D1232" s="50" t="s">
        <v>410</v>
      </c>
      <c r="E1232" s="50" t="s">
        <v>412</v>
      </c>
      <c r="F1232" s="51" t="s">
        <v>412</v>
      </c>
      <c r="G1232" s="45">
        <v>2629</v>
      </c>
      <c r="H1232" s="45">
        <v>1014</v>
      </c>
      <c r="I1232" s="45">
        <v>685</v>
      </c>
      <c r="J1232" s="45">
        <v>930</v>
      </c>
      <c r="K1232" s="45">
        <v>3881</v>
      </c>
      <c r="L1232" s="45">
        <v>2080</v>
      </c>
      <c r="M1232" s="45">
        <v>818</v>
      </c>
      <c r="N1232" s="45">
        <v>983</v>
      </c>
      <c r="O1232" s="45">
        <v>4954</v>
      </c>
      <c r="P1232" s="45">
        <v>3145</v>
      </c>
      <c r="Q1232" s="45">
        <v>926</v>
      </c>
      <c r="R1232" s="45">
        <v>883</v>
      </c>
      <c r="S1232" s="46">
        <v>38.569798400000003</v>
      </c>
      <c r="T1232" s="46">
        <v>26.055534399999999</v>
      </c>
      <c r="U1232" s="46">
        <v>35.374667199999998</v>
      </c>
      <c r="V1232" s="46">
        <v>53.594434399999997</v>
      </c>
      <c r="W1232" s="46">
        <v>21.077041999999999</v>
      </c>
      <c r="X1232" s="46">
        <v>25.3285236</v>
      </c>
      <c r="Y1232" s="46">
        <v>63.484053299999999</v>
      </c>
      <c r="Z1232" s="46">
        <v>18.691966099999998</v>
      </c>
      <c r="AA1232" s="46">
        <v>17.823980599999999</v>
      </c>
      <c r="AB1232" s="26">
        <f>SUM(W1232:X1232)</f>
        <v>46.405565600000003</v>
      </c>
      <c r="AC1232" s="26">
        <f>SUM(Z1232:AA1232)</f>
        <v>36.515946700000001</v>
      </c>
      <c r="AD1232" s="57">
        <f>M1232+N1232</f>
        <v>1801</v>
      </c>
      <c r="AE1232" s="57">
        <f>Q1232+R1232</f>
        <v>1809</v>
      </c>
      <c r="AF1232" s="26">
        <f>W1232</f>
        <v>21.077041999999999</v>
      </c>
      <c r="AG1232" s="26">
        <f>Z1232</f>
        <v>18.691966099999998</v>
      </c>
      <c r="AH1232" s="26">
        <f>M1232</f>
        <v>818</v>
      </c>
      <c r="AI1232" s="26">
        <f>Q1232</f>
        <v>926</v>
      </c>
      <c r="AJ1232" s="26">
        <f>X1232</f>
        <v>25.3285236</v>
      </c>
      <c r="AK1232" s="26">
        <f>AA1232</f>
        <v>17.823980599999999</v>
      </c>
      <c r="AL1232" s="57">
        <f>N1232</f>
        <v>983</v>
      </c>
      <c r="AM1232" s="57">
        <f>R1232</f>
        <v>883</v>
      </c>
    </row>
    <row r="1233" spans="1:39" hidden="1" x14ac:dyDescent="0.3">
      <c r="A1233" s="37">
        <v>1229</v>
      </c>
      <c r="B1233" s="38" t="s">
        <v>521</v>
      </c>
      <c r="C1233" s="38" t="s">
        <v>349</v>
      </c>
      <c r="D1233" s="38" t="s">
        <v>410</v>
      </c>
      <c r="E1233" s="38" t="s">
        <v>412</v>
      </c>
      <c r="F1233" s="47" t="s">
        <v>519</v>
      </c>
      <c r="G1233" s="40">
        <v>2573</v>
      </c>
      <c r="H1233" s="40">
        <v>1000</v>
      </c>
      <c r="I1233" s="40">
        <v>670</v>
      </c>
      <c r="J1233" s="40">
        <v>903</v>
      </c>
      <c r="K1233" s="40">
        <v>3817</v>
      </c>
      <c r="L1233" s="40">
        <v>2049</v>
      </c>
      <c r="M1233" s="40">
        <v>799</v>
      </c>
      <c r="N1233" s="40">
        <v>969</v>
      </c>
      <c r="O1233" s="40">
        <v>4821</v>
      </c>
      <c r="P1233" s="40">
        <v>3046</v>
      </c>
      <c r="Q1233" s="40">
        <v>905</v>
      </c>
      <c r="R1233" s="40">
        <v>870</v>
      </c>
      <c r="S1233" s="41">
        <v>38.865138000000002</v>
      </c>
      <c r="T1233" s="41">
        <v>26.039642400000002</v>
      </c>
      <c r="U1233" s="41">
        <v>35.0952196</v>
      </c>
      <c r="V1233" s="41">
        <v>53.680901200000001</v>
      </c>
      <c r="W1233" s="41">
        <v>20.932669600000001</v>
      </c>
      <c r="X1233" s="41">
        <v>25.386429100000001</v>
      </c>
      <c r="Y1233" s="41">
        <v>63.181912500000003</v>
      </c>
      <c r="Z1233" s="41">
        <v>18.772038999999999</v>
      </c>
      <c r="AA1233" s="41">
        <v>18.046048500000001</v>
      </c>
    </row>
    <row r="1234" spans="1:39" hidden="1" x14ac:dyDescent="0.3">
      <c r="A1234" s="37">
        <v>1230</v>
      </c>
      <c r="B1234" s="38" t="s">
        <v>521</v>
      </c>
      <c r="C1234" s="38" t="s">
        <v>349</v>
      </c>
      <c r="D1234" s="38" t="s">
        <v>410</v>
      </c>
      <c r="E1234" s="38" t="s">
        <v>412</v>
      </c>
      <c r="F1234" s="47" t="s">
        <v>520</v>
      </c>
      <c r="G1234" s="40">
        <v>56</v>
      </c>
      <c r="H1234" s="40">
        <v>14</v>
      </c>
      <c r="I1234" s="40">
        <v>15</v>
      </c>
      <c r="J1234" s="40">
        <v>27</v>
      </c>
      <c r="K1234" s="40">
        <v>64</v>
      </c>
      <c r="L1234" s="40">
        <v>31</v>
      </c>
      <c r="M1234" s="40">
        <v>19</v>
      </c>
      <c r="N1234" s="40">
        <v>14</v>
      </c>
      <c r="O1234" s="40">
        <v>133</v>
      </c>
      <c r="P1234" s="40">
        <v>99</v>
      </c>
      <c r="Q1234" s="40">
        <v>21</v>
      </c>
      <c r="R1234" s="40">
        <v>13</v>
      </c>
      <c r="S1234" s="41">
        <v>25</v>
      </c>
      <c r="T1234" s="41">
        <v>26.785714299999999</v>
      </c>
      <c r="U1234" s="41">
        <v>48.214285699999998</v>
      </c>
      <c r="V1234" s="41">
        <v>48.4375</v>
      </c>
      <c r="W1234" s="41">
        <v>29.6875</v>
      </c>
      <c r="X1234" s="41">
        <v>21.875</v>
      </c>
      <c r="Y1234" s="41">
        <v>74.436090199999995</v>
      </c>
      <c r="Z1234" s="41">
        <v>15.7894737</v>
      </c>
      <c r="AA1234" s="41">
        <v>9.7744361000000008</v>
      </c>
    </row>
    <row r="1235" spans="1:39" hidden="1" x14ac:dyDescent="0.3">
      <c r="A1235" s="42">
        <v>1231</v>
      </c>
      <c r="B1235" s="43" t="s">
        <v>521</v>
      </c>
      <c r="C1235" s="50" t="s">
        <v>349</v>
      </c>
      <c r="D1235" s="50" t="s">
        <v>410</v>
      </c>
      <c r="E1235" s="50" t="s">
        <v>413</v>
      </c>
      <c r="F1235" s="51" t="s">
        <v>413</v>
      </c>
      <c r="G1235" s="45">
        <v>927</v>
      </c>
      <c r="H1235" s="45">
        <v>346</v>
      </c>
      <c r="I1235" s="45">
        <v>218</v>
      </c>
      <c r="J1235" s="45">
        <v>363</v>
      </c>
      <c r="K1235" s="45">
        <v>1492</v>
      </c>
      <c r="L1235" s="45">
        <v>780</v>
      </c>
      <c r="M1235" s="45">
        <v>266</v>
      </c>
      <c r="N1235" s="45">
        <v>446</v>
      </c>
      <c r="O1235" s="45">
        <v>2433</v>
      </c>
      <c r="P1235" s="45">
        <v>1424</v>
      </c>
      <c r="Q1235" s="45">
        <v>410</v>
      </c>
      <c r="R1235" s="45">
        <v>599</v>
      </c>
      <c r="S1235" s="46">
        <v>37.324703300000003</v>
      </c>
      <c r="T1235" s="46">
        <v>23.516720599999999</v>
      </c>
      <c r="U1235" s="46">
        <v>39.158576099999998</v>
      </c>
      <c r="V1235" s="46">
        <v>52.278820400000001</v>
      </c>
      <c r="W1235" s="46">
        <v>17.828418200000002</v>
      </c>
      <c r="X1235" s="46">
        <v>29.892761400000001</v>
      </c>
      <c r="Y1235" s="46">
        <v>58.5285656</v>
      </c>
      <c r="Z1235" s="46">
        <v>16.851623499999999</v>
      </c>
      <c r="AA1235" s="46">
        <v>24.619810900000001</v>
      </c>
      <c r="AB1235" s="26">
        <f>SUM(W1235:X1235)</f>
        <v>47.721179599999999</v>
      </c>
      <c r="AC1235" s="26">
        <f>SUM(Z1235:AA1235)</f>
        <v>41.4714344</v>
      </c>
      <c r="AD1235" s="57">
        <f>M1235+N1235</f>
        <v>712</v>
      </c>
      <c r="AE1235" s="57">
        <f>Q1235+R1235</f>
        <v>1009</v>
      </c>
      <c r="AF1235" s="26">
        <f>W1235</f>
        <v>17.828418200000002</v>
      </c>
      <c r="AG1235" s="26">
        <f>Z1235</f>
        <v>16.851623499999999</v>
      </c>
      <c r="AH1235" s="26">
        <f>M1235</f>
        <v>266</v>
      </c>
      <c r="AI1235" s="26">
        <f>Q1235</f>
        <v>410</v>
      </c>
      <c r="AJ1235" s="26">
        <f>X1235</f>
        <v>29.892761400000001</v>
      </c>
      <c r="AK1235" s="26">
        <f>AA1235</f>
        <v>24.619810900000001</v>
      </c>
      <c r="AL1235" s="57">
        <f>N1235</f>
        <v>446</v>
      </c>
      <c r="AM1235" s="57">
        <f>R1235</f>
        <v>599</v>
      </c>
    </row>
    <row r="1236" spans="1:39" hidden="1" x14ac:dyDescent="0.3">
      <c r="A1236" s="37">
        <v>1232</v>
      </c>
      <c r="B1236" s="38" t="s">
        <v>521</v>
      </c>
      <c r="C1236" s="38" t="s">
        <v>349</v>
      </c>
      <c r="D1236" s="38" t="s">
        <v>410</v>
      </c>
      <c r="E1236" s="38" t="s">
        <v>413</v>
      </c>
      <c r="F1236" s="47" t="s">
        <v>519</v>
      </c>
      <c r="G1236" s="40">
        <v>503</v>
      </c>
      <c r="H1236" s="40">
        <v>185</v>
      </c>
      <c r="I1236" s="40">
        <v>124</v>
      </c>
      <c r="J1236" s="40">
        <v>194</v>
      </c>
      <c r="K1236" s="40">
        <v>657</v>
      </c>
      <c r="L1236" s="40">
        <v>330</v>
      </c>
      <c r="M1236" s="40">
        <v>166</v>
      </c>
      <c r="N1236" s="40">
        <v>161</v>
      </c>
      <c r="O1236" s="40">
        <v>1002</v>
      </c>
      <c r="P1236" s="40">
        <v>587</v>
      </c>
      <c r="Q1236" s="40">
        <v>183</v>
      </c>
      <c r="R1236" s="40">
        <v>232</v>
      </c>
      <c r="S1236" s="41">
        <v>36.779324099999997</v>
      </c>
      <c r="T1236" s="41">
        <v>24.6520875</v>
      </c>
      <c r="U1236" s="41">
        <v>38.568588499999997</v>
      </c>
      <c r="V1236" s="41">
        <v>50.228310499999999</v>
      </c>
      <c r="W1236" s="41">
        <v>25.266362300000001</v>
      </c>
      <c r="X1236" s="41">
        <v>24.5053272</v>
      </c>
      <c r="Y1236" s="41">
        <v>58.582834300000002</v>
      </c>
      <c r="Z1236" s="41">
        <v>18.263473099999999</v>
      </c>
      <c r="AA1236" s="41">
        <v>23.153692599999999</v>
      </c>
    </row>
    <row r="1237" spans="1:39" hidden="1" x14ac:dyDescent="0.3">
      <c r="A1237" s="37">
        <v>1233</v>
      </c>
      <c r="B1237" s="38" t="s">
        <v>521</v>
      </c>
      <c r="C1237" s="38" t="s">
        <v>349</v>
      </c>
      <c r="D1237" s="38" t="s">
        <v>410</v>
      </c>
      <c r="E1237" s="38" t="s">
        <v>413</v>
      </c>
      <c r="F1237" s="47" t="s">
        <v>520</v>
      </c>
      <c r="G1237" s="40">
        <v>424</v>
      </c>
      <c r="H1237" s="40">
        <v>161</v>
      </c>
      <c r="I1237" s="40">
        <v>94</v>
      </c>
      <c r="J1237" s="40">
        <v>169</v>
      </c>
      <c r="K1237" s="40">
        <v>835</v>
      </c>
      <c r="L1237" s="40">
        <v>450</v>
      </c>
      <c r="M1237" s="40">
        <v>100</v>
      </c>
      <c r="N1237" s="40">
        <v>285</v>
      </c>
      <c r="O1237" s="40">
        <v>1431</v>
      </c>
      <c r="P1237" s="40">
        <v>837</v>
      </c>
      <c r="Q1237" s="40">
        <v>227</v>
      </c>
      <c r="R1237" s="40">
        <v>367</v>
      </c>
      <c r="S1237" s="41">
        <v>37.971698099999998</v>
      </c>
      <c r="T1237" s="41">
        <v>22.169811299999999</v>
      </c>
      <c r="U1237" s="41">
        <v>39.858490600000003</v>
      </c>
      <c r="V1237" s="41">
        <v>53.8922156</v>
      </c>
      <c r="W1237" s="41">
        <v>11.976047899999999</v>
      </c>
      <c r="X1237" s="41">
        <v>34.131736500000002</v>
      </c>
      <c r="Y1237" s="41">
        <v>58.490566000000001</v>
      </c>
      <c r="Z1237" s="41">
        <v>15.863032799999999</v>
      </c>
      <c r="AA1237" s="41">
        <v>25.646401099999999</v>
      </c>
    </row>
    <row r="1238" spans="1:39" hidden="1" x14ac:dyDescent="0.3">
      <c r="A1238" s="32">
        <v>1234</v>
      </c>
      <c r="B1238" s="33" t="s">
        <v>1</v>
      </c>
      <c r="C1238" s="49" t="s">
        <v>349</v>
      </c>
      <c r="D1238" s="49" t="s">
        <v>414</v>
      </c>
      <c r="E1238" s="49"/>
      <c r="F1238" s="34" t="s">
        <v>414</v>
      </c>
      <c r="G1238" s="35">
        <v>5883</v>
      </c>
      <c r="H1238" s="35">
        <v>1809</v>
      </c>
      <c r="I1238" s="35">
        <v>1126</v>
      </c>
      <c r="J1238" s="35">
        <v>2948</v>
      </c>
      <c r="K1238" s="35">
        <v>11164</v>
      </c>
      <c r="L1238" s="35">
        <v>5408</v>
      </c>
      <c r="M1238" s="35">
        <v>2169</v>
      </c>
      <c r="N1238" s="35">
        <v>3587</v>
      </c>
      <c r="O1238" s="35">
        <v>18897</v>
      </c>
      <c r="P1238" s="35">
        <v>12318</v>
      </c>
      <c r="Q1238" s="35">
        <v>2679</v>
      </c>
      <c r="R1238" s="35">
        <v>3900</v>
      </c>
      <c r="S1238" s="36">
        <v>30.749617499999999</v>
      </c>
      <c r="T1238" s="36">
        <v>19.139894600000002</v>
      </c>
      <c r="U1238" s="36">
        <v>50.110487800000001</v>
      </c>
      <c r="V1238" s="36">
        <v>48.441418800000001</v>
      </c>
      <c r="W1238" s="36">
        <v>19.428520200000001</v>
      </c>
      <c r="X1238" s="36">
        <v>32.130060899999997</v>
      </c>
      <c r="Y1238" s="36">
        <v>65.184950000000001</v>
      </c>
      <c r="Z1238" s="36">
        <v>14.1768535</v>
      </c>
      <c r="AA1238" s="36">
        <v>20.638196499999999</v>
      </c>
    </row>
    <row r="1239" spans="1:39" hidden="1" x14ac:dyDescent="0.3">
      <c r="A1239" s="37">
        <v>1235</v>
      </c>
      <c r="B1239" s="38" t="s">
        <v>1</v>
      </c>
      <c r="C1239" s="38" t="s">
        <v>349</v>
      </c>
      <c r="D1239" s="38" t="s">
        <v>414</v>
      </c>
      <c r="E1239" s="38"/>
      <c r="F1239" s="39" t="s">
        <v>519</v>
      </c>
      <c r="G1239" s="40">
        <v>2677</v>
      </c>
      <c r="H1239" s="40">
        <v>726</v>
      </c>
      <c r="I1239" s="40">
        <v>598</v>
      </c>
      <c r="J1239" s="40">
        <v>1353</v>
      </c>
      <c r="K1239" s="40">
        <v>6119</v>
      </c>
      <c r="L1239" s="40">
        <v>2588</v>
      </c>
      <c r="M1239" s="40">
        <v>1339</v>
      </c>
      <c r="N1239" s="40">
        <v>2192</v>
      </c>
      <c r="O1239" s="40">
        <v>8236</v>
      </c>
      <c r="P1239" s="40">
        <v>4910</v>
      </c>
      <c r="Q1239" s="40">
        <v>1519</v>
      </c>
      <c r="R1239" s="40">
        <v>1807</v>
      </c>
      <c r="S1239" s="41">
        <v>27.119910300000001</v>
      </c>
      <c r="T1239" s="41">
        <v>22.3384386</v>
      </c>
      <c r="U1239" s="41">
        <v>50.541651100000003</v>
      </c>
      <c r="V1239" s="41">
        <v>42.294492599999998</v>
      </c>
      <c r="W1239" s="41">
        <v>21.882660600000001</v>
      </c>
      <c r="X1239" s="41">
        <v>35.822846900000002</v>
      </c>
      <c r="Y1239" s="41">
        <v>59.6163186</v>
      </c>
      <c r="Z1239" s="41">
        <v>18.4434191</v>
      </c>
      <c r="AA1239" s="41">
        <v>21.940262300000001</v>
      </c>
    </row>
    <row r="1240" spans="1:39" hidden="1" x14ac:dyDescent="0.3">
      <c r="A1240" s="37">
        <v>1236</v>
      </c>
      <c r="B1240" s="38" t="s">
        <v>1</v>
      </c>
      <c r="C1240" s="38" t="s">
        <v>349</v>
      </c>
      <c r="D1240" s="38" t="s">
        <v>414</v>
      </c>
      <c r="E1240" s="38"/>
      <c r="F1240" s="39" t="s">
        <v>520</v>
      </c>
      <c r="G1240" s="40">
        <v>3206</v>
      </c>
      <c r="H1240" s="40">
        <v>1083</v>
      </c>
      <c r="I1240" s="40">
        <v>528</v>
      </c>
      <c r="J1240" s="40">
        <v>1595</v>
      </c>
      <c r="K1240" s="40">
        <v>5045</v>
      </c>
      <c r="L1240" s="40">
        <v>2820</v>
      </c>
      <c r="M1240" s="40">
        <v>830</v>
      </c>
      <c r="N1240" s="40">
        <v>1395</v>
      </c>
      <c r="O1240" s="40">
        <v>10661</v>
      </c>
      <c r="P1240" s="40">
        <v>7408</v>
      </c>
      <c r="Q1240" s="40">
        <v>1160</v>
      </c>
      <c r="R1240" s="40">
        <v>2093</v>
      </c>
      <c r="S1240" s="41">
        <v>33.780411700000002</v>
      </c>
      <c r="T1240" s="41">
        <v>16.469120400000001</v>
      </c>
      <c r="U1240" s="41">
        <v>49.750467899999997</v>
      </c>
      <c r="V1240" s="41">
        <v>55.896927699999999</v>
      </c>
      <c r="W1240" s="41">
        <v>16.451932599999999</v>
      </c>
      <c r="X1240" s="41">
        <v>27.651139700000002</v>
      </c>
      <c r="Y1240" s="41">
        <v>69.486914900000002</v>
      </c>
      <c r="Z1240" s="41">
        <v>10.880780400000001</v>
      </c>
      <c r="AA1240" s="41">
        <v>19.632304699999999</v>
      </c>
    </row>
    <row r="1241" spans="1:39" hidden="1" x14ac:dyDescent="0.3">
      <c r="A1241" s="42">
        <v>1237</v>
      </c>
      <c r="B1241" s="43" t="s">
        <v>521</v>
      </c>
      <c r="C1241" s="50" t="s">
        <v>349</v>
      </c>
      <c r="D1241" s="50" t="s">
        <v>414</v>
      </c>
      <c r="E1241" s="50" t="s">
        <v>415</v>
      </c>
      <c r="F1241" s="51" t="s">
        <v>415</v>
      </c>
      <c r="G1241" s="45">
        <v>3086</v>
      </c>
      <c r="H1241" s="45">
        <v>922</v>
      </c>
      <c r="I1241" s="45">
        <v>648</v>
      </c>
      <c r="J1241" s="45">
        <v>1516</v>
      </c>
      <c r="K1241" s="45">
        <v>5521</v>
      </c>
      <c r="L1241" s="45">
        <v>2387</v>
      </c>
      <c r="M1241" s="45">
        <v>1210</v>
      </c>
      <c r="N1241" s="45">
        <v>1924</v>
      </c>
      <c r="O1241" s="45">
        <v>10803</v>
      </c>
      <c r="P1241" s="45">
        <v>7061</v>
      </c>
      <c r="Q1241" s="45">
        <v>1630</v>
      </c>
      <c r="R1241" s="45">
        <v>2112</v>
      </c>
      <c r="S1241" s="46">
        <v>29.8768633</v>
      </c>
      <c r="T1241" s="46">
        <v>20.998055699999998</v>
      </c>
      <c r="U1241" s="46">
        <v>49.125081000000002</v>
      </c>
      <c r="V1241" s="46">
        <v>43.234921200000002</v>
      </c>
      <c r="W1241" s="46">
        <v>21.9163195</v>
      </c>
      <c r="X1241" s="46">
        <v>34.848759299999998</v>
      </c>
      <c r="Y1241" s="46">
        <v>65.361473700000005</v>
      </c>
      <c r="Z1241" s="46">
        <v>15.0884014</v>
      </c>
      <c r="AA1241" s="46">
        <v>19.550125000000001</v>
      </c>
      <c r="AB1241" s="26">
        <f>SUM(W1241:X1241)</f>
        <v>56.765078799999998</v>
      </c>
      <c r="AC1241" s="26">
        <f>SUM(Z1241:AA1241)</f>
        <v>34.638526400000003</v>
      </c>
      <c r="AD1241" s="57">
        <f>M1241+N1241</f>
        <v>3134</v>
      </c>
      <c r="AE1241" s="57">
        <f>Q1241+R1241</f>
        <v>3742</v>
      </c>
      <c r="AF1241" s="26">
        <f>W1241</f>
        <v>21.9163195</v>
      </c>
      <c r="AG1241" s="26">
        <f>Z1241</f>
        <v>15.0884014</v>
      </c>
      <c r="AH1241" s="26">
        <f>M1241</f>
        <v>1210</v>
      </c>
      <c r="AI1241" s="26">
        <f>Q1241</f>
        <v>1630</v>
      </c>
      <c r="AJ1241" s="26">
        <f>X1241</f>
        <v>34.848759299999998</v>
      </c>
      <c r="AK1241" s="26">
        <f>AA1241</f>
        <v>19.550125000000001</v>
      </c>
      <c r="AL1241" s="57">
        <f>N1241</f>
        <v>1924</v>
      </c>
      <c r="AM1241" s="57">
        <f>R1241</f>
        <v>2112</v>
      </c>
    </row>
    <row r="1242" spans="1:39" hidden="1" x14ac:dyDescent="0.3">
      <c r="A1242" s="37">
        <v>1238</v>
      </c>
      <c r="B1242" s="38" t="s">
        <v>521</v>
      </c>
      <c r="C1242" s="38" t="s">
        <v>349</v>
      </c>
      <c r="D1242" s="38" t="s">
        <v>414</v>
      </c>
      <c r="E1242" s="38" t="s">
        <v>415</v>
      </c>
      <c r="F1242" s="47" t="s">
        <v>519</v>
      </c>
      <c r="G1242" s="40">
        <v>2159</v>
      </c>
      <c r="H1242" s="40">
        <v>627</v>
      </c>
      <c r="I1242" s="40">
        <v>492</v>
      </c>
      <c r="J1242" s="40">
        <v>1040</v>
      </c>
      <c r="K1242" s="40">
        <v>4016</v>
      </c>
      <c r="L1242" s="40">
        <v>1766</v>
      </c>
      <c r="M1242" s="40">
        <v>893</v>
      </c>
      <c r="N1242" s="40">
        <v>1357</v>
      </c>
      <c r="O1242" s="40">
        <v>6193</v>
      </c>
      <c r="P1242" s="40">
        <v>3781</v>
      </c>
      <c r="Q1242" s="40">
        <v>1122</v>
      </c>
      <c r="R1242" s="40">
        <v>1290</v>
      </c>
      <c r="S1242" s="41">
        <v>29.0412228</v>
      </c>
      <c r="T1242" s="41">
        <v>22.788327899999999</v>
      </c>
      <c r="U1242" s="41">
        <v>48.170449300000001</v>
      </c>
      <c r="V1242" s="41">
        <v>43.974103599999999</v>
      </c>
      <c r="W1242" s="41">
        <v>22.236055799999999</v>
      </c>
      <c r="X1242" s="41">
        <v>33.789840599999998</v>
      </c>
      <c r="Y1242" s="41">
        <v>61.052801600000002</v>
      </c>
      <c r="Z1242" s="41">
        <v>18.117229099999999</v>
      </c>
      <c r="AA1242" s="41">
        <v>20.829969299999998</v>
      </c>
    </row>
    <row r="1243" spans="1:39" hidden="1" x14ac:dyDescent="0.3">
      <c r="A1243" s="37">
        <v>1239</v>
      </c>
      <c r="B1243" s="38" t="s">
        <v>521</v>
      </c>
      <c r="C1243" s="38" t="s">
        <v>349</v>
      </c>
      <c r="D1243" s="38" t="s">
        <v>414</v>
      </c>
      <c r="E1243" s="38" t="s">
        <v>415</v>
      </c>
      <c r="F1243" s="47" t="s">
        <v>520</v>
      </c>
      <c r="G1243" s="40">
        <v>927</v>
      </c>
      <c r="H1243" s="40">
        <v>295</v>
      </c>
      <c r="I1243" s="40">
        <v>156</v>
      </c>
      <c r="J1243" s="40">
        <v>476</v>
      </c>
      <c r="K1243" s="40">
        <v>1505</v>
      </c>
      <c r="L1243" s="40">
        <v>621</v>
      </c>
      <c r="M1243" s="40">
        <v>317</v>
      </c>
      <c r="N1243" s="40">
        <v>567</v>
      </c>
      <c r="O1243" s="40">
        <v>4610</v>
      </c>
      <c r="P1243" s="40">
        <v>3280</v>
      </c>
      <c r="Q1243" s="40">
        <v>508</v>
      </c>
      <c r="R1243" s="40">
        <v>822</v>
      </c>
      <c r="S1243" s="41">
        <v>31.823085200000001</v>
      </c>
      <c r="T1243" s="41">
        <v>16.828479000000002</v>
      </c>
      <c r="U1243" s="41">
        <v>51.348435799999997</v>
      </c>
      <c r="V1243" s="41">
        <v>41.262458500000001</v>
      </c>
      <c r="W1243" s="41">
        <v>21.0631229</v>
      </c>
      <c r="X1243" s="41">
        <v>37.674418600000003</v>
      </c>
      <c r="Y1243" s="41">
        <v>71.149674599999997</v>
      </c>
      <c r="Z1243" s="41">
        <v>11.019522800000001</v>
      </c>
      <c r="AA1243" s="41">
        <v>17.830802599999998</v>
      </c>
    </row>
    <row r="1244" spans="1:39" hidden="1" x14ac:dyDescent="0.3">
      <c r="A1244" s="42">
        <v>1240</v>
      </c>
      <c r="B1244" s="43" t="s">
        <v>521</v>
      </c>
      <c r="C1244" s="50" t="s">
        <v>349</v>
      </c>
      <c r="D1244" s="50" t="s">
        <v>414</v>
      </c>
      <c r="E1244" s="50" t="s">
        <v>416</v>
      </c>
      <c r="F1244" s="51" t="s">
        <v>416</v>
      </c>
      <c r="G1244" s="45">
        <v>975</v>
      </c>
      <c r="H1244" s="45">
        <v>221</v>
      </c>
      <c r="I1244" s="45">
        <v>174</v>
      </c>
      <c r="J1244" s="45">
        <v>580</v>
      </c>
      <c r="K1244" s="45">
        <v>1182</v>
      </c>
      <c r="L1244" s="45">
        <v>368</v>
      </c>
      <c r="M1244" s="45">
        <v>241</v>
      </c>
      <c r="N1244" s="45">
        <v>573</v>
      </c>
      <c r="O1244" s="45">
        <v>1640</v>
      </c>
      <c r="P1244" s="45">
        <v>865</v>
      </c>
      <c r="Q1244" s="45">
        <v>304</v>
      </c>
      <c r="R1244" s="45">
        <v>471</v>
      </c>
      <c r="S1244" s="46">
        <v>22.6666667</v>
      </c>
      <c r="T1244" s="46">
        <v>17.8461538</v>
      </c>
      <c r="U1244" s="46">
        <v>59.487179500000003</v>
      </c>
      <c r="V1244" s="46">
        <v>31.133671700000001</v>
      </c>
      <c r="W1244" s="46">
        <v>20.3891709</v>
      </c>
      <c r="X1244" s="46">
        <v>48.477157400000003</v>
      </c>
      <c r="Y1244" s="46">
        <v>52.743902400000003</v>
      </c>
      <c r="Z1244" s="46">
        <v>18.5365854</v>
      </c>
      <c r="AA1244" s="46">
        <v>28.7195122</v>
      </c>
      <c r="AB1244" s="26">
        <f>SUM(W1244:X1244)</f>
        <v>68.866328300000006</v>
      </c>
      <c r="AC1244" s="26">
        <f>SUM(Z1244:AA1244)</f>
        <v>47.256097600000004</v>
      </c>
      <c r="AD1244" s="57">
        <f>M1244+N1244</f>
        <v>814</v>
      </c>
      <c r="AE1244" s="57">
        <f>Q1244+R1244</f>
        <v>775</v>
      </c>
      <c r="AF1244" s="26">
        <f>W1244</f>
        <v>20.3891709</v>
      </c>
      <c r="AG1244" s="26">
        <f>Z1244</f>
        <v>18.5365854</v>
      </c>
      <c r="AH1244" s="26">
        <f>M1244</f>
        <v>241</v>
      </c>
      <c r="AI1244" s="26">
        <f>Q1244</f>
        <v>304</v>
      </c>
      <c r="AJ1244" s="26">
        <f>X1244</f>
        <v>48.477157400000003</v>
      </c>
      <c r="AK1244" s="26">
        <f>AA1244</f>
        <v>28.7195122</v>
      </c>
      <c r="AL1244" s="57">
        <f>N1244</f>
        <v>573</v>
      </c>
      <c r="AM1244" s="57">
        <f>R1244</f>
        <v>471</v>
      </c>
    </row>
    <row r="1245" spans="1:39" hidden="1" x14ac:dyDescent="0.3">
      <c r="A1245" s="37">
        <v>1241</v>
      </c>
      <c r="B1245" s="38" t="s">
        <v>521</v>
      </c>
      <c r="C1245" s="38" t="s">
        <v>349</v>
      </c>
      <c r="D1245" s="38" t="s">
        <v>414</v>
      </c>
      <c r="E1245" s="38" t="s">
        <v>416</v>
      </c>
      <c r="F1245" s="47" t="s">
        <v>519</v>
      </c>
      <c r="G1245" s="40">
        <v>518</v>
      </c>
      <c r="H1245" s="40">
        <v>99</v>
      </c>
      <c r="I1245" s="40">
        <v>106</v>
      </c>
      <c r="J1245" s="40">
        <v>313</v>
      </c>
      <c r="K1245" s="40">
        <v>1053</v>
      </c>
      <c r="L1245" s="40">
        <v>317</v>
      </c>
      <c r="M1245" s="40">
        <v>217</v>
      </c>
      <c r="N1245" s="40">
        <v>519</v>
      </c>
      <c r="O1245" s="40">
        <v>1265</v>
      </c>
      <c r="P1245" s="40">
        <v>698</v>
      </c>
      <c r="Q1245" s="40">
        <v>269</v>
      </c>
      <c r="R1245" s="40">
        <v>298</v>
      </c>
      <c r="S1245" s="41">
        <v>19.1119691</v>
      </c>
      <c r="T1245" s="41">
        <v>20.463320499999998</v>
      </c>
      <c r="U1245" s="41">
        <v>60.424710400000002</v>
      </c>
      <c r="V1245" s="41">
        <v>30.1044634</v>
      </c>
      <c r="W1245" s="41">
        <v>20.607787299999998</v>
      </c>
      <c r="X1245" s="41">
        <v>49.287749300000002</v>
      </c>
      <c r="Y1245" s="41">
        <v>55.177865599999997</v>
      </c>
      <c r="Z1245" s="41">
        <v>21.2648221</v>
      </c>
      <c r="AA1245" s="41">
        <v>23.5573123</v>
      </c>
    </row>
    <row r="1246" spans="1:39" hidden="1" x14ac:dyDescent="0.3">
      <c r="A1246" s="37">
        <v>1242</v>
      </c>
      <c r="B1246" s="38" t="s">
        <v>521</v>
      </c>
      <c r="C1246" s="38" t="s">
        <v>349</v>
      </c>
      <c r="D1246" s="38" t="s">
        <v>414</v>
      </c>
      <c r="E1246" s="38" t="s">
        <v>416</v>
      </c>
      <c r="F1246" s="47" t="s">
        <v>520</v>
      </c>
      <c r="G1246" s="40">
        <v>457</v>
      </c>
      <c r="H1246" s="40">
        <v>122</v>
      </c>
      <c r="I1246" s="40">
        <v>68</v>
      </c>
      <c r="J1246" s="40">
        <v>267</v>
      </c>
      <c r="K1246" s="40">
        <v>129</v>
      </c>
      <c r="L1246" s="40">
        <v>51</v>
      </c>
      <c r="M1246" s="40">
        <v>24</v>
      </c>
      <c r="N1246" s="40">
        <v>54</v>
      </c>
      <c r="O1246" s="40">
        <v>375</v>
      </c>
      <c r="P1246" s="40">
        <v>167</v>
      </c>
      <c r="Q1246" s="40">
        <v>35</v>
      </c>
      <c r="R1246" s="40">
        <v>173</v>
      </c>
      <c r="S1246" s="41">
        <v>26.695842500000001</v>
      </c>
      <c r="T1246" s="41">
        <v>14.8796499</v>
      </c>
      <c r="U1246" s="41">
        <v>58.424507699999999</v>
      </c>
      <c r="V1246" s="41">
        <v>39.534883700000002</v>
      </c>
      <c r="W1246" s="41">
        <v>18.604651199999999</v>
      </c>
      <c r="X1246" s="41">
        <v>41.860465099999999</v>
      </c>
      <c r="Y1246" s="41">
        <v>44.533333300000002</v>
      </c>
      <c r="Z1246" s="41">
        <v>9.3333332999999996</v>
      </c>
      <c r="AA1246" s="41">
        <v>46.133333299999997</v>
      </c>
    </row>
    <row r="1247" spans="1:39" hidden="1" x14ac:dyDescent="0.3">
      <c r="A1247" s="42">
        <v>1243</v>
      </c>
      <c r="B1247" s="43" t="s">
        <v>521</v>
      </c>
      <c r="C1247" s="50" t="s">
        <v>349</v>
      </c>
      <c r="D1247" s="50" t="s">
        <v>414</v>
      </c>
      <c r="E1247" s="50" t="s">
        <v>347</v>
      </c>
      <c r="F1247" s="51" t="s">
        <v>347</v>
      </c>
      <c r="G1247" s="45">
        <v>1822</v>
      </c>
      <c r="H1247" s="45">
        <v>666</v>
      </c>
      <c r="I1247" s="45">
        <v>304</v>
      </c>
      <c r="J1247" s="45">
        <v>852</v>
      </c>
      <c r="K1247" s="45">
        <v>4461</v>
      </c>
      <c r="L1247" s="45">
        <v>2653</v>
      </c>
      <c r="M1247" s="45">
        <v>718</v>
      </c>
      <c r="N1247" s="45">
        <v>1090</v>
      </c>
      <c r="O1247" s="45">
        <v>6454</v>
      </c>
      <c r="P1247" s="45">
        <v>4392</v>
      </c>
      <c r="Q1247" s="45">
        <v>745</v>
      </c>
      <c r="R1247" s="45">
        <v>1317</v>
      </c>
      <c r="S1247" s="46">
        <v>36.553238200000003</v>
      </c>
      <c r="T1247" s="46">
        <v>16.684961600000001</v>
      </c>
      <c r="U1247" s="46">
        <v>46.761800200000003</v>
      </c>
      <c r="V1247" s="46">
        <v>59.470970600000001</v>
      </c>
      <c r="W1247" s="46">
        <v>16.095046</v>
      </c>
      <c r="X1247" s="46">
        <v>24.433983399999999</v>
      </c>
      <c r="Y1247" s="46">
        <v>68.050821200000001</v>
      </c>
      <c r="Z1247" s="46">
        <v>11.543229</v>
      </c>
      <c r="AA1247" s="46">
        <v>20.405949799999998</v>
      </c>
      <c r="AB1247" s="26">
        <f>SUM(W1247:X1247)</f>
        <v>40.529029399999999</v>
      </c>
      <c r="AC1247" s="26">
        <f>SUM(Z1247:AA1247)</f>
        <v>31.949178799999999</v>
      </c>
      <c r="AD1247" s="57">
        <f>M1247+N1247</f>
        <v>1808</v>
      </c>
      <c r="AE1247" s="57">
        <f>Q1247+R1247</f>
        <v>2062</v>
      </c>
      <c r="AF1247" s="26">
        <f>W1247</f>
        <v>16.095046</v>
      </c>
      <c r="AG1247" s="26">
        <f>Z1247</f>
        <v>11.543229</v>
      </c>
      <c r="AH1247" s="26">
        <f>M1247</f>
        <v>718</v>
      </c>
      <c r="AI1247" s="26">
        <f>Q1247</f>
        <v>745</v>
      </c>
      <c r="AJ1247" s="26">
        <f>X1247</f>
        <v>24.433983399999999</v>
      </c>
      <c r="AK1247" s="26">
        <f>AA1247</f>
        <v>20.405949799999998</v>
      </c>
      <c r="AL1247" s="57">
        <f>N1247</f>
        <v>1090</v>
      </c>
      <c r="AM1247" s="57">
        <f>R1247</f>
        <v>1317</v>
      </c>
    </row>
    <row r="1248" spans="1:39" hidden="1" x14ac:dyDescent="0.3">
      <c r="A1248" s="37">
        <v>1244</v>
      </c>
      <c r="B1248" s="38" t="s">
        <v>521</v>
      </c>
      <c r="C1248" s="38" t="s">
        <v>349</v>
      </c>
      <c r="D1248" s="38" t="s">
        <v>414</v>
      </c>
      <c r="E1248" s="38" t="s">
        <v>347</v>
      </c>
      <c r="F1248" s="47" t="s">
        <v>519</v>
      </c>
      <c r="G1248" s="40"/>
      <c r="H1248" s="40"/>
      <c r="I1248" s="40"/>
      <c r="J1248" s="40"/>
      <c r="K1248" s="40">
        <v>1050</v>
      </c>
      <c r="L1248" s="40">
        <v>505</v>
      </c>
      <c r="M1248" s="40">
        <v>229</v>
      </c>
      <c r="N1248" s="40">
        <v>316</v>
      </c>
      <c r="O1248" s="40">
        <v>778</v>
      </c>
      <c r="P1248" s="40">
        <v>431</v>
      </c>
      <c r="Q1248" s="40">
        <v>128</v>
      </c>
      <c r="R1248" s="40">
        <v>219</v>
      </c>
      <c r="S1248" s="41"/>
      <c r="T1248" s="41"/>
      <c r="U1248" s="41"/>
      <c r="V1248" s="41">
        <v>48.095238100000003</v>
      </c>
      <c r="W1248" s="41">
        <v>21.809523800000001</v>
      </c>
      <c r="X1248" s="41">
        <v>30.0952381</v>
      </c>
      <c r="Y1248" s="41">
        <v>55.3984576</v>
      </c>
      <c r="Z1248" s="41">
        <v>16.4524422</v>
      </c>
      <c r="AA1248" s="41">
        <v>28.149100300000001</v>
      </c>
    </row>
    <row r="1249" spans="1:39" hidden="1" x14ac:dyDescent="0.3">
      <c r="A1249" s="37">
        <v>1245</v>
      </c>
      <c r="B1249" s="38" t="s">
        <v>521</v>
      </c>
      <c r="C1249" s="38" t="s">
        <v>349</v>
      </c>
      <c r="D1249" s="38" t="s">
        <v>414</v>
      </c>
      <c r="E1249" s="38" t="s">
        <v>347</v>
      </c>
      <c r="F1249" s="47" t="s">
        <v>520</v>
      </c>
      <c r="G1249" s="40">
        <v>1822</v>
      </c>
      <c r="H1249" s="40">
        <v>666</v>
      </c>
      <c r="I1249" s="40">
        <v>304</v>
      </c>
      <c r="J1249" s="40">
        <v>852</v>
      </c>
      <c r="K1249" s="40">
        <v>3411</v>
      </c>
      <c r="L1249" s="40">
        <v>2148</v>
      </c>
      <c r="M1249" s="40">
        <v>489</v>
      </c>
      <c r="N1249" s="40">
        <v>774</v>
      </c>
      <c r="O1249" s="40">
        <v>5676</v>
      </c>
      <c r="P1249" s="40">
        <v>3961</v>
      </c>
      <c r="Q1249" s="40">
        <v>617</v>
      </c>
      <c r="R1249" s="40">
        <v>1098</v>
      </c>
      <c r="S1249" s="41">
        <v>36.553238200000003</v>
      </c>
      <c r="T1249" s="41">
        <v>16.684961600000001</v>
      </c>
      <c r="U1249" s="41">
        <v>46.761800200000003</v>
      </c>
      <c r="V1249" s="41">
        <v>62.972735299999997</v>
      </c>
      <c r="W1249" s="41">
        <v>14.335971900000001</v>
      </c>
      <c r="X1249" s="41">
        <v>22.691292900000001</v>
      </c>
      <c r="Y1249" s="41">
        <v>69.785059899999993</v>
      </c>
      <c r="Z1249" s="41">
        <v>10.870331200000001</v>
      </c>
      <c r="AA1249" s="41">
        <v>19.344608900000001</v>
      </c>
    </row>
    <row r="1250" spans="1:39" x14ac:dyDescent="0.3">
      <c r="A1250" s="21">
        <v>1246</v>
      </c>
      <c r="B1250" s="22" t="s">
        <v>464</v>
      </c>
      <c r="C1250" s="22" t="s">
        <v>418</v>
      </c>
      <c r="D1250" s="22"/>
      <c r="E1250" s="22"/>
      <c r="F1250" s="23" t="s">
        <v>418</v>
      </c>
      <c r="G1250" s="24">
        <v>65481</v>
      </c>
      <c r="H1250" s="24">
        <v>23236</v>
      </c>
      <c r="I1250" s="24">
        <v>14455</v>
      </c>
      <c r="J1250" s="24">
        <v>27790</v>
      </c>
      <c r="K1250" s="24">
        <v>93890</v>
      </c>
      <c r="L1250" s="24">
        <v>48807</v>
      </c>
      <c r="M1250" s="24">
        <v>18476</v>
      </c>
      <c r="N1250" s="24">
        <v>26607</v>
      </c>
      <c r="O1250" s="24">
        <v>126668</v>
      </c>
      <c r="P1250" s="24">
        <v>77778</v>
      </c>
      <c r="Q1250" s="24">
        <v>22152</v>
      </c>
      <c r="R1250" s="24">
        <v>26738</v>
      </c>
      <c r="S1250" s="25">
        <v>35.485102500000004</v>
      </c>
      <c r="T1250" s="25">
        <v>22.075105799999999</v>
      </c>
      <c r="U1250" s="25">
        <v>42.439791700000001</v>
      </c>
      <c r="V1250" s="25">
        <v>51.983171800000001</v>
      </c>
      <c r="W1250" s="25">
        <v>19.678346999999999</v>
      </c>
      <c r="X1250" s="25">
        <v>28.3384812</v>
      </c>
      <c r="Y1250" s="25">
        <v>61.403037900000001</v>
      </c>
      <c r="Z1250" s="25">
        <v>17.488237000000002</v>
      </c>
      <c r="AA1250" s="25">
        <v>21.108725199999999</v>
      </c>
      <c r="AC1250" s="26">
        <f>W1250+X1250</f>
        <v>48.016828199999999</v>
      </c>
      <c r="AD1250" s="26">
        <f>Z1250+AA1250</f>
        <v>38.5969622</v>
      </c>
      <c r="AE1250" s="57">
        <f>M1250+N1250</f>
        <v>45083</v>
      </c>
      <c r="AF1250" s="57">
        <f>Q1250+R1250</f>
        <v>48890</v>
      </c>
    </row>
    <row r="1251" spans="1:39" hidden="1" x14ac:dyDescent="0.3">
      <c r="A1251" s="27">
        <v>1247</v>
      </c>
      <c r="B1251" s="28" t="s">
        <v>464</v>
      </c>
      <c r="C1251" s="48" t="s">
        <v>418</v>
      </c>
      <c r="D1251" s="48"/>
      <c r="E1251" s="48"/>
      <c r="F1251" s="29" t="s">
        <v>519</v>
      </c>
      <c r="G1251" s="30">
        <v>45613</v>
      </c>
      <c r="H1251" s="30">
        <v>17699</v>
      </c>
      <c r="I1251" s="30">
        <v>10571</v>
      </c>
      <c r="J1251" s="30">
        <v>17343</v>
      </c>
      <c r="K1251" s="30">
        <v>68598</v>
      </c>
      <c r="L1251" s="30">
        <v>37318</v>
      </c>
      <c r="M1251" s="30">
        <v>13884</v>
      </c>
      <c r="N1251" s="30">
        <v>17396</v>
      </c>
      <c r="O1251" s="30">
        <v>89529</v>
      </c>
      <c r="P1251" s="30">
        <v>57062</v>
      </c>
      <c r="Q1251" s="30">
        <v>16102</v>
      </c>
      <c r="R1251" s="30">
        <v>16365</v>
      </c>
      <c r="S1251" s="31">
        <v>38.802534399999999</v>
      </c>
      <c r="T1251" s="31">
        <v>23.175410500000002</v>
      </c>
      <c r="U1251" s="31">
        <v>38.022055100000003</v>
      </c>
      <c r="V1251" s="31">
        <v>54.401002900000002</v>
      </c>
      <c r="W1251" s="31">
        <v>20.239657099999999</v>
      </c>
      <c r="X1251" s="31">
        <v>25.359339899999998</v>
      </c>
      <c r="Y1251" s="31">
        <v>63.735772799999999</v>
      </c>
      <c r="Z1251" s="31">
        <v>17.9852338</v>
      </c>
      <c r="AA1251" s="31">
        <v>18.278993400000001</v>
      </c>
    </row>
    <row r="1252" spans="1:39" hidden="1" x14ac:dyDescent="0.3">
      <c r="A1252" s="27">
        <v>1248</v>
      </c>
      <c r="B1252" s="28" t="s">
        <v>464</v>
      </c>
      <c r="C1252" s="48" t="s">
        <v>418</v>
      </c>
      <c r="D1252" s="48"/>
      <c r="E1252" s="48"/>
      <c r="F1252" s="29" t="s">
        <v>520</v>
      </c>
      <c r="G1252" s="30">
        <v>19868</v>
      </c>
      <c r="H1252" s="30">
        <v>5537</v>
      </c>
      <c r="I1252" s="30">
        <v>3884</v>
      </c>
      <c r="J1252" s="30">
        <v>10447</v>
      </c>
      <c r="K1252" s="30">
        <v>25292</v>
      </c>
      <c r="L1252" s="30">
        <v>11489</v>
      </c>
      <c r="M1252" s="30">
        <v>4592</v>
      </c>
      <c r="N1252" s="30">
        <v>9211</v>
      </c>
      <c r="O1252" s="30">
        <v>37139</v>
      </c>
      <c r="P1252" s="30">
        <v>20716</v>
      </c>
      <c r="Q1252" s="30">
        <v>6050</v>
      </c>
      <c r="R1252" s="30">
        <v>10373</v>
      </c>
      <c r="S1252" s="31">
        <v>27.868935</v>
      </c>
      <c r="T1252" s="31">
        <v>19.549023600000002</v>
      </c>
      <c r="U1252" s="31">
        <v>52.582041500000003</v>
      </c>
      <c r="V1252" s="31">
        <v>45.425431000000003</v>
      </c>
      <c r="W1252" s="31">
        <v>18.155938599999999</v>
      </c>
      <c r="X1252" s="31">
        <v>36.418630399999998</v>
      </c>
      <c r="Y1252" s="31">
        <v>55.7796387</v>
      </c>
      <c r="Z1252" s="31">
        <v>16.290153199999999</v>
      </c>
      <c r="AA1252" s="31">
        <v>27.930208100000002</v>
      </c>
    </row>
    <row r="1253" spans="1:39" hidden="1" x14ac:dyDescent="0.3">
      <c r="A1253" s="32">
        <v>1249</v>
      </c>
      <c r="B1253" s="33" t="s">
        <v>1</v>
      </c>
      <c r="C1253" s="49" t="s">
        <v>418</v>
      </c>
      <c r="D1253" s="49" t="s">
        <v>158</v>
      </c>
      <c r="E1253" s="49"/>
      <c r="F1253" s="34" t="s">
        <v>158</v>
      </c>
      <c r="G1253" s="35">
        <v>16145</v>
      </c>
      <c r="H1253" s="35">
        <v>6921</v>
      </c>
      <c r="I1253" s="35">
        <v>3537</v>
      </c>
      <c r="J1253" s="35">
        <v>5687</v>
      </c>
      <c r="K1253" s="35">
        <v>25954</v>
      </c>
      <c r="L1253" s="35">
        <v>14440</v>
      </c>
      <c r="M1253" s="35">
        <v>4987</v>
      </c>
      <c r="N1253" s="35">
        <v>6527</v>
      </c>
      <c r="O1253" s="35">
        <v>34516</v>
      </c>
      <c r="P1253" s="35">
        <v>22101</v>
      </c>
      <c r="Q1253" s="35">
        <v>5949</v>
      </c>
      <c r="R1253" s="35">
        <v>6466</v>
      </c>
      <c r="S1253" s="36">
        <v>42.8677609</v>
      </c>
      <c r="T1253" s="36">
        <v>21.9077114</v>
      </c>
      <c r="U1253" s="36">
        <v>35.224527700000003</v>
      </c>
      <c r="V1253" s="36">
        <v>55.636896</v>
      </c>
      <c r="W1253" s="36">
        <v>19.214764599999999</v>
      </c>
      <c r="X1253" s="36">
        <v>25.148339400000001</v>
      </c>
      <c r="Y1253" s="36">
        <v>64.031173899999999</v>
      </c>
      <c r="Z1253" s="36">
        <v>17.235485000000001</v>
      </c>
      <c r="AA1253" s="36">
        <v>18.733341100000001</v>
      </c>
    </row>
    <row r="1254" spans="1:39" hidden="1" x14ac:dyDescent="0.3">
      <c r="A1254" s="37">
        <v>1250</v>
      </c>
      <c r="B1254" s="38" t="s">
        <v>1</v>
      </c>
      <c r="C1254" s="38" t="s">
        <v>418</v>
      </c>
      <c r="D1254" s="38" t="s">
        <v>158</v>
      </c>
      <c r="E1254" s="38"/>
      <c r="F1254" s="39" t="s">
        <v>519</v>
      </c>
      <c r="G1254" s="40">
        <v>14799</v>
      </c>
      <c r="H1254" s="40">
        <v>6491</v>
      </c>
      <c r="I1254" s="40">
        <v>3266</v>
      </c>
      <c r="J1254" s="40">
        <v>5042</v>
      </c>
      <c r="K1254" s="40">
        <v>23580</v>
      </c>
      <c r="L1254" s="40">
        <v>13302</v>
      </c>
      <c r="M1254" s="40">
        <v>4536</v>
      </c>
      <c r="N1254" s="40">
        <v>5742</v>
      </c>
      <c r="O1254" s="40">
        <v>31030</v>
      </c>
      <c r="P1254" s="40">
        <v>20193</v>
      </c>
      <c r="Q1254" s="40">
        <v>5318</v>
      </c>
      <c r="R1254" s="40">
        <v>5519</v>
      </c>
      <c r="S1254" s="41">
        <v>43.861071699999997</v>
      </c>
      <c r="T1254" s="41">
        <v>22.069058699999999</v>
      </c>
      <c r="U1254" s="41">
        <v>34.069869599999997</v>
      </c>
      <c r="V1254" s="41">
        <v>56.412213700000002</v>
      </c>
      <c r="W1254" s="41">
        <v>19.236641200000001</v>
      </c>
      <c r="X1254" s="41">
        <v>24.351144999999999</v>
      </c>
      <c r="Y1254" s="41">
        <v>65.075733200000002</v>
      </c>
      <c r="Z1254" s="41">
        <v>17.138253299999999</v>
      </c>
      <c r="AA1254" s="41">
        <v>17.786013499999999</v>
      </c>
    </row>
    <row r="1255" spans="1:39" hidden="1" x14ac:dyDescent="0.3">
      <c r="A1255" s="37">
        <v>1251</v>
      </c>
      <c r="B1255" s="38" t="s">
        <v>1</v>
      </c>
      <c r="C1255" s="38" t="s">
        <v>418</v>
      </c>
      <c r="D1255" s="38" t="s">
        <v>158</v>
      </c>
      <c r="E1255" s="38"/>
      <c r="F1255" s="39" t="s">
        <v>520</v>
      </c>
      <c r="G1255" s="40">
        <v>1346</v>
      </c>
      <c r="H1255" s="40">
        <v>430</v>
      </c>
      <c r="I1255" s="40">
        <v>271</v>
      </c>
      <c r="J1255" s="40">
        <v>645</v>
      </c>
      <c r="K1255" s="40">
        <v>2374</v>
      </c>
      <c r="L1255" s="40">
        <v>1138</v>
      </c>
      <c r="M1255" s="40">
        <v>451</v>
      </c>
      <c r="N1255" s="40">
        <v>785</v>
      </c>
      <c r="O1255" s="40">
        <v>3486</v>
      </c>
      <c r="P1255" s="40">
        <v>1908</v>
      </c>
      <c r="Q1255" s="40">
        <v>631</v>
      </c>
      <c r="R1255" s="40">
        <v>947</v>
      </c>
      <c r="S1255" s="41">
        <v>31.9465082</v>
      </c>
      <c r="T1255" s="41">
        <v>20.133729599999999</v>
      </c>
      <c r="U1255" s="41">
        <v>47.919762300000002</v>
      </c>
      <c r="V1255" s="41">
        <v>47.935972999999997</v>
      </c>
      <c r="W1255" s="41">
        <v>18.997472599999998</v>
      </c>
      <c r="X1255" s="41">
        <v>33.0665543</v>
      </c>
      <c r="Y1255" s="41">
        <v>54.733218600000001</v>
      </c>
      <c r="Z1255" s="41">
        <v>18.100975300000002</v>
      </c>
      <c r="AA1255" s="41">
        <v>27.165806100000001</v>
      </c>
    </row>
    <row r="1256" spans="1:39" hidden="1" x14ac:dyDescent="0.3">
      <c r="A1256" s="42">
        <v>1252</v>
      </c>
      <c r="B1256" s="43" t="s">
        <v>521</v>
      </c>
      <c r="C1256" s="50" t="s">
        <v>418</v>
      </c>
      <c r="D1256" s="50" t="s">
        <v>158</v>
      </c>
      <c r="E1256" s="50" t="s">
        <v>419</v>
      </c>
      <c r="F1256" s="51" t="s">
        <v>419</v>
      </c>
      <c r="G1256" s="45">
        <v>15588</v>
      </c>
      <c r="H1256" s="45">
        <v>6726</v>
      </c>
      <c r="I1256" s="45">
        <v>3414</v>
      </c>
      <c r="J1256" s="45">
        <v>5448</v>
      </c>
      <c r="K1256" s="45">
        <v>24724</v>
      </c>
      <c r="L1256" s="45">
        <v>13876</v>
      </c>
      <c r="M1256" s="45">
        <v>4770</v>
      </c>
      <c r="N1256" s="45">
        <v>6078</v>
      </c>
      <c r="O1256" s="45">
        <v>32445</v>
      </c>
      <c r="P1256" s="45">
        <v>20986</v>
      </c>
      <c r="Q1256" s="45">
        <v>5610</v>
      </c>
      <c r="R1256" s="45">
        <v>5849</v>
      </c>
      <c r="S1256" s="46">
        <v>43.148575800000003</v>
      </c>
      <c r="T1256" s="46">
        <v>21.9014627</v>
      </c>
      <c r="U1256" s="46">
        <v>34.949961500000001</v>
      </c>
      <c r="V1256" s="46">
        <v>56.1236046</v>
      </c>
      <c r="W1256" s="46">
        <v>19.292994700000001</v>
      </c>
      <c r="X1256" s="46">
        <v>24.583400699999999</v>
      </c>
      <c r="Y1256" s="46">
        <v>64.681769099999997</v>
      </c>
      <c r="Z1256" s="46">
        <v>17.290799799999998</v>
      </c>
      <c r="AA1256" s="46">
        <v>18.027431</v>
      </c>
      <c r="AB1256" s="26">
        <f>SUM(W1256:X1256)</f>
        <v>43.8763954</v>
      </c>
      <c r="AC1256" s="26">
        <f>SUM(Z1256:AA1256)</f>
        <v>35.318230799999995</v>
      </c>
      <c r="AD1256" s="57">
        <f>M1256+N1256</f>
        <v>10848</v>
      </c>
      <c r="AE1256" s="57">
        <f>Q1256+R1256</f>
        <v>11459</v>
      </c>
      <c r="AF1256" s="26">
        <f>W1256</f>
        <v>19.292994700000001</v>
      </c>
      <c r="AG1256" s="26">
        <f>Z1256</f>
        <v>17.290799799999998</v>
      </c>
      <c r="AH1256" s="26">
        <f>M1256</f>
        <v>4770</v>
      </c>
      <c r="AI1256" s="26">
        <f>Q1256</f>
        <v>5610</v>
      </c>
      <c r="AJ1256" s="26">
        <f>X1256</f>
        <v>24.583400699999999</v>
      </c>
      <c r="AK1256" s="26">
        <f>AA1256</f>
        <v>18.027431</v>
      </c>
      <c r="AL1256" s="57">
        <f>N1256</f>
        <v>6078</v>
      </c>
      <c r="AM1256" s="57">
        <f>R1256</f>
        <v>5849</v>
      </c>
    </row>
    <row r="1257" spans="1:39" hidden="1" x14ac:dyDescent="0.3">
      <c r="A1257" s="37">
        <v>1253</v>
      </c>
      <c r="B1257" s="38" t="s">
        <v>521</v>
      </c>
      <c r="C1257" s="38" t="s">
        <v>418</v>
      </c>
      <c r="D1257" s="38" t="s">
        <v>158</v>
      </c>
      <c r="E1257" s="38" t="s">
        <v>419</v>
      </c>
      <c r="F1257" s="47" t="s">
        <v>519</v>
      </c>
      <c r="G1257" s="40">
        <v>14799</v>
      </c>
      <c r="H1257" s="40">
        <v>6491</v>
      </c>
      <c r="I1257" s="40">
        <v>3266</v>
      </c>
      <c r="J1257" s="40">
        <v>5042</v>
      </c>
      <c r="K1257" s="40">
        <v>23580</v>
      </c>
      <c r="L1257" s="40">
        <v>13302</v>
      </c>
      <c r="M1257" s="40">
        <v>4536</v>
      </c>
      <c r="N1257" s="40">
        <v>5742</v>
      </c>
      <c r="O1257" s="40">
        <v>31030</v>
      </c>
      <c r="P1257" s="40">
        <v>20193</v>
      </c>
      <c r="Q1257" s="40">
        <v>5318</v>
      </c>
      <c r="R1257" s="40">
        <v>5519</v>
      </c>
      <c r="S1257" s="41">
        <v>43.861071699999997</v>
      </c>
      <c r="T1257" s="41">
        <v>22.069058699999999</v>
      </c>
      <c r="U1257" s="41">
        <v>34.069869599999997</v>
      </c>
      <c r="V1257" s="41">
        <v>56.412213700000002</v>
      </c>
      <c r="W1257" s="41">
        <v>19.236641200000001</v>
      </c>
      <c r="X1257" s="41">
        <v>24.351144999999999</v>
      </c>
      <c r="Y1257" s="41">
        <v>65.075733200000002</v>
      </c>
      <c r="Z1257" s="41">
        <v>17.138253299999999</v>
      </c>
      <c r="AA1257" s="41">
        <v>17.786013499999999</v>
      </c>
    </row>
    <row r="1258" spans="1:39" hidden="1" x14ac:dyDescent="0.3">
      <c r="A1258" s="37">
        <v>1254</v>
      </c>
      <c r="B1258" s="38" t="s">
        <v>521</v>
      </c>
      <c r="C1258" s="38" t="s">
        <v>418</v>
      </c>
      <c r="D1258" s="38" t="s">
        <v>158</v>
      </c>
      <c r="E1258" s="38" t="s">
        <v>419</v>
      </c>
      <c r="F1258" s="47" t="s">
        <v>520</v>
      </c>
      <c r="G1258" s="40">
        <v>789</v>
      </c>
      <c r="H1258" s="40">
        <v>235</v>
      </c>
      <c r="I1258" s="40">
        <v>148</v>
      </c>
      <c r="J1258" s="40">
        <v>406</v>
      </c>
      <c r="K1258" s="40">
        <v>1144</v>
      </c>
      <c r="L1258" s="40">
        <v>574</v>
      </c>
      <c r="M1258" s="40">
        <v>234</v>
      </c>
      <c r="N1258" s="40">
        <v>336</v>
      </c>
      <c r="O1258" s="40">
        <v>1415</v>
      </c>
      <c r="P1258" s="40">
        <v>793</v>
      </c>
      <c r="Q1258" s="40">
        <v>292</v>
      </c>
      <c r="R1258" s="40">
        <v>330</v>
      </c>
      <c r="S1258" s="41">
        <v>29.784537400000001</v>
      </c>
      <c r="T1258" s="41">
        <v>18.757921400000001</v>
      </c>
      <c r="U1258" s="41">
        <v>51.457541200000001</v>
      </c>
      <c r="V1258" s="41">
        <v>50.174825200000001</v>
      </c>
      <c r="W1258" s="41">
        <v>20.454545499999998</v>
      </c>
      <c r="X1258" s="41">
        <v>29.370629399999999</v>
      </c>
      <c r="Y1258" s="41">
        <v>56.042402799999998</v>
      </c>
      <c r="Z1258" s="41">
        <v>20.636042400000001</v>
      </c>
      <c r="AA1258" s="41">
        <v>23.321554800000001</v>
      </c>
    </row>
    <row r="1259" spans="1:39" hidden="1" x14ac:dyDescent="0.3">
      <c r="A1259" s="42">
        <v>1255</v>
      </c>
      <c r="B1259" s="43" t="s">
        <v>521</v>
      </c>
      <c r="C1259" s="50" t="s">
        <v>418</v>
      </c>
      <c r="D1259" s="50" t="s">
        <v>158</v>
      </c>
      <c r="E1259" s="50" t="s">
        <v>400</v>
      </c>
      <c r="F1259" s="51" t="s">
        <v>400</v>
      </c>
      <c r="G1259" s="45">
        <v>557</v>
      </c>
      <c r="H1259" s="45">
        <v>195</v>
      </c>
      <c r="I1259" s="45">
        <v>123</v>
      </c>
      <c r="J1259" s="45">
        <v>239</v>
      </c>
      <c r="K1259" s="45">
        <v>1230</v>
      </c>
      <c r="L1259" s="45">
        <v>564</v>
      </c>
      <c r="M1259" s="45">
        <v>217</v>
      </c>
      <c r="N1259" s="45">
        <v>449</v>
      </c>
      <c r="O1259" s="45">
        <v>2071</v>
      </c>
      <c r="P1259" s="45">
        <v>1115</v>
      </c>
      <c r="Q1259" s="45">
        <v>339</v>
      </c>
      <c r="R1259" s="45">
        <v>617</v>
      </c>
      <c r="S1259" s="46">
        <v>35.008976699999998</v>
      </c>
      <c r="T1259" s="46">
        <v>22.082585300000002</v>
      </c>
      <c r="U1259" s="46">
        <v>42.908438099999998</v>
      </c>
      <c r="V1259" s="46">
        <v>45.853658500000002</v>
      </c>
      <c r="W1259" s="46">
        <v>17.6422764</v>
      </c>
      <c r="X1259" s="46">
        <v>36.504064999999997</v>
      </c>
      <c r="Y1259" s="46">
        <v>53.8387253</v>
      </c>
      <c r="Z1259" s="46">
        <v>16.368903899999999</v>
      </c>
      <c r="AA1259" s="46">
        <v>29.7923708</v>
      </c>
      <c r="AB1259" s="26">
        <f>SUM(W1259:X1259)</f>
        <v>54.146341399999997</v>
      </c>
      <c r="AC1259" s="26">
        <f>SUM(Z1259:AA1259)</f>
        <v>46.1612747</v>
      </c>
      <c r="AD1259" s="57">
        <f>M1259+N1259</f>
        <v>666</v>
      </c>
      <c r="AE1259" s="57">
        <f>Q1259+R1259</f>
        <v>956</v>
      </c>
      <c r="AF1259" s="26">
        <f>W1259</f>
        <v>17.6422764</v>
      </c>
      <c r="AG1259" s="26">
        <f>Z1259</f>
        <v>16.368903899999999</v>
      </c>
      <c r="AH1259" s="26">
        <f>M1259</f>
        <v>217</v>
      </c>
      <c r="AI1259" s="26">
        <f>Q1259</f>
        <v>339</v>
      </c>
      <c r="AJ1259" s="26">
        <f>X1259</f>
        <v>36.504064999999997</v>
      </c>
      <c r="AK1259" s="26">
        <f>AA1259</f>
        <v>29.7923708</v>
      </c>
      <c r="AL1259" s="57">
        <f>N1259</f>
        <v>449</v>
      </c>
      <c r="AM1259" s="57">
        <f>R1259</f>
        <v>617</v>
      </c>
    </row>
    <row r="1260" spans="1:39" hidden="1" x14ac:dyDescent="0.3">
      <c r="A1260" s="37">
        <v>1256</v>
      </c>
      <c r="B1260" s="38" t="s">
        <v>521</v>
      </c>
      <c r="C1260" s="38" t="s">
        <v>418</v>
      </c>
      <c r="D1260" s="38" t="s">
        <v>158</v>
      </c>
      <c r="E1260" s="38" t="s">
        <v>400</v>
      </c>
      <c r="F1260" s="47" t="s">
        <v>519</v>
      </c>
      <c r="G1260" s="40"/>
      <c r="H1260" s="40"/>
      <c r="I1260" s="40"/>
      <c r="J1260" s="40"/>
      <c r="K1260" s="40"/>
      <c r="L1260" s="40"/>
      <c r="M1260" s="40"/>
      <c r="N1260" s="40"/>
      <c r="O1260" s="40"/>
      <c r="P1260" s="40"/>
      <c r="Q1260" s="40"/>
      <c r="R1260" s="40"/>
      <c r="S1260" s="41"/>
      <c r="T1260" s="41"/>
      <c r="U1260" s="41"/>
      <c r="V1260" s="41"/>
      <c r="W1260" s="41"/>
      <c r="X1260" s="41"/>
      <c r="Y1260" s="41"/>
      <c r="Z1260" s="41"/>
      <c r="AA1260" s="41"/>
    </row>
    <row r="1261" spans="1:39" hidden="1" x14ac:dyDescent="0.3">
      <c r="A1261" s="37">
        <v>1257</v>
      </c>
      <c r="B1261" s="38" t="s">
        <v>521</v>
      </c>
      <c r="C1261" s="38" t="s">
        <v>418</v>
      </c>
      <c r="D1261" s="38" t="s">
        <v>158</v>
      </c>
      <c r="E1261" s="38" t="s">
        <v>400</v>
      </c>
      <c r="F1261" s="47" t="s">
        <v>520</v>
      </c>
      <c r="G1261" s="40">
        <v>557</v>
      </c>
      <c r="H1261" s="40">
        <v>195</v>
      </c>
      <c r="I1261" s="40">
        <v>123</v>
      </c>
      <c r="J1261" s="40">
        <v>239</v>
      </c>
      <c r="K1261" s="40">
        <v>1230</v>
      </c>
      <c r="L1261" s="40">
        <v>564</v>
      </c>
      <c r="M1261" s="40">
        <v>217</v>
      </c>
      <c r="N1261" s="40">
        <v>449</v>
      </c>
      <c r="O1261" s="40">
        <v>2071</v>
      </c>
      <c r="P1261" s="40">
        <v>1115</v>
      </c>
      <c r="Q1261" s="40">
        <v>339</v>
      </c>
      <c r="R1261" s="40">
        <v>617</v>
      </c>
      <c r="S1261" s="41">
        <v>35.008976699999998</v>
      </c>
      <c r="T1261" s="41">
        <v>22.082585300000002</v>
      </c>
      <c r="U1261" s="41">
        <v>42.908438099999998</v>
      </c>
      <c r="V1261" s="41">
        <v>45.853658500000002</v>
      </c>
      <c r="W1261" s="41">
        <v>17.6422764</v>
      </c>
      <c r="X1261" s="41">
        <v>36.504064999999997</v>
      </c>
      <c r="Y1261" s="41">
        <v>53.8387253</v>
      </c>
      <c r="Z1261" s="41">
        <v>16.368903899999999</v>
      </c>
      <c r="AA1261" s="41">
        <v>29.7923708</v>
      </c>
    </row>
    <row r="1262" spans="1:39" hidden="1" x14ac:dyDescent="0.3">
      <c r="A1262" s="32">
        <v>1258</v>
      </c>
      <c r="B1262" s="33" t="s">
        <v>1</v>
      </c>
      <c r="C1262" s="49" t="s">
        <v>418</v>
      </c>
      <c r="D1262" s="49" t="s">
        <v>420</v>
      </c>
      <c r="E1262" s="49"/>
      <c r="F1262" s="34" t="s">
        <v>420</v>
      </c>
      <c r="G1262" s="35">
        <v>21373</v>
      </c>
      <c r="H1262" s="35">
        <v>7721</v>
      </c>
      <c r="I1262" s="35">
        <v>4692</v>
      </c>
      <c r="J1262" s="35">
        <v>8960</v>
      </c>
      <c r="K1262" s="35">
        <v>28849</v>
      </c>
      <c r="L1262" s="35">
        <v>15143</v>
      </c>
      <c r="M1262" s="35">
        <v>5787</v>
      </c>
      <c r="N1262" s="35">
        <v>7919</v>
      </c>
      <c r="O1262" s="35">
        <v>38333</v>
      </c>
      <c r="P1262" s="35">
        <v>23880</v>
      </c>
      <c r="Q1262" s="35">
        <v>7029</v>
      </c>
      <c r="R1262" s="35">
        <v>7424</v>
      </c>
      <c r="S1262" s="36">
        <v>36.125017499999998</v>
      </c>
      <c r="T1262" s="36">
        <v>21.952931299999999</v>
      </c>
      <c r="U1262" s="36">
        <v>41.922051199999999</v>
      </c>
      <c r="V1262" s="36">
        <v>52.490554299999999</v>
      </c>
      <c r="W1262" s="36">
        <v>20.059620800000001</v>
      </c>
      <c r="X1262" s="36">
        <v>27.449825000000001</v>
      </c>
      <c r="Y1262" s="36">
        <v>62.296193899999999</v>
      </c>
      <c r="Z1262" s="36">
        <v>18.336681200000001</v>
      </c>
      <c r="AA1262" s="36">
        <v>19.3671249</v>
      </c>
    </row>
    <row r="1263" spans="1:39" hidden="1" x14ac:dyDescent="0.3">
      <c r="A1263" s="37">
        <v>1259</v>
      </c>
      <c r="B1263" s="38" t="s">
        <v>1</v>
      </c>
      <c r="C1263" s="38" t="s">
        <v>418</v>
      </c>
      <c r="D1263" s="38" t="s">
        <v>420</v>
      </c>
      <c r="E1263" s="38"/>
      <c r="F1263" s="39" t="s">
        <v>519</v>
      </c>
      <c r="G1263" s="40">
        <v>17865</v>
      </c>
      <c r="H1263" s="40">
        <v>6782</v>
      </c>
      <c r="I1263" s="40">
        <v>4083</v>
      </c>
      <c r="J1263" s="40">
        <v>7000</v>
      </c>
      <c r="K1263" s="40">
        <v>25042</v>
      </c>
      <c r="L1263" s="40">
        <v>13519</v>
      </c>
      <c r="M1263" s="40">
        <v>5092</v>
      </c>
      <c r="N1263" s="40">
        <v>6431</v>
      </c>
      <c r="O1263" s="40">
        <v>32914</v>
      </c>
      <c r="P1263" s="40">
        <v>20708</v>
      </c>
      <c r="Q1263" s="40">
        <v>6120</v>
      </c>
      <c r="R1263" s="40">
        <v>6086</v>
      </c>
      <c r="S1263" s="41">
        <v>37.9624965</v>
      </c>
      <c r="T1263" s="41">
        <v>22.854743899999999</v>
      </c>
      <c r="U1263" s="41">
        <v>39.182759599999997</v>
      </c>
      <c r="V1263" s="41">
        <v>53.9853047</v>
      </c>
      <c r="W1263" s="41">
        <v>20.3338392</v>
      </c>
      <c r="X1263" s="41">
        <v>25.680856200000001</v>
      </c>
      <c r="Y1263" s="41">
        <v>62.915476699999999</v>
      </c>
      <c r="Z1263" s="41">
        <v>18.5939114</v>
      </c>
      <c r="AA1263" s="41">
        <v>18.490611900000001</v>
      </c>
    </row>
    <row r="1264" spans="1:39" hidden="1" x14ac:dyDescent="0.3">
      <c r="A1264" s="37">
        <v>1260</v>
      </c>
      <c r="B1264" s="38" t="s">
        <v>1</v>
      </c>
      <c r="C1264" s="38" t="s">
        <v>418</v>
      </c>
      <c r="D1264" s="38" t="s">
        <v>420</v>
      </c>
      <c r="E1264" s="38"/>
      <c r="F1264" s="39" t="s">
        <v>520</v>
      </c>
      <c r="G1264" s="40">
        <v>3508</v>
      </c>
      <c r="H1264" s="40">
        <v>939</v>
      </c>
      <c r="I1264" s="40">
        <v>609</v>
      </c>
      <c r="J1264" s="40">
        <v>1960</v>
      </c>
      <c r="K1264" s="40">
        <v>3807</v>
      </c>
      <c r="L1264" s="40">
        <v>1624</v>
      </c>
      <c r="M1264" s="40">
        <v>695</v>
      </c>
      <c r="N1264" s="40">
        <v>1488</v>
      </c>
      <c r="O1264" s="40">
        <v>5419</v>
      </c>
      <c r="P1264" s="40">
        <v>3172</v>
      </c>
      <c r="Q1264" s="40">
        <v>909</v>
      </c>
      <c r="R1264" s="40">
        <v>1338</v>
      </c>
      <c r="S1264" s="41">
        <v>26.767388799999999</v>
      </c>
      <c r="T1264" s="41">
        <v>17.3603193</v>
      </c>
      <c r="U1264" s="41">
        <v>55.8722919</v>
      </c>
      <c r="V1264" s="41">
        <v>42.658261099999997</v>
      </c>
      <c r="W1264" s="41">
        <v>18.255844499999998</v>
      </c>
      <c r="X1264" s="41">
        <v>39.085894400000001</v>
      </c>
      <c r="Y1264" s="41">
        <v>58.534784999999999</v>
      </c>
      <c r="Z1264" s="41">
        <v>16.774312599999998</v>
      </c>
      <c r="AA1264" s="41">
        <v>24.690902399999999</v>
      </c>
    </row>
    <row r="1265" spans="1:39" hidden="1" x14ac:dyDescent="0.3">
      <c r="A1265" s="42">
        <v>1261</v>
      </c>
      <c r="B1265" s="43" t="s">
        <v>521</v>
      </c>
      <c r="C1265" s="50" t="s">
        <v>418</v>
      </c>
      <c r="D1265" s="50" t="s">
        <v>420</v>
      </c>
      <c r="E1265" s="50" t="s">
        <v>421</v>
      </c>
      <c r="F1265" s="51" t="s">
        <v>421</v>
      </c>
      <c r="G1265" s="45">
        <v>13558</v>
      </c>
      <c r="H1265" s="45">
        <v>4520</v>
      </c>
      <c r="I1265" s="45">
        <v>2902</v>
      </c>
      <c r="J1265" s="45">
        <v>6136</v>
      </c>
      <c r="K1265" s="45">
        <v>19588</v>
      </c>
      <c r="L1265" s="45">
        <v>9969</v>
      </c>
      <c r="M1265" s="45">
        <v>3879</v>
      </c>
      <c r="N1265" s="45">
        <v>5740</v>
      </c>
      <c r="O1265" s="45">
        <v>27442</v>
      </c>
      <c r="P1265" s="45">
        <v>16692</v>
      </c>
      <c r="Q1265" s="45">
        <v>5177</v>
      </c>
      <c r="R1265" s="45">
        <v>5573</v>
      </c>
      <c r="S1265" s="46">
        <v>33.338250500000001</v>
      </c>
      <c r="T1265" s="46">
        <v>21.404336900000001</v>
      </c>
      <c r="U1265" s="46">
        <v>45.257412600000002</v>
      </c>
      <c r="V1265" s="46">
        <v>50.893404099999998</v>
      </c>
      <c r="W1265" s="46">
        <v>19.802940599999999</v>
      </c>
      <c r="X1265" s="46">
        <v>29.303655299999999</v>
      </c>
      <c r="Y1265" s="46">
        <v>60.826470399999998</v>
      </c>
      <c r="Z1265" s="46">
        <v>18.865243100000001</v>
      </c>
      <c r="AA1265" s="46">
        <v>20.308286599999999</v>
      </c>
      <c r="AB1265" s="26">
        <f>SUM(W1265:X1265)</f>
        <v>49.106595900000002</v>
      </c>
      <c r="AC1265" s="26">
        <f>SUM(Z1265:AA1265)</f>
        <v>39.173529700000003</v>
      </c>
      <c r="AD1265" s="57">
        <f>M1265+N1265</f>
        <v>9619</v>
      </c>
      <c r="AE1265" s="57">
        <f>Q1265+R1265</f>
        <v>10750</v>
      </c>
      <c r="AF1265" s="26">
        <f>W1265</f>
        <v>19.802940599999999</v>
      </c>
      <c r="AG1265" s="26">
        <f>Z1265</f>
        <v>18.865243100000001</v>
      </c>
      <c r="AH1265" s="26">
        <f>M1265</f>
        <v>3879</v>
      </c>
      <c r="AI1265" s="26">
        <f>Q1265</f>
        <v>5177</v>
      </c>
      <c r="AJ1265" s="26">
        <f>X1265</f>
        <v>29.303655299999999</v>
      </c>
      <c r="AK1265" s="26">
        <f>AA1265</f>
        <v>20.308286599999999</v>
      </c>
      <c r="AL1265" s="57">
        <f>N1265</f>
        <v>5740</v>
      </c>
      <c r="AM1265" s="57">
        <f>R1265</f>
        <v>5573</v>
      </c>
    </row>
    <row r="1266" spans="1:39" hidden="1" x14ac:dyDescent="0.3">
      <c r="A1266" s="37">
        <v>1262</v>
      </c>
      <c r="B1266" s="38" t="s">
        <v>521</v>
      </c>
      <c r="C1266" s="38" t="s">
        <v>418</v>
      </c>
      <c r="D1266" s="38" t="s">
        <v>420</v>
      </c>
      <c r="E1266" s="38" t="s">
        <v>421</v>
      </c>
      <c r="F1266" s="47" t="s">
        <v>519</v>
      </c>
      <c r="G1266" s="40">
        <v>11440</v>
      </c>
      <c r="H1266" s="40">
        <v>3998</v>
      </c>
      <c r="I1266" s="40">
        <v>2535</v>
      </c>
      <c r="J1266" s="40">
        <v>4907</v>
      </c>
      <c r="K1266" s="40">
        <v>17142</v>
      </c>
      <c r="L1266" s="40">
        <v>8943</v>
      </c>
      <c r="M1266" s="40">
        <v>3452</v>
      </c>
      <c r="N1266" s="40">
        <v>4747</v>
      </c>
      <c r="O1266" s="40">
        <v>23889</v>
      </c>
      <c r="P1266" s="40">
        <v>14619</v>
      </c>
      <c r="Q1266" s="40">
        <v>4590</v>
      </c>
      <c r="R1266" s="40">
        <v>4680</v>
      </c>
      <c r="S1266" s="41">
        <v>34.947552399999999</v>
      </c>
      <c r="T1266" s="41">
        <v>22.159090899999999</v>
      </c>
      <c r="U1266" s="41">
        <v>42.893356599999997</v>
      </c>
      <c r="V1266" s="41">
        <v>52.170108499999998</v>
      </c>
      <c r="W1266" s="41">
        <v>20.137673599999999</v>
      </c>
      <c r="X1266" s="41">
        <v>27.692217899999999</v>
      </c>
      <c r="Y1266" s="41">
        <v>61.195529299999997</v>
      </c>
      <c r="Z1266" s="41">
        <v>19.213864099999999</v>
      </c>
      <c r="AA1266" s="41">
        <v>19.590606600000001</v>
      </c>
    </row>
    <row r="1267" spans="1:39" hidden="1" x14ac:dyDescent="0.3">
      <c r="A1267" s="37">
        <v>1263</v>
      </c>
      <c r="B1267" s="38" t="s">
        <v>521</v>
      </c>
      <c r="C1267" s="38" t="s">
        <v>418</v>
      </c>
      <c r="D1267" s="38" t="s">
        <v>420</v>
      </c>
      <c r="E1267" s="38" t="s">
        <v>421</v>
      </c>
      <c r="F1267" s="47" t="s">
        <v>520</v>
      </c>
      <c r="G1267" s="40">
        <v>2118</v>
      </c>
      <c r="H1267" s="40">
        <v>522</v>
      </c>
      <c r="I1267" s="40">
        <v>367</v>
      </c>
      <c r="J1267" s="40">
        <v>1229</v>
      </c>
      <c r="K1267" s="40">
        <v>2446</v>
      </c>
      <c r="L1267" s="40">
        <v>1026</v>
      </c>
      <c r="M1267" s="40">
        <v>427</v>
      </c>
      <c r="N1267" s="40">
        <v>993</v>
      </c>
      <c r="O1267" s="40">
        <v>3553</v>
      </c>
      <c r="P1267" s="40">
        <v>2073</v>
      </c>
      <c r="Q1267" s="40">
        <v>587</v>
      </c>
      <c r="R1267" s="40">
        <v>893</v>
      </c>
      <c r="S1267" s="41">
        <v>24.645892400000001</v>
      </c>
      <c r="T1267" s="41">
        <v>17.327667600000002</v>
      </c>
      <c r="U1267" s="41">
        <v>58.026440000000001</v>
      </c>
      <c r="V1267" s="41">
        <v>41.946034300000001</v>
      </c>
      <c r="W1267" s="41">
        <v>17.457072799999999</v>
      </c>
      <c r="X1267" s="41">
        <v>40.5968929</v>
      </c>
      <c r="Y1267" s="41">
        <v>58.345060500000002</v>
      </c>
      <c r="Z1267" s="41">
        <v>16.521249600000001</v>
      </c>
      <c r="AA1267" s="41">
        <v>25.133689799999999</v>
      </c>
    </row>
    <row r="1268" spans="1:39" hidden="1" x14ac:dyDescent="0.3">
      <c r="A1268" s="42">
        <v>1264</v>
      </c>
      <c r="B1268" s="43" t="s">
        <v>521</v>
      </c>
      <c r="C1268" s="50" t="s">
        <v>418</v>
      </c>
      <c r="D1268" s="50" t="s">
        <v>420</v>
      </c>
      <c r="E1268" s="50" t="s">
        <v>422</v>
      </c>
      <c r="F1268" s="51" t="s">
        <v>422</v>
      </c>
      <c r="G1268" s="45">
        <v>7815</v>
      </c>
      <c r="H1268" s="45">
        <v>3201</v>
      </c>
      <c r="I1268" s="45">
        <v>1790</v>
      </c>
      <c r="J1268" s="45">
        <v>2824</v>
      </c>
      <c r="K1268" s="45">
        <v>9261</v>
      </c>
      <c r="L1268" s="45">
        <v>5174</v>
      </c>
      <c r="M1268" s="45">
        <v>1908</v>
      </c>
      <c r="N1268" s="45">
        <v>2179</v>
      </c>
      <c r="O1268" s="45">
        <v>10891</v>
      </c>
      <c r="P1268" s="45">
        <v>7188</v>
      </c>
      <c r="Q1268" s="45">
        <v>1852</v>
      </c>
      <c r="R1268" s="45">
        <v>1851</v>
      </c>
      <c r="S1268" s="46">
        <v>40.9596929</v>
      </c>
      <c r="T1268" s="46">
        <v>22.904670500000002</v>
      </c>
      <c r="U1268" s="46">
        <v>36.135636599999998</v>
      </c>
      <c r="V1268" s="46">
        <v>55.868696700000001</v>
      </c>
      <c r="W1268" s="46">
        <v>20.602526699999999</v>
      </c>
      <c r="X1268" s="46">
        <v>23.5287766</v>
      </c>
      <c r="Y1268" s="46">
        <v>65.999449100000007</v>
      </c>
      <c r="Z1268" s="46">
        <v>17.004866400000001</v>
      </c>
      <c r="AA1268" s="46">
        <v>16.995684499999999</v>
      </c>
      <c r="AB1268" s="26">
        <f>SUM(W1268:X1268)</f>
        <v>44.131303299999999</v>
      </c>
      <c r="AC1268" s="26">
        <f>SUM(Z1268:AA1268)</f>
        <v>34.0005509</v>
      </c>
      <c r="AD1268" s="57">
        <f>M1268+N1268</f>
        <v>4087</v>
      </c>
      <c r="AE1268" s="57">
        <f>Q1268+R1268</f>
        <v>3703</v>
      </c>
      <c r="AF1268" s="26">
        <f>W1268</f>
        <v>20.602526699999999</v>
      </c>
      <c r="AG1268" s="26">
        <f>Z1268</f>
        <v>17.004866400000001</v>
      </c>
      <c r="AH1268" s="26">
        <f>M1268</f>
        <v>1908</v>
      </c>
      <c r="AI1268" s="26">
        <f>Q1268</f>
        <v>1852</v>
      </c>
      <c r="AJ1268" s="26">
        <f>X1268</f>
        <v>23.5287766</v>
      </c>
      <c r="AK1268" s="26">
        <f>AA1268</f>
        <v>16.995684499999999</v>
      </c>
      <c r="AL1268" s="57">
        <f>N1268</f>
        <v>2179</v>
      </c>
      <c r="AM1268" s="57">
        <f>R1268</f>
        <v>1851</v>
      </c>
    </row>
    <row r="1269" spans="1:39" hidden="1" x14ac:dyDescent="0.3">
      <c r="A1269" s="37">
        <v>1265</v>
      </c>
      <c r="B1269" s="38" t="s">
        <v>521</v>
      </c>
      <c r="C1269" s="38" t="s">
        <v>418</v>
      </c>
      <c r="D1269" s="38" t="s">
        <v>420</v>
      </c>
      <c r="E1269" s="38" t="s">
        <v>422</v>
      </c>
      <c r="F1269" s="47" t="s">
        <v>519</v>
      </c>
      <c r="G1269" s="40">
        <v>6425</v>
      </c>
      <c r="H1269" s="40">
        <v>2784</v>
      </c>
      <c r="I1269" s="40">
        <v>1548</v>
      </c>
      <c r="J1269" s="40">
        <v>2093</v>
      </c>
      <c r="K1269" s="40">
        <v>7900</v>
      </c>
      <c r="L1269" s="40">
        <v>4576</v>
      </c>
      <c r="M1269" s="40">
        <v>1640</v>
      </c>
      <c r="N1269" s="40">
        <v>1684</v>
      </c>
      <c r="O1269" s="40">
        <v>9025</v>
      </c>
      <c r="P1269" s="40">
        <v>6089</v>
      </c>
      <c r="Q1269" s="40">
        <v>1530</v>
      </c>
      <c r="R1269" s="40">
        <v>1406</v>
      </c>
      <c r="S1269" s="41">
        <v>43.330739299999998</v>
      </c>
      <c r="T1269" s="41">
        <v>24.0933852</v>
      </c>
      <c r="U1269" s="41">
        <v>32.575875500000002</v>
      </c>
      <c r="V1269" s="41">
        <v>57.924050600000001</v>
      </c>
      <c r="W1269" s="41">
        <v>20.7594937</v>
      </c>
      <c r="X1269" s="41">
        <v>21.316455699999999</v>
      </c>
      <c r="Y1269" s="41">
        <v>67.468143999999995</v>
      </c>
      <c r="Z1269" s="41">
        <v>16.952908600000001</v>
      </c>
      <c r="AA1269" s="41">
        <v>15.578947400000001</v>
      </c>
    </row>
    <row r="1270" spans="1:39" hidden="1" x14ac:dyDescent="0.3">
      <c r="A1270" s="37">
        <v>1266</v>
      </c>
      <c r="B1270" s="38" t="s">
        <v>521</v>
      </c>
      <c r="C1270" s="38" t="s">
        <v>418</v>
      </c>
      <c r="D1270" s="38" t="s">
        <v>420</v>
      </c>
      <c r="E1270" s="38" t="s">
        <v>422</v>
      </c>
      <c r="F1270" s="47" t="s">
        <v>520</v>
      </c>
      <c r="G1270" s="40">
        <v>1390</v>
      </c>
      <c r="H1270" s="40">
        <v>417</v>
      </c>
      <c r="I1270" s="40">
        <v>242</v>
      </c>
      <c r="J1270" s="40">
        <v>731</v>
      </c>
      <c r="K1270" s="40">
        <v>1361</v>
      </c>
      <c r="L1270" s="40">
        <v>598</v>
      </c>
      <c r="M1270" s="40">
        <v>268</v>
      </c>
      <c r="N1270" s="40">
        <v>495</v>
      </c>
      <c r="O1270" s="40">
        <v>1866</v>
      </c>
      <c r="P1270" s="40">
        <v>1099</v>
      </c>
      <c r="Q1270" s="40">
        <v>322</v>
      </c>
      <c r="R1270" s="40">
        <v>445</v>
      </c>
      <c r="S1270" s="41">
        <v>30</v>
      </c>
      <c r="T1270" s="41">
        <v>17.410071899999998</v>
      </c>
      <c r="U1270" s="41">
        <v>52.589928100000002</v>
      </c>
      <c r="V1270" s="41">
        <v>43.9382807</v>
      </c>
      <c r="W1270" s="41">
        <v>19.691403399999999</v>
      </c>
      <c r="X1270" s="41">
        <v>36.370315900000001</v>
      </c>
      <c r="Y1270" s="41">
        <v>58.896034299999997</v>
      </c>
      <c r="Z1270" s="41">
        <v>17.2561629</v>
      </c>
      <c r="AA1270" s="41">
        <v>23.8478028</v>
      </c>
    </row>
    <row r="1271" spans="1:39" hidden="1" x14ac:dyDescent="0.3">
      <c r="A1271" s="32">
        <v>1267</v>
      </c>
      <c r="B1271" s="33" t="s">
        <v>1</v>
      </c>
      <c r="C1271" s="49" t="s">
        <v>418</v>
      </c>
      <c r="D1271" s="49" t="s">
        <v>423</v>
      </c>
      <c r="E1271" s="49"/>
      <c r="F1271" s="34" t="s">
        <v>423</v>
      </c>
      <c r="G1271" s="35">
        <v>12423</v>
      </c>
      <c r="H1271" s="35">
        <v>3929</v>
      </c>
      <c r="I1271" s="35">
        <v>2756</v>
      </c>
      <c r="J1271" s="35">
        <v>5738</v>
      </c>
      <c r="K1271" s="35">
        <v>19207</v>
      </c>
      <c r="L1271" s="35">
        <v>9615</v>
      </c>
      <c r="M1271" s="35">
        <v>3719</v>
      </c>
      <c r="N1271" s="35">
        <v>5873</v>
      </c>
      <c r="O1271" s="35">
        <v>26098</v>
      </c>
      <c r="P1271" s="35">
        <v>15656</v>
      </c>
      <c r="Q1271" s="35">
        <v>4180</v>
      </c>
      <c r="R1271" s="35">
        <v>6262</v>
      </c>
      <c r="S1271" s="36">
        <v>31.626821199999998</v>
      </c>
      <c r="T1271" s="36">
        <v>22.1846575</v>
      </c>
      <c r="U1271" s="36">
        <v>46.188521299999998</v>
      </c>
      <c r="V1271" s="36">
        <v>50.059874000000001</v>
      </c>
      <c r="W1271" s="36">
        <v>19.362732300000001</v>
      </c>
      <c r="X1271" s="36">
        <v>30.577393699999998</v>
      </c>
      <c r="Y1271" s="36">
        <v>59.989271199999997</v>
      </c>
      <c r="Z1271" s="36">
        <v>16.016552999999998</v>
      </c>
      <c r="AA1271" s="36">
        <v>23.994175800000001</v>
      </c>
    </row>
    <row r="1272" spans="1:39" hidden="1" x14ac:dyDescent="0.3">
      <c r="A1272" s="37">
        <v>1268</v>
      </c>
      <c r="B1272" s="38" t="s">
        <v>1</v>
      </c>
      <c r="C1272" s="38" t="s">
        <v>418</v>
      </c>
      <c r="D1272" s="38" t="s">
        <v>423</v>
      </c>
      <c r="E1272" s="38"/>
      <c r="F1272" s="39" t="s">
        <v>519</v>
      </c>
      <c r="G1272" s="40">
        <v>6833</v>
      </c>
      <c r="H1272" s="40">
        <v>2377</v>
      </c>
      <c r="I1272" s="40">
        <v>1715</v>
      </c>
      <c r="J1272" s="40">
        <v>2741</v>
      </c>
      <c r="K1272" s="40">
        <v>10944</v>
      </c>
      <c r="L1272" s="40">
        <v>5994</v>
      </c>
      <c r="M1272" s="40">
        <v>2260</v>
      </c>
      <c r="N1272" s="40">
        <v>2690</v>
      </c>
      <c r="O1272" s="40">
        <v>13929</v>
      </c>
      <c r="P1272" s="40">
        <v>9152</v>
      </c>
      <c r="Q1272" s="40">
        <v>2354</v>
      </c>
      <c r="R1272" s="40">
        <v>2423</v>
      </c>
      <c r="S1272" s="41">
        <v>34.787062800000001</v>
      </c>
      <c r="T1272" s="41">
        <v>25.098785299999999</v>
      </c>
      <c r="U1272" s="41">
        <v>40.114151900000003</v>
      </c>
      <c r="V1272" s="41">
        <v>54.769736799999997</v>
      </c>
      <c r="W1272" s="41">
        <v>20.650584800000001</v>
      </c>
      <c r="X1272" s="41">
        <v>24.579678399999999</v>
      </c>
      <c r="Y1272" s="41">
        <v>65.704644999999999</v>
      </c>
      <c r="Z1272" s="41">
        <v>16.8999928</v>
      </c>
      <c r="AA1272" s="41">
        <v>17.395362200000001</v>
      </c>
    </row>
    <row r="1273" spans="1:39" hidden="1" x14ac:dyDescent="0.3">
      <c r="A1273" s="37">
        <v>1269</v>
      </c>
      <c r="B1273" s="38" t="s">
        <v>1</v>
      </c>
      <c r="C1273" s="38" t="s">
        <v>418</v>
      </c>
      <c r="D1273" s="38" t="s">
        <v>423</v>
      </c>
      <c r="E1273" s="38"/>
      <c r="F1273" s="39" t="s">
        <v>520</v>
      </c>
      <c r="G1273" s="40">
        <v>5590</v>
      </c>
      <c r="H1273" s="40">
        <v>1552</v>
      </c>
      <c r="I1273" s="40">
        <v>1041</v>
      </c>
      <c r="J1273" s="40">
        <v>2997</v>
      </c>
      <c r="K1273" s="40">
        <v>8263</v>
      </c>
      <c r="L1273" s="40">
        <v>3621</v>
      </c>
      <c r="M1273" s="40">
        <v>1459</v>
      </c>
      <c r="N1273" s="40">
        <v>3183</v>
      </c>
      <c r="O1273" s="40">
        <v>12169</v>
      </c>
      <c r="P1273" s="40">
        <v>6504</v>
      </c>
      <c r="Q1273" s="40">
        <v>1826</v>
      </c>
      <c r="R1273" s="40">
        <v>3839</v>
      </c>
      <c r="S1273" s="41">
        <v>27.763864000000002</v>
      </c>
      <c r="T1273" s="41">
        <v>18.622540300000001</v>
      </c>
      <c r="U1273" s="41">
        <v>53.613595699999998</v>
      </c>
      <c r="V1273" s="41">
        <v>43.821856500000003</v>
      </c>
      <c r="W1273" s="41">
        <v>17.657025300000001</v>
      </c>
      <c r="X1273" s="41">
        <v>38.521118199999997</v>
      </c>
      <c r="Y1273" s="41">
        <v>53.447284099999997</v>
      </c>
      <c r="Z1273" s="41">
        <v>15.005341400000001</v>
      </c>
      <c r="AA1273" s="41">
        <v>31.5473745</v>
      </c>
    </row>
    <row r="1274" spans="1:39" hidden="1" x14ac:dyDescent="0.3">
      <c r="A1274" s="42">
        <v>1270</v>
      </c>
      <c r="B1274" s="43" t="s">
        <v>521</v>
      </c>
      <c r="C1274" s="50" t="s">
        <v>418</v>
      </c>
      <c r="D1274" s="50" t="s">
        <v>423</v>
      </c>
      <c r="E1274" s="50" t="s">
        <v>424</v>
      </c>
      <c r="F1274" s="51" t="s">
        <v>424</v>
      </c>
      <c r="G1274" s="45">
        <v>1815</v>
      </c>
      <c r="H1274" s="45">
        <v>532</v>
      </c>
      <c r="I1274" s="45">
        <v>411</v>
      </c>
      <c r="J1274" s="45">
        <v>872</v>
      </c>
      <c r="K1274" s="45">
        <v>2962</v>
      </c>
      <c r="L1274" s="45">
        <v>1571</v>
      </c>
      <c r="M1274" s="45">
        <v>599</v>
      </c>
      <c r="N1274" s="45">
        <v>792</v>
      </c>
      <c r="O1274" s="45">
        <v>3417</v>
      </c>
      <c r="P1274" s="45">
        <v>2208</v>
      </c>
      <c r="Q1274" s="45">
        <v>534</v>
      </c>
      <c r="R1274" s="45">
        <v>675</v>
      </c>
      <c r="S1274" s="46">
        <v>29.311294799999999</v>
      </c>
      <c r="T1274" s="46">
        <v>22.644628099999998</v>
      </c>
      <c r="U1274" s="46">
        <v>48.044077100000003</v>
      </c>
      <c r="V1274" s="46">
        <v>53.038487500000002</v>
      </c>
      <c r="W1274" s="46">
        <v>20.222822399999998</v>
      </c>
      <c r="X1274" s="46">
        <v>26.738690099999999</v>
      </c>
      <c r="Y1274" s="46">
        <v>64.618086000000005</v>
      </c>
      <c r="Z1274" s="46">
        <v>15.627743600000001</v>
      </c>
      <c r="AA1274" s="46">
        <v>19.754170299999998</v>
      </c>
      <c r="AB1274" s="26">
        <f>SUM(W1274:X1274)</f>
        <v>46.961512499999998</v>
      </c>
      <c r="AC1274" s="26">
        <f>SUM(Z1274:AA1274)</f>
        <v>35.381913900000001</v>
      </c>
      <c r="AD1274" s="57">
        <f>M1274+N1274</f>
        <v>1391</v>
      </c>
      <c r="AE1274" s="57">
        <f>Q1274+R1274</f>
        <v>1209</v>
      </c>
      <c r="AF1274" s="26">
        <f>W1274</f>
        <v>20.222822399999998</v>
      </c>
      <c r="AG1274" s="26">
        <f>Z1274</f>
        <v>15.627743600000001</v>
      </c>
      <c r="AH1274" s="26">
        <f>M1274</f>
        <v>599</v>
      </c>
      <c r="AI1274" s="26">
        <f>Q1274</f>
        <v>534</v>
      </c>
      <c r="AJ1274" s="26">
        <f>X1274</f>
        <v>26.738690099999999</v>
      </c>
      <c r="AK1274" s="26">
        <f>AA1274</f>
        <v>19.754170299999998</v>
      </c>
      <c r="AL1274" s="57">
        <f>N1274</f>
        <v>792</v>
      </c>
      <c r="AM1274" s="57">
        <f>R1274</f>
        <v>675</v>
      </c>
    </row>
    <row r="1275" spans="1:39" hidden="1" x14ac:dyDescent="0.3">
      <c r="A1275" s="37">
        <v>1271</v>
      </c>
      <c r="B1275" s="38" t="s">
        <v>521</v>
      </c>
      <c r="C1275" s="38" t="s">
        <v>418</v>
      </c>
      <c r="D1275" s="38" t="s">
        <v>423</v>
      </c>
      <c r="E1275" s="38" t="s">
        <v>424</v>
      </c>
      <c r="F1275" s="47" t="s">
        <v>519</v>
      </c>
      <c r="G1275" s="40">
        <v>949</v>
      </c>
      <c r="H1275" s="40">
        <v>309</v>
      </c>
      <c r="I1275" s="40">
        <v>263</v>
      </c>
      <c r="J1275" s="40">
        <v>377</v>
      </c>
      <c r="K1275" s="40">
        <v>1569</v>
      </c>
      <c r="L1275" s="40">
        <v>979</v>
      </c>
      <c r="M1275" s="40">
        <v>331</v>
      </c>
      <c r="N1275" s="40">
        <v>259</v>
      </c>
      <c r="O1275" s="40">
        <v>1884</v>
      </c>
      <c r="P1275" s="40">
        <v>1303</v>
      </c>
      <c r="Q1275" s="40">
        <v>309</v>
      </c>
      <c r="R1275" s="40">
        <v>272</v>
      </c>
      <c r="S1275" s="41">
        <v>32.560590099999999</v>
      </c>
      <c r="T1275" s="41">
        <v>27.713382500000002</v>
      </c>
      <c r="U1275" s="41">
        <v>39.7260274</v>
      </c>
      <c r="V1275" s="41">
        <v>62.396430799999997</v>
      </c>
      <c r="W1275" s="41">
        <v>21.096239600000001</v>
      </c>
      <c r="X1275" s="41">
        <v>16.507329500000001</v>
      </c>
      <c r="Y1275" s="41">
        <v>69.161358800000002</v>
      </c>
      <c r="Z1275" s="41">
        <v>16.4012739</v>
      </c>
      <c r="AA1275" s="41">
        <v>14.4373673</v>
      </c>
    </row>
    <row r="1276" spans="1:39" hidden="1" x14ac:dyDescent="0.3">
      <c r="A1276" s="37">
        <v>1272</v>
      </c>
      <c r="B1276" s="38" t="s">
        <v>521</v>
      </c>
      <c r="C1276" s="38" t="s">
        <v>418</v>
      </c>
      <c r="D1276" s="38" t="s">
        <v>423</v>
      </c>
      <c r="E1276" s="38" t="s">
        <v>424</v>
      </c>
      <c r="F1276" s="47" t="s">
        <v>520</v>
      </c>
      <c r="G1276" s="40">
        <v>866</v>
      </c>
      <c r="H1276" s="40">
        <v>223</v>
      </c>
      <c r="I1276" s="40">
        <v>148</v>
      </c>
      <c r="J1276" s="40">
        <v>495</v>
      </c>
      <c r="K1276" s="40">
        <v>1393</v>
      </c>
      <c r="L1276" s="40">
        <v>592</v>
      </c>
      <c r="M1276" s="40">
        <v>268</v>
      </c>
      <c r="N1276" s="40">
        <v>533</v>
      </c>
      <c r="O1276" s="40">
        <v>1533</v>
      </c>
      <c r="P1276" s="40">
        <v>905</v>
      </c>
      <c r="Q1276" s="40">
        <v>225</v>
      </c>
      <c r="R1276" s="40">
        <v>403</v>
      </c>
      <c r="S1276" s="41">
        <v>25.750577400000001</v>
      </c>
      <c r="T1276" s="41">
        <v>17.0900693</v>
      </c>
      <c r="U1276" s="41">
        <v>57.159353299999999</v>
      </c>
      <c r="V1276" s="41">
        <v>42.498205300000002</v>
      </c>
      <c r="W1276" s="41">
        <v>19.239052399999998</v>
      </c>
      <c r="X1276" s="41">
        <v>38.262742299999999</v>
      </c>
      <c r="Y1276" s="41">
        <v>59.034572699999998</v>
      </c>
      <c r="Z1276" s="41">
        <v>14.6771037</v>
      </c>
      <c r="AA1276" s="41">
        <v>26.288323500000001</v>
      </c>
    </row>
    <row r="1277" spans="1:39" hidden="1" x14ac:dyDescent="0.3">
      <c r="A1277" s="42">
        <v>1273</v>
      </c>
      <c r="B1277" s="43" t="s">
        <v>521</v>
      </c>
      <c r="C1277" s="50" t="s">
        <v>418</v>
      </c>
      <c r="D1277" s="50" t="s">
        <v>423</v>
      </c>
      <c r="E1277" s="50" t="s">
        <v>425</v>
      </c>
      <c r="F1277" s="51" t="s">
        <v>425</v>
      </c>
      <c r="G1277" s="45">
        <v>6545</v>
      </c>
      <c r="H1277" s="45">
        <v>2151</v>
      </c>
      <c r="I1277" s="45">
        <v>1456</v>
      </c>
      <c r="J1277" s="45">
        <v>2938</v>
      </c>
      <c r="K1277" s="45">
        <v>9412</v>
      </c>
      <c r="L1277" s="45">
        <v>4494</v>
      </c>
      <c r="M1277" s="45">
        <v>1780</v>
      </c>
      <c r="N1277" s="45">
        <v>3138</v>
      </c>
      <c r="O1277" s="45">
        <v>13051</v>
      </c>
      <c r="P1277" s="45">
        <v>7338</v>
      </c>
      <c r="Q1277" s="45">
        <v>2083</v>
      </c>
      <c r="R1277" s="45">
        <v>3630</v>
      </c>
      <c r="S1277" s="46">
        <v>32.864782300000002</v>
      </c>
      <c r="T1277" s="46">
        <v>22.245989300000002</v>
      </c>
      <c r="U1277" s="46">
        <v>44.8892284</v>
      </c>
      <c r="V1277" s="46">
        <v>47.747556299999999</v>
      </c>
      <c r="W1277" s="46">
        <v>18.912027200000001</v>
      </c>
      <c r="X1277" s="46">
        <v>33.340416500000003</v>
      </c>
      <c r="Y1277" s="46">
        <v>56.225576599999997</v>
      </c>
      <c r="Z1277" s="46">
        <v>15.9604628</v>
      </c>
      <c r="AA1277" s="46">
        <v>27.813960600000001</v>
      </c>
      <c r="AB1277" s="26">
        <f>SUM(W1277:X1277)</f>
        <v>52.252443700000001</v>
      </c>
      <c r="AC1277" s="26">
        <f>SUM(Z1277:AA1277)</f>
        <v>43.774423400000003</v>
      </c>
      <c r="AD1277" s="57">
        <f>M1277+N1277</f>
        <v>4918</v>
      </c>
      <c r="AE1277" s="57">
        <f>Q1277+R1277</f>
        <v>5713</v>
      </c>
      <c r="AF1277" s="26">
        <f>W1277</f>
        <v>18.912027200000001</v>
      </c>
      <c r="AG1277" s="26">
        <f>Z1277</f>
        <v>15.9604628</v>
      </c>
      <c r="AH1277" s="26">
        <f>M1277</f>
        <v>1780</v>
      </c>
      <c r="AI1277" s="26">
        <f>Q1277</f>
        <v>2083</v>
      </c>
      <c r="AJ1277" s="26">
        <f>X1277</f>
        <v>33.340416500000003</v>
      </c>
      <c r="AK1277" s="26">
        <f>AA1277</f>
        <v>27.813960600000001</v>
      </c>
      <c r="AL1277" s="57">
        <f>N1277</f>
        <v>3138</v>
      </c>
      <c r="AM1277" s="57">
        <f>R1277</f>
        <v>3630</v>
      </c>
    </row>
    <row r="1278" spans="1:39" hidden="1" x14ac:dyDescent="0.3">
      <c r="A1278" s="37">
        <v>1274</v>
      </c>
      <c r="B1278" s="38" t="s">
        <v>521</v>
      </c>
      <c r="C1278" s="38" t="s">
        <v>418</v>
      </c>
      <c r="D1278" s="38" t="s">
        <v>423</v>
      </c>
      <c r="E1278" s="38" t="s">
        <v>425</v>
      </c>
      <c r="F1278" s="47" t="s">
        <v>519</v>
      </c>
      <c r="G1278" s="40">
        <v>3722</v>
      </c>
      <c r="H1278" s="40">
        <v>1340</v>
      </c>
      <c r="I1278" s="40">
        <v>937</v>
      </c>
      <c r="J1278" s="40">
        <v>1445</v>
      </c>
      <c r="K1278" s="40">
        <v>5175</v>
      </c>
      <c r="L1278" s="40">
        <v>2796</v>
      </c>
      <c r="M1278" s="40">
        <v>1073</v>
      </c>
      <c r="N1278" s="40">
        <v>1306</v>
      </c>
      <c r="O1278" s="40">
        <v>6406</v>
      </c>
      <c r="P1278" s="40">
        <v>4186</v>
      </c>
      <c r="Q1278" s="40">
        <v>1084</v>
      </c>
      <c r="R1278" s="40">
        <v>1136</v>
      </c>
      <c r="S1278" s="41">
        <v>36.0021494</v>
      </c>
      <c r="T1278" s="41">
        <v>25.174637300000001</v>
      </c>
      <c r="U1278" s="41">
        <v>38.823213299999999</v>
      </c>
      <c r="V1278" s="41">
        <v>54.028985499999997</v>
      </c>
      <c r="W1278" s="41">
        <v>20.734299499999999</v>
      </c>
      <c r="X1278" s="41">
        <v>25.236715</v>
      </c>
      <c r="Y1278" s="41">
        <v>65.344989100000006</v>
      </c>
      <c r="Z1278" s="41">
        <v>16.921635999999999</v>
      </c>
      <c r="AA1278" s="41">
        <v>17.733374999999999</v>
      </c>
    </row>
    <row r="1279" spans="1:39" hidden="1" x14ac:dyDescent="0.3">
      <c r="A1279" s="37">
        <v>1275</v>
      </c>
      <c r="B1279" s="38" t="s">
        <v>521</v>
      </c>
      <c r="C1279" s="38" t="s">
        <v>418</v>
      </c>
      <c r="D1279" s="38" t="s">
        <v>423</v>
      </c>
      <c r="E1279" s="38" t="s">
        <v>425</v>
      </c>
      <c r="F1279" s="47" t="s">
        <v>520</v>
      </c>
      <c r="G1279" s="40">
        <v>2823</v>
      </c>
      <c r="H1279" s="40">
        <v>811</v>
      </c>
      <c r="I1279" s="40">
        <v>519</v>
      </c>
      <c r="J1279" s="40">
        <v>1493</v>
      </c>
      <c r="K1279" s="40">
        <v>4237</v>
      </c>
      <c r="L1279" s="40">
        <v>1698</v>
      </c>
      <c r="M1279" s="40">
        <v>707</v>
      </c>
      <c r="N1279" s="40">
        <v>1832</v>
      </c>
      <c r="O1279" s="40">
        <v>6645</v>
      </c>
      <c r="P1279" s="40">
        <v>3152</v>
      </c>
      <c r="Q1279" s="40">
        <v>999</v>
      </c>
      <c r="R1279" s="40">
        <v>2494</v>
      </c>
      <c r="S1279" s="41">
        <v>28.728303199999999</v>
      </c>
      <c r="T1279" s="41">
        <v>18.3846971</v>
      </c>
      <c r="U1279" s="41">
        <v>52.886999600000003</v>
      </c>
      <c r="V1279" s="41">
        <v>40.0755251</v>
      </c>
      <c r="W1279" s="41">
        <v>16.6863347</v>
      </c>
      <c r="X1279" s="41">
        <v>43.238140199999997</v>
      </c>
      <c r="Y1279" s="41">
        <v>47.434161000000003</v>
      </c>
      <c r="Z1279" s="41">
        <v>15.033860000000001</v>
      </c>
      <c r="AA1279" s="41">
        <v>37.531978899999999</v>
      </c>
    </row>
    <row r="1280" spans="1:39" hidden="1" x14ac:dyDescent="0.3">
      <c r="A1280" s="42">
        <v>1276</v>
      </c>
      <c r="B1280" s="43" t="s">
        <v>521</v>
      </c>
      <c r="C1280" s="50" t="s">
        <v>418</v>
      </c>
      <c r="D1280" s="50" t="s">
        <v>423</v>
      </c>
      <c r="E1280" s="50" t="s">
        <v>374</v>
      </c>
      <c r="F1280" s="51" t="s">
        <v>374</v>
      </c>
      <c r="G1280" s="45">
        <v>1567</v>
      </c>
      <c r="H1280" s="45">
        <v>487</v>
      </c>
      <c r="I1280" s="45">
        <v>359</v>
      </c>
      <c r="J1280" s="45">
        <v>721</v>
      </c>
      <c r="K1280" s="45">
        <v>1976</v>
      </c>
      <c r="L1280" s="45">
        <v>918</v>
      </c>
      <c r="M1280" s="45">
        <v>436</v>
      </c>
      <c r="N1280" s="45">
        <v>622</v>
      </c>
      <c r="O1280" s="45">
        <v>2755</v>
      </c>
      <c r="P1280" s="45">
        <v>1626</v>
      </c>
      <c r="Q1280" s="45">
        <v>522</v>
      </c>
      <c r="R1280" s="45">
        <v>607</v>
      </c>
      <c r="S1280" s="46">
        <v>31.078493900000002</v>
      </c>
      <c r="T1280" s="46">
        <v>22.9100191</v>
      </c>
      <c r="U1280" s="46">
        <v>46.011486900000001</v>
      </c>
      <c r="V1280" s="46">
        <v>46.457489899999999</v>
      </c>
      <c r="W1280" s="46">
        <v>22.064777299999999</v>
      </c>
      <c r="X1280" s="46">
        <v>31.477732799999998</v>
      </c>
      <c r="Y1280" s="46">
        <v>59.019963699999998</v>
      </c>
      <c r="Z1280" s="46">
        <v>18.947368399999998</v>
      </c>
      <c r="AA1280" s="46">
        <v>22.0326679</v>
      </c>
      <c r="AB1280" s="26">
        <f>SUM(W1280:X1280)</f>
        <v>53.542510100000001</v>
      </c>
      <c r="AC1280" s="26">
        <f>SUM(Z1280:AA1280)</f>
        <v>40.980036299999995</v>
      </c>
      <c r="AD1280" s="57">
        <f>M1280+N1280</f>
        <v>1058</v>
      </c>
      <c r="AE1280" s="57">
        <f>Q1280+R1280</f>
        <v>1129</v>
      </c>
      <c r="AF1280" s="26">
        <f>W1280</f>
        <v>22.064777299999999</v>
      </c>
      <c r="AG1280" s="26">
        <f>Z1280</f>
        <v>18.947368399999998</v>
      </c>
      <c r="AH1280" s="26">
        <f>M1280</f>
        <v>436</v>
      </c>
      <c r="AI1280" s="26">
        <f>Q1280</f>
        <v>522</v>
      </c>
      <c r="AJ1280" s="26">
        <f>X1280</f>
        <v>31.477732799999998</v>
      </c>
      <c r="AK1280" s="26">
        <f>AA1280</f>
        <v>22.0326679</v>
      </c>
      <c r="AL1280" s="57">
        <f>N1280</f>
        <v>622</v>
      </c>
      <c r="AM1280" s="57">
        <f>R1280</f>
        <v>607</v>
      </c>
    </row>
    <row r="1281" spans="1:39" hidden="1" x14ac:dyDescent="0.3">
      <c r="A1281" s="37">
        <v>1277</v>
      </c>
      <c r="B1281" s="38" t="s">
        <v>521</v>
      </c>
      <c r="C1281" s="38" t="s">
        <v>418</v>
      </c>
      <c r="D1281" s="38" t="s">
        <v>423</v>
      </c>
      <c r="E1281" s="38" t="s">
        <v>374</v>
      </c>
      <c r="F1281" s="47" t="s">
        <v>519</v>
      </c>
      <c r="G1281" s="40">
        <v>678</v>
      </c>
      <c r="H1281" s="40">
        <v>230</v>
      </c>
      <c r="I1281" s="40">
        <v>165</v>
      </c>
      <c r="J1281" s="40">
        <v>283</v>
      </c>
      <c r="K1281" s="40">
        <v>1055</v>
      </c>
      <c r="L1281" s="40">
        <v>568</v>
      </c>
      <c r="M1281" s="40">
        <v>222</v>
      </c>
      <c r="N1281" s="40">
        <v>265</v>
      </c>
      <c r="O1281" s="40">
        <v>1374</v>
      </c>
      <c r="P1281" s="40">
        <v>882</v>
      </c>
      <c r="Q1281" s="40">
        <v>257</v>
      </c>
      <c r="R1281" s="40">
        <v>235</v>
      </c>
      <c r="S1281" s="41">
        <v>33.923303799999999</v>
      </c>
      <c r="T1281" s="41">
        <v>24.3362832</v>
      </c>
      <c r="U1281" s="41">
        <v>41.740412999999997</v>
      </c>
      <c r="V1281" s="41">
        <v>53.838862599999999</v>
      </c>
      <c r="W1281" s="41">
        <v>21.042653999999999</v>
      </c>
      <c r="X1281" s="41">
        <v>25.118483399999999</v>
      </c>
      <c r="Y1281" s="41">
        <v>64.192139699999998</v>
      </c>
      <c r="Z1281" s="41">
        <v>18.704512399999999</v>
      </c>
      <c r="AA1281" s="41">
        <v>17.103347899999999</v>
      </c>
    </row>
    <row r="1282" spans="1:39" hidden="1" x14ac:dyDescent="0.3">
      <c r="A1282" s="37">
        <v>1278</v>
      </c>
      <c r="B1282" s="38" t="s">
        <v>521</v>
      </c>
      <c r="C1282" s="38" t="s">
        <v>418</v>
      </c>
      <c r="D1282" s="38" t="s">
        <v>423</v>
      </c>
      <c r="E1282" s="38" t="s">
        <v>374</v>
      </c>
      <c r="F1282" s="47" t="s">
        <v>520</v>
      </c>
      <c r="G1282" s="40">
        <v>889</v>
      </c>
      <c r="H1282" s="40">
        <v>257</v>
      </c>
      <c r="I1282" s="40">
        <v>194</v>
      </c>
      <c r="J1282" s="40">
        <v>438</v>
      </c>
      <c r="K1282" s="40">
        <v>921</v>
      </c>
      <c r="L1282" s="40">
        <v>350</v>
      </c>
      <c r="M1282" s="40">
        <v>214</v>
      </c>
      <c r="N1282" s="40">
        <v>357</v>
      </c>
      <c r="O1282" s="40">
        <v>1381</v>
      </c>
      <c r="P1282" s="40">
        <v>744</v>
      </c>
      <c r="Q1282" s="40">
        <v>265</v>
      </c>
      <c r="R1282" s="40">
        <v>372</v>
      </c>
      <c r="S1282" s="41">
        <v>28.9088864</v>
      </c>
      <c r="T1282" s="41">
        <v>21.8222722</v>
      </c>
      <c r="U1282" s="41">
        <v>49.268841399999999</v>
      </c>
      <c r="V1282" s="41">
        <v>38.002171599999997</v>
      </c>
      <c r="W1282" s="41">
        <v>23.235613499999999</v>
      </c>
      <c r="X1282" s="41">
        <v>38.762214999999998</v>
      </c>
      <c r="Y1282" s="41">
        <v>53.874004300000003</v>
      </c>
      <c r="Z1282" s="41">
        <v>19.188993499999999</v>
      </c>
      <c r="AA1282" s="41">
        <v>26.937002199999998</v>
      </c>
    </row>
    <row r="1283" spans="1:39" hidden="1" x14ac:dyDescent="0.3">
      <c r="A1283" s="42">
        <v>1279</v>
      </c>
      <c r="B1283" s="43" t="s">
        <v>521</v>
      </c>
      <c r="C1283" s="50" t="s">
        <v>418</v>
      </c>
      <c r="D1283" s="50" t="s">
        <v>423</v>
      </c>
      <c r="E1283" s="50" t="s">
        <v>426</v>
      </c>
      <c r="F1283" s="51" t="s">
        <v>426</v>
      </c>
      <c r="G1283" s="45">
        <v>2496</v>
      </c>
      <c r="H1283" s="45">
        <v>759</v>
      </c>
      <c r="I1283" s="45">
        <v>530</v>
      </c>
      <c r="J1283" s="45">
        <v>1207</v>
      </c>
      <c r="K1283" s="45">
        <v>4857</v>
      </c>
      <c r="L1283" s="45">
        <v>2632</v>
      </c>
      <c r="M1283" s="45">
        <v>904</v>
      </c>
      <c r="N1283" s="45">
        <v>1321</v>
      </c>
      <c r="O1283" s="45">
        <v>6875</v>
      </c>
      <c r="P1283" s="45">
        <v>4484</v>
      </c>
      <c r="Q1283" s="45">
        <v>1041</v>
      </c>
      <c r="R1283" s="45">
        <v>1350</v>
      </c>
      <c r="S1283" s="46">
        <v>30.4086538</v>
      </c>
      <c r="T1283" s="46">
        <v>21.233974400000001</v>
      </c>
      <c r="U1283" s="46">
        <v>48.357371800000003</v>
      </c>
      <c r="V1283" s="46">
        <v>54.189829099999997</v>
      </c>
      <c r="W1283" s="46">
        <v>18.6123121</v>
      </c>
      <c r="X1283" s="46">
        <v>27.197858799999999</v>
      </c>
      <c r="Y1283" s="46">
        <v>65.221818200000001</v>
      </c>
      <c r="Z1283" s="46">
        <v>15.141818199999999</v>
      </c>
      <c r="AA1283" s="46">
        <v>19.636363599999999</v>
      </c>
      <c r="AB1283" s="26">
        <f>SUM(W1283:X1283)</f>
        <v>45.810170900000003</v>
      </c>
      <c r="AC1283" s="26">
        <f>SUM(Z1283:AA1283)</f>
        <v>34.778181799999999</v>
      </c>
      <c r="AD1283" s="57">
        <f>M1283+N1283</f>
        <v>2225</v>
      </c>
      <c r="AE1283" s="57">
        <f>Q1283+R1283</f>
        <v>2391</v>
      </c>
      <c r="AF1283" s="26">
        <f>W1283</f>
        <v>18.6123121</v>
      </c>
      <c r="AG1283" s="26">
        <f>Z1283</f>
        <v>15.141818199999999</v>
      </c>
      <c r="AH1283" s="26">
        <f>M1283</f>
        <v>904</v>
      </c>
      <c r="AI1283" s="26">
        <f>Q1283</f>
        <v>1041</v>
      </c>
      <c r="AJ1283" s="26">
        <f>X1283</f>
        <v>27.197858799999999</v>
      </c>
      <c r="AK1283" s="26">
        <f>AA1283</f>
        <v>19.636363599999999</v>
      </c>
      <c r="AL1283" s="57">
        <f>N1283</f>
        <v>1321</v>
      </c>
      <c r="AM1283" s="57">
        <f>R1283</f>
        <v>1350</v>
      </c>
    </row>
    <row r="1284" spans="1:39" hidden="1" x14ac:dyDescent="0.3">
      <c r="A1284" s="37">
        <v>1280</v>
      </c>
      <c r="B1284" s="38" t="s">
        <v>521</v>
      </c>
      <c r="C1284" s="38" t="s">
        <v>418</v>
      </c>
      <c r="D1284" s="38" t="s">
        <v>423</v>
      </c>
      <c r="E1284" s="38" t="s">
        <v>426</v>
      </c>
      <c r="F1284" s="47" t="s">
        <v>519</v>
      </c>
      <c r="G1284" s="40">
        <v>1484</v>
      </c>
      <c r="H1284" s="40">
        <v>498</v>
      </c>
      <c r="I1284" s="40">
        <v>350</v>
      </c>
      <c r="J1284" s="40">
        <v>636</v>
      </c>
      <c r="K1284" s="40">
        <v>3145</v>
      </c>
      <c r="L1284" s="40">
        <v>1651</v>
      </c>
      <c r="M1284" s="40">
        <v>634</v>
      </c>
      <c r="N1284" s="40">
        <v>860</v>
      </c>
      <c r="O1284" s="40">
        <v>4265</v>
      </c>
      <c r="P1284" s="40">
        <v>2781</v>
      </c>
      <c r="Q1284" s="40">
        <v>704</v>
      </c>
      <c r="R1284" s="40">
        <v>780</v>
      </c>
      <c r="S1284" s="41">
        <v>33.557951500000001</v>
      </c>
      <c r="T1284" s="41">
        <v>23.5849057</v>
      </c>
      <c r="U1284" s="41">
        <v>42.857142899999999</v>
      </c>
      <c r="V1284" s="41">
        <v>52.496025400000001</v>
      </c>
      <c r="W1284" s="41">
        <v>20.1589825</v>
      </c>
      <c r="X1284" s="41">
        <v>27.344992099999999</v>
      </c>
      <c r="Y1284" s="41">
        <v>65.205158299999994</v>
      </c>
      <c r="Z1284" s="41">
        <v>16.5064478</v>
      </c>
      <c r="AA1284" s="41">
        <v>18.288393899999999</v>
      </c>
    </row>
    <row r="1285" spans="1:39" hidden="1" x14ac:dyDescent="0.3">
      <c r="A1285" s="37">
        <v>1281</v>
      </c>
      <c r="B1285" s="38" t="s">
        <v>521</v>
      </c>
      <c r="C1285" s="38" t="s">
        <v>418</v>
      </c>
      <c r="D1285" s="38" t="s">
        <v>423</v>
      </c>
      <c r="E1285" s="38" t="s">
        <v>426</v>
      </c>
      <c r="F1285" s="47" t="s">
        <v>520</v>
      </c>
      <c r="G1285" s="40">
        <v>1012</v>
      </c>
      <c r="H1285" s="40">
        <v>261</v>
      </c>
      <c r="I1285" s="40">
        <v>180</v>
      </c>
      <c r="J1285" s="40">
        <v>571</v>
      </c>
      <c r="K1285" s="40">
        <v>1712</v>
      </c>
      <c r="L1285" s="40">
        <v>981</v>
      </c>
      <c r="M1285" s="40">
        <v>270</v>
      </c>
      <c r="N1285" s="40">
        <v>461</v>
      </c>
      <c r="O1285" s="40">
        <v>2610</v>
      </c>
      <c r="P1285" s="40">
        <v>1703</v>
      </c>
      <c r="Q1285" s="40">
        <v>337</v>
      </c>
      <c r="R1285" s="40">
        <v>570</v>
      </c>
      <c r="S1285" s="41">
        <v>25.790513799999999</v>
      </c>
      <c r="T1285" s="41">
        <v>17.786561299999999</v>
      </c>
      <c r="U1285" s="41">
        <v>56.422924899999998</v>
      </c>
      <c r="V1285" s="41">
        <v>57.301401900000002</v>
      </c>
      <c r="W1285" s="41">
        <v>15.771027999999999</v>
      </c>
      <c r="X1285" s="41">
        <v>26.927570100000001</v>
      </c>
      <c r="Y1285" s="41">
        <v>65.249042099999997</v>
      </c>
      <c r="Z1285" s="41">
        <v>12.9118774</v>
      </c>
      <c r="AA1285" s="41">
        <v>21.839080500000001</v>
      </c>
    </row>
    <row r="1286" spans="1:39" hidden="1" x14ac:dyDescent="0.3">
      <c r="A1286" s="32">
        <v>1282</v>
      </c>
      <c r="B1286" s="33" t="s">
        <v>1</v>
      </c>
      <c r="C1286" s="49" t="s">
        <v>418</v>
      </c>
      <c r="D1286" s="49" t="s">
        <v>428</v>
      </c>
      <c r="E1286" s="49"/>
      <c r="F1286" s="34" t="s">
        <v>428</v>
      </c>
      <c r="G1286" s="35">
        <v>4452</v>
      </c>
      <c r="H1286" s="35">
        <v>1338</v>
      </c>
      <c r="I1286" s="35">
        <v>1059</v>
      </c>
      <c r="J1286" s="35">
        <v>2055</v>
      </c>
      <c r="K1286" s="35">
        <v>4368</v>
      </c>
      <c r="L1286" s="35">
        <v>2065</v>
      </c>
      <c r="M1286" s="35">
        <v>839</v>
      </c>
      <c r="N1286" s="35">
        <v>1464</v>
      </c>
      <c r="O1286" s="35">
        <v>5750</v>
      </c>
      <c r="P1286" s="35">
        <v>3112</v>
      </c>
      <c r="Q1286" s="35">
        <v>1178</v>
      </c>
      <c r="R1286" s="35">
        <v>1460</v>
      </c>
      <c r="S1286" s="36">
        <v>30.053908400000001</v>
      </c>
      <c r="T1286" s="36">
        <v>23.787061999999999</v>
      </c>
      <c r="U1286" s="36">
        <v>46.159029599999997</v>
      </c>
      <c r="V1286" s="36">
        <v>47.275641</v>
      </c>
      <c r="W1286" s="36">
        <v>19.2078755</v>
      </c>
      <c r="X1286" s="36">
        <v>33.5164835</v>
      </c>
      <c r="Y1286" s="36">
        <v>54.121739099999999</v>
      </c>
      <c r="Z1286" s="36">
        <v>20.486956500000002</v>
      </c>
      <c r="AA1286" s="36">
        <v>25.391304300000002</v>
      </c>
    </row>
    <row r="1287" spans="1:39" hidden="1" x14ac:dyDescent="0.3">
      <c r="A1287" s="37">
        <v>1283</v>
      </c>
      <c r="B1287" s="38" t="s">
        <v>1</v>
      </c>
      <c r="C1287" s="38" t="s">
        <v>418</v>
      </c>
      <c r="D1287" s="38" t="s">
        <v>428</v>
      </c>
      <c r="E1287" s="38"/>
      <c r="F1287" s="39" t="s">
        <v>519</v>
      </c>
      <c r="G1287" s="40">
        <v>2197</v>
      </c>
      <c r="H1287" s="40">
        <v>814</v>
      </c>
      <c r="I1287" s="40">
        <v>537</v>
      </c>
      <c r="J1287" s="40">
        <v>846</v>
      </c>
      <c r="K1287" s="40">
        <v>2407</v>
      </c>
      <c r="L1287" s="40">
        <v>1218</v>
      </c>
      <c r="M1287" s="40">
        <v>491</v>
      </c>
      <c r="N1287" s="40">
        <v>698</v>
      </c>
      <c r="O1287" s="40">
        <v>3213</v>
      </c>
      <c r="P1287" s="40">
        <v>1790</v>
      </c>
      <c r="Q1287" s="40">
        <v>667</v>
      </c>
      <c r="R1287" s="40">
        <v>756</v>
      </c>
      <c r="S1287" s="41">
        <v>37.050523400000003</v>
      </c>
      <c r="T1287" s="41">
        <v>24.442421499999998</v>
      </c>
      <c r="U1287" s="41">
        <v>38.507055100000002</v>
      </c>
      <c r="V1287" s="41">
        <v>50.602409600000001</v>
      </c>
      <c r="W1287" s="41">
        <v>20.3988367</v>
      </c>
      <c r="X1287" s="41">
        <v>28.998753600000001</v>
      </c>
      <c r="Y1287" s="41">
        <v>55.7111734</v>
      </c>
      <c r="Z1287" s="41">
        <v>20.759414899999999</v>
      </c>
      <c r="AA1287" s="41">
        <v>23.529411799999998</v>
      </c>
    </row>
    <row r="1288" spans="1:39" hidden="1" x14ac:dyDescent="0.3">
      <c r="A1288" s="37">
        <v>1284</v>
      </c>
      <c r="B1288" s="38" t="s">
        <v>1</v>
      </c>
      <c r="C1288" s="38" t="s">
        <v>418</v>
      </c>
      <c r="D1288" s="38" t="s">
        <v>428</v>
      </c>
      <c r="E1288" s="38"/>
      <c r="F1288" s="39" t="s">
        <v>520</v>
      </c>
      <c r="G1288" s="40">
        <v>2255</v>
      </c>
      <c r="H1288" s="40">
        <v>524</v>
      </c>
      <c r="I1288" s="40">
        <v>522</v>
      </c>
      <c r="J1288" s="40">
        <v>1209</v>
      </c>
      <c r="K1288" s="40">
        <v>1961</v>
      </c>
      <c r="L1288" s="40">
        <v>847</v>
      </c>
      <c r="M1288" s="40">
        <v>348</v>
      </c>
      <c r="N1288" s="40">
        <v>766</v>
      </c>
      <c r="O1288" s="40">
        <v>2537</v>
      </c>
      <c r="P1288" s="40">
        <v>1322</v>
      </c>
      <c r="Q1288" s="40">
        <v>511</v>
      </c>
      <c r="R1288" s="40">
        <v>704</v>
      </c>
      <c r="S1288" s="41">
        <v>23.237250599999999</v>
      </c>
      <c r="T1288" s="41">
        <v>23.1485588</v>
      </c>
      <c r="U1288" s="41">
        <v>53.614190700000002</v>
      </c>
      <c r="V1288" s="41">
        <v>43.192248900000003</v>
      </c>
      <c r="W1288" s="41">
        <v>17.746047900000001</v>
      </c>
      <c r="X1288" s="41">
        <v>39.061703199999997</v>
      </c>
      <c r="Y1288" s="41">
        <v>52.108789899999998</v>
      </c>
      <c r="Z1288" s="41">
        <v>20.141899899999999</v>
      </c>
      <c r="AA1288" s="41">
        <v>27.7493102</v>
      </c>
    </row>
    <row r="1289" spans="1:39" hidden="1" x14ac:dyDescent="0.3">
      <c r="A1289" s="42">
        <v>1285</v>
      </c>
      <c r="B1289" s="43" t="s">
        <v>521</v>
      </c>
      <c r="C1289" s="50" t="s">
        <v>418</v>
      </c>
      <c r="D1289" s="50" t="s">
        <v>428</v>
      </c>
      <c r="E1289" s="50" t="s">
        <v>429</v>
      </c>
      <c r="F1289" s="51" t="s">
        <v>429</v>
      </c>
      <c r="G1289" s="45">
        <v>3362</v>
      </c>
      <c r="H1289" s="45">
        <v>1078</v>
      </c>
      <c r="I1289" s="45">
        <v>806</v>
      </c>
      <c r="J1289" s="45">
        <v>1478</v>
      </c>
      <c r="K1289" s="45">
        <v>3430</v>
      </c>
      <c r="L1289" s="45">
        <v>1744</v>
      </c>
      <c r="M1289" s="45">
        <v>670</v>
      </c>
      <c r="N1289" s="45">
        <v>1016</v>
      </c>
      <c r="O1289" s="45">
        <v>4295</v>
      </c>
      <c r="P1289" s="45">
        <v>2479</v>
      </c>
      <c r="Q1289" s="45">
        <v>827</v>
      </c>
      <c r="R1289" s="45">
        <v>989</v>
      </c>
      <c r="S1289" s="46">
        <v>32.0642475</v>
      </c>
      <c r="T1289" s="46">
        <v>23.973825099999999</v>
      </c>
      <c r="U1289" s="46">
        <v>43.9619274</v>
      </c>
      <c r="V1289" s="46">
        <v>50.845480999999999</v>
      </c>
      <c r="W1289" s="46">
        <v>19.5335277</v>
      </c>
      <c r="X1289" s="46">
        <v>29.6209913</v>
      </c>
      <c r="Y1289" s="46">
        <v>57.718277100000002</v>
      </c>
      <c r="Z1289" s="46">
        <v>19.254947600000001</v>
      </c>
      <c r="AA1289" s="46">
        <v>23.026775300000001</v>
      </c>
      <c r="AB1289" s="26">
        <f>SUM(W1289:X1289)</f>
        <v>49.154519000000001</v>
      </c>
      <c r="AC1289" s="26">
        <f>SUM(Z1289:AA1289)</f>
        <v>42.281722900000005</v>
      </c>
      <c r="AD1289" s="57">
        <f>M1289+N1289</f>
        <v>1686</v>
      </c>
      <c r="AE1289" s="57">
        <f>Q1289+R1289</f>
        <v>1816</v>
      </c>
      <c r="AF1289" s="26">
        <f>W1289</f>
        <v>19.5335277</v>
      </c>
      <c r="AG1289" s="26">
        <f>Z1289</f>
        <v>19.254947600000001</v>
      </c>
      <c r="AH1289" s="26">
        <f>M1289</f>
        <v>670</v>
      </c>
      <c r="AI1289" s="26">
        <f>Q1289</f>
        <v>827</v>
      </c>
      <c r="AJ1289" s="26">
        <f>X1289</f>
        <v>29.6209913</v>
      </c>
      <c r="AK1289" s="26">
        <f>AA1289</f>
        <v>23.026775300000001</v>
      </c>
      <c r="AL1289" s="57">
        <f>N1289</f>
        <v>1016</v>
      </c>
      <c r="AM1289" s="57">
        <f>R1289</f>
        <v>989</v>
      </c>
    </row>
    <row r="1290" spans="1:39" hidden="1" x14ac:dyDescent="0.3">
      <c r="A1290" s="37">
        <v>1286</v>
      </c>
      <c r="B1290" s="38" t="s">
        <v>521</v>
      </c>
      <c r="C1290" s="38" t="s">
        <v>418</v>
      </c>
      <c r="D1290" s="38" t="s">
        <v>428</v>
      </c>
      <c r="E1290" s="38" t="s">
        <v>429</v>
      </c>
      <c r="F1290" s="47" t="s">
        <v>519</v>
      </c>
      <c r="G1290" s="40">
        <v>2197</v>
      </c>
      <c r="H1290" s="40">
        <v>814</v>
      </c>
      <c r="I1290" s="40">
        <v>537</v>
      </c>
      <c r="J1290" s="40">
        <v>846</v>
      </c>
      <c r="K1290" s="40">
        <v>2407</v>
      </c>
      <c r="L1290" s="40">
        <v>1218</v>
      </c>
      <c r="M1290" s="40">
        <v>491</v>
      </c>
      <c r="N1290" s="40">
        <v>698</v>
      </c>
      <c r="O1290" s="40">
        <v>2971</v>
      </c>
      <c r="P1290" s="40">
        <v>1740</v>
      </c>
      <c r="Q1290" s="40">
        <v>601</v>
      </c>
      <c r="R1290" s="40">
        <v>630</v>
      </c>
      <c r="S1290" s="41">
        <v>37.050523400000003</v>
      </c>
      <c r="T1290" s="41">
        <v>24.442421499999998</v>
      </c>
      <c r="U1290" s="41">
        <v>38.507055100000002</v>
      </c>
      <c r="V1290" s="41">
        <v>50.602409600000001</v>
      </c>
      <c r="W1290" s="41">
        <v>20.3988367</v>
      </c>
      <c r="X1290" s="41">
        <v>28.998753600000001</v>
      </c>
      <c r="Y1290" s="41">
        <v>58.566139300000003</v>
      </c>
      <c r="Z1290" s="41">
        <v>20.228879200000002</v>
      </c>
      <c r="AA1290" s="41">
        <v>21.204981499999999</v>
      </c>
    </row>
    <row r="1291" spans="1:39" hidden="1" x14ac:dyDescent="0.3">
      <c r="A1291" s="37">
        <v>1287</v>
      </c>
      <c r="B1291" s="38" t="s">
        <v>521</v>
      </c>
      <c r="C1291" s="38" t="s">
        <v>418</v>
      </c>
      <c r="D1291" s="38" t="s">
        <v>428</v>
      </c>
      <c r="E1291" s="38" t="s">
        <v>429</v>
      </c>
      <c r="F1291" s="47" t="s">
        <v>520</v>
      </c>
      <c r="G1291" s="40">
        <v>1165</v>
      </c>
      <c r="H1291" s="40">
        <v>264</v>
      </c>
      <c r="I1291" s="40">
        <v>269</v>
      </c>
      <c r="J1291" s="40">
        <v>632</v>
      </c>
      <c r="K1291" s="40">
        <v>1023</v>
      </c>
      <c r="L1291" s="40">
        <v>526</v>
      </c>
      <c r="M1291" s="40">
        <v>179</v>
      </c>
      <c r="N1291" s="40">
        <v>318</v>
      </c>
      <c r="O1291" s="40">
        <v>1324</v>
      </c>
      <c r="P1291" s="40">
        <v>739</v>
      </c>
      <c r="Q1291" s="40">
        <v>226</v>
      </c>
      <c r="R1291" s="40">
        <v>359</v>
      </c>
      <c r="S1291" s="41">
        <v>22.660944199999999</v>
      </c>
      <c r="T1291" s="41">
        <v>23.090128799999999</v>
      </c>
      <c r="U1291" s="41">
        <v>54.248927000000002</v>
      </c>
      <c r="V1291" s="41">
        <v>51.417399799999998</v>
      </c>
      <c r="W1291" s="41">
        <v>17.497556199999998</v>
      </c>
      <c r="X1291" s="41">
        <v>31.085044</v>
      </c>
      <c r="Y1291" s="41">
        <v>55.815710000000003</v>
      </c>
      <c r="Z1291" s="41">
        <v>17.069486399999999</v>
      </c>
      <c r="AA1291" s="41">
        <v>27.114803599999998</v>
      </c>
    </row>
    <row r="1292" spans="1:39" hidden="1" x14ac:dyDescent="0.3">
      <c r="A1292" s="42">
        <v>1288</v>
      </c>
      <c r="B1292" s="43" t="s">
        <v>521</v>
      </c>
      <c r="C1292" s="50" t="s">
        <v>418</v>
      </c>
      <c r="D1292" s="50" t="s">
        <v>428</v>
      </c>
      <c r="E1292" s="50" t="s">
        <v>431</v>
      </c>
      <c r="F1292" s="51" t="s">
        <v>431</v>
      </c>
      <c r="G1292" s="45">
        <v>1090</v>
      </c>
      <c r="H1292" s="45">
        <v>260</v>
      </c>
      <c r="I1292" s="45">
        <v>253</v>
      </c>
      <c r="J1292" s="45">
        <v>577</v>
      </c>
      <c r="K1292" s="45">
        <v>938</v>
      </c>
      <c r="L1292" s="45">
        <v>321</v>
      </c>
      <c r="M1292" s="45">
        <v>169</v>
      </c>
      <c r="N1292" s="45">
        <v>448</v>
      </c>
      <c r="O1292" s="45">
        <v>1455</v>
      </c>
      <c r="P1292" s="45">
        <v>633</v>
      </c>
      <c r="Q1292" s="45">
        <v>351</v>
      </c>
      <c r="R1292" s="45">
        <v>471</v>
      </c>
      <c r="S1292" s="46">
        <v>23.853211000000002</v>
      </c>
      <c r="T1292" s="46">
        <v>23.211009199999999</v>
      </c>
      <c r="U1292" s="46">
        <v>52.935779799999999</v>
      </c>
      <c r="V1292" s="46">
        <v>34.221748400000003</v>
      </c>
      <c r="W1292" s="46">
        <v>18.017057600000001</v>
      </c>
      <c r="X1292" s="46">
        <v>47.761194000000003</v>
      </c>
      <c r="Y1292" s="46">
        <v>43.505154599999997</v>
      </c>
      <c r="Z1292" s="46">
        <v>24.1237113</v>
      </c>
      <c r="AA1292" s="46">
        <v>32.371133999999998</v>
      </c>
      <c r="AB1292" s="26">
        <f>SUM(W1292:X1292)</f>
        <v>65.778251600000004</v>
      </c>
      <c r="AC1292" s="26">
        <f>SUM(Z1292:AA1292)</f>
        <v>56.494845299999994</v>
      </c>
      <c r="AD1292" s="57">
        <f>M1292+N1292</f>
        <v>617</v>
      </c>
      <c r="AE1292" s="57">
        <f>Q1292+R1292</f>
        <v>822</v>
      </c>
      <c r="AF1292" s="26">
        <f>W1292</f>
        <v>18.017057600000001</v>
      </c>
      <c r="AG1292" s="26">
        <f>Z1292</f>
        <v>24.1237113</v>
      </c>
      <c r="AH1292" s="26">
        <f>M1292</f>
        <v>169</v>
      </c>
      <c r="AI1292" s="26">
        <f>Q1292</f>
        <v>351</v>
      </c>
      <c r="AJ1292" s="26">
        <f>X1292</f>
        <v>47.761194000000003</v>
      </c>
      <c r="AK1292" s="26">
        <f>AA1292</f>
        <v>32.371133999999998</v>
      </c>
      <c r="AL1292" s="57">
        <f>N1292</f>
        <v>448</v>
      </c>
      <c r="AM1292" s="57">
        <f>R1292</f>
        <v>471</v>
      </c>
    </row>
    <row r="1293" spans="1:39" hidden="1" x14ac:dyDescent="0.3">
      <c r="A1293" s="37">
        <v>1289</v>
      </c>
      <c r="B1293" s="38" t="s">
        <v>521</v>
      </c>
      <c r="C1293" s="38" t="s">
        <v>418</v>
      </c>
      <c r="D1293" s="38" t="s">
        <v>428</v>
      </c>
      <c r="E1293" s="38" t="s">
        <v>431</v>
      </c>
      <c r="F1293" s="47" t="s">
        <v>519</v>
      </c>
      <c r="G1293" s="40"/>
      <c r="H1293" s="40"/>
      <c r="I1293" s="40"/>
      <c r="J1293" s="40"/>
      <c r="K1293" s="40"/>
      <c r="L1293" s="40"/>
      <c r="M1293" s="40"/>
      <c r="N1293" s="40"/>
      <c r="O1293" s="40">
        <v>242</v>
      </c>
      <c r="P1293" s="40">
        <v>50</v>
      </c>
      <c r="Q1293" s="40">
        <v>66</v>
      </c>
      <c r="R1293" s="40">
        <v>126</v>
      </c>
      <c r="S1293" s="41"/>
      <c r="T1293" s="41"/>
      <c r="U1293" s="41"/>
      <c r="V1293" s="41"/>
      <c r="W1293" s="41"/>
      <c r="X1293" s="41"/>
      <c r="Y1293" s="41">
        <v>20.661156999999999</v>
      </c>
      <c r="Z1293" s="41">
        <v>27.2727273</v>
      </c>
      <c r="AA1293" s="41">
        <v>52.066115699999997</v>
      </c>
    </row>
    <row r="1294" spans="1:39" hidden="1" x14ac:dyDescent="0.3">
      <c r="A1294" s="37">
        <v>1290</v>
      </c>
      <c r="B1294" s="38" t="s">
        <v>521</v>
      </c>
      <c r="C1294" s="38" t="s">
        <v>418</v>
      </c>
      <c r="D1294" s="38" t="s">
        <v>428</v>
      </c>
      <c r="E1294" s="38" t="s">
        <v>431</v>
      </c>
      <c r="F1294" s="47" t="s">
        <v>520</v>
      </c>
      <c r="G1294" s="40">
        <v>1090</v>
      </c>
      <c r="H1294" s="40">
        <v>260</v>
      </c>
      <c r="I1294" s="40">
        <v>253</v>
      </c>
      <c r="J1294" s="40">
        <v>577</v>
      </c>
      <c r="K1294" s="40">
        <v>938</v>
      </c>
      <c r="L1294" s="40">
        <v>321</v>
      </c>
      <c r="M1294" s="40">
        <v>169</v>
      </c>
      <c r="N1294" s="40">
        <v>448</v>
      </c>
      <c r="O1294" s="40">
        <v>1213</v>
      </c>
      <c r="P1294" s="40">
        <v>583</v>
      </c>
      <c r="Q1294" s="40">
        <v>285</v>
      </c>
      <c r="R1294" s="40">
        <v>345</v>
      </c>
      <c r="S1294" s="41">
        <v>23.853211000000002</v>
      </c>
      <c r="T1294" s="41">
        <v>23.211009199999999</v>
      </c>
      <c r="U1294" s="41">
        <v>52.935779799999999</v>
      </c>
      <c r="V1294" s="41">
        <v>34.221748400000003</v>
      </c>
      <c r="W1294" s="41">
        <v>18.017057600000001</v>
      </c>
      <c r="X1294" s="41">
        <v>47.761194000000003</v>
      </c>
      <c r="Y1294" s="41">
        <v>48.062654600000002</v>
      </c>
      <c r="Z1294" s="41">
        <v>23.495465800000002</v>
      </c>
      <c r="AA1294" s="41">
        <v>28.4418796</v>
      </c>
    </row>
    <row r="1295" spans="1:39" hidden="1" x14ac:dyDescent="0.3">
      <c r="A1295" s="32">
        <v>1291</v>
      </c>
      <c r="B1295" s="33" t="s">
        <v>1</v>
      </c>
      <c r="C1295" s="49" t="s">
        <v>418</v>
      </c>
      <c r="D1295" s="49" t="s">
        <v>432</v>
      </c>
      <c r="E1295" s="49"/>
      <c r="F1295" s="34" t="s">
        <v>432</v>
      </c>
      <c r="G1295" s="35">
        <v>3044</v>
      </c>
      <c r="H1295" s="35">
        <v>816</v>
      </c>
      <c r="I1295" s="35">
        <v>707</v>
      </c>
      <c r="J1295" s="35">
        <v>1521</v>
      </c>
      <c r="K1295" s="35">
        <v>4005</v>
      </c>
      <c r="L1295" s="35">
        <v>1814</v>
      </c>
      <c r="M1295" s="35">
        <v>832</v>
      </c>
      <c r="N1295" s="35">
        <v>1359</v>
      </c>
      <c r="O1295" s="35">
        <v>5391</v>
      </c>
      <c r="P1295" s="35">
        <v>3005</v>
      </c>
      <c r="Q1295" s="35">
        <v>1010</v>
      </c>
      <c r="R1295" s="35">
        <v>1376</v>
      </c>
      <c r="S1295" s="36">
        <v>26.806833099999999</v>
      </c>
      <c r="T1295" s="36">
        <v>23.226018400000001</v>
      </c>
      <c r="U1295" s="36">
        <v>49.9671485</v>
      </c>
      <c r="V1295" s="36">
        <v>45.293383300000002</v>
      </c>
      <c r="W1295" s="36">
        <v>20.774032500000001</v>
      </c>
      <c r="X1295" s="36">
        <v>33.932584300000002</v>
      </c>
      <c r="Y1295" s="36">
        <v>55.7410499</v>
      </c>
      <c r="Z1295" s="36">
        <v>18.7349286</v>
      </c>
      <c r="AA1295" s="36">
        <v>25.5240215</v>
      </c>
    </row>
    <row r="1296" spans="1:39" hidden="1" x14ac:dyDescent="0.3">
      <c r="A1296" s="37">
        <v>1292</v>
      </c>
      <c r="B1296" s="38" t="s">
        <v>1</v>
      </c>
      <c r="C1296" s="38" t="s">
        <v>418</v>
      </c>
      <c r="D1296" s="38" t="s">
        <v>432</v>
      </c>
      <c r="E1296" s="38"/>
      <c r="F1296" s="39" t="s">
        <v>519</v>
      </c>
      <c r="G1296" s="40">
        <v>1364</v>
      </c>
      <c r="H1296" s="40">
        <v>384</v>
      </c>
      <c r="I1296" s="40">
        <v>349</v>
      </c>
      <c r="J1296" s="40">
        <v>631</v>
      </c>
      <c r="K1296" s="40">
        <v>2154</v>
      </c>
      <c r="L1296" s="40">
        <v>1049</v>
      </c>
      <c r="M1296" s="40">
        <v>486</v>
      </c>
      <c r="N1296" s="40">
        <v>619</v>
      </c>
      <c r="O1296" s="40">
        <v>2611</v>
      </c>
      <c r="P1296" s="40">
        <v>1638</v>
      </c>
      <c r="Q1296" s="40">
        <v>483</v>
      </c>
      <c r="R1296" s="40">
        <v>490</v>
      </c>
      <c r="S1296" s="41">
        <v>28.1524927</v>
      </c>
      <c r="T1296" s="41">
        <v>25.5865103</v>
      </c>
      <c r="U1296" s="41">
        <v>46.260997099999997</v>
      </c>
      <c r="V1296" s="41">
        <v>48.700092900000001</v>
      </c>
      <c r="W1296" s="41">
        <v>22.562674099999999</v>
      </c>
      <c r="X1296" s="41">
        <v>28.737233100000001</v>
      </c>
      <c r="Y1296" s="41">
        <v>62.734584499999997</v>
      </c>
      <c r="Z1296" s="41">
        <v>18.498659499999999</v>
      </c>
      <c r="AA1296" s="41">
        <v>18.766756000000001</v>
      </c>
    </row>
    <row r="1297" spans="1:39" hidden="1" x14ac:dyDescent="0.3">
      <c r="A1297" s="37">
        <v>1293</v>
      </c>
      <c r="B1297" s="38" t="s">
        <v>1</v>
      </c>
      <c r="C1297" s="38" t="s">
        <v>418</v>
      </c>
      <c r="D1297" s="38" t="s">
        <v>432</v>
      </c>
      <c r="E1297" s="38"/>
      <c r="F1297" s="39" t="s">
        <v>520</v>
      </c>
      <c r="G1297" s="40">
        <v>1680</v>
      </c>
      <c r="H1297" s="40">
        <v>432</v>
      </c>
      <c r="I1297" s="40">
        <v>358</v>
      </c>
      <c r="J1297" s="40">
        <v>890</v>
      </c>
      <c r="K1297" s="40">
        <v>1851</v>
      </c>
      <c r="L1297" s="40">
        <v>765</v>
      </c>
      <c r="M1297" s="40">
        <v>346</v>
      </c>
      <c r="N1297" s="40">
        <v>740</v>
      </c>
      <c r="O1297" s="40">
        <v>2780</v>
      </c>
      <c r="P1297" s="40">
        <v>1367</v>
      </c>
      <c r="Q1297" s="40">
        <v>527</v>
      </c>
      <c r="R1297" s="40">
        <v>886</v>
      </c>
      <c r="S1297" s="41">
        <v>25.714285700000001</v>
      </c>
      <c r="T1297" s="41">
        <v>21.309523800000001</v>
      </c>
      <c r="U1297" s="41">
        <v>52.976190500000001</v>
      </c>
      <c r="V1297" s="41">
        <v>41.329011299999998</v>
      </c>
      <c r="W1297" s="41">
        <v>18.6925986</v>
      </c>
      <c r="X1297" s="41">
        <v>39.978390099999999</v>
      </c>
      <c r="Y1297" s="41">
        <v>49.172661900000001</v>
      </c>
      <c r="Z1297" s="41">
        <v>18.956834499999999</v>
      </c>
      <c r="AA1297" s="41">
        <v>31.870503599999999</v>
      </c>
    </row>
    <row r="1298" spans="1:39" hidden="1" x14ac:dyDescent="0.3">
      <c r="A1298" s="42">
        <v>1294</v>
      </c>
      <c r="B1298" s="43" t="s">
        <v>521</v>
      </c>
      <c r="C1298" s="50" t="s">
        <v>418</v>
      </c>
      <c r="D1298" s="50" t="s">
        <v>432</v>
      </c>
      <c r="E1298" s="50" t="s">
        <v>360</v>
      </c>
      <c r="F1298" s="51" t="s">
        <v>360</v>
      </c>
      <c r="G1298" s="45">
        <v>3044</v>
      </c>
      <c r="H1298" s="45">
        <v>816</v>
      </c>
      <c r="I1298" s="45">
        <v>707</v>
      </c>
      <c r="J1298" s="45">
        <v>1521</v>
      </c>
      <c r="K1298" s="45">
        <v>4005</v>
      </c>
      <c r="L1298" s="45">
        <v>1814</v>
      </c>
      <c r="M1298" s="45">
        <v>832</v>
      </c>
      <c r="N1298" s="45">
        <v>1359</v>
      </c>
      <c r="O1298" s="45">
        <v>5391</v>
      </c>
      <c r="P1298" s="45">
        <v>3005</v>
      </c>
      <c r="Q1298" s="45">
        <v>1010</v>
      </c>
      <c r="R1298" s="45">
        <v>1376</v>
      </c>
      <c r="S1298" s="46">
        <v>26.806833099999999</v>
      </c>
      <c r="T1298" s="46">
        <v>23.226018400000001</v>
      </c>
      <c r="U1298" s="46">
        <v>49.9671485</v>
      </c>
      <c r="V1298" s="46">
        <v>45.293383300000002</v>
      </c>
      <c r="W1298" s="46">
        <v>20.774032500000001</v>
      </c>
      <c r="X1298" s="46">
        <v>33.932584300000002</v>
      </c>
      <c r="Y1298" s="46">
        <v>55.7410499</v>
      </c>
      <c r="Z1298" s="46">
        <v>18.7349286</v>
      </c>
      <c r="AA1298" s="46">
        <v>25.5240215</v>
      </c>
      <c r="AB1298" s="26">
        <f>SUM(W1298:X1298)</f>
        <v>54.706616800000006</v>
      </c>
      <c r="AC1298" s="26">
        <f>SUM(Z1298:AA1298)</f>
        <v>44.2589501</v>
      </c>
      <c r="AD1298" s="57">
        <f>M1298+N1298</f>
        <v>2191</v>
      </c>
      <c r="AE1298" s="57">
        <f>Q1298+R1298</f>
        <v>2386</v>
      </c>
      <c r="AF1298" s="26">
        <f>W1298</f>
        <v>20.774032500000001</v>
      </c>
      <c r="AG1298" s="26">
        <f>Z1298</f>
        <v>18.7349286</v>
      </c>
      <c r="AH1298" s="26">
        <f>M1298</f>
        <v>832</v>
      </c>
      <c r="AI1298" s="26">
        <f>Q1298</f>
        <v>1010</v>
      </c>
      <c r="AJ1298" s="26">
        <f>X1298</f>
        <v>33.932584300000002</v>
      </c>
      <c r="AK1298" s="26">
        <f>AA1298</f>
        <v>25.5240215</v>
      </c>
      <c r="AL1298" s="57">
        <f>N1298</f>
        <v>1359</v>
      </c>
      <c r="AM1298" s="57">
        <f>R1298</f>
        <v>1376</v>
      </c>
    </row>
    <row r="1299" spans="1:39" hidden="1" x14ac:dyDescent="0.3">
      <c r="A1299" s="37">
        <v>1295</v>
      </c>
      <c r="B1299" s="38" t="s">
        <v>521</v>
      </c>
      <c r="C1299" s="38" t="s">
        <v>418</v>
      </c>
      <c r="D1299" s="38" t="s">
        <v>432</v>
      </c>
      <c r="E1299" s="38" t="s">
        <v>360</v>
      </c>
      <c r="F1299" s="47" t="s">
        <v>519</v>
      </c>
      <c r="G1299" s="40">
        <v>1364</v>
      </c>
      <c r="H1299" s="40">
        <v>384</v>
      </c>
      <c r="I1299" s="40">
        <v>349</v>
      </c>
      <c r="J1299" s="40">
        <v>631</v>
      </c>
      <c r="K1299" s="40">
        <v>2154</v>
      </c>
      <c r="L1299" s="40">
        <v>1049</v>
      </c>
      <c r="M1299" s="40">
        <v>486</v>
      </c>
      <c r="N1299" s="40">
        <v>619</v>
      </c>
      <c r="O1299" s="40">
        <v>2611</v>
      </c>
      <c r="P1299" s="40">
        <v>1638</v>
      </c>
      <c r="Q1299" s="40">
        <v>483</v>
      </c>
      <c r="R1299" s="40">
        <v>490</v>
      </c>
      <c r="S1299" s="41">
        <v>28.1524927</v>
      </c>
      <c r="T1299" s="41">
        <v>25.5865103</v>
      </c>
      <c r="U1299" s="41">
        <v>46.260997099999997</v>
      </c>
      <c r="V1299" s="41">
        <v>48.700092900000001</v>
      </c>
      <c r="W1299" s="41">
        <v>22.562674099999999</v>
      </c>
      <c r="X1299" s="41">
        <v>28.737233100000001</v>
      </c>
      <c r="Y1299" s="41">
        <v>62.734584499999997</v>
      </c>
      <c r="Z1299" s="41">
        <v>18.498659499999999</v>
      </c>
      <c r="AA1299" s="41">
        <v>18.766756000000001</v>
      </c>
    </row>
    <row r="1300" spans="1:39" hidden="1" x14ac:dyDescent="0.3">
      <c r="A1300" s="37">
        <v>1296</v>
      </c>
      <c r="B1300" s="38" t="s">
        <v>521</v>
      </c>
      <c r="C1300" s="38" t="s">
        <v>418</v>
      </c>
      <c r="D1300" s="38" t="s">
        <v>432</v>
      </c>
      <c r="E1300" s="38" t="s">
        <v>360</v>
      </c>
      <c r="F1300" s="47" t="s">
        <v>520</v>
      </c>
      <c r="G1300" s="40">
        <v>1680</v>
      </c>
      <c r="H1300" s="40">
        <v>432</v>
      </c>
      <c r="I1300" s="40">
        <v>358</v>
      </c>
      <c r="J1300" s="40">
        <v>890</v>
      </c>
      <c r="K1300" s="40">
        <v>1851</v>
      </c>
      <c r="L1300" s="40">
        <v>765</v>
      </c>
      <c r="M1300" s="40">
        <v>346</v>
      </c>
      <c r="N1300" s="40">
        <v>740</v>
      </c>
      <c r="O1300" s="40">
        <v>2780</v>
      </c>
      <c r="P1300" s="40">
        <v>1367</v>
      </c>
      <c r="Q1300" s="40">
        <v>527</v>
      </c>
      <c r="R1300" s="40">
        <v>886</v>
      </c>
      <c r="S1300" s="41">
        <v>25.714285700000001</v>
      </c>
      <c r="T1300" s="41">
        <v>21.309523800000001</v>
      </c>
      <c r="U1300" s="41">
        <v>52.976190500000001</v>
      </c>
      <c r="V1300" s="41">
        <v>41.329011299999998</v>
      </c>
      <c r="W1300" s="41">
        <v>18.6925986</v>
      </c>
      <c r="X1300" s="41">
        <v>39.978390099999999</v>
      </c>
      <c r="Y1300" s="41">
        <v>49.172661900000001</v>
      </c>
      <c r="Z1300" s="41">
        <v>18.956834499999999</v>
      </c>
      <c r="AA1300" s="41">
        <v>31.870503599999999</v>
      </c>
    </row>
    <row r="1301" spans="1:39" hidden="1" x14ac:dyDescent="0.3">
      <c r="A1301" s="32">
        <v>1297</v>
      </c>
      <c r="B1301" s="33" t="s">
        <v>1</v>
      </c>
      <c r="C1301" s="49" t="s">
        <v>418</v>
      </c>
      <c r="D1301" s="49" t="s">
        <v>433</v>
      </c>
      <c r="E1301" s="49"/>
      <c r="F1301" s="34" t="s">
        <v>433</v>
      </c>
      <c r="G1301" s="35">
        <v>2645</v>
      </c>
      <c r="H1301" s="35">
        <v>766</v>
      </c>
      <c r="I1301" s="35">
        <v>515</v>
      </c>
      <c r="J1301" s="35">
        <v>1364</v>
      </c>
      <c r="K1301" s="35">
        <v>3860</v>
      </c>
      <c r="L1301" s="35">
        <v>1900</v>
      </c>
      <c r="M1301" s="35">
        <v>650</v>
      </c>
      <c r="N1301" s="35">
        <v>1310</v>
      </c>
      <c r="O1301" s="35">
        <v>6323</v>
      </c>
      <c r="P1301" s="35">
        <v>3970</v>
      </c>
      <c r="Q1301" s="35">
        <v>952</v>
      </c>
      <c r="R1301" s="35">
        <v>1401</v>
      </c>
      <c r="S1301" s="36">
        <v>28.960302500000001</v>
      </c>
      <c r="T1301" s="36">
        <v>19.470699400000001</v>
      </c>
      <c r="U1301" s="36">
        <v>51.568998100000002</v>
      </c>
      <c r="V1301" s="36">
        <v>49.222797900000003</v>
      </c>
      <c r="W1301" s="36">
        <v>16.839378199999999</v>
      </c>
      <c r="X1301" s="36">
        <v>33.937823799999997</v>
      </c>
      <c r="Y1301" s="36">
        <v>62.786651900000003</v>
      </c>
      <c r="Z1301" s="36">
        <v>15.0561442</v>
      </c>
      <c r="AA1301" s="36">
        <v>22.157203899999999</v>
      </c>
    </row>
    <row r="1302" spans="1:39" hidden="1" x14ac:dyDescent="0.3">
      <c r="A1302" s="37">
        <v>1298</v>
      </c>
      <c r="B1302" s="38" t="s">
        <v>1</v>
      </c>
      <c r="C1302" s="38" t="s">
        <v>418</v>
      </c>
      <c r="D1302" s="38" t="s">
        <v>433</v>
      </c>
      <c r="E1302" s="38"/>
      <c r="F1302" s="39" t="s">
        <v>519</v>
      </c>
      <c r="G1302" s="40"/>
      <c r="H1302" s="40"/>
      <c r="I1302" s="40"/>
      <c r="J1302" s="40"/>
      <c r="K1302" s="40">
        <v>550</v>
      </c>
      <c r="L1302" s="40">
        <v>260</v>
      </c>
      <c r="M1302" s="40">
        <v>125</v>
      </c>
      <c r="N1302" s="40">
        <v>165</v>
      </c>
      <c r="O1302" s="40">
        <v>696</v>
      </c>
      <c r="P1302" s="40">
        <v>437</v>
      </c>
      <c r="Q1302" s="40">
        <v>125</v>
      </c>
      <c r="R1302" s="40">
        <v>134</v>
      </c>
      <c r="S1302" s="41"/>
      <c r="T1302" s="41"/>
      <c r="U1302" s="41"/>
      <c r="V1302" s="41">
        <v>47.2727273</v>
      </c>
      <c r="W1302" s="41">
        <v>22.7272727</v>
      </c>
      <c r="X1302" s="41">
        <v>30</v>
      </c>
      <c r="Y1302" s="41">
        <v>62.787356299999999</v>
      </c>
      <c r="Z1302" s="41">
        <v>17.9597701</v>
      </c>
      <c r="AA1302" s="41">
        <v>19.252873600000001</v>
      </c>
    </row>
    <row r="1303" spans="1:39" hidden="1" x14ac:dyDescent="0.3">
      <c r="A1303" s="37">
        <v>1299</v>
      </c>
      <c r="B1303" s="38" t="s">
        <v>1</v>
      </c>
      <c r="C1303" s="38" t="s">
        <v>418</v>
      </c>
      <c r="D1303" s="38" t="s">
        <v>433</v>
      </c>
      <c r="E1303" s="38"/>
      <c r="F1303" s="39" t="s">
        <v>520</v>
      </c>
      <c r="G1303" s="40">
        <v>2645</v>
      </c>
      <c r="H1303" s="40">
        <v>766</v>
      </c>
      <c r="I1303" s="40">
        <v>515</v>
      </c>
      <c r="J1303" s="40">
        <v>1364</v>
      </c>
      <c r="K1303" s="40">
        <v>3310</v>
      </c>
      <c r="L1303" s="40">
        <v>1640</v>
      </c>
      <c r="M1303" s="40">
        <v>525</v>
      </c>
      <c r="N1303" s="40">
        <v>1145</v>
      </c>
      <c r="O1303" s="40">
        <v>5627</v>
      </c>
      <c r="P1303" s="40">
        <v>3533</v>
      </c>
      <c r="Q1303" s="40">
        <v>827</v>
      </c>
      <c r="R1303" s="40">
        <v>1267</v>
      </c>
      <c r="S1303" s="41">
        <v>28.960302500000001</v>
      </c>
      <c r="T1303" s="41">
        <v>19.470699400000001</v>
      </c>
      <c r="U1303" s="41">
        <v>51.568998100000002</v>
      </c>
      <c r="V1303" s="41">
        <v>49.546827800000003</v>
      </c>
      <c r="W1303" s="41">
        <v>15.861027200000001</v>
      </c>
      <c r="X1303" s="41">
        <v>34.592145000000002</v>
      </c>
      <c r="Y1303" s="41">
        <v>62.786564800000001</v>
      </c>
      <c r="Z1303" s="41">
        <v>14.6969966</v>
      </c>
      <c r="AA1303" s="41">
        <v>22.516438600000001</v>
      </c>
    </row>
    <row r="1304" spans="1:39" hidden="1" x14ac:dyDescent="0.3">
      <c r="A1304" s="42">
        <v>1300</v>
      </c>
      <c r="B1304" s="43" t="s">
        <v>521</v>
      </c>
      <c r="C1304" s="50" t="s">
        <v>418</v>
      </c>
      <c r="D1304" s="50" t="s">
        <v>433</v>
      </c>
      <c r="E1304" s="50" t="s">
        <v>434</v>
      </c>
      <c r="F1304" s="51" t="s">
        <v>434</v>
      </c>
      <c r="G1304" s="45">
        <v>696</v>
      </c>
      <c r="H1304" s="45">
        <v>216</v>
      </c>
      <c r="I1304" s="45">
        <v>145</v>
      </c>
      <c r="J1304" s="45">
        <v>335</v>
      </c>
      <c r="K1304" s="45">
        <v>864</v>
      </c>
      <c r="L1304" s="45">
        <v>414</v>
      </c>
      <c r="M1304" s="45">
        <v>128</v>
      </c>
      <c r="N1304" s="45">
        <v>322</v>
      </c>
      <c r="O1304" s="45">
        <v>1053</v>
      </c>
      <c r="P1304" s="45">
        <v>530</v>
      </c>
      <c r="Q1304" s="45">
        <v>197</v>
      </c>
      <c r="R1304" s="45">
        <v>326</v>
      </c>
      <c r="S1304" s="46">
        <v>31.034482799999999</v>
      </c>
      <c r="T1304" s="46">
        <v>20.8333333</v>
      </c>
      <c r="U1304" s="46">
        <v>48.132183900000001</v>
      </c>
      <c r="V1304" s="46">
        <v>47.9166667</v>
      </c>
      <c r="W1304" s="46">
        <v>14.814814800000001</v>
      </c>
      <c r="X1304" s="46">
        <v>37.268518499999999</v>
      </c>
      <c r="Y1304" s="46">
        <v>50.332383700000001</v>
      </c>
      <c r="Z1304" s="46">
        <v>18.708452000000001</v>
      </c>
      <c r="AA1304" s="46">
        <v>30.959164300000001</v>
      </c>
      <c r="AB1304" s="26">
        <f>SUM(W1304:X1304)</f>
        <v>52.0833333</v>
      </c>
      <c r="AC1304" s="26">
        <f>SUM(Z1304:AA1304)</f>
        <v>49.667616300000006</v>
      </c>
      <c r="AD1304" s="57">
        <f>M1304+N1304</f>
        <v>450</v>
      </c>
      <c r="AE1304" s="57">
        <f>Q1304+R1304</f>
        <v>523</v>
      </c>
      <c r="AF1304" s="26">
        <f>W1304</f>
        <v>14.814814800000001</v>
      </c>
      <c r="AG1304" s="26">
        <f>Z1304</f>
        <v>18.708452000000001</v>
      </c>
      <c r="AH1304" s="26">
        <f>M1304</f>
        <v>128</v>
      </c>
      <c r="AI1304" s="26">
        <f>Q1304</f>
        <v>197</v>
      </c>
      <c r="AJ1304" s="26">
        <f>X1304</f>
        <v>37.268518499999999</v>
      </c>
      <c r="AK1304" s="26">
        <f>AA1304</f>
        <v>30.959164300000001</v>
      </c>
      <c r="AL1304" s="57">
        <f>N1304</f>
        <v>322</v>
      </c>
      <c r="AM1304" s="57">
        <f>R1304</f>
        <v>326</v>
      </c>
    </row>
    <row r="1305" spans="1:39" hidden="1" x14ac:dyDescent="0.3">
      <c r="A1305" s="37">
        <v>1301</v>
      </c>
      <c r="B1305" s="38" t="s">
        <v>521</v>
      </c>
      <c r="C1305" s="38" t="s">
        <v>418</v>
      </c>
      <c r="D1305" s="38" t="s">
        <v>433</v>
      </c>
      <c r="E1305" s="38" t="s">
        <v>434</v>
      </c>
      <c r="F1305" s="47" t="s">
        <v>519</v>
      </c>
      <c r="G1305" s="40"/>
      <c r="H1305" s="40"/>
      <c r="I1305" s="40"/>
      <c r="J1305" s="40"/>
      <c r="K1305" s="40"/>
      <c r="L1305" s="40"/>
      <c r="M1305" s="40"/>
      <c r="N1305" s="40"/>
      <c r="O1305" s="40"/>
      <c r="P1305" s="40"/>
      <c r="Q1305" s="40"/>
      <c r="R1305" s="40"/>
      <c r="S1305" s="41"/>
      <c r="T1305" s="41"/>
      <c r="U1305" s="41"/>
      <c r="V1305" s="41"/>
      <c r="W1305" s="41"/>
      <c r="X1305" s="41"/>
      <c r="Y1305" s="41"/>
      <c r="Z1305" s="41"/>
      <c r="AA1305" s="41"/>
    </row>
    <row r="1306" spans="1:39" hidden="1" x14ac:dyDescent="0.3">
      <c r="A1306" s="37">
        <v>1302</v>
      </c>
      <c r="B1306" s="38" t="s">
        <v>521</v>
      </c>
      <c r="C1306" s="38" t="s">
        <v>418</v>
      </c>
      <c r="D1306" s="38" t="s">
        <v>433</v>
      </c>
      <c r="E1306" s="38" t="s">
        <v>434</v>
      </c>
      <c r="F1306" s="47" t="s">
        <v>520</v>
      </c>
      <c r="G1306" s="40">
        <v>696</v>
      </c>
      <c r="H1306" s="40">
        <v>216</v>
      </c>
      <c r="I1306" s="40">
        <v>145</v>
      </c>
      <c r="J1306" s="40">
        <v>335</v>
      </c>
      <c r="K1306" s="40">
        <v>864</v>
      </c>
      <c r="L1306" s="40">
        <v>414</v>
      </c>
      <c r="M1306" s="40">
        <v>128</v>
      </c>
      <c r="N1306" s="40">
        <v>322</v>
      </c>
      <c r="O1306" s="40">
        <v>1053</v>
      </c>
      <c r="P1306" s="40">
        <v>530</v>
      </c>
      <c r="Q1306" s="40">
        <v>197</v>
      </c>
      <c r="R1306" s="40">
        <v>326</v>
      </c>
      <c r="S1306" s="41">
        <v>31.034482799999999</v>
      </c>
      <c r="T1306" s="41">
        <v>20.8333333</v>
      </c>
      <c r="U1306" s="41">
        <v>48.132183900000001</v>
      </c>
      <c r="V1306" s="41">
        <v>47.9166667</v>
      </c>
      <c r="W1306" s="41">
        <v>14.814814800000001</v>
      </c>
      <c r="X1306" s="41">
        <v>37.268518499999999</v>
      </c>
      <c r="Y1306" s="41">
        <v>50.332383700000001</v>
      </c>
      <c r="Z1306" s="41">
        <v>18.708452000000001</v>
      </c>
      <c r="AA1306" s="41">
        <v>30.959164300000001</v>
      </c>
    </row>
    <row r="1307" spans="1:39" hidden="1" x14ac:dyDescent="0.3">
      <c r="A1307" s="42">
        <v>1303</v>
      </c>
      <c r="B1307" s="43" t="s">
        <v>521</v>
      </c>
      <c r="C1307" s="50" t="s">
        <v>418</v>
      </c>
      <c r="D1307" s="50" t="s">
        <v>433</v>
      </c>
      <c r="E1307" s="50" t="s">
        <v>435</v>
      </c>
      <c r="F1307" s="51" t="s">
        <v>435</v>
      </c>
      <c r="G1307" s="45">
        <v>1949</v>
      </c>
      <c r="H1307" s="45">
        <v>550</v>
      </c>
      <c r="I1307" s="45">
        <v>370</v>
      </c>
      <c r="J1307" s="45">
        <v>1029</v>
      </c>
      <c r="K1307" s="45">
        <v>2996</v>
      </c>
      <c r="L1307" s="45">
        <v>1486</v>
      </c>
      <c r="M1307" s="45">
        <v>522</v>
      </c>
      <c r="N1307" s="45">
        <v>988</v>
      </c>
      <c r="O1307" s="45">
        <v>5270</v>
      </c>
      <c r="P1307" s="45">
        <v>3440</v>
      </c>
      <c r="Q1307" s="45">
        <v>755</v>
      </c>
      <c r="R1307" s="45">
        <v>1075</v>
      </c>
      <c r="S1307" s="46">
        <v>28.219599800000001</v>
      </c>
      <c r="T1307" s="46">
        <v>18.9840944</v>
      </c>
      <c r="U1307" s="46">
        <v>52.796305799999999</v>
      </c>
      <c r="V1307" s="46">
        <v>49.599466</v>
      </c>
      <c r="W1307" s="46">
        <v>17.423231000000001</v>
      </c>
      <c r="X1307" s="46">
        <v>32.9773031</v>
      </c>
      <c r="Y1307" s="46">
        <v>65.275142299999999</v>
      </c>
      <c r="Z1307" s="46">
        <v>14.3263757</v>
      </c>
      <c r="AA1307" s="46">
        <v>20.398482000000001</v>
      </c>
      <c r="AB1307" s="26">
        <f>SUM(W1307:X1307)</f>
        <v>50.400534100000002</v>
      </c>
      <c r="AC1307" s="26">
        <f>SUM(Z1307:AA1307)</f>
        <v>34.724857700000001</v>
      </c>
      <c r="AD1307" s="57">
        <f>M1307+N1307</f>
        <v>1510</v>
      </c>
      <c r="AE1307" s="57">
        <f>Q1307+R1307</f>
        <v>1830</v>
      </c>
      <c r="AF1307" s="26">
        <f>W1307</f>
        <v>17.423231000000001</v>
      </c>
      <c r="AG1307" s="26">
        <f>Z1307</f>
        <v>14.3263757</v>
      </c>
      <c r="AH1307" s="26">
        <f>M1307</f>
        <v>522</v>
      </c>
      <c r="AI1307" s="26">
        <f>Q1307</f>
        <v>755</v>
      </c>
      <c r="AJ1307" s="26">
        <f>X1307</f>
        <v>32.9773031</v>
      </c>
      <c r="AK1307" s="26">
        <f>AA1307</f>
        <v>20.398482000000001</v>
      </c>
      <c r="AL1307" s="57">
        <f>N1307</f>
        <v>988</v>
      </c>
      <c r="AM1307" s="57">
        <f>R1307</f>
        <v>1075</v>
      </c>
    </row>
    <row r="1308" spans="1:39" hidden="1" x14ac:dyDescent="0.3">
      <c r="A1308" s="37">
        <v>1304</v>
      </c>
      <c r="B1308" s="38" t="s">
        <v>521</v>
      </c>
      <c r="C1308" s="38" t="s">
        <v>418</v>
      </c>
      <c r="D1308" s="38" t="s">
        <v>433</v>
      </c>
      <c r="E1308" s="38" t="s">
        <v>435</v>
      </c>
      <c r="F1308" s="47" t="s">
        <v>519</v>
      </c>
      <c r="G1308" s="40"/>
      <c r="H1308" s="40"/>
      <c r="I1308" s="40"/>
      <c r="J1308" s="40"/>
      <c r="K1308" s="40">
        <v>550</v>
      </c>
      <c r="L1308" s="40">
        <v>260</v>
      </c>
      <c r="M1308" s="40">
        <v>125</v>
      </c>
      <c r="N1308" s="40">
        <v>165</v>
      </c>
      <c r="O1308" s="40">
        <v>696</v>
      </c>
      <c r="P1308" s="40">
        <v>437</v>
      </c>
      <c r="Q1308" s="40">
        <v>125</v>
      </c>
      <c r="R1308" s="40">
        <v>134</v>
      </c>
      <c r="S1308" s="41"/>
      <c r="T1308" s="41"/>
      <c r="U1308" s="41"/>
      <c r="V1308" s="41">
        <v>47.2727273</v>
      </c>
      <c r="W1308" s="41">
        <v>22.7272727</v>
      </c>
      <c r="X1308" s="41">
        <v>30</v>
      </c>
      <c r="Y1308" s="41">
        <v>62.787356299999999</v>
      </c>
      <c r="Z1308" s="41">
        <v>17.9597701</v>
      </c>
      <c r="AA1308" s="41">
        <v>19.252873600000001</v>
      </c>
    </row>
    <row r="1309" spans="1:39" hidden="1" x14ac:dyDescent="0.3">
      <c r="A1309" s="37">
        <v>1305</v>
      </c>
      <c r="B1309" s="38" t="s">
        <v>521</v>
      </c>
      <c r="C1309" s="38" t="s">
        <v>418</v>
      </c>
      <c r="D1309" s="38" t="s">
        <v>433</v>
      </c>
      <c r="E1309" s="38" t="s">
        <v>435</v>
      </c>
      <c r="F1309" s="47" t="s">
        <v>520</v>
      </c>
      <c r="G1309" s="40">
        <v>1949</v>
      </c>
      <c r="H1309" s="40">
        <v>550</v>
      </c>
      <c r="I1309" s="40">
        <v>370</v>
      </c>
      <c r="J1309" s="40">
        <v>1029</v>
      </c>
      <c r="K1309" s="40">
        <v>2446</v>
      </c>
      <c r="L1309" s="40">
        <v>1226</v>
      </c>
      <c r="M1309" s="40">
        <v>397</v>
      </c>
      <c r="N1309" s="40">
        <v>823</v>
      </c>
      <c r="O1309" s="40">
        <v>4574</v>
      </c>
      <c r="P1309" s="40">
        <v>3003</v>
      </c>
      <c r="Q1309" s="40">
        <v>630</v>
      </c>
      <c r="R1309" s="40">
        <v>941</v>
      </c>
      <c r="S1309" s="41">
        <v>28.219599800000001</v>
      </c>
      <c r="T1309" s="41">
        <v>18.9840944</v>
      </c>
      <c r="U1309" s="41">
        <v>52.796305799999999</v>
      </c>
      <c r="V1309" s="41">
        <v>50.122649199999998</v>
      </c>
      <c r="W1309" s="41">
        <v>16.230580499999999</v>
      </c>
      <c r="X1309" s="41">
        <v>33.646770199999999</v>
      </c>
      <c r="Y1309" s="41">
        <v>65.653694799999997</v>
      </c>
      <c r="Z1309" s="41">
        <v>13.7735024</v>
      </c>
      <c r="AA1309" s="41">
        <v>20.572802800000002</v>
      </c>
    </row>
    <row r="1310" spans="1:39" hidden="1" x14ac:dyDescent="0.3">
      <c r="A1310" s="32">
        <v>1306</v>
      </c>
      <c r="B1310" s="33" t="s">
        <v>1</v>
      </c>
      <c r="C1310" s="49" t="s">
        <v>418</v>
      </c>
      <c r="D1310" s="49" t="s">
        <v>436</v>
      </c>
      <c r="E1310" s="49"/>
      <c r="F1310" s="34" t="s">
        <v>436</v>
      </c>
      <c r="G1310" s="35">
        <v>2027</v>
      </c>
      <c r="H1310" s="35">
        <v>735</v>
      </c>
      <c r="I1310" s="35">
        <v>486</v>
      </c>
      <c r="J1310" s="35">
        <v>806</v>
      </c>
      <c r="K1310" s="35">
        <v>2609</v>
      </c>
      <c r="L1310" s="35">
        <v>1387</v>
      </c>
      <c r="M1310" s="35">
        <v>547</v>
      </c>
      <c r="N1310" s="35">
        <v>675</v>
      </c>
      <c r="O1310" s="35">
        <v>3294</v>
      </c>
      <c r="P1310" s="35">
        <v>1931</v>
      </c>
      <c r="Q1310" s="35">
        <v>608</v>
      </c>
      <c r="R1310" s="35">
        <v>755</v>
      </c>
      <c r="S1310" s="36">
        <v>36.260483499999999</v>
      </c>
      <c r="T1310" s="36">
        <v>23.976319700000001</v>
      </c>
      <c r="U1310" s="36">
        <v>39.763196800000003</v>
      </c>
      <c r="V1310" s="36">
        <v>53.162131100000003</v>
      </c>
      <c r="W1310" s="36">
        <v>20.965887299999999</v>
      </c>
      <c r="X1310" s="36">
        <v>25.871981600000002</v>
      </c>
      <c r="Y1310" s="36">
        <v>58.621736499999997</v>
      </c>
      <c r="Z1310" s="36">
        <v>18.457802099999999</v>
      </c>
      <c r="AA1310" s="36">
        <v>22.920461400000001</v>
      </c>
    </row>
    <row r="1311" spans="1:39" hidden="1" x14ac:dyDescent="0.3">
      <c r="A1311" s="37">
        <v>1307</v>
      </c>
      <c r="B1311" s="38" t="s">
        <v>1</v>
      </c>
      <c r="C1311" s="38" t="s">
        <v>418</v>
      </c>
      <c r="D1311" s="38" t="s">
        <v>436</v>
      </c>
      <c r="E1311" s="38"/>
      <c r="F1311" s="39" t="s">
        <v>519</v>
      </c>
      <c r="G1311" s="40">
        <v>1141</v>
      </c>
      <c r="H1311" s="40">
        <v>405</v>
      </c>
      <c r="I1311" s="40">
        <v>315</v>
      </c>
      <c r="J1311" s="40">
        <v>421</v>
      </c>
      <c r="K1311" s="40">
        <v>1547</v>
      </c>
      <c r="L1311" s="40">
        <v>806</v>
      </c>
      <c r="M1311" s="40">
        <v>348</v>
      </c>
      <c r="N1311" s="40">
        <v>393</v>
      </c>
      <c r="O1311" s="40">
        <v>1894</v>
      </c>
      <c r="P1311" s="40">
        <v>1140</v>
      </c>
      <c r="Q1311" s="40">
        <v>406</v>
      </c>
      <c r="R1311" s="40">
        <v>348</v>
      </c>
      <c r="S1311" s="41">
        <v>35.495179700000001</v>
      </c>
      <c r="T1311" s="41">
        <v>27.607361999999998</v>
      </c>
      <c r="U1311" s="41">
        <v>36.897458399999998</v>
      </c>
      <c r="V1311" s="41">
        <v>52.100840300000002</v>
      </c>
      <c r="W1311" s="41">
        <v>22.4951519</v>
      </c>
      <c r="X1311" s="41">
        <v>25.404007799999999</v>
      </c>
      <c r="Y1311" s="41">
        <v>60.190073900000002</v>
      </c>
      <c r="Z1311" s="41">
        <v>21.436114</v>
      </c>
      <c r="AA1311" s="41">
        <v>18.373812000000001</v>
      </c>
    </row>
    <row r="1312" spans="1:39" hidden="1" x14ac:dyDescent="0.3">
      <c r="A1312" s="37">
        <v>1308</v>
      </c>
      <c r="B1312" s="38" t="s">
        <v>1</v>
      </c>
      <c r="C1312" s="38" t="s">
        <v>418</v>
      </c>
      <c r="D1312" s="38" t="s">
        <v>436</v>
      </c>
      <c r="E1312" s="38"/>
      <c r="F1312" s="39" t="s">
        <v>520</v>
      </c>
      <c r="G1312" s="40">
        <v>886</v>
      </c>
      <c r="H1312" s="40">
        <v>330</v>
      </c>
      <c r="I1312" s="40">
        <v>171</v>
      </c>
      <c r="J1312" s="40">
        <v>385</v>
      </c>
      <c r="K1312" s="40">
        <v>1062</v>
      </c>
      <c r="L1312" s="40">
        <v>581</v>
      </c>
      <c r="M1312" s="40">
        <v>199</v>
      </c>
      <c r="N1312" s="40">
        <v>282</v>
      </c>
      <c r="O1312" s="40">
        <v>1400</v>
      </c>
      <c r="P1312" s="40">
        <v>791</v>
      </c>
      <c r="Q1312" s="40">
        <v>202</v>
      </c>
      <c r="R1312" s="40">
        <v>407</v>
      </c>
      <c r="S1312" s="41">
        <v>37.2460497</v>
      </c>
      <c r="T1312" s="41">
        <v>19.300225699999999</v>
      </c>
      <c r="U1312" s="41">
        <v>43.453724600000001</v>
      </c>
      <c r="V1312" s="41">
        <v>54.708097899999999</v>
      </c>
      <c r="W1312" s="41">
        <v>18.738229799999999</v>
      </c>
      <c r="X1312" s="41">
        <v>26.553672299999999</v>
      </c>
      <c r="Y1312" s="41">
        <v>56.5</v>
      </c>
      <c r="Z1312" s="41">
        <v>14.428571399999999</v>
      </c>
      <c r="AA1312" s="41">
        <v>29.071428600000001</v>
      </c>
    </row>
    <row r="1313" spans="1:39" hidden="1" x14ac:dyDescent="0.3">
      <c r="A1313" s="42">
        <v>1309</v>
      </c>
      <c r="B1313" s="43" t="s">
        <v>521</v>
      </c>
      <c r="C1313" s="50" t="s">
        <v>418</v>
      </c>
      <c r="D1313" s="50" t="s">
        <v>436</v>
      </c>
      <c r="E1313" s="50" t="s">
        <v>437</v>
      </c>
      <c r="F1313" s="51" t="s">
        <v>437</v>
      </c>
      <c r="G1313" s="45">
        <v>922</v>
      </c>
      <c r="H1313" s="45">
        <v>352</v>
      </c>
      <c r="I1313" s="45">
        <v>227</v>
      </c>
      <c r="J1313" s="45">
        <v>343</v>
      </c>
      <c r="K1313" s="45">
        <v>1254</v>
      </c>
      <c r="L1313" s="45">
        <v>582</v>
      </c>
      <c r="M1313" s="45">
        <v>284</v>
      </c>
      <c r="N1313" s="45">
        <v>388</v>
      </c>
      <c r="O1313" s="45">
        <v>1485</v>
      </c>
      <c r="P1313" s="45">
        <v>845</v>
      </c>
      <c r="Q1313" s="45">
        <v>291</v>
      </c>
      <c r="R1313" s="45">
        <v>349</v>
      </c>
      <c r="S1313" s="46">
        <v>38.177874199999998</v>
      </c>
      <c r="T1313" s="46">
        <v>24.620390499999999</v>
      </c>
      <c r="U1313" s="46">
        <v>37.201735399999997</v>
      </c>
      <c r="V1313" s="46">
        <v>46.4114833</v>
      </c>
      <c r="W1313" s="46">
        <v>22.6475279</v>
      </c>
      <c r="X1313" s="46">
        <v>30.9409888</v>
      </c>
      <c r="Y1313" s="46">
        <v>56.902356900000001</v>
      </c>
      <c r="Z1313" s="46">
        <v>19.5959596</v>
      </c>
      <c r="AA1313" s="46">
        <v>23.501683499999999</v>
      </c>
      <c r="AB1313" s="26">
        <f>SUM(W1313:X1313)</f>
        <v>53.5885167</v>
      </c>
      <c r="AC1313" s="26">
        <f>SUM(Z1313:AA1313)</f>
        <v>43.097643099999999</v>
      </c>
      <c r="AD1313" s="57">
        <f>M1313+N1313</f>
        <v>672</v>
      </c>
      <c r="AE1313" s="57">
        <f>Q1313+R1313</f>
        <v>640</v>
      </c>
      <c r="AF1313" s="26">
        <f>W1313</f>
        <v>22.6475279</v>
      </c>
      <c r="AG1313" s="26">
        <f>Z1313</f>
        <v>19.5959596</v>
      </c>
      <c r="AH1313" s="26">
        <f>M1313</f>
        <v>284</v>
      </c>
      <c r="AI1313" s="26">
        <f>Q1313</f>
        <v>291</v>
      </c>
      <c r="AJ1313" s="26">
        <f>X1313</f>
        <v>30.9409888</v>
      </c>
      <c r="AK1313" s="26">
        <f>AA1313</f>
        <v>23.501683499999999</v>
      </c>
      <c r="AL1313" s="57">
        <f>N1313</f>
        <v>388</v>
      </c>
      <c r="AM1313" s="57">
        <f>R1313</f>
        <v>349</v>
      </c>
    </row>
    <row r="1314" spans="1:39" hidden="1" x14ac:dyDescent="0.3">
      <c r="A1314" s="37">
        <v>1310</v>
      </c>
      <c r="B1314" s="38" t="s">
        <v>521</v>
      </c>
      <c r="C1314" s="38" t="s">
        <v>418</v>
      </c>
      <c r="D1314" s="38" t="s">
        <v>436</v>
      </c>
      <c r="E1314" s="38" t="s">
        <v>437</v>
      </c>
      <c r="F1314" s="47" t="s">
        <v>519</v>
      </c>
      <c r="G1314" s="40">
        <v>592</v>
      </c>
      <c r="H1314" s="40">
        <v>232</v>
      </c>
      <c r="I1314" s="40">
        <v>160</v>
      </c>
      <c r="J1314" s="40">
        <v>200</v>
      </c>
      <c r="K1314" s="40">
        <v>785</v>
      </c>
      <c r="L1314" s="40">
        <v>352</v>
      </c>
      <c r="M1314" s="40">
        <v>191</v>
      </c>
      <c r="N1314" s="40">
        <v>242</v>
      </c>
      <c r="O1314" s="40">
        <v>1027</v>
      </c>
      <c r="P1314" s="40">
        <v>615</v>
      </c>
      <c r="Q1314" s="40">
        <v>210</v>
      </c>
      <c r="R1314" s="40">
        <v>202</v>
      </c>
      <c r="S1314" s="41">
        <v>39.189189200000001</v>
      </c>
      <c r="T1314" s="41">
        <v>27.027027</v>
      </c>
      <c r="U1314" s="41">
        <v>33.783783800000002</v>
      </c>
      <c r="V1314" s="41">
        <v>44.840764299999996</v>
      </c>
      <c r="W1314" s="41">
        <v>24.331210200000001</v>
      </c>
      <c r="X1314" s="41">
        <v>30.828025499999999</v>
      </c>
      <c r="Y1314" s="41">
        <v>59.8831548</v>
      </c>
      <c r="Z1314" s="41">
        <v>20.447906499999998</v>
      </c>
      <c r="AA1314" s="41">
        <v>19.668938700000002</v>
      </c>
    </row>
    <row r="1315" spans="1:39" hidden="1" x14ac:dyDescent="0.3">
      <c r="A1315" s="37">
        <v>1311</v>
      </c>
      <c r="B1315" s="38" t="s">
        <v>521</v>
      </c>
      <c r="C1315" s="38" t="s">
        <v>418</v>
      </c>
      <c r="D1315" s="38" t="s">
        <v>436</v>
      </c>
      <c r="E1315" s="38" t="s">
        <v>437</v>
      </c>
      <c r="F1315" s="47" t="s">
        <v>520</v>
      </c>
      <c r="G1315" s="40">
        <v>330</v>
      </c>
      <c r="H1315" s="40">
        <v>120</v>
      </c>
      <c r="I1315" s="40">
        <v>67</v>
      </c>
      <c r="J1315" s="40">
        <v>143</v>
      </c>
      <c r="K1315" s="40">
        <v>469</v>
      </c>
      <c r="L1315" s="40">
        <v>230</v>
      </c>
      <c r="M1315" s="40">
        <v>93</v>
      </c>
      <c r="N1315" s="40">
        <v>146</v>
      </c>
      <c r="O1315" s="40">
        <v>458</v>
      </c>
      <c r="P1315" s="40">
        <v>230</v>
      </c>
      <c r="Q1315" s="40">
        <v>81</v>
      </c>
      <c r="R1315" s="40">
        <v>147</v>
      </c>
      <c r="S1315" s="41">
        <v>36.363636399999997</v>
      </c>
      <c r="T1315" s="41">
        <v>20.3030303</v>
      </c>
      <c r="U1315" s="41">
        <v>43.3333333</v>
      </c>
      <c r="V1315" s="41">
        <v>49.040511700000003</v>
      </c>
      <c r="W1315" s="41">
        <v>19.829424299999999</v>
      </c>
      <c r="X1315" s="41">
        <v>31.130064000000001</v>
      </c>
      <c r="Y1315" s="41">
        <v>50.218340599999998</v>
      </c>
      <c r="Z1315" s="41">
        <v>17.685589499999999</v>
      </c>
      <c r="AA1315" s="41">
        <v>32.096069900000003</v>
      </c>
    </row>
    <row r="1316" spans="1:39" hidden="1" x14ac:dyDescent="0.3">
      <c r="A1316" s="42">
        <v>1312</v>
      </c>
      <c r="B1316" s="43" t="s">
        <v>521</v>
      </c>
      <c r="C1316" s="50" t="s">
        <v>418</v>
      </c>
      <c r="D1316" s="50" t="s">
        <v>436</v>
      </c>
      <c r="E1316" s="50" t="s">
        <v>401</v>
      </c>
      <c r="F1316" s="51" t="s">
        <v>401</v>
      </c>
      <c r="G1316" s="45">
        <v>905</v>
      </c>
      <c r="H1316" s="45">
        <v>311</v>
      </c>
      <c r="I1316" s="45">
        <v>219</v>
      </c>
      <c r="J1316" s="45">
        <v>375</v>
      </c>
      <c r="K1316" s="45">
        <v>1160</v>
      </c>
      <c r="L1316" s="45">
        <v>697</v>
      </c>
      <c r="M1316" s="45">
        <v>227</v>
      </c>
      <c r="N1316" s="45">
        <v>236</v>
      </c>
      <c r="O1316" s="45">
        <v>1504</v>
      </c>
      <c r="P1316" s="45">
        <v>928</v>
      </c>
      <c r="Q1316" s="45">
        <v>263</v>
      </c>
      <c r="R1316" s="45">
        <v>313</v>
      </c>
      <c r="S1316" s="46">
        <v>34.364640899999998</v>
      </c>
      <c r="T1316" s="46">
        <v>24.198895</v>
      </c>
      <c r="U1316" s="46">
        <v>41.436464100000002</v>
      </c>
      <c r="V1316" s="46">
        <v>60.086206900000001</v>
      </c>
      <c r="W1316" s="46">
        <v>19.568965500000001</v>
      </c>
      <c r="X1316" s="46">
        <v>20.344827599999999</v>
      </c>
      <c r="Y1316" s="46">
        <v>61.702127699999998</v>
      </c>
      <c r="Z1316" s="46">
        <v>17.486702099999999</v>
      </c>
      <c r="AA1316" s="46">
        <v>20.811170199999999</v>
      </c>
      <c r="AB1316" s="26">
        <f>SUM(W1316:X1316)</f>
        <v>39.913793099999999</v>
      </c>
      <c r="AC1316" s="26">
        <f>SUM(Z1316:AA1316)</f>
        <v>38.297872299999995</v>
      </c>
      <c r="AD1316" s="57">
        <f>M1316+N1316</f>
        <v>463</v>
      </c>
      <c r="AE1316" s="57">
        <f>Q1316+R1316</f>
        <v>576</v>
      </c>
      <c r="AF1316" s="26">
        <f>W1316</f>
        <v>19.568965500000001</v>
      </c>
      <c r="AG1316" s="26">
        <f>Z1316</f>
        <v>17.486702099999999</v>
      </c>
      <c r="AH1316" s="26">
        <f>M1316</f>
        <v>227</v>
      </c>
      <c r="AI1316" s="26">
        <f>Q1316</f>
        <v>263</v>
      </c>
      <c r="AJ1316" s="26">
        <f>X1316</f>
        <v>20.344827599999999</v>
      </c>
      <c r="AK1316" s="26">
        <f>AA1316</f>
        <v>20.811170199999999</v>
      </c>
      <c r="AL1316" s="57">
        <f>N1316</f>
        <v>236</v>
      </c>
      <c r="AM1316" s="57">
        <f>R1316</f>
        <v>313</v>
      </c>
    </row>
    <row r="1317" spans="1:39" hidden="1" x14ac:dyDescent="0.3">
      <c r="A1317" s="37">
        <v>1313</v>
      </c>
      <c r="B1317" s="38" t="s">
        <v>521</v>
      </c>
      <c r="C1317" s="38" t="s">
        <v>418</v>
      </c>
      <c r="D1317" s="38" t="s">
        <v>436</v>
      </c>
      <c r="E1317" s="38" t="s">
        <v>401</v>
      </c>
      <c r="F1317" s="47" t="s">
        <v>519</v>
      </c>
      <c r="G1317" s="40">
        <v>549</v>
      </c>
      <c r="H1317" s="40">
        <v>173</v>
      </c>
      <c r="I1317" s="40">
        <v>155</v>
      </c>
      <c r="J1317" s="40">
        <v>221</v>
      </c>
      <c r="K1317" s="40">
        <v>762</v>
      </c>
      <c r="L1317" s="40">
        <v>454</v>
      </c>
      <c r="M1317" s="40">
        <v>157</v>
      </c>
      <c r="N1317" s="40">
        <v>151</v>
      </c>
      <c r="O1317" s="40">
        <v>867</v>
      </c>
      <c r="P1317" s="40">
        <v>525</v>
      </c>
      <c r="Q1317" s="40">
        <v>196</v>
      </c>
      <c r="R1317" s="40">
        <v>146</v>
      </c>
      <c r="S1317" s="41">
        <v>31.511839699999999</v>
      </c>
      <c r="T1317" s="41">
        <v>28.233151199999998</v>
      </c>
      <c r="U1317" s="41">
        <v>40.255009100000002</v>
      </c>
      <c r="V1317" s="41">
        <v>59.580052500000001</v>
      </c>
      <c r="W1317" s="41">
        <v>20.6036745</v>
      </c>
      <c r="X1317" s="41">
        <v>19.816272999999999</v>
      </c>
      <c r="Y1317" s="41">
        <v>60.5536332</v>
      </c>
      <c r="Z1317" s="41">
        <v>22.6066897</v>
      </c>
      <c r="AA1317" s="41">
        <v>16.839676999999998</v>
      </c>
    </row>
    <row r="1318" spans="1:39" hidden="1" x14ac:dyDescent="0.3">
      <c r="A1318" s="37">
        <v>1314</v>
      </c>
      <c r="B1318" s="38" t="s">
        <v>521</v>
      </c>
      <c r="C1318" s="38" t="s">
        <v>418</v>
      </c>
      <c r="D1318" s="38" t="s">
        <v>436</v>
      </c>
      <c r="E1318" s="38" t="s">
        <v>401</v>
      </c>
      <c r="F1318" s="47" t="s">
        <v>520</v>
      </c>
      <c r="G1318" s="40">
        <v>356</v>
      </c>
      <c r="H1318" s="40">
        <v>138</v>
      </c>
      <c r="I1318" s="40">
        <v>64</v>
      </c>
      <c r="J1318" s="40">
        <v>154</v>
      </c>
      <c r="K1318" s="40">
        <v>398</v>
      </c>
      <c r="L1318" s="40">
        <v>243</v>
      </c>
      <c r="M1318" s="40">
        <v>70</v>
      </c>
      <c r="N1318" s="40">
        <v>85</v>
      </c>
      <c r="O1318" s="40">
        <v>637</v>
      </c>
      <c r="P1318" s="40">
        <v>403</v>
      </c>
      <c r="Q1318" s="40">
        <v>67</v>
      </c>
      <c r="R1318" s="40">
        <v>167</v>
      </c>
      <c r="S1318" s="41">
        <v>38.764044900000002</v>
      </c>
      <c r="T1318" s="41">
        <v>17.977528100000001</v>
      </c>
      <c r="U1318" s="41">
        <v>43.258426999999998</v>
      </c>
      <c r="V1318" s="41">
        <v>61.055276399999997</v>
      </c>
      <c r="W1318" s="41">
        <v>17.5879397</v>
      </c>
      <c r="X1318" s="41">
        <v>21.3567839</v>
      </c>
      <c r="Y1318" s="41">
        <v>63.265306099999997</v>
      </c>
      <c r="Z1318" s="41">
        <v>10.518053399999999</v>
      </c>
      <c r="AA1318" s="41">
        <v>26.2166405</v>
      </c>
    </row>
    <row r="1319" spans="1:39" hidden="1" x14ac:dyDescent="0.3">
      <c r="A1319" s="42">
        <v>1315</v>
      </c>
      <c r="B1319" s="43" t="s">
        <v>521</v>
      </c>
      <c r="C1319" s="50" t="s">
        <v>418</v>
      </c>
      <c r="D1319" s="50" t="s">
        <v>436</v>
      </c>
      <c r="E1319" s="50" t="s">
        <v>438</v>
      </c>
      <c r="F1319" s="51" t="s">
        <v>438</v>
      </c>
      <c r="G1319" s="45">
        <v>200</v>
      </c>
      <c r="H1319" s="45">
        <v>72</v>
      </c>
      <c r="I1319" s="45">
        <v>40</v>
      </c>
      <c r="J1319" s="45">
        <v>88</v>
      </c>
      <c r="K1319" s="45">
        <v>195</v>
      </c>
      <c r="L1319" s="45">
        <v>108</v>
      </c>
      <c r="M1319" s="45">
        <v>36</v>
      </c>
      <c r="N1319" s="45">
        <v>51</v>
      </c>
      <c r="O1319" s="45">
        <v>305</v>
      </c>
      <c r="P1319" s="45">
        <v>158</v>
      </c>
      <c r="Q1319" s="45">
        <v>54</v>
      </c>
      <c r="R1319" s="45">
        <v>93</v>
      </c>
      <c r="S1319" s="46">
        <v>36</v>
      </c>
      <c r="T1319" s="46">
        <v>20</v>
      </c>
      <c r="U1319" s="46">
        <v>44</v>
      </c>
      <c r="V1319" s="46">
        <v>55.384615400000001</v>
      </c>
      <c r="W1319" s="46">
        <v>18.4615385</v>
      </c>
      <c r="X1319" s="46">
        <v>26.1538462</v>
      </c>
      <c r="Y1319" s="46">
        <v>51.8032787</v>
      </c>
      <c r="Z1319" s="46">
        <v>17.704917999999999</v>
      </c>
      <c r="AA1319" s="46">
        <v>30.491803300000001</v>
      </c>
      <c r="AB1319" s="26">
        <f>SUM(W1319:X1319)</f>
        <v>44.6153847</v>
      </c>
      <c r="AC1319" s="26">
        <f>SUM(Z1319:AA1319)</f>
        <v>48.1967213</v>
      </c>
      <c r="AD1319" s="57">
        <f>M1319+N1319</f>
        <v>87</v>
      </c>
      <c r="AE1319" s="57">
        <f>Q1319+R1319</f>
        <v>147</v>
      </c>
      <c r="AF1319" s="26">
        <f>W1319</f>
        <v>18.4615385</v>
      </c>
      <c r="AG1319" s="26">
        <f>Z1319</f>
        <v>17.704917999999999</v>
      </c>
      <c r="AH1319" s="26">
        <f>M1319</f>
        <v>36</v>
      </c>
      <c r="AI1319" s="26">
        <f>Q1319</f>
        <v>54</v>
      </c>
      <c r="AJ1319" s="26">
        <f>X1319</f>
        <v>26.1538462</v>
      </c>
      <c r="AK1319" s="26">
        <f>AA1319</f>
        <v>30.491803300000001</v>
      </c>
      <c r="AL1319" s="57">
        <f>N1319</f>
        <v>51</v>
      </c>
      <c r="AM1319" s="57">
        <f>R1319</f>
        <v>93</v>
      </c>
    </row>
    <row r="1320" spans="1:39" hidden="1" x14ac:dyDescent="0.3">
      <c r="A1320" s="37">
        <v>1316</v>
      </c>
      <c r="B1320" s="38" t="s">
        <v>521</v>
      </c>
      <c r="C1320" s="38" t="s">
        <v>418</v>
      </c>
      <c r="D1320" s="38" t="s">
        <v>436</v>
      </c>
      <c r="E1320" s="38" t="s">
        <v>438</v>
      </c>
      <c r="F1320" s="47" t="s">
        <v>519</v>
      </c>
      <c r="G1320" s="40"/>
      <c r="H1320" s="40"/>
      <c r="I1320" s="40"/>
      <c r="J1320" s="40"/>
      <c r="K1320" s="40"/>
      <c r="L1320" s="40"/>
      <c r="M1320" s="40"/>
      <c r="N1320" s="40"/>
      <c r="O1320" s="40"/>
      <c r="P1320" s="40"/>
      <c r="Q1320" s="40"/>
      <c r="R1320" s="40"/>
      <c r="S1320" s="41"/>
      <c r="T1320" s="41"/>
      <c r="U1320" s="41"/>
      <c r="V1320" s="41"/>
      <c r="W1320" s="41"/>
      <c r="X1320" s="41"/>
      <c r="Y1320" s="41"/>
      <c r="Z1320" s="41"/>
      <c r="AA1320" s="41"/>
    </row>
    <row r="1321" spans="1:39" hidden="1" x14ac:dyDescent="0.3">
      <c r="A1321" s="37">
        <v>1317</v>
      </c>
      <c r="B1321" s="38" t="s">
        <v>521</v>
      </c>
      <c r="C1321" s="38" t="s">
        <v>418</v>
      </c>
      <c r="D1321" s="38" t="s">
        <v>436</v>
      </c>
      <c r="E1321" s="38" t="s">
        <v>438</v>
      </c>
      <c r="F1321" s="47" t="s">
        <v>520</v>
      </c>
      <c r="G1321" s="40">
        <v>200</v>
      </c>
      <c r="H1321" s="40">
        <v>72</v>
      </c>
      <c r="I1321" s="40">
        <v>40</v>
      </c>
      <c r="J1321" s="40">
        <v>88</v>
      </c>
      <c r="K1321" s="40">
        <v>195</v>
      </c>
      <c r="L1321" s="40">
        <v>108</v>
      </c>
      <c r="M1321" s="40">
        <v>36</v>
      </c>
      <c r="N1321" s="40">
        <v>51</v>
      </c>
      <c r="O1321" s="40">
        <v>305</v>
      </c>
      <c r="P1321" s="40">
        <v>158</v>
      </c>
      <c r="Q1321" s="40">
        <v>54</v>
      </c>
      <c r="R1321" s="40">
        <v>93</v>
      </c>
      <c r="S1321" s="41">
        <v>36</v>
      </c>
      <c r="T1321" s="41">
        <v>20</v>
      </c>
      <c r="U1321" s="41">
        <v>44</v>
      </c>
      <c r="V1321" s="41">
        <v>55.384615400000001</v>
      </c>
      <c r="W1321" s="41">
        <v>18.4615385</v>
      </c>
      <c r="X1321" s="41">
        <v>26.1538462</v>
      </c>
      <c r="Y1321" s="41">
        <v>51.8032787</v>
      </c>
      <c r="Z1321" s="41">
        <v>17.704917999999999</v>
      </c>
      <c r="AA1321" s="41">
        <v>30.491803300000001</v>
      </c>
    </row>
    <row r="1322" spans="1:39" hidden="1" x14ac:dyDescent="0.3">
      <c r="A1322" s="32">
        <v>1318</v>
      </c>
      <c r="B1322" s="33" t="s">
        <v>1</v>
      </c>
      <c r="C1322" s="49" t="s">
        <v>418</v>
      </c>
      <c r="D1322" s="49" t="s">
        <v>439</v>
      </c>
      <c r="E1322" s="49"/>
      <c r="F1322" s="34" t="s">
        <v>439</v>
      </c>
      <c r="G1322" s="35">
        <v>3071</v>
      </c>
      <c r="H1322" s="35">
        <v>955</v>
      </c>
      <c r="I1322" s="35">
        <v>641</v>
      </c>
      <c r="J1322" s="35">
        <v>1475</v>
      </c>
      <c r="K1322" s="35">
        <v>4407</v>
      </c>
      <c r="L1322" s="35">
        <v>2232</v>
      </c>
      <c r="M1322" s="35">
        <v>971</v>
      </c>
      <c r="N1322" s="35">
        <v>1204</v>
      </c>
      <c r="O1322" s="35">
        <v>6041</v>
      </c>
      <c r="P1322" s="35">
        <v>3722</v>
      </c>
      <c r="Q1322" s="35">
        <v>1060</v>
      </c>
      <c r="R1322" s="35">
        <v>1259</v>
      </c>
      <c r="S1322" s="36">
        <v>31.097362400000002</v>
      </c>
      <c r="T1322" s="36">
        <v>20.872679900000001</v>
      </c>
      <c r="U1322" s="36">
        <v>48.029957699999997</v>
      </c>
      <c r="V1322" s="36">
        <v>50.646698399999998</v>
      </c>
      <c r="W1322" s="36">
        <v>22.0331291</v>
      </c>
      <c r="X1322" s="36">
        <v>27.320172500000002</v>
      </c>
      <c r="Y1322" s="36">
        <v>61.612315799999998</v>
      </c>
      <c r="Z1322" s="36">
        <v>17.546763800000001</v>
      </c>
      <c r="AA1322" s="36">
        <v>20.840920400000002</v>
      </c>
    </row>
    <row r="1323" spans="1:39" hidden="1" x14ac:dyDescent="0.3">
      <c r="A1323" s="37">
        <v>1319</v>
      </c>
      <c r="B1323" s="38" t="s">
        <v>1</v>
      </c>
      <c r="C1323" s="38" t="s">
        <v>418</v>
      </c>
      <c r="D1323" s="38" t="s">
        <v>439</v>
      </c>
      <c r="E1323" s="38"/>
      <c r="F1323" s="39" t="s">
        <v>519</v>
      </c>
      <c r="G1323" s="40">
        <v>1414</v>
      </c>
      <c r="H1323" s="40">
        <v>446</v>
      </c>
      <c r="I1323" s="40">
        <v>306</v>
      </c>
      <c r="J1323" s="40">
        <v>662</v>
      </c>
      <c r="K1323" s="40">
        <v>2374</v>
      </c>
      <c r="L1323" s="40">
        <v>1170</v>
      </c>
      <c r="M1323" s="40">
        <v>546</v>
      </c>
      <c r="N1323" s="40">
        <v>658</v>
      </c>
      <c r="O1323" s="40">
        <v>3242</v>
      </c>
      <c r="P1323" s="40">
        <v>2004</v>
      </c>
      <c r="Q1323" s="40">
        <v>629</v>
      </c>
      <c r="R1323" s="40">
        <v>609</v>
      </c>
      <c r="S1323" s="41">
        <v>31.541725599999999</v>
      </c>
      <c r="T1323" s="41">
        <v>21.640735500000002</v>
      </c>
      <c r="U1323" s="41">
        <v>46.817538900000002</v>
      </c>
      <c r="V1323" s="41">
        <v>49.283909000000001</v>
      </c>
      <c r="W1323" s="41">
        <v>22.999157499999999</v>
      </c>
      <c r="X1323" s="41">
        <v>27.716933399999998</v>
      </c>
      <c r="Y1323" s="41">
        <v>61.813695199999998</v>
      </c>
      <c r="Z1323" s="41">
        <v>19.401603900000001</v>
      </c>
      <c r="AA1323" s="41">
        <v>18.7847008</v>
      </c>
    </row>
    <row r="1324" spans="1:39" hidden="1" x14ac:dyDescent="0.3">
      <c r="A1324" s="37">
        <v>1320</v>
      </c>
      <c r="B1324" s="38" t="s">
        <v>1</v>
      </c>
      <c r="C1324" s="38" t="s">
        <v>418</v>
      </c>
      <c r="D1324" s="38" t="s">
        <v>439</v>
      </c>
      <c r="E1324" s="38"/>
      <c r="F1324" s="39" t="s">
        <v>520</v>
      </c>
      <c r="G1324" s="40">
        <v>1657</v>
      </c>
      <c r="H1324" s="40">
        <v>509</v>
      </c>
      <c r="I1324" s="40">
        <v>335</v>
      </c>
      <c r="J1324" s="40">
        <v>813</v>
      </c>
      <c r="K1324" s="40">
        <v>2033</v>
      </c>
      <c r="L1324" s="40">
        <v>1062</v>
      </c>
      <c r="M1324" s="40">
        <v>425</v>
      </c>
      <c r="N1324" s="40">
        <v>546</v>
      </c>
      <c r="O1324" s="40">
        <v>2799</v>
      </c>
      <c r="P1324" s="40">
        <v>1718</v>
      </c>
      <c r="Q1324" s="40">
        <v>431</v>
      </c>
      <c r="R1324" s="40">
        <v>650</v>
      </c>
      <c r="S1324" s="41">
        <v>30.7181654</v>
      </c>
      <c r="T1324" s="41">
        <v>20.217260100000001</v>
      </c>
      <c r="U1324" s="41">
        <v>49.064574499999999</v>
      </c>
      <c r="V1324" s="41">
        <v>52.2380718</v>
      </c>
      <c r="W1324" s="41">
        <v>20.905066399999999</v>
      </c>
      <c r="X1324" s="41">
        <v>26.856861800000001</v>
      </c>
      <c r="Y1324" s="41">
        <v>61.379064</v>
      </c>
      <c r="Z1324" s="41">
        <v>15.3983566</v>
      </c>
      <c r="AA1324" s="41">
        <v>23.222579499999998</v>
      </c>
    </row>
    <row r="1325" spans="1:39" hidden="1" x14ac:dyDescent="0.3">
      <c r="A1325" s="42">
        <v>1321</v>
      </c>
      <c r="B1325" s="43" t="s">
        <v>521</v>
      </c>
      <c r="C1325" s="50" t="s">
        <v>418</v>
      </c>
      <c r="D1325" s="50" t="s">
        <v>439</v>
      </c>
      <c r="E1325" s="50" t="s">
        <v>440</v>
      </c>
      <c r="F1325" s="51" t="s">
        <v>440</v>
      </c>
      <c r="G1325" s="45">
        <v>1693</v>
      </c>
      <c r="H1325" s="45">
        <v>558</v>
      </c>
      <c r="I1325" s="45">
        <v>337</v>
      </c>
      <c r="J1325" s="45">
        <v>798</v>
      </c>
      <c r="K1325" s="45">
        <v>2232</v>
      </c>
      <c r="L1325" s="45">
        <v>1058</v>
      </c>
      <c r="M1325" s="45">
        <v>508</v>
      </c>
      <c r="N1325" s="45">
        <v>666</v>
      </c>
      <c r="O1325" s="45">
        <v>2959</v>
      </c>
      <c r="P1325" s="45">
        <v>1774</v>
      </c>
      <c r="Q1325" s="45">
        <v>572</v>
      </c>
      <c r="R1325" s="45">
        <v>613</v>
      </c>
      <c r="S1325" s="46">
        <v>32.959243899999997</v>
      </c>
      <c r="T1325" s="46">
        <v>19.905493199999999</v>
      </c>
      <c r="U1325" s="46">
        <v>47.1352628</v>
      </c>
      <c r="V1325" s="46">
        <v>47.401433699999998</v>
      </c>
      <c r="W1325" s="46">
        <v>22.759856599999999</v>
      </c>
      <c r="X1325" s="46">
        <v>29.838709699999999</v>
      </c>
      <c r="Y1325" s="46">
        <v>59.952686700000001</v>
      </c>
      <c r="Z1325" s="46">
        <v>19.330855</v>
      </c>
      <c r="AA1325" s="46">
        <v>20.716458299999999</v>
      </c>
      <c r="AB1325" s="26">
        <f>SUM(W1325:X1325)</f>
        <v>52.598566300000002</v>
      </c>
      <c r="AC1325" s="26">
        <f>SUM(Z1325:AA1325)</f>
        <v>40.047313299999999</v>
      </c>
      <c r="AD1325" s="57">
        <f>M1325+N1325</f>
        <v>1174</v>
      </c>
      <c r="AE1325" s="57">
        <f>Q1325+R1325</f>
        <v>1185</v>
      </c>
      <c r="AF1325" s="26">
        <f>W1325</f>
        <v>22.759856599999999</v>
      </c>
      <c r="AG1325" s="26">
        <f>Z1325</f>
        <v>19.330855</v>
      </c>
      <c r="AH1325" s="26">
        <f>M1325</f>
        <v>508</v>
      </c>
      <c r="AI1325" s="26">
        <f>Q1325</f>
        <v>572</v>
      </c>
      <c r="AJ1325" s="26">
        <f>X1325</f>
        <v>29.838709699999999</v>
      </c>
      <c r="AK1325" s="26">
        <f>AA1325</f>
        <v>20.716458299999999</v>
      </c>
      <c r="AL1325" s="57">
        <f>N1325</f>
        <v>666</v>
      </c>
      <c r="AM1325" s="57">
        <f>R1325</f>
        <v>613</v>
      </c>
    </row>
    <row r="1326" spans="1:39" hidden="1" x14ac:dyDescent="0.3">
      <c r="A1326" s="37">
        <v>1322</v>
      </c>
      <c r="B1326" s="38" t="s">
        <v>521</v>
      </c>
      <c r="C1326" s="38" t="s">
        <v>418</v>
      </c>
      <c r="D1326" s="38" t="s">
        <v>439</v>
      </c>
      <c r="E1326" s="38" t="s">
        <v>440</v>
      </c>
      <c r="F1326" s="47" t="s">
        <v>519</v>
      </c>
      <c r="G1326" s="40">
        <v>1066</v>
      </c>
      <c r="H1326" s="40">
        <v>358</v>
      </c>
      <c r="I1326" s="40">
        <v>221</v>
      </c>
      <c r="J1326" s="40">
        <v>487</v>
      </c>
      <c r="K1326" s="40">
        <v>1513</v>
      </c>
      <c r="L1326" s="40">
        <v>698</v>
      </c>
      <c r="M1326" s="40">
        <v>347</v>
      </c>
      <c r="N1326" s="40">
        <v>468</v>
      </c>
      <c r="O1326" s="40">
        <v>2118</v>
      </c>
      <c r="P1326" s="40">
        <v>1237</v>
      </c>
      <c r="Q1326" s="40">
        <v>431</v>
      </c>
      <c r="R1326" s="40">
        <v>450</v>
      </c>
      <c r="S1326" s="41">
        <v>33.583489700000001</v>
      </c>
      <c r="T1326" s="41">
        <v>20.7317073</v>
      </c>
      <c r="U1326" s="41">
        <v>45.684803000000002</v>
      </c>
      <c r="V1326" s="41">
        <v>46.133509599999996</v>
      </c>
      <c r="W1326" s="41">
        <v>22.934567099999999</v>
      </c>
      <c r="X1326" s="41">
        <v>30.931923300000001</v>
      </c>
      <c r="Y1326" s="41">
        <v>58.404154900000002</v>
      </c>
      <c r="Z1326" s="41">
        <v>20.349386200000001</v>
      </c>
      <c r="AA1326" s="41">
        <v>21.2464589</v>
      </c>
    </row>
    <row r="1327" spans="1:39" hidden="1" x14ac:dyDescent="0.3">
      <c r="A1327" s="37">
        <v>1323</v>
      </c>
      <c r="B1327" s="38" t="s">
        <v>521</v>
      </c>
      <c r="C1327" s="38" t="s">
        <v>418</v>
      </c>
      <c r="D1327" s="38" t="s">
        <v>439</v>
      </c>
      <c r="E1327" s="38" t="s">
        <v>440</v>
      </c>
      <c r="F1327" s="47" t="s">
        <v>520</v>
      </c>
      <c r="G1327" s="40">
        <v>627</v>
      </c>
      <c r="H1327" s="40">
        <v>200</v>
      </c>
      <c r="I1327" s="40">
        <v>116</v>
      </c>
      <c r="J1327" s="40">
        <v>311</v>
      </c>
      <c r="K1327" s="40">
        <v>719</v>
      </c>
      <c r="L1327" s="40">
        <v>360</v>
      </c>
      <c r="M1327" s="40">
        <v>161</v>
      </c>
      <c r="N1327" s="40">
        <v>198</v>
      </c>
      <c r="O1327" s="40">
        <v>841</v>
      </c>
      <c r="P1327" s="40">
        <v>537</v>
      </c>
      <c r="Q1327" s="40">
        <v>141</v>
      </c>
      <c r="R1327" s="40">
        <v>163</v>
      </c>
      <c r="S1327" s="41">
        <v>31.897926600000002</v>
      </c>
      <c r="T1327" s="41">
        <v>18.5007974</v>
      </c>
      <c r="U1327" s="41">
        <v>49.601275899999997</v>
      </c>
      <c r="V1327" s="41">
        <v>50.069541000000001</v>
      </c>
      <c r="W1327" s="41">
        <v>22.392211400000001</v>
      </c>
      <c r="X1327" s="41">
        <v>27.538247599999998</v>
      </c>
      <c r="Y1327" s="41">
        <v>63.852556499999999</v>
      </c>
      <c r="Z1327" s="41">
        <v>16.7657551</v>
      </c>
      <c r="AA1327" s="41">
        <v>19.381688499999999</v>
      </c>
    </row>
    <row r="1328" spans="1:39" hidden="1" x14ac:dyDescent="0.3">
      <c r="A1328" s="42">
        <v>1324</v>
      </c>
      <c r="B1328" s="43" t="s">
        <v>521</v>
      </c>
      <c r="C1328" s="50" t="s">
        <v>418</v>
      </c>
      <c r="D1328" s="50" t="s">
        <v>439</v>
      </c>
      <c r="E1328" s="50" t="s">
        <v>441</v>
      </c>
      <c r="F1328" s="51" t="s">
        <v>441</v>
      </c>
      <c r="G1328" s="45">
        <v>815</v>
      </c>
      <c r="H1328" s="45">
        <v>248</v>
      </c>
      <c r="I1328" s="45">
        <v>178</v>
      </c>
      <c r="J1328" s="45">
        <v>389</v>
      </c>
      <c r="K1328" s="45">
        <v>1356</v>
      </c>
      <c r="L1328" s="45">
        <v>779</v>
      </c>
      <c r="M1328" s="45">
        <v>264</v>
      </c>
      <c r="N1328" s="45">
        <v>313</v>
      </c>
      <c r="O1328" s="45">
        <v>2064</v>
      </c>
      <c r="P1328" s="45">
        <v>1359</v>
      </c>
      <c r="Q1328" s="45">
        <v>283</v>
      </c>
      <c r="R1328" s="45">
        <v>422</v>
      </c>
      <c r="S1328" s="46">
        <v>30.4294479</v>
      </c>
      <c r="T1328" s="46">
        <v>21.840490800000001</v>
      </c>
      <c r="U1328" s="46">
        <v>47.730061300000003</v>
      </c>
      <c r="V1328" s="46">
        <v>57.448377600000001</v>
      </c>
      <c r="W1328" s="46">
        <v>19.469026499999998</v>
      </c>
      <c r="X1328" s="46">
        <v>23.082595900000001</v>
      </c>
      <c r="Y1328" s="46">
        <v>65.843023299999999</v>
      </c>
      <c r="Z1328" s="46">
        <v>13.7112403</v>
      </c>
      <c r="AA1328" s="46">
        <v>20.445736400000001</v>
      </c>
      <c r="AB1328" s="26">
        <f>SUM(W1328:X1328)</f>
        <v>42.551622399999999</v>
      </c>
      <c r="AC1328" s="26">
        <f>SUM(Z1328:AA1328)</f>
        <v>34.156976700000001</v>
      </c>
      <c r="AD1328" s="57">
        <f>M1328+N1328</f>
        <v>577</v>
      </c>
      <c r="AE1328" s="57">
        <f>Q1328+R1328</f>
        <v>705</v>
      </c>
      <c r="AF1328" s="26">
        <f>W1328</f>
        <v>19.469026499999998</v>
      </c>
      <c r="AG1328" s="26">
        <f>Z1328</f>
        <v>13.7112403</v>
      </c>
      <c r="AH1328" s="26">
        <f>M1328</f>
        <v>264</v>
      </c>
      <c r="AI1328" s="26">
        <f>Q1328</f>
        <v>283</v>
      </c>
      <c r="AJ1328" s="26">
        <f>X1328</f>
        <v>23.082595900000001</v>
      </c>
      <c r="AK1328" s="26">
        <f>AA1328</f>
        <v>20.445736400000001</v>
      </c>
      <c r="AL1328" s="57">
        <f>N1328</f>
        <v>313</v>
      </c>
      <c r="AM1328" s="57">
        <f>R1328</f>
        <v>422</v>
      </c>
    </row>
    <row r="1329" spans="1:39" hidden="1" x14ac:dyDescent="0.3">
      <c r="A1329" s="37">
        <v>1325</v>
      </c>
      <c r="B1329" s="38" t="s">
        <v>521</v>
      </c>
      <c r="C1329" s="38" t="s">
        <v>418</v>
      </c>
      <c r="D1329" s="38" t="s">
        <v>439</v>
      </c>
      <c r="E1329" s="38" t="s">
        <v>441</v>
      </c>
      <c r="F1329" s="47" t="s">
        <v>519</v>
      </c>
      <c r="G1329" s="40">
        <v>348</v>
      </c>
      <c r="H1329" s="40">
        <v>88</v>
      </c>
      <c r="I1329" s="40">
        <v>85</v>
      </c>
      <c r="J1329" s="40">
        <v>175</v>
      </c>
      <c r="K1329" s="40">
        <v>449</v>
      </c>
      <c r="L1329" s="40">
        <v>269</v>
      </c>
      <c r="M1329" s="40">
        <v>88</v>
      </c>
      <c r="N1329" s="40">
        <v>92</v>
      </c>
      <c r="O1329" s="40">
        <v>586</v>
      </c>
      <c r="P1329" s="40">
        <v>417</v>
      </c>
      <c r="Q1329" s="40">
        <v>91</v>
      </c>
      <c r="R1329" s="40">
        <v>78</v>
      </c>
      <c r="S1329" s="41">
        <v>25.287356299999999</v>
      </c>
      <c r="T1329" s="41">
        <v>24.425287399999998</v>
      </c>
      <c r="U1329" s="41">
        <v>50.287356299999999</v>
      </c>
      <c r="V1329" s="41">
        <v>59.910913100000002</v>
      </c>
      <c r="W1329" s="41">
        <v>19.5991091</v>
      </c>
      <c r="X1329" s="41">
        <v>20.489977700000001</v>
      </c>
      <c r="Y1329" s="41">
        <v>71.160409599999994</v>
      </c>
      <c r="Z1329" s="41">
        <v>15.5290102</v>
      </c>
      <c r="AA1329" s="41">
        <v>13.3105802</v>
      </c>
    </row>
    <row r="1330" spans="1:39" hidden="1" x14ac:dyDescent="0.3">
      <c r="A1330" s="37">
        <v>1326</v>
      </c>
      <c r="B1330" s="38" t="s">
        <v>521</v>
      </c>
      <c r="C1330" s="38" t="s">
        <v>418</v>
      </c>
      <c r="D1330" s="38" t="s">
        <v>439</v>
      </c>
      <c r="E1330" s="38" t="s">
        <v>441</v>
      </c>
      <c r="F1330" s="47" t="s">
        <v>520</v>
      </c>
      <c r="G1330" s="40">
        <v>467</v>
      </c>
      <c r="H1330" s="40">
        <v>160</v>
      </c>
      <c r="I1330" s="40">
        <v>93</v>
      </c>
      <c r="J1330" s="40">
        <v>214</v>
      </c>
      <c r="K1330" s="40">
        <v>907</v>
      </c>
      <c r="L1330" s="40">
        <v>510</v>
      </c>
      <c r="M1330" s="40">
        <v>176</v>
      </c>
      <c r="N1330" s="40">
        <v>221</v>
      </c>
      <c r="O1330" s="40">
        <v>1478</v>
      </c>
      <c r="P1330" s="40">
        <v>942</v>
      </c>
      <c r="Q1330" s="40">
        <v>192</v>
      </c>
      <c r="R1330" s="40">
        <v>344</v>
      </c>
      <c r="S1330" s="41">
        <v>34.261242000000003</v>
      </c>
      <c r="T1330" s="41">
        <v>19.914346900000002</v>
      </c>
      <c r="U1330" s="41">
        <v>45.824411099999999</v>
      </c>
      <c r="V1330" s="41">
        <v>56.229327499999997</v>
      </c>
      <c r="W1330" s="41">
        <v>19.404630699999998</v>
      </c>
      <c r="X1330" s="41">
        <v>24.366041899999999</v>
      </c>
      <c r="Y1330" s="41">
        <v>63.734776699999998</v>
      </c>
      <c r="Z1330" s="41">
        <v>12.990527699999999</v>
      </c>
      <c r="AA1330" s="41">
        <v>23.2746955</v>
      </c>
    </row>
    <row r="1331" spans="1:39" hidden="1" x14ac:dyDescent="0.3">
      <c r="A1331" s="42">
        <v>1327</v>
      </c>
      <c r="B1331" s="43" t="s">
        <v>521</v>
      </c>
      <c r="C1331" s="50" t="s">
        <v>418</v>
      </c>
      <c r="D1331" s="50" t="s">
        <v>439</v>
      </c>
      <c r="E1331" s="50" t="s">
        <v>442</v>
      </c>
      <c r="F1331" s="51" t="s">
        <v>442</v>
      </c>
      <c r="G1331" s="45">
        <v>563</v>
      </c>
      <c r="H1331" s="45">
        <v>149</v>
      </c>
      <c r="I1331" s="45">
        <v>126</v>
      </c>
      <c r="J1331" s="45">
        <v>288</v>
      </c>
      <c r="K1331" s="45">
        <v>819</v>
      </c>
      <c r="L1331" s="45">
        <v>395</v>
      </c>
      <c r="M1331" s="45">
        <v>199</v>
      </c>
      <c r="N1331" s="45">
        <v>225</v>
      </c>
      <c r="O1331" s="45">
        <v>1018</v>
      </c>
      <c r="P1331" s="45">
        <v>589</v>
      </c>
      <c r="Q1331" s="45">
        <v>205</v>
      </c>
      <c r="R1331" s="45">
        <v>224</v>
      </c>
      <c r="S1331" s="46">
        <v>26.465364099999999</v>
      </c>
      <c r="T1331" s="46">
        <v>22.380106600000001</v>
      </c>
      <c r="U1331" s="46">
        <v>51.1545293</v>
      </c>
      <c r="V1331" s="46">
        <v>48.229548200000004</v>
      </c>
      <c r="W1331" s="46">
        <v>24.297924299999998</v>
      </c>
      <c r="X1331" s="46">
        <v>27.472527500000002</v>
      </c>
      <c r="Y1331" s="46">
        <v>57.858546199999999</v>
      </c>
      <c r="Z1331" s="46">
        <v>20.137524599999999</v>
      </c>
      <c r="AA1331" s="46">
        <v>22.003929299999999</v>
      </c>
      <c r="AB1331" s="26">
        <f>SUM(W1331:X1331)</f>
        <v>51.770451800000004</v>
      </c>
      <c r="AC1331" s="26">
        <f>SUM(Z1331:AA1331)</f>
        <v>42.141453900000002</v>
      </c>
      <c r="AD1331" s="57">
        <f>M1331+N1331</f>
        <v>424</v>
      </c>
      <c r="AE1331" s="57">
        <f>Q1331+R1331</f>
        <v>429</v>
      </c>
      <c r="AF1331" s="26">
        <f>W1331</f>
        <v>24.297924299999998</v>
      </c>
      <c r="AG1331" s="26">
        <f>Z1331</f>
        <v>20.137524599999999</v>
      </c>
      <c r="AH1331" s="26">
        <f>M1331</f>
        <v>199</v>
      </c>
      <c r="AI1331" s="26">
        <f>Q1331</f>
        <v>205</v>
      </c>
      <c r="AJ1331" s="26">
        <f>X1331</f>
        <v>27.472527500000002</v>
      </c>
      <c r="AK1331" s="26">
        <f>AA1331</f>
        <v>22.003929299999999</v>
      </c>
      <c r="AL1331" s="57">
        <f>N1331</f>
        <v>225</v>
      </c>
      <c r="AM1331" s="57">
        <f>R1331</f>
        <v>224</v>
      </c>
    </row>
    <row r="1332" spans="1:39" hidden="1" x14ac:dyDescent="0.3">
      <c r="A1332" s="37">
        <v>1328</v>
      </c>
      <c r="B1332" s="38" t="s">
        <v>521</v>
      </c>
      <c r="C1332" s="38" t="s">
        <v>418</v>
      </c>
      <c r="D1332" s="38" t="s">
        <v>439</v>
      </c>
      <c r="E1332" s="38" t="s">
        <v>442</v>
      </c>
      <c r="F1332" s="47" t="s">
        <v>519</v>
      </c>
      <c r="G1332" s="40"/>
      <c r="H1332" s="40"/>
      <c r="I1332" s="40"/>
      <c r="J1332" s="40"/>
      <c r="K1332" s="40">
        <v>412</v>
      </c>
      <c r="L1332" s="40">
        <v>203</v>
      </c>
      <c r="M1332" s="40">
        <v>111</v>
      </c>
      <c r="N1332" s="40">
        <v>98</v>
      </c>
      <c r="O1332" s="40">
        <v>538</v>
      </c>
      <c r="P1332" s="40">
        <v>350</v>
      </c>
      <c r="Q1332" s="40">
        <v>107</v>
      </c>
      <c r="R1332" s="40">
        <v>81</v>
      </c>
      <c r="S1332" s="41"/>
      <c r="T1332" s="41"/>
      <c r="U1332" s="41"/>
      <c r="V1332" s="41">
        <v>49.271844700000003</v>
      </c>
      <c r="W1332" s="41">
        <v>26.941747599999999</v>
      </c>
      <c r="X1332" s="41">
        <v>23.786407799999999</v>
      </c>
      <c r="Y1332" s="41">
        <v>65.055762099999995</v>
      </c>
      <c r="Z1332" s="41">
        <v>19.888475799999998</v>
      </c>
      <c r="AA1332" s="41">
        <v>15.055762100000001</v>
      </c>
    </row>
    <row r="1333" spans="1:39" hidden="1" x14ac:dyDescent="0.3">
      <c r="A1333" s="37">
        <v>1329</v>
      </c>
      <c r="B1333" s="38" t="s">
        <v>521</v>
      </c>
      <c r="C1333" s="38" t="s">
        <v>418</v>
      </c>
      <c r="D1333" s="38" t="s">
        <v>439</v>
      </c>
      <c r="E1333" s="38" t="s">
        <v>442</v>
      </c>
      <c r="F1333" s="47" t="s">
        <v>520</v>
      </c>
      <c r="G1333" s="40">
        <v>563</v>
      </c>
      <c r="H1333" s="40">
        <v>149</v>
      </c>
      <c r="I1333" s="40">
        <v>126</v>
      </c>
      <c r="J1333" s="40">
        <v>288</v>
      </c>
      <c r="K1333" s="40">
        <v>407</v>
      </c>
      <c r="L1333" s="40">
        <v>192</v>
      </c>
      <c r="M1333" s="40">
        <v>88</v>
      </c>
      <c r="N1333" s="40">
        <v>127</v>
      </c>
      <c r="O1333" s="40">
        <v>480</v>
      </c>
      <c r="P1333" s="40">
        <v>239</v>
      </c>
      <c r="Q1333" s="40">
        <v>98</v>
      </c>
      <c r="R1333" s="40">
        <v>143</v>
      </c>
      <c r="S1333" s="41">
        <v>26.465364099999999</v>
      </c>
      <c r="T1333" s="41">
        <v>22.380106600000001</v>
      </c>
      <c r="U1333" s="41">
        <v>51.1545293</v>
      </c>
      <c r="V1333" s="41">
        <v>47.174447200000003</v>
      </c>
      <c r="W1333" s="41">
        <v>21.621621600000001</v>
      </c>
      <c r="X1333" s="41">
        <v>31.2039312</v>
      </c>
      <c r="Y1333" s="41">
        <v>49.7916667</v>
      </c>
      <c r="Z1333" s="41">
        <v>20.4166667</v>
      </c>
      <c r="AA1333" s="41">
        <v>29.7916667</v>
      </c>
    </row>
    <row r="1334" spans="1:39" hidden="1" x14ac:dyDescent="0.3">
      <c r="A1334" s="32">
        <v>1330</v>
      </c>
      <c r="B1334" s="33" t="s">
        <v>1</v>
      </c>
      <c r="C1334" s="49" t="s">
        <v>418</v>
      </c>
      <c r="D1334" s="49" t="s">
        <v>533</v>
      </c>
      <c r="E1334" s="49"/>
      <c r="F1334" s="34" t="s">
        <v>533</v>
      </c>
      <c r="G1334" s="35">
        <v>301</v>
      </c>
      <c r="H1334" s="35">
        <v>55</v>
      </c>
      <c r="I1334" s="35">
        <v>62</v>
      </c>
      <c r="J1334" s="35">
        <v>184</v>
      </c>
      <c r="K1334" s="35">
        <v>631</v>
      </c>
      <c r="L1334" s="35">
        <v>211</v>
      </c>
      <c r="M1334" s="35">
        <v>144</v>
      </c>
      <c r="N1334" s="35">
        <v>276</v>
      </c>
      <c r="O1334" s="35">
        <v>922</v>
      </c>
      <c r="P1334" s="35">
        <v>401</v>
      </c>
      <c r="Q1334" s="35">
        <v>186</v>
      </c>
      <c r="R1334" s="35">
        <v>335</v>
      </c>
      <c r="S1334" s="36">
        <v>18.272425200000001</v>
      </c>
      <c r="T1334" s="36">
        <v>20.598006600000001</v>
      </c>
      <c r="U1334" s="36">
        <v>61.1295681</v>
      </c>
      <c r="V1334" s="36">
        <v>33.438985700000003</v>
      </c>
      <c r="W1334" s="36">
        <v>22.820919199999999</v>
      </c>
      <c r="X1334" s="36">
        <v>43.740095099999998</v>
      </c>
      <c r="Y1334" s="36">
        <v>43.492407800000002</v>
      </c>
      <c r="Z1334" s="36">
        <v>20.1735358</v>
      </c>
      <c r="AA1334" s="36">
        <v>36.334056400000001</v>
      </c>
    </row>
    <row r="1335" spans="1:39" hidden="1" x14ac:dyDescent="0.3">
      <c r="A1335" s="37">
        <v>1331</v>
      </c>
      <c r="B1335" s="38" t="s">
        <v>1</v>
      </c>
      <c r="C1335" s="38" t="s">
        <v>418</v>
      </c>
      <c r="D1335" s="38" t="s">
        <v>533</v>
      </c>
      <c r="E1335" s="38"/>
      <c r="F1335" s="39" t="s">
        <v>519</v>
      </c>
      <c r="G1335" s="40"/>
      <c r="H1335" s="40"/>
      <c r="I1335" s="40"/>
      <c r="J1335" s="40"/>
      <c r="K1335" s="40"/>
      <c r="L1335" s="40"/>
      <c r="M1335" s="40"/>
      <c r="N1335" s="40"/>
      <c r="O1335" s="40"/>
      <c r="P1335" s="40"/>
      <c r="Q1335" s="40"/>
      <c r="R1335" s="40"/>
      <c r="S1335" s="41"/>
      <c r="T1335" s="41"/>
      <c r="U1335" s="41"/>
      <c r="V1335" s="41"/>
      <c r="W1335" s="41"/>
      <c r="X1335" s="41"/>
      <c r="Y1335" s="41"/>
      <c r="Z1335" s="41"/>
      <c r="AA1335" s="41"/>
    </row>
    <row r="1336" spans="1:39" hidden="1" x14ac:dyDescent="0.3">
      <c r="A1336" s="37">
        <v>1332</v>
      </c>
      <c r="B1336" s="38" t="s">
        <v>1</v>
      </c>
      <c r="C1336" s="38" t="s">
        <v>418</v>
      </c>
      <c r="D1336" s="38" t="s">
        <v>533</v>
      </c>
      <c r="E1336" s="38"/>
      <c r="F1336" s="39" t="s">
        <v>520</v>
      </c>
      <c r="G1336" s="40">
        <v>301</v>
      </c>
      <c r="H1336" s="40">
        <v>55</v>
      </c>
      <c r="I1336" s="40">
        <v>62</v>
      </c>
      <c r="J1336" s="40">
        <v>184</v>
      </c>
      <c r="K1336" s="40">
        <v>631</v>
      </c>
      <c r="L1336" s="40">
        <v>211</v>
      </c>
      <c r="M1336" s="40">
        <v>144</v>
      </c>
      <c r="N1336" s="40">
        <v>276</v>
      </c>
      <c r="O1336" s="40">
        <v>922</v>
      </c>
      <c r="P1336" s="40">
        <v>401</v>
      </c>
      <c r="Q1336" s="40">
        <v>186</v>
      </c>
      <c r="R1336" s="40">
        <v>335</v>
      </c>
      <c r="S1336" s="41">
        <v>18.272425200000001</v>
      </c>
      <c r="T1336" s="41">
        <v>20.598006600000001</v>
      </c>
      <c r="U1336" s="41">
        <v>61.1295681</v>
      </c>
      <c r="V1336" s="41">
        <v>33.438985700000003</v>
      </c>
      <c r="W1336" s="41">
        <v>22.820919199999999</v>
      </c>
      <c r="X1336" s="41">
        <v>43.740095099999998</v>
      </c>
      <c r="Y1336" s="41">
        <v>43.492407800000002</v>
      </c>
      <c r="Z1336" s="41">
        <v>20.1735358</v>
      </c>
      <c r="AA1336" s="41">
        <v>36.334056400000001</v>
      </c>
    </row>
    <row r="1337" spans="1:39" hidden="1" x14ac:dyDescent="0.3">
      <c r="A1337" s="42">
        <v>1333</v>
      </c>
      <c r="B1337" s="43" t="s">
        <v>521</v>
      </c>
      <c r="C1337" s="50" t="s">
        <v>418</v>
      </c>
      <c r="D1337" s="50" t="s">
        <v>533</v>
      </c>
      <c r="E1337" s="50" t="s">
        <v>492</v>
      </c>
      <c r="F1337" s="51" t="s">
        <v>492</v>
      </c>
      <c r="G1337" s="45">
        <v>301</v>
      </c>
      <c r="H1337" s="45">
        <v>55</v>
      </c>
      <c r="I1337" s="45">
        <v>62</v>
      </c>
      <c r="J1337" s="45">
        <v>184</v>
      </c>
      <c r="K1337" s="45">
        <v>631</v>
      </c>
      <c r="L1337" s="45">
        <v>211</v>
      </c>
      <c r="M1337" s="45">
        <v>144</v>
      </c>
      <c r="N1337" s="45">
        <v>276</v>
      </c>
      <c r="O1337" s="45">
        <v>922</v>
      </c>
      <c r="P1337" s="45">
        <v>401</v>
      </c>
      <c r="Q1337" s="45">
        <v>186</v>
      </c>
      <c r="R1337" s="45">
        <v>335</v>
      </c>
      <c r="S1337" s="46">
        <v>18.272425200000001</v>
      </c>
      <c r="T1337" s="46">
        <v>20.598006600000001</v>
      </c>
      <c r="U1337" s="46">
        <v>61.1295681</v>
      </c>
      <c r="V1337" s="46">
        <v>33.438985700000003</v>
      </c>
      <c r="W1337" s="46">
        <v>22.820919199999999</v>
      </c>
      <c r="X1337" s="46">
        <v>43.740095099999998</v>
      </c>
      <c r="Y1337" s="46">
        <v>43.492407800000002</v>
      </c>
      <c r="Z1337" s="46">
        <v>20.1735358</v>
      </c>
      <c r="AA1337" s="46">
        <v>36.334056400000001</v>
      </c>
      <c r="AB1337" s="26">
        <f>SUM(W1337:X1337)</f>
        <v>66.561014299999997</v>
      </c>
      <c r="AC1337" s="26">
        <f>SUM(Z1337:AA1337)</f>
        <v>56.507592200000005</v>
      </c>
      <c r="AD1337" s="57">
        <f>M1337+N1337</f>
        <v>420</v>
      </c>
      <c r="AE1337" s="57">
        <f>Q1337+R1337</f>
        <v>521</v>
      </c>
      <c r="AF1337" s="26">
        <f>W1337</f>
        <v>22.820919199999999</v>
      </c>
      <c r="AG1337" s="26">
        <f>Z1337</f>
        <v>20.1735358</v>
      </c>
      <c r="AH1337" s="26">
        <f>M1337</f>
        <v>144</v>
      </c>
      <c r="AI1337" s="26">
        <f>Q1337</f>
        <v>186</v>
      </c>
      <c r="AJ1337" s="26">
        <f>X1337</f>
        <v>43.740095099999998</v>
      </c>
      <c r="AK1337" s="26">
        <f>AA1337</f>
        <v>36.334056400000001</v>
      </c>
      <c r="AL1337" s="57">
        <f>N1337</f>
        <v>276</v>
      </c>
      <c r="AM1337" s="57">
        <f>R1337</f>
        <v>335</v>
      </c>
    </row>
    <row r="1338" spans="1:39" hidden="1" x14ac:dyDescent="0.3">
      <c r="A1338" s="37">
        <v>1334</v>
      </c>
      <c r="B1338" s="38" t="s">
        <v>521</v>
      </c>
      <c r="C1338" s="38" t="s">
        <v>418</v>
      </c>
      <c r="D1338" s="38" t="s">
        <v>533</v>
      </c>
      <c r="E1338" s="38" t="s">
        <v>492</v>
      </c>
      <c r="F1338" s="47" t="s">
        <v>519</v>
      </c>
      <c r="G1338" s="40"/>
      <c r="H1338" s="40"/>
      <c r="I1338" s="40"/>
      <c r="J1338" s="40"/>
      <c r="K1338" s="40"/>
      <c r="L1338" s="40"/>
      <c r="M1338" s="40"/>
      <c r="N1338" s="40"/>
      <c r="O1338" s="40"/>
      <c r="P1338" s="40"/>
      <c r="Q1338" s="40"/>
      <c r="R1338" s="40"/>
      <c r="S1338" s="41"/>
      <c r="T1338" s="41"/>
      <c r="U1338" s="41"/>
      <c r="V1338" s="41"/>
      <c r="W1338" s="41"/>
      <c r="X1338" s="41"/>
      <c r="Y1338" s="41"/>
      <c r="Z1338" s="41"/>
      <c r="AA1338" s="41"/>
    </row>
    <row r="1339" spans="1:39" hidden="1" x14ac:dyDescent="0.3">
      <c r="A1339" s="37">
        <v>1335</v>
      </c>
      <c r="B1339" s="38" t="s">
        <v>521</v>
      </c>
      <c r="C1339" s="38" t="s">
        <v>418</v>
      </c>
      <c r="D1339" s="38" t="s">
        <v>533</v>
      </c>
      <c r="E1339" s="38" t="s">
        <v>492</v>
      </c>
      <c r="F1339" s="47" t="s">
        <v>520</v>
      </c>
      <c r="G1339" s="40">
        <v>301</v>
      </c>
      <c r="H1339" s="40">
        <v>55</v>
      </c>
      <c r="I1339" s="40">
        <v>62</v>
      </c>
      <c r="J1339" s="40">
        <v>184</v>
      </c>
      <c r="K1339" s="40">
        <v>631</v>
      </c>
      <c r="L1339" s="40">
        <v>211</v>
      </c>
      <c r="M1339" s="40">
        <v>144</v>
      </c>
      <c r="N1339" s="40">
        <v>276</v>
      </c>
      <c r="O1339" s="40">
        <v>922</v>
      </c>
      <c r="P1339" s="40">
        <v>401</v>
      </c>
      <c r="Q1339" s="40">
        <v>186</v>
      </c>
      <c r="R1339" s="40">
        <v>335</v>
      </c>
      <c r="S1339" s="41">
        <v>18.272425200000001</v>
      </c>
      <c r="T1339" s="41">
        <v>20.598006600000001</v>
      </c>
      <c r="U1339" s="41">
        <v>61.1295681</v>
      </c>
      <c r="V1339" s="41">
        <v>33.438985700000003</v>
      </c>
      <c r="W1339" s="41">
        <v>22.820919199999999</v>
      </c>
      <c r="X1339" s="41">
        <v>43.740095099999998</v>
      </c>
      <c r="Y1339" s="41">
        <v>43.492407800000002</v>
      </c>
      <c r="Z1339" s="41">
        <v>20.1735358</v>
      </c>
      <c r="AA1339" s="41">
        <v>36.334056400000001</v>
      </c>
    </row>
    <row r="1340" spans="1:39" x14ac:dyDescent="0.3">
      <c r="A1340" s="21">
        <v>1336</v>
      </c>
      <c r="B1340" s="22" t="s">
        <v>464</v>
      </c>
      <c r="C1340" s="22" t="s">
        <v>444</v>
      </c>
      <c r="D1340" s="22"/>
      <c r="E1340" s="22"/>
      <c r="F1340" s="23" t="s">
        <v>444</v>
      </c>
      <c r="G1340" s="24">
        <v>10527</v>
      </c>
      <c r="H1340" s="24">
        <v>4176</v>
      </c>
      <c r="I1340" s="24">
        <v>2032</v>
      </c>
      <c r="J1340" s="24">
        <v>4319</v>
      </c>
      <c r="K1340" s="24">
        <v>25365</v>
      </c>
      <c r="L1340" s="24">
        <v>12694</v>
      </c>
      <c r="M1340" s="24">
        <v>4888</v>
      </c>
      <c r="N1340" s="24">
        <v>7783</v>
      </c>
      <c r="O1340" s="24">
        <v>34943</v>
      </c>
      <c r="P1340" s="24">
        <v>21524</v>
      </c>
      <c r="Q1340" s="24">
        <v>6083</v>
      </c>
      <c r="R1340" s="24">
        <v>7336</v>
      </c>
      <c r="S1340" s="25">
        <v>39.669421499999999</v>
      </c>
      <c r="T1340" s="25">
        <v>19.302745300000002</v>
      </c>
      <c r="U1340" s="25">
        <v>41.027833200000003</v>
      </c>
      <c r="V1340" s="25">
        <v>50.045338100000002</v>
      </c>
      <c r="W1340" s="25">
        <v>19.2706485</v>
      </c>
      <c r="X1340" s="25">
        <v>30.684013400000001</v>
      </c>
      <c r="Y1340" s="25">
        <v>61.597458699999997</v>
      </c>
      <c r="Z1340" s="25">
        <v>17.4083507</v>
      </c>
      <c r="AA1340" s="25">
        <v>20.994190499999998</v>
      </c>
      <c r="AC1340" s="26">
        <f>W1340+X1340</f>
        <v>49.954661900000005</v>
      </c>
      <c r="AD1340" s="26">
        <f>Z1340+AA1340</f>
        <v>38.402541200000002</v>
      </c>
      <c r="AE1340" s="57">
        <f>M1340+N1340</f>
        <v>12671</v>
      </c>
      <c r="AF1340" s="57">
        <f>Q1340+R1340</f>
        <v>13419</v>
      </c>
    </row>
    <row r="1341" spans="1:39" hidden="1" x14ac:dyDescent="0.3">
      <c r="A1341" s="27">
        <v>1337</v>
      </c>
      <c r="B1341" s="28" t="s">
        <v>464</v>
      </c>
      <c r="C1341" s="48" t="s">
        <v>444</v>
      </c>
      <c r="D1341" s="48"/>
      <c r="E1341" s="48"/>
      <c r="F1341" s="29" t="s">
        <v>519</v>
      </c>
      <c r="G1341" s="30">
        <v>4591</v>
      </c>
      <c r="H1341" s="30">
        <v>2406</v>
      </c>
      <c r="I1341" s="30">
        <v>978</v>
      </c>
      <c r="J1341" s="30">
        <v>1207</v>
      </c>
      <c r="K1341" s="30">
        <v>13544</v>
      </c>
      <c r="L1341" s="30">
        <v>8144</v>
      </c>
      <c r="M1341" s="30">
        <v>2610</v>
      </c>
      <c r="N1341" s="30">
        <v>2790</v>
      </c>
      <c r="O1341" s="30">
        <v>19138</v>
      </c>
      <c r="P1341" s="30">
        <v>13065</v>
      </c>
      <c r="Q1341" s="30">
        <v>3096</v>
      </c>
      <c r="R1341" s="30">
        <v>2977</v>
      </c>
      <c r="S1341" s="31">
        <v>52.406883000000001</v>
      </c>
      <c r="T1341" s="31">
        <v>21.3025485</v>
      </c>
      <c r="U1341" s="31">
        <v>26.290568499999999</v>
      </c>
      <c r="V1341" s="31">
        <v>60.129946799999999</v>
      </c>
      <c r="W1341" s="31">
        <v>19.2705257</v>
      </c>
      <c r="X1341" s="31">
        <v>20.599527500000001</v>
      </c>
      <c r="Y1341" s="31">
        <v>68.267321600000002</v>
      </c>
      <c r="Z1341" s="31">
        <v>16.177239</v>
      </c>
      <c r="AA1341" s="31">
        <v>15.555439399999999</v>
      </c>
    </row>
    <row r="1342" spans="1:39" hidden="1" x14ac:dyDescent="0.3">
      <c r="A1342" s="27">
        <v>1338</v>
      </c>
      <c r="B1342" s="28" t="s">
        <v>464</v>
      </c>
      <c r="C1342" s="48" t="s">
        <v>444</v>
      </c>
      <c r="D1342" s="48"/>
      <c r="E1342" s="48"/>
      <c r="F1342" s="29" t="s">
        <v>520</v>
      </c>
      <c r="G1342" s="30">
        <v>5936</v>
      </c>
      <c r="H1342" s="30">
        <v>1770</v>
      </c>
      <c r="I1342" s="30">
        <v>1054</v>
      </c>
      <c r="J1342" s="30">
        <v>3112</v>
      </c>
      <c r="K1342" s="30">
        <v>11821</v>
      </c>
      <c r="L1342" s="30">
        <v>4550</v>
      </c>
      <c r="M1342" s="30">
        <v>2278</v>
      </c>
      <c r="N1342" s="30">
        <v>4993</v>
      </c>
      <c r="O1342" s="30">
        <v>15805</v>
      </c>
      <c r="P1342" s="30">
        <v>8459</v>
      </c>
      <c r="Q1342" s="30">
        <v>2987</v>
      </c>
      <c r="R1342" s="30">
        <v>4359</v>
      </c>
      <c r="S1342" s="31">
        <v>29.818059300000002</v>
      </c>
      <c r="T1342" s="31">
        <v>17.7560647</v>
      </c>
      <c r="U1342" s="31">
        <v>52.425876000000002</v>
      </c>
      <c r="V1342" s="31">
        <v>38.490821400000002</v>
      </c>
      <c r="W1342" s="31">
        <v>19.270789300000001</v>
      </c>
      <c r="X1342" s="31">
        <v>42.238389300000001</v>
      </c>
      <c r="Y1342" s="31">
        <v>53.5210376</v>
      </c>
      <c r="Z1342" s="31">
        <v>18.8990826</v>
      </c>
      <c r="AA1342" s="31">
        <v>27.579879800000001</v>
      </c>
    </row>
    <row r="1343" spans="1:39" hidden="1" x14ac:dyDescent="0.3">
      <c r="A1343" s="32">
        <v>1339</v>
      </c>
      <c r="B1343" s="33" t="s">
        <v>1</v>
      </c>
      <c r="C1343" s="49" t="s">
        <v>444</v>
      </c>
      <c r="D1343" s="49" t="s">
        <v>445</v>
      </c>
      <c r="E1343" s="49"/>
      <c r="F1343" s="34" t="s">
        <v>445</v>
      </c>
      <c r="G1343" s="35">
        <v>6543</v>
      </c>
      <c r="H1343" s="35">
        <v>3249</v>
      </c>
      <c r="I1343" s="35">
        <v>1361</v>
      </c>
      <c r="J1343" s="35">
        <v>1933</v>
      </c>
      <c r="K1343" s="35">
        <v>15448</v>
      </c>
      <c r="L1343" s="35">
        <v>9277</v>
      </c>
      <c r="M1343" s="35">
        <v>2990</v>
      </c>
      <c r="N1343" s="35">
        <v>3181</v>
      </c>
      <c r="O1343" s="35">
        <v>19831</v>
      </c>
      <c r="P1343" s="35">
        <v>13856</v>
      </c>
      <c r="Q1343" s="35">
        <v>3128</v>
      </c>
      <c r="R1343" s="35">
        <v>2847</v>
      </c>
      <c r="S1343" s="36">
        <v>49.656120999999999</v>
      </c>
      <c r="T1343" s="36">
        <v>20.800855899999998</v>
      </c>
      <c r="U1343" s="36">
        <v>29.543023099999999</v>
      </c>
      <c r="V1343" s="36">
        <v>60.053081300000002</v>
      </c>
      <c r="W1343" s="36">
        <v>19.355256300000001</v>
      </c>
      <c r="X1343" s="36">
        <v>20.591662400000001</v>
      </c>
      <c r="Y1343" s="36">
        <v>69.870404899999997</v>
      </c>
      <c r="Z1343" s="36">
        <v>15.7732843</v>
      </c>
      <c r="AA1343" s="36">
        <v>14.356310799999999</v>
      </c>
    </row>
    <row r="1344" spans="1:39" hidden="1" x14ac:dyDescent="0.3">
      <c r="A1344" s="37">
        <v>1340</v>
      </c>
      <c r="B1344" s="38" t="s">
        <v>1</v>
      </c>
      <c r="C1344" s="38" t="s">
        <v>444</v>
      </c>
      <c r="D1344" s="38" t="s">
        <v>445</v>
      </c>
      <c r="E1344" s="38"/>
      <c r="F1344" s="39" t="s">
        <v>519</v>
      </c>
      <c r="G1344" s="40">
        <v>4591</v>
      </c>
      <c r="H1344" s="40">
        <v>2406</v>
      </c>
      <c r="I1344" s="40">
        <v>978</v>
      </c>
      <c r="J1344" s="40">
        <v>1207</v>
      </c>
      <c r="K1344" s="40">
        <v>12588</v>
      </c>
      <c r="L1344" s="40">
        <v>7779</v>
      </c>
      <c r="M1344" s="40">
        <v>2414</v>
      </c>
      <c r="N1344" s="40">
        <v>2395</v>
      </c>
      <c r="O1344" s="40">
        <v>16656</v>
      </c>
      <c r="P1344" s="40">
        <v>11657</v>
      </c>
      <c r="Q1344" s="40">
        <v>2668</v>
      </c>
      <c r="R1344" s="40">
        <v>2331</v>
      </c>
      <c r="S1344" s="41">
        <v>52.406883000000001</v>
      </c>
      <c r="T1344" s="41">
        <v>21.3025485</v>
      </c>
      <c r="U1344" s="41">
        <v>26.290568499999999</v>
      </c>
      <c r="V1344" s="41">
        <v>61.796949499999997</v>
      </c>
      <c r="W1344" s="41">
        <v>19.176994000000001</v>
      </c>
      <c r="X1344" s="41">
        <v>19.0260566</v>
      </c>
      <c r="Y1344" s="41">
        <v>69.986791499999995</v>
      </c>
      <c r="Z1344" s="41">
        <v>16.0182517</v>
      </c>
      <c r="AA1344" s="41">
        <v>13.994956800000001</v>
      </c>
    </row>
    <row r="1345" spans="1:39" hidden="1" x14ac:dyDescent="0.3">
      <c r="A1345" s="37">
        <v>1341</v>
      </c>
      <c r="B1345" s="38" t="s">
        <v>1</v>
      </c>
      <c r="C1345" s="38" t="s">
        <v>444</v>
      </c>
      <c r="D1345" s="38" t="s">
        <v>445</v>
      </c>
      <c r="E1345" s="38"/>
      <c r="F1345" s="39" t="s">
        <v>520</v>
      </c>
      <c r="G1345" s="40">
        <v>1952</v>
      </c>
      <c r="H1345" s="40">
        <v>843</v>
      </c>
      <c r="I1345" s="40">
        <v>383</v>
      </c>
      <c r="J1345" s="40">
        <v>726</v>
      </c>
      <c r="K1345" s="40">
        <v>2860</v>
      </c>
      <c r="L1345" s="40">
        <v>1498</v>
      </c>
      <c r="M1345" s="40">
        <v>576</v>
      </c>
      <c r="N1345" s="40">
        <v>786</v>
      </c>
      <c r="O1345" s="40">
        <v>3175</v>
      </c>
      <c r="P1345" s="40">
        <v>2199</v>
      </c>
      <c r="Q1345" s="40">
        <v>460</v>
      </c>
      <c r="R1345" s="40">
        <v>516</v>
      </c>
      <c r="S1345" s="41">
        <v>43.186475399999999</v>
      </c>
      <c r="T1345" s="41">
        <v>19.6209016</v>
      </c>
      <c r="U1345" s="41">
        <v>37.192622999999998</v>
      </c>
      <c r="V1345" s="41">
        <v>52.3776224</v>
      </c>
      <c r="W1345" s="41">
        <v>20.1398601</v>
      </c>
      <c r="X1345" s="41">
        <v>27.4825175</v>
      </c>
      <c r="Y1345" s="41">
        <v>69.259842500000005</v>
      </c>
      <c r="Z1345" s="41">
        <v>14.488189</v>
      </c>
      <c r="AA1345" s="41">
        <v>16.2519685</v>
      </c>
    </row>
    <row r="1346" spans="1:39" hidden="1" x14ac:dyDescent="0.3">
      <c r="A1346" s="42">
        <v>1342</v>
      </c>
      <c r="B1346" s="43" t="s">
        <v>521</v>
      </c>
      <c r="C1346" s="50" t="s">
        <v>444</v>
      </c>
      <c r="D1346" s="50" t="s">
        <v>445</v>
      </c>
      <c r="E1346" s="50" t="s">
        <v>446</v>
      </c>
      <c r="F1346" s="51" t="s">
        <v>446</v>
      </c>
      <c r="G1346" s="45">
        <v>4923</v>
      </c>
      <c r="H1346" s="45">
        <v>2552</v>
      </c>
      <c r="I1346" s="45">
        <v>1041</v>
      </c>
      <c r="J1346" s="45">
        <v>1330</v>
      </c>
      <c r="K1346" s="45">
        <v>12304</v>
      </c>
      <c r="L1346" s="45">
        <v>7704</v>
      </c>
      <c r="M1346" s="45">
        <v>2291</v>
      </c>
      <c r="N1346" s="45">
        <v>2309</v>
      </c>
      <c r="O1346" s="45">
        <v>15564</v>
      </c>
      <c r="P1346" s="45">
        <v>11159</v>
      </c>
      <c r="Q1346" s="45">
        <v>2362</v>
      </c>
      <c r="R1346" s="45">
        <v>2043</v>
      </c>
      <c r="S1346" s="46">
        <v>51.83831</v>
      </c>
      <c r="T1346" s="46">
        <v>21.145642899999999</v>
      </c>
      <c r="U1346" s="46">
        <v>27.016047100000002</v>
      </c>
      <c r="V1346" s="46">
        <v>62.613784099999997</v>
      </c>
      <c r="W1346" s="46">
        <v>18.619961</v>
      </c>
      <c r="X1346" s="46">
        <v>18.7662549</v>
      </c>
      <c r="Y1346" s="46">
        <v>71.697507099999996</v>
      </c>
      <c r="Z1346" s="46">
        <v>15.1760473</v>
      </c>
      <c r="AA1346" s="46">
        <v>13.1264456</v>
      </c>
      <c r="AB1346" s="26">
        <f>SUM(W1346:X1346)</f>
        <v>37.386215899999996</v>
      </c>
      <c r="AC1346" s="26">
        <f>SUM(Z1346:AA1346)</f>
        <v>28.302492900000001</v>
      </c>
      <c r="AD1346" s="57">
        <f>M1346+N1346</f>
        <v>4600</v>
      </c>
      <c r="AE1346" s="57">
        <f>Q1346+R1346</f>
        <v>4405</v>
      </c>
      <c r="AF1346" s="26">
        <f>W1346</f>
        <v>18.619961</v>
      </c>
      <c r="AG1346" s="26">
        <f>Z1346</f>
        <v>15.1760473</v>
      </c>
      <c r="AH1346" s="26">
        <f>M1346</f>
        <v>2291</v>
      </c>
      <c r="AI1346" s="26">
        <f>Q1346</f>
        <v>2362</v>
      </c>
      <c r="AJ1346" s="26">
        <f>X1346</f>
        <v>18.7662549</v>
      </c>
      <c r="AK1346" s="26">
        <f>AA1346</f>
        <v>13.1264456</v>
      </c>
      <c r="AL1346" s="57">
        <f>N1346</f>
        <v>2309</v>
      </c>
      <c r="AM1346" s="57">
        <f>R1346</f>
        <v>2043</v>
      </c>
    </row>
    <row r="1347" spans="1:39" hidden="1" x14ac:dyDescent="0.3">
      <c r="A1347" s="37">
        <v>1343</v>
      </c>
      <c r="B1347" s="38" t="s">
        <v>521</v>
      </c>
      <c r="C1347" s="38" t="s">
        <v>444</v>
      </c>
      <c r="D1347" s="38" t="s">
        <v>445</v>
      </c>
      <c r="E1347" s="38" t="s">
        <v>446</v>
      </c>
      <c r="F1347" s="47" t="s">
        <v>519</v>
      </c>
      <c r="G1347" s="40">
        <v>4591</v>
      </c>
      <c r="H1347" s="40">
        <v>2406</v>
      </c>
      <c r="I1347" s="40">
        <v>978</v>
      </c>
      <c r="J1347" s="40">
        <v>1207</v>
      </c>
      <c r="K1347" s="40">
        <v>11775</v>
      </c>
      <c r="L1347" s="40">
        <v>7392</v>
      </c>
      <c r="M1347" s="40">
        <v>2213</v>
      </c>
      <c r="N1347" s="40">
        <v>2170</v>
      </c>
      <c r="O1347" s="40">
        <v>14979</v>
      </c>
      <c r="P1347" s="40">
        <v>10723</v>
      </c>
      <c r="Q1347" s="40">
        <v>2287</v>
      </c>
      <c r="R1347" s="40">
        <v>1969</v>
      </c>
      <c r="S1347" s="41">
        <v>52.406883000000001</v>
      </c>
      <c r="T1347" s="41">
        <v>21.3025485</v>
      </c>
      <c r="U1347" s="41">
        <v>26.290568499999999</v>
      </c>
      <c r="V1347" s="41">
        <v>62.777070100000003</v>
      </c>
      <c r="W1347" s="41">
        <v>18.794055199999999</v>
      </c>
      <c r="X1347" s="41">
        <v>18.428874700000001</v>
      </c>
      <c r="Y1347" s="41">
        <v>71.586888299999998</v>
      </c>
      <c r="Z1347" s="41">
        <v>15.2680419</v>
      </c>
      <c r="AA1347" s="41">
        <v>13.1450698</v>
      </c>
    </row>
    <row r="1348" spans="1:39" hidden="1" x14ac:dyDescent="0.3">
      <c r="A1348" s="37">
        <v>1344</v>
      </c>
      <c r="B1348" s="38" t="s">
        <v>521</v>
      </c>
      <c r="C1348" s="38" t="s">
        <v>444</v>
      </c>
      <c r="D1348" s="38" t="s">
        <v>445</v>
      </c>
      <c r="E1348" s="38" t="s">
        <v>446</v>
      </c>
      <c r="F1348" s="47" t="s">
        <v>520</v>
      </c>
      <c r="G1348" s="40">
        <v>332</v>
      </c>
      <c r="H1348" s="40">
        <v>146</v>
      </c>
      <c r="I1348" s="40">
        <v>63</v>
      </c>
      <c r="J1348" s="40">
        <v>123</v>
      </c>
      <c r="K1348" s="40">
        <v>529</v>
      </c>
      <c r="L1348" s="40">
        <v>312</v>
      </c>
      <c r="M1348" s="40">
        <v>78</v>
      </c>
      <c r="N1348" s="40">
        <v>139</v>
      </c>
      <c r="O1348" s="40">
        <v>585</v>
      </c>
      <c r="P1348" s="40">
        <v>436</v>
      </c>
      <c r="Q1348" s="40">
        <v>75</v>
      </c>
      <c r="R1348" s="40">
        <v>74</v>
      </c>
      <c r="S1348" s="41">
        <v>43.975903600000002</v>
      </c>
      <c r="T1348" s="41">
        <v>18.975903599999999</v>
      </c>
      <c r="U1348" s="41">
        <v>37.048192800000002</v>
      </c>
      <c r="V1348" s="41">
        <v>58.979205999999998</v>
      </c>
      <c r="W1348" s="41">
        <v>14.744801499999999</v>
      </c>
      <c r="X1348" s="41">
        <v>26.2759924</v>
      </c>
      <c r="Y1348" s="41">
        <v>74.529914500000004</v>
      </c>
      <c r="Z1348" s="41">
        <v>12.820512799999999</v>
      </c>
      <c r="AA1348" s="41">
        <v>12.649572600000001</v>
      </c>
    </row>
    <row r="1349" spans="1:39" hidden="1" x14ac:dyDescent="0.3">
      <c r="A1349" s="42">
        <v>1345</v>
      </c>
      <c r="B1349" s="43" t="s">
        <v>521</v>
      </c>
      <c r="C1349" s="50" t="s">
        <v>444</v>
      </c>
      <c r="D1349" s="50" t="s">
        <v>445</v>
      </c>
      <c r="E1349" s="50" t="s">
        <v>447</v>
      </c>
      <c r="F1349" s="51" t="s">
        <v>447</v>
      </c>
      <c r="G1349" s="45">
        <v>831</v>
      </c>
      <c r="H1349" s="45">
        <v>372</v>
      </c>
      <c r="I1349" s="45">
        <v>177</v>
      </c>
      <c r="J1349" s="45">
        <v>282</v>
      </c>
      <c r="K1349" s="45">
        <v>1655</v>
      </c>
      <c r="L1349" s="45">
        <v>796</v>
      </c>
      <c r="M1349" s="45">
        <v>386</v>
      </c>
      <c r="N1349" s="45">
        <v>473</v>
      </c>
      <c r="O1349" s="45">
        <v>2230</v>
      </c>
      <c r="P1349" s="45">
        <v>1266</v>
      </c>
      <c r="Q1349" s="45">
        <v>483</v>
      </c>
      <c r="R1349" s="45">
        <v>481</v>
      </c>
      <c r="S1349" s="46">
        <v>44.765343000000001</v>
      </c>
      <c r="T1349" s="46">
        <v>21.299638999999999</v>
      </c>
      <c r="U1349" s="46">
        <v>33.935018100000001</v>
      </c>
      <c r="V1349" s="46">
        <v>48.096676700000003</v>
      </c>
      <c r="W1349" s="46">
        <v>23.323262799999998</v>
      </c>
      <c r="X1349" s="46">
        <v>28.580060400000001</v>
      </c>
      <c r="Y1349" s="46">
        <v>56.771300400000001</v>
      </c>
      <c r="Z1349" s="46">
        <v>21.6591928</v>
      </c>
      <c r="AA1349" s="46">
        <v>21.569506700000002</v>
      </c>
      <c r="AB1349" s="26">
        <f>SUM(W1349:X1349)</f>
        <v>51.903323200000003</v>
      </c>
      <c r="AC1349" s="26">
        <f>SUM(Z1349:AA1349)</f>
        <v>43.228699500000005</v>
      </c>
      <c r="AD1349" s="57">
        <f>M1349+N1349</f>
        <v>859</v>
      </c>
      <c r="AE1349" s="57">
        <f>Q1349+R1349</f>
        <v>964</v>
      </c>
      <c r="AF1349" s="26">
        <f>W1349</f>
        <v>23.323262799999998</v>
      </c>
      <c r="AG1349" s="26">
        <f>Z1349</f>
        <v>21.6591928</v>
      </c>
      <c r="AH1349" s="26">
        <f>M1349</f>
        <v>386</v>
      </c>
      <c r="AI1349" s="26">
        <f>Q1349</f>
        <v>483</v>
      </c>
      <c r="AJ1349" s="26">
        <f>X1349</f>
        <v>28.580060400000001</v>
      </c>
      <c r="AK1349" s="26">
        <f>AA1349</f>
        <v>21.569506700000002</v>
      </c>
      <c r="AL1349" s="57">
        <f>N1349</f>
        <v>473</v>
      </c>
      <c r="AM1349" s="57">
        <f>R1349</f>
        <v>481</v>
      </c>
    </row>
    <row r="1350" spans="1:39" hidden="1" x14ac:dyDescent="0.3">
      <c r="A1350" s="37">
        <v>1346</v>
      </c>
      <c r="B1350" s="38" t="s">
        <v>521</v>
      </c>
      <c r="C1350" s="38" t="s">
        <v>444</v>
      </c>
      <c r="D1350" s="38" t="s">
        <v>445</v>
      </c>
      <c r="E1350" s="38" t="s">
        <v>447</v>
      </c>
      <c r="F1350" s="47" t="s">
        <v>519</v>
      </c>
      <c r="G1350" s="40"/>
      <c r="H1350" s="40"/>
      <c r="I1350" s="40"/>
      <c r="J1350" s="40"/>
      <c r="K1350" s="40">
        <v>813</v>
      </c>
      <c r="L1350" s="40">
        <v>387</v>
      </c>
      <c r="M1350" s="40">
        <v>201</v>
      </c>
      <c r="N1350" s="40">
        <v>225</v>
      </c>
      <c r="O1350" s="40">
        <v>1677</v>
      </c>
      <c r="P1350" s="40">
        <v>934</v>
      </c>
      <c r="Q1350" s="40">
        <v>381</v>
      </c>
      <c r="R1350" s="40">
        <v>362</v>
      </c>
      <c r="S1350" s="41"/>
      <c r="T1350" s="41"/>
      <c r="U1350" s="41"/>
      <c r="V1350" s="41">
        <v>47.601475999999998</v>
      </c>
      <c r="W1350" s="41">
        <v>24.723247199999999</v>
      </c>
      <c r="X1350" s="41">
        <v>27.675276799999999</v>
      </c>
      <c r="Y1350" s="41">
        <v>55.6946929</v>
      </c>
      <c r="Z1350" s="41">
        <v>22.7191413</v>
      </c>
      <c r="AA1350" s="41">
        <v>21.5861658</v>
      </c>
    </row>
    <row r="1351" spans="1:39" hidden="1" x14ac:dyDescent="0.3">
      <c r="A1351" s="37">
        <v>1347</v>
      </c>
      <c r="B1351" s="38" t="s">
        <v>521</v>
      </c>
      <c r="C1351" s="38" t="s">
        <v>444</v>
      </c>
      <c r="D1351" s="38" t="s">
        <v>445</v>
      </c>
      <c r="E1351" s="38" t="s">
        <v>447</v>
      </c>
      <c r="F1351" s="47" t="s">
        <v>520</v>
      </c>
      <c r="G1351" s="40">
        <v>831</v>
      </c>
      <c r="H1351" s="40">
        <v>372</v>
      </c>
      <c r="I1351" s="40">
        <v>177</v>
      </c>
      <c r="J1351" s="40">
        <v>282</v>
      </c>
      <c r="K1351" s="40">
        <v>842</v>
      </c>
      <c r="L1351" s="40">
        <v>409</v>
      </c>
      <c r="M1351" s="40">
        <v>185</v>
      </c>
      <c r="N1351" s="40">
        <v>248</v>
      </c>
      <c r="O1351" s="40">
        <v>553</v>
      </c>
      <c r="P1351" s="40">
        <v>332</v>
      </c>
      <c r="Q1351" s="40">
        <v>102</v>
      </c>
      <c r="R1351" s="40">
        <v>119</v>
      </c>
      <c r="S1351" s="41">
        <v>44.765343000000001</v>
      </c>
      <c r="T1351" s="41">
        <v>21.299638999999999</v>
      </c>
      <c r="U1351" s="41">
        <v>33.935018100000001</v>
      </c>
      <c r="V1351" s="41">
        <v>48.574821900000003</v>
      </c>
      <c r="W1351" s="41">
        <v>21.971496399999999</v>
      </c>
      <c r="X1351" s="41">
        <v>29.453681700000001</v>
      </c>
      <c r="Y1351" s="41">
        <v>60.036166399999999</v>
      </c>
      <c r="Z1351" s="41">
        <v>18.444846299999998</v>
      </c>
      <c r="AA1351" s="41">
        <v>21.518987299999999</v>
      </c>
    </row>
    <row r="1352" spans="1:39" hidden="1" x14ac:dyDescent="0.3">
      <c r="A1352" s="42">
        <v>1348</v>
      </c>
      <c r="B1352" s="43" t="s">
        <v>521</v>
      </c>
      <c r="C1352" s="50" t="s">
        <v>444</v>
      </c>
      <c r="D1352" s="50" t="s">
        <v>445</v>
      </c>
      <c r="E1352" s="50" t="s">
        <v>448</v>
      </c>
      <c r="F1352" s="51" t="s">
        <v>448</v>
      </c>
      <c r="G1352" s="45">
        <v>292</v>
      </c>
      <c r="H1352" s="45">
        <v>120</v>
      </c>
      <c r="I1352" s="45">
        <v>59</v>
      </c>
      <c r="J1352" s="45">
        <v>113</v>
      </c>
      <c r="K1352" s="45">
        <v>545</v>
      </c>
      <c r="L1352" s="45">
        <v>263</v>
      </c>
      <c r="M1352" s="45">
        <v>108</v>
      </c>
      <c r="N1352" s="45">
        <v>174</v>
      </c>
      <c r="O1352" s="45">
        <v>802</v>
      </c>
      <c r="P1352" s="45">
        <v>560</v>
      </c>
      <c r="Q1352" s="45">
        <v>113</v>
      </c>
      <c r="R1352" s="45">
        <v>129</v>
      </c>
      <c r="S1352" s="46">
        <v>41.095890400000002</v>
      </c>
      <c r="T1352" s="46">
        <v>20.205479499999999</v>
      </c>
      <c r="U1352" s="46">
        <v>38.698630100000003</v>
      </c>
      <c r="V1352" s="46">
        <v>48.256880700000004</v>
      </c>
      <c r="W1352" s="46">
        <v>19.816513799999999</v>
      </c>
      <c r="X1352" s="46">
        <v>31.926605500000001</v>
      </c>
      <c r="Y1352" s="46">
        <v>69.825436400000001</v>
      </c>
      <c r="Z1352" s="46">
        <v>14.089775599999999</v>
      </c>
      <c r="AA1352" s="46">
        <v>16.084788</v>
      </c>
      <c r="AB1352" s="26">
        <f>SUM(W1352:X1352)</f>
        <v>51.743119300000004</v>
      </c>
      <c r="AC1352" s="26">
        <f>SUM(Z1352:AA1352)</f>
        <v>30.174563599999999</v>
      </c>
      <c r="AD1352" s="57">
        <f>M1352+N1352</f>
        <v>282</v>
      </c>
      <c r="AE1352" s="57">
        <f>Q1352+R1352</f>
        <v>242</v>
      </c>
      <c r="AF1352" s="26">
        <f>W1352</f>
        <v>19.816513799999999</v>
      </c>
      <c r="AG1352" s="26">
        <f>Z1352</f>
        <v>14.089775599999999</v>
      </c>
      <c r="AH1352" s="26">
        <f>M1352</f>
        <v>108</v>
      </c>
      <c r="AI1352" s="26">
        <f>Q1352</f>
        <v>113</v>
      </c>
      <c r="AJ1352" s="26">
        <f>X1352</f>
        <v>31.926605500000001</v>
      </c>
      <c r="AK1352" s="26">
        <f>AA1352</f>
        <v>16.084788</v>
      </c>
      <c r="AL1352" s="57">
        <f>N1352</f>
        <v>174</v>
      </c>
      <c r="AM1352" s="57">
        <f>R1352</f>
        <v>129</v>
      </c>
    </row>
    <row r="1353" spans="1:39" hidden="1" x14ac:dyDescent="0.3">
      <c r="A1353" s="37">
        <v>1349</v>
      </c>
      <c r="B1353" s="38" t="s">
        <v>521</v>
      </c>
      <c r="C1353" s="38" t="s">
        <v>444</v>
      </c>
      <c r="D1353" s="38" t="s">
        <v>445</v>
      </c>
      <c r="E1353" s="38" t="s">
        <v>448</v>
      </c>
      <c r="F1353" s="47" t="s">
        <v>519</v>
      </c>
      <c r="G1353" s="40"/>
      <c r="H1353" s="40"/>
      <c r="I1353" s="40"/>
      <c r="J1353" s="40"/>
      <c r="K1353" s="40"/>
      <c r="L1353" s="40"/>
      <c r="M1353" s="40"/>
      <c r="N1353" s="40"/>
      <c r="O1353" s="40"/>
      <c r="P1353" s="40"/>
      <c r="Q1353" s="40"/>
      <c r="R1353" s="40"/>
      <c r="S1353" s="41"/>
      <c r="T1353" s="41"/>
      <c r="U1353" s="41"/>
      <c r="V1353" s="41"/>
      <c r="W1353" s="41"/>
      <c r="X1353" s="41"/>
      <c r="Y1353" s="41"/>
      <c r="Z1353" s="41"/>
      <c r="AA1353" s="41"/>
    </row>
    <row r="1354" spans="1:39" hidden="1" x14ac:dyDescent="0.3">
      <c r="A1354" s="37">
        <v>1350</v>
      </c>
      <c r="B1354" s="38" t="s">
        <v>521</v>
      </c>
      <c r="C1354" s="38" t="s">
        <v>444</v>
      </c>
      <c r="D1354" s="38" t="s">
        <v>445</v>
      </c>
      <c r="E1354" s="38" t="s">
        <v>448</v>
      </c>
      <c r="F1354" s="47" t="s">
        <v>520</v>
      </c>
      <c r="G1354" s="40">
        <v>292</v>
      </c>
      <c r="H1354" s="40">
        <v>120</v>
      </c>
      <c r="I1354" s="40">
        <v>59</v>
      </c>
      <c r="J1354" s="40">
        <v>113</v>
      </c>
      <c r="K1354" s="40">
        <v>545</v>
      </c>
      <c r="L1354" s="40">
        <v>263</v>
      </c>
      <c r="M1354" s="40">
        <v>108</v>
      </c>
      <c r="N1354" s="40">
        <v>174</v>
      </c>
      <c r="O1354" s="40">
        <v>802</v>
      </c>
      <c r="P1354" s="40">
        <v>560</v>
      </c>
      <c r="Q1354" s="40">
        <v>113</v>
      </c>
      <c r="R1354" s="40">
        <v>129</v>
      </c>
      <c r="S1354" s="41">
        <v>41.095890400000002</v>
      </c>
      <c r="T1354" s="41">
        <v>20.205479499999999</v>
      </c>
      <c r="U1354" s="41">
        <v>38.698630100000003</v>
      </c>
      <c r="V1354" s="41">
        <v>48.256880700000004</v>
      </c>
      <c r="W1354" s="41">
        <v>19.816513799999999</v>
      </c>
      <c r="X1354" s="41">
        <v>31.926605500000001</v>
      </c>
      <c r="Y1354" s="41">
        <v>69.825436400000001</v>
      </c>
      <c r="Z1354" s="41">
        <v>14.089775599999999</v>
      </c>
      <c r="AA1354" s="41">
        <v>16.084788</v>
      </c>
    </row>
    <row r="1355" spans="1:39" hidden="1" x14ac:dyDescent="0.3">
      <c r="A1355" s="42">
        <v>1351</v>
      </c>
      <c r="B1355" s="43" t="s">
        <v>521</v>
      </c>
      <c r="C1355" s="50" t="s">
        <v>444</v>
      </c>
      <c r="D1355" s="50" t="s">
        <v>445</v>
      </c>
      <c r="E1355" s="50" t="s">
        <v>449</v>
      </c>
      <c r="F1355" s="51" t="s">
        <v>449</v>
      </c>
      <c r="G1355" s="45">
        <v>497</v>
      </c>
      <c r="H1355" s="45">
        <v>205</v>
      </c>
      <c r="I1355" s="45">
        <v>84</v>
      </c>
      <c r="J1355" s="45">
        <v>208</v>
      </c>
      <c r="K1355" s="45">
        <v>944</v>
      </c>
      <c r="L1355" s="45">
        <v>514</v>
      </c>
      <c r="M1355" s="45">
        <v>205</v>
      </c>
      <c r="N1355" s="45">
        <v>225</v>
      </c>
      <c r="O1355" s="45">
        <v>1235</v>
      </c>
      <c r="P1355" s="45">
        <v>871</v>
      </c>
      <c r="Q1355" s="45">
        <v>170</v>
      </c>
      <c r="R1355" s="45">
        <v>194</v>
      </c>
      <c r="S1355" s="46">
        <v>41.247484900000003</v>
      </c>
      <c r="T1355" s="46">
        <v>16.901408499999999</v>
      </c>
      <c r="U1355" s="46">
        <v>41.851106600000001</v>
      </c>
      <c r="V1355" s="46">
        <v>54.449152499999997</v>
      </c>
      <c r="W1355" s="46">
        <v>21.716101699999999</v>
      </c>
      <c r="X1355" s="46">
        <v>23.8347458</v>
      </c>
      <c r="Y1355" s="46">
        <v>70.526315800000006</v>
      </c>
      <c r="Z1355" s="46">
        <v>13.7651822</v>
      </c>
      <c r="AA1355" s="46">
        <v>15.708501999999999</v>
      </c>
      <c r="AB1355" s="26">
        <f>SUM(W1355:X1355)</f>
        <v>45.550847500000003</v>
      </c>
      <c r="AC1355" s="26">
        <f>SUM(Z1355:AA1355)</f>
        <v>29.473684200000001</v>
      </c>
      <c r="AD1355" s="57">
        <f>M1355+N1355</f>
        <v>430</v>
      </c>
      <c r="AE1355" s="57">
        <f>Q1355+R1355</f>
        <v>364</v>
      </c>
      <c r="AF1355" s="26">
        <f>W1355</f>
        <v>21.716101699999999</v>
      </c>
      <c r="AG1355" s="26">
        <f>Z1355</f>
        <v>13.7651822</v>
      </c>
      <c r="AH1355" s="26">
        <f>M1355</f>
        <v>205</v>
      </c>
      <c r="AI1355" s="26">
        <f>Q1355</f>
        <v>170</v>
      </c>
      <c r="AJ1355" s="26">
        <f>X1355</f>
        <v>23.8347458</v>
      </c>
      <c r="AK1355" s="26">
        <f>AA1355</f>
        <v>15.708501999999999</v>
      </c>
      <c r="AL1355" s="57">
        <f>N1355</f>
        <v>225</v>
      </c>
      <c r="AM1355" s="57">
        <f>R1355</f>
        <v>194</v>
      </c>
    </row>
    <row r="1356" spans="1:39" hidden="1" x14ac:dyDescent="0.3">
      <c r="A1356" s="37">
        <v>1352</v>
      </c>
      <c r="B1356" s="38" t="s">
        <v>521</v>
      </c>
      <c r="C1356" s="38" t="s">
        <v>444</v>
      </c>
      <c r="D1356" s="38" t="s">
        <v>445</v>
      </c>
      <c r="E1356" s="38" t="s">
        <v>449</v>
      </c>
      <c r="F1356" s="47" t="s">
        <v>519</v>
      </c>
      <c r="G1356" s="40"/>
      <c r="H1356" s="40"/>
      <c r="I1356" s="40"/>
      <c r="J1356" s="40"/>
      <c r="K1356" s="40"/>
      <c r="L1356" s="40"/>
      <c r="M1356" s="40"/>
      <c r="N1356" s="40"/>
      <c r="O1356" s="40"/>
      <c r="P1356" s="40"/>
      <c r="Q1356" s="40"/>
      <c r="R1356" s="40"/>
      <c r="S1356" s="41"/>
      <c r="T1356" s="41"/>
      <c r="U1356" s="41"/>
      <c r="V1356" s="41"/>
      <c r="W1356" s="41"/>
      <c r="X1356" s="41"/>
      <c r="Y1356" s="41"/>
      <c r="Z1356" s="41"/>
      <c r="AA1356" s="41"/>
    </row>
    <row r="1357" spans="1:39" hidden="1" x14ac:dyDescent="0.3">
      <c r="A1357" s="37">
        <v>1353</v>
      </c>
      <c r="B1357" s="38" t="s">
        <v>521</v>
      </c>
      <c r="C1357" s="38" t="s">
        <v>444</v>
      </c>
      <c r="D1357" s="38" t="s">
        <v>445</v>
      </c>
      <c r="E1357" s="38" t="s">
        <v>449</v>
      </c>
      <c r="F1357" s="47" t="s">
        <v>520</v>
      </c>
      <c r="G1357" s="40">
        <v>497</v>
      </c>
      <c r="H1357" s="40">
        <v>205</v>
      </c>
      <c r="I1357" s="40">
        <v>84</v>
      </c>
      <c r="J1357" s="40">
        <v>208</v>
      </c>
      <c r="K1357" s="40">
        <v>944</v>
      </c>
      <c r="L1357" s="40">
        <v>514</v>
      </c>
      <c r="M1357" s="40">
        <v>205</v>
      </c>
      <c r="N1357" s="40">
        <v>225</v>
      </c>
      <c r="O1357" s="40">
        <v>1235</v>
      </c>
      <c r="P1357" s="40">
        <v>871</v>
      </c>
      <c r="Q1357" s="40">
        <v>170</v>
      </c>
      <c r="R1357" s="40">
        <v>194</v>
      </c>
      <c r="S1357" s="41">
        <v>41.247484900000003</v>
      </c>
      <c r="T1357" s="41">
        <v>16.901408499999999</v>
      </c>
      <c r="U1357" s="41">
        <v>41.851106600000001</v>
      </c>
      <c r="V1357" s="41">
        <v>54.449152499999997</v>
      </c>
      <c r="W1357" s="41">
        <v>21.716101699999999</v>
      </c>
      <c r="X1357" s="41">
        <v>23.8347458</v>
      </c>
      <c r="Y1357" s="41">
        <v>70.526315800000006</v>
      </c>
      <c r="Z1357" s="41">
        <v>13.7651822</v>
      </c>
      <c r="AA1357" s="41">
        <v>15.708501999999999</v>
      </c>
    </row>
    <row r="1358" spans="1:39" hidden="1" x14ac:dyDescent="0.3">
      <c r="A1358" s="32">
        <v>1354</v>
      </c>
      <c r="B1358" s="33" t="s">
        <v>1</v>
      </c>
      <c r="C1358" s="49" t="s">
        <v>444</v>
      </c>
      <c r="D1358" s="49" t="s">
        <v>450</v>
      </c>
      <c r="E1358" s="49"/>
      <c r="F1358" s="34" t="s">
        <v>450</v>
      </c>
      <c r="G1358" s="35">
        <v>1523</v>
      </c>
      <c r="H1358" s="35">
        <v>436</v>
      </c>
      <c r="I1358" s="35">
        <v>259</v>
      </c>
      <c r="J1358" s="35">
        <v>828</v>
      </c>
      <c r="K1358" s="35">
        <v>3420</v>
      </c>
      <c r="L1358" s="35">
        <v>1494</v>
      </c>
      <c r="M1358" s="35">
        <v>643</v>
      </c>
      <c r="N1358" s="35">
        <v>1283</v>
      </c>
      <c r="O1358" s="35">
        <v>5115</v>
      </c>
      <c r="P1358" s="35">
        <v>2976</v>
      </c>
      <c r="Q1358" s="35">
        <v>978</v>
      </c>
      <c r="R1358" s="35">
        <v>1161</v>
      </c>
      <c r="S1358" s="36">
        <v>28.627708500000001</v>
      </c>
      <c r="T1358" s="36">
        <v>17.0059094</v>
      </c>
      <c r="U1358" s="36">
        <v>54.366382100000003</v>
      </c>
      <c r="V1358" s="36">
        <v>43.684210499999999</v>
      </c>
      <c r="W1358" s="36">
        <v>18.801169600000001</v>
      </c>
      <c r="X1358" s="36">
        <v>37.5146199</v>
      </c>
      <c r="Y1358" s="36">
        <v>58.181818200000002</v>
      </c>
      <c r="Z1358" s="36">
        <v>19.1202346</v>
      </c>
      <c r="AA1358" s="36">
        <v>22.697947200000002</v>
      </c>
    </row>
    <row r="1359" spans="1:39" hidden="1" x14ac:dyDescent="0.3">
      <c r="A1359" s="37">
        <v>1355</v>
      </c>
      <c r="B1359" s="38" t="s">
        <v>1</v>
      </c>
      <c r="C1359" s="38" t="s">
        <v>444</v>
      </c>
      <c r="D1359" s="38" t="s">
        <v>450</v>
      </c>
      <c r="E1359" s="38"/>
      <c r="F1359" s="39" t="s">
        <v>519</v>
      </c>
      <c r="G1359" s="40"/>
      <c r="H1359" s="40"/>
      <c r="I1359" s="40"/>
      <c r="J1359" s="40"/>
      <c r="K1359" s="40">
        <v>579</v>
      </c>
      <c r="L1359" s="40">
        <v>301</v>
      </c>
      <c r="M1359" s="40">
        <v>111</v>
      </c>
      <c r="N1359" s="40">
        <v>167</v>
      </c>
      <c r="O1359" s="40">
        <v>984</v>
      </c>
      <c r="P1359" s="40">
        <v>638</v>
      </c>
      <c r="Q1359" s="40">
        <v>174</v>
      </c>
      <c r="R1359" s="40">
        <v>172</v>
      </c>
      <c r="S1359" s="41"/>
      <c r="T1359" s="41"/>
      <c r="U1359" s="41"/>
      <c r="V1359" s="41">
        <v>51.986183099999998</v>
      </c>
      <c r="W1359" s="41">
        <v>19.170984499999999</v>
      </c>
      <c r="X1359" s="41">
        <v>28.8428325</v>
      </c>
      <c r="Y1359" s="41">
        <v>64.837398399999998</v>
      </c>
      <c r="Z1359" s="41">
        <v>17.682926800000001</v>
      </c>
      <c r="AA1359" s="41">
        <v>17.479674800000002</v>
      </c>
    </row>
    <row r="1360" spans="1:39" hidden="1" x14ac:dyDescent="0.3">
      <c r="A1360" s="37">
        <v>1356</v>
      </c>
      <c r="B1360" s="38" t="s">
        <v>1</v>
      </c>
      <c r="C1360" s="38" t="s">
        <v>444</v>
      </c>
      <c r="D1360" s="38" t="s">
        <v>450</v>
      </c>
      <c r="E1360" s="38"/>
      <c r="F1360" s="39" t="s">
        <v>520</v>
      </c>
      <c r="G1360" s="40">
        <v>1523</v>
      </c>
      <c r="H1360" s="40">
        <v>436</v>
      </c>
      <c r="I1360" s="40">
        <v>259</v>
      </c>
      <c r="J1360" s="40">
        <v>828</v>
      </c>
      <c r="K1360" s="40">
        <v>2841</v>
      </c>
      <c r="L1360" s="40">
        <v>1193</v>
      </c>
      <c r="M1360" s="40">
        <v>532</v>
      </c>
      <c r="N1360" s="40">
        <v>1116</v>
      </c>
      <c r="O1360" s="40">
        <v>4131</v>
      </c>
      <c r="P1360" s="40">
        <v>2338</v>
      </c>
      <c r="Q1360" s="40">
        <v>804</v>
      </c>
      <c r="R1360" s="40">
        <v>989</v>
      </c>
      <c r="S1360" s="41">
        <v>28.627708500000001</v>
      </c>
      <c r="T1360" s="41">
        <v>17.0059094</v>
      </c>
      <c r="U1360" s="41">
        <v>54.366382100000003</v>
      </c>
      <c r="V1360" s="41">
        <v>41.9922562</v>
      </c>
      <c r="W1360" s="41">
        <v>18.725800799999998</v>
      </c>
      <c r="X1360" s="41">
        <v>39.281942999999998</v>
      </c>
      <c r="Y1360" s="41">
        <v>56.596465700000003</v>
      </c>
      <c r="Z1360" s="41">
        <v>19.462599900000001</v>
      </c>
      <c r="AA1360" s="41">
        <v>23.9409344</v>
      </c>
    </row>
    <row r="1361" spans="1:39" hidden="1" x14ac:dyDescent="0.3">
      <c r="A1361" s="42">
        <v>1357</v>
      </c>
      <c r="B1361" s="43" t="s">
        <v>521</v>
      </c>
      <c r="C1361" s="50" t="s">
        <v>444</v>
      </c>
      <c r="D1361" s="50" t="s">
        <v>450</v>
      </c>
      <c r="E1361" s="50" t="s">
        <v>451</v>
      </c>
      <c r="F1361" s="51" t="s">
        <v>451</v>
      </c>
      <c r="G1361" s="45">
        <v>728</v>
      </c>
      <c r="H1361" s="45">
        <v>202</v>
      </c>
      <c r="I1361" s="45">
        <v>136</v>
      </c>
      <c r="J1361" s="45">
        <v>390</v>
      </c>
      <c r="K1361" s="45">
        <v>1382</v>
      </c>
      <c r="L1361" s="45">
        <v>620</v>
      </c>
      <c r="M1361" s="45">
        <v>275</v>
      </c>
      <c r="N1361" s="45">
        <v>487</v>
      </c>
      <c r="O1361" s="45">
        <v>1989</v>
      </c>
      <c r="P1361" s="45">
        <v>1191</v>
      </c>
      <c r="Q1361" s="45">
        <v>378</v>
      </c>
      <c r="R1361" s="45">
        <v>420</v>
      </c>
      <c r="S1361" s="46">
        <v>27.747252700000001</v>
      </c>
      <c r="T1361" s="46">
        <v>18.681318699999999</v>
      </c>
      <c r="U1361" s="46">
        <v>53.571428599999997</v>
      </c>
      <c r="V1361" s="46">
        <v>44.862518100000003</v>
      </c>
      <c r="W1361" s="46">
        <v>19.898697500000001</v>
      </c>
      <c r="X1361" s="46">
        <v>35.2387844</v>
      </c>
      <c r="Y1361" s="46">
        <v>59.879336299999999</v>
      </c>
      <c r="Z1361" s="46">
        <v>19.0045249</v>
      </c>
      <c r="AA1361" s="46">
        <v>21.116138800000002</v>
      </c>
      <c r="AB1361" s="26">
        <f>SUM(W1361:X1361)</f>
        <v>55.137481899999997</v>
      </c>
      <c r="AC1361" s="26">
        <f>SUM(Z1361:AA1361)</f>
        <v>40.120663700000001</v>
      </c>
      <c r="AD1361" s="57">
        <f>M1361+N1361</f>
        <v>762</v>
      </c>
      <c r="AE1361" s="57">
        <f>Q1361+R1361</f>
        <v>798</v>
      </c>
      <c r="AF1361" s="26">
        <f>W1361</f>
        <v>19.898697500000001</v>
      </c>
      <c r="AG1361" s="26">
        <f>Z1361</f>
        <v>19.0045249</v>
      </c>
      <c r="AH1361" s="26">
        <f>M1361</f>
        <v>275</v>
      </c>
      <c r="AI1361" s="26">
        <f>Q1361</f>
        <v>378</v>
      </c>
      <c r="AJ1361" s="26">
        <f>X1361</f>
        <v>35.2387844</v>
      </c>
      <c r="AK1361" s="26">
        <f>AA1361</f>
        <v>21.116138800000002</v>
      </c>
      <c r="AL1361" s="57">
        <f>N1361</f>
        <v>487</v>
      </c>
      <c r="AM1361" s="57">
        <f>R1361</f>
        <v>420</v>
      </c>
    </row>
    <row r="1362" spans="1:39" hidden="1" x14ac:dyDescent="0.3">
      <c r="A1362" s="37">
        <v>1358</v>
      </c>
      <c r="B1362" s="38" t="s">
        <v>521</v>
      </c>
      <c r="C1362" s="38" t="s">
        <v>444</v>
      </c>
      <c r="D1362" s="38" t="s">
        <v>450</v>
      </c>
      <c r="E1362" s="38" t="s">
        <v>451</v>
      </c>
      <c r="F1362" s="47" t="s">
        <v>519</v>
      </c>
      <c r="G1362" s="40"/>
      <c r="H1362" s="40"/>
      <c r="I1362" s="40"/>
      <c r="J1362" s="40"/>
      <c r="K1362" s="40">
        <v>579</v>
      </c>
      <c r="L1362" s="40">
        <v>301</v>
      </c>
      <c r="M1362" s="40">
        <v>111</v>
      </c>
      <c r="N1362" s="40">
        <v>167</v>
      </c>
      <c r="O1362" s="40">
        <v>984</v>
      </c>
      <c r="P1362" s="40">
        <v>638</v>
      </c>
      <c r="Q1362" s="40">
        <v>174</v>
      </c>
      <c r="R1362" s="40">
        <v>172</v>
      </c>
      <c r="S1362" s="41"/>
      <c r="T1362" s="41"/>
      <c r="U1362" s="41"/>
      <c r="V1362" s="41">
        <v>51.986183099999998</v>
      </c>
      <c r="W1362" s="41">
        <v>19.170984499999999</v>
      </c>
      <c r="X1362" s="41">
        <v>28.8428325</v>
      </c>
      <c r="Y1362" s="41">
        <v>64.837398399999998</v>
      </c>
      <c r="Z1362" s="41">
        <v>17.682926800000001</v>
      </c>
      <c r="AA1362" s="41">
        <v>17.479674800000002</v>
      </c>
    </row>
    <row r="1363" spans="1:39" hidden="1" x14ac:dyDescent="0.3">
      <c r="A1363" s="37">
        <v>1359</v>
      </c>
      <c r="B1363" s="38" t="s">
        <v>521</v>
      </c>
      <c r="C1363" s="38" t="s">
        <v>444</v>
      </c>
      <c r="D1363" s="38" t="s">
        <v>450</v>
      </c>
      <c r="E1363" s="38" t="s">
        <v>451</v>
      </c>
      <c r="F1363" s="47" t="s">
        <v>520</v>
      </c>
      <c r="G1363" s="40">
        <v>728</v>
      </c>
      <c r="H1363" s="40">
        <v>202</v>
      </c>
      <c r="I1363" s="40">
        <v>136</v>
      </c>
      <c r="J1363" s="40">
        <v>390</v>
      </c>
      <c r="K1363" s="40">
        <v>803</v>
      </c>
      <c r="L1363" s="40">
        <v>319</v>
      </c>
      <c r="M1363" s="40">
        <v>164</v>
      </c>
      <c r="N1363" s="40">
        <v>320</v>
      </c>
      <c r="O1363" s="40">
        <v>1005</v>
      </c>
      <c r="P1363" s="40">
        <v>553</v>
      </c>
      <c r="Q1363" s="40">
        <v>204</v>
      </c>
      <c r="R1363" s="40">
        <v>248</v>
      </c>
      <c r="S1363" s="41">
        <v>27.747252700000001</v>
      </c>
      <c r="T1363" s="41">
        <v>18.681318699999999</v>
      </c>
      <c r="U1363" s="41">
        <v>53.571428599999997</v>
      </c>
      <c r="V1363" s="41">
        <v>39.7260274</v>
      </c>
      <c r="W1363" s="41">
        <v>20.423412200000001</v>
      </c>
      <c r="X1363" s="41">
        <v>39.850560399999999</v>
      </c>
      <c r="Y1363" s="41">
        <v>55.024875600000001</v>
      </c>
      <c r="Z1363" s="41">
        <v>20.298507499999999</v>
      </c>
      <c r="AA1363" s="41">
        <v>24.676616899999999</v>
      </c>
    </row>
    <row r="1364" spans="1:39" hidden="1" x14ac:dyDescent="0.3">
      <c r="A1364" s="42">
        <v>1360</v>
      </c>
      <c r="B1364" s="43" t="s">
        <v>521</v>
      </c>
      <c r="C1364" s="50" t="s">
        <v>444</v>
      </c>
      <c r="D1364" s="50" t="s">
        <v>450</v>
      </c>
      <c r="E1364" s="50" t="s">
        <v>290</v>
      </c>
      <c r="F1364" s="51" t="s">
        <v>290</v>
      </c>
      <c r="G1364" s="45">
        <v>205</v>
      </c>
      <c r="H1364" s="45">
        <v>47</v>
      </c>
      <c r="I1364" s="45">
        <v>28</v>
      </c>
      <c r="J1364" s="45">
        <v>130</v>
      </c>
      <c r="K1364" s="45">
        <v>611</v>
      </c>
      <c r="L1364" s="45">
        <v>188</v>
      </c>
      <c r="M1364" s="45">
        <v>126</v>
      </c>
      <c r="N1364" s="45">
        <v>297</v>
      </c>
      <c r="O1364" s="45">
        <v>612</v>
      </c>
      <c r="P1364" s="45">
        <v>236</v>
      </c>
      <c r="Q1364" s="45">
        <v>139</v>
      </c>
      <c r="R1364" s="45">
        <v>237</v>
      </c>
      <c r="S1364" s="46">
        <v>22.926829300000001</v>
      </c>
      <c r="T1364" s="46">
        <v>13.6585366</v>
      </c>
      <c r="U1364" s="46">
        <v>63.414634100000001</v>
      </c>
      <c r="V1364" s="46">
        <v>30.769230799999999</v>
      </c>
      <c r="W1364" s="46">
        <v>20.6219313</v>
      </c>
      <c r="X1364" s="46">
        <v>48.608837999999999</v>
      </c>
      <c r="Y1364" s="46">
        <v>38.562091500000001</v>
      </c>
      <c r="Z1364" s="46">
        <v>22.7124183</v>
      </c>
      <c r="AA1364" s="46">
        <v>38.725490200000003</v>
      </c>
      <c r="AB1364" s="26">
        <f>SUM(W1364:X1364)</f>
        <v>69.230769299999992</v>
      </c>
      <c r="AC1364" s="26">
        <f>SUM(Z1364:AA1364)</f>
        <v>61.437908500000006</v>
      </c>
      <c r="AD1364" s="57">
        <f>M1364+N1364</f>
        <v>423</v>
      </c>
      <c r="AE1364" s="57">
        <f>Q1364+R1364</f>
        <v>376</v>
      </c>
      <c r="AF1364" s="26">
        <f>W1364</f>
        <v>20.6219313</v>
      </c>
      <c r="AG1364" s="26">
        <f>Z1364</f>
        <v>22.7124183</v>
      </c>
      <c r="AH1364" s="26">
        <f>M1364</f>
        <v>126</v>
      </c>
      <c r="AI1364" s="26">
        <f>Q1364</f>
        <v>139</v>
      </c>
      <c r="AJ1364" s="26">
        <f>X1364</f>
        <v>48.608837999999999</v>
      </c>
      <c r="AK1364" s="26">
        <f>AA1364</f>
        <v>38.725490200000003</v>
      </c>
      <c r="AL1364" s="57">
        <f>N1364</f>
        <v>297</v>
      </c>
      <c r="AM1364" s="57">
        <f>R1364</f>
        <v>237</v>
      </c>
    </row>
    <row r="1365" spans="1:39" hidden="1" x14ac:dyDescent="0.3">
      <c r="A1365" s="37">
        <v>1361</v>
      </c>
      <c r="B1365" s="38" t="s">
        <v>521</v>
      </c>
      <c r="C1365" s="38" t="s">
        <v>444</v>
      </c>
      <c r="D1365" s="38" t="s">
        <v>450</v>
      </c>
      <c r="E1365" s="38" t="s">
        <v>290</v>
      </c>
      <c r="F1365" s="47" t="s">
        <v>519</v>
      </c>
      <c r="G1365" s="40"/>
      <c r="H1365" s="40"/>
      <c r="I1365" s="40"/>
      <c r="J1365" s="40"/>
      <c r="K1365" s="40"/>
      <c r="L1365" s="40"/>
      <c r="M1365" s="40"/>
      <c r="N1365" s="40"/>
      <c r="O1365" s="40"/>
      <c r="P1365" s="40"/>
      <c r="Q1365" s="40"/>
      <c r="R1365" s="40"/>
      <c r="S1365" s="41"/>
      <c r="T1365" s="41"/>
      <c r="U1365" s="41"/>
      <c r="V1365" s="41"/>
      <c r="W1365" s="41"/>
      <c r="X1365" s="41"/>
      <c r="Y1365" s="41"/>
      <c r="Z1365" s="41"/>
      <c r="AA1365" s="41"/>
    </row>
    <row r="1366" spans="1:39" hidden="1" x14ac:dyDescent="0.3">
      <c r="A1366" s="37">
        <v>1362</v>
      </c>
      <c r="B1366" s="38" t="s">
        <v>521</v>
      </c>
      <c r="C1366" s="38" t="s">
        <v>444</v>
      </c>
      <c r="D1366" s="38" t="s">
        <v>450</v>
      </c>
      <c r="E1366" s="38" t="s">
        <v>290</v>
      </c>
      <c r="F1366" s="47" t="s">
        <v>520</v>
      </c>
      <c r="G1366" s="40">
        <v>205</v>
      </c>
      <c r="H1366" s="40">
        <v>47</v>
      </c>
      <c r="I1366" s="40">
        <v>28</v>
      </c>
      <c r="J1366" s="40">
        <v>130</v>
      </c>
      <c r="K1366" s="40">
        <v>611</v>
      </c>
      <c r="L1366" s="40">
        <v>188</v>
      </c>
      <c r="M1366" s="40">
        <v>126</v>
      </c>
      <c r="N1366" s="40">
        <v>297</v>
      </c>
      <c r="O1366" s="40">
        <v>612</v>
      </c>
      <c r="P1366" s="40">
        <v>236</v>
      </c>
      <c r="Q1366" s="40">
        <v>139</v>
      </c>
      <c r="R1366" s="40">
        <v>237</v>
      </c>
      <c r="S1366" s="41">
        <v>22.926829300000001</v>
      </c>
      <c r="T1366" s="41">
        <v>13.6585366</v>
      </c>
      <c r="U1366" s="41">
        <v>63.414634100000001</v>
      </c>
      <c r="V1366" s="41">
        <v>30.769230799999999</v>
      </c>
      <c r="W1366" s="41">
        <v>20.6219313</v>
      </c>
      <c r="X1366" s="41">
        <v>48.608837999999999</v>
      </c>
      <c r="Y1366" s="41">
        <v>38.562091500000001</v>
      </c>
      <c r="Z1366" s="41">
        <v>22.7124183</v>
      </c>
      <c r="AA1366" s="41">
        <v>38.725490200000003</v>
      </c>
    </row>
    <row r="1367" spans="1:39" hidden="1" x14ac:dyDescent="0.3">
      <c r="A1367" s="42">
        <v>1363</v>
      </c>
      <c r="B1367" s="43" t="s">
        <v>521</v>
      </c>
      <c r="C1367" s="50" t="s">
        <v>444</v>
      </c>
      <c r="D1367" s="50" t="s">
        <v>450</v>
      </c>
      <c r="E1367" s="50" t="s">
        <v>452</v>
      </c>
      <c r="F1367" s="51" t="s">
        <v>452</v>
      </c>
      <c r="G1367" s="45">
        <v>590</v>
      </c>
      <c r="H1367" s="45">
        <v>187</v>
      </c>
      <c r="I1367" s="45">
        <v>95</v>
      </c>
      <c r="J1367" s="45">
        <v>308</v>
      </c>
      <c r="K1367" s="45">
        <v>1427</v>
      </c>
      <c r="L1367" s="45">
        <v>686</v>
      </c>
      <c r="M1367" s="45">
        <v>242</v>
      </c>
      <c r="N1367" s="45">
        <v>499</v>
      </c>
      <c r="O1367" s="45">
        <v>2514</v>
      </c>
      <c r="P1367" s="45">
        <v>1549</v>
      </c>
      <c r="Q1367" s="45">
        <v>461</v>
      </c>
      <c r="R1367" s="45">
        <v>504</v>
      </c>
      <c r="S1367" s="46">
        <v>31.694915300000002</v>
      </c>
      <c r="T1367" s="46">
        <v>16.101694899999998</v>
      </c>
      <c r="U1367" s="46">
        <v>52.203389799999997</v>
      </c>
      <c r="V1367" s="46">
        <v>48.0728802</v>
      </c>
      <c r="W1367" s="46">
        <v>16.958654500000002</v>
      </c>
      <c r="X1367" s="46">
        <v>34.968465299999998</v>
      </c>
      <c r="Y1367" s="46">
        <v>61.614956200000002</v>
      </c>
      <c r="Z1367" s="46">
        <v>18.337311100000001</v>
      </c>
      <c r="AA1367" s="46">
        <v>20.047732700000001</v>
      </c>
      <c r="AB1367" s="26">
        <f>SUM(W1367:X1367)</f>
        <v>51.9271198</v>
      </c>
      <c r="AC1367" s="26">
        <f>SUM(Z1367:AA1367)</f>
        <v>38.385043800000005</v>
      </c>
      <c r="AD1367" s="57">
        <f>M1367+N1367</f>
        <v>741</v>
      </c>
      <c r="AE1367" s="57">
        <f>Q1367+R1367</f>
        <v>965</v>
      </c>
      <c r="AF1367" s="26">
        <f>W1367</f>
        <v>16.958654500000002</v>
      </c>
      <c r="AG1367" s="26">
        <f>Z1367</f>
        <v>18.337311100000001</v>
      </c>
      <c r="AH1367" s="26">
        <f>M1367</f>
        <v>242</v>
      </c>
      <c r="AI1367" s="26">
        <f>Q1367</f>
        <v>461</v>
      </c>
      <c r="AJ1367" s="26">
        <f>X1367</f>
        <v>34.968465299999998</v>
      </c>
      <c r="AK1367" s="26">
        <f>AA1367</f>
        <v>20.047732700000001</v>
      </c>
      <c r="AL1367" s="57">
        <f>N1367</f>
        <v>499</v>
      </c>
      <c r="AM1367" s="57">
        <f>R1367</f>
        <v>504</v>
      </c>
    </row>
    <row r="1368" spans="1:39" hidden="1" x14ac:dyDescent="0.3">
      <c r="A1368" s="37">
        <v>1364</v>
      </c>
      <c r="B1368" s="38" t="s">
        <v>521</v>
      </c>
      <c r="C1368" s="38" t="s">
        <v>444</v>
      </c>
      <c r="D1368" s="38" t="s">
        <v>450</v>
      </c>
      <c r="E1368" s="38" t="s">
        <v>452</v>
      </c>
      <c r="F1368" s="47" t="s">
        <v>519</v>
      </c>
      <c r="G1368" s="40"/>
      <c r="H1368" s="40"/>
      <c r="I1368" s="40"/>
      <c r="J1368" s="40"/>
      <c r="K1368" s="40"/>
      <c r="L1368" s="40"/>
      <c r="M1368" s="40"/>
      <c r="N1368" s="40"/>
      <c r="O1368" s="40"/>
      <c r="P1368" s="40"/>
      <c r="Q1368" s="40"/>
      <c r="R1368" s="40"/>
      <c r="S1368" s="41"/>
      <c r="T1368" s="41"/>
      <c r="U1368" s="41"/>
      <c r="V1368" s="41"/>
      <c r="W1368" s="41"/>
      <c r="X1368" s="41"/>
      <c r="Y1368" s="41"/>
      <c r="Z1368" s="41"/>
      <c r="AA1368" s="41"/>
    </row>
    <row r="1369" spans="1:39" hidden="1" x14ac:dyDescent="0.3">
      <c r="A1369" s="37">
        <v>1365</v>
      </c>
      <c r="B1369" s="38" t="s">
        <v>521</v>
      </c>
      <c r="C1369" s="38" t="s">
        <v>444</v>
      </c>
      <c r="D1369" s="38" t="s">
        <v>450</v>
      </c>
      <c r="E1369" s="38" t="s">
        <v>452</v>
      </c>
      <c r="F1369" s="47" t="s">
        <v>520</v>
      </c>
      <c r="G1369" s="40">
        <v>590</v>
      </c>
      <c r="H1369" s="40">
        <v>187</v>
      </c>
      <c r="I1369" s="40">
        <v>95</v>
      </c>
      <c r="J1369" s="40">
        <v>308</v>
      </c>
      <c r="K1369" s="40">
        <v>1427</v>
      </c>
      <c r="L1369" s="40">
        <v>686</v>
      </c>
      <c r="M1369" s="40">
        <v>242</v>
      </c>
      <c r="N1369" s="40">
        <v>499</v>
      </c>
      <c r="O1369" s="40">
        <v>2514</v>
      </c>
      <c r="P1369" s="40">
        <v>1549</v>
      </c>
      <c r="Q1369" s="40">
        <v>461</v>
      </c>
      <c r="R1369" s="40">
        <v>504</v>
      </c>
      <c r="S1369" s="41">
        <v>31.694915300000002</v>
      </c>
      <c r="T1369" s="41">
        <v>16.101694899999998</v>
      </c>
      <c r="U1369" s="41">
        <v>52.203389799999997</v>
      </c>
      <c r="V1369" s="41">
        <v>48.0728802</v>
      </c>
      <c r="W1369" s="41">
        <v>16.958654500000002</v>
      </c>
      <c r="X1369" s="41">
        <v>34.968465299999998</v>
      </c>
      <c r="Y1369" s="41">
        <v>61.614956200000002</v>
      </c>
      <c r="Z1369" s="41">
        <v>18.337311100000001</v>
      </c>
      <c r="AA1369" s="41">
        <v>20.047732700000001</v>
      </c>
    </row>
    <row r="1370" spans="1:39" hidden="1" x14ac:dyDescent="0.3">
      <c r="A1370" s="32">
        <v>1366</v>
      </c>
      <c r="B1370" s="33" t="s">
        <v>1</v>
      </c>
      <c r="C1370" s="49" t="s">
        <v>444</v>
      </c>
      <c r="D1370" s="49" t="s">
        <v>453</v>
      </c>
      <c r="E1370" s="49"/>
      <c r="F1370" s="34" t="s">
        <v>453</v>
      </c>
      <c r="G1370" s="35">
        <v>1576</v>
      </c>
      <c r="H1370" s="35">
        <v>284</v>
      </c>
      <c r="I1370" s="35">
        <v>251</v>
      </c>
      <c r="J1370" s="35">
        <v>1041</v>
      </c>
      <c r="K1370" s="35">
        <v>4021</v>
      </c>
      <c r="L1370" s="35">
        <v>898</v>
      </c>
      <c r="M1370" s="35">
        <v>785</v>
      </c>
      <c r="N1370" s="35">
        <v>2338</v>
      </c>
      <c r="O1370" s="35">
        <v>6690</v>
      </c>
      <c r="P1370" s="35">
        <v>2781</v>
      </c>
      <c r="Q1370" s="35">
        <v>1357</v>
      </c>
      <c r="R1370" s="35">
        <v>2552</v>
      </c>
      <c r="S1370" s="36">
        <v>18.020304599999999</v>
      </c>
      <c r="T1370" s="36">
        <v>15.926395899999999</v>
      </c>
      <c r="U1370" s="36">
        <v>66.053299499999994</v>
      </c>
      <c r="V1370" s="36">
        <v>22.332753</v>
      </c>
      <c r="W1370" s="36">
        <v>19.522506799999999</v>
      </c>
      <c r="X1370" s="36">
        <v>58.1447401</v>
      </c>
      <c r="Y1370" s="36">
        <v>41.569506699999998</v>
      </c>
      <c r="Z1370" s="36">
        <v>20.284006000000002</v>
      </c>
      <c r="AA1370" s="36">
        <v>38.146487299999997</v>
      </c>
    </row>
    <row r="1371" spans="1:39" hidden="1" x14ac:dyDescent="0.3">
      <c r="A1371" s="37">
        <v>1367</v>
      </c>
      <c r="B1371" s="38" t="s">
        <v>1</v>
      </c>
      <c r="C1371" s="38" t="s">
        <v>444</v>
      </c>
      <c r="D1371" s="38" t="s">
        <v>453</v>
      </c>
      <c r="E1371" s="38"/>
      <c r="F1371" s="39" t="s">
        <v>519</v>
      </c>
      <c r="G1371" s="40"/>
      <c r="H1371" s="40"/>
      <c r="I1371" s="40"/>
      <c r="J1371" s="40"/>
      <c r="K1371" s="40">
        <v>377</v>
      </c>
      <c r="L1371" s="40">
        <v>64</v>
      </c>
      <c r="M1371" s="40">
        <v>85</v>
      </c>
      <c r="N1371" s="40">
        <v>228</v>
      </c>
      <c r="O1371" s="40">
        <v>1498</v>
      </c>
      <c r="P1371" s="40">
        <v>770</v>
      </c>
      <c r="Q1371" s="40">
        <v>254</v>
      </c>
      <c r="R1371" s="40">
        <v>474</v>
      </c>
      <c r="S1371" s="41"/>
      <c r="T1371" s="41"/>
      <c r="U1371" s="41"/>
      <c r="V1371" s="41">
        <v>16.976127300000002</v>
      </c>
      <c r="W1371" s="41">
        <v>22.546419100000001</v>
      </c>
      <c r="X1371" s="41">
        <v>60.477453599999997</v>
      </c>
      <c r="Y1371" s="41">
        <v>51.4018692</v>
      </c>
      <c r="Z1371" s="41">
        <v>16.955941299999999</v>
      </c>
      <c r="AA1371" s="41">
        <v>31.642189599999998</v>
      </c>
    </row>
    <row r="1372" spans="1:39" hidden="1" x14ac:dyDescent="0.3">
      <c r="A1372" s="37">
        <v>1368</v>
      </c>
      <c r="B1372" s="38" t="s">
        <v>1</v>
      </c>
      <c r="C1372" s="38" t="s">
        <v>444</v>
      </c>
      <c r="D1372" s="38" t="s">
        <v>453</v>
      </c>
      <c r="E1372" s="38"/>
      <c r="F1372" s="39" t="s">
        <v>520</v>
      </c>
      <c r="G1372" s="40">
        <v>1576</v>
      </c>
      <c r="H1372" s="40">
        <v>284</v>
      </c>
      <c r="I1372" s="40">
        <v>251</v>
      </c>
      <c r="J1372" s="40">
        <v>1041</v>
      </c>
      <c r="K1372" s="40">
        <v>3644</v>
      </c>
      <c r="L1372" s="40">
        <v>834</v>
      </c>
      <c r="M1372" s="40">
        <v>700</v>
      </c>
      <c r="N1372" s="40">
        <v>2110</v>
      </c>
      <c r="O1372" s="40">
        <v>5192</v>
      </c>
      <c r="P1372" s="40">
        <v>2011</v>
      </c>
      <c r="Q1372" s="40">
        <v>1103</v>
      </c>
      <c r="R1372" s="40">
        <v>2078</v>
      </c>
      <c r="S1372" s="41">
        <v>18.020304599999999</v>
      </c>
      <c r="T1372" s="41">
        <v>15.926395899999999</v>
      </c>
      <c r="U1372" s="41">
        <v>66.053299499999994</v>
      </c>
      <c r="V1372" s="41">
        <v>22.886937400000001</v>
      </c>
      <c r="W1372" s="41">
        <v>19.2096597</v>
      </c>
      <c r="X1372" s="41">
        <v>57.903402900000003</v>
      </c>
      <c r="Y1372" s="41">
        <v>38.732665599999997</v>
      </c>
      <c r="Z1372" s="41">
        <v>21.244221899999999</v>
      </c>
      <c r="AA1372" s="41">
        <v>40.023112500000003</v>
      </c>
    </row>
    <row r="1373" spans="1:39" hidden="1" x14ac:dyDescent="0.3">
      <c r="A1373" s="42">
        <v>1369</v>
      </c>
      <c r="B1373" s="43" t="s">
        <v>521</v>
      </c>
      <c r="C1373" s="50" t="s">
        <v>444</v>
      </c>
      <c r="D1373" s="50" t="s">
        <v>453</v>
      </c>
      <c r="E1373" s="50" t="s">
        <v>454</v>
      </c>
      <c r="F1373" s="51" t="s">
        <v>454</v>
      </c>
      <c r="G1373" s="45">
        <v>592</v>
      </c>
      <c r="H1373" s="45">
        <v>80</v>
      </c>
      <c r="I1373" s="45">
        <v>90</v>
      </c>
      <c r="J1373" s="45">
        <v>422</v>
      </c>
      <c r="K1373" s="45">
        <v>1026</v>
      </c>
      <c r="L1373" s="45">
        <v>130</v>
      </c>
      <c r="M1373" s="45">
        <v>159</v>
      </c>
      <c r="N1373" s="45">
        <v>737</v>
      </c>
      <c r="O1373" s="45">
        <v>1965</v>
      </c>
      <c r="P1373" s="45">
        <v>503</v>
      </c>
      <c r="Q1373" s="45">
        <v>394</v>
      </c>
      <c r="R1373" s="45">
        <v>1068</v>
      </c>
      <c r="S1373" s="46">
        <v>13.5135135</v>
      </c>
      <c r="T1373" s="46">
        <v>15.2027027</v>
      </c>
      <c r="U1373" s="46">
        <v>71.283783799999995</v>
      </c>
      <c r="V1373" s="46">
        <v>12.6705653</v>
      </c>
      <c r="W1373" s="46">
        <v>15.497076</v>
      </c>
      <c r="X1373" s="46">
        <v>71.8323587</v>
      </c>
      <c r="Y1373" s="46">
        <v>25.597964399999999</v>
      </c>
      <c r="Z1373" s="46">
        <v>20.050890599999999</v>
      </c>
      <c r="AA1373" s="46">
        <v>54.351145000000002</v>
      </c>
      <c r="AB1373" s="26">
        <f>SUM(W1373:X1373)</f>
        <v>87.329434700000007</v>
      </c>
      <c r="AC1373" s="26">
        <f>SUM(Z1373:AA1373)</f>
        <v>74.402035600000005</v>
      </c>
      <c r="AD1373" s="57">
        <f>M1373+N1373</f>
        <v>896</v>
      </c>
      <c r="AE1373" s="57">
        <f>Q1373+R1373</f>
        <v>1462</v>
      </c>
      <c r="AF1373" s="26">
        <f>W1373</f>
        <v>15.497076</v>
      </c>
      <c r="AG1373" s="26">
        <f>Z1373</f>
        <v>20.050890599999999</v>
      </c>
      <c r="AH1373" s="26">
        <f>M1373</f>
        <v>159</v>
      </c>
      <c r="AI1373" s="26">
        <f>Q1373</f>
        <v>394</v>
      </c>
      <c r="AJ1373" s="26">
        <f>X1373</f>
        <v>71.8323587</v>
      </c>
      <c r="AK1373" s="26">
        <f>AA1373</f>
        <v>54.351145000000002</v>
      </c>
      <c r="AL1373" s="57">
        <f>N1373</f>
        <v>737</v>
      </c>
      <c r="AM1373" s="57">
        <f>R1373</f>
        <v>1068</v>
      </c>
    </row>
    <row r="1374" spans="1:39" hidden="1" x14ac:dyDescent="0.3">
      <c r="A1374" s="37">
        <v>1370</v>
      </c>
      <c r="B1374" s="38" t="s">
        <v>521</v>
      </c>
      <c r="C1374" s="38" t="s">
        <v>444</v>
      </c>
      <c r="D1374" s="38" t="s">
        <v>453</v>
      </c>
      <c r="E1374" s="38" t="s">
        <v>454</v>
      </c>
      <c r="F1374" s="47" t="s">
        <v>519</v>
      </c>
      <c r="G1374" s="40"/>
      <c r="H1374" s="40"/>
      <c r="I1374" s="40"/>
      <c r="J1374" s="40"/>
      <c r="K1374" s="40"/>
      <c r="L1374" s="40"/>
      <c r="M1374" s="40"/>
      <c r="N1374" s="40"/>
      <c r="O1374" s="40">
        <v>343</v>
      </c>
      <c r="P1374" s="40">
        <v>122</v>
      </c>
      <c r="Q1374" s="40">
        <v>62</v>
      </c>
      <c r="R1374" s="40">
        <v>159</v>
      </c>
      <c r="S1374" s="41"/>
      <c r="T1374" s="41"/>
      <c r="U1374" s="41"/>
      <c r="V1374" s="41"/>
      <c r="W1374" s="41"/>
      <c r="X1374" s="41"/>
      <c r="Y1374" s="41">
        <v>35.568513099999997</v>
      </c>
      <c r="Z1374" s="41">
        <v>18.0758017</v>
      </c>
      <c r="AA1374" s="41">
        <v>46.355685100000002</v>
      </c>
    </row>
    <row r="1375" spans="1:39" hidden="1" x14ac:dyDescent="0.3">
      <c r="A1375" s="37">
        <v>1371</v>
      </c>
      <c r="B1375" s="38" t="s">
        <v>521</v>
      </c>
      <c r="C1375" s="38" t="s">
        <v>444</v>
      </c>
      <c r="D1375" s="38" t="s">
        <v>453</v>
      </c>
      <c r="E1375" s="38" t="s">
        <v>454</v>
      </c>
      <c r="F1375" s="47" t="s">
        <v>520</v>
      </c>
      <c r="G1375" s="40">
        <v>592</v>
      </c>
      <c r="H1375" s="40">
        <v>80</v>
      </c>
      <c r="I1375" s="40">
        <v>90</v>
      </c>
      <c r="J1375" s="40">
        <v>422</v>
      </c>
      <c r="K1375" s="40">
        <v>1026</v>
      </c>
      <c r="L1375" s="40">
        <v>130</v>
      </c>
      <c r="M1375" s="40">
        <v>159</v>
      </c>
      <c r="N1375" s="40">
        <v>737</v>
      </c>
      <c r="O1375" s="40">
        <v>1622</v>
      </c>
      <c r="P1375" s="40">
        <v>381</v>
      </c>
      <c r="Q1375" s="40">
        <v>332</v>
      </c>
      <c r="R1375" s="40">
        <v>909</v>
      </c>
      <c r="S1375" s="41">
        <v>13.5135135</v>
      </c>
      <c r="T1375" s="41">
        <v>15.2027027</v>
      </c>
      <c r="U1375" s="41">
        <v>71.283783799999995</v>
      </c>
      <c r="V1375" s="41">
        <v>12.6705653</v>
      </c>
      <c r="W1375" s="41">
        <v>15.497076</v>
      </c>
      <c r="X1375" s="41">
        <v>71.8323587</v>
      </c>
      <c r="Y1375" s="41">
        <v>23.489519099999999</v>
      </c>
      <c r="Z1375" s="41">
        <v>20.468557300000001</v>
      </c>
      <c r="AA1375" s="41">
        <v>56.041923599999997</v>
      </c>
    </row>
    <row r="1376" spans="1:39" hidden="1" x14ac:dyDescent="0.3">
      <c r="A1376" s="42">
        <v>1372</v>
      </c>
      <c r="B1376" s="43" t="s">
        <v>521</v>
      </c>
      <c r="C1376" s="50" t="s">
        <v>444</v>
      </c>
      <c r="D1376" s="50" t="s">
        <v>453</v>
      </c>
      <c r="E1376" s="50" t="s">
        <v>345</v>
      </c>
      <c r="F1376" s="51" t="s">
        <v>345</v>
      </c>
      <c r="G1376" s="45">
        <v>586</v>
      </c>
      <c r="H1376" s="45">
        <v>109</v>
      </c>
      <c r="I1376" s="45">
        <v>100</v>
      </c>
      <c r="J1376" s="45">
        <v>377</v>
      </c>
      <c r="K1376" s="45">
        <v>1342</v>
      </c>
      <c r="L1376" s="45">
        <v>337</v>
      </c>
      <c r="M1376" s="45">
        <v>298</v>
      </c>
      <c r="N1376" s="45">
        <v>707</v>
      </c>
      <c r="O1376" s="45">
        <v>1850</v>
      </c>
      <c r="P1376" s="45">
        <v>643</v>
      </c>
      <c r="Q1376" s="45">
        <v>453</v>
      </c>
      <c r="R1376" s="45">
        <v>754</v>
      </c>
      <c r="S1376" s="46">
        <v>18.600682599999999</v>
      </c>
      <c r="T1376" s="46">
        <v>17.0648464</v>
      </c>
      <c r="U1376" s="46">
        <v>64.334470999999994</v>
      </c>
      <c r="V1376" s="46">
        <v>25.111773500000002</v>
      </c>
      <c r="W1376" s="46">
        <v>22.2056632</v>
      </c>
      <c r="X1376" s="46">
        <v>52.682563299999998</v>
      </c>
      <c r="Y1376" s="46">
        <v>34.756756799999998</v>
      </c>
      <c r="Z1376" s="46">
        <v>24.486486500000002</v>
      </c>
      <c r="AA1376" s="46">
        <v>40.756756799999998</v>
      </c>
      <c r="AB1376" s="26">
        <f>SUM(W1376:X1376)</f>
        <v>74.888226500000002</v>
      </c>
      <c r="AC1376" s="26">
        <f>SUM(Z1376:AA1376)</f>
        <v>65.243243300000003</v>
      </c>
      <c r="AD1376" s="57">
        <f>M1376+N1376</f>
        <v>1005</v>
      </c>
      <c r="AE1376" s="57">
        <f>Q1376+R1376</f>
        <v>1207</v>
      </c>
      <c r="AF1376" s="26">
        <f>W1376</f>
        <v>22.2056632</v>
      </c>
      <c r="AG1376" s="26">
        <f>Z1376</f>
        <v>24.486486500000002</v>
      </c>
      <c r="AH1376" s="26">
        <f>M1376</f>
        <v>298</v>
      </c>
      <c r="AI1376" s="26">
        <f>Q1376</f>
        <v>453</v>
      </c>
      <c r="AJ1376" s="26">
        <f>X1376</f>
        <v>52.682563299999998</v>
      </c>
      <c r="AK1376" s="26">
        <f>AA1376</f>
        <v>40.756756799999998</v>
      </c>
      <c r="AL1376" s="57">
        <f>N1376</f>
        <v>707</v>
      </c>
      <c r="AM1376" s="57">
        <f>R1376</f>
        <v>754</v>
      </c>
    </row>
    <row r="1377" spans="1:39" hidden="1" x14ac:dyDescent="0.3">
      <c r="A1377" s="37">
        <v>1373</v>
      </c>
      <c r="B1377" s="38" t="s">
        <v>521</v>
      </c>
      <c r="C1377" s="38" t="s">
        <v>444</v>
      </c>
      <c r="D1377" s="38" t="s">
        <v>453</v>
      </c>
      <c r="E1377" s="38" t="s">
        <v>345</v>
      </c>
      <c r="F1377" s="47" t="s">
        <v>519</v>
      </c>
      <c r="G1377" s="40"/>
      <c r="H1377" s="40"/>
      <c r="I1377" s="40"/>
      <c r="J1377" s="40"/>
      <c r="K1377" s="40"/>
      <c r="L1377" s="40"/>
      <c r="M1377" s="40"/>
      <c r="N1377" s="40"/>
      <c r="O1377" s="40"/>
      <c r="P1377" s="40"/>
      <c r="Q1377" s="40"/>
      <c r="R1377" s="40"/>
      <c r="S1377" s="41"/>
      <c r="T1377" s="41"/>
      <c r="U1377" s="41"/>
      <c r="V1377" s="41"/>
      <c r="W1377" s="41"/>
      <c r="X1377" s="41"/>
      <c r="Y1377" s="41"/>
      <c r="Z1377" s="41"/>
      <c r="AA1377" s="41"/>
    </row>
    <row r="1378" spans="1:39" hidden="1" x14ac:dyDescent="0.3">
      <c r="A1378" s="37">
        <v>1374</v>
      </c>
      <c r="B1378" s="38" t="s">
        <v>521</v>
      </c>
      <c r="C1378" s="38" t="s">
        <v>444</v>
      </c>
      <c r="D1378" s="38" t="s">
        <v>453</v>
      </c>
      <c r="E1378" s="38" t="s">
        <v>345</v>
      </c>
      <c r="F1378" s="47" t="s">
        <v>520</v>
      </c>
      <c r="G1378" s="40">
        <v>586</v>
      </c>
      <c r="H1378" s="40">
        <v>109</v>
      </c>
      <c r="I1378" s="40">
        <v>100</v>
      </c>
      <c r="J1378" s="40">
        <v>377</v>
      </c>
      <c r="K1378" s="40">
        <v>1342</v>
      </c>
      <c r="L1378" s="40">
        <v>337</v>
      </c>
      <c r="M1378" s="40">
        <v>298</v>
      </c>
      <c r="N1378" s="40">
        <v>707</v>
      </c>
      <c r="O1378" s="40">
        <v>1850</v>
      </c>
      <c r="P1378" s="40">
        <v>643</v>
      </c>
      <c r="Q1378" s="40">
        <v>453</v>
      </c>
      <c r="R1378" s="40">
        <v>754</v>
      </c>
      <c r="S1378" s="41">
        <v>18.600682599999999</v>
      </c>
      <c r="T1378" s="41">
        <v>17.0648464</v>
      </c>
      <c r="U1378" s="41">
        <v>64.334470999999994</v>
      </c>
      <c r="V1378" s="41">
        <v>25.111773500000002</v>
      </c>
      <c r="W1378" s="41">
        <v>22.2056632</v>
      </c>
      <c r="X1378" s="41">
        <v>52.682563299999998</v>
      </c>
      <c r="Y1378" s="41">
        <v>34.756756799999998</v>
      </c>
      <c r="Z1378" s="41">
        <v>24.486486500000002</v>
      </c>
      <c r="AA1378" s="41">
        <v>40.756756799999998</v>
      </c>
    </row>
    <row r="1379" spans="1:39" hidden="1" x14ac:dyDescent="0.3">
      <c r="A1379" s="42">
        <v>1375</v>
      </c>
      <c r="B1379" s="43" t="s">
        <v>521</v>
      </c>
      <c r="C1379" s="50" t="s">
        <v>444</v>
      </c>
      <c r="D1379" s="50" t="s">
        <v>453</v>
      </c>
      <c r="E1379" s="50" t="s">
        <v>455</v>
      </c>
      <c r="F1379" s="51" t="s">
        <v>455</v>
      </c>
      <c r="G1379" s="45">
        <v>398</v>
      </c>
      <c r="H1379" s="45">
        <v>95</v>
      </c>
      <c r="I1379" s="45">
        <v>61</v>
      </c>
      <c r="J1379" s="45">
        <v>242</v>
      </c>
      <c r="K1379" s="45">
        <v>1653</v>
      </c>
      <c r="L1379" s="45">
        <v>431</v>
      </c>
      <c r="M1379" s="45">
        <v>328</v>
      </c>
      <c r="N1379" s="45">
        <v>894</v>
      </c>
      <c r="O1379" s="45">
        <v>2875</v>
      </c>
      <c r="P1379" s="45">
        <v>1635</v>
      </c>
      <c r="Q1379" s="45">
        <v>510</v>
      </c>
      <c r="R1379" s="45">
        <v>730</v>
      </c>
      <c r="S1379" s="46">
        <v>23.869346700000001</v>
      </c>
      <c r="T1379" s="46">
        <v>15.3266332</v>
      </c>
      <c r="U1379" s="46">
        <v>60.804020100000002</v>
      </c>
      <c r="V1379" s="46">
        <v>26.073805199999999</v>
      </c>
      <c r="W1379" s="46">
        <v>19.842710199999999</v>
      </c>
      <c r="X1379" s="46">
        <v>54.083484599999998</v>
      </c>
      <c r="Y1379" s="46">
        <v>56.869565199999997</v>
      </c>
      <c r="Z1379" s="46">
        <v>17.739130400000001</v>
      </c>
      <c r="AA1379" s="46">
        <v>25.391304300000002</v>
      </c>
      <c r="AB1379" s="26">
        <f>SUM(W1379:X1379)</f>
        <v>73.92619479999999</v>
      </c>
      <c r="AC1379" s="26">
        <f>SUM(Z1379:AA1379)</f>
        <v>43.130434700000002</v>
      </c>
      <c r="AD1379" s="57">
        <f>M1379+N1379</f>
        <v>1222</v>
      </c>
      <c r="AE1379" s="57">
        <f>Q1379+R1379</f>
        <v>1240</v>
      </c>
      <c r="AF1379" s="26">
        <f>W1379</f>
        <v>19.842710199999999</v>
      </c>
      <c r="AG1379" s="26">
        <f>Z1379</f>
        <v>17.739130400000001</v>
      </c>
      <c r="AH1379" s="26">
        <f>M1379</f>
        <v>328</v>
      </c>
      <c r="AI1379" s="26">
        <f>Q1379</f>
        <v>510</v>
      </c>
      <c r="AJ1379" s="26">
        <f>X1379</f>
        <v>54.083484599999998</v>
      </c>
      <c r="AK1379" s="26">
        <f>AA1379</f>
        <v>25.391304300000002</v>
      </c>
      <c r="AL1379" s="57">
        <f>N1379</f>
        <v>894</v>
      </c>
      <c r="AM1379" s="57">
        <f>R1379</f>
        <v>730</v>
      </c>
    </row>
    <row r="1380" spans="1:39" hidden="1" x14ac:dyDescent="0.3">
      <c r="A1380" s="37">
        <v>1376</v>
      </c>
      <c r="B1380" s="38" t="s">
        <v>521</v>
      </c>
      <c r="C1380" s="38" t="s">
        <v>444</v>
      </c>
      <c r="D1380" s="38" t="s">
        <v>453</v>
      </c>
      <c r="E1380" s="38" t="s">
        <v>455</v>
      </c>
      <c r="F1380" s="47" t="s">
        <v>519</v>
      </c>
      <c r="G1380" s="40"/>
      <c r="H1380" s="40"/>
      <c r="I1380" s="40"/>
      <c r="J1380" s="40"/>
      <c r="K1380" s="40">
        <v>377</v>
      </c>
      <c r="L1380" s="40">
        <v>64</v>
      </c>
      <c r="M1380" s="40">
        <v>85</v>
      </c>
      <c r="N1380" s="40">
        <v>228</v>
      </c>
      <c r="O1380" s="40">
        <v>1155</v>
      </c>
      <c r="P1380" s="40">
        <v>648</v>
      </c>
      <c r="Q1380" s="40">
        <v>192</v>
      </c>
      <c r="R1380" s="40">
        <v>315</v>
      </c>
      <c r="S1380" s="41"/>
      <c r="T1380" s="41"/>
      <c r="U1380" s="41"/>
      <c r="V1380" s="41">
        <v>16.976127300000002</v>
      </c>
      <c r="W1380" s="41">
        <v>22.546419100000001</v>
      </c>
      <c r="X1380" s="41">
        <v>60.477453599999997</v>
      </c>
      <c r="Y1380" s="41">
        <v>56.1038961</v>
      </c>
      <c r="Z1380" s="41">
        <v>16.6233766</v>
      </c>
      <c r="AA1380" s="41">
        <v>27.2727273</v>
      </c>
    </row>
    <row r="1381" spans="1:39" hidden="1" x14ac:dyDescent="0.3">
      <c r="A1381" s="37">
        <v>1377</v>
      </c>
      <c r="B1381" s="38" t="s">
        <v>521</v>
      </c>
      <c r="C1381" s="38" t="s">
        <v>444</v>
      </c>
      <c r="D1381" s="38" t="s">
        <v>453</v>
      </c>
      <c r="E1381" s="38" t="s">
        <v>455</v>
      </c>
      <c r="F1381" s="47" t="s">
        <v>520</v>
      </c>
      <c r="G1381" s="40">
        <v>398</v>
      </c>
      <c r="H1381" s="40">
        <v>95</v>
      </c>
      <c r="I1381" s="40">
        <v>61</v>
      </c>
      <c r="J1381" s="40">
        <v>242</v>
      </c>
      <c r="K1381" s="40">
        <v>1276</v>
      </c>
      <c r="L1381" s="40">
        <v>367</v>
      </c>
      <c r="M1381" s="40">
        <v>243</v>
      </c>
      <c r="N1381" s="40">
        <v>666</v>
      </c>
      <c r="O1381" s="40">
        <v>1720</v>
      </c>
      <c r="P1381" s="40">
        <v>987</v>
      </c>
      <c r="Q1381" s="40">
        <v>318</v>
      </c>
      <c r="R1381" s="40">
        <v>415</v>
      </c>
      <c r="S1381" s="41">
        <v>23.869346700000001</v>
      </c>
      <c r="T1381" s="41">
        <v>15.3266332</v>
      </c>
      <c r="U1381" s="41">
        <v>60.804020100000002</v>
      </c>
      <c r="V1381" s="41">
        <v>28.7617555</v>
      </c>
      <c r="W1381" s="41">
        <v>19.043887099999999</v>
      </c>
      <c r="X1381" s="41">
        <v>52.194357400000001</v>
      </c>
      <c r="Y1381" s="41">
        <v>57.3837209</v>
      </c>
      <c r="Z1381" s="41">
        <v>18.488372099999999</v>
      </c>
      <c r="AA1381" s="41">
        <v>24.127907</v>
      </c>
    </row>
    <row r="1382" spans="1:39" hidden="1" x14ac:dyDescent="0.3">
      <c r="A1382" s="32">
        <v>1378</v>
      </c>
      <c r="B1382" s="33" t="s">
        <v>1</v>
      </c>
      <c r="C1382" s="49" t="s">
        <v>444</v>
      </c>
      <c r="D1382" s="49" t="s">
        <v>456</v>
      </c>
      <c r="E1382" s="49"/>
      <c r="F1382" s="34" t="s">
        <v>456</v>
      </c>
      <c r="G1382" s="35">
        <v>440</v>
      </c>
      <c r="H1382" s="35">
        <v>72</v>
      </c>
      <c r="I1382" s="35">
        <v>77</v>
      </c>
      <c r="J1382" s="35">
        <v>291</v>
      </c>
      <c r="K1382" s="35">
        <v>955</v>
      </c>
      <c r="L1382" s="35">
        <v>434</v>
      </c>
      <c r="M1382" s="35">
        <v>191</v>
      </c>
      <c r="N1382" s="35">
        <v>330</v>
      </c>
      <c r="O1382" s="35">
        <v>1509</v>
      </c>
      <c r="P1382" s="35">
        <v>878</v>
      </c>
      <c r="Q1382" s="35">
        <v>282</v>
      </c>
      <c r="R1382" s="35">
        <v>349</v>
      </c>
      <c r="S1382" s="36">
        <v>16.363636400000001</v>
      </c>
      <c r="T1382" s="36">
        <v>17.5</v>
      </c>
      <c r="U1382" s="36">
        <v>66.136363599999996</v>
      </c>
      <c r="V1382" s="36">
        <v>45.445026200000001</v>
      </c>
      <c r="W1382" s="36">
        <v>20</v>
      </c>
      <c r="X1382" s="36">
        <v>34.554973799999999</v>
      </c>
      <c r="Y1382" s="36">
        <v>58.184227999999997</v>
      </c>
      <c r="Z1382" s="36">
        <v>18.687872800000001</v>
      </c>
      <c r="AA1382" s="36">
        <v>23.127899299999999</v>
      </c>
    </row>
    <row r="1383" spans="1:39" hidden="1" x14ac:dyDescent="0.3">
      <c r="A1383" s="37">
        <v>1379</v>
      </c>
      <c r="B1383" s="38" t="s">
        <v>1</v>
      </c>
      <c r="C1383" s="38" t="s">
        <v>444</v>
      </c>
      <c r="D1383" s="38" t="s">
        <v>456</v>
      </c>
      <c r="E1383" s="38"/>
      <c r="F1383" s="39" t="s">
        <v>519</v>
      </c>
      <c r="G1383" s="40"/>
      <c r="H1383" s="40"/>
      <c r="I1383" s="40"/>
      <c r="J1383" s="40"/>
      <c r="K1383" s="40"/>
      <c r="L1383" s="40"/>
      <c r="M1383" s="40"/>
      <c r="N1383" s="40"/>
      <c r="O1383" s="40"/>
      <c r="P1383" s="40"/>
      <c r="Q1383" s="40"/>
      <c r="R1383" s="40"/>
      <c r="S1383" s="41"/>
      <c r="T1383" s="41"/>
      <c r="U1383" s="41"/>
      <c r="V1383" s="41"/>
      <c r="W1383" s="41"/>
      <c r="X1383" s="41"/>
      <c r="Y1383" s="41"/>
      <c r="Z1383" s="41"/>
      <c r="AA1383" s="41"/>
    </row>
    <row r="1384" spans="1:39" hidden="1" x14ac:dyDescent="0.3">
      <c r="A1384" s="37">
        <v>1380</v>
      </c>
      <c r="B1384" s="38" t="s">
        <v>1</v>
      </c>
      <c r="C1384" s="38" t="s">
        <v>444</v>
      </c>
      <c r="D1384" s="38" t="s">
        <v>456</v>
      </c>
      <c r="E1384" s="38"/>
      <c r="F1384" s="39" t="s">
        <v>520</v>
      </c>
      <c r="G1384" s="40">
        <v>440</v>
      </c>
      <c r="H1384" s="40">
        <v>72</v>
      </c>
      <c r="I1384" s="40">
        <v>77</v>
      </c>
      <c r="J1384" s="40">
        <v>291</v>
      </c>
      <c r="K1384" s="40">
        <v>955</v>
      </c>
      <c r="L1384" s="40">
        <v>434</v>
      </c>
      <c r="M1384" s="40">
        <v>191</v>
      </c>
      <c r="N1384" s="40">
        <v>330</v>
      </c>
      <c r="O1384" s="40">
        <v>1509</v>
      </c>
      <c r="P1384" s="40">
        <v>878</v>
      </c>
      <c r="Q1384" s="40">
        <v>282</v>
      </c>
      <c r="R1384" s="40">
        <v>349</v>
      </c>
      <c r="S1384" s="41">
        <v>16.363636400000001</v>
      </c>
      <c r="T1384" s="41">
        <v>17.5</v>
      </c>
      <c r="U1384" s="41">
        <v>66.136363599999996</v>
      </c>
      <c r="V1384" s="41">
        <v>45.445026200000001</v>
      </c>
      <c r="W1384" s="41">
        <v>20</v>
      </c>
      <c r="X1384" s="41">
        <v>34.554973799999999</v>
      </c>
      <c r="Y1384" s="41">
        <v>58.184227999999997</v>
      </c>
      <c r="Z1384" s="41">
        <v>18.687872800000001</v>
      </c>
      <c r="AA1384" s="41">
        <v>23.127899299999999</v>
      </c>
    </row>
    <row r="1385" spans="1:39" hidden="1" x14ac:dyDescent="0.3">
      <c r="A1385" s="42">
        <v>1381</v>
      </c>
      <c r="B1385" s="43" t="s">
        <v>521</v>
      </c>
      <c r="C1385" s="50" t="s">
        <v>444</v>
      </c>
      <c r="D1385" s="50" t="s">
        <v>456</v>
      </c>
      <c r="E1385" s="50" t="s">
        <v>374</v>
      </c>
      <c r="F1385" s="51" t="s">
        <v>374</v>
      </c>
      <c r="G1385" s="45">
        <v>278</v>
      </c>
      <c r="H1385" s="45">
        <v>40</v>
      </c>
      <c r="I1385" s="45">
        <v>51</v>
      </c>
      <c r="J1385" s="45">
        <v>187</v>
      </c>
      <c r="K1385" s="45">
        <v>611</v>
      </c>
      <c r="L1385" s="45">
        <v>340</v>
      </c>
      <c r="M1385" s="45">
        <v>119</v>
      </c>
      <c r="N1385" s="45">
        <v>152</v>
      </c>
      <c r="O1385" s="45">
        <v>860</v>
      </c>
      <c r="P1385" s="45">
        <v>540</v>
      </c>
      <c r="Q1385" s="45">
        <v>158</v>
      </c>
      <c r="R1385" s="45">
        <v>162</v>
      </c>
      <c r="S1385" s="46">
        <v>14.3884892</v>
      </c>
      <c r="T1385" s="46">
        <v>18.345323700000002</v>
      </c>
      <c r="U1385" s="46">
        <v>67.266187099999996</v>
      </c>
      <c r="V1385" s="46">
        <v>55.646481199999997</v>
      </c>
      <c r="W1385" s="46">
        <v>19.476268399999999</v>
      </c>
      <c r="X1385" s="46">
        <v>24.877250400000001</v>
      </c>
      <c r="Y1385" s="46">
        <v>62.790697700000003</v>
      </c>
      <c r="Z1385" s="46">
        <v>18.372093</v>
      </c>
      <c r="AA1385" s="46">
        <v>18.837209300000001</v>
      </c>
      <c r="AB1385" s="26">
        <f>SUM(W1385:X1385)</f>
        <v>44.353518800000003</v>
      </c>
      <c r="AC1385" s="26">
        <f>SUM(Z1385:AA1385)</f>
        <v>37.209302300000004</v>
      </c>
      <c r="AD1385" s="57">
        <f>M1385+N1385</f>
        <v>271</v>
      </c>
      <c r="AE1385" s="57">
        <f>Q1385+R1385</f>
        <v>320</v>
      </c>
      <c r="AF1385" s="26">
        <f>W1385</f>
        <v>19.476268399999999</v>
      </c>
      <c r="AG1385" s="26">
        <f>Z1385</f>
        <v>18.372093</v>
      </c>
      <c r="AH1385" s="26">
        <f>M1385</f>
        <v>119</v>
      </c>
      <c r="AI1385" s="26">
        <f>Q1385</f>
        <v>158</v>
      </c>
      <c r="AJ1385" s="26">
        <f>X1385</f>
        <v>24.877250400000001</v>
      </c>
      <c r="AK1385" s="26">
        <f>AA1385</f>
        <v>18.837209300000001</v>
      </c>
      <c r="AL1385" s="57">
        <f>N1385</f>
        <v>152</v>
      </c>
      <c r="AM1385" s="57">
        <f>R1385</f>
        <v>162</v>
      </c>
    </row>
    <row r="1386" spans="1:39" hidden="1" x14ac:dyDescent="0.3">
      <c r="A1386" s="37">
        <v>1382</v>
      </c>
      <c r="B1386" s="38" t="s">
        <v>521</v>
      </c>
      <c r="C1386" s="38" t="s">
        <v>444</v>
      </c>
      <c r="D1386" s="38" t="s">
        <v>456</v>
      </c>
      <c r="E1386" s="38" t="s">
        <v>374</v>
      </c>
      <c r="F1386" s="47" t="s">
        <v>519</v>
      </c>
      <c r="G1386" s="40"/>
      <c r="H1386" s="40"/>
      <c r="I1386" s="40"/>
      <c r="J1386" s="40"/>
      <c r="K1386" s="40"/>
      <c r="L1386" s="40"/>
      <c r="M1386" s="40"/>
      <c r="N1386" s="40"/>
      <c r="O1386" s="40"/>
      <c r="P1386" s="40"/>
      <c r="Q1386" s="40"/>
      <c r="R1386" s="40"/>
      <c r="S1386" s="41"/>
      <c r="T1386" s="41"/>
      <c r="U1386" s="41"/>
      <c r="V1386" s="41"/>
      <c r="W1386" s="41"/>
      <c r="X1386" s="41"/>
      <c r="Y1386" s="41"/>
      <c r="Z1386" s="41"/>
      <c r="AA1386" s="41"/>
    </row>
    <row r="1387" spans="1:39" hidden="1" x14ac:dyDescent="0.3">
      <c r="A1387" s="37">
        <v>1383</v>
      </c>
      <c r="B1387" s="38" t="s">
        <v>521</v>
      </c>
      <c r="C1387" s="38" t="s">
        <v>444</v>
      </c>
      <c r="D1387" s="38" t="s">
        <v>456</v>
      </c>
      <c r="E1387" s="38" t="s">
        <v>374</v>
      </c>
      <c r="F1387" s="47" t="s">
        <v>520</v>
      </c>
      <c r="G1387" s="40">
        <v>278</v>
      </c>
      <c r="H1387" s="40">
        <v>40</v>
      </c>
      <c r="I1387" s="40">
        <v>51</v>
      </c>
      <c r="J1387" s="40">
        <v>187</v>
      </c>
      <c r="K1387" s="40">
        <v>611</v>
      </c>
      <c r="L1387" s="40">
        <v>340</v>
      </c>
      <c r="M1387" s="40">
        <v>119</v>
      </c>
      <c r="N1387" s="40">
        <v>152</v>
      </c>
      <c r="O1387" s="40">
        <v>860</v>
      </c>
      <c r="P1387" s="40">
        <v>540</v>
      </c>
      <c r="Q1387" s="40">
        <v>158</v>
      </c>
      <c r="R1387" s="40">
        <v>162</v>
      </c>
      <c r="S1387" s="41">
        <v>14.3884892</v>
      </c>
      <c r="T1387" s="41">
        <v>18.345323700000002</v>
      </c>
      <c r="U1387" s="41">
        <v>67.266187099999996</v>
      </c>
      <c r="V1387" s="41">
        <v>55.646481199999997</v>
      </c>
      <c r="W1387" s="41">
        <v>19.476268399999999</v>
      </c>
      <c r="X1387" s="41">
        <v>24.877250400000001</v>
      </c>
      <c r="Y1387" s="41">
        <v>62.790697700000003</v>
      </c>
      <c r="Z1387" s="41">
        <v>18.372093</v>
      </c>
      <c r="AA1387" s="41">
        <v>18.837209300000001</v>
      </c>
    </row>
    <row r="1388" spans="1:39" hidden="1" x14ac:dyDescent="0.3">
      <c r="A1388" s="42">
        <v>1384</v>
      </c>
      <c r="B1388" s="43" t="s">
        <v>521</v>
      </c>
      <c r="C1388" s="50" t="s">
        <v>444</v>
      </c>
      <c r="D1388" s="50" t="s">
        <v>456</v>
      </c>
      <c r="E1388" s="50" t="s">
        <v>92</v>
      </c>
      <c r="F1388" s="51" t="s">
        <v>92</v>
      </c>
      <c r="G1388" s="45">
        <v>162</v>
      </c>
      <c r="H1388" s="45">
        <v>32</v>
      </c>
      <c r="I1388" s="45">
        <v>26</v>
      </c>
      <c r="J1388" s="45">
        <v>104</v>
      </c>
      <c r="K1388" s="45">
        <v>344</v>
      </c>
      <c r="L1388" s="45">
        <v>94</v>
      </c>
      <c r="M1388" s="45">
        <v>72</v>
      </c>
      <c r="N1388" s="45">
        <v>178</v>
      </c>
      <c r="O1388" s="45">
        <v>649</v>
      </c>
      <c r="P1388" s="45">
        <v>338</v>
      </c>
      <c r="Q1388" s="45">
        <v>124</v>
      </c>
      <c r="R1388" s="45">
        <v>187</v>
      </c>
      <c r="S1388" s="46">
        <v>19.753086400000001</v>
      </c>
      <c r="T1388" s="46">
        <v>16.049382699999999</v>
      </c>
      <c r="U1388" s="46">
        <v>64.197530900000004</v>
      </c>
      <c r="V1388" s="46">
        <v>27.325581400000001</v>
      </c>
      <c r="W1388" s="46">
        <v>20.9302326</v>
      </c>
      <c r="X1388" s="46">
        <v>51.744185999999999</v>
      </c>
      <c r="Y1388" s="46">
        <v>52.080123299999997</v>
      </c>
      <c r="Z1388" s="46">
        <v>19.106317399999998</v>
      </c>
      <c r="AA1388" s="46">
        <v>28.813559300000001</v>
      </c>
      <c r="AB1388" s="26">
        <f>SUM(W1388:X1388)</f>
        <v>72.674418599999996</v>
      </c>
      <c r="AC1388" s="26">
        <f>SUM(Z1388:AA1388)</f>
        <v>47.919876700000003</v>
      </c>
      <c r="AD1388" s="57">
        <f>M1388+N1388</f>
        <v>250</v>
      </c>
      <c r="AE1388" s="57">
        <f>Q1388+R1388</f>
        <v>311</v>
      </c>
      <c r="AF1388" s="26">
        <f>W1388</f>
        <v>20.9302326</v>
      </c>
      <c r="AG1388" s="26">
        <f>Z1388</f>
        <v>19.106317399999998</v>
      </c>
      <c r="AH1388" s="26">
        <f>M1388</f>
        <v>72</v>
      </c>
      <c r="AI1388" s="26">
        <f>Q1388</f>
        <v>124</v>
      </c>
      <c r="AJ1388" s="26">
        <f>X1388</f>
        <v>51.744185999999999</v>
      </c>
      <c r="AK1388" s="26">
        <f>AA1388</f>
        <v>28.813559300000001</v>
      </c>
      <c r="AL1388" s="57">
        <f>N1388</f>
        <v>178</v>
      </c>
      <c r="AM1388" s="57">
        <f>R1388</f>
        <v>187</v>
      </c>
    </row>
    <row r="1389" spans="1:39" hidden="1" x14ac:dyDescent="0.3">
      <c r="A1389" s="37">
        <v>1385</v>
      </c>
      <c r="B1389" s="38" t="s">
        <v>521</v>
      </c>
      <c r="C1389" s="38" t="s">
        <v>444</v>
      </c>
      <c r="D1389" s="38" t="s">
        <v>456</v>
      </c>
      <c r="E1389" s="38" t="s">
        <v>92</v>
      </c>
      <c r="F1389" s="47" t="s">
        <v>519</v>
      </c>
      <c r="G1389" s="40"/>
      <c r="H1389" s="40"/>
      <c r="I1389" s="40"/>
      <c r="J1389" s="40"/>
      <c r="K1389" s="40"/>
      <c r="L1389" s="40"/>
      <c r="M1389" s="40"/>
      <c r="N1389" s="40"/>
      <c r="O1389" s="40"/>
      <c r="P1389" s="40"/>
      <c r="Q1389" s="40"/>
      <c r="R1389" s="40"/>
      <c r="S1389" s="41"/>
      <c r="T1389" s="41"/>
      <c r="U1389" s="41"/>
      <c r="V1389" s="41"/>
      <c r="W1389" s="41"/>
      <c r="X1389" s="41"/>
      <c r="Y1389" s="41"/>
      <c r="Z1389" s="41"/>
      <c r="AA1389" s="41"/>
    </row>
    <row r="1390" spans="1:39" hidden="1" x14ac:dyDescent="0.3">
      <c r="A1390" s="37">
        <v>1386</v>
      </c>
      <c r="B1390" s="38" t="s">
        <v>521</v>
      </c>
      <c r="C1390" s="38" t="s">
        <v>444</v>
      </c>
      <c r="D1390" s="38" t="s">
        <v>456</v>
      </c>
      <c r="E1390" s="38" t="s">
        <v>92</v>
      </c>
      <c r="F1390" s="47" t="s">
        <v>520</v>
      </c>
      <c r="G1390" s="40">
        <v>162</v>
      </c>
      <c r="H1390" s="40">
        <v>32</v>
      </c>
      <c r="I1390" s="40">
        <v>26</v>
      </c>
      <c r="J1390" s="40">
        <v>104</v>
      </c>
      <c r="K1390" s="40">
        <v>344</v>
      </c>
      <c r="L1390" s="40">
        <v>94</v>
      </c>
      <c r="M1390" s="40">
        <v>72</v>
      </c>
      <c r="N1390" s="40">
        <v>178</v>
      </c>
      <c r="O1390" s="40">
        <v>649</v>
      </c>
      <c r="P1390" s="40">
        <v>338</v>
      </c>
      <c r="Q1390" s="40">
        <v>124</v>
      </c>
      <c r="R1390" s="40">
        <v>187</v>
      </c>
      <c r="S1390" s="41">
        <v>19.753086400000001</v>
      </c>
      <c r="T1390" s="41">
        <v>16.049382699999999</v>
      </c>
      <c r="U1390" s="41">
        <v>64.197530900000004</v>
      </c>
      <c r="V1390" s="41">
        <v>27.325581400000001</v>
      </c>
      <c r="W1390" s="41">
        <v>20.9302326</v>
      </c>
      <c r="X1390" s="41">
        <v>51.744185999999999</v>
      </c>
      <c r="Y1390" s="41">
        <v>52.080123299999997</v>
      </c>
      <c r="Z1390" s="41">
        <v>19.106317399999998</v>
      </c>
      <c r="AA1390" s="41">
        <v>28.813559300000001</v>
      </c>
    </row>
    <row r="1391" spans="1:39" hidden="1" x14ac:dyDescent="0.3">
      <c r="A1391" s="32">
        <v>1387</v>
      </c>
      <c r="B1391" s="33" t="s">
        <v>1</v>
      </c>
      <c r="C1391" s="49" t="s">
        <v>444</v>
      </c>
      <c r="D1391" s="49" t="s">
        <v>457</v>
      </c>
      <c r="E1391" s="49"/>
      <c r="F1391" s="34" t="s">
        <v>457</v>
      </c>
      <c r="G1391" s="35">
        <v>445</v>
      </c>
      <c r="H1391" s="35">
        <v>135</v>
      </c>
      <c r="I1391" s="35">
        <v>84</v>
      </c>
      <c r="J1391" s="35">
        <v>226</v>
      </c>
      <c r="K1391" s="35">
        <v>1521</v>
      </c>
      <c r="L1391" s="35">
        <v>591</v>
      </c>
      <c r="M1391" s="35">
        <v>279</v>
      </c>
      <c r="N1391" s="35">
        <v>651</v>
      </c>
      <c r="O1391" s="35">
        <v>1798</v>
      </c>
      <c r="P1391" s="35">
        <v>1033</v>
      </c>
      <c r="Q1391" s="35">
        <v>338</v>
      </c>
      <c r="R1391" s="35">
        <v>427</v>
      </c>
      <c r="S1391" s="36">
        <v>30.337078699999999</v>
      </c>
      <c r="T1391" s="36">
        <v>18.8764045</v>
      </c>
      <c r="U1391" s="36">
        <v>50.786516900000002</v>
      </c>
      <c r="V1391" s="36">
        <v>38.856015800000002</v>
      </c>
      <c r="W1391" s="36">
        <v>18.343195300000001</v>
      </c>
      <c r="X1391" s="36">
        <v>42.800789000000002</v>
      </c>
      <c r="Y1391" s="36">
        <v>57.452725299999997</v>
      </c>
      <c r="Z1391" s="36">
        <v>18.798665199999999</v>
      </c>
      <c r="AA1391" s="36">
        <v>23.748609600000002</v>
      </c>
    </row>
    <row r="1392" spans="1:39" hidden="1" x14ac:dyDescent="0.3">
      <c r="A1392" s="37">
        <v>1388</v>
      </c>
      <c r="B1392" s="38" t="s">
        <v>1</v>
      </c>
      <c r="C1392" s="38" t="s">
        <v>444</v>
      </c>
      <c r="D1392" s="38" t="s">
        <v>457</v>
      </c>
      <c r="E1392" s="38"/>
      <c r="F1392" s="39" t="s">
        <v>519</v>
      </c>
      <c r="G1392" s="40"/>
      <c r="H1392" s="40"/>
      <c r="I1392" s="40"/>
      <c r="J1392" s="40"/>
      <c r="K1392" s="40"/>
      <c r="L1392" s="40"/>
      <c r="M1392" s="40"/>
      <c r="N1392" s="40"/>
      <c r="O1392" s="40"/>
      <c r="P1392" s="40"/>
      <c r="Q1392" s="40"/>
      <c r="R1392" s="40"/>
      <c r="S1392" s="41"/>
      <c r="T1392" s="41"/>
      <c r="U1392" s="41"/>
      <c r="V1392" s="41"/>
      <c r="W1392" s="41"/>
      <c r="X1392" s="41"/>
      <c r="Y1392" s="41"/>
      <c r="Z1392" s="41"/>
      <c r="AA1392" s="41"/>
    </row>
    <row r="1393" spans="1:39" hidden="1" x14ac:dyDescent="0.3">
      <c r="A1393" s="37">
        <v>1389</v>
      </c>
      <c r="B1393" s="38" t="s">
        <v>1</v>
      </c>
      <c r="C1393" s="38" t="s">
        <v>444</v>
      </c>
      <c r="D1393" s="38" t="s">
        <v>457</v>
      </c>
      <c r="E1393" s="38"/>
      <c r="F1393" s="39" t="s">
        <v>520</v>
      </c>
      <c r="G1393" s="40">
        <v>445</v>
      </c>
      <c r="H1393" s="40">
        <v>135</v>
      </c>
      <c r="I1393" s="40">
        <v>84</v>
      </c>
      <c r="J1393" s="40">
        <v>226</v>
      </c>
      <c r="K1393" s="40">
        <v>1521</v>
      </c>
      <c r="L1393" s="40">
        <v>591</v>
      </c>
      <c r="M1393" s="40">
        <v>279</v>
      </c>
      <c r="N1393" s="40">
        <v>651</v>
      </c>
      <c r="O1393" s="40">
        <v>1798</v>
      </c>
      <c r="P1393" s="40">
        <v>1033</v>
      </c>
      <c r="Q1393" s="40">
        <v>338</v>
      </c>
      <c r="R1393" s="40">
        <v>427</v>
      </c>
      <c r="S1393" s="41">
        <v>30.337078699999999</v>
      </c>
      <c r="T1393" s="41">
        <v>18.8764045</v>
      </c>
      <c r="U1393" s="41">
        <v>50.786516900000002</v>
      </c>
      <c r="V1393" s="41">
        <v>38.856015800000002</v>
      </c>
      <c r="W1393" s="41">
        <v>18.343195300000001</v>
      </c>
      <c r="X1393" s="41">
        <v>42.800789000000002</v>
      </c>
      <c r="Y1393" s="41">
        <v>57.452725299999997</v>
      </c>
      <c r="Z1393" s="41">
        <v>18.798665199999999</v>
      </c>
      <c r="AA1393" s="41">
        <v>23.748609600000002</v>
      </c>
    </row>
    <row r="1394" spans="1:39" hidden="1" x14ac:dyDescent="0.3">
      <c r="A1394" s="42">
        <v>1390</v>
      </c>
      <c r="B1394" s="43" t="s">
        <v>521</v>
      </c>
      <c r="C1394" s="50" t="s">
        <v>444</v>
      </c>
      <c r="D1394" s="50" t="s">
        <v>457</v>
      </c>
      <c r="E1394" s="50" t="s">
        <v>458</v>
      </c>
      <c r="F1394" s="51" t="s">
        <v>458</v>
      </c>
      <c r="G1394" s="45">
        <v>170</v>
      </c>
      <c r="H1394" s="45">
        <v>78</v>
      </c>
      <c r="I1394" s="45">
        <v>23</v>
      </c>
      <c r="J1394" s="45">
        <v>69</v>
      </c>
      <c r="K1394" s="45">
        <v>466</v>
      </c>
      <c r="L1394" s="45">
        <v>241</v>
      </c>
      <c r="M1394" s="45">
        <v>68</v>
      </c>
      <c r="N1394" s="45">
        <v>157</v>
      </c>
      <c r="O1394" s="45">
        <v>489</v>
      </c>
      <c r="P1394" s="45">
        <v>330</v>
      </c>
      <c r="Q1394" s="45">
        <v>82</v>
      </c>
      <c r="R1394" s="45">
        <v>77</v>
      </c>
      <c r="S1394" s="46">
        <v>45.882352900000001</v>
      </c>
      <c r="T1394" s="46">
        <v>13.5294118</v>
      </c>
      <c r="U1394" s="46">
        <v>40.588235300000001</v>
      </c>
      <c r="V1394" s="46">
        <v>51.716738200000002</v>
      </c>
      <c r="W1394" s="46">
        <v>14.592274700000001</v>
      </c>
      <c r="X1394" s="46">
        <v>33.690987100000001</v>
      </c>
      <c r="Y1394" s="46">
        <v>67.484662599999993</v>
      </c>
      <c r="Z1394" s="46">
        <v>16.7689162</v>
      </c>
      <c r="AA1394" s="46">
        <v>15.7464213</v>
      </c>
      <c r="AB1394" s="26">
        <f>SUM(W1394:X1394)</f>
        <v>48.283261800000005</v>
      </c>
      <c r="AC1394" s="26">
        <f>SUM(Z1394:AA1394)</f>
        <v>32.515337500000001</v>
      </c>
      <c r="AD1394" s="57">
        <f>M1394+N1394</f>
        <v>225</v>
      </c>
      <c r="AE1394" s="57">
        <f>Q1394+R1394</f>
        <v>159</v>
      </c>
      <c r="AF1394" s="26">
        <f>W1394</f>
        <v>14.592274700000001</v>
      </c>
      <c r="AG1394" s="26">
        <f>Z1394</f>
        <v>16.7689162</v>
      </c>
      <c r="AH1394" s="26">
        <f>M1394</f>
        <v>68</v>
      </c>
      <c r="AI1394" s="26">
        <f>Q1394</f>
        <v>82</v>
      </c>
      <c r="AJ1394" s="26">
        <f>X1394</f>
        <v>33.690987100000001</v>
      </c>
      <c r="AK1394" s="26">
        <f>AA1394</f>
        <v>15.7464213</v>
      </c>
      <c r="AL1394" s="57">
        <f>N1394</f>
        <v>157</v>
      </c>
      <c r="AM1394" s="57">
        <f>R1394</f>
        <v>77</v>
      </c>
    </row>
    <row r="1395" spans="1:39" hidden="1" x14ac:dyDescent="0.3">
      <c r="A1395" s="37">
        <v>1391</v>
      </c>
      <c r="B1395" s="38" t="s">
        <v>521</v>
      </c>
      <c r="C1395" s="38" t="s">
        <v>444</v>
      </c>
      <c r="D1395" s="38" t="s">
        <v>457</v>
      </c>
      <c r="E1395" s="38" t="s">
        <v>458</v>
      </c>
      <c r="F1395" s="47" t="s">
        <v>519</v>
      </c>
      <c r="G1395" s="40"/>
      <c r="H1395" s="40"/>
      <c r="I1395" s="40"/>
      <c r="J1395" s="40"/>
      <c r="K1395" s="40"/>
      <c r="L1395" s="40"/>
      <c r="M1395" s="40"/>
      <c r="N1395" s="40"/>
      <c r="O1395" s="40"/>
      <c r="P1395" s="40"/>
      <c r="Q1395" s="40"/>
      <c r="R1395" s="40"/>
      <c r="S1395" s="41"/>
      <c r="T1395" s="41"/>
      <c r="U1395" s="41"/>
      <c r="V1395" s="41"/>
      <c r="W1395" s="41"/>
      <c r="X1395" s="41"/>
      <c r="Y1395" s="41"/>
      <c r="Z1395" s="41"/>
      <c r="AA1395" s="41"/>
    </row>
    <row r="1396" spans="1:39" hidden="1" x14ac:dyDescent="0.3">
      <c r="A1396" s="37">
        <v>1392</v>
      </c>
      <c r="B1396" s="38" t="s">
        <v>521</v>
      </c>
      <c r="C1396" s="38" t="s">
        <v>444</v>
      </c>
      <c r="D1396" s="38" t="s">
        <v>457</v>
      </c>
      <c r="E1396" s="38" t="s">
        <v>458</v>
      </c>
      <c r="F1396" s="47" t="s">
        <v>520</v>
      </c>
      <c r="G1396" s="40">
        <v>170</v>
      </c>
      <c r="H1396" s="40">
        <v>78</v>
      </c>
      <c r="I1396" s="40">
        <v>23</v>
      </c>
      <c r="J1396" s="40">
        <v>69</v>
      </c>
      <c r="K1396" s="40">
        <v>466</v>
      </c>
      <c r="L1396" s="40">
        <v>241</v>
      </c>
      <c r="M1396" s="40">
        <v>68</v>
      </c>
      <c r="N1396" s="40">
        <v>157</v>
      </c>
      <c r="O1396" s="40">
        <v>489</v>
      </c>
      <c r="P1396" s="40">
        <v>330</v>
      </c>
      <c r="Q1396" s="40">
        <v>82</v>
      </c>
      <c r="R1396" s="40">
        <v>77</v>
      </c>
      <c r="S1396" s="41">
        <v>45.882352900000001</v>
      </c>
      <c r="T1396" s="41">
        <v>13.5294118</v>
      </c>
      <c r="U1396" s="41">
        <v>40.588235300000001</v>
      </c>
      <c r="V1396" s="41">
        <v>51.716738200000002</v>
      </c>
      <c r="W1396" s="41">
        <v>14.592274700000001</v>
      </c>
      <c r="X1396" s="41">
        <v>33.690987100000001</v>
      </c>
      <c r="Y1396" s="41">
        <v>67.484662599999993</v>
      </c>
      <c r="Z1396" s="41">
        <v>16.7689162</v>
      </c>
      <c r="AA1396" s="41">
        <v>15.7464213</v>
      </c>
    </row>
    <row r="1397" spans="1:39" hidden="1" x14ac:dyDescent="0.3">
      <c r="A1397" s="42">
        <v>1393</v>
      </c>
      <c r="B1397" s="43" t="s">
        <v>521</v>
      </c>
      <c r="C1397" s="50" t="s">
        <v>444</v>
      </c>
      <c r="D1397" s="50" t="s">
        <v>457</v>
      </c>
      <c r="E1397" s="50" t="s">
        <v>459</v>
      </c>
      <c r="F1397" s="51" t="s">
        <v>459</v>
      </c>
      <c r="G1397" s="45">
        <v>185</v>
      </c>
      <c r="H1397" s="45">
        <v>35</v>
      </c>
      <c r="I1397" s="45">
        <v>35</v>
      </c>
      <c r="J1397" s="45">
        <v>115</v>
      </c>
      <c r="K1397" s="45">
        <v>589</v>
      </c>
      <c r="L1397" s="45">
        <v>191</v>
      </c>
      <c r="M1397" s="45">
        <v>119</v>
      </c>
      <c r="N1397" s="45">
        <v>279</v>
      </c>
      <c r="O1397" s="45">
        <v>708</v>
      </c>
      <c r="P1397" s="45">
        <v>421</v>
      </c>
      <c r="Q1397" s="45">
        <v>140</v>
      </c>
      <c r="R1397" s="45">
        <v>147</v>
      </c>
      <c r="S1397" s="46">
        <v>18.918918900000001</v>
      </c>
      <c r="T1397" s="46">
        <v>18.918918900000001</v>
      </c>
      <c r="U1397" s="46">
        <v>62.162162199999997</v>
      </c>
      <c r="V1397" s="46">
        <v>32.427843799999998</v>
      </c>
      <c r="W1397" s="46">
        <v>20.203735099999999</v>
      </c>
      <c r="X1397" s="46">
        <v>47.368421099999999</v>
      </c>
      <c r="Y1397" s="46">
        <v>59.463276800000003</v>
      </c>
      <c r="Z1397" s="46">
        <v>19.774011300000002</v>
      </c>
      <c r="AA1397" s="46">
        <v>20.762711899999999</v>
      </c>
      <c r="AB1397" s="26">
        <f>SUM(W1397:X1397)</f>
        <v>67.572156199999995</v>
      </c>
      <c r="AC1397" s="26">
        <f>SUM(Z1397:AA1397)</f>
        <v>40.536723199999997</v>
      </c>
      <c r="AD1397" s="57">
        <f>M1397+N1397</f>
        <v>398</v>
      </c>
      <c r="AE1397" s="57">
        <f>Q1397+R1397</f>
        <v>287</v>
      </c>
      <c r="AF1397" s="26">
        <f>W1397</f>
        <v>20.203735099999999</v>
      </c>
      <c r="AG1397" s="26">
        <f>Z1397</f>
        <v>19.774011300000002</v>
      </c>
      <c r="AH1397" s="26">
        <f>M1397</f>
        <v>119</v>
      </c>
      <c r="AI1397" s="26">
        <f>Q1397</f>
        <v>140</v>
      </c>
      <c r="AJ1397" s="26">
        <f>X1397</f>
        <v>47.368421099999999</v>
      </c>
      <c r="AK1397" s="26">
        <f>AA1397</f>
        <v>20.762711899999999</v>
      </c>
      <c r="AL1397" s="57">
        <f>N1397</f>
        <v>279</v>
      </c>
      <c r="AM1397" s="57">
        <f>R1397</f>
        <v>147</v>
      </c>
    </row>
    <row r="1398" spans="1:39" hidden="1" x14ac:dyDescent="0.3">
      <c r="A1398" s="37">
        <v>1394</v>
      </c>
      <c r="B1398" s="38" t="s">
        <v>521</v>
      </c>
      <c r="C1398" s="38" t="s">
        <v>444</v>
      </c>
      <c r="D1398" s="38" t="s">
        <v>457</v>
      </c>
      <c r="E1398" s="38" t="s">
        <v>459</v>
      </c>
      <c r="F1398" s="47" t="s">
        <v>519</v>
      </c>
      <c r="G1398" s="40"/>
      <c r="H1398" s="40"/>
      <c r="I1398" s="40"/>
      <c r="J1398" s="40"/>
      <c r="K1398" s="40"/>
      <c r="L1398" s="40"/>
      <c r="M1398" s="40"/>
      <c r="N1398" s="40"/>
      <c r="O1398" s="40"/>
      <c r="P1398" s="40"/>
      <c r="Q1398" s="40"/>
      <c r="R1398" s="40"/>
      <c r="S1398" s="41"/>
      <c r="T1398" s="41"/>
      <c r="U1398" s="41"/>
      <c r="V1398" s="41"/>
      <c r="W1398" s="41"/>
      <c r="X1398" s="41"/>
      <c r="Y1398" s="41"/>
      <c r="Z1398" s="41"/>
      <c r="AA1398" s="41"/>
    </row>
    <row r="1399" spans="1:39" hidden="1" x14ac:dyDescent="0.3">
      <c r="A1399" s="37">
        <v>1395</v>
      </c>
      <c r="B1399" s="38" t="s">
        <v>521</v>
      </c>
      <c r="C1399" s="38" t="s">
        <v>444</v>
      </c>
      <c r="D1399" s="38" t="s">
        <v>457</v>
      </c>
      <c r="E1399" s="38" t="s">
        <v>459</v>
      </c>
      <c r="F1399" s="47" t="s">
        <v>520</v>
      </c>
      <c r="G1399" s="40">
        <v>185</v>
      </c>
      <c r="H1399" s="40">
        <v>35</v>
      </c>
      <c r="I1399" s="40">
        <v>35</v>
      </c>
      <c r="J1399" s="40">
        <v>115</v>
      </c>
      <c r="K1399" s="40">
        <v>589</v>
      </c>
      <c r="L1399" s="40">
        <v>191</v>
      </c>
      <c r="M1399" s="40">
        <v>119</v>
      </c>
      <c r="N1399" s="40">
        <v>279</v>
      </c>
      <c r="O1399" s="40">
        <v>708</v>
      </c>
      <c r="P1399" s="40">
        <v>421</v>
      </c>
      <c r="Q1399" s="40">
        <v>140</v>
      </c>
      <c r="R1399" s="40">
        <v>147</v>
      </c>
      <c r="S1399" s="41">
        <v>18.918918900000001</v>
      </c>
      <c r="T1399" s="41">
        <v>18.918918900000001</v>
      </c>
      <c r="U1399" s="41">
        <v>62.162162199999997</v>
      </c>
      <c r="V1399" s="41">
        <v>32.427843799999998</v>
      </c>
      <c r="W1399" s="41">
        <v>20.203735099999999</v>
      </c>
      <c r="X1399" s="41">
        <v>47.368421099999999</v>
      </c>
      <c r="Y1399" s="41">
        <v>59.463276800000003</v>
      </c>
      <c r="Z1399" s="41">
        <v>19.774011300000002</v>
      </c>
      <c r="AA1399" s="41">
        <v>20.762711899999999</v>
      </c>
    </row>
    <row r="1400" spans="1:39" hidden="1" x14ac:dyDescent="0.3">
      <c r="A1400" s="42">
        <v>1396</v>
      </c>
      <c r="B1400" s="43" t="s">
        <v>521</v>
      </c>
      <c r="C1400" s="50" t="s">
        <v>444</v>
      </c>
      <c r="D1400" s="50" t="s">
        <v>457</v>
      </c>
      <c r="E1400" s="50" t="s">
        <v>461</v>
      </c>
      <c r="F1400" s="51" t="s">
        <v>461</v>
      </c>
      <c r="G1400" s="45">
        <v>90</v>
      </c>
      <c r="H1400" s="45">
        <v>22</v>
      </c>
      <c r="I1400" s="45">
        <v>26</v>
      </c>
      <c r="J1400" s="45">
        <v>42</v>
      </c>
      <c r="K1400" s="45">
        <v>466</v>
      </c>
      <c r="L1400" s="45">
        <v>159</v>
      </c>
      <c r="M1400" s="45">
        <v>92</v>
      </c>
      <c r="N1400" s="45">
        <v>215</v>
      </c>
      <c r="O1400" s="45">
        <v>601</v>
      </c>
      <c r="P1400" s="45">
        <v>282</v>
      </c>
      <c r="Q1400" s="45">
        <v>116</v>
      </c>
      <c r="R1400" s="45">
        <v>203</v>
      </c>
      <c r="S1400" s="46">
        <v>24.444444399999998</v>
      </c>
      <c r="T1400" s="46">
        <v>28.888888900000001</v>
      </c>
      <c r="U1400" s="46">
        <v>46.6666667</v>
      </c>
      <c r="V1400" s="46">
        <v>34.1201717</v>
      </c>
      <c r="W1400" s="46">
        <v>19.742489299999999</v>
      </c>
      <c r="X1400" s="46">
        <v>46.137339099999998</v>
      </c>
      <c r="Y1400" s="46">
        <v>46.921796999999998</v>
      </c>
      <c r="Z1400" s="46">
        <v>19.301164700000001</v>
      </c>
      <c r="AA1400" s="46">
        <v>33.777038300000001</v>
      </c>
      <c r="AB1400" s="26">
        <f>SUM(W1400:X1400)</f>
        <v>65.879828399999994</v>
      </c>
      <c r="AC1400" s="26">
        <f>SUM(Z1400:AA1400)</f>
        <v>53.078203000000002</v>
      </c>
      <c r="AD1400" s="57">
        <f>M1400+N1400</f>
        <v>307</v>
      </c>
      <c r="AE1400" s="57">
        <f>Q1400+R1400</f>
        <v>319</v>
      </c>
      <c r="AF1400" s="26">
        <f>W1400</f>
        <v>19.742489299999999</v>
      </c>
      <c r="AG1400" s="26">
        <f>Z1400</f>
        <v>19.301164700000001</v>
      </c>
      <c r="AH1400" s="26">
        <f>M1400</f>
        <v>92</v>
      </c>
      <c r="AI1400" s="26">
        <f>Q1400</f>
        <v>116</v>
      </c>
      <c r="AJ1400" s="26">
        <f>X1400</f>
        <v>46.137339099999998</v>
      </c>
      <c r="AK1400" s="26">
        <f>AA1400</f>
        <v>33.777038300000001</v>
      </c>
      <c r="AL1400" s="57">
        <f>N1400</f>
        <v>215</v>
      </c>
      <c r="AM1400" s="57">
        <f>R1400</f>
        <v>203</v>
      </c>
    </row>
    <row r="1401" spans="1:39" hidden="1" x14ac:dyDescent="0.3">
      <c r="A1401" s="37">
        <v>1397</v>
      </c>
      <c r="B1401" s="38" t="s">
        <v>521</v>
      </c>
      <c r="C1401" s="38" t="s">
        <v>444</v>
      </c>
      <c r="D1401" s="38" t="s">
        <v>457</v>
      </c>
      <c r="E1401" s="38" t="s">
        <v>461</v>
      </c>
      <c r="F1401" s="47" t="s">
        <v>519</v>
      </c>
      <c r="G1401" s="40"/>
      <c r="H1401" s="40"/>
      <c r="I1401" s="40"/>
      <c r="J1401" s="40"/>
      <c r="K1401" s="40"/>
      <c r="L1401" s="40"/>
      <c r="M1401" s="40"/>
      <c r="N1401" s="40"/>
      <c r="O1401" s="40"/>
      <c r="P1401" s="40"/>
      <c r="Q1401" s="40"/>
      <c r="R1401" s="40"/>
      <c r="S1401" s="41"/>
      <c r="T1401" s="41"/>
      <c r="U1401" s="41"/>
      <c r="V1401" s="41"/>
      <c r="W1401" s="41"/>
      <c r="X1401" s="41"/>
      <c r="Y1401" s="41"/>
      <c r="Z1401" s="41"/>
      <c r="AA1401" s="41"/>
    </row>
    <row r="1402" spans="1:39" hidden="1" x14ac:dyDescent="0.3">
      <c r="A1402" s="52">
        <v>1398</v>
      </c>
      <c r="B1402" s="53" t="s">
        <v>521</v>
      </c>
      <c r="C1402" s="53" t="s">
        <v>444</v>
      </c>
      <c r="D1402" s="53" t="s">
        <v>457</v>
      </c>
      <c r="E1402" s="53" t="s">
        <v>461</v>
      </c>
      <c r="F1402" s="54" t="s">
        <v>520</v>
      </c>
      <c r="G1402" s="55">
        <v>90</v>
      </c>
      <c r="H1402" s="55">
        <v>22</v>
      </c>
      <c r="I1402" s="55">
        <v>26</v>
      </c>
      <c r="J1402" s="55">
        <v>42</v>
      </c>
      <c r="K1402" s="55">
        <v>466</v>
      </c>
      <c r="L1402" s="55">
        <v>159</v>
      </c>
      <c r="M1402" s="55">
        <v>92</v>
      </c>
      <c r="N1402" s="55">
        <v>215</v>
      </c>
      <c r="O1402" s="55">
        <v>601</v>
      </c>
      <c r="P1402" s="55">
        <v>282</v>
      </c>
      <c r="Q1402" s="55">
        <v>116</v>
      </c>
      <c r="R1402" s="55">
        <v>203</v>
      </c>
      <c r="S1402" s="56">
        <v>24.444444399999998</v>
      </c>
      <c r="T1402" s="56">
        <v>28.888888900000001</v>
      </c>
      <c r="U1402" s="56">
        <v>46.6666667</v>
      </c>
      <c r="V1402" s="56">
        <v>34.1201717</v>
      </c>
      <c r="W1402" s="56">
        <v>19.742489299999999</v>
      </c>
      <c r="X1402" s="56">
        <v>46.137339099999998</v>
      </c>
      <c r="Y1402" s="56">
        <v>46.921796999999998</v>
      </c>
      <c r="Z1402" s="56">
        <v>19.301164700000001</v>
      </c>
      <c r="AA1402" s="56">
        <v>33.777038300000001</v>
      </c>
    </row>
    <row r="1405" spans="1:39" x14ac:dyDescent="0.3">
      <c r="K1405" s="57">
        <f>K1007+K1004+K1001</f>
        <v>36422</v>
      </c>
      <c r="L1405" s="57">
        <f t="shared" ref="L1405:R1405" si="0">L1007+L1004+L1001</f>
        <v>21756</v>
      </c>
      <c r="M1405" s="57">
        <f t="shared" si="0"/>
        <v>7338</v>
      </c>
      <c r="N1405" s="57">
        <f t="shared" si="0"/>
        <v>7328</v>
      </c>
      <c r="O1405" s="57">
        <f t="shared" si="0"/>
        <v>46032</v>
      </c>
      <c r="P1405" s="57">
        <f t="shared" si="0"/>
        <v>32251</v>
      </c>
      <c r="Q1405" s="57">
        <f t="shared" si="0"/>
        <v>7190</v>
      </c>
      <c r="R1405" s="57">
        <f t="shared" si="0"/>
        <v>6591</v>
      </c>
    </row>
    <row r="1406" spans="1:39" x14ac:dyDescent="0.3">
      <c r="L1406">
        <f>L1405/K1405*100</f>
        <v>59.733128329031906</v>
      </c>
      <c r="M1406">
        <f>M1405/K1405*100</f>
        <v>20.147163802097634</v>
      </c>
      <c r="N1406">
        <f>N1405/K1405*100</f>
        <v>20.119707868870464</v>
      </c>
      <c r="P1406">
        <f>P1405/O1405*100</f>
        <v>70.062130691692744</v>
      </c>
      <c r="Q1406">
        <f>Q1405/O1405*100</f>
        <v>15.619568995481403</v>
      </c>
      <c r="R1406">
        <f>R1405/O1405*100</f>
        <v>14.31830031282586</v>
      </c>
    </row>
    <row r="1408" spans="1:39" x14ac:dyDescent="0.3">
      <c r="N1408" s="61">
        <f>M1406+N1406</f>
        <v>40.266871670968101</v>
      </c>
      <c r="R1408" s="57">
        <f>Q1405+R1405</f>
        <v>13781</v>
      </c>
    </row>
    <row r="1409" spans="14:18" x14ac:dyDescent="0.3">
      <c r="N1409" s="61">
        <f>M1405+N1405</f>
        <v>14666</v>
      </c>
      <c r="R1409" s="61">
        <f>R1406+Q1406</f>
        <v>29.937869308307263</v>
      </c>
    </row>
  </sheetData>
  <autoFilter ref="A4:AA1402" xr:uid="{98CC8915-3686-43ED-83A6-CAD9C08601F3}">
    <filterColumn colId="1">
      <filters>
        <filter val="Departamento"/>
      </filters>
    </filterColumn>
    <filterColumn colId="5">
      <filters>
        <filter val="Beni"/>
        <filter val="Chuquisaca"/>
        <filter val="Cochabamba"/>
        <filter val="La Paz"/>
        <filter val="Oruro"/>
        <filter val="Pando"/>
        <filter val="Potosí"/>
        <filter val="Santa Cruz"/>
        <filter val="Tarija"/>
      </filters>
    </filterColumn>
  </autoFilter>
  <mergeCells count="14">
    <mergeCell ref="F1:F3"/>
    <mergeCell ref="A1:A3"/>
    <mergeCell ref="B1:B3"/>
    <mergeCell ref="C1:C3"/>
    <mergeCell ref="D1:D3"/>
    <mergeCell ref="E1:E3"/>
    <mergeCell ref="G1:R1"/>
    <mergeCell ref="S1:AA1"/>
    <mergeCell ref="G2:J2"/>
    <mergeCell ref="K2:N2"/>
    <mergeCell ref="O2:R2"/>
    <mergeCell ref="S2:U2"/>
    <mergeCell ref="V2:X2"/>
    <mergeCell ref="Y2:A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tabSelected="1" workbookViewId="0">
      <selection activeCell="G11" sqref="G11"/>
    </sheetView>
  </sheetViews>
  <sheetFormatPr baseColWidth="10" defaultRowHeight="14.4" x14ac:dyDescent="0.3"/>
  <sheetData>
    <row r="1" spans="1:4" x14ac:dyDescent="0.3">
      <c r="A1" s="1" t="s">
        <v>462</v>
      </c>
      <c r="B1" s="1" t="s">
        <v>2</v>
      </c>
      <c r="C1" s="3" t="s">
        <v>499</v>
      </c>
      <c r="D1" s="3" t="s">
        <v>500</v>
      </c>
    </row>
    <row r="2" spans="1:4" x14ac:dyDescent="0.3">
      <c r="A2" s="1">
        <v>10101</v>
      </c>
      <c r="B2" s="1" t="s">
        <v>6</v>
      </c>
      <c r="C2" s="60">
        <v>32.678094000000002</v>
      </c>
      <c r="D2" s="60">
        <v>23.559671899999998</v>
      </c>
    </row>
    <row r="3" spans="1:4" x14ac:dyDescent="0.3">
      <c r="A3" s="1">
        <v>10102</v>
      </c>
      <c r="B3" s="1" t="s">
        <v>7</v>
      </c>
      <c r="C3" s="60">
        <v>33.446711999999998</v>
      </c>
      <c r="D3" s="60">
        <v>26.4725131</v>
      </c>
    </row>
    <row r="4" spans="1:4" x14ac:dyDescent="0.3">
      <c r="A4" s="1">
        <v>10103</v>
      </c>
      <c r="B4" s="1" t="s">
        <v>8</v>
      </c>
      <c r="C4" s="60">
        <v>51.051502200000002</v>
      </c>
      <c r="D4" s="60">
        <v>40.653201500000002</v>
      </c>
    </row>
    <row r="5" spans="1:4" x14ac:dyDescent="0.3">
      <c r="A5" s="1">
        <v>10201</v>
      </c>
      <c r="B5" s="1" t="s">
        <v>9</v>
      </c>
      <c r="C5" s="60">
        <v>60.007880300000004</v>
      </c>
      <c r="D5" s="60">
        <v>43.510204099999996</v>
      </c>
    </row>
    <row r="6" spans="1:4" x14ac:dyDescent="0.3">
      <c r="A6" s="1">
        <v>10202</v>
      </c>
      <c r="B6" s="1" t="s">
        <v>11</v>
      </c>
      <c r="C6" s="60">
        <v>57.694558200000003</v>
      </c>
      <c r="D6" s="60">
        <v>51.174423599999997</v>
      </c>
    </row>
    <row r="7" spans="1:4" x14ac:dyDescent="0.3">
      <c r="A7" s="1">
        <v>10301</v>
      </c>
      <c r="B7" s="1" t="s">
        <v>13</v>
      </c>
      <c r="C7" s="60">
        <v>56.148491899999996</v>
      </c>
      <c r="D7" s="60">
        <v>56.793222499999999</v>
      </c>
    </row>
    <row r="8" spans="1:4" x14ac:dyDescent="0.3">
      <c r="A8" s="1">
        <v>10302</v>
      </c>
      <c r="B8" s="1" t="s">
        <v>15</v>
      </c>
      <c r="C8" s="60">
        <v>59.624585999999994</v>
      </c>
      <c r="D8" s="60">
        <v>52.247019300000005</v>
      </c>
    </row>
    <row r="9" spans="1:4" x14ac:dyDescent="0.3">
      <c r="A9" s="1">
        <v>10303</v>
      </c>
      <c r="B9" s="1" t="s">
        <v>476</v>
      </c>
      <c r="C9" s="60">
        <v>55.650857700000003</v>
      </c>
      <c r="D9" s="60">
        <v>45.8906803</v>
      </c>
    </row>
    <row r="10" spans="1:4" x14ac:dyDescent="0.3">
      <c r="A10" s="1">
        <v>10304</v>
      </c>
      <c r="B10" s="1" t="s">
        <v>17</v>
      </c>
      <c r="C10" s="60">
        <v>52.430365899999998</v>
      </c>
      <c r="D10" s="60">
        <v>41.783681200000004</v>
      </c>
    </row>
    <row r="11" spans="1:4" x14ac:dyDescent="0.3">
      <c r="A11" s="1">
        <v>10401</v>
      </c>
      <c r="B11" s="1" t="s">
        <v>19</v>
      </c>
      <c r="C11" s="60">
        <v>48.398576500000004</v>
      </c>
      <c r="D11" s="60">
        <v>31.293157600000001</v>
      </c>
    </row>
    <row r="12" spans="1:4" x14ac:dyDescent="0.3">
      <c r="A12" s="1">
        <v>10402</v>
      </c>
      <c r="B12" s="1" t="s">
        <v>18</v>
      </c>
      <c r="C12" s="60">
        <v>53.005205899999993</v>
      </c>
      <c r="D12" s="60">
        <v>39.500668700000006</v>
      </c>
    </row>
    <row r="13" spans="1:4" x14ac:dyDescent="0.3">
      <c r="A13" s="1">
        <v>10403</v>
      </c>
      <c r="B13" s="1" t="s">
        <v>21</v>
      </c>
      <c r="C13" s="60">
        <v>47.860696500000003</v>
      </c>
      <c r="D13" s="60">
        <v>35.7930043</v>
      </c>
    </row>
    <row r="14" spans="1:4" x14ac:dyDescent="0.3">
      <c r="A14" s="1">
        <v>10404</v>
      </c>
      <c r="B14" s="1" t="s">
        <v>23</v>
      </c>
      <c r="C14" s="60">
        <v>57.276119399999999</v>
      </c>
      <c r="D14" s="60">
        <v>32.043734199999996</v>
      </c>
    </row>
    <row r="15" spans="1:4" x14ac:dyDescent="0.3">
      <c r="A15" s="1">
        <v>10405</v>
      </c>
      <c r="B15" s="1" t="s">
        <v>24</v>
      </c>
      <c r="C15" s="60">
        <v>47.524752399999997</v>
      </c>
      <c r="D15" s="60">
        <v>49.339819300000002</v>
      </c>
    </row>
    <row r="16" spans="1:4" x14ac:dyDescent="0.3">
      <c r="A16" s="1">
        <v>10501</v>
      </c>
      <c r="B16" s="1" t="s">
        <v>26</v>
      </c>
      <c r="C16" s="60">
        <v>46.899160999999999</v>
      </c>
      <c r="D16" s="60">
        <v>30.560578700000001</v>
      </c>
    </row>
    <row r="17" spans="1:4" x14ac:dyDescent="0.3">
      <c r="A17" s="1">
        <v>10502</v>
      </c>
      <c r="B17" s="1" t="s">
        <v>477</v>
      </c>
      <c r="C17" s="60">
        <v>49.062049000000002</v>
      </c>
      <c r="D17" s="60">
        <v>34.072142600000006</v>
      </c>
    </row>
    <row r="18" spans="1:4" x14ac:dyDescent="0.3">
      <c r="A18" s="1">
        <v>10601</v>
      </c>
      <c r="B18" s="1" t="s">
        <v>29</v>
      </c>
      <c r="C18" s="60">
        <v>47.925216599999999</v>
      </c>
      <c r="D18" s="60">
        <v>30.217340499999999</v>
      </c>
    </row>
    <row r="19" spans="1:4" x14ac:dyDescent="0.3">
      <c r="A19" s="1">
        <v>10602</v>
      </c>
      <c r="B19" s="1" t="s">
        <v>28</v>
      </c>
      <c r="C19" s="60">
        <v>41.220338999999996</v>
      </c>
      <c r="D19" s="60">
        <v>32.779406999999999</v>
      </c>
    </row>
    <row r="20" spans="1:4" x14ac:dyDescent="0.3">
      <c r="A20" s="1">
        <v>10701</v>
      </c>
      <c r="B20" s="1" t="s">
        <v>31</v>
      </c>
      <c r="C20" s="60">
        <v>40.947976799999999</v>
      </c>
      <c r="D20" s="60">
        <v>27.818505999999999</v>
      </c>
    </row>
    <row r="21" spans="1:4" x14ac:dyDescent="0.3">
      <c r="A21" s="1">
        <v>10702</v>
      </c>
      <c r="B21" s="1" t="s">
        <v>32</v>
      </c>
      <c r="C21" s="60">
        <v>52.522477499999994</v>
      </c>
      <c r="D21" s="60">
        <v>34.816784200000001</v>
      </c>
    </row>
    <row r="22" spans="1:4" x14ac:dyDescent="0.3">
      <c r="A22" s="1">
        <v>10703</v>
      </c>
      <c r="B22" s="1" t="s">
        <v>33</v>
      </c>
      <c r="C22" s="60">
        <v>63.871896399999997</v>
      </c>
      <c r="D22" s="60">
        <v>51.412429400000001</v>
      </c>
    </row>
    <row r="23" spans="1:4" x14ac:dyDescent="0.3">
      <c r="A23" s="1">
        <v>10704</v>
      </c>
      <c r="B23" s="1" t="s">
        <v>34</v>
      </c>
      <c r="C23" s="60">
        <v>64.057553999999996</v>
      </c>
      <c r="D23" s="60">
        <v>42.9</v>
      </c>
    </row>
    <row r="24" spans="1:4" x14ac:dyDescent="0.3">
      <c r="A24" s="1">
        <v>10801</v>
      </c>
      <c r="B24" s="1" t="s">
        <v>36</v>
      </c>
      <c r="C24" s="60">
        <v>45.775970000000001</v>
      </c>
      <c r="D24" s="60">
        <v>27.8945717</v>
      </c>
    </row>
    <row r="25" spans="1:4" x14ac:dyDescent="0.3">
      <c r="A25" s="1">
        <v>10901</v>
      </c>
      <c r="B25" s="1" t="s">
        <v>38</v>
      </c>
      <c r="C25" s="60">
        <v>44.352331599999999</v>
      </c>
      <c r="D25" s="60">
        <v>44.347191800000004</v>
      </c>
    </row>
    <row r="26" spans="1:4" x14ac:dyDescent="0.3">
      <c r="A26" s="1">
        <v>10902</v>
      </c>
      <c r="B26" s="1" t="s">
        <v>39</v>
      </c>
      <c r="C26" s="60">
        <v>52.5649874</v>
      </c>
      <c r="D26" s="60">
        <v>35.300429199999996</v>
      </c>
    </row>
    <row r="27" spans="1:4" x14ac:dyDescent="0.3">
      <c r="A27" s="1">
        <v>10903</v>
      </c>
      <c r="B27" s="1" t="s">
        <v>40</v>
      </c>
      <c r="C27" s="60">
        <v>45.762711899999999</v>
      </c>
      <c r="D27" s="60">
        <v>41.875</v>
      </c>
    </row>
    <row r="28" spans="1:4" x14ac:dyDescent="0.3">
      <c r="A28" s="1">
        <v>11001</v>
      </c>
      <c r="B28" s="1" t="s">
        <v>42</v>
      </c>
      <c r="C28" s="60">
        <v>46.563980999999998</v>
      </c>
      <c r="D28" s="60">
        <v>39.923469400000002</v>
      </c>
    </row>
    <row r="29" spans="1:4" x14ac:dyDescent="0.3">
      <c r="A29" s="1">
        <v>11002</v>
      </c>
      <c r="B29" s="1" t="s">
        <v>478</v>
      </c>
      <c r="C29" s="60">
        <v>52.570481000000001</v>
      </c>
      <c r="D29" s="60">
        <v>33.129584399999999</v>
      </c>
    </row>
    <row r="30" spans="1:4" x14ac:dyDescent="0.3">
      <c r="A30" s="1">
        <v>11003</v>
      </c>
      <c r="B30" s="1" t="s">
        <v>44</v>
      </c>
      <c r="C30" s="60">
        <v>44.146202200000005</v>
      </c>
      <c r="D30" s="60">
        <v>27.3601399</v>
      </c>
    </row>
    <row r="31" spans="1:4" x14ac:dyDescent="0.3">
      <c r="A31" s="1">
        <v>20101</v>
      </c>
      <c r="B31" s="1" t="s">
        <v>48</v>
      </c>
      <c r="C31" s="60">
        <v>25.5416016</v>
      </c>
      <c r="D31" s="60">
        <v>16.218402599999997</v>
      </c>
    </row>
    <row r="32" spans="1:4" x14ac:dyDescent="0.3">
      <c r="A32" s="1">
        <v>20102</v>
      </c>
      <c r="B32" s="1" t="s">
        <v>49</v>
      </c>
      <c r="C32" s="60">
        <v>41.932824999999994</v>
      </c>
      <c r="D32" s="60">
        <v>33.487145699999999</v>
      </c>
    </row>
    <row r="33" spans="1:4" x14ac:dyDescent="0.3">
      <c r="A33" s="1">
        <v>20103</v>
      </c>
      <c r="B33" s="1" t="s">
        <v>50</v>
      </c>
      <c r="C33" s="60">
        <v>31.621961399999996</v>
      </c>
      <c r="D33" s="60">
        <v>25.507373299999998</v>
      </c>
    </row>
    <row r="34" spans="1:4" x14ac:dyDescent="0.3">
      <c r="A34" s="1">
        <v>20104</v>
      </c>
      <c r="B34" s="1" t="s">
        <v>51</v>
      </c>
      <c r="C34" s="60">
        <v>32.079429400000002</v>
      </c>
      <c r="D34" s="60">
        <v>28.680125099999998</v>
      </c>
    </row>
    <row r="35" spans="1:4" x14ac:dyDescent="0.3">
      <c r="A35" s="1">
        <v>20105</v>
      </c>
      <c r="B35" s="1" t="s">
        <v>52</v>
      </c>
      <c r="C35" s="60">
        <v>32.981639299999998</v>
      </c>
      <c r="D35" s="60">
        <v>22.453994299999998</v>
      </c>
    </row>
    <row r="36" spans="1:4" x14ac:dyDescent="0.3">
      <c r="A36" s="1">
        <v>20201</v>
      </c>
      <c r="B36" s="1" t="s">
        <v>54</v>
      </c>
      <c r="C36" s="60">
        <v>28.956125199999999</v>
      </c>
      <c r="D36" s="60">
        <v>23.1819174</v>
      </c>
    </row>
    <row r="37" spans="1:4" x14ac:dyDescent="0.3">
      <c r="A37" s="1">
        <v>20202</v>
      </c>
      <c r="B37" s="1" t="s">
        <v>55</v>
      </c>
      <c r="C37" s="60">
        <v>27.889397299999999</v>
      </c>
      <c r="D37" s="60">
        <v>27.534511000000002</v>
      </c>
    </row>
    <row r="38" spans="1:4" x14ac:dyDescent="0.3">
      <c r="A38" s="1">
        <v>20203</v>
      </c>
      <c r="B38" s="1" t="s">
        <v>56</v>
      </c>
      <c r="C38" s="60">
        <v>23.375984299999999</v>
      </c>
      <c r="D38" s="60">
        <v>28.088179400000001</v>
      </c>
    </row>
    <row r="39" spans="1:4" x14ac:dyDescent="0.3">
      <c r="A39" s="1">
        <v>20204</v>
      </c>
      <c r="B39" s="1" t="s">
        <v>57</v>
      </c>
      <c r="C39" s="60">
        <v>21.747042799999999</v>
      </c>
      <c r="D39" s="60">
        <v>18.503539</v>
      </c>
    </row>
    <row r="40" spans="1:4" x14ac:dyDescent="0.3">
      <c r="A40" s="1">
        <v>20205</v>
      </c>
      <c r="B40" s="1" t="s">
        <v>58</v>
      </c>
      <c r="C40" s="60">
        <v>18.804319200000002</v>
      </c>
      <c r="D40" s="60">
        <v>16.633177100000001</v>
      </c>
    </row>
    <row r="41" spans="1:4" x14ac:dyDescent="0.3">
      <c r="A41" s="1">
        <v>20206</v>
      </c>
      <c r="B41" s="1" t="s">
        <v>59</v>
      </c>
      <c r="C41" s="60">
        <v>20.096269599999999</v>
      </c>
      <c r="D41" s="60">
        <v>16.460741300000002</v>
      </c>
    </row>
    <row r="42" spans="1:4" x14ac:dyDescent="0.3">
      <c r="A42" s="1">
        <v>20301</v>
      </c>
      <c r="B42" s="1" t="s">
        <v>61</v>
      </c>
      <c r="C42" s="60">
        <v>32.513368999999997</v>
      </c>
      <c r="D42" s="60">
        <v>32.112890900000004</v>
      </c>
    </row>
    <row r="43" spans="1:4" x14ac:dyDescent="0.3">
      <c r="A43" s="1">
        <v>20302</v>
      </c>
      <c r="B43" s="1" t="s">
        <v>62</v>
      </c>
      <c r="C43" s="60">
        <v>44.670883099999998</v>
      </c>
      <c r="D43" s="60">
        <v>38.792279799999996</v>
      </c>
    </row>
    <row r="44" spans="1:4" x14ac:dyDescent="0.3">
      <c r="A44" s="1">
        <v>20303</v>
      </c>
      <c r="B44" s="1" t="s">
        <v>63</v>
      </c>
      <c r="C44" s="60">
        <v>34.673082399999998</v>
      </c>
      <c r="D44" s="60">
        <v>31.010180099999999</v>
      </c>
    </row>
    <row r="45" spans="1:4" x14ac:dyDescent="0.3">
      <c r="A45" s="1">
        <v>20304</v>
      </c>
      <c r="B45" s="1" t="s">
        <v>64</v>
      </c>
      <c r="C45" s="60">
        <v>34.019832199999996</v>
      </c>
      <c r="D45" s="60">
        <v>34.766839400000002</v>
      </c>
    </row>
    <row r="46" spans="1:4" x14ac:dyDescent="0.3">
      <c r="A46" s="1">
        <v>20305</v>
      </c>
      <c r="B46" s="1" t="s">
        <v>65</v>
      </c>
      <c r="C46" s="60">
        <v>31.9240724</v>
      </c>
      <c r="D46" s="60">
        <v>27.8989668</v>
      </c>
    </row>
    <row r="47" spans="1:4" x14ac:dyDescent="0.3">
      <c r="A47" s="1">
        <v>20306</v>
      </c>
      <c r="B47" s="1" t="s">
        <v>479</v>
      </c>
      <c r="C47" s="60">
        <v>68.224299099999996</v>
      </c>
      <c r="D47" s="60">
        <v>53.041695199999999</v>
      </c>
    </row>
    <row r="48" spans="1:4" x14ac:dyDescent="0.3">
      <c r="A48" s="1">
        <v>20307</v>
      </c>
      <c r="B48" s="1" t="s">
        <v>67</v>
      </c>
      <c r="C48" s="60">
        <v>23.8754326</v>
      </c>
      <c r="D48" s="60">
        <v>43.1162408</v>
      </c>
    </row>
    <row r="49" spans="1:4" x14ac:dyDescent="0.3">
      <c r="A49" s="1">
        <v>20308</v>
      </c>
      <c r="B49" s="1" t="s">
        <v>68</v>
      </c>
      <c r="C49" s="60">
        <v>31.7562724</v>
      </c>
      <c r="D49" s="60">
        <v>28.9717007</v>
      </c>
    </row>
    <row r="50" spans="1:4" x14ac:dyDescent="0.3">
      <c r="A50" s="1">
        <v>20401</v>
      </c>
      <c r="B50" s="1" t="s">
        <v>70</v>
      </c>
      <c r="C50" s="60">
        <v>21.572540400000001</v>
      </c>
      <c r="D50" s="60">
        <v>22.1229558</v>
      </c>
    </row>
    <row r="51" spans="1:4" x14ac:dyDescent="0.3">
      <c r="A51" s="1">
        <v>20402</v>
      </c>
      <c r="B51" s="1" t="s">
        <v>71</v>
      </c>
      <c r="C51" s="60">
        <v>23.978201599999998</v>
      </c>
      <c r="D51" s="60">
        <v>22.750530399999999</v>
      </c>
    </row>
    <row r="52" spans="1:4" x14ac:dyDescent="0.3">
      <c r="A52" s="1">
        <v>20403</v>
      </c>
      <c r="B52" s="1" t="s">
        <v>72</v>
      </c>
      <c r="C52" s="60">
        <v>28.109220100000002</v>
      </c>
      <c r="D52" s="60">
        <v>24.331210200000001</v>
      </c>
    </row>
    <row r="53" spans="1:4" x14ac:dyDescent="0.3">
      <c r="A53" s="1">
        <v>20404</v>
      </c>
      <c r="B53" s="1" t="s">
        <v>74</v>
      </c>
      <c r="C53" s="60">
        <v>26.138519899999999</v>
      </c>
      <c r="D53" s="60">
        <v>25.524337199999998</v>
      </c>
    </row>
    <row r="54" spans="1:4" x14ac:dyDescent="0.3">
      <c r="A54" s="1">
        <v>20405</v>
      </c>
      <c r="B54" s="1" t="s">
        <v>75</v>
      </c>
      <c r="C54" s="60">
        <v>24.578790900000001</v>
      </c>
      <c r="D54" s="60">
        <v>23.736637500000001</v>
      </c>
    </row>
    <row r="55" spans="1:4" x14ac:dyDescent="0.3">
      <c r="A55" s="1">
        <v>20501</v>
      </c>
      <c r="B55" s="1" t="s">
        <v>77</v>
      </c>
      <c r="C55" s="60">
        <v>32.7323515</v>
      </c>
      <c r="D55" s="60">
        <v>32.921102099999999</v>
      </c>
    </row>
    <row r="56" spans="1:4" x14ac:dyDescent="0.3">
      <c r="A56" s="1">
        <v>20502</v>
      </c>
      <c r="B56" s="1" t="s">
        <v>78</v>
      </c>
      <c r="C56" s="60">
        <v>36.476155800000001</v>
      </c>
      <c r="D56" s="60">
        <v>30.795649699999998</v>
      </c>
    </row>
    <row r="57" spans="1:4" x14ac:dyDescent="0.3">
      <c r="A57" s="1">
        <v>20503</v>
      </c>
      <c r="B57" s="1" t="s">
        <v>79</v>
      </c>
      <c r="C57" s="60">
        <v>37.1001032</v>
      </c>
      <c r="D57" s="60">
        <v>35.36</v>
      </c>
    </row>
    <row r="58" spans="1:4" x14ac:dyDescent="0.3">
      <c r="A58" s="1">
        <v>20601</v>
      </c>
      <c r="B58" s="1" t="s">
        <v>81</v>
      </c>
      <c r="C58" s="60">
        <v>30.518518499999999</v>
      </c>
      <c r="D58" s="60">
        <v>30.0462518</v>
      </c>
    </row>
    <row r="59" spans="1:4" x14ac:dyDescent="0.3">
      <c r="A59" s="1">
        <v>20602</v>
      </c>
      <c r="B59" s="1" t="s">
        <v>82</v>
      </c>
      <c r="C59" s="60">
        <v>40.8032471</v>
      </c>
      <c r="D59" s="60">
        <v>27.0697081</v>
      </c>
    </row>
    <row r="60" spans="1:4" x14ac:dyDescent="0.3">
      <c r="A60" s="1">
        <v>20603</v>
      </c>
      <c r="B60" s="1" t="s">
        <v>83</v>
      </c>
      <c r="C60" s="60">
        <v>31.241610699999999</v>
      </c>
      <c r="D60" s="60">
        <v>26.1560694</v>
      </c>
    </row>
    <row r="61" spans="1:4" x14ac:dyDescent="0.3">
      <c r="A61" s="1">
        <v>20604</v>
      </c>
      <c r="B61" s="1" t="s">
        <v>84</v>
      </c>
      <c r="C61" s="60">
        <v>27.555988300000003</v>
      </c>
      <c r="D61" s="60">
        <v>43.278217099999999</v>
      </c>
    </row>
    <row r="62" spans="1:4" x14ac:dyDescent="0.3">
      <c r="A62" s="1">
        <v>20605</v>
      </c>
      <c r="B62" s="1" t="s">
        <v>85</v>
      </c>
      <c r="C62" s="60">
        <v>43.661971800000003</v>
      </c>
      <c r="D62" s="60">
        <v>27.508771899999999</v>
      </c>
    </row>
    <row r="63" spans="1:4" x14ac:dyDescent="0.3">
      <c r="A63" s="1">
        <v>20606</v>
      </c>
      <c r="B63" s="1" t="s">
        <v>86</v>
      </c>
      <c r="C63" s="60">
        <v>36.794908899999996</v>
      </c>
      <c r="D63" s="60">
        <v>26.703669399999999</v>
      </c>
    </row>
    <row r="64" spans="1:4" x14ac:dyDescent="0.3">
      <c r="A64" s="1">
        <v>20607</v>
      </c>
      <c r="B64" s="1" t="s">
        <v>87</v>
      </c>
      <c r="C64" s="60">
        <v>44.740740799999998</v>
      </c>
      <c r="D64" s="60">
        <v>35.2276022</v>
      </c>
    </row>
    <row r="65" spans="1:4" x14ac:dyDescent="0.3">
      <c r="A65" s="1">
        <v>20608</v>
      </c>
      <c r="B65" s="1" t="s">
        <v>88</v>
      </c>
      <c r="C65" s="60">
        <v>30.6567249</v>
      </c>
      <c r="D65" s="60">
        <v>34.245980000000003</v>
      </c>
    </row>
    <row r="66" spans="1:4" x14ac:dyDescent="0.3">
      <c r="A66" s="1">
        <v>20701</v>
      </c>
      <c r="B66" s="1" t="s">
        <v>90</v>
      </c>
      <c r="C66" s="60">
        <v>51.394594600000005</v>
      </c>
      <c r="D66" s="60">
        <v>37.540558099999998</v>
      </c>
    </row>
    <row r="67" spans="1:4" x14ac:dyDescent="0.3">
      <c r="A67" s="1">
        <v>20702</v>
      </c>
      <c r="B67" s="1" t="s">
        <v>91</v>
      </c>
      <c r="C67" s="60">
        <v>34.708520199999995</v>
      </c>
      <c r="D67" s="60">
        <v>35.853976500000002</v>
      </c>
    </row>
    <row r="68" spans="1:4" x14ac:dyDescent="0.3">
      <c r="A68" s="1">
        <v>20801</v>
      </c>
      <c r="B68" s="1" t="s">
        <v>93</v>
      </c>
      <c r="C68" s="60">
        <v>31.709082600000002</v>
      </c>
      <c r="D68" s="60">
        <v>24.870651600000002</v>
      </c>
    </row>
    <row r="69" spans="1:4" x14ac:dyDescent="0.3">
      <c r="A69" s="1">
        <v>20802</v>
      </c>
      <c r="B69" s="1" t="s">
        <v>94</v>
      </c>
      <c r="C69" s="60">
        <v>23.471256</v>
      </c>
      <c r="D69" s="60">
        <v>24.875776399999999</v>
      </c>
    </row>
    <row r="70" spans="1:4" x14ac:dyDescent="0.3">
      <c r="A70" s="1">
        <v>20803</v>
      </c>
      <c r="B70" s="1" t="s">
        <v>96</v>
      </c>
      <c r="C70" s="60">
        <v>37.033945500000002</v>
      </c>
      <c r="D70" s="60">
        <v>32.903503200000003</v>
      </c>
    </row>
    <row r="71" spans="1:4" x14ac:dyDescent="0.3">
      <c r="A71" s="1">
        <v>20804</v>
      </c>
      <c r="B71" s="1" t="s">
        <v>97</v>
      </c>
      <c r="C71" s="60">
        <v>28.311111099999998</v>
      </c>
      <c r="D71" s="60">
        <v>27.140186999999997</v>
      </c>
    </row>
    <row r="72" spans="1:4" x14ac:dyDescent="0.3">
      <c r="A72" s="1">
        <v>20805</v>
      </c>
      <c r="B72" s="1" t="s">
        <v>98</v>
      </c>
      <c r="C72" s="60">
        <v>28.481806800000001</v>
      </c>
      <c r="D72" s="60">
        <v>32.0166988</v>
      </c>
    </row>
    <row r="73" spans="1:4" x14ac:dyDescent="0.3">
      <c r="A73" s="1">
        <v>20806</v>
      </c>
      <c r="B73" s="1" t="s">
        <v>99</v>
      </c>
      <c r="C73" s="60">
        <v>37.869941600000004</v>
      </c>
      <c r="D73" s="60">
        <v>34.7375574</v>
      </c>
    </row>
    <row r="74" spans="1:4" x14ac:dyDescent="0.3">
      <c r="A74" s="1">
        <v>20807</v>
      </c>
      <c r="B74" s="1" t="s">
        <v>100</v>
      </c>
      <c r="C74" s="60">
        <v>42.990654200000002</v>
      </c>
      <c r="D74" s="60">
        <v>34.426229499999998</v>
      </c>
    </row>
    <row r="75" spans="1:4" x14ac:dyDescent="0.3">
      <c r="A75" s="1">
        <v>20901</v>
      </c>
      <c r="B75" s="1" t="s">
        <v>102</v>
      </c>
      <c r="C75" s="60">
        <v>28.366981800000001</v>
      </c>
      <c r="D75" s="60">
        <v>23.883626499999998</v>
      </c>
    </row>
    <row r="76" spans="1:4" x14ac:dyDescent="0.3">
      <c r="A76" s="1">
        <v>20902</v>
      </c>
      <c r="B76" s="1" t="s">
        <v>103</v>
      </c>
      <c r="C76" s="60">
        <v>27.8762975</v>
      </c>
      <c r="D76" s="60">
        <v>25.700512199999999</v>
      </c>
    </row>
    <row r="77" spans="1:4" x14ac:dyDescent="0.3">
      <c r="A77" s="1">
        <v>20903</v>
      </c>
      <c r="B77" s="1" t="s">
        <v>104</v>
      </c>
      <c r="C77" s="60">
        <v>41.326973100000004</v>
      </c>
      <c r="D77" s="60">
        <v>41.477547000000001</v>
      </c>
    </row>
    <row r="78" spans="1:4" x14ac:dyDescent="0.3">
      <c r="A78" s="1">
        <v>20904</v>
      </c>
      <c r="B78" s="1" t="s">
        <v>105</v>
      </c>
      <c r="C78" s="60">
        <v>55.672609399999999</v>
      </c>
      <c r="D78" s="60">
        <v>42.374789</v>
      </c>
    </row>
    <row r="79" spans="1:4" x14ac:dyDescent="0.3">
      <c r="A79" s="1">
        <v>20905</v>
      </c>
      <c r="B79" s="1" t="s">
        <v>106</v>
      </c>
      <c r="C79" s="60">
        <v>49.739413599999999</v>
      </c>
      <c r="D79" s="60">
        <v>35.077677899999998</v>
      </c>
    </row>
    <row r="80" spans="1:4" x14ac:dyDescent="0.3">
      <c r="A80" s="1">
        <v>21001</v>
      </c>
      <c r="B80" s="1" t="s">
        <v>107</v>
      </c>
      <c r="C80" s="60">
        <v>39.272578699999997</v>
      </c>
      <c r="D80" s="60">
        <v>34.560470299999999</v>
      </c>
    </row>
    <row r="81" spans="1:4" x14ac:dyDescent="0.3">
      <c r="A81" s="1">
        <v>21002</v>
      </c>
      <c r="B81" s="1" t="s">
        <v>108</v>
      </c>
      <c r="C81" s="60">
        <v>25.066430400000002</v>
      </c>
      <c r="D81" s="60">
        <v>27.807848400000001</v>
      </c>
    </row>
    <row r="82" spans="1:4" x14ac:dyDescent="0.3">
      <c r="A82" s="1">
        <v>21003</v>
      </c>
      <c r="B82" s="1" t="s">
        <v>109</v>
      </c>
      <c r="C82" s="60">
        <v>42.464392199999999</v>
      </c>
      <c r="D82" s="60">
        <v>31.795489699999997</v>
      </c>
    </row>
    <row r="83" spans="1:4" x14ac:dyDescent="0.3">
      <c r="A83" s="1">
        <v>21004</v>
      </c>
      <c r="B83" s="1" t="s">
        <v>110</v>
      </c>
      <c r="C83" s="60">
        <v>46.5523156</v>
      </c>
      <c r="D83" s="60">
        <v>39.720457400000001</v>
      </c>
    </row>
    <row r="84" spans="1:4" x14ac:dyDescent="0.3">
      <c r="A84" s="1">
        <v>21005</v>
      </c>
      <c r="B84" s="1" t="s">
        <v>111</v>
      </c>
      <c r="C84" s="60">
        <v>66.076696200000001</v>
      </c>
      <c r="D84" s="60">
        <v>42.257597699999998</v>
      </c>
    </row>
    <row r="85" spans="1:4" x14ac:dyDescent="0.3">
      <c r="A85" s="1">
        <v>21006</v>
      </c>
      <c r="B85" s="1" t="s">
        <v>112</v>
      </c>
      <c r="C85" s="60">
        <v>69.441723800000005</v>
      </c>
      <c r="D85" s="60">
        <v>54.142169899999999</v>
      </c>
    </row>
    <row r="86" spans="1:4" x14ac:dyDescent="0.3">
      <c r="A86" s="1">
        <v>21101</v>
      </c>
      <c r="B86" s="1" t="s">
        <v>114</v>
      </c>
      <c r="C86" s="60">
        <v>34.035203100000004</v>
      </c>
      <c r="D86" s="60">
        <v>26.531743900000002</v>
      </c>
    </row>
    <row r="87" spans="1:4" x14ac:dyDescent="0.3">
      <c r="A87" s="1">
        <v>21102</v>
      </c>
      <c r="B87" s="1" t="s">
        <v>116</v>
      </c>
      <c r="C87" s="60">
        <v>29.8353593</v>
      </c>
      <c r="D87" s="60">
        <v>28.09262</v>
      </c>
    </row>
    <row r="88" spans="1:4" x14ac:dyDescent="0.3">
      <c r="A88" s="1">
        <v>21103</v>
      </c>
      <c r="B88" s="1" t="s">
        <v>118</v>
      </c>
      <c r="C88" s="60">
        <v>33.838821499999995</v>
      </c>
      <c r="D88" s="60">
        <v>28.7525017</v>
      </c>
    </row>
    <row r="89" spans="1:4" x14ac:dyDescent="0.3">
      <c r="A89" s="1">
        <v>21104</v>
      </c>
      <c r="B89" s="1" t="s">
        <v>119</v>
      </c>
      <c r="C89" s="60">
        <v>29.666882900000001</v>
      </c>
      <c r="D89" s="60">
        <v>24.840928599999998</v>
      </c>
    </row>
    <row r="90" spans="1:4" x14ac:dyDescent="0.3">
      <c r="A90" s="1">
        <v>21105</v>
      </c>
      <c r="B90" s="1" t="s">
        <v>120</v>
      </c>
      <c r="C90" s="60">
        <v>40.357823699999997</v>
      </c>
      <c r="D90" s="60">
        <v>30.353645299999997</v>
      </c>
    </row>
    <row r="91" spans="1:4" x14ac:dyDescent="0.3">
      <c r="A91" s="1">
        <v>21201</v>
      </c>
      <c r="B91" s="1" t="s">
        <v>122</v>
      </c>
      <c r="C91" s="60">
        <v>28.4506789</v>
      </c>
      <c r="D91" s="60">
        <v>26.515681100000002</v>
      </c>
    </row>
    <row r="92" spans="1:4" x14ac:dyDescent="0.3">
      <c r="A92" s="1">
        <v>21202</v>
      </c>
      <c r="B92" s="1" t="s">
        <v>123</v>
      </c>
      <c r="C92" s="60">
        <v>40.291199599999999</v>
      </c>
      <c r="D92" s="60">
        <v>34.878425100000001</v>
      </c>
    </row>
    <row r="93" spans="1:4" x14ac:dyDescent="0.3">
      <c r="A93" s="1">
        <v>21203</v>
      </c>
      <c r="B93" s="1" t="s">
        <v>124</v>
      </c>
      <c r="C93" s="60">
        <v>29.858132699999999</v>
      </c>
      <c r="D93" s="60">
        <v>24.3325885</v>
      </c>
    </row>
    <row r="94" spans="1:4" x14ac:dyDescent="0.3">
      <c r="A94" s="1">
        <v>21204</v>
      </c>
      <c r="B94" s="1" t="s">
        <v>125</v>
      </c>
      <c r="C94" s="60">
        <v>30.110732599999999</v>
      </c>
      <c r="D94" s="60">
        <v>27.289836900000001</v>
      </c>
    </row>
    <row r="95" spans="1:4" x14ac:dyDescent="0.3">
      <c r="A95" s="1">
        <v>21301</v>
      </c>
      <c r="B95" s="1" t="s">
        <v>480</v>
      </c>
      <c r="C95" s="60">
        <v>44.246284500000002</v>
      </c>
      <c r="D95" s="60">
        <v>34.133206600000001</v>
      </c>
    </row>
    <row r="96" spans="1:4" x14ac:dyDescent="0.3">
      <c r="A96" s="1">
        <v>21302</v>
      </c>
      <c r="B96" s="1" t="s">
        <v>128</v>
      </c>
      <c r="C96" s="60">
        <v>32.533087100000003</v>
      </c>
      <c r="D96" s="60">
        <v>26.8808978</v>
      </c>
    </row>
    <row r="97" spans="1:4" x14ac:dyDescent="0.3">
      <c r="A97" s="1">
        <v>21303</v>
      </c>
      <c r="B97" s="1" t="s">
        <v>129</v>
      </c>
      <c r="C97" s="60">
        <v>30.6411619</v>
      </c>
      <c r="D97" s="60">
        <v>30.934501499999996</v>
      </c>
    </row>
    <row r="98" spans="1:4" x14ac:dyDescent="0.3">
      <c r="A98" s="1">
        <v>21304</v>
      </c>
      <c r="B98" s="1" t="s">
        <v>130</v>
      </c>
      <c r="C98" s="60">
        <v>37.784165100000003</v>
      </c>
      <c r="D98" s="60">
        <v>34.827144699999998</v>
      </c>
    </row>
    <row r="99" spans="1:4" x14ac:dyDescent="0.3">
      <c r="A99" s="1">
        <v>21305</v>
      </c>
      <c r="B99" s="1" t="s">
        <v>131</v>
      </c>
      <c r="C99" s="60">
        <v>33.239962599999998</v>
      </c>
      <c r="D99" s="60">
        <v>28.5225206</v>
      </c>
    </row>
    <row r="100" spans="1:4" x14ac:dyDescent="0.3">
      <c r="A100" s="1">
        <v>21306</v>
      </c>
      <c r="B100" s="1" t="s">
        <v>132</v>
      </c>
      <c r="C100" s="60">
        <v>35.59375</v>
      </c>
      <c r="D100" s="60">
        <v>33.058035700000005</v>
      </c>
    </row>
    <row r="101" spans="1:4" x14ac:dyDescent="0.3">
      <c r="A101" s="1">
        <v>21307</v>
      </c>
      <c r="B101" s="1" t="s">
        <v>133</v>
      </c>
      <c r="C101" s="60">
        <v>47.248427699999993</v>
      </c>
      <c r="D101" s="60">
        <v>40.169388999999995</v>
      </c>
    </row>
    <row r="102" spans="1:4" x14ac:dyDescent="0.3">
      <c r="A102" s="1">
        <v>21401</v>
      </c>
      <c r="B102" s="1" t="s">
        <v>135</v>
      </c>
      <c r="C102" s="60">
        <v>31.589479699999998</v>
      </c>
      <c r="D102" s="60">
        <v>30.377794900000001</v>
      </c>
    </row>
    <row r="103" spans="1:4" x14ac:dyDescent="0.3">
      <c r="A103" s="1">
        <v>21402</v>
      </c>
      <c r="B103" s="1" t="s">
        <v>136</v>
      </c>
      <c r="C103" s="60">
        <v>38.327137499999999</v>
      </c>
      <c r="D103" s="60">
        <v>26.6015932</v>
      </c>
    </row>
    <row r="104" spans="1:4" x14ac:dyDescent="0.3">
      <c r="A104" s="1">
        <v>21501</v>
      </c>
      <c r="B104" s="1" t="s">
        <v>138</v>
      </c>
      <c r="C104" s="60">
        <v>46.740088099999994</v>
      </c>
      <c r="D104" s="60">
        <v>40.108892999999995</v>
      </c>
    </row>
    <row r="105" spans="1:4" x14ac:dyDescent="0.3">
      <c r="A105" s="1">
        <v>21502</v>
      </c>
      <c r="B105" s="1" t="s">
        <v>139</v>
      </c>
      <c r="C105" s="60">
        <v>51.720698299999995</v>
      </c>
      <c r="D105" s="60">
        <v>37.4517375</v>
      </c>
    </row>
    <row r="106" spans="1:4" x14ac:dyDescent="0.3">
      <c r="A106" s="1">
        <v>21601</v>
      </c>
      <c r="B106" s="1" t="s">
        <v>481</v>
      </c>
      <c r="C106" s="60">
        <v>52.112676100000002</v>
      </c>
      <c r="D106" s="60">
        <v>42.273994399999999</v>
      </c>
    </row>
    <row r="107" spans="1:4" x14ac:dyDescent="0.3">
      <c r="A107" s="1">
        <v>21602</v>
      </c>
      <c r="B107" s="1" t="s">
        <v>142</v>
      </c>
      <c r="C107" s="60">
        <v>48.879837100000003</v>
      </c>
      <c r="D107" s="60">
        <v>55.615941999999997</v>
      </c>
    </row>
    <row r="108" spans="1:4" x14ac:dyDescent="0.3">
      <c r="A108" s="1">
        <v>21701</v>
      </c>
      <c r="B108" s="1" t="s">
        <v>144</v>
      </c>
      <c r="C108" s="60">
        <v>25.5248834</v>
      </c>
      <c r="D108" s="60">
        <v>24.292210600000001</v>
      </c>
    </row>
    <row r="109" spans="1:4" x14ac:dyDescent="0.3">
      <c r="A109" s="1">
        <v>21702</v>
      </c>
      <c r="B109" s="1" t="s">
        <v>145</v>
      </c>
      <c r="C109" s="60">
        <v>20.024321100000002</v>
      </c>
      <c r="D109" s="60">
        <v>21.399063699999999</v>
      </c>
    </row>
    <row r="110" spans="1:4" x14ac:dyDescent="0.3">
      <c r="A110" s="1">
        <v>21703</v>
      </c>
      <c r="B110" s="1" t="s">
        <v>146</v>
      </c>
      <c r="C110" s="60">
        <v>59.305019299999998</v>
      </c>
      <c r="D110" s="60">
        <v>60.854816900000003</v>
      </c>
    </row>
    <row r="111" spans="1:4" x14ac:dyDescent="0.3">
      <c r="A111" s="1">
        <v>21801</v>
      </c>
      <c r="B111" s="1" t="s">
        <v>148</v>
      </c>
      <c r="C111" s="60">
        <v>42.680339500000002</v>
      </c>
      <c r="D111" s="60">
        <v>36.940298499999997</v>
      </c>
    </row>
    <row r="112" spans="1:4" x14ac:dyDescent="0.3">
      <c r="A112" s="1">
        <v>21802</v>
      </c>
      <c r="B112" s="1" t="s">
        <v>150</v>
      </c>
      <c r="C112" s="60">
        <v>39.2342528</v>
      </c>
      <c r="D112" s="60">
        <v>32.686980599999998</v>
      </c>
    </row>
    <row r="113" spans="1:4" x14ac:dyDescent="0.3">
      <c r="A113" s="1">
        <v>21803</v>
      </c>
      <c r="B113" s="1" t="s">
        <v>151</v>
      </c>
      <c r="C113" s="60">
        <v>34.200260100000001</v>
      </c>
      <c r="D113" s="60">
        <v>32.009080599999997</v>
      </c>
    </row>
    <row r="114" spans="1:4" x14ac:dyDescent="0.3">
      <c r="A114" s="1">
        <v>21901</v>
      </c>
      <c r="B114" s="1" t="s">
        <v>153</v>
      </c>
      <c r="C114" s="60">
        <v>31.693989100000003</v>
      </c>
      <c r="D114" s="60">
        <v>30.175913399999999</v>
      </c>
    </row>
    <row r="115" spans="1:4" x14ac:dyDescent="0.3">
      <c r="A115" s="1">
        <v>21902</v>
      </c>
      <c r="B115" s="1" t="s">
        <v>154</v>
      </c>
      <c r="C115" s="60">
        <v>63.994565199999997</v>
      </c>
      <c r="D115" s="60">
        <v>53.215339200000003</v>
      </c>
    </row>
    <row r="116" spans="1:4" x14ac:dyDescent="0.3">
      <c r="A116" s="1">
        <v>22001</v>
      </c>
      <c r="B116" s="1" t="s">
        <v>155</v>
      </c>
      <c r="C116" s="60">
        <v>36.090711499999998</v>
      </c>
      <c r="D116" s="60">
        <v>33.532564800000003</v>
      </c>
    </row>
    <row r="117" spans="1:4" x14ac:dyDescent="0.3">
      <c r="A117" s="1">
        <v>22002</v>
      </c>
      <c r="B117" s="1" t="s">
        <v>156</v>
      </c>
      <c r="C117" s="60">
        <v>32.494061700000003</v>
      </c>
      <c r="D117" s="60">
        <v>29.948786500000001</v>
      </c>
    </row>
    <row r="118" spans="1:4" x14ac:dyDescent="0.3">
      <c r="A118" s="1">
        <v>30101</v>
      </c>
      <c r="B118" s="1" t="s">
        <v>157</v>
      </c>
      <c r="C118" s="60">
        <v>27.540366300000002</v>
      </c>
      <c r="D118" s="60">
        <v>18.7230594</v>
      </c>
    </row>
    <row r="119" spans="1:4" x14ac:dyDescent="0.3">
      <c r="A119" s="1">
        <v>30201</v>
      </c>
      <c r="B119" s="1" t="s">
        <v>160</v>
      </c>
      <c r="C119" s="60">
        <v>40.883212799999995</v>
      </c>
      <c r="D119" s="60">
        <v>30.5910431</v>
      </c>
    </row>
    <row r="120" spans="1:4" x14ac:dyDescent="0.3">
      <c r="A120" s="1">
        <v>30202</v>
      </c>
      <c r="B120" s="1" t="s">
        <v>161</v>
      </c>
      <c r="C120" s="60">
        <v>51.724137900000002</v>
      </c>
      <c r="D120" s="60">
        <v>37.649743299999997</v>
      </c>
    </row>
    <row r="121" spans="1:4" x14ac:dyDescent="0.3">
      <c r="A121" s="1">
        <v>30203</v>
      </c>
      <c r="B121" s="1" t="s">
        <v>162</v>
      </c>
      <c r="C121" s="60">
        <v>46.304044699999999</v>
      </c>
      <c r="D121" s="60">
        <v>36.7708333</v>
      </c>
    </row>
    <row r="122" spans="1:4" x14ac:dyDescent="0.3">
      <c r="A122" s="1">
        <v>30301</v>
      </c>
      <c r="B122" s="1" t="s">
        <v>163</v>
      </c>
      <c r="C122" s="60">
        <v>42.602422799999999</v>
      </c>
      <c r="D122" s="60">
        <v>33.511016300000001</v>
      </c>
    </row>
    <row r="123" spans="1:4" x14ac:dyDescent="0.3">
      <c r="A123" s="1">
        <v>30302</v>
      </c>
      <c r="B123" s="1" t="s">
        <v>165</v>
      </c>
      <c r="C123" s="60">
        <v>39.278455299999997</v>
      </c>
      <c r="D123" s="60">
        <v>36.6463295</v>
      </c>
    </row>
    <row r="124" spans="1:4" x14ac:dyDescent="0.3">
      <c r="A124" s="1">
        <v>30303</v>
      </c>
      <c r="B124" s="1" t="s">
        <v>166</v>
      </c>
      <c r="C124" s="60">
        <v>48.8211382</v>
      </c>
      <c r="D124" s="60">
        <v>35.467980300000001</v>
      </c>
    </row>
    <row r="125" spans="1:4" x14ac:dyDescent="0.3">
      <c r="A125" s="1">
        <v>30401</v>
      </c>
      <c r="B125" s="1" t="s">
        <v>168</v>
      </c>
      <c r="C125" s="60">
        <v>23.8719629</v>
      </c>
      <c r="D125" s="60">
        <v>21.439205999999999</v>
      </c>
    </row>
    <row r="126" spans="1:4" x14ac:dyDescent="0.3">
      <c r="A126" s="1">
        <v>30402</v>
      </c>
      <c r="B126" s="1" t="s">
        <v>169</v>
      </c>
      <c r="C126" s="60">
        <v>27.048558399999997</v>
      </c>
      <c r="D126" s="60">
        <v>22.367638299999999</v>
      </c>
    </row>
    <row r="127" spans="1:4" x14ac:dyDescent="0.3">
      <c r="A127" s="1">
        <v>30403</v>
      </c>
      <c r="B127" s="1" t="s">
        <v>171</v>
      </c>
      <c r="C127" s="60">
        <v>29.3383948</v>
      </c>
      <c r="D127" s="60">
        <v>31.001106200000002</v>
      </c>
    </row>
    <row r="128" spans="1:4" x14ac:dyDescent="0.3">
      <c r="A128" s="1">
        <v>30404</v>
      </c>
      <c r="B128" s="1" t="s">
        <v>172</v>
      </c>
      <c r="C128" s="60">
        <v>30.821452800000003</v>
      </c>
      <c r="D128" s="60">
        <v>30.549568999999998</v>
      </c>
    </row>
    <row r="129" spans="1:4" x14ac:dyDescent="0.3">
      <c r="A129" s="1">
        <v>30501</v>
      </c>
      <c r="B129" s="1" t="s">
        <v>173</v>
      </c>
      <c r="C129" s="60">
        <v>23.4096692</v>
      </c>
      <c r="D129" s="60">
        <v>20.278236200000002</v>
      </c>
    </row>
    <row r="130" spans="1:4" x14ac:dyDescent="0.3">
      <c r="A130" s="1">
        <v>30502</v>
      </c>
      <c r="B130" s="1" t="s">
        <v>174</v>
      </c>
      <c r="C130" s="60">
        <v>24.547158099999997</v>
      </c>
      <c r="D130" s="60">
        <v>18.885191299999999</v>
      </c>
    </row>
    <row r="131" spans="1:4" x14ac:dyDescent="0.3">
      <c r="A131" s="1">
        <v>30601</v>
      </c>
      <c r="B131" s="1" t="s">
        <v>175</v>
      </c>
      <c r="C131" s="60">
        <v>39.963669400000001</v>
      </c>
      <c r="D131" s="60">
        <v>35.282051299999999</v>
      </c>
    </row>
    <row r="132" spans="1:4" x14ac:dyDescent="0.3">
      <c r="A132" s="1">
        <v>30602</v>
      </c>
      <c r="B132" s="1" t="s">
        <v>177</v>
      </c>
      <c r="C132" s="60">
        <v>36.8294876</v>
      </c>
      <c r="D132" s="60">
        <v>30.7619498</v>
      </c>
    </row>
    <row r="133" spans="1:4" x14ac:dyDescent="0.3">
      <c r="A133" s="1">
        <v>30701</v>
      </c>
      <c r="B133" s="1" t="s">
        <v>178</v>
      </c>
      <c r="C133" s="60">
        <v>31.393387300000001</v>
      </c>
      <c r="D133" s="60">
        <v>20.240308900000002</v>
      </c>
    </row>
    <row r="134" spans="1:4" x14ac:dyDescent="0.3">
      <c r="A134" s="1">
        <v>30702</v>
      </c>
      <c r="B134" s="1" t="s">
        <v>482</v>
      </c>
      <c r="C134" s="60">
        <v>20.141489800000002</v>
      </c>
      <c r="D134" s="60">
        <v>21.376329800000001</v>
      </c>
    </row>
    <row r="135" spans="1:4" x14ac:dyDescent="0.3">
      <c r="A135" s="1">
        <v>30703</v>
      </c>
      <c r="B135" s="1" t="s">
        <v>180</v>
      </c>
      <c r="C135" s="60">
        <v>45.429362900000001</v>
      </c>
      <c r="D135" s="60">
        <v>34.192570099999998</v>
      </c>
    </row>
    <row r="136" spans="1:4" x14ac:dyDescent="0.3">
      <c r="A136" s="1">
        <v>30801</v>
      </c>
      <c r="B136" s="1" t="s">
        <v>182</v>
      </c>
      <c r="C136" s="60">
        <v>28.204698</v>
      </c>
      <c r="D136" s="60">
        <v>21.820763700000001</v>
      </c>
    </row>
    <row r="137" spans="1:4" x14ac:dyDescent="0.3">
      <c r="A137" s="1">
        <v>30802</v>
      </c>
      <c r="B137" s="1" t="s">
        <v>183</v>
      </c>
      <c r="C137" s="60">
        <v>26.734594900000001</v>
      </c>
      <c r="D137" s="60">
        <v>25.505443200000002</v>
      </c>
    </row>
    <row r="138" spans="1:4" x14ac:dyDescent="0.3">
      <c r="A138" s="1">
        <v>30803</v>
      </c>
      <c r="B138" s="1" t="s">
        <v>184</v>
      </c>
      <c r="C138" s="60">
        <v>27.414966</v>
      </c>
      <c r="D138" s="60">
        <v>27.543720199999999</v>
      </c>
    </row>
    <row r="139" spans="1:4" x14ac:dyDescent="0.3">
      <c r="A139" s="1">
        <v>30901</v>
      </c>
      <c r="B139" s="1" t="s">
        <v>185</v>
      </c>
      <c r="C139" s="60">
        <v>33.466922699999998</v>
      </c>
      <c r="D139" s="60">
        <v>23.050171900000002</v>
      </c>
    </row>
    <row r="140" spans="1:4" x14ac:dyDescent="0.3">
      <c r="A140" s="1">
        <v>30902</v>
      </c>
      <c r="B140" s="1" t="s">
        <v>186</v>
      </c>
      <c r="C140" s="60">
        <v>37.395501100000004</v>
      </c>
      <c r="D140" s="60">
        <v>27.305879699999998</v>
      </c>
    </row>
    <row r="141" spans="1:4" x14ac:dyDescent="0.3">
      <c r="A141" s="1">
        <v>30903</v>
      </c>
      <c r="B141" s="1" t="s">
        <v>187</v>
      </c>
      <c r="C141" s="60">
        <v>33.874576000000005</v>
      </c>
      <c r="D141" s="60">
        <v>21.352888700000001</v>
      </c>
    </row>
    <row r="142" spans="1:4" x14ac:dyDescent="0.3">
      <c r="A142" s="1">
        <v>30904</v>
      </c>
      <c r="B142" s="1" t="s">
        <v>188</v>
      </c>
      <c r="C142" s="60">
        <v>36.291224200000002</v>
      </c>
      <c r="D142" s="60">
        <v>25.243287600000002</v>
      </c>
    </row>
    <row r="143" spans="1:4" x14ac:dyDescent="0.3">
      <c r="A143" s="1">
        <v>30905</v>
      </c>
      <c r="B143" s="1" t="s">
        <v>189</v>
      </c>
      <c r="C143" s="60">
        <v>30.457303499999998</v>
      </c>
      <c r="D143" s="60">
        <v>19.900990100000001</v>
      </c>
    </row>
    <row r="144" spans="1:4" x14ac:dyDescent="0.3">
      <c r="A144" s="1">
        <v>31001</v>
      </c>
      <c r="B144" s="1" t="s">
        <v>191</v>
      </c>
      <c r="C144" s="60">
        <v>29.588101600000002</v>
      </c>
      <c r="D144" s="60">
        <v>21.443307900000001</v>
      </c>
    </row>
    <row r="145" spans="1:4" x14ac:dyDescent="0.3">
      <c r="A145" s="1">
        <v>31002</v>
      </c>
      <c r="B145" s="1" t="s">
        <v>192</v>
      </c>
      <c r="C145" s="60">
        <v>35.968116899999998</v>
      </c>
      <c r="D145" s="60">
        <v>28.4116331</v>
      </c>
    </row>
    <row r="146" spans="1:4" x14ac:dyDescent="0.3">
      <c r="A146" s="1">
        <v>31003</v>
      </c>
      <c r="B146" s="1" t="s">
        <v>193</v>
      </c>
      <c r="C146" s="60">
        <v>33.317118800000003</v>
      </c>
      <c r="D146" s="60">
        <v>28.640556799999999</v>
      </c>
    </row>
    <row r="147" spans="1:4" x14ac:dyDescent="0.3">
      <c r="A147" s="1">
        <v>31101</v>
      </c>
      <c r="B147" s="1" t="s">
        <v>194</v>
      </c>
      <c r="C147" s="60">
        <v>41.439664800000003</v>
      </c>
      <c r="D147" s="60">
        <v>35.360033199999997</v>
      </c>
    </row>
    <row r="148" spans="1:4" x14ac:dyDescent="0.3">
      <c r="A148" s="1">
        <v>31201</v>
      </c>
      <c r="B148" s="1" t="s">
        <v>196</v>
      </c>
      <c r="C148" s="60">
        <v>39.543243799999999</v>
      </c>
      <c r="D148" s="60">
        <v>33.208746099999999</v>
      </c>
    </row>
    <row r="149" spans="1:4" x14ac:dyDescent="0.3">
      <c r="A149" s="1">
        <v>31202</v>
      </c>
      <c r="B149" s="1" t="s">
        <v>197</v>
      </c>
      <c r="C149" s="60">
        <v>44.7552448</v>
      </c>
      <c r="D149" s="60">
        <v>39.298245600000001</v>
      </c>
    </row>
    <row r="150" spans="1:4" x14ac:dyDescent="0.3">
      <c r="A150" s="1">
        <v>31203</v>
      </c>
      <c r="B150" s="1" t="s">
        <v>198</v>
      </c>
      <c r="C150" s="60">
        <v>33.690745</v>
      </c>
      <c r="D150" s="60">
        <v>26.663919200000002</v>
      </c>
    </row>
    <row r="151" spans="1:4" x14ac:dyDescent="0.3">
      <c r="A151" s="1">
        <v>31204</v>
      </c>
      <c r="B151" s="1" t="s">
        <v>199</v>
      </c>
      <c r="C151" s="60">
        <v>33.677543700000001</v>
      </c>
      <c r="D151" s="60">
        <v>29.591740099999999</v>
      </c>
    </row>
    <row r="152" spans="1:4" x14ac:dyDescent="0.3">
      <c r="A152" s="1">
        <v>31205</v>
      </c>
      <c r="B152" s="1" t="s">
        <v>200</v>
      </c>
      <c r="C152" s="60">
        <v>33.349064999999996</v>
      </c>
      <c r="D152" s="60">
        <v>30.929128900000002</v>
      </c>
    </row>
    <row r="153" spans="1:4" x14ac:dyDescent="0.3">
      <c r="A153" s="1">
        <v>31206</v>
      </c>
      <c r="B153" s="1" t="s">
        <v>201</v>
      </c>
      <c r="C153" s="60">
        <v>25.899799600000001</v>
      </c>
      <c r="D153" s="60">
        <v>27.868852400000002</v>
      </c>
    </row>
    <row r="154" spans="1:4" x14ac:dyDescent="0.3">
      <c r="A154" s="1">
        <v>31301</v>
      </c>
      <c r="B154" s="1" t="s">
        <v>202</v>
      </c>
      <c r="C154" s="60">
        <v>38.581081099999999</v>
      </c>
      <c r="D154" s="60">
        <v>27.155109700000001</v>
      </c>
    </row>
    <row r="155" spans="1:4" x14ac:dyDescent="0.3">
      <c r="A155" s="1">
        <v>31302</v>
      </c>
      <c r="B155" s="1" t="s">
        <v>203</v>
      </c>
      <c r="C155" s="60">
        <v>45.259740299999997</v>
      </c>
      <c r="D155" s="60">
        <v>35.083020900000001</v>
      </c>
    </row>
    <row r="156" spans="1:4" x14ac:dyDescent="0.3">
      <c r="A156" s="1">
        <v>31303</v>
      </c>
      <c r="B156" s="1" t="s">
        <v>204</v>
      </c>
      <c r="C156" s="60">
        <v>38.680926900000003</v>
      </c>
      <c r="D156" s="60">
        <v>32.707355299999996</v>
      </c>
    </row>
    <row r="157" spans="1:4" x14ac:dyDescent="0.3">
      <c r="A157" s="1">
        <v>31304</v>
      </c>
      <c r="B157" s="1" t="s">
        <v>205</v>
      </c>
      <c r="C157" s="60">
        <v>49.874434899999997</v>
      </c>
      <c r="D157" s="60">
        <v>39.712556800000002</v>
      </c>
    </row>
    <row r="158" spans="1:4" x14ac:dyDescent="0.3">
      <c r="A158" s="1">
        <v>31401</v>
      </c>
      <c r="B158" s="1" t="s">
        <v>207</v>
      </c>
      <c r="C158" s="60">
        <v>22.996357</v>
      </c>
      <c r="D158" s="60">
        <v>21.028450200000002</v>
      </c>
    </row>
    <row r="159" spans="1:4" x14ac:dyDescent="0.3">
      <c r="A159" s="1">
        <v>31402</v>
      </c>
      <c r="B159" s="1" t="s">
        <v>209</v>
      </c>
      <c r="C159" s="60">
        <v>23.7343853</v>
      </c>
      <c r="D159" s="60">
        <v>21.6738198</v>
      </c>
    </row>
    <row r="160" spans="1:4" x14ac:dyDescent="0.3">
      <c r="A160" s="1">
        <v>31403</v>
      </c>
      <c r="B160" s="1" t="s">
        <v>210</v>
      </c>
      <c r="C160" s="60">
        <v>26.936799200000003</v>
      </c>
      <c r="D160" s="60">
        <v>19.158770500000003</v>
      </c>
    </row>
    <row r="161" spans="1:4" x14ac:dyDescent="0.3">
      <c r="A161" s="1">
        <v>31404</v>
      </c>
      <c r="B161" s="1" t="s">
        <v>212</v>
      </c>
      <c r="C161" s="60">
        <v>32.033426200000001</v>
      </c>
      <c r="D161" s="60">
        <v>19.587628899999999</v>
      </c>
    </row>
    <row r="162" spans="1:4" x14ac:dyDescent="0.3">
      <c r="A162" s="1">
        <v>31405</v>
      </c>
      <c r="B162" s="1" t="s">
        <v>213</v>
      </c>
      <c r="C162" s="60">
        <v>44.6504993</v>
      </c>
      <c r="D162" s="60">
        <v>32.828760700000004</v>
      </c>
    </row>
    <row r="163" spans="1:4" x14ac:dyDescent="0.3">
      <c r="A163" s="1">
        <v>31501</v>
      </c>
      <c r="B163" s="1" t="s">
        <v>483</v>
      </c>
      <c r="C163" s="60">
        <v>39.2223161</v>
      </c>
      <c r="D163" s="60">
        <v>33.540953000000002</v>
      </c>
    </row>
    <row r="164" spans="1:4" x14ac:dyDescent="0.3">
      <c r="A164" s="1">
        <v>31601</v>
      </c>
      <c r="B164" s="1" t="s">
        <v>215</v>
      </c>
      <c r="C164" s="60">
        <v>34.5135468</v>
      </c>
      <c r="D164" s="60">
        <v>24.318658300000003</v>
      </c>
    </row>
    <row r="165" spans="1:4" x14ac:dyDescent="0.3">
      <c r="A165" s="1">
        <v>31602</v>
      </c>
      <c r="B165" s="1" t="s">
        <v>216</v>
      </c>
      <c r="C165" s="60">
        <v>31.993167700000001</v>
      </c>
      <c r="D165" s="60">
        <v>28.348192900000001</v>
      </c>
    </row>
    <row r="166" spans="1:4" x14ac:dyDescent="0.3">
      <c r="A166" s="1">
        <v>40101</v>
      </c>
      <c r="B166" s="1" t="s">
        <v>217</v>
      </c>
      <c r="C166" s="60">
        <v>33.564464900000004</v>
      </c>
      <c r="D166" s="60">
        <v>23.590607900000002</v>
      </c>
    </row>
    <row r="167" spans="1:4" x14ac:dyDescent="0.3">
      <c r="A167" s="1">
        <v>40102</v>
      </c>
      <c r="B167" s="1" t="s">
        <v>218</v>
      </c>
      <c r="C167" s="60">
        <v>46.442451399999996</v>
      </c>
      <c r="D167" s="60">
        <v>36.515303500000002</v>
      </c>
    </row>
    <row r="168" spans="1:4" x14ac:dyDescent="0.3">
      <c r="A168" s="1">
        <v>40103</v>
      </c>
      <c r="B168" s="1" t="s">
        <v>219</v>
      </c>
      <c r="C168" s="60">
        <v>39.711744899999999</v>
      </c>
      <c r="D168" s="60">
        <v>47.580645199999999</v>
      </c>
    </row>
    <row r="169" spans="1:4" x14ac:dyDescent="0.3">
      <c r="A169" s="1">
        <v>40104</v>
      </c>
      <c r="B169" s="1" t="s">
        <v>220</v>
      </c>
      <c r="C169" s="60">
        <v>49.190751399999996</v>
      </c>
      <c r="D169" s="60">
        <v>38.012445100000001</v>
      </c>
    </row>
    <row r="170" spans="1:4" x14ac:dyDescent="0.3">
      <c r="A170" s="1">
        <v>40201</v>
      </c>
      <c r="B170" s="1" t="s">
        <v>223</v>
      </c>
      <c r="C170" s="60">
        <v>33.2624329</v>
      </c>
      <c r="D170" s="60">
        <v>33.183194299999997</v>
      </c>
    </row>
    <row r="171" spans="1:4" x14ac:dyDescent="0.3">
      <c r="A171" s="1">
        <v>40202</v>
      </c>
      <c r="B171" s="1" t="s">
        <v>224</v>
      </c>
      <c r="C171" s="60">
        <v>32.540193000000002</v>
      </c>
      <c r="D171" s="60">
        <v>31.3843508</v>
      </c>
    </row>
    <row r="172" spans="1:4" x14ac:dyDescent="0.3">
      <c r="A172" s="1">
        <v>40301</v>
      </c>
      <c r="B172" s="1" t="s">
        <v>226</v>
      </c>
      <c r="C172" s="60">
        <v>35.435056699999997</v>
      </c>
      <c r="D172" s="60">
        <v>52.517677400000004</v>
      </c>
    </row>
    <row r="173" spans="1:4" x14ac:dyDescent="0.3">
      <c r="A173" s="1">
        <v>40302</v>
      </c>
      <c r="B173" s="1" t="s">
        <v>227</v>
      </c>
      <c r="C173" s="60">
        <v>53.488372100000007</v>
      </c>
      <c r="D173" s="60">
        <v>55.439642299999996</v>
      </c>
    </row>
    <row r="174" spans="1:4" x14ac:dyDescent="0.3">
      <c r="A174" s="1">
        <v>40401</v>
      </c>
      <c r="B174" s="1" t="s">
        <v>229</v>
      </c>
      <c r="C174" s="60">
        <v>34.317343100000002</v>
      </c>
      <c r="D174" s="60">
        <v>44.287871199999998</v>
      </c>
    </row>
    <row r="175" spans="1:4" x14ac:dyDescent="0.3">
      <c r="A175" s="1">
        <v>40402</v>
      </c>
      <c r="B175" s="1" t="s">
        <v>230</v>
      </c>
      <c r="C175" s="60">
        <v>47.814909999999998</v>
      </c>
      <c r="D175" s="60">
        <v>45.511363700000004</v>
      </c>
    </row>
    <row r="176" spans="1:4" x14ac:dyDescent="0.3">
      <c r="A176" s="1">
        <v>40501</v>
      </c>
      <c r="B176" s="1" t="s">
        <v>232</v>
      </c>
      <c r="C176" s="60">
        <v>12.607449799999999</v>
      </c>
      <c r="D176" s="60">
        <v>38.255033600000004</v>
      </c>
    </row>
    <row r="177" spans="1:4" x14ac:dyDescent="0.3">
      <c r="A177" s="1">
        <v>40502</v>
      </c>
      <c r="B177" s="1" t="s">
        <v>233</v>
      </c>
      <c r="C177" s="60">
        <v>63.955637699999997</v>
      </c>
      <c r="D177" s="60">
        <v>57.251184799999997</v>
      </c>
    </row>
    <row r="178" spans="1:4" x14ac:dyDescent="0.3">
      <c r="A178" s="1">
        <v>40503</v>
      </c>
      <c r="B178" s="1" t="s">
        <v>234</v>
      </c>
      <c r="C178" s="60">
        <v>59.589041100000003</v>
      </c>
      <c r="D178" s="60">
        <v>56.534090899999995</v>
      </c>
    </row>
    <row r="179" spans="1:4" x14ac:dyDescent="0.3">
      <c r="A179" s="1">
        <v>40504</v>
      </c>
      <c r="B179" s="1" t="s">
        <v>235</v>
      </c>
      <c r="C179" s="60">
        <v>52.662721900000008</v>
      </c>
      <c r="D179" s="60">
        <v>59.5375722</v>
      </c>
    </row>
    <row r="180" spans="1:4" x14ac:dyDescent="0.3">
      <c r="A180" s="1">
        <v>40505</v>
      </c>
      <c r="B180" s="1" t="s">
        <v>236</v>
      </c>
      <c r="C180" s="60">
        <v>59.248956900000003</v>
      </c>
      <c r="D180" s="60">
        <v>67.697594499999994</v>
      </c>
    </row>
    <row r="181" spans="1:4" x14ac:dyDescent="0.3">
      <c r="A181" s="1">
        <v>40601</v>
      </c>
      <c r="B181" s="1" t="s">
        <v>237</v>
      </c>
      <c r="C181" s="60">
        <v>29.306093699999998</v>
      </c>
      <c r="D181" s="60">
        <v>32.058984199999998</v>
      </c>
    </row>
    <row r="182" spans="1:4" x14ac:dyDescent="0.3">
      <c r="A182" s="1">
        <v>40602</v>
      </c>
      <c r="B182" s="1" t="s">
        <v>239</v>
      </c>
      <c r="C182" s="60">
        <v>31.762013700000001</v>
      </c>
      <c r="D182" s="60">
        <v>26.11645</v>
      </c>
    </row>
    <row r="183" spans="1:4" x14ac:dyDescent="0.3">
      <c r="A183" s="1">
        <v>40603</v>
      </c>
      <c r="B183" s="1" t="s">
        <v>240</v>
      </c>
      <c r="C183" s="60">
        <v>35.233160699999999</v>
      </c>
      <c r="D183" s="60">
        <v>33.310344900000004</v>
      </c>
    </row>
    <row r="184" spans="1:4" x14ac:dyDescent="0.3">
      <c r="A184" s="1">
        <v>40701</v>
      </c>
      <c r="B184" s="1" t="s">
        <v>242</v>
      </c>
      <c r="C184" s="60">
        <v>37.960773400000001</v>
      </c>
      <c r="D184" s="60">
        <v>24.505682700000001</v>
      </c>
    </row>
    <row r="185" spans="1:4" x14ac:dyDescent="0.3">
      <c r="A185" s="1">
        <v>40702</v>
      </c>
      <c r="B185" s="1" t="s">
        <v>244</v>
      </c>
      <c r="C185" s="60">
        <v>33.376123199999995</v>
      </c>
      <c r="D185" s="60">
        <v>29.917279400000002</v>
      </c>
    </row>
    <row r="186" spans="1:4" x14ac:dyDescent="0.3">
      <c r="A186" s="1">
        <v>40801</v>
      </c>
      <c r="B186" s="1" t="s">
        <v>484</v>
      </c>
      <c r="C186" s="60">
        <v>45.123503900000003</v>
      </c>
      <c r="D186" s="60">
        <v>41.615010900000001</v>
      </c>
    </row>
    <row r="187" spans="1:4" x14ac:dyDescent="0.3">
      <c r="A187" s="1">
        <v>40802</v>
      </c>
      <c r="B187" s="1" t="s">
        <v>247</v>
      </c>
      <c r="C187" s="60">
        <v>39.326923100000002</v>
      </c>
      <c r="D187" s="60">
        <v>36.156862699999998</v>
      </c>
    </row>
    <row r="188" spans="1:4" x14ac:dyDescent="0.3">
      <c r="A188" s="1">
        <v>40901</v>
      </c>
      <c r="B188" s="1" t="s">
        <v>248</v>
      </c>
      <c r="C188" s="60">
        <v>56.3862928</v>
      </c>
      <c r="D188" s="60">
        <v>54.189364500000003</v>
      </c>
    </row>
    <row r="189" spans="1:4" x14ac:dyDescent="0.3">
      <c r="A189" s="1">
        <v>40902</v>
      </c>
      <c r="B189" s="1" t="s">
        <v>249</v>
      </c>
      <c r="C189" s="60">
        <v>54.940711499999999</v>
      </c>
      <c r="D189" s="60">
        <v>52.380952399999998</v>
      </c>
    </row>
    <row r="190" spans="1:4" x14ac:dyDescent="0.3">
      <c r="A190" s="1">
        <v>40903</v>
      </c>
      <c r="B190" s="1" t="s">
        <v>485</v>
      </c>
      <c r="C190" s="60">
        <v>50</v>
      </c>
      <c r="D190" s="60">
        <v>26.968325800000002</v>
      </c>
    </row>
    <row r="191" spans="1:4" x14ac:dyDescent="0.3">
      <c r="A191" s="1">
        <v>41001</v>
      </c>
      <c r="B191" s="1" t="s">
        <v>252</v>
      </c>
      <c r="C191" s="60">
        <v>29.854537100000002</v>
      </c>
      <c r="D191" s="60">
        <v>42.709213900000002</v>
      </c>
    </row>
    <row r="192" spans="1:4" x14ac:dyDescent="0.3">
      <c r="A192" s="1">
        <v>41101</v>
      </c>
      <c r="B192" s="1" t="s">
        <v>254</v>
      </c>
      <c r="C192" s="60">
        <v>33.350895700000002</v>
      </c>
      <c r="D192" s="60">
        <v>32.334710700000002</v>
      </c>
    </row>
    <row r="193" spans="1:4" x14ac:dyDescent="0.3">
      <c r="A193" s="1">
        <v>41201</v>
      </c>
      <c r="B193" s="1" t="s">
        <v>256</v>
      </c>
      <c r="C193" s="60">
        <v>33.082329299999998</v>
      </c>
      <c r="D193" s="60">
        <v>46.564551399999999</v>
      </c>
    </row>
    <row r="194" spans="1:4" x14ac:dyDescent="0.3">
      <c r="A194" s="1">
        <v>41202</v>
      </c>
      <c r="B194" s="1" t="s">
        <v>258</v>
      </c>
      <c r="C194" s="60">
        <v>36.401098900000001</v>
      </c>
      <c r="D194" s="60">
        <v>37.852593200000001</v>
      </c>
    </row>
    <row r="195" spans="1:4" x14ac:dyDescent="0.3">
      <c r="A195" s="1">
        <v>41301</v>
      </c>
      <c r="B195" s="1" t="s">
        <v>196</v>
      </c>
      <c r="C195" s="60">
        <v>38.759278899999998</v>
      </c>
      <c r="D195" s="60">
        <v>37.613292999999999</v>
      </c>
    </row>
    <row r="196" spans="1:4" x14ac:dyDescent="0.3">
      <c r="A196" s="1">
        <v>41401</v>
      </c>
      <c r="B196" s="1" t="s">
        <v>261</v>
      </c>
      <c r="C196" s="60">
        <v>37.470943800000001</v>
      </c>
      <c r="D196" s="60">
        <v>37.270963600000002</v>
      </c>
    </row>
    <row r="197" spans="1:4" x14ac:dyDescent="0.3">
      <c r="A197" s="1">
        <v>41501</v>
      </c>
      <c r="B197" s="1" t="s">
        <v>263</v>
      </c>
      <c r="C197" s="60">
        <v>45.856353599999998</v>
      </c>
      <c r="D197" s="60">
        <v>61.837455800000001</v>
      </c>
    </row>
    <row r="198" spans="1:4" x14ac:dyDescent="0.3">
      <c r="A198" s="1">
        <v>41502</v>
      </c>
      <c r="B198" s="1" t="s">
        <v>264</v>
      </c>
      <c r="C198" s="60">
        <v>53.886010400000004</v>
      </c>
      <c r="D198" s="60">
        <v>43.768996999999999</v>
      </c>
    </row>
    <row r="199" spans="1:4" x14ac:dyDescent="0.3">
      <c r="A199" s="1">
        <v>41503</v>
      </c>
      <c r="B199" s="1" t="s">
        <v>225</v>
      </c>
      <c r="C199" s="60">
        <v>60.816326500000002</v>
      </c>
      <c r="D199" s="60">
        <v>57.587548599999998</v>
      </c>
    </row>
    <row r="200" spans="1:4" x14ac:dyDescent="0.3">
      <c r="A200" s="1">
        <v>41601</v>
      </c>
      <c r="B200" s="1" t="s">
        <v>266</v>
      </c>
      <c r="C200" s="60">
        <v>30.212954699999997</v>
      </c>
      <c r="D200" s="60">
        <v>29.022777399999999</v>
      </c>
    </row>
    <row r="201" spans="1:4" x14ac:dyDescent="0.3">
      <c r="A201" s="1">
        <v>50101</v>
      </c>
      <c r="B201" s="1" t="s">
        <v>267</v>
      </c>
      <c r="C201" s="60">
        <v>40.326706200000004</v>
      </c>
      <c r="D201" s="60">
        <v>30.165185000000001</v>
      </c>
    </row>
    <row r="202" spans="1:4" x14ac:dyDescent="0.3">
      <c r="A202" s="1">
        <v>50102</v>
      </c>
      <c r="B202" s="1" t="s">
        <v>269</v>
      </c>
      <c r="C202" s="60">
        <v>51.000662699999992</v>
      </c>
      <c r="D202" s="60">
        <v>45.018374799999997</v>
      </c>
    </row>
    <row r="203" spans="1:4" x14ac:dyDescent="0.3">
      <c r="A203" s="1">
        <v>50103</v>
      </c>
      <c r="B203" s="1" t="s">
        <v>270</v>
      </c>
      <c r="C203" s="60">
        <v>35.356652999999994</v>
      </c>
      <c r="D203" s="60">
        <v>38.8928656</v>
      </c>
    </row>
    <row r="204" spans="1:4" x14ac:dyDescent="0.3">
      <c r="A204" s="1">
        <v>50104</v>
      </c>
      <c r="B204" s="1" t="s">
        <v>272</v>
      </c>
      <c r="C204" s="60">
        <v>34.664246900000002</v>
      </c>
      <c r="D204" s="60">
        <v>43.898443900000004</v>
      </c>
    </row>
    <row r="205" spans="1:4" x14ac:dyDescent="0.3">
      <c r="A205" s="1">
        <v>50201</v>
      </c>
      <c r="B205" s="1" t="s">
        <v>275</v>
      </c>
      <c r="C205" s="60">
        <v>39.924471299999993</v>
      </c>
      <c r="D205" s="60">
        <v>29.477302399999999</v>
      </c>
    </row>
    <row r="206" spans="1:4" x14ac:dyDescent="0.3">
      <c r="A206" s="1">
        <v>50202</v>
      </c>
      <c r="B206" s="1" t="s">
        <v>276</v>
      </c>
      <c r="C206" s="60">
        <v>42.896935999999997</v>
      </c>
      <c r="D206" s="60">
        <v>30.417108499999998</v>
      </c>
    </row>
    <row r="207" spans="1:4" x14ac:dyDescent="0.3">
      <c r="A207" s="1">
        <v>50203</v>
      </c>
      <c r="B207" s="1" t="s">
        <v>277</v>
      </c>
      <c r="C207" s="60">
        <v>36.368764599999999</v>
      </c>
      <c r="D207" s="60">
        <v>24.399076000000001</v>
      </c>
    </row>
    <row r="208" spans="1:4" x14ac:dyDescent="0.3">
      <c r="A208" s="1">
        <v>50204</v>
      </c>
      <c r="B208" s="1" t="s">
        <v>278</v>
      </c>
      <c r="C208" s="60">
        <v>47.598060799999999</v>
      </c>
      <c r="D208" s="60">
        <v>35.224274399999999</v>
      </c>
    </row>
    <row r="209" spans="1:4" x14ac:dyDescent="0.3">
      <c r="A209" s="1">
        <v>50301</v>
      </c>
      <c r="B209" s="1" t="s">
        <v>280</v>
      </c>
      <c r="C209" s="60">
        <v>42.989404300000004</v>
      </c>
      <c r="D209" s="60">
        <v>30.72063</v>
      </c>
    </row>
    <row r="210" spans="1:4" x14ac:dyDescent="0.3">
      <c r="A210" s="1">
        <v>50302</v>
      </c>
      <c r="B210" s="1" t="s">
        <v>282</v>
      </c>
      <c r="C210" s="60">
        <v>32.650527600000004</v>
      </c>
      <c r="D210" s="60">
        <v>27.340608799999998</v>
      </c>
    </row>
    <row r="211" spans="1:4" x14ac:dyDescent="0.3">
      <c r="A211" s="1">
        <v>50303</v>
      </c>
      <c r="B211" s="1" t="s">
        <v>283</v>
      </c>
      <c r="C211" s="60">
        <v>38.568129299999995</v>
      </c>
      <c r="D211" s="60">
        <v>38.467477299999999</v>
      </c>
    </row>
    <row r="212" spans="1:4" x14ac:dyDescent="0.3">
      <c r="A212" s="1">
        <v>50401</v>
      </c>
      <c r="B212" s="1" t="s">
        <v>284</v>
      </c>
      <c r="C212" s="60">
        <v>46.640224000000003</v>
      </c>
      <c r="D212" s="60">
        <v>33.092196399999999</v>
      </c>
    </row>
    <row r="213" spans="1:4" x14ac:dyDescent="0.3">
      <c r="A213" s="1">
        <v>50402</v>
      </c>
      <c r="B213" s="1" t="s">
        <v>285</v>
      </c>
      <c r="C213" s="60">
        <v>41.675392700000003</v>
      </c>
      <c r="D213" s="60">
        <v>29.854651199999999</v>
      </c>
    </row>
    <row r="214" spans="1:4" x14ac:dyDescent="0.3">
      <c r="A214" s="1">
        <v>50403</v>
      </c>
      <c r="B214" s="1" t="s">
        <v>286</v>
      </c>
      <c r="C214" s="60">
        <v>39.698909399999998</v>
      </c>
      <c r="D214" s="60">
        <v>34.4393046</v>
      </c>
    </row>
    <row r="215" spans="1:4" x14ac:dyDescent="0.3">
      <c r="A215" s="1">
        <v>50404</v>
      </c>
      <c r="B215" s="1" t="s">
        <v>287</v>
      </c>
      <c r="C215" s="60">
        <v>41.429412900000003</v>
      </c>
      <c r="D215" s="60">
        <v>29.9466106</v>
      </c>
    </row>
    <row r="216" spans="1:4" x14ac:dyDescent="0.3">
      <c r="A216" s="1">
        <v>50405</v>
      </c>
      <c r="B216" s="1" t="s">
        <v>288</v>
      </c>
      <c r="C216" s="60">
        <v>40.399119999999996</v>
      </c>
      <c r="D216" s="60">
        <v>32.732875100000001</v>
      </c>
    </row>
    <row r="217" spans="1:4" x14ac:dyDescent="0.3">
      <c r="A217" s="1">
        <v>50501</v>
      </c>
      <c r="B217" s="1" t="s">
        <v>290</v>
      </c>
      <c r="C217" s="60">
        <v>50.368490999999999</v>
      </c>
      <c r="D217" s="60">
        <v>37.627178700000002</v>
      </c>
    </row>
    <row r="218" spans="1:4" x14ac:dyDescent="0.3">
      <c r="A218" s="1">
        <v>50502</v>
      </c>
      <c r="B218" s="1" t="s">
        <v>291</v>
      </c>
      <c r="C218" s="60">
        <v>39.475932800000002</v>
      </c>
      <c r="D218" s="60">
        <v>31.083015199999998</v>
      </c>
    </row>
    <row r="219" spans="1:4" x14ac:dyDescent="0.3">
      <c r="A219" s="1">
        <v>50601</v>
      </c>
      <c r="B219" s="1" t="s">
        <v>293</v>
      </c>
      <c r="C219" s="60">
        <v>39.225002700000005</v>
      </c>
      <c r="D219" s="60">
        <v>26.6838917</v>
      </c>
    </row>
    <row r="220" spans="1:4" x14ac:dyDescent="0.3">
      <c r="A220" s="1">
        <v>50602</v>
      </c>
      <c r="B220" s="1" t="s">
        <v>486</v>
      </c>
      <c r="C220" s="60">
        <v>34.507042300000002</v>
      </c>
      <c r="D220" s="60">
        <v>21.6494845</v>
      </c>
    </row>
    <row r="221" spans="1:4" x14ac:dyDescent="0.3">
      <c r="A221" s="1">
        <v>50701</v>
      </c>
      <c r="B221" s="1" t="s">
        <v>296</v>
      </c>
      <c r="C221" s="60">
        <v>47.134211499999999</v>
      </c>
      <c r="D221" s="60">
        <v>29.532379499999998</v>
      </c>
    </row>
    <row r="222" spans="1:4" x14ac:dyDescent="0.3">
      <c r="A222" s="1">
        <v>50702</v>
      </c>
      <c r="B222" s="1" t="s">
        <v>298</v>
      </c>
      <c r="C222" s="60">
        <v>39.146297000000004</v>
      </c>
      <c r="D222" s="60">
        <v>28.6323571</v>
      </c>
    </row>
    <row r="223" spans="1:4" x14ac:dyDescent="0.3">
      <c r="A223" s="1">
        <v>50801</v>
      </c>
      <c r="B223" s="1" t="s">
        <v>300</v>
      </c>
      <c r="C223" s="60">
        <v>32.997972799999999</v>
      </c>
      <c r="D223" s="60">
        <v>22.889896700000001</v>
      </c>
    </row>
    <row r="224" spans="1:4" x14ac:dyDescent="0.3">
      <c r="A224" s="1">
        <v>50802</v>
      </c>
      <c r="B224" s="1" t="s">
        <v>301</v>
      </c>
      <c r="C224" s="60">
        <v>38.646532499999999</v>
      </c>
      <c r="D224" s="60">
        <v>29.832044799999998</v>
      </c>
    </row>
    <row r="225" spans="1:4" x14ac:dyDescent="0.3">
      <c r="A225" s="1">
        <v>50901</v>
      </c>
      <c r="B225" s="1" t="s">
        <v>303</v>
      </c>
      <c r="C225" s="60">
        <v>36.800725800000002</v>
      </c>
      <c r="D225" s="60">
        <v>24.3697479</v>
      </c>
    </row>
    <row r="226" spans="1:4" x14ac:dyDescent="0.3">
      <c r="A226" s="1">
        <v>50902</v>
      </c>
      <c r="B226" s="1" t="s">
        <v>305</v>
      </c>
      <c r="C226" s="60">
        <v>33.602150600000002</v>
      </c>
      <c r="D226" s="60">
        <v>23.135464200000001</v>
      </c>
    </row>
    <row r="227" spans="1:4" x14ac:dyDescent="0.3">
      <c r="A227" s="1">
        <v>51001</v>
      </c>
      <c r="B227" s="1" t="s">
        <v>308</v>
      </c>
      <c r="C227" s="60">
        <v>47.5315729</v>
      </c>
      <c r="D227" s="60">
        <v>34.023402300000001</v>
      </c>
    </row>
    <row r="228" spans="1:4" x14ac:dyDescent="0.3">
      <c r="A228" s="1">
        <v>51002</v>
      </c>
      <c r="B228" s="1" t="s">
        <v>310</v>
      </c>
      <c r="C228" s="60">
        <v>50</v>
      </c>
      <c r="D228" s="60">
        <v>40.1234568</v>
      </c>
    </row>
    <row r="229" spans="1:4" x14ac:dyDescent="0.3">
      <c r="A229" s="1">
        <v>51003</v>
      </c>
      <c r="B229" s="1" t="s">
        <v>311</v>
      </c>
      <c r="C229" s="60">
        <v>42.2377623</v>
      </c>
      <c r="D229" s="60">
        <v>36.086956600000001</v>
      </c>
    </row>
    <row r="230" spans="1:4" x14ac:dyDescent="0.3">
      <c r="A230" s="1">
        <v>51101</v>
      </c>
      <c r="B230" s="1" t="s">
        <v>313</v>
      </c>
      <c r="C230" s="60">
        <v>33.506968900000004</v>
      </c>
      <c r="D230" s="60">
        <v>24.684050599999999</v>
      </c>
    </row>
    <row r="231" spans="1:4" x14ac:dyDescent="0.3">
      <c r="A231" s="1">
        <v>51102</v>
      </c>
      <c r="B231" s="1" t="s">
        <v>315</v>
      </c>
      <c r="C231" s="60">
        <v>39.345187699999997</v>
      </c>
      <c r="D231" s="60">
        <v>27.331466800000001</v>
      </c>
    </row>
    <row r="232" spans="1:4" x14ac:dyDescent="0.3">
      <c r="A232" s="1">
        <v>51103</v>
      </c>
      <c r="B232" s="1" t="s">
        <v>316</v>
      </c>
      <c r="C232" s="60">
        <v>54.338734900000006</v>
      </c>
      <c r="D232" s="60">
        <v>40.542469600000004</v>
      </c>
    </row>
    <row r="233" spans="1:4" x14ac:dyDescent="0.3">
      <c r="A233" s="1">
        <v>51201</v>
      </c>
      <c r="B233" s="1" t="s">
        <v>318</v>
      </c>
      <c r="C233" s="60">
        <v>33.875169400000004</v>
      </c>
      <c r="D233" s="60">
        <v>27.653418600000002</v>
      </c>
    </row>
    <row r="234" spans="1:4" x14ac:dyDescent="0.3">
      <c r="A234" s="1">
        <v>51202</v>
      </c>
      <c r="B234" s="1" t="s">
        <v>319</v>
      </c>
      <c r="C234" s="60">
        <v>34.286642800000003</v>
      </c>
      <c r="D234" s="60">
        <v>28.851371700000001</v>
      </c>
    </row>
    <row r="235" spans="1:4" x14ac:dyDescent="0.3">
      <c r="A235" s="1">
        <v>51203</v>
      </c>
      <c r="B235" s="1" t="s">
        <v>320</v>
      </c>
      <c r="C235" s="60">
        <v>49.271229399999996</v>
      </c>
      <c r="D235" s="60">
        <v>41.7328793</v>
      </c>
    </row>
    <row r="236" spans="1:4" x14ac:dyDescent="0.3">
      <c r="A236" s="1">
        <v>51204</v>
      </c>
      <c r="B236" s="1" t="s">
        <v>487</v>
      </c>
      <c r="C236" s="60">
        <v>30.107526899999996</v>
      </c>
      <c r="D236" s="60">
        <v>23.283467600000002</v>
      </c>
    </row>
    <row r="237" spans="1:4" x14ac:dyDescent="0.3">
      <c r="A237" s="1">
        <v>51301</v>
      </c>
      <c r="B237" s="1" t="s">
        <v>323</v>
      </c>
      <c r="C237" s="60">
        <v>42.604006200000001</v>
      </c>
      <c r="D237" s="60">
        <v>32.258064500000003</v>
      </c>
    </row>
    <row r="238" spans="1:4" x14ac:dyDescent="0.3">
      <c r="A238" s="1">
        <v>51302</v>
      </c>
      <c r="B238" s="1" t="s">
        <v>324</v>
      </c>
      <c r="C238" s="60">
        <v>44.037230999999998</v>
      </c>
      <c r="D238" s="60">
        <v>25.996723100000001</v>
      </c>
    </row>
    <row r="239" spans="1:4" x14ac:dyDescent="0.3">
      <c r="A239" s="1">
        <v>51401</v>
      </c>
      <c r="B239" s="1" t="s">
        <v>326</v>
      </c>
      <c r="C239" s="60">
        <v>35.039893599999999</v>
      </c>
      <c r="D239" s="60">
        <v>30.010775899999999</v>
      </c>
    </row>
    <row r="240" spans="1:4" x14ac:dyDescent="0.3">
      <c r="A240" s="1">
        <v>51402</v>
      </c>
      <c r="B240" s="1" t="s">
        <v>327</v>
      </c>
      <c r="C240" s="60">
        <v>32.400589099999998</v>
      </c>
      <c r="D240" s="60">
        <v>29.919137499999998</v>
      </c>
    </row>
    <row r="241" spans="1:4" x14ac:dyDescent="0.3">
      <c r="A241" s="1">
        <v>51501</v>
      </c>
      <c r="B241" s="1" t="s">
        <v>329</v>
      </c>
      <c r="C241" s="60">
        <v>38.114957699999998</v>
      </c>
      <c r="D241" s="60">
        <v>28.7396937</v>
      </c>
    </row>
    <row r="242" spans="1:4" x14ac:dyDescent="0.3">
      <c r="A242" s="1">
        <v>51601</v>
      </c>
      <c r="B242" s="1" t="s">
        <v>331</v>
      </c>
      <c r="C242" s="60">
        <v>32.310838500000003</v>
      </c>
      <c r="D242" s="60">
        <v>25.7871065</v>
      </c>
    </row>
    <row r="243" spans="1:4" x14ac:dyDescent="0.3">
      <c r="A243" s="1">
        <v>60101</v>
      </c>
      <c r="B243" s="1" t="s">
        <v>332</v>
      </c>
      <c r="C243" s="60">
        <v>33.1154644</v>
      </c>
      <c r="D243" s="60">
        <v>23.9433908</v>
      </c>
    </row>
    <row r="244" spans="1:4" x14ac:dyDescent="0.3">
      <c r="A244" s="1">
        <v>60201</v>
      </c>
      <c r="B244" s="1" t="s">
        <v>334</v>
      </c>
      <c r="C244" s="60">
        <v>44.243614999999998</v>
      </c>
      <c r="D244" s="60">
        <v>28.1819791</v>
      </c>
    </row>
    <row r="245" spans="1:4" x14ac:dyDescent="0.3">
      <c r="A245" s="1">
        <v>60202</v>
      </c>
      <c r="B245" s="1" t="s">
        <v>335</v>
      </c>
      <c r="C245" s="60">
        <v>39.658233500000001</v>
      </c>
      <c r="D245" s="60">
        <v>29.408996800000004</v>
      </c>
    </row>
    <row r="246" spans="1:4" x14ac:dyDescent="0.3">
      <c r="A246" s="1">
        <v>60301</v>
      </c>
      <c r="B246" s="1" t="s">
        <v>337</v>
      </c>
      <c r="C246" s="60">
        <v>40.934140299999996</v>
      </c>
      <c r="D246" s="60">
        <v>29.449245699999999</v>
      </c>
    </row>
    <row r="247" spans="1:4" x14ac:dyDescent="0.3">
      <c r="A247" s="1">
        <v>60302</v>
      </c>
      <c r="B247" s="1" t="s">
        <v>338</v>
      </c>
      <c r="C247" s="60">
        <v>37.046307900000002</v>
      </c>
      <c r="D247" s="60">
        <v>29.846285299999998</v>
      </c>
    </row>
    <row r="248" spans="1:4" x14ac:dyDescent="0.3">
      <c r="A248" s="1">
        <v>60303</v>
      </c>
      <c r="B248" s="1" t="s">
        <v>339</v>
      </c>
      <c r="C248" s="60">
        <v>40.0816406</v>
      </c>
      <c r="D248" s="60">
        <v>30.918803400000002</v>
      </c>
    </row>
    <row r="249" spans="1:4" x14ac:dyDescent="0.3">
      <c r="A249" s="1">
        <v>60401</v>
      </c>
      <c r="B249" s="1" t="s">
        <v>341</v>
      </c>
      <c r="C249" s="60">
        <v>41.590581499999999</v>
      </c>
      <c r="D249" s="60">
        <v>31.244914600000001</v>
      </c>
    </row>
    <row r="250" spans="1:4" x14ac:dyDescent="0.3">
      <c r="A250" s="1">
        <v>60402</v>
      </c>
      <c r="B250" s="1" t="s">
        <v>343</v>
      </c>
      <c r="C250" s="60">
        <v>46.293800500000003</v>
      </c>
      <c r="D250" s="60">
        <v>34.183006500000005</v>
      </c>
    </row>
    <row r="251" spans="1:4" x14ac:dyDescent="0.3">
      <c r="A251" s="1">
        <v>60501</v>
      </c>
      <c r="B251" s="1" t="s">
        <v>345</v>
      </c>
      <c r="C251" s="60">
        <v>39.219617499999998</v>
      </c>
      <c r="D251" s="60">
        <v>27.838474699999999</v>
      </c>
    </row>
    <row r="252" spans="1:4" x14ac:dyDescent="0.3">
      <c r="A252" s="1">
        <v>60502</v>
      </c>
      <c r="B252" s="1" t="s">
        <v>347</v>
      </c>
      <c r="C252" s="60">
        <v>43.498309200000001</v>
      </c>
      <c r="D252" s="60">
        <v>27.839506200000002</v>
      </c>
    </row>
    <row r="253" spans="1:4" x14ac:dyDescent="0.3">
      <c r="A253" s="1">
        <v>60601</v>
      </c>
      <c r="B253" s="1" t="s">
        <v>201</v>
      </c>
      <c r="C253" s="60">
        <v>44.284395199999999</v>
      </c>
      <c r="D253" s="60">
        <v>32.786357800000005</v>
      </c>
    </row>
    <row r="254" spans="1:4" x14ac:dyDescent="0.3">
      <c r="A254" s="1">
        <v>70101</v>
      </c>
      <c r="B254" s="1" t="s">
        <v>351</v>
      </c>
      <c r="C254" s="60">
        <v>36.764685499999999</v>
      </c>
      <c r="D254" s="60">
        <v>27.6446626</v>
      </c>
    </row>
    <row r="255" spans="1:4" x14ac:dyDescent="0.3">
      <c r="A255" s="1">
        <v>70102</v>
      </c>
      <c r="B255" s="1" t="s">
        <v>352</v>
      </c>
      <c r="C255" s="60">
        <v>52.701743300000004</v>
      </c>
      <c r="D255" s="60">
        <v>40.8831244</v>
      </c>
    </row>
    <row r="256" spans="1:4" x14ac:dyDescent="0.3">
      <c r="A256" s="1">
        <v>70103</v>
      </c>
      <c r="B256" s="1" t="s">
        <v>353</v>
      </c>
      <c r="C256" s="60">
        <v>45.278851500000002</v>
      </c>
      <c r="D256" s="60">
        <v>25.338753400000002</v>
      </c>
    </row>
    <row r="257" spans="1:4" x14ac:dyDescent="0.3">
      <c r="A257" s="1">
        <v>70104</v>
      </c>
      <c r="B257" s="1" t="s">
        <v>355</v>
      </c>
      <c r="C257" s="60">
        <v>46.485877900000006</v>
      </c>
      <c r="D257" s="60">
        <v>32.932674300000002</v>
      </c>
    </row>
    <row r="258" spans="1:4" x14ac:dyDescent="0.3">
      <c r="A258" s="1">
        <v>70105</v>
      </c>
      <c r="B258" s="1" t="s">
        <v>356</v>
      </c>
      <c r="C258" s="60">
        <v>47.462198600000001</v>
      </c>
      <c r="D258" s="60">
        <v>31.483265100000001</v>
      </c>
    </row>
    <row r="259" spans="1:4" x14ac:dyDescent="0.3">
      <c r="A259" s="1">
        <v>70201</v>
      </c>
      <c r="B259" s="1" t="s">
        <v>357</v>
      </c>
      <c r="C259" s="60">
        <v>51.425618100000001</v>
      </c>
      <c r="D259" s="60">
        <v>37.746631499999999</v>
      </c>
    </row>
    <row r="260" spans="1:4" x14ac:dyDescent="0.3">
      <c r="A260" s="1">
        <v>70202</v>
      </c>
      <c r="B260" s="1" t="s">
        <v>358</v>
      </c>
      <c r="C260" s="60">
        <v>58.1640625</v>
      </c>
      <c r="D260" s="60">
        <v>41.988950299999999</v>
      </c>
    </row>
    <row r="261" spans="1:4" x14ac:dyDescent="0.3">
      <c r="A261" s="1">
        <v>70301</v>
      </c>
      <c r="B261" s="1" t="s">
        <v>360</v>
      </c>
      <c r="C261" s="60">
        <v>56.646651300000002</v>
      </c>
      <c r="D261" s="60">
        <v>45.484234200000003</v>
      </c>
    </row>
    <row r="262" spans="1:4" x14ac:dyDescent="0.3">
      <c r="A262" s="1">
        <v>70302</v>
      </c>
      <c r="B262" s="1" t="s">
        <v>361</v>
      </c>
      <c r="C262" s="60">
        <v>53.408210699999998</v>
      </c>
      <c r="D262" s="60">
        <v>43.287609599999996</v>
      </c>
    </row>
    <row r="263" spans="1:4" x14ac:dyDescent="0.3">
      <c r="A263" s="1">
        <v>70303</v>
      </c>
      <c r="B263" s="1" t="s">
        <v>362</v>
      </c>
      <c r="C263" s="60">
        <v>61.720807800000003</v>
      </c>
      <c r="D263" s="60">
        <v>44.597859899999996</v>
      </c>
    </row>
    <row r="264" spans="1:4" x14ac:dyDescent="0.3">
      <c r="A264" s="1">
        <v>70401</v>
      </c>
      <c r="B264" s="1" t="s">
        <v>364</v>
      </c>
      <c r="C264" s="60">
        <v>47.335225500000007</v>
      </c>
      <c r="D264" s="60">
        <v>34.586864399999996</v>
      </c>
    </row>
    <row r="265" spans="1:4" x14ac:dyDescent="0.3">
      <c r="A265" s="1">
        <v>70402</v>
      </c>
      <c r="B265" s="1" t="s">
        <v>365</v>
      </c>
      <c r="C265" s="60">
        <v>52.809971599999997</v>
      </c>
      <c r="D265" s="60">
        <v>35.071519100000003</v>
      </c>
    </row>
    <row r="266" spans="1:4" x14ac:dyDescent="0.3">
      <c r="A266" s="1">
        <v>70403</v>
      </c>
      <c r="B266" s="1" t="s">
        <v>366</v>
      </c>
      <c r="C266" s="60">
        <v>40.879864699999999</v>
      </c>
      <c r="D266" s="60">
        <v>31.347447099999997</v>
      </c>
    </row>
    <row r="267" spans="1:4" x14ac:dyDescent="0.3">
      <c r="A267" s="1">
        <v>70404</v>
      </c>
      <c r="B267" s="1" t="s">
        <v>367</v>
      </c>
      <c r="C267" s="60">
        <v>51.678832100000001</v>
      </c>
      <c r="D267" s="60">
        <v>36.557321599999995</v>
      </c>
    </row>
    <row r="268" spans="1:4" x14ac:dyDescent="0.3">
      <c r="A268" s="1">
        <v>70501</v>
      </c>
      <c r="B268" s="1" t="s">
        <v>369</v>
      </c>
      <c r="C268" s="60">
        <v>56.132282099999998</v>
      </c>
      <c r="D268" s="60">
        <v>42.689756099999997</v>
      </c>
    </row>
    <row r="269" spans="1:4" x14ac:dyDescent="0.3">
      <c r="A269" s="1">
        <v>70502</v>
      </c>
      <c r="B269" s="1" t="s">
        <v>370</v>
      </c>
      <c r="C269" s="60">
        <v>59.857978299999999</v>
      </c>
      <c r="D269" s="60">
        <v>46.692367000000004</v>
      </c>
    </row>
    <row r="270" spans="1:4" x14ac:dyDescent="0.3">
      <c r="A270" s="1">
        <v>70503</v>
      </c>
      <c r="B270" s="1" t="s">
        <v>371</v>
      </c>
      <c r="C270" s="60">
        <v>42.540699200000006</v>
      </c>
      <c r="D270" s="60">
        <v>34.760658199999995</v>
      </c>
    </row>
    <row r="271" spans="1:4" x14ac:dyDescent="0.3">
      <c r="A271" s="1">
        <v>70601</v>
      </c>
      <c r="B271" s="1" t="s">
        <v>373</v>
      </c>
      <c r="C271" s="60">
        <v>42.000485599999998</v>
      </c>
      <c r="D271" s="60">
        <v>33.572084400000001</v>
      </c>
    </row>
    <row r="272" spans="1:4" x14ac:dyDescent="0.3">
      <c r="A272" s="1">
        <v>70602</v>
      </c>
      <c r="B272" s="1" t="s">
        <v>374</v>
      </c>
      <c r="C272" s="60">
        <v>47.950984300000002</v>
      </c>
      <c r="D272" s="60">
        <v>32.432432400000003</v>
      </c>
    </row>
    <row r="273" spans="1:4" x14ac:dyDescent="0.3">
      <c r="A273" s="1">
        <v>70603</v>
      </c>
      <c r="B273" s="1" t="s">
        <v>375</v>
      </c>
      <c r="C273" s="60">
        <v>56.056129900000002</v>
      </c>
      <c r="D273" s="60">
        <v>41.878669299999999</v>
      </c>
    </row>
    <row r="274" spans="1:4" x14ac:dyDescent="0.3">
      <c r="A274" s="1">
        <v>70701</v>
      </c>
      <c r="B274" s="1" t="s">
        <v>377</v>
      </c>
      <c r="C274" s="60">
        <v>58.356675999999993</v>
      </c>
      <c r="D274" s="60">
        <v>43.722116</v>
      </c>
    </row>
    <row r="275" spans="1:4" x14ac:dyDescent="0.3">
      <c r="A275" s="1">
        <v>70702</v>
      </c>
      <c r="B275" s="1" t="s">
        <v>488</v>
      </c>
      <c r="C275" s="60">
        <v>61.790427699999995</v>
      </c>
      <c r="D275" s="60">
        <v>47.800586499999994</v>
      </c>
    </row>
    <row r="276" spans="1:4" x14ac:dyDescent="0.3">
      <c r="A276" s="1">
        <v>70703</v>
      </c>
      <c r="B276" s="1" t="s">
        <v>379</v>
      </c>
      <c r="C276" s="60">
        <v>56.769722799999997</v>
      </c>
      <c r="D276" s="60">
        <v>44.313110600000002</v>
      </c>
    </row>
    <row r="277" spans="1:4" x14ac:dyDescent="0.3">
      <c r="A277" s="1">
        <v>70704</v>
      </c>
      <c r="B277" s="1" t="s">
        <v>380</v>
      </c>
      <c r="C277" s="60">
        <v>49.865711699999999</v>
      </c>
      <c r="D277" s="60">
        <v>43.457573400000001</v>
      </c>
    </row>
    <row r="278" spans="1:4" x14ac:dyDescent="0.3">
      <c r="A278" s="1">
        <v>70705</v>
      </c>
      <c r="B278" s="1" t="s">
        <v>489</v>
      </c>
      <c r="C278" s="60">
        <v>63.472803400000004</v>
      </c>
      <c r="D278" s="60">
        <v>48.041919399999998</v>
      </c>
    </row>
    <row r="279" spans="1:4" x14ac:dyDescent="0.3">
      <c r="A279" s="1">
        <v>70706</v>
      </c>
      <c r="B279" s="1" t="s">
        <v>382</v>
      </c>
      <c r="C279" s="60">
        <v>35.789348000000004</v>
      </c>
      <c r="D279" s="60">
        <v>26.630843599999999</v>
      </c>
    </row>
    <row r="280" spans="1:4" x14ac:dyDescent="0.3">
      <c r="A280" s="1">
        <v>70707</v>
      </c>
      <c r="B280" s="1" t="s">
        <v>383</v>
      </c>
      <c r="C280" s="60">
        <v>52.122408700000001</v>
      </c>
      <c r="D280" s="60">
        <v>42.238267199999996</v>
      </c>
    </row>
    <row r="281" spans="1:4" x14ac:dyDescent="0.3">
      <c r="A281" s="1">
        <v>70801</v>
      </c>
      <c r="B281" s="1" t="s">
        <v>384</v>
      </c>
      <c r="C281" s="60">
        <v>36.360189500000004</v>
      </c>
      <c r="D281" s="60">
        <v>25.689849899999999</v>
      </c>
    </row>
    <row r="282" spans="1:4" x14ac:dyDescent="0.3">
      <c r="A282" s="1">
        <v>70802</v>
      </c>
      <c r="B282" s="1" t="s">
        <v>385</v>
      </c>
      <c r="C282" s="60">
        <v>41.493055499999997</v>
      </c>
      <c r="D282" s="60">
        <v>26.163522</v>
      </c>
    </row>
    <row r="283" spans="1:4" x14ac:dyDescent="0.3">
      <c r="A283" s="1">
        <v>70803</v>
      </c>
      <c r="B283" s="1" t="s">
        <v>386</v>
      </c>
      <c r="C283" s="60">
        <v>45.172413800000001</v>
      </c>
      <c r="D283" s="60">
        <v>31.180625599999999</v>
      </c>
    </row>
    <row r="284" spans="1:4" x14ac:dyDescent="0.3">
      <c r="A284" s="1">
        <v>70804</v>
      </c>
      <c r="B284" s="1" t="s">
        <v>387</v>
      </c>
      <c r="C284" s="60">
        <v>49.5</v>
      </c>
      <c r="D284" s="60">
        <v>31.6831684</v>
      </c>
    </row>
    <row r="285" spans="1:4" x14ac:dyDescent="0.3">
      <c r="A285" s="1">
        <v>70805</v>
      </c>
      <c r="B285" s="1" t="s">
        <v>388</v>
      </c>
      <c r="C285" s="60">
        <v>46.771653499999999</v>
      </c>
      <c r="D285" s="60">
        <v>30.040053400000001</v>
      </c>
    </row>
    <row r="286" spans="1:4" x14ac:dyDescent="0.3">
      <c r="A286" s="1">
        <v>70901</v>
      </c>
      <c r="B286" s="1" t="s">
        <v>390</v>
      </c>
      <c r="C286" s="60">
        <v>36.8828654</v>
      </c>
      <c r="D286" s="60">
        <v>26.7522211</v>
      </c>
    </row>
    <row r="287" spans="1:4" x14ac:dyDescent="0.3">
      <c r="A287" s="1">
        <v>70902</v>
      </c>
      <c r="B287" s="1" t="s">
        <v>490</v>
      </c>
      <c r="C287" s="60">
        <v>40.1621223</v>
      </c>
      <c r="D287" s="60">
        <v>33.245901699999997</v>
      </c>
    </row>
    <row r="288" spans="1:4" x14ac:dyDescent="0.3">
      <c r="A288" s="1">
        <v>70903</v>
      </c>
      <c r="B288" s="1" t="s">
        <v>392</v>
      </c>
      <c r="C288" s="60">
        <v>40.654520900000001</v>
      </c>
      <c r="D288" s="60">
        <v>32.529002300000002</v>
      </c>
    </row>
    <row r="289" spans="1:4" x14ac:dyDescent="0.3">
      <c r="A289" s="1">
        <v>70904</v>
      </c>
      <c r="B289" s="1" t="s">
        <v>393</v>
      </c>
      <c r="C289" s="60">
        <v>55.342465799999999</v>
      </c>
      <c r="D289" s="60">
        <v>50.0635324</v>
      </c>
    </row>
    <row r="290" spans="1:4" x14ac:dyDescent="0.3">
      <c r="A290" s="1">
        <v>71001</v>
      </c>
      <c r="B290" s="1" t="s">
        <v>395</v>
      </c>
      <c r="C290" s="60">
        <v>43.043692800000002</v>
      </c>
      <c r="D290" s="60">
        <v>33.659837099999997</v>
      </c>
    </row>
    <row r="291" spans="1:4" x14ac:dyDescent="0.3">
      <c r="A291" s="1">
        <v>71002</v>
      </c>
      <c r="B291" s="1" t="s">
        <v>396</v>
      </c>
      <c r="C291" s="60">
        <v>57.509270700000002</v>
      </c>
      <c r="D291" s="60">
        <v>46.328591099999997</v>
      </c>
    </row>
    <row r="292" spans="1:4" x14ac:dyDescent="0.3">
      <c r="A292" s="1">
        <v>71003</v>
      </c>
      <c r="B292" s="1" t="s">
        <v>397</v>
      </c>
      <c r="C292" s="60">
        <v>55.040360500000006</v>
      </c>
      <c r="D292" s="60">
        <v>41.766225399999996</v>
      </c>
    </row>
    <row r="293" spans="1:4" x14ac:dyDescent="0.3">
      <c r="A293" s="1">
        <v>71004</v>
      </c>
      <c r="B293" s="1" t="s">
        <v>398</v>
      </c>
      <c r="C293" s="60">
        <v>56.718305400000006</v>
      </c>
      <c r="D293" s="60">
        <v>42.611983699999996</v>
      </c>
    </row>
    <row r="294" spans="1:4" x14ac:dyDescent="0.3">
      <c r="A294" s="1">
        <v>71005</v>
      </c>
      <c r="B294" s="1" t="s">
        <v>290</v>
      </c>
      <c r="C294" s="60">
        <v>60.138050100000001</v>
      </c>
      <c r="D294" s="60">
        <v>38.543046400000001</v>
      </c>
    </row>
    <row r="295" spans="1:4" x14ac:dyDescent="0.3">
      <c r="A295" s="1">
        <v>71101</v>
      </c>
      <c r="B295" s="1" t="s">
        <v>342</v>
      </c>
      <c r="C295" s="60">
        <v>53.039192700000001</v>
      </c>
      <c r="D295" s="60">
        <v>37.748485200000005</v>
      </c>
    </row>
    <row r="296" spans="1:4" x14ac:dyDescent="0.3">
      <c r="A296" s="1">
        <v>71102</v>
      </c>
      <c r="B296" s="1" t="s">
        <v>400</v>
      </c>
      <c r="C296" s="60">
        <v>49.481946600000001</v>
      </c>
      <c r="D296" s="60">
        <v>44.430347599999997</v>
      </c>
    </row>
    <row r="297" spans="1:4" x14ac:dyDescent="0.3">
      <c r="A297" s="1">
        <v>71103</v>
      </c>
      <c r="B297" s="1" t="s">
        <v>401</v>
      </c>
      <c r="C297" s="60">
        <v>51.750741900000001</v>
      </c>
      <c r="D297" s="60">
        <v>41.923551200000006</v>
      </c>
    </row>
    <row r="298" spans="1:4" x14ac:dyDescent="0.3">
      <c r="A298" s="1">
        <v>71104</v>
      </c>
      <c r="B298" s="1" t="s">
        <v>402</v>
      </c>
      <c r="C298" s="60">
        <v>46.518367599999998</v>
      </c>
      <c r="D298" s="60">
        <v>31.637596899999998</v>
      </c>
    </row>
    <row r="299" spans="1:4" x14ac:dyDescent="0.3">
      <c r="A299" s="1">
        <v>71105</v>
      </c>
      <c r="B299" s="1" t="s">
        <v>403</v>
      </c>
      <c r="C299" s="60">
        <v>71.640488599999998</v>
      </c>
      <c r="D299" s="60">
        <v>53.559322100000003</v>
      </c>
    </row>
    <row r="300" spans="1:4" x14ac:dyDescent="0.3">
      <c r="A300" s="1">
        <v>71106</v>
      </c>
      <c r="B300" s="1" t="s">
        <v>404</v>
      </c>
      <c r="C300" s="60">
        <v>51.206010300000003</v>
      </c>
      <c r="D300" s="60">
        <v>39.337505700000001</v>
      </c>
    </row>
    <row r="301" spans="1:4" x14ac:dyDescent="0.3">
      <c r="A301" s="1">
        <v>71201</v>
      </c>
      <c r="B301" s="1" t="s">
        <v>406</v>
      </c>
      <c r="C301" s="60">
        <v>47.589424600000001</v>
      </c>
      <c r="D301" s="60">
        <v>41.013269000000001</v>
      </c>
    </row>
    <row r="302" spans="1:4" x14ac:dyDescent="0.3">
      <c r="A302" s="1">
        <v>71301</v>
      </c>
      <c r="B302" s="1" t="s">
        <v>408</v>
      </c>
      <c r="C302" s="60">
        <v>44.966587700000005</v>
      </c>
      <c r="D302" s="60">
        <v>33.090024299999996</v>
      </c>
    </row>
    <row r="303" spans="1:4" x14ac:dyDescent="0.3">
      <c r="A303" s="1">
        <v>71302</v>
      </c>
      <c r="B303" s="1" t="s">
        <v>409</v>
      </c>
      <c r="C303" s="60">
        <v>55.131800299999995</v>
      </c>
      <c r="D303" s="60">
        <v>33.634992400000002</v>
      </c>
    </row>
    <row r="304" spans="1:4" x14ac:dyDescent="0.3">
      <c r="A304" s="1">
        <v>71401</v>
      </c>
      <c r="B304" s="1" t="s">
        <v>491</v>
      </c>
      <c r="C304" s="60">
        <v>44.312692100000007</v>
      </c>
      <c r="D304" s="60">
        <v>33.916443700000002</v>
      </c>
    </row>
    <row r="305" spans="1:4" x14ac:dyDescent="0.3">
      <c r="A305" s="1">
        <v>71402</v>
      </c>
      <c r="B305" s="1" t="s">
        <v>412</v>
      </c>
      <c r="C305" s="60">
        <v>46.405565600000003</v>
      </c>
      <c r="D305" s="60">
        <v>36.515946700000001</v>
      </c>
    </row>
    <row r="306" spans="1:4" x14ac:dyDescent="0.3">
      <c r="A306" s="1">
        <v>71403</v>
      </c>
      <c r="B306" s="1" t="s">
        <v>413</v>
      </c>
      <c r="C306" s="60">
        <v>47.721179599999999</v>
      </c>
      <c r="D306" s="60">
        <v>41.4714344</v>
      </c>
    </row>
    <row r="307" spans="1:4" x14ac:dyDescent="0.3">
      <c r="A307" s="1">
        <v>71501</v>
      </c>
      <c r="B307" s="1" t="s">
        <v>415</v>
      </c>
      <c r="C307" s="60">
        <v>56.765078799999998</v>
      </c>
      <c r="D307" s="60">
        <v>34.638526400000003</v>
      </c>
    </row>
    <row r="308" spans="1:4" x14ac:dyDescent="0.3">
      <c r="A308" s="1">
        <v>71502</v>
      </c>
      <c r="B308" s="1" t="s">
        <v>416</v>
      </c>
      <c r="C308" s="60">
        <v>68.866328300000006</v>
      </c>
      <c r="D308" s="60">
        <v>47.256097600000004</v>
      </c>
    </row>
    <row r="309" spans="1:4" x14ac:dyDescent="0.3">
      <c r="A309" s="1">
        <v>71503</v>
      </c>
      <c r="B309" s="1" t="s">
        <v>347</v>
      </c>
      <c r="C309" s="60">
        <v>40.529029399999999</v>
      </c>
      <c r="D309" s="60">
        <v>31.949178799999999</v>
      </c>
    </row>
    <row r="310" spans="1:4" x14ac:dyDescent="0.3">
      <c r="A310" s="1">
        <v>80101</v>
      </c>
      <c r="B310" s="1" t="s">
        <v>419</v>
      </c>
      <c r="C310" s="60">
        <v>43.8763954</v>
      </c>
      <c r="D310" s="60">
        <v>35.318230799999995</v>
      </c>
    </row>
    <row r="311" spans="1:4" x14ac:dyDescent="0.3">
      <c r="A311" s="1">
        <v>80102</v>
      </c>
      <c r="B311" s="1" t="s">
        <v>400</v>
      </c>
      <c r="C311" s="60">
        <v>54.146341399999997</v>
      </c>
      <c r="D311" s="60">
        <v>46.1612747</v>
      </c>
    </row>
    <row r="312" spans="1:4" x14ac:dyDescent="0.3">
      <c r="A312" s="1">
        <v>80201</v>
      </c>
      <c r="B312" s="1" t="s">
        <v>421</v>
      </c>
      <c r="C312" s="60">
        <v>49.106595900000002</v>
      </c>
      <c r="D312" s="60">
        <v>39.173529700000003</v>
      </c>
    </row>
    <row r="313" spans="1:4" x14ac:dyDescent="0.3">
      <c r="A313" s="1">
        <v>80202</v>
      </c>
      <c r="B313" s="1" t="s">
        <v>422</v>
      </c>
      <c r="C313" s="60">
        <v>44.131303299999999</v>
      </c>
      <c r="D313" s="60">
        <v>34.0005509</v>
      </c>
    </row>
    <row r="314" spans="1:4" x14ac:dyDescent="0.3">
      <c r="A314" s="1">
        <v>80301</v>
      </c>
      <c r="B314" s="1" t="s">
        <v>424</v>
      </c>
      <c r="C314" s="60">
        <v>46.961512499999998</v>
      </c>
      <c r="D314" s="60">
        <v>35.381913900000001</v>
      </c>
    </row>
    <row r="315" spans="1:4" x14ac:dyDescent="0.3">
      <c r="A315" s="1">
        <v>80302</v>
      </c>
      <c r="B315" s="1" t="s">
        <v>425</v>
      </c>
      <c r="C315" s="60">
        <v>52.252443700000001</v>
      </c>
      <c r="D315" s="60">
        <v>43.774423400000003</v>
      </c>
    </row>
    <row r="316" spans="1:4" x14ac:dyDescent="0.3">
      <c r="A316" s="1">
        <v>80303</v>
      </c>
      <c r="B316" s="1" t="s">
        <v>374</v>
      </c>
      <c r="C316" s="60">
        <v>53.542510100000001</v>
      </c>
      <c r="D316" s="60">
        <v>40.980036299999995</v>
      </c>
    </row>
    <row r="317" spans="1:4" x14ac:dyDescent="0.3">
      <c r="A317" s="1">
        <v>80304</v>
      </c>
      <c r="B317" s="1" t="s">
        <v>426</v>
      </c>
      <c r="C317" s="60">
        <v>45.810170900000003</v>
      </c>
      <c r="D317" s="60">
        <v>34.778181799999999</v>
      </c>
    </row>
    <row r="318" spans="1:4" x14ac:dyDescent="0.3">
      <c r="A318" s="1">
        <v>80401</v>
      </c>
      <c r="B318" s="1" t="s">
        <v>429</v>
      </c>
      <c r="C318" s="60">
        <v>49.154519000000001</v>
      </c>
      <c r="D318" s="60">
        <v>42.281722900000005</v>
      </c>
    </row>
    <row r="319" spans="1:4" x14ac:dyDescent="0.3">
      <c r="A319" s="1">
        <v>80402</v>
      </c>
      <c r="B319" s="1" t="s">
        <v>431</v>
      </c>
      <c r="C319" s="60">
        <v>65.778251600000004</v>
      </c>
      <c r="D319" s="60">
        <v>56.494845299999994</v>
      </c>
    </row>
    <row r="320" spans="1:4" x14ac:dyDescent="0.3">
      <c r="A320" s="1">
        <v>80501</v>
      </c>
      <c r="B320" s="1" t="s">
        <v>360</v>
      </c>
      <c r="C320" s="60">
        <v>54.706616800000006</v>
      </c>
      <c r="D320" s="60">
        <v>44.2589501</v>
      </c>
    </row>
    <row r="321" spans="1:4" x14ac:dyDescent="0.3">
      <c r="A321" s="1">
        <v>80601</v>
      </c>
      <c r="B321" s="1" t="s">
        <v>434</v>
      </c>
      <c r="C321" s="60">
        <v>52.0833333</v>
      </c>
      <c r="D321" s="60">
        <v>49.667616300000006</v>
      </c>
    </row>
    <row r="322" spans="1:4" x14ac:dyDescent="0.3">
      <c r="A322" s="1">
        <v>80602</v>
      </c>
      <c r="B322" s="1" t="s">
        <v>435</v>
      </c>
      <c r="C322" s="60">
        <v>50.400534100000002</v>
      </c>
      <c r="D322" s="60">
        <v>34.724857700000001</v>
      </c>
    </row>
    <row r="323" spans="1:4" x14ac:dyDescent="0.3">
      <c r="A323" s="1">
        <v>80701</v>
      </c>
      <c r="B323" s="1" t="s">
        <v>437</v>
      </c>
      <c r="C323" s="60">
        <v>53.5885167</v>
      </c>
      <c r="D323" s="60">
        <v>43.097643099999999</v>
      </c>
    </row>
    <row r="324" spans="1:4" x14ac:dyDescent="0.3">
      <c r="A324" s="1">
        <v>80702</v>
      </c>
      <c r="B324" s="1" t="s">
        <v>401</v>
      </c>
      <c r="C324" s="60">
        <v>39.913793099999999</v>
      </c>
      <c r="D324" s="60">
        <v>38.297872299999995</v>
      </c>
    </row>
    <row r="325" spans="1:4" x14ac:dyDescent="0.3">
      <c r="A325" s="1">
        <v>80703</v>
      </c>
      <c r="B325" s="1" t="s">
        <v>438</v>
      </c>
      <c r="C325" s="60">
        <v>44.6153847</v>
      </c>
      <c r="D325" s="60">
        <v>48.1967213</v>
      </c>
    </row>
    <row r="326" spans="1:4" x14ac:dyDescent="0.3">
      <c r="A326" s="1">
        <v>80801</v>
      </c>
      <c r="B326" s="1" t="s">
        <v>440</v>
      </c>
      <c r="C326" s="60">
        <v>52.598566300000002</v>
      </c>
      <c r="D326" s="60">
        <v>40.047313299999999</v>
      </c>
    </row>
    <row r="327" spans="1:4" x14ac:dyDescent="0.3">
      <c r="A327" s="1">
        <v>80802</v>
      </c>
      <c r="B327" s="1" t="s">
        <v>441</v>
      </c>
      <c r="C327" s="60">
        <v>42.551622399999999</v>
      </c>
      <c r="D327" s="60">
        <v>34.156976700000001</v>
      </c>
    </row>
    <row r="328" spans="1:4" x14ac:dyDescent="0.3">
      <c r="A328" s="1">
        <v>80803</v>
      </c>
      <c r="B328" s="1" t="s">
        <v>442</v>
      </c>
      <c r="C328" s="60">
        <v>51.770451800000004</v>
      </c>
      <c r="D328" s="60">
        <v>42.141453900000002</v>
      </c>
    </row>
    <row r="329" spans="1:4" x14ac:dyDescent="0.3">
      <c r="A329" s="1">
        <v>80901</v>
      </c>
      <c r="B329" s="1" t="s">
        <v>492</v>
      </c>
      <c r="C329" s="60">
        <v>66.561014299999997</v>
      </c>
      <c r="D329" s="60">
        <v>56.507592200000005</v>
      </c>
    </row>
    <row r="330" spans="1:4" x14ac:dyDescent="0.3">
      <c r="A330" s="1">
        <v>90101</v>
      </c>
      <c r="B330" s="1" t="s">
        <v>446</v>
      </c>
      <c r="C330" s="60">
        <v>37.386215899999996</v>
      </c>
      <c r="D330" s="60">
        <v>28.302492900000001</v>
      </c>
    </row>
    <row r="331" spans="1:4" x14ac:dyDescent="0.3">
      <c r="A331" s="1">
        <v>90102</v>
      </c>
      <c r="B331" s="1" t="s">
        <v>447</v>
      </c>
      <c r="C331" s="60">
        <v>51.903323200000003</v>
      </c>
      <c r="D331" s="60">
        <v>43.228699500000005</v>
      </c>
    </row>
    <row r="332" spans="1:4" x14ac:dyDescent="0.3">
      <c r="A332" s="1">
        <v>90103</v>
      </c>
      <c r="B332" s="1" t="s">
        <v>448</v>
      </c>
      <c r="C332" s="60">
        <v>51.743119300000004</v>
      </c>
      <c r="D332" s="60">
        <v>30.174563599999999</v>
      </c>
    </row>
    <row r="333" spans="1:4" x14ac:dyDescent="0.3">
      <c r="A333" s="1">
        <v>90104</v>
      </c>
      <c r="B333" s="1" t="s">
        <v>449</v>
      </c>
      <c r="C333" s="60">
        <v>45.550847500000003</v>
      </c>
      <c r="D333" s="60">
        <v>29.473684200000001</v>
      </c>
    </row>
    <row r="334" spans="1:4" x14ac:dyDescent="0.3">
      <c r="A334" s="1">
        <v>90201</v>
      </c>
      <c r="B334" s="1" t="s">
        <v>451</v>
      </c>
      <c r="C334" s="60">
        <v>55.137481899999997</v>
      </c>
      <c r="D334" s="60">
        <v>40.120663700000001</v>
      </c>
    </row>
    <row r="335" spans="1:4" x14ac:dyDescent="0.3">
      <c r="A335" s="1">
        <v>90202</v>
      </c>
      <c r="B335" s="1" t="s">
        <v>290</v>
      </c>
      <c r="C335" s="60">
        <v>69.230769299999992</v>
      </c>
      <c r="D335" s="60">
        <v>61.437908500000006</v>
      </c>
    </row>
    <row r="336" spans="1:4" x14ac:dyDescent="0.3">
      <c r="A336" s="1">
        <v>90203</v>
      </c>
      <c r="B336" s="1" t="s">
        <v>452</v>
      </c>
      <c r="C336" s="60">
        <v>51.9271198</v>
      </c>
      <c r="D336" s="60">
        <v>38.385043800000005</v>
      </c>
    </row>
    <row r="337" spans="1:4" x14ac:dyDescent="0.3">
      <c r="A337" s="1">
        <v>90301</v>
      </c>
      <c r="B337" s="1" t="s">
        <v>454</v>
      </c>
      <c r="C337" s="60">
        <v>87.329434700000007</v>
      </c>
      <c r="D337" s="60">
        <v>74.402035600000005</v>
      </c>
    </row>
    <row r="338" spans="1:4" x14ac:dyDescent="0.3">
      <c r="A338" s="1">
        <v>90302</v>
      </c>
      <c r="B338" s="1" t="s">
        <v>345</v>
      </c>
      <c r="C338" s="60">
        <v>74.888226500000002</v>
      </c>
      <c r="D338" s="60">
        <v>65.243243300000003</v>
      </c>
    </row>
    <row r="339" spans="1:4" x14ac:dyDescent="0.3">
      <c r="A339" s="1">
        <v>90303</v>
      </c>
      <c r="B339" s="1" t="s">
        <v>455</v>
      </c>
      <c r="C339" s="60">
        <v>73.92619479999999</v>
      </c>
      <c r="D339" s="60">
        <v>43.130434700000002</v>
      </c>
    </row>
    <row r="340" spans="1:4" x14ac:dyDescent="0.3">
      <c r="A340" s="1">
        <v>90401</v>
      </c>
      <c r="B340" s="1" t="s">
        <v>374</v>
      </c>
      <c r="C340" s="60">
        <v>44.353518800000003</v>
      </c>
      <c r="D340" s="60">
        <v>37.209302300000004</v>
      </c>
    </row>
    <row r="341" spans="1:4" x14ac:dyDescent="0.3">
      <c r="A341" s="1">
        <v>90402</v>
      </c>
      <c r="B341" s="1" t="s">
        <v>92</v>
      </c>
      <c r="C341" s="60">
        <v>72.674418599999996</v>
      </c>
      <c r="D341" s="60">
        <v>47.919876700000003</v>
      </c>
    </row>
    <row r="342" spans="1:4" x14ac:dyDescent="0.3">
      <c r="A342" s="1">
        <v>90501</v>
      </c>
      <c r="B342" s="1" t="s">
        <v>458</v>
      </c>
      <c r="C342" s="60">
        <v>48.283261800000005</v>
      </c>
      <c r="D342" s="60">
        <v>32.515337500000001</v>
      </c>
    </row>
    <row r="343" spans="1:4" x14ac:dyDescent="0.3">
      <c r="A343" s="1">
        <v>90502</v>
      </c>
      <c r="B343" s="1" t="s">
        <v>459</v>
      </c>
      <c r="C343" s="60">
        <v>67.572156199999995</v>
      </c>
      <c r="D343" s="60">
        <v>40.536723199999997</v>
      </c>
    </row>
    <row r="344" spans="1:4" x14ac:dyDescent="0.3">
      <c r="A344" s="1">
        <v>90503</v>
      </c>
      <c r="B344" s="1" t="s">
        <v>461</v>
      </c>
      <c r="C344" s="60">
        <v>65.879828399999994</v>
      </c>
      <c r="D344" s="60">
        <v>53.078203000000002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G6" sqref="G6"/>
    </sheetView>
  </sheetViews>
  <sheetFormatPr baseColWidth="10" defaultRowHeight="14.4" x14ac:dyDescent="0.3"/>
  <sheetData>
    <row r="1" spans="1:4" x14ac:dyDescent="0.3">
      <c r="A1" s="1" t="s">
        <v>462</v>
      </c>
      <c r="B1" s="1" t="s">
        <v>2</v>
      </c>
      <c r="C1" s="3" t="s">
        <v>501</v>
      </c>
      <c r="D1" s="3" t="s">
        <v>502</v>
      </c>
    </row>
    <row r="2" spans="1:4" x14ac:dyDescent="0.3">
      <c r="A2" s="1">
        <v>10101</v>
      </c>
      <c r="B2" s="1" t="s">
        <v>6</v>
      </c>
      <c r="C2" s="57">
        <v>22858</v>
      </c>
      <c r="D2" s="57">
        <v>21800</v>
      </c>
    </row>
    <row r="3" spans="1:4" x14ac:dyDescent="0.3">
      <c r="A3" s="1">
        <v>10102</v>
      </c>
      <c r="B3" s="1" t="s">
        <v>7</v>
      </c>
      <c r="C3" s="57">
        <v>885</v>
      </c>
      <c r="D3" s="57">
        <v>809</v>
      </c>
    </row>
    <row r="4" spans="1:4" x14ac:dyDescent="0.3">
      <c r="A4" s="1">
        <v>10103</v>
      </c>
      <c r="B4" s="1" t="s">
        <v>8</v>
      </c>
      <c r="C4" s="57">
        <v>2379</v>
      </c>
      <c r="D4" s="57">
        <v>1892</v>
      </c>
    </row>
    <row r="5" spans="1:4" x14ac:dyDescent="0.3">
      <c r="A5" s="1">
        <v>10201</v>
      </c>
      <c r="B5" s="1" t="s">
        <v>9</v>
      </c>
      <c r="C5" s="57">
        <v>1523</v>
      </c>
      <c r="D5" s="57">
        <v>1066</v>
      </c>
    </row>
    <row r="6" spans="1:4" x14ac:dyDescent="0.3">
      <c r="A6" s="1">
        <v>10202</v>
      </c>
      <c r="B6" s="1" t="s">
        <v>11</v>
      </c>
      <c r="C6" s="57">
        <v>1972</v>
      </c>
      <c r="D6" s="57">
        <v>2353</v>
      </c>
    </row>
    <row r="7" spans="1:4" x14ac:dyDescent="0.3">
      <c r="A7" s="1">
        <v>10301</v>
      </c>
      <c r="B7" s="1" t="s">
        <v>13</v>
      </c>
      <c r="C7" s="57">
        <v>1452</v>
      </c>
      <c r="D7" s="57">
        <v>1810</v>
      </c>
    </row>
    <row r="8" spans="1:4" x14ac:dyDescent="0.3">
      <c r="A8" s="1">
        <v>10302</v>
      </c>
      <c r="B8" s="1" t="s">
        <v>15</v>
      </c>
      <c r="C8" s="57">
        <v>1620</v>
      </c>
      <c r="D8" s="57">
        <v>1709</v>
      </c>
    </row>
    <row r="9" spans="1:4" x14ac:dyDescent="0.3">
      <c r="A9" s="1">
        <v>10303</v>
      </c>
      <c r="B9" s="1" t="s">
        <v>476</v>
      </c>
      <c r="C9" s="57">
        <v>1103</v>
      </c>
      <c r="D9" s="57">
        <v>1167</v>
      </c>
    </row>
    <row r="10" spans="1:4" x14ac:dyDescent="0.3">
      <c r="A10" s="1">
        <v>10304</v>
      </c>
      <c r="B10" s="1" t="s">
        <v>17</v>
      </c>
      <c r="C10" s="57">
        <v>960</v>
      </c>
      <c r="D10" s="57">
        <v>1101</v>
      </c>
    </row>
    <row r="11" spans="1:4" x14ac:dyDescent="0.3">
      <c r="A11" s="1">
        <v>10401</v>
      </c>
      <c r="B11" s="1" t="s">
        <v>19</v>
      </c>
      <c r="C11" s="57">
        <v>1360</v>
      </c>
      <c r="D11" s="57">
        <v>997</v>
      </c>
    </row>
    <row r="12" spans="1:4" x14ac:dyDescent="0.3">
      <c r="A12" s="1">
        <v>10402</v>
      </c>
      <c r="B12" s="1" t="s">
        <v>18</v>
      </c>
      <c r="C12" s="57">
        <v>1120</v>
      </c>
      <c r="D12" s="57">
        <v>886</v>
      </c>
    </row>
    <row r="13" spans="1:4" x14ac:dyDescent="0.3">
      <c r="A13" s="1">
        <v>10403</v>
      </c>
      <c r="B13" s="1" t="s">
        <v>21</v>
      </c>
      <c r="C13" s="57">
        <v>962</v>
      </c>
      <c r="D13" s="57">
        <v>747</v>
      </c>
    </row>
    <row r="14" spans="1:4" x14ac:dyDescent="0.3">
      <c r="A14" s="1">
        <v>10404</v>
      </c>
      <c r="B14" s="1" t="s">
        <v>23</v>
      </c>
      <c r="C14" s="57">
        <v>614</v>
      </c>
      <c r="D14" s="57">
        <v>381</v>
      </c>
    </row>
    <row r="15" spans="1:4" x14ac:dyDescent="0.3">
      <c r="A15" s="1">
        <v>10405</v>
      </c>
      <c r="B15" s="1" t="s">
        <v>24</v>
      </c>
      <c r="C15" s="57">
        <v>576</v>
      </c>
      <c r="D15" s="57">
        <v>710</v>
      </c>
    </row>
    <row r="16" spans="1:4" x14ac:dyDescent="0.3">
      <c r="A16" s="1">
        <v>10501</v>
      </c>
      <c r="B16" s="1" t="s">
        <v>26</v>
      </c>
      <c r="C16" s="57">
        <v>2851</v>
      </c>
      <c r="D16" s="57">
        <v>2366</v>
      </c>
    </row>
    <row r="17" spans="1:4" x14ac:dyDescent="0.3">
      <c r="A17" s="1">
        <v>10502</v>
      </c>
      <c r="B17" s="1" t="s">
        <v>477</v>
      </c>
      <c r="C17" s="57">
        <v>1020</v>
      </c>
      <c r="D17" s="57">
        <v>784</v>
      </c>
    </row>
    <row r="18" spans="1:4" x14ac:dyDescent="0.3">
      <c r="A18" s="1">
        <v>10601</v>
      </c>
      <c r="B18" s="1" t="s">
        <v>29</v>
      </c>
      <c r="C18" s="57">
        <v>2102</v>
      </c>
      <c r="D18" s="57">
        <v>1293</v>
      </c>
    </row>
    <row r="19" spans="1:4" x14ac:dyDescent="0.3">
      <c r="A19" s="1">
        <v>10602</v>
      </c>
      <c r="B19" s="1" t="s">
        <v>28</v>
      </c>
      <c r="C19" s="57">
        <v>1216</v>
      </c>
      <c r="D19" s="57">
        <v>1006</v>
      </c>
    </row>
    <row r="20" spans="1:4" x14ac:dyDescent="0.3">
      <c r="A20" s="1">
        <v>10701</v>
      </c>
      <c r="B20" s="1" t="s">
        <v>31</v>
      </c>
      <c r="C20" s="57">
        <v>1771</v>
      </c>
      <c r="D20" s="57">
        <v>1404</v>
      </c>
    </row>
    <row r="21" spans="1:4" x14ac:dyDescent="0.3">
      <c r="A21" s="1">
        <v>10702</v>
      </c>
      <c r="B21" s="1" t="s">
        <v>32</v>
      </c>
      <c r="C21" s="57">
        <v>4206</v>
      </c>
      <c r="D21" s="57">
        <v>3012</v>
      </c>
    </row>
    <row r="22" spans="1:4" x14ac:dyDescent="0.3">
      <c r="A22" s="1">
        <v>10703</v>
      </c>
      <c r="B22" s="1" t="s">
        <v>33</v>
      </c>
      <c r="C22" s="57">
        <v>1775</v>
      </c>
      <c r="D22" s="57">
        <v>2093</v>
      </c>
    </row>
    <row r="23" spans="1:4" x14ac:dyDescent="0.3">
      <c r="A23" s="1">
        <v>10704</v>
      </c>
      <c r="B23" s="1" t="s">
        <v>34</v>
      </c>
      <c r="C23" s="57">
        <v>2226</v>
      </c>
      <c r="D23" s="57">
        <v>1716</v>
      </c>
    </row>
    <row r="24" spans="1:4" x14ac:dyDescent="0.3">
      <c r="A24" s="1">
        <v>10801</v>
      </c>
      <c r="B24" s="1" t="s">
        <v>36</v>
      </c>
      <c r="C24" s="57">
        <v>1463</v>
      </c>
      <c r="D24" s="57">
        <v>889</v>
      </c>
    </row>
    <row r="25" spans="1:4" x14ac:dyDescent="0.3">
      <c r="A25" s="1">
        <v>10901</v>
      </c>
      <c r="B25" s="1" t="s">
        <v>38</v>
      </c>
      <c r="C25" s="57">
        <v>428</v>
      </c>
      <c r="D25" s="57">
        <v>608</v>
      </c>
    </row>
    <row r="26" spans="1:4" x14ac:dyDescent="0.3">
      <c r="A26" s="1">
        <v>10902</v>
      </c>
      <c r="B26" s="1" t="s">
        <v>39</v>
      </c>
      <c r="C26" s="57">
        <v>2285</v>
      </c>
      <c r="D26" s="57">
        <v>1645</v>
      </c>
    </row>
    <row r="27" spans="1:4" x14ac:dyDescent="0.3">
      <c r="A27" s="1">
        <v>10903</v>
      </c>
      <c r="B27" s="1" t="s">
        <v>40</v>
      </c>
      <c r="C27" s="57">
        <v>486</v>
      </c>
      <c r="D27" s="57">
        <v>536</v>
      </c>
    </row>
    <row r="28" spans="1:4" x14ac:dyDescent="0.3">
      <c r="A28" s="1">
        <v>11001</v>
      </c>
      <c r="B28" s="1" t="s">
        <v>42</v>
      </c>
      <c r="C28" s="57">
        <v>1179</v>
      </c>
      <c r="D28" s="57">
        <v>1252</v>
      </c>
    </row>
    <row r="29" spans="1:4" x14ac:dyDescent="0.3">
      <c r="A29" s="1">
        <v>11002</v>
      </c>
      <c r="B29" s="1" t="s">
        <v>478</v>
      </c>
      <c r="C29" s="57">
        <v>317</v>
      </c>
      <c r="D29" s="57">
        <v>271</v>
      </c>
    </row>
    <row r="30" spans="1:4" x14ac:dyDescent="0.3">
      <c r="A30" s="1">
        <v>11003</v>
      </c>
      <c r="B30" s="1" t="s">
        <v>44</v>
      </c>
      <c r="C30" s="57">
        <v>773</v>
      </c>
      <c r="D30" s="57">
        <v>626</v>
      </c>
    </row>
    <row r="31" spans="1:4" x14ac:dyDescent="0.3">
      <c r="A31" s="1">
        <v>20101</v>
      </c>
      <c r="B31" s="1" t="s">
        <v>48</v>
      </c>
      <c r="C31" s="57">
        <v>57841</v>
      </c>
      <c r="D31" s="57">
        <v>40697</v>
      </c>
    </row>
    <row r="32" spans="1:4" x14ac:dyDescent="0.3">
      <c r="A32" s="1">
        <v>20102</v>
      </c>
      <c r="B32" s="1" t="s">
        <v>49</v>
      </c>
      <c r="C32" s="57">
        <v>2035</v>
      </c>
      <c r="D32" s="57">
        <v>2540</v>
      </c>
    </row>
    <row r="33" spans="1:4" x14ac:dyDescent="0.3">
      <c r="A33" s="1">
        <v>20103</v>
      </c>
      <c r="B33" s="1" t="s">
        <v>50</v>
      </c>
      <c r="C33" s="57">
        <v>1509</v>
      </c>
      <c r="D33" s="57">
        <v>1747</v>
      </c>
    </row>
    <row r="34" spans="1:4" x14ac:dyDescent="0.3">
      <c r="A34" s="1">
        <v>20104</v>
      </c>
      <c r="B34" s="1" t="s">
        <v>51</v>
      </c>
      <c r="C34" s="57">
        <v>2294</v>
      </c>
      <c r="D34" s="57">
        <v>4674</v>
      </c>
    </row>
    <row r="35" spans="1:4" x14ac:dyDescent="0.3">
      <c r="A35" s="1">
        <v>20105</v>
      </c>
      <c r="B35" s="1" t="s">
        <v>52</v>
      </c>
      <c r="C35" s="57">
        <v>84714</v>
      </c>
      <c r="D35" s="57">
        <v>66890</v>
      </c>
    </row>
    <row r="36" spans="1:4" x14ac:dyDescent="0.3">
      <c r="A36" s="1">
        <v>20201</v>
      </c>
      <c r="B36" s="1" t="s">
        <v>54</v>
      </c>
      <c r="C36" s="57">
        <v>4699</v>
      </c>
      <c r="D36" s="57">
        <v>4246</v>
      </c>
    </row>
    <row r="37" spans="1:4" x14ac:dyDescent="0.3">
      <c r="A37" s="1">
        <v>20202</v>
      </c>
      <c r="B37" s="1" t="s">
        <v>55</v>
      </c>
      <c r="C37" s="57">
        <v>1402</v>
      </c>
      <c r="D37" s="57">
        <v>1855</v>
      </c>
    </row>
    <row r="38" spans="1:4" x14ac:dyDescent="0.3">
      <c r="A38" s="1">
        <v>20203</v>
      </c>
      <c r="B38" s="1" t="s">
        <v>56</v>
      </c>
      <c r="C38" s="57">
        <v>475</v>
      </c>
      <c r="D38" s="57">
        <v>739</v>
      </c>
    </row>
    <row r="39" spans="1:4" x14ac:dyDescent="0.3">
      <c r="A39" s="1">
        <v>20204</v>
      </c>
      <c r="B39" s="1" t="s">
        <v>57</v>
      </c>
      <c r="C39" s="57">
        <v>717</v>
      </c>
      <c r="D39" s="57">
        <v>732</v>
      </c>
    </row>
    <row r="40" spans="1:4" x14ac:dyDescent="0.3">
      <c r="A40" s="1">
        <v>20205</v>
      </c>
      <c r="B40" s="1" t="s">
        <v>58</v>
      </c>
      <c r="C40" s="57">
        <v>714</v>
      </c>
      <c r="D40" s="57">
        <v>745</v>
      </c>
    </row>
    <row r="41" spans="1:4" x14ac:dyDescent="0.3">
      <c r="A41" s="1">
        <v>20206</v>
      </c>
      <c r="B41" s="1" t="s">
        <v>59</v>
      </c>
      <c r="C41" s="57">
        <v>334</v>
      </c>
      <c r="D41" s="57">
        <v>413</v>
      </c>
    </row>
    <row r="42" spans="1:4" x14ac:dyDescent="0.3">
      <c r="A42" s="1">
        <v>20301</v>
      </c>
      <c r="B42" s="1" t="s">
        <v>61</v>
      </c>
      <c r="C42" s="57">
        <v>1216</v>
      </c>
      <c r="D42" s="57">
        <v>1684</v>
      </c>
    </row>
    <row r="43" spans="1:4" x14ac:dyDescent="0.3">
      <c r="A43" s="1">
        <v>20302</v>
      </c>
      <c r="B43" s="1" t="s">
        <v>62</v>
      </c>
      <c r="C43" s="57">
        <v>1907</v>
      </c>
      <c r="D43" s="57">
        <v>2030</v>
      </c>
    </row>
    <row r="44" spans="1:4" x14ac:dyDescent="0.3">
      <c r="A44" s="1">
        <v>20303</v>
      </c>
      <c r="B44" s="1" t="s">
        <v>63</v>
      </c>
      <c r="C44" s="57">
        <v>1225</v>
      </c>
      <c r="D44" s="57">
        <v>1584</v>
      </c>
    </row>
    <row r="45" spans="1:4" x14ac:dyDescent="0.3">
      <c r="A45" s="1">
        <v>20304</v>
      </c>
      <c r="B45" s="1" t="s">
        <v>64</v>
      </c>
      <c r="C45" s="57">
        <v>446</v>
      </c>
      <c r="D45" s="57">
        <v>671</v>
      </c>
    </row>
    <row r="46" spans="1:4" x14ac:dyDescent="0.3">
      <c r="A46" s="1">
        <v>20305</v>
      </c>
      <c r="B46" s="1" t="s">
        <v>65</v>
      </c>
      <c r="C46" s="57">
        <v>370</v>
      </c>
      <c r="D46" s="57">
        <v>486</v>
      </c>
    </row>
    <row r="47" spans="1:4" x14ac:dyDescent="0.3">
      <c r="A47" s="1">
        <v>20306</v>
      </c>
      <c r="B47" s="1" t="s">
        <v>479</v>
      </c>
      <c r="C47" s="57">
        <v>730</v>
      </c>
      <c r="D47" s="57">
        <v>776</v>
      </c>
    </row>
    <row r="48" spans="1:4" x14ac:dyDescent="0.3">
      <c r="A48" s="1">
        <v>20307</v>
      </c>
      <c r="B48" s="1" t="s">
        <v>67</v>
      </c>
      <c r="C48" s="57">
        <v>69</v>
      </c>
      <c r="D48" s="57">
        <v>523</v>
      </c>
    </row>
    <row r="49" spans="1:4" x14ac:dyDescent="0.3">
      <c r="A49" s="1">
        <v>20308</v>
      </c>
      <c r="B49" s="1" t="s">
        <v>68</v>
      </c>
      <c r="C49" s="57">
        <v>886</v>
      </c>
      <c r="D49" s="57">
        <v>1034</v>
      </c>
    </row>
    <row r="50" spans="1:4" x14ac:dyDescent="0.3">
      <c r="A50" s="1">
        <v>20401</v>
      </c>
      <c r="B50" s="1" t="s">
        <v>70</v>
      </c>
      <c r="C50" s="57">
        <v>1081</v>
      </c>
      <c r="D50" s="57">
        <v>1461</v>
      </c>
    </row>
    <row r="51" spans="1:4" x14ac:dyDescent="0.3">
      <c r="A51" s="1">
        <v>20402</v>
      </c>
      <c r="B51" s="1" t="s">
        <v>71</v>
      </c>
      <c r="C51" s="57">
        <v>1584</v>
      </c>
      <c r="D51" s="57">
        <v>1823</v>
      </c>
    </row>
    <row r="52" spans="1:4" x14ac:dyDescent="0.3">
      <c r="A52" s="1">
        <v>20403</v>
      </c>
      <c r="B52" s="1" t="s">
        <v>72</v>
      </c>
      <c r="C52" s="57">
        <v>1503</v>
      </c>
      <c r="D52" s="57">
        <v>1719</v>
      </c>
    </row>
    <row r="53" spans="1:4" x14ac:dyDescent="0.3">
      <c r="A53" s="1">
        <v>20404</v>
      </c>
      <c r="B53" s="1" t="s">
        <v>74</v>
      </c>
      <c r="C53" s="57">
        <v>551</v>
      </c>
      <c r="D53" s="57">
        <v>645</v>
      </c>
    </row>
    <row r="54" spans="1:4" x14ac:dyDescent="0.3">
      <c r="A54" s="1">
        <v>20405</v>
      </c>
      <c r="B54" s="1" t="s">
        <v>75</v>
      </c>
      <c r="C54" s="57">
        <v>744</v>
      </c>
      <c r="D54" s="57">
        <v>977</v>
      </c>
    </row>
    <row r="55" spans="1:4" x14ac:dyDescent="0.3">
      <c r="A55" s="1">
        <v>20501</v>
      </c>
      <c r="B55" s="1" t="s">
        <v>77</v>
      </c>
      <c r="C55" s="57">
        <v>1289</v>
      </c>
      <c r="D55" s="57">
        <v>2103</v>
      </c>
    </row>
    <row r="56" spans="1:4" x14ac:dyDescent="0.3">
      <c r="A56" s="1">
        <v>20502</v>
      </c>
      <c r="B56" s="1" t="s">
        <v>78</v>
      </c>
      <c r="C56" s="57">
        <v>1002</v>
      </c>
      <c r="D56" s="57">
        <v>1076</v>
      </c>
    </row>
    <row r="57" spans="1:4" x14ac:dyDescent="0.3">
      <c r="A57" s="1">
        <v>20503</v>
      </c>
      <c r="B57" s="1" t="s">
        <v>79</v>
      </c>
      <c r="C57" s="57">
        <v>719</v>
      </c>
      <c r="D57" s="57">
        <v>884</v>
      </c>
    </row>
    <row r="58" spans="1:4" x14ac:dyDescent="0.3">
      <c r="A58" s="1">
        <v>20601</v>
      </c>
      <c r="B58" s="1" t="s">
        <v>81</v>
      </c>
      <c r="C58" s="57">
        <v>2678</v>
      </c>
      <c r="D58" s="57">
        <v>3443</v>
      </c>
    </row>
    <row r="59" spans="1:4" x14ac:dyDescent="0.3">
      <c r="A59" s="1">
        <v>20602</v>
      </c>
      <c r="B59" s="1" t="s">
        <v>82</v>
      </c>
      <c r="C59" s="57">
        <v>1910</v>
      </c>
      <c r="D59" s="57">
        <v>1697</v>
      </c>
    </row>
    <row r="60" spans="1:4" x14ac:dyDescent="0.3">
      <c r="A60" s="1">
        <v>20603</v>
      </c>
      <c r="B60" s="1" t="s">
        <v>83</v>
      </c>
      <c r="C60" s="57">
        <v>931</v>
      </c>
      <c r="D60" s="57">
        <v>1086</v>
      </c>
    </row>
    <row r="61" spans="1:4" x14ac:dyDescent="0.3">
      <c r="A61" s="1">
        <v>20604</v>
      </c>
      <c r="B61" s="1" t="s">
        <v>84</v>
      </c>
      <c r="C61" s="57">
        <v>283</v>
      </c>
      <c r="D61" s="57">
        <v>602</v>
      </c>
    </row>
    <row r="62" spans="1:4" x14ac:dyDescent="0.3">
      <c r="A62" s="1">
        <v>20605</v>
      </c>
      <c r="B62" s="1" t="s">
        <v>85</v>
      </c>
      <c r="C62" s="57">
        <v>434</v>
      </c>
      <c r="D62" s="57">
        <v>392</v>
      </c>
    </row>
    <row r="63" spans="1:4" x14ac:dyDescent="0.3">
      <c r="A63" s="1">
        <v>20606</v>
      </c>
      <c r="B63" s="1" t="s">
        <v>86</v>
      </c>
      <c r="C63" s="57">
        <v>1272</v>
      </c>
      <c r="D63" s="57">
        <v>866</v>
      </c>
    </row>
    <row r="64" spans="1:4" x14ac:dyDescent="0.3">
      <c r="A64" s="1">
        <v>20607</v>
      </c>
      <c r="B64" s="1" t="s">
        <v>87</v>
      </c>
      <c r="C64" s="57">
        <v>1812</v>
      </c>
      <c r="D64" s="57">
        <v>2430</v>
      </c>
    </row>
    <row r="65" spans="1:4" x14ac:dyDescent="0.3">
      <c r="A65" s="1">
        <v>20608</v>
      </c>
      <c r="B65" s="1" t="s">
        <v>88</v>
      </c>
      <c r="C65" s="57">
        <v>1069</v>
      </c>
      <c r="D65" s="57">
        <v>1576</v>
      </c>
    </row>
    <row r="66" spans="1:4" x14ac:dyDescent="0.3">
      <c r="A66" s="1">
        <v>20701</v>
      </c>
      <c r="B66" s="1" t="s">
        <v>90</v>
      </c>
      <c r="C66" s="57">
        <v>2377</v>
      </c>
      <c r="D66" s="57">
        <v>2314</v>
      </c>
    </row>
    <row r="67" spans="1:4" x14ac:dyDescent="0.3">
      <c r="A67" s="1">
        <v>20702</v>
      </c>
      <c r="B67" s="1" t="s">
        <v>91</v>
      </c>
      <c r="C67" s="57">
        <v>774</v>
      </c>
      <c r="D67" s="57">
        <v>1100</v>
      </c>
    </row>
    <row r="68" spans="1:4" x14ac:dyDescent="0.3">
      <c r="A68" s="1">
        <v>20801</v>
      </c>
      <c r="B68" s="1" t="s">
        <v>93</v>
      </c>
      <c r="C68" s="57">
        <v>8323</v>
      </c>
      <c r="D68" s="57">
        <v>10431</v>
      </c>
    </row>
    <row r="69" spans="1:4" x14ac:dyDescent="0.3">
      <c r="A69" s="1">
        <v>20802</v>
      </c>
      <c r="B69" s="1" t="s">
        <v>94</v>
      </c>
      <c r="C69" s="57">
        <v>641</v>
      </c>
      <c r="D69" s="57">
        <v>801</v>
      </c>
    </row>
    <row r="70" spans="1:4" x14ac:dyDescent="0.3">
      <c r="A70" s="1">
        <v>20803</v>
      </c>
      <c r="B70" s="1" t="s">
        <v>96</v>
      </c>
      <c r="C70" s="57">
        <v>1331</v>
      </c>
      <c r="D70" s="57">
        <v>1531</v>
      </c>
    </row>
    <row r="71" spans="1:4" x14ac:dyDescent="0.3">
      <c r="A71" s="1">
        <v>20804</v>
      </c>
      <c r="B71" s="1" t="s">
        <v>97</v>
      </c>
      <c r="C71" s="57">
        <v>637</v>
      </c>
      <c r="D71" s="57">
        <v>726</v>
      </c>
    </row>
    <row r="72" spans="1:4" x14ac:dyDescent="0.3">
      <c r="A72" s="1">
        <v>20805</v>
      </c>
      <c r="B72" s="1" t="s">
        <v>98</v>
      </c>
      <c r="C72" s="57">
        <v>681</v>
      </c>
      <c r="D72" s="57">
        <v>997</v>
      </c>
    </row>
    <row r="73" spans="1:4" x14ac:dyDescent="0.3">
      <c r="A73" s="1">
        <v>20806</v>
      </c>
      <c r="B73" s="1" t="s">
        <v>99</v>
      </c>
      <c r="C73" s="57">
        <v>1881</v>
      </c>
      <c r="D73" s="57">
        <v>2045</v>
      </c>
    </row>
    <row r="74" spans="1:4" x14ac:dyDescent="0.3">
      <c r="A74" s="1">
        <v>20807</v>
      </c>
      <c r="B74" s="1" t="s">
        <v>100</v>
      </c>
      <c r="C74" s="57">
        <v>782</v>
      </c>
      <c r="D74" s="57">
        <v>882</v>
      </c>
    </row>
    <row r="75" spans="1:4" x14ac:dyDescent="0.3">
      <c r="A75" s="1">
        <v>20901</v>
      </c>
      <c r="B75" s="1" t="s">
        <v>102</v>
      </c>
      <c r="C75" s="57">
        <v>1110</v>
      </c>
      <c r="D75" s="57">
        <v>1059</v>
      </c>
    </row>
    <row r="76" spans="1:4" x14ac:dyDescent="0.3">
      <c r="A76" s="1">
        <v>20902</v>
      </c>
      <c r="B76" s="1" t="s">
        <v>103</v>
      </c>
      <c r="C76" s="57">
        <v>1289</v>
      </c>
      <c r="D76" s="57">
        <v>1706</v>
      </c>
    </row>
    <row r="77" spans="1:4" x14ac:dyDescent="0.3">
      <c r="A77" s="1">
        <v>20903</v>
      </c>
      <c r="B77" s="1" t="s">
        <v>104</v>
      </c>
      <c r="C77" s="57">
        <v>953</v>
      </c>
      <c r="D77" s="57">
        <v>1718</v>
      </c>
    </row>
    <row r="78" spans="1:4" x14ac:dyDescent="0.3">
      <c r="A78" s="1">
        <v>20904</v>
      </c>
      <c r="B78" s="1" t="s">
        <v>105</v>
      </c>
      <c r="C78" s="57">
        <v>687</v>
      </c>
      <c r="D78" s="57">
        <v>753</v>
      </c>
    </row>
    <row r="79" spans="1:4" x14ac:dyDescent="0.3">
      <c r="A79" s="1">
        <v>20905</v>
      </c>
      <c r="B79" s="1" t="s">
        <v>106</v>
      </c>
      <c r="C79" s="57">
        <v>1527</v>
      </c>
      <c r="D79" s="57">
        <v>1716</v>
      </c>
    </row>
    <row r="80" spans="1:4" x14ac:dyDescent="0.3">
      <c r="A80" s="1">
        <v>21001</v>
      </c>
      <c r="B80" s="1" t="s">
        <v>107</v>
      </c>
      <c r="C80" s="57">
        <v>1922</v>
      </c>
      <c r="D80" s="57">
        <v>2469</v>
      </c>
    </row>
    <row r="81" spans="1:4" x14ac:dyDescent="0.3">
      <c r="A81" s="1">
        <v>21002</v>
      </c>
      <c r="B81" s="1" t="s">
        <v>108</v>
      </c>
      <c r="C81" s="57">
        <v>849</v>
      </c>
      <c r="D81" s="57">
        <v>1233</v>
      </c>
    </row>
    <row r="82" spans="1:4" x14ac:dyDescent="0.3">
      <c r="A82" s="1">
        <v>21003</v>
      </c>
      <c r="B82" s="1" t="s">
        <v>109</v>
      </c>
      <c r="C82" s="57">
        <v>1282</v>
      </c>
      <c r="D82" s="57">
        <v>1847</v>
      </c>
    </row>
    <row r="83" spans="1:4" x14ac:dyDescent="0.3">
      <c r="A83" s="1">
        <v>21004</v>
      </c>
      <c r="B83" s="1" t="s">
        <v>110</v>
      </c>
      <c r="C83" s="57">
        <v>2714</v>
      </c>
      <c r="D83" s="57">
        <v>3126</v>
      </c>
    </row>
    <row r="84" spans="1:4" x14ac:dyDescent="0.3">
      <c r="A84" s="1">
        <v>21005</v>
      </c>
      <c r="B84" s="1" t="s">
        <v>111</v>
      </c>
      <c r="C84" s="57">
        <v>1120</v>
      </c>
      <c r="D84" s="57">
        <v>1460</v>
      </c>
    </row>
    <row r="85" spans="1:4" x14ac:dyDescent="0.3">
      <c r="A85" s="1">
        <v>21006</v>
      </c>
      <c r="B85" s="1" t="s">
        <v>112</v>
      </c>
      <c r="C85" s="57">
        <v>709</v>
      </c>
      <c r="D85" s="57">
        <v>1013</v>
      </c>
    </row>
    <row r="86" spans="1:4" x14ac:dyDescent="0.3">
      <c r="A86" s="1">
        <v>21101</v>
      </c>
      <c r="B86" s="1" t="s">
        <v>114</v>
      </c>
      <c r="C86" s="57">
        <v>2069</v>
      </c>
      <c r="D86" s="57">
        <v>1914</v>
      </c>
    </row>
    <row r="87" spans="1:4" x14ac:dyDescent="0.3">
      <c r="A87" s="1">
        <v>21102</v>
      </c>
      <c r="B87" s="1" t="s">
        <v>116</v>
      </c>
      <c r="C87" s="57">
        <v>1939</v>
      </c>
      <c r="D87" s="57">
        <v>2657</v>
      </c>
    </row>
    <row r="88" spans="1:4" x14ac:dyDescent="0.3">
      <c r="A88" s="1">
        <v>21103</v>
      </c>
      <c r="B88" s="1" t="s">
        <v>118</v>
      </c>
      <c r="C88" s="57">
        <v>781</v>
      </c>
      <c r="D88" s="57">
        <v>862</v>
      </c>
    </row>
    <row r="89" spans="1:4" x14ac:dyDescent="0.3">
      <c r="A89" s="1">
        <v>21104</v>
      </c>
      <c r="B89" s="1" t="s">
        <v>119</v>
      </c>
      <c r="C89" s="57">
        <v>2743</v>
      </c>
      <c r="D89" s="57">
        <v>2889</v>
      </c>
    </row>
    <row r="90" spans="1:4" x14ac:dyDescent="0.3">
      <c r="A90" s="1">
        <v>21105</v>
      </c>
      <c r="B90" s="1" t="s">
        <v>120</v>
      </c>
      <c r="C90" s="57">
        <v>5504</v>
      </c>
      <c r="D90" s="57">
        <v>5579</v>
      </c>
    </row>
    <row r="91" spans="1:4" x14ac:dyDescent="0.3">
      <c r="A91" s="1">
        <v>21201</v>
      </c>
      <c r="B91" s="1" t="s">
        <v>122</v>
      </c>
      <c r="C91" s="57">
        <v>3164</v>
      </c>
      <c r="D91" s="57">
        <v>5690</v>
      </c>
    </row>
    <row r="92" spans="1:4" x14ac:dyDescent="0.3">
      <c r="A92" s="1">
        <v>21202</v>
      </c>
      <c r="B92" s="1" t="s">
        <v>123</v>
      </c>
      <c r="C92" s="57">
        <v>3127</v>
      </c>
      <c r="D92" s="57">
        <v>4748</v>
      </c>
    </row>
    <row r="93" spans="1:4" x14ac:dyDescent="0.3">
      <c r="A93" s="1">
        <v>21203</v>
      </c>
      <c r="B93" s="1" t="s">
        <v>124</v>
      </c>
      <c r="C93" s="57">
        <v>1810</v>
      </c>
      <c r="D93" s="57">
        <v>2069</v>
      </c>
    </row>
    <row r="94" spans="1:4" x14ac:dyDescent="0.3">
      <c r="A94" s="1">
        <v>21204</v>
      </c>
      <c r="B94" s="1" t="s">
        <v>125</v>
      </c>
      <c r="C94" s="57">
        <v>707</v>
      </c>
      <c r="D94" s="57">
        <v>870</v>
      </c>
    </row>
    <row r="95" spans="1:4" x14ac:dyDescent="0.3">
      <c r="A95" s="1">
        <v>21301</v>
      </c>
      <c r="B95" s="1" t="s">
        <v>480</v>
      </c>
      <c r="C95" s="57">
        <v>4168</v>
      </c>
      <c r="D95" s="57">
        <v>4310</v>
      </c>
    </row>
    <row r="96" spans="1:4" x14ac:dyDescent="0.3">
      <c r="A96" s="1">
        <v>21302</v>
      </c>
      <c r="B96" s="1" t="s">
        <v>128</v>
      </c>
      <c r="C96" s="57">
        <v>1057</v>
      </c>
      <c r="D96" s="57">
        <v>1054</v>
      </c>
    </row>
    <row r="97" spans="1:4" x14ac:dyDescent="0.3">
      <c r="A97" s="1">
        <v>21303</v>
      </c>
      <c r="B97" s="1" t="s">
        <v>129</v>
      </c>
      <c r="C97" s="57">
        <v>865</v>
      </c>
      <c r="D97" s="57">
        <v>1483</v>
      </c>
    </row>
    <row r="98" spans="1:4" x14ac:dyDescent="0.3">
      <c r="A98" s="1">
        <v>21304</v>
      </c>
      <c r="B98" s="1" t="s">
        <v>130</v>
      </c>
      <c r="C98" s="57">
        <v>1446</v>
      </c>
      <c r="D98" s="57">
        <v>1904</v>
      </c>
    </row>
    <row r="99" spans="1:4" x14ac:dyDescent="0.3">
      <c r="A99" s="1">
        <v>21305</v>
      </c>
      <c r="B99" s="1" t="s">
        <v>131</v>
      </c>
      <c r="C99" s="57">
        <v>2492</v>
      </c>
      <c r="D99" s="57">
        <v>2666</v>
      </c>
    </row>
    <row r="100" spans="1:4" x14ac:dyDescent="0.3">
      <c r="A100" s="1">
        <v>21306</v>
      </c>
      <c r="B100" s="1" t="s">
        <v>132</v>
      </c>
      <c r="C100" s="57">
        <v>1139</v>
      </c>
      <c r="D100" s="57">
        <v>1481</v>
      </c>
    </row>
    <row r="101" spans="1:4" x14ac:dyDescent="0.3">
      <c r="A101" s="1">
        <v>21307</v>
      </c>
      <c r="B101" s="1" t="s">
        <v>133</v>
      </c>
      <c r="C101" s="57">
        <v>601</v>
      </c>
      <c r="D101" s="57">
        <v>664</v>
      </c>
    </row>
    <row r="102" spans="1:4" x14ac:dyDescent="0.3">
      <c r="A102" s="1">
        <v>21401</v>
      </c>
      <c r="B102" s="1" t="s">
        <v>135</v>
      </c>
      <c r="C102" s="57">
        <v>2210</v>
      </c>
      <c r="D102" s="57">
        <v>3152</v>
      </c>
    </row>
    <row r="103" spans="1:4" x14ac:dyDescent="0.3">
      <c r="A103" s="1">
        <v>21402</v>
      </c>
      <c r="B103" s="1" t="s">
        <v>136</v>
      </c>
      <c r="C103" s="57">
        <v>2062</v>
      </c>
      <c r="D103" s="57">
        <v>2371</v>
      </c>
    </row>
    <row r="104" spans="1:4" x14ac:dyDescent="0.3">
      <c r="A104" s="1">
        <v>21501</v>
      </c>
      <c r="B104" s="1" t="s">
        <v>138</v>
      </c>
      <c r="C104" s="57">
        <v>1061</v>
      </c>
      <c r="D104" s="57">
        <v>1326</v>
      </c>
    </row>
    <row r="105" spans="1:4" x14ac:dyDescent="0.3">
      <c r="A105" s="1">
        <v>21502</v>
      </c>
      <c r="B105" s="1" t="s">
        <v>139</v>
      </c>
      <c r="C105" s="57">
        <v>1037</v>
      </c>
      <c r="D105" s="57">
        <v>1067</v>
      </c>
    </row>
    <row r="106" spans="1:4" x14ac:dyDescent="0.3">
      <c r="A106" s="1">
        <v>21601</v>
      </c>
      <c r="B106" s="1" t="s">
        <v>481</v>
      </c>
      <c r="C106" s="57">
        <v>1850</v>
      </c>
      <c r="D106" s="57">
        <v>2123</v>
      </c>
    </row>
    <row r="107" spans="1:4" x14ac:dyDescent="0.3">
      <c r="A107" s="1">
        <v>21602</v>
      </c>
      <c r="B107" s="1" t="s">
        <v>142</v>
      </c>
      <c r="C107" s="57">
        <v>480</v>
      </c>
      <c r="D107" s="57">
        <v>921</v>
      </c>
    </row>
    <row r="108" spans="1:4" x14ac:dyDescent="0.3">
      <c r="A108" s="1">
        <v>21701</v>
      </c>
      <c r="B108" s="1" t="s">
        <v>144</v>
      </c>
      <c r="C108" s="57">
        <v>1313</v>
      </c>
      <c r="D108" s="57">
        <v>1656</v>
      </c>
    </row>
    <row r="109" spans="1:4" x14ac:dyDescent="0.3">
      <c r="A109" s="1">
        <v>21702</v>
      </c>
      <c r="B109" s="1" t="s">
        <v>145</v>
      </c>
      <c r="C109" s="57">
        <v>494</v>
      </c>
      <c r="D109" s="57">
        <v>777</v>
      </c>
    </row>
    <row r="110" spans="1:4" x14ac:dyDescent="0.3">
      <c r="A110" s="1">
        <v>21703</v>
      </c>
      <c r="B110" s="1" t="s">
        <v>146</v>
      </c>
      <c r="C110" s="57">
        <v>768</v>
      </c>
      <c r="D110" s="57">
        <v>897</v>
      </c>
    </row>
    <row r="111" spans="1:4" x14ac:dyDescent="0.3">
      <c r="A111" s="1">
        <v>21801</v>
      </c>
      <c r="B111" s="1" t="s">
        <v>148</v>
      </c>
      <c r="C111" s="57">
        <v>1207</v>
      </c>
      <c r="D111" s="57">
        <v>1287</v>
      </c>
    </row>
    <row r="112" spans="1:4" x14ac:dyDescent="0.3">
      <c r="A112" s="1">
        <v>21802</v>
      </c>
      <c r="B112" s="1" t="s">
        <v>150</v>
      </c>
      <c r="C112" s="57">
        <v>953</v>
      </c>
      <c r="D112" s="57">
        <v>944</v>
      </c>
    </row>
    <row r="113" spans="1:4" x14ac:dyDescent="0.3">
      <c r="A113" s="1">
        <v>21803</v>
      </c>
      <c r="B113" s="1" t="s">
        <v>151</v>
      </c>
      <c r="C113" s="57">
        <v>263</v>
      </c>
      <c r="D113" s="57">
        <v>282</v>
      </c>
    </row>
    <row r="114" spans="1:4" x14ac:dyDescent="0.3">
      <c r="A114" s="1">
        <v>21901</v>
      </c>
      <c r="B114" s="1" t="s">
        <v>153</v>
      </c>
      <c r="C114" s="57">
        <v>580</v>
      </c>
      <c r="D114" s="57">
        <v>892</v>
      </c>
    </row>
    <row r="115" spans="1:4" x14ac:dyDescent="0.3">
      <c r="A115" s="1">
        <v>21902</v>
      </c>
      <c r="B115" s="1" t="s">
        <v>154</v>
      </c>
      <c r="C115" s="57">
        <v>471</v>
      </c>
      <c r="D115" s="57">
        <v>902</v>
      </c>
    </row>
    <row r="116" spans="1:4" x14ac:dyDescent="0.3">
      <c r="A116" s="1">
        <v>22001</v>
      </c>
      <c r="B116" s="1" t="s">
        <v>155</v>
      </c>
      <c r="C116" s="57">
        <v>6143</v>
      </c>
      <c r="D116" s="57">
        <v>7069</v>
      </c>
    </row>
    <row r="117" spans="1:4" x14ac:dyDescent="0.3">
      <c r="A117" s="1">
        <v>22002</v>
      </c>
      <c r="B117" s="1" t="s">
        <v>156</v>
      </c>
      <c r="C117" s="57">
        <v>1368</v>
      </c>
      <c r="D117" s="57">
        <v>1345</v>
      </c>
    </row>
    <row r="118" spans="1:4" x14ac:dyDescent="0.3">
      <c r="A118" s="1">
        <v>30101</v>
      </c>
      <c r="B118" s="1" t="s">
        <v>157</v>
      </c>
      <c r="C118" s="57">
        <v>48850</v>
      </c>
      <c r="D118" s="57">
        <v>39744</v>
      </c>
    </row>
    <row r="119" spans="1:4" x14ac:dyDescent="0.3">
      <c r="A119" s="1">
        <v>30201</v>
      </c>
      <c r="B119" s="1" t="s">
        <v>160</v>
      </c>
      <c r="C119" s="57">
        <v>2657</v>
      </c>
      <c r="D119" s="57">
        <v>2179</v>
      </c>
    </row>
    <row r="120" spans="1:4" x14ac:dyDescent="0.3">
      <c r="A120" s="1">
        <v>30202</v>
      </c>
      <c r="B120" s="1" t="s">
        <v>161</v>
      </c>
      <c r="C120" s="57">
        <v>795</v>
      </c>
      <c r="D120" s="57">
        <v>660</v>
      </c>
    </row>
    <row r="121" spans="1:4" x14ac:dyDescent="0.3">
      <c r="A121" s="1">
        <v>30203</v>
      </c>
      <c r="B121" s="1" t="s">
        <v>162</v>
      </c>
      <c r="C121" s="57">
        <v>664</v>
      </c>
      <c r="D121" s="57">
        <v>706</v>
      </c>
    </row>
    <row r="122" spans="1:4" x14ac:dyDescent="0.3">
      <c r="A122" s="1">
        <v>30301</v>
      </c>
      <c r="B122" s="1" t="s">
        <v>163</v>
      </c>
      <c r="C122" s="57">
        <v>3130</v>
      </c>
      <c r="D122" s="57">
        <v>2829</v>
      </c>
    </row>
    <row r="123" spans="1:4" x14ac:dyDescent="0.3">
      <c r="A123" s="1">
        <v>30302</v>
      </c>
      <c r="B123" s="1" t="s">
        <v>165</v>
      </c>
      <c r="C123" s="57">
        <v>1546</v>
      </c>
      <c r="D123" s="57">
        <v>1862</v>
      </c>
    </row>
    <row r="124" spans="1:4" x14ac:dyDescent="0.3">
      <c r="A124" s="1">
        <v>30303</v>
      </c>
      <c r="B124" s="1" t="s">
        <v>166</v>
      </c>
      <c r="C124" s="57">
        <v>2402</v>
      </c>
      <c r="D124" s="57">
        <v>2664</v>
      </c>
    </row>
    <row r="125" spans="1:4" x14ac:dyDescent="0.3">
      <c r="A125" s="1">
        <v>30401</v>
      </c>
      <c r="B125" s="1" t="s">
        <v>168</v>
      </c>
      <c r="C125" s="57">
        <v>619</v>
      </c>
      <c r="D125" s="57">
        <v>864</v>
      </c>
    </row>
    <row r="126" spans="1:4" x14ac:dyDescent="0.3">
      <c r="A126" s="1">
        <v>30402</v>
      </c>
      <c r="B126" s="1" t="s">
        <v>169</v>
      </c>
      <c r="C126" s="57">
        <v>713</v>
      </c>
      <c r="D126" s="57">
        <v>752</v>
      </c>
    </row>
    <row r="127" spans="1:4" x14ac:dyDescent="0.3">
      <c r="A127" s="1">
        <v>30403</v>
      </c>
      <c r="B127" s="1" t="s">
        <v>171</v>
      </c>
      <c r="C127" s="57">
        <v>1623</v>
      </c>
      <c r="D127" s="57">
        <v>3363</v>
      </c>
    </row>
    <row r="128" spans="1:4" x14ac:dyDescent="0.3">
      <c r="A128" s="1">
        <v>30404</v>
      </c>
      <c r="B128" s="1" t="s">
        <v>172</v>
      </c>
      <c r="C128" s="57">
        <v>454</v>
      </c>
      <c r="D128" s="57">
        <v>567</v>
      </c>
    </row>
    <row r="129" spans="1:4" x14ac:dyDescent="0.3">
      <c r="A129" s="1">
        <v>30501</v>
      </c>
      <c r="B129" s="1" t="s">
        <v>173</v>
      </c>
      <c r="C129" s="57">
        <v>736</v>
      </c>
      <c r="D129" s="57">
        <v>860</v>
      </c>
    </row>
    <row r="130" spans="1:4" x14ac:dyDescent="0.3">
      <c r="A130" s="1">
        <v>30502</v>
      </c>
      <c r="B130" s="1" t="s">
        <v>174</v>
      </c>
      <c r="C130" s="57">
        <v>786</v>
      </c>
      <c r="D130" s="57">
        <v>681</v>
      </c>
    </row>
    <row r="131" spans="1:4" x14ac:dyDescent="0.3">
      <c r="A131" s="1">
        <v>30601</v>
      </c>
      <c r="B131" s="1" t="s">
        <v>175</v>
      </c>
      <c r="C131" s="57">
        <v>1320</v>
      </c>
      <c r="D131" s="57">
        <v>1376</v>
      </c>
    </row>
    <row r="132" spans="1:4" x14ac:dyDescent="0.3">
      <c r="A132" s="1">
        <v>30602</v>
      </c>
      <c r="B132" s="1" t="s">
        <v>177</v>
      </c>
      <c r="C132" s="57">
        <v>1229</v>
      </c>
      <c r="D132" s="57">
        <v>1300</v>
      </c>
    </row>
    <row r="133" spans="1:4" x14ac:dyDescent="0.3">
      <c r="A133" s="1">
        <v>30701</v>
      </c>
      <c r="B133" s="1" t="s">
        <v>178</v>
      </c>
      <c r="C133" s="57">
        <v>1861</v>
      </c>
      <c r="D133" s="57">
        <v>1415</v>
      </c>
    </row>
    <row r="134" spans="1:4" x14ac:dyDescent="0.3">
      <c r="A134" s="1">
        <v>30702</v>
      </c>
      <c r="B134" s="1" t="s">
        <v>482</v>
      </c>
      <c r="C134" s="57">
        <v>484</v>
      </c>
      <c r="D134" s="57">
        <v>643</v>
      </c>
    </row>
    <row r="135" spans="1:4" x14ac:dyDescent="0.3">
      <c r="A135" s="1">
        <v>30703</v>
      </c>
      <c r="B135" s="1" t="s">
        <v>180</v>
      </c>
      <c r="C135" s="57">
        <v>492</v>
      </c>
      <c r="D135" s="57">
        <v>451</v>
      </c>
    </row>
    <row r="136" spans="1:4" x14ac:dyDescent="0.3">
      <c r="A136" s="1">
        <v>30801</v>
      </c>
      <c r="B136" s="1" t="s">
        <v>182</v>
      </c>
      <c r="C136" s="57">
        <v>1681</v>
      </c>
      <c r="D136" s="57">
        <v>1383</v>
      </c>
    </row>
    <row r="137" spans="1:4" x14ac:dyDescent="0.3">
      <c r="A137" s="1">
        <v>30802</v>
      </c>
      <c r="B137" s="1" t="s">
        <v>183</v>
      </c>
      <c r="C137" s="57">
        <v>551</v>
      </c>
      <c r="D137" s="57">
        <v>656</v>
      </c>
    </row>
    <row r="138" spans="1:4" x14ac:dyDescent="0.3">
      <c r="A138" s="1">
        <v>30803</v>
      </c>
      <c r="B138" s="1" t="s">
        <v>184</v>
      </c>
      <c r="C138" s="57">
        <v>403</v>
      </c>
      <c r="D138" s="57">
        <v>693</v>
      </c>
    </row>
    <row r="139" spans="1:4" x14ac:dyDescent="0.3">
      <c r="A139" s="1">
        <v>30901</v>
      </c>
      <c r="B139" s="1" t="s">
        <v>185</v>
      </c>
      <c r="C139" s="57">
        <v>12025</v>
      </c>
      <c r="D139" s="57">
        <v>11334</v>
      </c>
    </row>
    <row r="140" spans="1:4" x14ac:dyDescent="0.3">
      <c r="A140" s="1">
        <v>30902</v>
      </c>
      <c r="B140" s="1" t="s">
        <v>186</v>
      </c>
      <c r="C140" s="57">
        <v>4339</v>
      </c>
      <c r="D140" s="57">
        <v>4867</v>
      </c>
    </row>
    <row r="141" spans="1:4" x14ac:dyDescent="0.3">
      <c r="A141" s="1">
        <v>30903</v>
      </c>
      <c r="B141" s="1" t="s">
        <v>187</v>
      </c>
      <c r="C141" s="57">
        <v>4694</v>
      </c>
      <c r="D141" s="57">
        <v>3829</v>
      </c>
    </row>
    <row r="142" spans="1:4" x14ac:dyDescent="0.3">
      <c r="A142" s="1">
        <v>30904</v>
      </c>
      <c r="B142" s="1" t="s">
        <v>188</v>
      </c>
      <c r="C142" s="57">
        <v>5194</v>
      </c>
      <c r="D142" s="57">
        <v>4306</v>
      </c>
    </row>
    <row r="143" spans="1:4" x14ac:dyDescent="0.3">
      <c r="A143" s="1">
        <v>30905</v>
      </c>
      <c r="B143" s="1" t="s">
        <v>189</v>
      </c>
      <c r="C143" s="57">
        <v>4116</v>
      </c>
      <c r="D143" s="57">
        <v>3819</v>
      </c>
    </row>
    <row r="144" spans="1:4" x14ac:dyDescent="0.3">
      <c r="A144" s="1">
        <v>31001</v>
      </c>
      <c r="B144" s="1" t="s">
        <v>191</v>
      </c>
      <c r="C144" s="57">
        <v>14065</v>
      </c>
      <c r="D144" s="57">
        <v>14863</v>
      </c>
    </row>
    <row r="145" spans="1:4" x14ac:dyDescent="0.3">
      <c r="A145" s="1">
        <v>31002</v>
      </c>
      <c r="B145" s="1" t="s">
        <v>192</v>
      </c>
      <c r="C145" s="57">
        <v>2166</v>
      </c>
      <c r="D145" s="57">
        <v>2413</v>
      </c>
    </row>
    <row r="146" spans="1:4" x14ac:dyDescent="0.3">
      <c r="A146" s="1">
        <v>31003</v>
      </c>
      <c r="B146" s="1" t="s">
        <v>193</v>
      </c>
      <c r="C146" s="57">
        <v>8904</v>
      </c>
      <c r="D146" s="57">
        <v>12015</v>
      </c>
    </row>
    <row r="147" spans="1:4" x14ac:dyDescent="0.3">
      <c r="A147" s="1">
        <v>31101</v>
      </c>
      <c r="B147" s="1" t="s">
        <v>194</v>
      </c>
      <c r="C147" s="57">
        <v>3362</v>
      </c>
      <c r="D147" s="57">
        <v>3408</v>
      </c>
    </row>
    <row r="148" spans="1:4" x14ac:dyDescent="0.3">
      <c r="A148" s="1">
        <v>31201</v>
      </c>
      <c r="B148" s="1" t="s">
        <v>196</v>
      </c>
      <c r="C148" s="57">
        <v>1870</v>
      </c>
      <c r="D148" s="57">
        <v>1777</v>
      </c>
    </row>
    <row r="149" spans="1:4" x14ac:dyDescent="0.3">
      <c r="A149" s="1">
        <v>31202</v>
      </c>
      <c r="B149" s="1" t="s">
        <v>197</v>
      </c>
      <c r="C149" s="57">
        <v>1344</v>
      </c>
      <c r="D149" s="57">
        <v>1456</v>
      </c>
    </row>
    <row r="150" spans="1:4" x14ac:dyDescent="0.3">
      <c r="A150" s="1">
        <v>31203</v>
      </c>
      <c r="B150" s="1" t="s">
        <v>198</v>
      </c>
      <c r="C150" s="57">
        <v>1194</v>
      </c>
      <c r="D150" s="57">
        <v>1294</v>
      </c>
    </row>
    <row r="151" spans="1:4" x14ac:dyDescent="0.3">
      <c r="A151" s="1">
        <v>31204</v>
      </c>
      <c r="B151" s="1" t="s">
        <v>199</v>
      </c>
      <c r="C151" s="57">
        <v>2446</v>
      </c>
      <c r="D151" s="57">
        <v>3124</v>
      </c>
    </row>
    <row r="152" spans="1:4" x14ac:dyDescent="0.3">
      <c r="A152" s="1">
        <v>31205</v>
      </c>
      <c r="B152" s="1" t="s">
        <v>200</v>
      </c>
      <c r="C152" s="57">
        <v>5653</v>
      </c>
      <c r="D152" s="57">
        <v>7886</v>
      </c>
    </row>
    <row r="153" spans="1:4" x14ac:dyDescent="0.3">
      <c r="A153" s="1">
        <v>31206</v>
      </c>
      <c r="B153" s="1" t="s">
        <v>201</v>
      </c>
      <c r="C153" s="57">
        <v>3231</v>
      </c>
      <c r="D153" s="57">
        <v>5066</v>
      </c>
    </row>
    <row r="154" spans="1:4" x14ac:dyDescent="0.3">
      <c r="A154" s="1">
        <v>31301</v>
      </c>
      <c r="B154" s="1" t="s">
        <v>202</v>
      </c>
      <c r="C154" s="57">
        <v>2284</v>
      </c>
      <c r="D154" s="57">
        <v>1868</v>
      </c>
    </row>
    <row r="155" spans="1:4" x14ac:dyDescent="0.3">
      <c r="A155" s="1">
        <v>31302</v>
      </c>
      <c r="B155" s="1" t="s">
        <v>203</v>
      </c>
      <c r="C155" s="57">
        <v>697</v>
      </c>
      <c r="D155" s="57">
        <v>655</v>
      </c>
    </row>
    <row r="156" spans="1:4" x14ac:dyDescent="0.3">
      <c r="A156" s="1">
        <v>31303</v>
      </c>
      <c r="B156" s="1" t="s">
        <v>204</v>
      </c>
      <c r="C156" s="57">
        <v>434</v>
      </c>
      <c r="D156" s="57">
        <v>418</v>
      </c>
    </row>
    <row r="157" spans="1:4" x14ac:dyDescent="0.3">
      <c r="A157" s="1">
        <v>31304</v>
      </c>
      <c r="B157" s="1" t="s">
        <v>205</v>
      </c>
      <c r="C157" s="57">
        <v>993</v>
      </c>
      <c r="D157" s="57">
        <v>1050</v>
      </c>
    </row>
    <row r="158" spans="1:4" x14ac:dyDescent="0.3">
      <c r="A158" s="1">
        <v>31401</v>
      </c>
      <c r="B158" s="1" t="s">
        <v>207</v>
      </c>
      <c r="C158" s="57">
        <v>2020</v>
      </c>
      <c r="D158" s="57">
        <v>2380</v>
      </c>
    </row>
    <row r="159" spans="1:4" x14ac:dyDescent="0.3">
      <c r="A159" s="1">
        <v>31402</v>
      </c>
      <c r="B159" s="1" t="s">
        <v>209</v>
      </c>
      <c r="C159" s="57">
        <v>722</v>
      </c>
      <c r="D159" s="57">
        <v>707</v>
      </c>
    </row>
    <row r="160" spans="1:4" x14ac:dyDescent="0.3">
      <c r="A160" s="1">
        <v>31403</v>
      </c>
      <c r="B160" s="1" t="s">
        <v>210</v>
      </c>
      <c r="C160" s="57">
        <v>1057</v>
      </c>
      <c r="D160" s="57">
        <v>829</v>
      </c>
    </row>
    <row r="161" spans="1:4" x14ac:dyDescent="0.3">
      <c r="A161" s="1">
        <v>31404</v>
      </c>
      <c r="B161" s="1" t="s">
        <v>212</v>
      </c>
      <c r="C161" s="57">
        <v>115</v>
      </c>
      <c r="D161" s="57">
        <v>95</v>
      </c>
    </row>
    <row r="162" spans="1:4" x14ac:dyDescent="0.3">
      <c r="A162" s="1">
        <v>31405</v>
      </c>
      <c r="B162" s="1" t="s">
        <v>213</v>
      </c>
      <c r="C162" s="57">
        <v>313</v>
      </c>
      <c r="D162" s="57">
        <v>347</v>
      </c>
    </row>
    <row r="163" spans="1:4" x14ac:dyDescent="0.3">
      <c r="A163" s="1">
        <v>31501</v>
      </c>
      <c r="B163" s="1" t="s">
        <v>483</v>
      </c>
      <c r="C163" s="57">
        <v>928</v>
      </c>
      <c r="D163" s="57">
        <v>1077</v>
      </c>
    </row>
    <row r="164" spans="1:4" x14ac:dyDescent="0.3">
      <c r="A164" s="1">
        <v>31601</v>
      </c>
      <c r="B164" s="1" t="s">
        <v>215</v>
      </c>
      <c r="C164" s="57">
        <v>2242</v>
      </c>
      <c r="D164" s="57">
        <v>1624</v>
      </c>
    </row>
    <row r="165" spans="1:4" x14ac:dyDescent="0.3">
      <c r="A165" s="1">
        <v>31602</v>
      </c>
      <c r="B165" s="1" t="s">
        <v>216</v>
      </c>
      <c r="C165" s="57">
        <v>2435</v>
      </c>
      <c r="D165" s="57">
        <v>2957</v>
      </c>
    </row>
    <row r="166" spans="1:4" x14ac:dyDescent="0.3">
      <c r="A166" s="1">
        <v>40101</v>
      </c>
      <c r="B166" s="1" t="s">
        <v>217</v>
      </c>
      <c r="C166" s="57">
        <v>25752</v>
      </c>
      <c r="D166" s="57">
        <v>22676</v>
      </c>
    </row>
    <row r="167" spans="1:4" x14ac:dyDescent="0.3">
      <c r="A167" s="1">
        <v>40102</v>
      </c>
      <c r="B167" s="1" t="s">
        <v>218</v>
      </c>
      <c r="C167" s="57">
        <v>3107</v>
      </c>
      <c r="D167" s="57">
        <v>2911</v>
      </c>
    </row>
    <row r="168" spans="1:4" x14ac:dyDescent="0.3">
      <c r="A168" s="1">
        <v>40103</v>
      </c>
      <c r="B168" s="1" t="s">
        <v>219</v>
      </c>
      <c r="C168" s="57">
        <v>1295</v>
      </c>
      <c r="D168" s="57">
        <v>1829</v>
      </c>
    </row>
    <row r="169" spans="1:4" x14ac:dyDescent="0.3">
      <c r="A169" s="1">
        <v>40104</v>
      </c>
      <c r="B169" s="1" t="s">
        <v>220</v>
      </c>
      <c r="C169" s="57">
        <v>1702</v>
      </c>
      <c r="D169" s="57">
        <v>2077</v>
      </c>
    </row>
    <row r="170" spans="1:4" x14ac:dyDescent="0.3">
      <c r="A170" s="1">
        <v>40201</v>
      </c>
      <c r="B170" s="1" t="s">
        <v>223</v>
      </c>
      <c r="C170" s="57">
        <v>3284</v>
      </c>
      <c r="D170" s="57">
        <v>4494</v>
      </c>
    </row>
    <row r="171" spans="1:4" x14ac:dyDescent="0.3">
      <c r="A171" s="1">
        <v>40202</v>
      </c>
      <c r="B171" s="1" t="s">
        <v>224</v>
      </c>
      <c r="C171" s="57">
        <v>506</v>
      </c>
      <c r="D171" s="57">
        <v>730</v>
      </c>
    </row>
    <row r="172" spans="1:4" x14ac:dyDescent="0.3">
      <c r="A172" s="1">
        <v>40301</v>
      </c>
      <c r="B172" s="1" t="s">
        <v>226</v>
      </c>
      <c r="C172" s="57">
        <v>1124</v>
      </c>
      <c r="D172" s="57">
        <v>2451</v>
      </c>
    </row>
    <row r="173" spans="1:4" x14ac:dyDescent="0.3">
      <c r="A173" s="1">
        <v>40302</v>
      </c>
      <c r="B173" s="1" t="s">
        <v>227</v>
      </c>
      <c r="C173" s="57">
        <v>276</v>
      </c>
      <c r="D173" s="57">
        <v>372</v>
      </c>
    </row>
    <row r="174" spans="1:4" x14ac:dyDescent="0.3">
      <c r="A174" s="1">
        <v>40401</v>
      </c>
      <c r="B174" s="1" t="s">
        <v>229</v>
      </c>
      <c r="C174" s="57">
        <v>465</v>
      </c>
      <c r="D174" s="57">
        <v>880</v>
      </c>
    </row>
    <row r="175" spans="1:4" x14ac:dyDescent="0.3">
      <c r="A175" s="1">
        <v>40402</v>
      </c>
      <c r="B175" s="1" t="s">
        <v>230</v>
      </c>
      <c r="C175" s="57">
        <v>744</v>
      </c>
      <c r="D175" s="57">
        <v>801</v>
      </c>
    </row>
    <row r="176" spans="1:4" x14ac:dyDescent="0.3">
      <c r="A176" s="1">
        <v>40501</v>
      </c>
      <c r="B176" s="1" t="s">
        <v>232</v>
      </c>
      <c r="C176" s="57">
        <v>44</v>
      </c>
      <c r="D176" s="57">
        <v>456</v>
      </c>
    </row>
    <row r="177" spans="1:4" x14ac:dyDescent="0.3">
      <c r="A177" s="1">
        <v>40502</v>
      </c>
      <c r="B177" s="1" t="s">
        <v>233</v>
      </c>
      <c r="C177" s="57">
        <v>692</v>
      </c>
      <c r="D177" s="57">
        <v>604</v>
      </c>
    </row>
    <row r="178" spans="1:4" x14ac:dyDescent="0.3">
      <c r="A178" s="1">
        <v>40503</v>
      </c>
      <c r="B178" s="1" t="s">
        <v>234</v>
      </c>
      <c r="C178" s="57">
        <v>348</v>
      </c>
      <c r="D178" s="57">
        <v>199</v>
      </c>
    </row>
    <row r="179" spans="1:4" x14ac:dyDescent="0.3">
      <c r="A179" s="1">
        <v>40504</v>
      </c>
      <c r="B179" s="1" t="s">
        <v>235</v>
      </c>
      <c r="C179" s="57">
        <v>89</v>
      </c>
      <c r="D179" s="57">
        <v>103</v>
      </c>
    </row>
    <row r="180" spans="1:4" x14ac:dyDescent="0.3">
      <c r="A180" s="1">
        <v>40505</v>
      </c>
      <c r="B180" s="1" t="s">
        <v>236</v>
      </c>
      <c r="C180" s="57">
        <v>426</v>
      </c>
      <c r="D180" s="57">
        <v>591</v>
      </c>
    </row>
    <row r="181" spans="1:4" x14ac:dyDescent="0.3">
      <c r="A181" s="1">
        <v>40601</v>
      </c>
      <c r="B181" s="1" t="s">
        <v>237</v>
      </c>
      <c r="C181" s="57">
        <v>832</v>
      </c>
      <c r="D181" s="57">
        <v>1174</v>
      </c>
    </row>
    <row r="182" spans="1:4" x14ac:dyDescent="0.3">
      <c r="A182" s="1">
        <v>40602</v>
      </c>
      <c r="B182" s="1" t="s">
        <v>239</v>
      </c>
      <c r="C182" s="57">
        <v>694</v>
      </c>
      <c r="D182" s="57">
        <v>462</v>
      </c>
    </row>
    <row r="183" spans="1:4" x14ac:dyDescent="0.3">
      <c r="A183" s="1">
        <v>40603</v>
      </c>
      <c r="B183" s="1" t="s">
        <v>240</v>
      </c>
      <c r="C183" s="57">
        <v>408</v>
      </c>
      <c r="D183" s="57">
        <v>483</v>
      </c>
    </row>
    <row r="184" spans="1:4" x14ac:dyDescent="0.3">
      <c r="A184" s="1">
        <v>40701</v>
      </c>
      <c r="B184" s="1" t="s">
        <v>242</v>
      </c>
      <c r="C184" s="57">
        <v>2729</v>
      </c>
      <c r="D184" s="57">
        <v>1574</v>
      </c>
    </row>
    <row r="185" spans="1:4" x14ac:dyDescent="0.3">
      <c r="A185" s="1">
        <v>40702</v>
      </c>
      <c r="B185" s="1" t="s">
        <v>244</v>
      </c>
      <c r="C185" s="57">
        <v>520</v>
      </c>
      <c r="D185" s="57">
        <v>651</v>
      </c>
    </row>
    <row r="186" spans="1:4" x14ac:dyDescent="0.3">
      <c r="A186" s="1">
        <v>40801</v>
      </c>
      <c r="B186" s="1" t="s">
        <v>484</v>
      </c>
      <c r="C186" s="57">
        <v>1772</v>
      </c>
      <c r="D186" s="57">
        <v>2484</v>
      </c>
    </row>
    <row r="187" spans="1:4" x14ac:dyDescent="0.3">
      <c r="A187" s="1">
        <v>40802</v>
      </c>
      <c r="B187" s="1" t="s">
        <v>247</v>
      </c>
      <c r="C187" s="57">
        <v>409</v>
      </c>
      <c r="D187" s="57">
        <v>461</v>
      </c>
    </row>
    <row r="188" spans="1:4" x14ac:dyDescent="0.3">
      <c r="A188" s="1">
        <v>40901</v>
      </c>
      <c r="B188" s="1" t="s">
        <v>248</v>
      </c>
      <c r="C188" s="57">
        <v>1267</v>
      </c>
      <c r="D188" s="57">
        <v>2089</v>
      </c>
    </row>
    <row r="189" spans="1:4" x14ac:dyDescent="0.3">
      <c r="A189" s="1">
        <v>40902</v>
      </c>
      <c r="B189" s="1" t="s">
        <v>249</v>
      </c>
      <c r="C189" s="57">
        <v>139</v>
      </c>
      <c r="D189" s="57">
        <v>187</v>
      </c>
    </row>
    <row r="190" spans="1:4" x14ac:dyDescent="0.3">
      <c r="A190" s="1">
        <v>40903</v>
      </c>
      <c r="B190" s="1" t="s">
        <v>485</v>
      </c>
      <c r="C190" s="57">
        <v>295</v>
      </c>
      <c r="D190" s="57">
        <v>298</v>
      </c>
    </row>
    <row r="191" spans="1:4" x14ac:dyDescent="0.3">
      <c r="A191" s="1">
        <v>41001</v>
      </c>
      <c r="B191" s="1" t="s">
        <v>252</v>
      </c>
      <c r="C191" s="57">
        <v>1293</v>
      </c>
      <c r="D191" s="57">
        <v>2021</v>
      </c>
    </row>
    <row r="192" spans="1:4" x14ac:dyDescent="0.3">
      <c r="A192" s="1">
        <v>41101</v>
      </c>
      <c r="B192" s="1" t="s">
        <v>254</v>
      </c>
      <c r="C192" s="57">
        <v>633</v>
      </c>
      <c r="D192" s="57">
        <v>626</v>
      </c>
    </row>
    <row r="193" spans="1:4" x14ac:dyDescent="0.3">
      <c r="A193" s="1">
        <v>41201</v>
      </c>
      <c r="B193" s="1" t="s">
        <v>256</v>
      </c>
      <c r="C193" s="57">
        <v>659</v>
      </c>
      <c r="D193" s="57">
        <v>1064</v>
      </c>
    </row>
    <row r="194" spans="1:4" x14ac:dyDescent="0.3">
      <c r="A194" s="1">
        <v>41202</v>
      </c>
      <c r="B194" s="1" t="s">
        <v>258</v>
      </c>
      <c r="C194" s="57">
        <v>265</v>
      </c>
      <c r="D194" s="57">
        <v>416</v>
      </c>
    </row>
    <row r="195" spans="1:4" x14ac:dyDescent="0.3">
      <c r="A195" s="1">
        <v>41301</v>
      </c>
      <c r="B195" s="1" t="s">
        <v>196</v>
      </c>
      <c r="C195" s="57">
        <v>731</v>
      </c>
      <c r="D195" s="57">
        <v>996</v>
      </c>
    </row>
    <row r="196" spans="1:4" x14ac:dyDescent="0.3">
      <c r="A196" s="1">
        <v>41401</v>
      </c>
      <c r="B196" s="1" t="s">
        <v>261</v>
      </c>
      <c r="C196" s="57">
        <v>1612</v>
      </c>
      <c r="D196" s="57">
        <v>1729</v>
      </c>
    </row>
    <row r="197" spans="1:4" x14ac:dyDescent="0.3">
      <c r="A197" s="1">
        <v>41501</v>
      </c>
      <c r="B197" s="1" t="s">
        <v>263</v>
      </c>
      <c r="C197" s="57">
        <v>83</v>
      </c>
      <c r="D197" s="57">
        <v>175</v>
      </c>
    </row>
    <row r="198" spans="1:4" x14ac:dyDescent="0.3">
      <c r="A198" s="1">
        <v>41502</v>
      </c>
      <c r="B198" s="1" t="s">
        <v>264</v>
      </c>
      <c r="C198" s="57">
        <v>104</v>
      </c>
      <c r="D198" s="57">
        <v>144</v>
      </c>
    </row>
    <row r="199" spans="1:4" x14ac:dyDescent="0.3">
      <c r="A199" s="1">
        <v>41503</v>
      </c>
      <c r="B199" s="1" t="s">
        <v>225</v>
      </c>
      <c r="C199" s="57">
        <v>149</v>
      </c>
      <c r="D199" s="57">
        <v>148</v>
      </c>
    </row>
    <row r="200" spans="1:4" x14ac:dyDescent="0.3">
      <c r="A200" s="1">
        <v>41601</v>
      </c>
      <c r="B200" s="1" t="s">
        <v>266</v>
      </c>
      <c r="C200" s="57">
        <v>681</v>
      </c>
      <c r="D200" s="57">
        <v>790</v>
      </c>
    </row>
    <row r="201" spans="1:4" x14ac:dyDescent="0.3">
      <c r="A201" s="1">
        <v>50101</v>
      </c>
      <c r="B201" s="1" t="s">
        <v>267</v>
      </c>
      <c r="C201" s="57">
        <v>20811</v>
      </c>
      <c r="D201" s="57">
        <v>20325</v>
      </c>
    </row>
    <row r="202" spans="1:4" x14ac:dyDescent="0.3">
      <c r="A202" s="1">
        <v>50102</v>
      </c>
      <c r="B202" s="1" t="s">
        <v>269</v>
      </c>
      <c r="C202" s="57">
        <v>3848</v>
      </c>
      <c r="D202" s="57">
        <v>4410</v>
      </c>
    </row>
    <row r="203" spans="1:4" x14ac:dyDescent="0.3">
      <c r="A203" s="1">
        <v>50103</v>
      </c>
      <c r="B203" s="1" t="s">
        <v>270</v>
      </c>
      <c r="C203" s="57">
        <v>1031</v>
      </c>
      <c r="D203" s="57">
        <v>1630</v>
      </c>
    </row>
    <row r="204" spans="1:4" x14ac:dyDescent="0.3">
      <c r="A204" s="1">
        <v>50104</v>
      </c>
      <c r="B204" s="1" t="s">
        <v>272</v>
      </c>
      <c r="C204" s="57">
        <v>382</v>
      </c>
      <c r="D204" s="57">
        <v>536</v>
      </c>
    </row>
    <row r="205" spans="1:4" x14ac:dyDescent="0.3">
      <c r="A205" s="1">
        <v>50201</v>
      </c>
      <c r="B205" s="1" t="s">
        <v>275</v>
      </c>
      <c r="C205" s="57">
        <v>2643</v>
      </c>
      <c r="D205" s="57">
        <v>2487</v>
      </c>
    </row>
    <row r="206" spans="1:4" x14ac:dyDescent="0.3">
      <c r="A206" s="1">
        <v>50202</v>
      </c>
      <c r="B206" s="1" t="s">
        <v>276</v>
      </c>
      <c r="C206" s="57">
        <v>2002</v>
      </c>
      <c r="D206" s="57">
        <v>1721</v>
      </c>
    </row>
    <row r="207" spans="1:4" x14ac:dyDescent="0.3">
      <c r="A207" s="1">
        <v>50203</v>
      </c>
      <c r="B207" s="1" t="s">
        <v>277</v>
      </c>
      <c r="C207" s="57">
        <v>4513</v>
      </c>
      <c r="D207" s="57">
        <v>3908</v>
      </c>
    </row>
    <row r="208" spans="1:4" x14ac:dyDescent="0.3">
      <c r="A208" s="1">
        <v>50204</v>
      </c>
      <c r="B208" s="1" t="s">
        <v>278</v>
      </c>
      <c r="C208" s="57">
        <v>1080</v>
      </c>
      <c r="D208" s="57">
        <v>1068</v>
      </c>
    </row>
    <row r="209" spans="1:4" x14ac:dyDescent="0.3">
      <c r="A209" s="1">
        <v>50301</v>
      </c>
      <c r="B209" s="1" t="s">
        <v>280</v>
      </c>
      <c r="C209" s="57">
        <v>4179</v>
      </c>
      <c r="D209" s="57">
        <v>3355</v>
      </c>
    </row>
    <row r="210" spans="1:4" x14ac:dyDescent="0.3">
      <c r="A210" s="1">
        <v>50302</v>
      </c>
      <c r="B210" s="1" t="s">
        <v>282</v>
      </c>
      <c r="C210" s="57">
        <v>1052</v>
      </c>
      <c r="D210" s="57">
        <v>952</v>
      </c>
    </row>
    <row r="211" spans="1:4" x14ac:dyDescent="0.3">
      <c r="A211" s="1">
        <v>50303</v>
      </c>
      <c r="B211" s="1" t="s">
        <v>283</v>
      </c>
      <c r="C211" s="57">
        <v>1503</v>
      </c>
      <c r="D211" s="57">
        <v>1993</v>
      </c>
    </row>
    <row r="212" spans="1:4" x14ac:dyDescent="0.3">
      <c r="A212" s="1">
        <v>50401</v>
      </c>
      <c r="B212" s="1" t="s">
        <v>284</v>
      </c>
      <c r="C212" s="57">
        <v>1999</v>
      </c>
      <c r="D212" s="57">
        <v>2150</v>
      </c>
    </row>
    <row r="213" spans="1:4" x14ac:dyDescent="0.3">
      <c r="A213" s="1">
        <v>50402</v>
      </c>
      <c r="B213" s="1" t="s">
        <v>285</v>
      </c>
      <c r="C213" s="57">
        <v>2786</v>
      </c>
      <c r="D213" s="57">
        <v>2054</v>
      </c>
    </row>
    <row r="214" spans="1:4" x14ac:dyDescent="0.3">
      <c r="A214" s="1">
        <v>50403</v>
      </c>
      <c r="B214" s="1" t="s">
        <v>286</v>
      </c>
      <c r="C214" s="57">
        <v>3349</v>
      </c>
      <c r="D214" s="57">
        <v>4318</v>
      </c>
    </row>
    <row r="215" spans="1:4" x14ac:dyDescent="0.3">
      <c r="A215" s="1">
        <v>50404</v>
      </c>
      <c r="B215" s="1" t="s">
        <v>287</v>
      </c>
      <c r="C215" s="57">
        <v>2110</v>
      </c>
      <c r="D215" s="57">
        <v>1851</v>
      </c>
    </row>
    <row r="216" spans="1:4" x14ac:dyDescent="0.3">
      <c r="A216" s="1">
        <v>50405</v>
      </c>
      <c r="B216" s="1" t="s">
        <v>288</v>
      </c>
      <c r="C216" s="57">
        <v>2571</v>
      </c>
      <c r="D216" s="57">
        <v>2762</v>
      </c>
    </row>
    <row r="217" spans="1:4" x14ac:dyDescent="0.3">
      <c r="A217" s="1">
        <v>50501</v>
      </c>
      <c r="B217" s="1" t="s">
        <v>290</v>
      </c>
      <c r="C217" s="57">
        <v>4169</v>
      </c>
      <c r="D217" s="57">
        <v>4253</v>
      </c>
    </row>
    <row r="218" spans="1:4" x14ac:dyDescent="0.3">
      <c r="A218" s="1">
        <v>50502</v>
      </c>
      <c r="B218" s="1" t="s">
        <v>291</v>
      </c>
      <c r="C218" s="57">
        <v>1386</v>
      </c>
      <c r="D218" s="57">
        <v>1303</v>
      </c>
    </row>
    <row r="219" spans="1:4" x14ac:dyDescent="0.3">
      <c r="A219" s="1">
        <v>50601</v>
      </c>
      <c r="B219" s="1" t="s">
        <v>293</v>
      </c>
      <c r="C219" s="57">
        <v>3715</v>
      </c>
      <c r="D219" s="57">
        <v>2995</v>
      </c>
    </row>
    <row r="220" spans="1:4" x14ac:dyDescent="0.3">
      <c r="A220" s="1">
        <v>50602</v>
      </c>
      <c r="B220" s="1" t="s">
        <v>486</v>
      </c>
      <c r="C220" s="57">
        <v>1078</v>
      </c>
      <c r="D220" s="57">
        <v>840</v>
      </c>
    </row>
    <row r="221" spans="1:4" x14ac:dyDescent="0.3">
      <c r="A221" s="1">
        <v>50701</v>
      </c>
      <c r="B221" s="1" t="s">
        <v>296</v>
      </c>
      <c r="C221" s="57">
        <v>2648</v>
      </c>
      <c r="D221" s="57">
        <v>2002</v>
      </c>
    </row>
    <row r="222" spans="1:4" x14ac:dyDescent="0.3">
      <c r="A222" s="1">
        <v>50702</v>
      </c>
      <c r="B222" s="1" t="s">
        <v>298</v>
      </c>
      <c r="C222" s="57">
        <v>1073</v>
      </c>
      <c r="D222" s="57">
        <v>1007</v>
      </c>
    </row>
    <row r="223" spans="1:4" x14ac:dyDescent="0.3">
      <c r="A223" s="1">
        <v>50801</v>
      </c>
      <c r="B223" s="1" t="s">
        <v>300</v>
      </c>
      <c r="C223" s="57">
        <v>4395</v>
      </c>
      <c r="D223" s="57">
        <v>3634</v>
      </c>
    </row>
    <row r="224" spans="1:4" x14ac:dyDescent="0.3">
      <c r="A224" s="1">
        <v>50802</v>
      </c>
      <c r="B224" s="1" t="s">
        <v>301</v>
      </c>
      <c r="C224" s="57">
        <v>1382</v>
      </c>
      <c r="D224" s="57">
        <v>1119</v>
      </c>
    </row>
    <row r="225" spans="1:4" x14ac:dyDescent="0.3">
      <c r="A225" s="1">
        <v>50901</v>
      </c>
      <c r="B225" s="1" t="s">
        <v>303</v>
      </c>
      <c r="C225" s="57">
        <v>1217</v>
      </c>
      <c r="D225" s="57">
        <v>1015</v>
      </c>
    </row>
    <row r="226" spans="1:4" x14ac:dyDescent="0.3">
      <c r="A226" s="1">
        <v>50902</v>
      </c>
      <c r="B226" s="1" t="s">
        <v>305</v>
      </c>
      <c r="C226" s="57">
        <v>125</v>
      </c>
      <c r="D226" s="57">
        <v>152</v>
      </c>
    </row>
    <row r="227" spans="1:4" x14ac:dyDescent="0.3">
      <c r="A227" s="1">
        <v>51001</v>
      </c>
      <c r="B227" s="1" t="s">
        <v>308</v>
      </c>
      <c r="C227" s="57">
        <v>414</v>
      </c>
      <c r="D227" s="57">
        <v>378</v>
      </c>
    </row>
    <row r="228" spans="1:4" x14ac:dyDescent="0.3">
      <c r="A228" s="1">
        <v>51002</v>
      </c>
      <c r="B228" s="1" t="s">
        <v>310</v>
      </c>
      <c r="C228" s="57">
        <v>179</v>
      </c>
      <c r="D228" s="57">
        <v>130</v>
      </c>
    </row>
    <row r="229" spans="1:4" x14ac:dyDescent="0.3">
      <c r="A229" s="1">
        <v>51003</v>
      </c>
      <c r="B229" s="1" t="s">
        <v>311</v>
      </c>
      <c r="C229" s="57">
        <v>302</v>
      </c>
      <c r="D229" s="57">
        <v>249</v>
      </c>
    </row>
    <row r="230" spans="1:4" x14ac:dyDescent="0.3">
      <c r="A230" s="1">
        <v>51101</v>
      </c>
      <c r="B230" s="1" t="s">
        <v>313</v>
      </c>
      <c r="C230" s="57">
        <v>2380</v>
      </c>
      <c r="D230" s="57">
        <v>1543</v>
      </c>
    </row>
    <row r="231" spans="1:4" x14ac:dyDescent="0.3">
      <c r="A231" s="1">
        <v>51102</v>
      </c>
      <c r="B231" s="1" t="s">
        <v>315</v>
      </c>
      <c r="C231" s="57">
        <v>1394</v>
      </c>
      <c r="D231" s="57">
        <v>1269</v>
      </c>
    </row>
    <row r="232" spans="1:4" x14ac:dyDescent="0.3">
      <c r="A232" s="1">
        <v>51103</v>
      </c>
      <c r="B232" s="1" t="s">
        <v>316</v>
      </c>
      <c r="C232" s="57">
        <v>2079</v>
      </c>
      <c r="D232" s="57">
        <v>1704</v>
      </c>
    </row>
    <row r="233" spans="1:4" x14ac:dyDescent="0.3">
      <c r="A233" s="1">
        <v>51201</v>
      </c>
      <c r="B233" s="1" t="s">
        <v>318</v>
      </c>
      <c r="C233" s="57">
        <v>3251</v>
      </c>
      <c r="D233" s="57">
        <v>3632</v>
      </c>
    </row>
    <row r="234" spans="1:4" x14ac:dyDescent="0.3">
      <c r="A234" s="1">
        <v>51202</v>
      </c>
      <c r="B234" s="1" t="s">
        <v>319</v>
      </c>
      <c r="C234" s="57">
        <v>1055</v>
      </c>
      <c r="D234" s="57">
        <v>957</v>
      </c>
    </row>
    <row r="235" spans="1:4" x14ac:dyDescent="0.3">
      <c r="A235" s="1">
        <v>51203</v>
      </c>
      <c r="B235" s="1" t="s">
        <v>320</v>
      </c>
      <c r="C235" s="57">
        <v>1555</v>
      </c>
      <c r="D235" s="57">
        <v>2206</v>
      </c>
    </row>
    <row r="236" spans="1:4" x14ac:dyDescent="0.3">
      <c r="A236" s="1">
        <v>51204</v>
      </c>
      <c r="B236" s="1" t="s">
        <v>487</v>
      </c>
      <c r="C236" s="57">
        <v>644</v>
      </c>
      <c r="D236" s="57">
        <v>607</v>
      </c>
    </row>
    <row r="237" spans="1:4" x14ac:dyDescent="0.3">
      <c r="A237" s="1">
        <v>51301</v>
      </c>
      <c r="B237" s="1" t="s">
        <v>323</v>
      </c>
      <c r="C237" s="57">
        <v>553</v>
      </c>
      <c r="D237" s="57">
        <v>470</v>
      </c>
    </row>
    <row r="238" spans="1:4" x14ac:dyDescent="0.3">
      <c r="A238" s="1">
        <v>51302</v>
      </c>
      <c r="B238" s="1" t="s">
        <v>324</v>
      </c>
      <c r="C238" s="57">
        <v>757</v>
      </c>
      <c r="D238" s="57">
        <v>476</v>
      </c>
    </row>
    <row r="239" spans="1:4" x14ac:dyDescent="0.3">
      <c r="A239" s="1">
        <v>51401</v>
      </c>
      <c r="B239" s="1" t="s">
        <v>326</v>
      </c>
      <c r="C239" s="57">
        <v>527</v>
      </c>
      <c r="D239" s="57">
        <v>557</v>
      </c>
    </row>
    <row r="240" spans="1:4" x14ac:dyDescent="0.3">
      <c r="A240" s="1">
        <v>51402</v>
      </c>
      <c r="B240" s="1" t="s">
        <v>327</v>
      </c>
      <c r="C240" s="57">
        <v>220</v>
      </c>
      <c r="D240" s="57">
        <v>222</v>
      </c>
    </row>
    <row r="241" spans="1:4" x14ac:dyDescent="0.3">
      <c r="A241" s="1">
        <v>51501</v>
      </c>
      <c r="B241" s="1" t="s">
        <v>329</v>
      </c>
      <c r="C241" s="57">
        <v>4602</v>
      </c>
      <c r="D241" s="57">
        <v>4148</v>
      </c>
    </row>
    <row r="242" spans="1:4" x14ac:dyDescent="0.3">
      <c r="A242" s="1">
        <v>51601</v>
      </c>
      <c r="B242" s="1" t="s">
        <v>331</v>
      </c>
      <c r="C242" s="57">
        <v>158</v>
      </c>
      <c r="D242" s="57">
        <v>172</v>
      </c>
    </row>
    <row r="243" spans="1:4" x14ac:dyDescent="0.3">
      <c r="A243" s="1">
        <v>60101</v>
      </c>
      <c r="B243" s="1" t="s">
        <v>332</v>
      </c>
      <c r="C243" s="57">
        <v>18189</v>
      </c>
      <c r="D243" s="57">
        <v>17409</v>
      </c>
    </row>
    <row r="244" spans="1:4" x14ac:dyDescent="0.3">
      <c r="A244" s="1">
        <v>60201</v>
      </c>
      <c r="B244" s="1" t="s">
        <v>334</v>
      </c>
      <c r="C244" s="57">
        <v>2252</v>
      </c>
      <c r="D244" s="57">
        <v>1592</v>
      </c>
    </row>
    <row r="245" spans="1:4" x14ac:dyDescent="0.3">
      <c r="A245" s="1">
        <v>60202</v>
      </c>
      <c r="B245" s="1" t="s">
        <v>335</v>
      </c>
      <c r="C245" s="57">
        <v>3574</v>
      </c>
      <c r="D245" s="57">
        <v>3125</v>
      </c>
    </row>
    <row r="246" spans="1:4" x14ac:dyDescent="0.3">
      <c r="A246" s="1">
        <v>60301</v>
      </c>
      <c r="B246" s="1" t="s">
        <v>337</v>
      </c>
      <c r="C246" s="57">
        <v>9062</v>
      </c>
      <c r="D246" s="57">
        <v>8042</v>
      </c>
    </row>
    <row r="247" spans="1:4" x14ac:dyDescent="0.3">
      <c r="A247" s="1">
        <v>60302</v>
      </c>
      <c r="B247" s="1" t="s">
        <v>338</v>
      </c>
      <c r="C247" s="57">
        <v>1480</v>
      </c>
      <c r="D247" s="57">
        <v>1398</v>
      </c>
    </row>
    <row r="248" spans="1:4" x14ac:dyDescent="0.3">
      <c r="A248" s="1">
        <v>60303</v>
      </c>
      <c r="B248" s="1" t="s">
        <v>339</v>
      </c>
      <c r="C248" s="57">
        <v>4124</v>
      </c>
      <c r="D248" s="57">
        <v>4341</v>
      </c>
    </row>
    <row r="249" spans="1:4" x14ac:dyDescent="0.3">
      <c r="A249" s="1">
        <v>60401</v>
      </c>
      <c r="B249" s="1" t="s">
        <v>341</v>
      </c>
      <c r="C249" s="57">
        <v>1731</v>
      </c>
      <c r="D249" s="57">
        <v>1536</v>
      </c>
    </row>
    <row r="250" spans="1:4" x14ac:dyDescent="0.3">
      <c r="A250" s="1">
        <v>60402</v>
      </c>
      <c r="B250" s="1" t="s">
        <v>343</v>
      </c>
      <c r="C250" s="57">
        <v>687</v>
      </c>
      <c r="D250" s="57">
        <v>523</v>
      </c>
    </row>
    <row r="251" spans="1:4" x14ac:dyDescent="0.3">
      <c r="A251" s="1">
        <v>60501</v>
      </c>
      <c r="B251" s="1" t="s">
        <v>345</v>
      </c>
      <c r="C251" s="57">
        <v>2543</v>
      </c>
      <c r="D251" s="57">
        <v>2599</v>
      </c>
    </row>
    <row r="252" spans="1:4" x14ac:dyDescent="0.3">
      <c r="A252" s="1">
        <v>60502</v>
      </c>
      <c r="B252" s="1" t="s">
        <v>347</v>
      </c>
      <c r="C252" s="57">
        <v>1415</v>
      </c>
      <c r="D252" s="57">
        <v>902</v>
      </c>
    </row>
    <row r="253" spans="1:4" x14ac:dyDescent="0.3">
      <c r="A253" s="1">
        <v>60601</v>
      </c>
      <c r="B253" s="1" t="s">
        <v>201</v>
      </c>
      <c r="C253" s="57">
        <v>2398</v>
      </c>
      <c r="D253" s="57">
        <v>2038</v>
      </c>
    </row>
    <row r="254" spans="1:4" x14ac:dyDescent="0.3">
      <c r="A254" s="1">
        <v>70101</v>
      </c>
      <c r="B254" s="1" t="s">
        <v>351</v>
      </c>
      <c r="C254" s="57">
        <v>132515</v>
      </c>
      <c r="D254" s="57">
        <v>125274</v>
      </c>
    </row>
    <row r="255" spans="1:4" x14ac:dyDescent="0.3">
      <c r="A255" s="1">
        <v>70102</v>
      </c>
      <c r="B255" s="1" t="s">
        <v>352</v>
      </c>
      <c r="C255" s="57">
        <v>6681</v>
      </c>
      <c r="D255" s="57">
        <v>11379</v>
      </c>
    </row>
    <row r="256" spans="1:4" x14ac:dyDescent="0.3">
      <c r="A256" s="1">
        <v>70103</v>
      </c>
      <c r="B256" s="1" t="s">
        <v>353</v>
      </c>
      <c r="C256" s="57">
        <v>1640</v>
      </c>
      <c r="D256" s="57">
        <v>1683</v>
      </c>
    </row>
    <row r="257" spans="1:4" x14ac:dyDescent="0.3">
      <c r="A257" s="1">
        <v>70104</v>
      </c>
      <c r="B257" s="1" t="s">
        <v>355</v>
      </c>
      <c r="C257" s="57">
        <v>9908</v>
      </c>
      <c r="D257" s="57">
        <v>13261</v>
      </c>
    </row>
    <row r="258" spans="1:4" x14ac:dyDescent="0.3">
      <c r="A258" s="1">
        <v>70105</v>
      </c>
      <c r="B258" s="1" t="s">
        <v>356</v>
      </c>
      <c r="C258" s="57">
        <v>5807</v>
      </c>
      <c r="D258" s="57">
        <v>5230</v>
      </c>
    </row>
    <row r="259" spans="1:4" x14ac:dyDescent="0.3">
      <c r="A259" s="1">
        <v>70201</v>
      </c>
      <c r="B259" s="1" t="s">
        <v>357</v>
      </c>
      <c r="C259" s="57">
        <v>11940</v>
      </c>
      <c r="D259" s="57">
        <v>15324</v>
      </c>
    </row>
    <row r="260" spans="1:4" x14ac:dyDescent="0.3">
      <c r="A260" s="1">
        <v>70202</v>
      </c>
      <c r="B260" s="1" t="s">
        <v>358</v>
      </c>
      <c r="C260" s="57">
        <v>1489</v>
      </c>
      <c r="D260" s="57">
        <v>1216</v>
      </c>
    </row>
    <row r="261" spans="1:4" x14ac:dyDescent="0.3">
      <c r="A261" s="1">
        <v>70301</v>
      </c>
      <c r="B261" s="1" t="s">
        <v>360</v>
      </c>
      <c r="C261" s="57">
        <v>6132</v>
      </c>
      <c r="D261" s="57">
        <v>8078</v>
      </c>
    </row>
    <row r="262" spans="1:4" x14ac:dyDescent="0.3">
      <c r="A262" s="1">
        <v>70302</v>
      </c>
      <c r="B262" s="1" t="s">
        <v>361</v>
      </c>
      <c r="C262" s="57">
        <v>1379</v>
      </c>
      <c r="D262" s="57">
        <v>1925</v>
      </c>
    </row>
    <row r="263" spans="1:4" x14ac:dyDescent="0.3">
      <c r="A263" s="1">
        <v>70303</v>
      </c>
      <c r="B263" s="1" t="s">
        <v>362</v>
      </c>
      <c r="C263" s="57">
        <v>703</v>
      </c>
      <c r="D263" s="57">
        <v>1292</v>
      </c>
    </row>
    <row r="264" spans="1:4" x14ac:dyDescent="0.3">
      <c r="A264" s="1">
        <v>70401</v>
      </c>
      <c r="B264" s="1" t="s">
        <v>364</v>
      </c>
      <c r="C264" s="57">
        <v>1501</v>
      </c>
      <c r="D264" s="57">
        <v>1306</v>
      </c>
    </row>
    <row r="265" spans="1:4" x14ac:dyDescent="0.3">
      <c r="A265" s="1">
        <v>70402</v>
      </c>
      <c r="B265" s="1" t="s">
        <v>365</v>
      </c>
      <c r="C265" s="57">
        <v>2415</v>
      </c>
      <c r="D265" s="57">
        <v>1937</v>
      </c>
    </row>
    <row r="266" spans="1:4" x14ac:dyDescent="0.3">
      <c r="A266" s="1">
        <v>70403</v>
      </c>
      <c r="B266" s="1" t="s">
        <v>366</v>
      </c>
      <c r="C266" s="57">
        <v>6040</v>
      </c>
      <c r="D266" s="57">
        <v>6293</v>
      </c>
    </row>
    <row r="267" spans="1:4" x14ac:dyDescent="0.3">
      <c r="A267" s="1">
        <v>70404</v>
      </c>
      <c r="B267" s="1" t="s">
        <v>367</v>
      </c>
      <c r="C267" s="57">
        <v>1062</v>
      </c>
      <c r="D267" s="57">
        <v>1081</v>
      </c>
    </row>
    <row r="268" spans="1:4" x14ac:dyDescent="0.3">
      <c r="A268" s="1">
        <v>70501</v>
      </c>
      <c r="B268" s="1" t="s">
        <v>369</v>
      </c>
      <c r="C268" s="57">
        <v>2563</v>
      </c>
      <c r="D268" s="57">
        <v>4955</v>
      </c>
    </row>
    <row r="269" spans="1:4" x14ac:dyDescent="0.3">
      <c r="A269" s="1">
        <v>70502</v>
      </c>
      <c r="B269" s="1" t="s">
        <v>370</v>
      </c>
      <c r="C269" s="57">
        <v>4299</v>
      </c>
      <c r="D269" s="57">
        <v>6056</v>
      </c>
    </row>
    <row r="270" spans="1:4" x14ac:dyDescent="0.3">
      <c r="A270" s="1">
        <v>70503</v>
      </c>
      <c r="B270" s="1" t="s">
        <v>371</v>
      </c>
      <c r="C270" s="57">
        <v>1594</v>
      </c>
      <c r="D270" s="57">
        <v>1859</v>
      </c>
    </row>
    <row r="271" spans="1:4" x14ac:dyDescent="0.3">
      <c r="A271" s="1">
        <v>70601</v>
      </c>
      <c r="B271" s="1" t="s">
        <v>373</v>
      </c>
      <c r="C271" s="57">
        <v>1730</v>
      </c>
      <c r="D271" s="57">
        <v>1828</v>
      </c>
    </row>
    <row r="272" spans="1:4" x14ac:dyDescent="0.3">
      <c r="A272" s="1">
        <v>70602</v>
      </c>
      <c r="B272" s="1" t="s">
        <v>374</v>
      </c>
      <c r="C272" s="57">
        <v>2387</v>
      </c>
      <c r="D272" s="57">
        <v>1932</v>
      </c>
    </row>
    <row r="273" spans="1:4" x14ac:dyDescent="0.3">
      <c r="A273" s="1">
        <v>70603</v>
      </c>
      <c r="B273" s="1" t="s">
        <v>375</v>
      </c>
      <c r="C273" s="57">
        <v>759</v>
      </c>
      <c r="D273" s="57">
        <v>642</v>
      </c>
    </row>
    <row r="274" spans="1:4" x14ac:dyDescent="0.3">
      <c r="A274" s="1">
        <v>70701</v>
      </c>
      <c r="B274" s="1" t="s">
        <v>377</v>
      </c>
      <c r="C274" s="57">
        <v>625</v>
      </c>
      <c r="D274" s="57">
        <v>686</v>
      </c>
    </row>
    <row r="275" spans="1:4" x14ac:dyDescent="0.3">
      <c r="A275" s="1">
        <v>70702</v>
      </c>
      <c r="B275" s="1" t="s">
        <v>488</v>
      </c>
      <c r="C275" s="57">
        <v>3886</v>
      </c>
      <c r="D275" s="57">
        <v>4564</v>
      </c>
    </row>
    <row r="276" spans="1:4" x14ac:dyDescent="0.3">
      <c r="A276" s="1">
        <v>70703</v>
      </c>
      <c r="B276" s="1" t="s">
        <v>379</v>
      </c>
      <c r="C276" s="57">
        <v>3195</v>
      </c>
      <c r="D276" s="57">
        <v>3674</v>
      </c>
    </row>
    <row r="277" spans="1:4" x14ac:dyDescent="0.3">
      <c r="A277" s="1">
        <v>70704</v>
      </c>
      <c r="B277" s="1" t="s">
        <v>380</v>
      </c>
      <c r="C277" s="57">
        <v>557</v>
      </c>
      <c r="D277" s="57">
        <v>548</v>
      </c>
    </row>
    <row r="278" spans="1:4" x14ac:dyDescent="0.3">
      <c r="A278" s="1">
        <v>70705</v>
      </c>
      <c r="B278" s="1" t="s">
        <v>489</v>
      </c>
      <c r="C278" s="57">
        <v>1517</v>
      </c>
      <c r="D278" s="57">
        <v>1742</v>
      </c>
    </row>
    <row r="279" spans="1:4" x14ac:dyDescent="0.3">
      <c r="A279" s="1">
        <v>70706</v>
      </c>
      <c r="B279" s="1" t="s">
        <v>382</v>
      </c>
      <c r="C279" s="57">
        <v>2997</v>
      </c>
      <c r="D279" s="57">
        <v>2478</v>
      </c>
    </row>
    <row r="280" spans="1:4" x14ac:dyDescent="0.3">
      <c r="A280" s="1">
        <v>70707</v>
      </c>
      <c r="B280" s="1" t="s">
        <v>383</v>
      </c>
      <c r="C280" s="57">
        <v>528</v>
      </c>
      <c r="D280" s="57">
        <v>585</v>
      </c>
    </row>
    <row r="281" spans="1:4" x14ac:dyDescent="0.3">
      <c r="A281" s="1">
        <v>70801</v>
      </c>
      <c r="B281" s="1" t="s">
        <v>384</v>
      </c>
      <c r="C281" s="57">
        <v>1918</v>
      </c>
      <c r="D281" s="57">
        <v>1592</v>
      </c>
    </row>
    <row r="282" spans="1:4" x14ac:dyDescent="0.3">
      <c r="A282" s="1">
        <v>70802</v>
      </c>
      <c r="B282" s="1" t="s">
        <v>385</v>
      </c>
      <c r="C282" s="57">
        <v>239</v>
      </c>
      <c r="D282" s="57">
        <v>208</v>
      </c>
    </row>
    <row r="283" spans="1:4" x14ac:dyDescent="0.3">
      <c r="A283" s="1">
        <v>70803</v>
      </c>
      <c r="B283" s="1" t="s">
        <v>386</v>
      </c>
      <c r="C283" s="57">
        <v>393</v>
      </c>
      <c r="D283" s="57">
        <v>309</v>
      </c>
    </row>
    <row r="284" spans="1:4" x14ac:dyDescent="0.3">
      <c r="A284" s="1">
        <v>70804</v>
      </c>
      <c r="B284" s="1" t="s">
        <v>387</v>
      </c>
      <c r="C284" s="57">
        <v>297</v>
      </c>
      <c r="D284" s="57">
        <v>192</v>
      </c>
    </row>
    <row r="285" spans="1:4" x14ac:dyDescent="0.3">
      <c r="A285" s="1">
        <v>70805</v>
      </c>
      <c r="B285" s="1" t="s">
        <v>388</v>
      </c>
      <c r="C285" s="57">
        <v>297</v>
      </c>
      <c r="D285" s="57">
        <v>225</v>
      </c>
    </row>
    <row r="286" spans="1:4" x14ac:dyDescent="0.3">
      <c r="A286" s="1">
        <v>70901</v>
      </c>
      <c r="B286" s="1" t="s">
        <v>390</v>
      </c>
      <c r="C286" s="57">
        <v>1143</v>
      </c>
      <c r="D286" s="57">
        <v>1084</v>
      </c>
    </row>
    <row r="287" spans="1:4" x14ac:dyDescent="0.3">
      <c r="A287" s="1">
        <v>70902</v>
      </c>
      <c r="B287" s="1" t="s">
        <v>490</v>
      </c>
      <c r="C287" s="57">
        <v>1090</v>
      </c>
      <c r="D287" s="57">
        <v>1014</v>
      </c>
    </row>
    <row r="288" spans="1:4" x14ac:dyDescent="0.3">
      <c r="A288" s="1">
        <v>70903</v>
      </c>
      <c r="B288" s="1" t="s">
        <v>392</v>
      </c>
      <c r="C288" s="57">
        <v>1205</v>
      </c>
      <c r="D288" s="57">
        <v>1402</v>
      </c>
    </row>
    <row r="289" spans="1:4" x14ac:dyDescent="0.3">
      <c r="A289" s="1">
        <v>70904</v>
      </c>
      <c r="B289" s="1" t="s">
        <v>393</v>
      </c>
      <c r="C289" s="57">
        <v>404</v>
      </c>
      <c r="D289" s="57">
        <v>394</v>
      </c>
    </row>
    <row r="290" spans="1:4" x14ac:dyDescent="0.3">
      <c r="A290" s="1">
        <v>71001</v>
      </c>
      <c r="B290" s="1" t="s">
        <v>395</v>
      </c>
      <c r="C290" s="57">
        <v>11339</v>
      </c>
      <c r="D290" s="57">
        <v>11237</v>
      </c>
    </row>
    <row r="291" spans="1:4" x14ac:dyDescent="0.3">
      <c r="A291" s="1">
        <v>71002</v>
      </c>
      <c r="B291" s="1" t="s">
        <v>396</v>
      </c>
      <c r="C291" s="57">
        <v>1861</v>
      </c>
      <c r="D291" s="57">
        <v>2019</v>
      </c>
    </row>
    <row r="292" spans="1:4" x14ac:dyDescent="0.3">
      <c r="A292" s="1">
        <v>71003</v>
      </c>
      <c r="B292" s="1" t="s">
        <v>397</v>
      </c>
      <c r="C292" s="57">
        <v>2932</v>
      </c>
      <c r="D292" s="57">
        <v>2587</v>
      </c>
    </row>
    <row r="293" spans="1:4" x14ac:dyDescent="0.3">
      <c r="A293" s="1">
        <v>71004</v>
      </c>
      <c r="B293" s="1" t="s">
        <v>398</v>
      </c>
      <c r="C293" s="57">
        <v>1794</v>
      </c>
      <c r="D293" s="57">
        <v>1465</v>
      </c>
    </row>
    <row r="294" spans="1:4" x14ac:dyDescent="0.3">
      <c r="A294" s="1">
        <v>71005</v>
      </c>
      <c r="B294" s="1" t="s">
        <v>290</v>
      </c>
      <c r="C294" s="57">
        <v>2091</v>
      </c>
      <c r="D294" s="57">
        <v>1455</v>
      </c>
    </row>
    <row r="295" spans="1:4" x14ac:dyDescent="0.3">
      <c r="A295" s="1">
        <v>71101</v>
      </c>
      <c r="B295" s="1" t="s">
        <v>342</v>
      </c>
      <c r="C295" s="57">
        <v>2260</v>
      </c>
      <c r="D295" s="57">
        <v>3551</v>
      </c>
    </row>
    <row r="296" spans="1:4" x14ac:dyDescent="0.3">
      <c r="A296" s="1">
        <v>71102</v>
      </c>
      <c r="B296" s="1" t="s">
        <v>400</v>
      </c>
      <c r="C296" s="57">
        <v>1576</v>
      </c>
      <c r="D296" s="57">
        <v>1751</v>
      </c>
    </row>
    <row r="297" spans="1:4" x14ac:dyDescent="0.3">
      <c r="A297" s="1">
        <v>71103</v>
      </c>
      <c r="B297" s="1" t="s">
        <v>401</v>
      </c>
      <c r="C297" s="57">
        <v>872</v>
      </c>
      <c r="D297" s="57">
        <v>1020</v>
      </c>
    </row>
    <row r="298" spans="1:4" x14ac:dyDescent="0.3">
      <c r="A298" s="1">
        <v>71104</v>
      </c>
      <c r="B298" s="1" t="s">
        <v>402</v>
      </c>
      <c r="C298" s="57">
        <v>5939</v>
      </c>
      <c r="D298" s="57">
        <v>4571</v>
      </c>
    </row>
    <row r="299" spans="1:4" x14ac:dyDescent="0.3">
      <c r="A299" s="1">
        <v>71105</v>
      </c>
      <c r="B299" s="1" t="s">
        <v>403</v>
      </c>
      <c r="C299" s="57">
        <v>821</v>
      </c>
      <c r="D299" s="57">
        <v>790</v>
      </c>
    </row>
    <row r="300" spans="1:4" x14ac:dyDescent="0.3">
      <c r="A300" s="1">
        <v>71106</v>
      </c>
      <c r="B300" s="1" t="s">
        <v>404</v>
      </c>
      <c r="C300" s="57">
        <v>2590</v>
      </c>
      <c r="D300" s="57">
        <v>2577</v>
      </c>
    </row>
    <row r="301" spans="1:4" x14ac:dyDescent="0.3">
      <c r="A301" s="1">
        <v>71201</v>
      </c>
      <c r="B301" s="1" t="s">
        <v>406</v>
      </c>
      <c r="C301" s="57">
        <v>1530</v>
      </c>
      <c r="D301" s="57">
        <v>1700</v>
      </c>
    </row>
    <row r="302" spans="1:4" x14ac:dyDescent="0.3">
      <c r="A302" s="1">
        <v>71301</v>
      </c>
      <c r="B302" s="1" t="s">
        <v>408</v>
      </c>
      <c r="C302" s="57">
        <v>2086</v>
      </c>
      <c r="D302" s="57">
        <v>1904</v>
      </c>
    </row>
    <row r="303" spans="1:4" x14ac:dyDescent="0.3">
      <c r="A303" s="1">
        <v>71302</v>
      </c>
      <c r="B303" s="1" t="s">
        <v>409</v>
      </c>
      <c r="C303" s="57">
        <v>983</v>
      </c>
      <c r="D303" s="57">
        <v>669</v>
      </c>
    </row>
    <row r="304" spans="1:4" x14ac:dyDescent="0.3">
      <c r="A304" s="1">
        <v>71401</v>
      </c>
      <c r="B304" s="1" t="s">
        <v>491</v>
      </c>
      <c r="C304" s="57">
        <v>2018</v>
      </c>
      <c r="D304" s="57">
        <v>1648</v>
      </c>
    </row>
    <row r="305" spans="1:4" x14ac:dyDescent="0.3">
      <c r="A305" s="1">
        <v>71402</v>
      </c>
      <c r="B305" s="1" t="s">
        <v>412</v>
      </c>
      <c r="C305" s="57">
        <v>1801</v>
      </c>
      <c r="D305" s="57">
        <v>1809</v>
      </c>
    </row>
    <row r="306" spans="1:4" x14ac:dyDescent="0.3">
      <c r="A306" s="1">
        <v>71403</v>
      </c>
      <c r="B306" s="1" t="s">
        <v>413</v>
      </c>
      <c r="C306" s="57">
        <v>712</v>
      </c>
      <c r="D306" s="57">
        <v>1009</v>
      </c>
    </row>
    <row r="307" spans="1:4" x14ac:dyDescent="0.3">
      <c r="A307" s="1">
        <v>71501</v>
      </c>
      <c r="B307" s="1" t="s">
        <v>415</v>
      </c>
      <c r="C307" s="57">
        <v>3134</v>
      </c>
      <c r="D307" s="57">
        <v>3742</v>
      </c>
    </row>
    <row r="308" spans="1:4" x14ac:dyDescent="0.3">
      <c r="A308" s="1">
        <v>71502</v>
      </c>
      <c r="B308" s="1" t="s">
        <v>416</v>
      </c>
      <c r="C308" s="57">
        <v>814</v>
      </c>
      <c r="D308" s="57">
        <v>775</v>
      </c>
    </row>
    <row r="309" spans="1:4" x14ac:dyDescent="0.3">
      <c r="A309" s="1">
        <v>71503</v>
      </c>
      <c r="B309" s="1" t="s">
        <v>347</v>
      </c>
      <c r="C309" s="57">
        <v>1808</v>
      </c>
      <c r="D309" s="57">
        <v>2062</v>
      </c>
    </row>
    <row r="310" spans="1:4" x14ac:dyDescent="0.3">
      <c r="A310" s="1">
        <v>80101</v>
      </c>
      <c r="B310" s="1" t="s">
        <v>419</v>
      </c>
      <c r="C310" s="57">
        <v>10848</v>
      </c>
      <c r="D310" s="57">
        <v>11459</v>
      </c>
    </row>
    <row r="311" spans="1:4" x14ac:dyDescent="0.3">
      <c r="A311" s="1">
        <v>80102</v>
      </c>
      <c r="B311" s="1" t="s">
        <v>400</v>
      </c>
      <c r="C311" s="57">
        <v>666</v>
      </c>
      <c r="D311" s="57">
        <v>956</v>
      </c>
    </row>
    <row r="312" spans="1:4" x14ac:dyDescent="0.3">
      <c r="A312" s="1">
        <v>80201</v>
      </c>
      <c r="B312" s="1" t="s">
        <v>421</v>
      </c>
      <c r="C312" s="57">
        <v>9619</v>
      </c>
      <c r="D312" s="57">
        <v>10750</v>
      </c>
    </row>
    <row r="313" spans="1:4" x14ac:dyDescent="0.3">
      <c r="A313" s="1">
        <v>80202</v>
      </c>
      <c r="B313" s="1" t="s">
        <v>422</v>
      </c>
      <c r="C313" s="57">
        <v>4087</v>
      </c>
      <c r="D313" s="57">
        <v>3703</v>
      </c>
    </row>
    <row r="314" spans="1:4" x14ac:dyDescent="0.3">
      <c r="A314" s="1">
        <v>80301</v>
      </c>
      <c r="B314" s="1" t="s">
        <v>424</v>
      </c>
      <c r="C314" s="57">
        <v>1391</v>
      </c>
      <c r="D314" s="57">
        <v>1209</v>
      </c>
    </row>
    <row r="315" spans="1:4" x14ac:dyDescent="0.3">
      <c r="A315" s="1">
        <v>80302</v>
      </c>
      <c r="B315" s="1" t="s">
        <v>425</v>
      </c>
      <c r="C315" s="57">
        <v>4918</v>
      </c>
      <c r="D315" s="57">
        <v>5713</v>
      </c>
    </row>
    <row r="316" spans="1:4" x14ac:dyDescent="0.3">
      <c r="A316" s="1">
        <v>80303</v>
      </c>
      <c r="B316" s="1" t="s">
        <v>374</v>
      </c>
      <c r="C316" s="57">
        <v>1058</v>
      </c>
      <c r="D316" s="57">
        <v>1129</v>
      </c>
    </row>
    <row r="317" spans="1:4" x14ac:dyDescent="0.3">
      <c r="A317" s="1">
        <v>80304</v>
      </c>
      <c r="B317" s="1" t="s">
        <v>426</v>
      </c>
      <c r="C317" s="57">
        <v>2225</v>
      </c>
      <c r="D317" s="57">
        <v>2391</v>
      </c>
    </row>
    <row r="318" spans="1:4" x14ac:dyDescent="0.3">
      <c r="A318" s="1">
        <v>80401</v>
      </c>
      <c r="B318" s="1" t="s">
        <v>429</v>
      </c>
      <c r="C318" s="57">
        <v>1686</v>
      </c>
      <c r="D318" s="57">
        <v>1816</v>
      </c>
    </row>
    <row r="319" spans="1:4" x14ac:dyDescent="0.3">
      <c r="A319" s="1">
        <v>80402</v>
      </c>
      <c r="B319" s="1" t="s">
        <v>431</v>
      </c>
      <c r="C319" s="57">
        <v>617</v>
      </c>
      <c r="D319" s="57">
        <v>822</v>
      </c>
    </row>
    <row r="320" spans="1:4" x14ac:dyDescent="0.3">
      <c r="A320" s="1">
        <v>80501</v>
      </c>
      <c r="B320" s="1" t="s">
        <v>360</v>
      </c>
      <c r="C320" s="57">
        <v>2191</v>
      </c>
      <c r="D320" s="57">
        <v>2386</v>
      </c>
    </row>
    <row r="321" spans="1:4" x14ac:dyDescent="0.3">
      <c r="A321" s="1">
        <v>80601</v>
      </c>
      <c r="B321" s="1" t="s">
        <v>434</v>
      </c>
      <c r="C321" s="57">
        <v>450</v>
      </c>
      <c r="D321" s="57">
        <v>523</v>
      </c>
    </row>
    <row r="322" spans="1:4" x14ac:dyDescent="0.3">
      <c r="A322" s="1">
        <v>80602</v>
      </c>
      <c r="B322" s="1" t="s">
        <v>435</v>
      </c>
      <c r="C322" s="57">
        <v>1510</v>
      </c>
      <c r="D322" s="57">
        <v>1830</v>
      </c>
    </row>
    <row r="323" spans="1:4" x14ac:dyDescent="0.3">
      <c r="A323" s="1">
        <v>80701</v>
      </c>
      <c r="B323" s="1" t="s">
        <v>437</v>
      </c>
      <c r="C323" s="57">
        <v>672</v>
      </c>
      <c r="D323" s="57">
        <v>640</v>
      </c>
    </row>
    <row r="324" spans="1:4" x14ac:dyDescent="0.3">
      <c r="A324" s="1">
        <v>80702</v>
      </c>
      <c r="B324" s="1" t="s">
        <v>401</v>
      </c>
      <c r="C324" s="57">
        <v>463</v>
      </c>
      <c r="D324" s="57">
        <v>576</v>
      </c>
    </row>
    <row r="325" spans="1:4" x14ac:dyDescent="0.3">
      <c r="A325" s="1">
        <v>80703</v>
      </c>
      <c r="B325" s="1" t="s">
        <v>438</v>
      </c>
      <c r="C325" s="57">
        <v>87</v>
      </c>
      <c r="D325" s="57">
        <v>147</v>
      </c>
    </row>
    <row r="326" spans="1:4" x14ac:dyDescent="0.3">
      <c r="A326" s="1">
        <v>80801</v>
      </c>
      <c r="B326" s="1" t="s">
        <v>440</v>
      </c>
      <c r="C326" s="57">
        <v>1174</v>
      </c>
      <c r="D326" s="57">
        <v>1185</v>
      </c>
    </row>
    <row r="327" spans="1:4" x14ac:dyDescent="0.3">
      <c r="A327" s="1">
        <v>80802</v>
      </c>
      <c r="B327" s="1" t="s">
        <v>441</v>
      </c>
      <c r="C327" s="57">
        <v>577</v>
      </c>
      <c r="D327" s="57">
        <v>705</v>
      </c>
    </row>
    <row r="328" spans="1:4" x14ac:dyDescent="0.3">
      <c r="A328" s="1">
        <v>80803</v>
      </c>
      <c r="B328" s="1" t="s">
        <v>442</v>
      </c>
      <c r="C328" s="57">
        <v>424</v>
      </c>
      <c r="D328" s="57">
        <v>429</v>
      </c>
    </row>
    <row r="329" spans="1:4" x14ac:dyDescent="0.3">
      <c r="A329" s="1">
        <v>80901</v>
      </c>
      <c r="B329" s="1" t="s">
        <v>492</v>
      </c>
      <c r="C329" s="57">
        <v>420</v>
      </c>
      <c r="D329" s="57">
        <v>521</v>
      </c>
    </row>
    <row r="330" spans="1:4" x14ac:dyDescent="0.3">
      <c r="A330" s="1">
        <v>90101</v>
      </c>
      <c r="B330" s="1" t="s">
        <v>446</v>
      </c>
      <c r="C330" s="57">
        <v>4600</v>
      </c>
      <c r="D330" s="57">
        <v>4405</v>
      </c>
    </row>
    <row r="331" spans="1:4" x14ac:dyDescent="0.3">
      <c r="A331" s="1">
        <v>90102</v>
      </c>
      <c r="B331" s="1" t="s">
        <v>447</v>
      </c>
      <c r="C331" s="57">
        <v>859</v>
      </c>
      <c r="D331" s="57">
        <v>964</v>
      </c>
    </row>
    <row r="332" spans="1:4" x14ac:dyDescent="0.3">
      <c r="A332" s="1">
        <v>90103</v>
      </c>
      <c r="B332" s="1" t="s">
        <v>448</v>
      </c>
      <c r="C332" s="57">
        <v>282</v>
      </c>
      <c r="D332" s="57">
        <v>242</v>
      </c>
    </row>
    <row r="333" spans="1:4" x14ac:dyDescent="0.3">
      <c r="A333" s="1">
        <v>90104</v>
      </c>
      <c r="B333" s="1" t="s">
        <v>449</v>
      </c>
      <c r="C333" s="57">
        <v>430</v>
      </c>
      <c r="D333" s="57">
        <v>364</v>
      </c>
    </row>
    <row r="334" spans="1:4" x14ac:dyDescent="0.3">
      <c r="A334" s="1">
        <v>90201</v>
      </c>
      <c r="B334" s="1" t="s">
        <v>451</v>
      </c>
      <c r="C334" s="57">
        <v>762</v>
      </c>
      <c r="D334" s="57">
        <v>798</v>
      </c>
    </row>
    <row r="335" spans="1:4" x14ac:dyDescent="0.3">
      <c r="A335" s="1">
        <v>90202</v>
      </c>
      <c r="B335" s="1" t="s">
        <v>290</v>
      </c>
      <c r="C335" s="57">
        <v>423</v>
      </c>
      <c r="D335" s="57">
        <v>376</v>
      </c>
    </row>
    <row r="336" spans="1:4" x14ac:dyDescent="0.3">
      <c r="A336" s="1">
        <v>90203</v>
      </c>
      <c r="B336" s="1" t="s">
        <v>452</v>
      </c>
      <c r="C336" s="57">
        <v>741</v>
      </c>
      <c r="D336" s="57">
        <v>965</v>
      </c>
    </row>
    <row r="337" spans="1:4" x14ac:dyDescent="0.3">
      <c r="A337" s="1">
        <v>90301</v>
      </c>
      <c r="B337" s="1" t="s">
        <v>454</v>
      </c>
      <c r="C337" s="57">
        <v>896</v>
      </c>
      <c r="D337" s="57">
        <v>1462</v>
      </c>
    </row>
    <row r="338" spans="1:4" x14ac:dyDescent="0.3">
      <c r="A338" s="1">
        <v>90302</v>
      </c>
      <c r="B338" s="1" t="s">
        <v>345</v>
      </c>
      <c r="C338" s="57">
        <v>1005</v>
      </c>
      <c r="D338" s="57">
        <v>1207</v>
      </c>
    </row>
    <row r="339" spans="1:4" x14ac:dyDescent="0.3">
      <c r="A339" s="1">
        <v>90303</v>
      </c>
      <c r="B339" s="1" t="s">
        <v>455</v>
      </c>
      <c r="C339" s="57">
        <v>1222</v>
      </c>
      <c r="D339" s="57">
        <v>1240</v>
      </c>
    </row>
    <row r="340" spans="1:4" x14ac:dyDescent="0.3">
      <c r="A340" s="1">
        <v>90401</v>
      </c>
      <c r="B340" s="1" t="s">
        <v>374</v>
      </c>
      <c r="C340" s="57">
        <v>271</v>
      </c>
      <c r="D340" s="57">
        <v>320</v>
      </c>
    </row>
    <row r="341" spans="1:4" x14ac:dyDescent="0.3">
      <c r="A341" s="1">
        <v>90402</v>
      </c>
      <c r="B341" s="1" t="s">
        <v>92</v>
      </c>
      <c r="C341" s="57">
        <v>250</v>
      </c>
      <c r="D341" s="57">
        <v>311</v>
      </c>
    </row>
    <row r="342" spans="1:4" x14ac:dyDescent="0.3">
      <c r="A342" s="1">
        <v>90501</v>
      </c>
      <c r="B342" s="1" t="s">
        <v>458</v>
      </c>
      <c r="C342" s="57">
        <v>225</v>
      </c>
      <c r="D342" s="57">
        <v>159</v>
      </c>
    </row>
    <row r="343" spans="1:4" x14ac:dyDescent="0.3">
      <c r="A343" s="1">
        <v>90502</v>
      </c>
      <c r="B343" s="1" t="s">
        <v>459</v>
      </c>
      <c r="C343" s="57">
        <v>398</v>
      </c>
      <c r="D343" s="57">
        <v>287</v>
      </c>
    </row>
    <row r="344" spans="1:4" x14ac:dyDescent="0.3">
      <c r="A344" s="1">
        <v>90503</v>
      </c>
      <c r="B344" s="1" t="s">
        <v>461</v>
      </c>
      <c r="C344" s="57">
        <v>307</v>
      </c>
      <c r="D344" s="57">
        <v>319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D12" sqref="D12"/>
    </sheetView>
  </sheetViews>
  <sheetFormatPr baseColWidth="10" defaultRowHeight="14.4" x14ac:dyDescent="0.3"/>
  <sheetData>
    <row r="1" spans="1:4" x14ac:dyDescent="0.3">
      <c r="A1" s="11" t="s">
        <v>463</v>
      </c>
      <c r="B1" s="11" t="s">
        <v>464</v>
      </c>
      <c r="C1" s="3" t="s">
        <v>499</v>
      </c>
      <c r="D1" s="3" t="s">
        <v>500</v>
      </c>
    </row>
    <row r="2" spans="1:4" x14ac:dyDescent="0.3">
      <c r="A2" s="1">
        <v>1</v>
      </c>
      <c r="B2" s="11" t="s">
        <v>4</v>
      </c>
      <c r="C2" s="26">
        <v>42.298492100000004</v>
      </c>
      <c r="D2" s="26">
        <v>30.777589800000001</v>
      </c>
    </row>
    <row r="3" spans="1:4" x14ac:dyDescent="0.3">
      <c r="A3" s="1">
        <v>2</v>
      </c>
      <c r="B3" s="11" t="s">
        <v>46</v>
      </c>
      <c r="C3" s="26">
        <v>31.657817000000001</v>
      </c>
      <c r="D3" s="26">
        <v>24.6414878</v>
      </c>
    </row>
    <row r="4" spans="1:4" x14ac:dyDescent="0.3">
      <c r="A4" s="1">
        <v>3</v>
      </c>
      <c r="B4" s="11" t="s">
        <v>157</v>
      </c>
      <c r="C4" s="26">
        <v>31.327234600000001</v>
      </c>
      <c r="D4" s="26">
        <v>23.866181600000001</v>
      </c>
    </row>
    <row r="5" spans="1:4" x14ac:dyDescent="0.3">
      <c r="A5" s="1">
        <v>4</v>
      </c>
      <c r="B5" s="11" t="s">
        <v>217</v>
      </c>
      <c r="C5" s="26">
        <v>36.254529500000004</v>
      </c>
      <c r="D5" s="26">
        <v>30.970870300000001</v>
      </c>
    </row>
    <row r="6" spans="1:4" x14ac:dyDescent="0.3">
      <c r="A6" s="1">
        <v>5</v>
      </c>
      <c r="B6" s="11" t="s">
        <v>267</v>
      </c>
      <c r="C6" s="26">
        <v>40.080973299999997</v>
      </c>
      <c r="D6" s="26">
        <v>30.472929600000001</v>
      </c>
    </row>
    <row r="7" spans="1:4" x14ac:dyDescent="0.3">
      <c r="A7" s="1">
        <v>6</v>
      </c>
      <c r="B7" s="11" t="s">
        <v>332</v>
      </c>
      <c r="C7" s="26">
        <v>37.588714199999998</v>
      </c>
      <c r="D7" s="26">
        <v>27.147528299999998</v>
      </c>
    </row>
    <row r="8" spans="1:4" x14ac:dyDescent="0.3">
      <c r="A8" s="1">
        <v>7</v>
      </c>
      <c r="B8" s="11" t="s">
        <v>349</v>
      </c>
      <c r="C8" s="26">
        <v>42.148455300000002</v>
      </c>
      <c r="D8" s="26">
        <v>32.098803400000001</v>
      </c>
    </row>
    <row r="9" spans="1:4" x14ac:dyDescent="0.3">
      <c r="A9" s="1">
        <v>8</v>
      </c>
      <c r="B9" s="11" t="s">
        <v>418</v>
      </c>
      <c r="C9" s="26">
        <v>48.016828199999999</v>
      </c>
      <c r="D9" s="26">
        <v>38.5969622</v>
      </c>
    </row>
    <row r="10" spans="1:4" x14ac:dyDescent="0.3">
      <c r="A10" s="1">
        <v>9</v>
      </c>
      <c r="B10" s="11" t="s">
        <v>444</v>
      </c>
      <c r="C10" s="26">
        <v>49.954661900000005</v>
      </c>
      <c r="D10" s="26">
        <v>38.402541200000002</v>
      </c>
    </row>
    <row r="11" spans="1:4" x14ac:dyDescent="0.3">
      <c r="A11" s="1">
        <v>10</v>
      </c>
      <c r="B11" s="1" t="s">
        <v>336</v>
      </c>
      <c r="C11" s="12">
        <v>40.266871670968101</v>
      </c>
      <c r="D11" s="12">
        <v>29.937869308307263</v>
      </c>
    </row>
    <row r="12" spans="1:4" x14ac:dyDescent="0.3">
      <c r="A12" s="1">
        <v>11</v>
      </c>
      <c r="B12" s="1" t="s">
        <v>505</v>
      </c>
      <c r="C12" s="12">
        <v>36.5365398</v>
      </c>
      <c r="D12" s="12">
        <v>28.1692994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C2" sqref="C2:D10"/>
    </sheetView>
  </sheetViews>
  <sheetFormatPr baseColWidth="10" defaultRowHeight="14.4" x14ac:dyDescent="0.3"/>
  <sheetData>
    <row r="1" spans="1:4" x14ac:dyDescent="0.3">
      <c r="A1" s="11" t="s">
        <v>463</v>
      </c>
      <c r="B1" s="11" t="s">
        <v>464</v>
      </c>
      <c r="C1" s="3" t="s">
        <v>501</v>
      </c>
      <c r="D1" s="3" t="s">
        <v>502</v>
      </c>
    </row>
    <row r="2" spans="1:4" x14ac:dyDescent="0.3">
      <c r="A2" s="1">
        <v>1</v>
      </c>
      <c r="B2" s="11" t="s">
        <v>4</v>
      </c>
      <c r="C2" s="1">
        <v>63482</v>
      </c>
      <c r="D2" s="1">
        <v>56929</v>
      </c>
    </row>
    <row r="3" spans="1:4" x14ac:dyDescent="0.3">
      <c r="A3" s="1">
        <v>2</v>
      </c>
      <c r="B3" s="11" t="s">
        <v>46</v>
      </c>
      <c r="C3" s="1">
        <v>269906</v>
      </c>
      <c r="D3" s="1">
        <v>263624</v>
      </c>
    </row>
    <row r="4" spans="1:4" x14ac:dyDescent="0.3">
      <c r="A4" s="1">
        <v>3</v>
      </c>
      <c r="B4" s="11" t="s">
        <v>157</v>
      </c>
      <c r="C4" s="1">
        <v>161839</v>
      </c>
      <c r="D4" s="1">
        <v>161112</v>
      </c>
    </row>
    <row r="5" spans="1:4" x14ac:dyDescent="0.3">
      <c r="A5" s="1">
        <v>4</v>
      </c>
      <c r="B5" s="11" t="s">
        <v>217</v>
      </c>
      <c r="C5" s="1">
        <v>55129</v>
      </c>
      <c r="D5" s="1">
        <v>59146</v>
      </c>
    </row>
    <row r="6" spans="1:4" x14ac:dyDescent="0.3">
      <c r="A6" s="1">
        <v>5</v>
      </c>
      <c r="B6" s="11" t="s">
        <v>267</v>
      </c>
      <c r="C6" s="1">
        <v>97117</v>
      </c>
      <c r="D6" s="1">
        <v>92560</v>
      </c>
    </row>
    <row r="7" spans="1:4" x14ac:dyDescent="0.3">
      <c r="A7" s="1">
        <v>6</v>
      </c>
      <c r="B7" s="11" t="s">
        <v>332</v>
      </c>
      <c r="C7" s="1">
        <v>47455</v>
      </c>
      <c r="D7" s="1">
        <v>43505</v>
      </c>
    </row>
    <row r="8" spans="1:4" x14ac:dyDescent="0.3">
      <c r="A8" s="1">
        <v>7</v>
      </c>
      <c r="B8" s="11" t="s">
        <v>349</v>
      </c>
      <c r="C8" s="1">
        <v>271796</v>
      </c>
      <c r="D8" s="1">
        <v>281589</v>
      </c>
    </row>
    <row r="9" spans="1:4" x14ac:dyDescent="0.3">
      <c r="A9" s="1">
        <v>8</v>
      </c>
      <c r="B9" s="11" t="s">
        <v>418</v>
      </c>
      <c r="C9" s="1">
        <v>45083</v>
      </c>
      <c r="D9" s="1">
        <v>48890</v>
      </c>
    </row>
    <row r="10" spans="1:4" x14ac:dyDescent="0.3">
      <c r="A10" s="1">
        <v>9</v>
      </c>
      <c r="B10" s="11" t="s">
        <v>444</v>
      </c>
      <c r="C10" s="1">
        <v>12671</v>
      </c>
      <c r="D10" s="1">
        <v>13419</v>
      </c>
    </row>
    <row r="11" spans="1:4" x14ac:dyDescent="0.3">
      <c r="A11" s="1">
        <v>10</v>
      </c>
      <c r="B11" s="1" t="s">
        <v>336</v>
      </c>
      <c r="C11" s="1">
        <v>14666</v>
      </c>
      <c r="D11" s="1">
        <v>13781</v>
      </c>
    </row>
    <row r="12" spans="1:4" x14ac:dyDescent="0.3">
      <c r="A12" s="1">
        <v>11</v>
      </c>
      <c r="B12" s="1" t="s">
        <v>505</v>
      </c>
      <c r="C12" s="1">
        <v>1024478</v>
      </c>
      <c r="D12" s="1">
        <v>1020774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A3" sqref="A3"/>
    </sheetView>
  </sheetViews>
  <sheetFormatPr baseColWidth="10" defaultRowHeight="14.4" x14ac:dyDescent="0.3"/>
  <cols>
    <col min="6" max="6" width="12.109375" customWidth="1"/>
    <col min="7" max="7" width="13.44140625" bestFit="1" customWidth="1"/>
  </cols>
  <sheetData>
    <row r="1" spans="1:10" ht="36" x14ac:dyDescent="0.3">
      <c r="A1" s="6" t="s">
        <v>465</v>
      </c>
      <c r="B1" s="6" t="s">
        <v>466</v>
      </c>
      <c r="C1" s="7" t="s">
        <v>467</v>
      </c>
      <c r="D1" s="7" t="s">
        <v>468</v>
      </c>
      <c r="E1" s="8" t="s">
        <v>469</v>
      </c>
      <c r="F1" s="8" t="s">
        <v>470</v>
      </c>
      <c r="G1" s="9" t="s">
        <v>471</v>
      </c>
      <c r="H1" s="9" t="s">
        <v>472</v>
      </c>
      <c r="I1" s="10" t="s">
        <v>473</v>
      </c>
      <c r="J1" s="10" t="s">
        <v>474</v>
      </c>
    </row>
    <row r="2" spans="1:10" x14ac:dyDescent="0.3">
      <c r="A2" s="1">
        <v>11</v>
      </c>
      <c r="B2" s="1" t="s">
        <v>503</v>
      </c>
      <c r="C2" s="1">
        <v>0</v>
      </c>
      <c r="D2" s="1">
        <v>15</v>
      </c>
      <c r="E2" s="1">
        <v>15</v>
      </c>
      <c r="F2" s="1">
        <v>22.5</v>
      </c>
      <c r="G2" s="1">
        <v>22.5</v>
      </c>
      <c r="H2" s="1">
        <v>30</v>
      </c>
      <c r="I2" s="1">
        <v>30</v>
      </c>
      <c r="J2" s="1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DatosINE</vt:lpstr>
      <vt:lpstr>Indicador_MUN</vt:lpstr>
      <vt:lpstr>Absoluto_MUN</vt:lpstr>
      <vt:lpstr>Indicador_DEP</vt:lpstr>
      <vt:lpstr>Absoluto_DEP</vt:lpstr>
      <vt:lpstr>Umbral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2026-05-29T11:55:22Z</dcterms:modified>
</cp:coreProperties>
</file>