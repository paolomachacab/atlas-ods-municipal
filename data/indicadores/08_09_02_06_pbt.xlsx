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Procesados" sheetId="1" r:id="rId4"/>
    <sheet state="visible" name="Indicador_MUN" sheetId="2" r:id="rId5"/>
    <sheet state="visible" name="Absoluto_MUN" sheetId="3" r:id="rId6"/>
    <sheet state="visible" name="Indicador_DEP" sheetId="4" r:id="rId7"/>
    <sheet state="visible" name="Absoluto_DEP " sheetId="5" r:id="rId8"/>
    <sheet state="visible" name="Umbral" sheetId="6" r:id="rId9"/>
    <sheet state="visible" name="Clasificación 2024" sheetId="7" r:id="rId10"/>
  </sheets>
  <externalReferences>
    <externalReference r:id="rId11"/>
  </externalReferences>
  <definedNames>
    <definedName hidden="1" localSheetId="6" name="_xlnm._FilterDatabase">'Clasificación 2024'!$A$1:$F$344</definedName>
  </definedNames>
  <calcPr/>
  <extLst>
    <ext uri="GoogleSheetsCustomDataVersion2">
      <go:sheetsCustomData xmlns:go="http://customooxmlschemas.google.com/" r:id="rId12" roundtripDataChecksum="dtNHXHHKyzXGda8y1qLcNw7g3VgXeWCHkA3DWZajLtM="/>
    </ext>
  </extLst>
</workbook>
</file>

<file path=xl/sharedStrings.xml><?xml version="1.0" encoding="utf-8"?>
<sst xmlns="http://schemas.openxmlformats.org/spreadsheetml/2006/main" count="2150" uniqueCount="508">
  <si>
    <t>id</t>
  </si>
  <si>
    <t>DEPARTAMENTO</t>
  </si>
  <si>
    <t>PROVINCIA</t>
  </si>
  <si>
    <t>MUNICIPIO</t>
  </si>
  <si>
    <t>Porcentaje del PIB que corresponde a turismo 2016</t>
  </si>
  <si>
    <t>PIB turismo 2016 (en millones de Bs)</t>
  </si>
  <si>
    <t>Total Valor Agregado en millones de Bs. 2016</t>
  </si>
  <si>
    <t>PIB turismo 2025 (en millones de Bs)</t>
  </si>
  <si>
    <t>Total Valor Agregado en millones de Bs. 2025 (Preliminar)</t>
  </si>
  <si>
    <t>Porcentaje del PIB que corresponde a turismo 2025</t>
  </si>
  <si>
    <t>Departamento</t>
  </si>
  <si>
    <t>PIB turismo 2016 (En millones de Bs)</t>
  </si>
  <si>
    <t>PIB turismo 2025 (En millones de Bs)</t>
  </si>
  <si>
    <t>Chuquisaca</t>
  </si>
  <si>
    <t>Oropeza</t>
  </si>
  <si>
    <t>Sucre</t>
  </si>
  <si>
    <t>Yotala</t>
  </si>
  <si>
    <t>La Paz</t>
  </si>
  <si>
    <t>Poroma</t>
  </si>
  <si>
    <t>Cochabamba</t>
  </si>
  <si>
    <t>Azurduy</t>
  </si>
  <si>
    <t>Villa Azurduy</t>
  </si>
  <si>
    <t>Oruro</t>
  </si>
  <si>
    <t>Tarvita</t>
  </si>
  <si>
    <t>Potosi</t>
  </si>
  <si>
    <t>Zudáñez</t>
  </si>
  <si>
    <t>Zudañez</t>
  </si>
  <si>
    <t>Tarija</t>
  </si>
  <si>
    <t>Presto</t>
  </si>
  <si>
    <t>Santa Cruz</t>
  </si>
  <si>
    <t>Villa Mojocoya</t>
  </si>
  <si>
    <t>Beni</t>
  </si>
  <si>
    <t>Icla</t>
  </si>
  <si>
    <t>Pando</t>
  </si>
  <si>
    <t>Tomina</t>
  </si>
  <si>
    <t>Padilla</t>
  </si>
  <si>
    <t>Gran Chaco</t>
  </si>
  <si>
    <t>Bolivia</t>
  </si>
  <si>
    <t>Sopachuy</t>
  </si>
  <si>
    <t>Villa 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</si>
  <si>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</si>
  <si>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</si>
  <si>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</si>
  <si>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</si>
  <si>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</si>
  <si>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</si>
  <si>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</si>
  <si>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</si>
  <si>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</si>
  <si>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</si>
  <si>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</si>
  <si>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</si>
  <si>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</si>
  <si>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</si>
  <si>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</si>
  <si>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</si>
  <si>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</si>
  <si>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</si>
  <si>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Guzman</t>
  </si>
  <si>
    <t>Huacaya</t>
  </si>
  <si>
    <t>Macharetí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</si>
  <si>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</si>
  <si>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</si>
  <si>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</si>
  <si>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</si>
  <si>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</si>
  <si>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</si>
  <si>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</si>
  <si>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</si>
  <si>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Ancoraimes</t>
  </si>
  <si>
    <t>Chua Cocani</t>
  </si>
  <si>
    <t>Huarina</t>
  </si>
  <si>
    <t>Santiago de Huata</t>
  </si>
  <si>
    <t>Huatajata</t>
  </si>
  <si>
    <t>Pacajes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</si>
  <si>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</si>
  <si>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</si>
  <si>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</si>
  <si>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</si>
  <si>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</si>
  <si>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</si>
  <si>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</si>
  <si>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</si>
  <si>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</si>
  <si>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</si>
  <si>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</si>
  <si>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</si>
  <si>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</si>
  <si>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</si>
  <si>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</si>
  <si>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</si>
  <si>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</si>
  <si>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</si>
  <si>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</si>
  <si>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</si>
  <si>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</si>
  <si>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</si>
  <si>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</si>
  <si>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</si>
  <si>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</si>
  <si>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</si>
  <si>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</si>
  <si>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</si>
  <si>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</si>
  <si>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</si>
  <si>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</si>
  <si>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</si>
  <si>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</si>
  <si>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</si>
  <si>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</si>
  <si>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</si>
  <si>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</si>
  <si>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</si>
  <si>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</si>
  <si>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</si>
  <si>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</si>
  <si>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</si>
  <si>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</si>
  <si>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</si>
  <si>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</si>
  <si>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</si>
  <si>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</si>
  <si>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</si>
  <si>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</si>
  <si>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</si>
  <si>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</si>
  <si>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</si>
  <si>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</si>
  <si>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</si>
  <si>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</si>
  <si>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</si>
  <si>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</si>
  <si>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</si>
  <si>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</si>
  <si>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</si>
  <si>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</si>
  <si>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</si>
  <si>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</si>
  <si>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</si>
  <si>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</si>
  <si>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</si>
  <si>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</si>
  <si>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</si>
  <si>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</si>
  <si>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</si>
  <si>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</si>
  <si>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</si>
  <si>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</si>
  <si>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</si>
  <si>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</si>
  <si>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</si>
  <si>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General Juan José Pérez (Charazani)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</si>
  <si>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</si>
  <si>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</si>
  <si>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</si>
  <si>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</si>
  <si>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</si>
  <si>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</si>
  <si>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</si>
  <si>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</si>
  <si>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</si>
  <si>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</si>
  <si>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</si>
  <si>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</si>
  <si>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</si>
  <si>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</si>
  <si>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</si>
  <si>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Cercado</t>
  </si>
  <si>
    <t>Campero</t>
  </si>
  <si>
    <t>Aiquile</t>
  </si>
  <si>
    <t>Pasorapa</t>
  </si>
  <si>
    <t>Omereque</t>
  </si>
  <si>
    <t>Ayopaya</t>
  </si>
  <si>
    <t>Independencia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</si>
  <si>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</si>
  <si>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</si>
  <si>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</si>
  <si>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</si>
  <si>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</si>
  <si>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</si>
  <si>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</si>
  <si>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</si>
  <si>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</si>
  <si>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</si>
  <si>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</si>
  <si>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</si>
  <si>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</si>
  <si>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</si>
  <si>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Germán Jordán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</si>
  <si>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</si>
  <si>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</si>
  <si>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</si>
  <si>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</si>
  <si>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</si>
  <si>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</si>
  <si>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</si>
  <si>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</si>
  <si>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</si>
  <si>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</si>
  <si>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</si>
  <si>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</si>
  <si>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</si>
  <si>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</si>
  <si>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</si>
  <si>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</si>
  <si>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</si>
  <si>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</si>
  <si>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</si>
  <si>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</si>
  <si>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</si>
  <si>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</si>
  <si>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</si>
  <si>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</si>
  <si>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--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</si>
  <si>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</si>
  <si>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</si>
  <si>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</si>
  <si>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</si>
  <si>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</si>
  <si>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</si>
  <si>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</si>
  <si>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</si>
  <si>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Caracollo</t>
  </si>
  <si>
    <t>El Choro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</si>
  <si>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</si>
  <si>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</si>
  <si>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</si>
  <si>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</si>
  <si>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</si>
  <si>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</si>
  <si>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</si>
  <si>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</si>
  <si>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</si>
  <si>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</si>
  <si>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</si>
  <si>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</si>
  <si>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</si>
  <si>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</si>
  <si>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</si>
  <si>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</si>
  <si>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</si>
  <si>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</si>
  <si>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</si>
  <si>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</si>
  <si>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</si>
  <si>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</si>
  <si>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</si>
  <si>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</si>
  <si>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</si>
  <si>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</si>
  <si>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</si>
  <si>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</si>
  <si>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</si>
  <si>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</si>
  <si>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</si>
  <si>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</si>
  <si>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</si>
  <si>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</si>
  <si>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</si>
  <si>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</si>
  <si>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</si>
  <si>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</si>
  <si>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</si>
  <si>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</si>
  <si>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</si>
  <si>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</si>
  <si>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 (Santiago de Huayllamarca)</t>
  </si>
  <si>
    <t>Potosí</t>
  </si>
  <si>
    <t>Tomás Frías</t>
  </si>
  <si>
    <t>Tinguipaya</t>
  </si>
  <si>
    <t>Yocalla</t>
  </si>
  <si>
    <t>Belén de Urmiri</t>
  </si>
  <si>
    <t>Rafael Bustillo</t>
  </si>
  <si>
    <t>Uncía</t>
  </si>
  <si>
    <t>Chayanta</t>
  </si>
  <si>
    <t>Llallagua</t>
  </si>
  <si>
    <t>Chuquihuta -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</si>
  <si>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</si>
  <si>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</si>
  <si>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</si>
  <si>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</si>
  <si>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</si>
  <si>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</si>
  <si>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</si>
  <si>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</si>
  <si>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</si>
  <si>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na</t>
  </si>
  <si>
    <t>Chárcas</t>
  </si>
  <si>
    <t>San Pedro de Buena Vista</t>
  </si>
  <si>
    <t>Toro Toro</t>
  </si>
  <si>
    <t>Nor Chichas</t>
  </si>
  <si>
    <t>Cotagaita</t>
  </si>
  <si>
    <t>Vitichi</t>
  </si>
  <si>
    <t>Alonso de Ibáñez</t>
  </si>
  <si>
    <t>Sacaca (Villa de Sacaca)</t>
  </si>
  <si>
    <t>Caripuyo</t>
  </si>
  <si>
    <t>Sur Chichas</t>
  </si>
  <si>
    <t>Tupiza</t>
  </si>
  <si>
    <t>Atocha</t>
  </si>
  <si>
    <t>Nor Lipez</t>
  </si>
  <si>
    <t>Colcha ''K'' (Villa Martin)</t>
  </si>
  <si>
    <t>San Pedro de Quemes</t>
  </si>
  <si>
    <t>Sur Lipez</t>
  </si>
  <si>
    <t>San Pablo de Lipez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</si>
  <si>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</si>
  <si>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</si>
  <si>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</si>
  <si>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</si>
  <si>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</si>
  <si>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</si>
  <si>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</si>
  <si>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</si>
  <si>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</si>
  <si>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</si>
  <si>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</si>
  <si>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</si>
  <si>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</si>
  <si>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</si>
  <si>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</si>
  <si>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</si>
  <si>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</si>
  <si>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</si>
  <si>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</si>
  <si>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</si>
  <si>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</si>
  <si>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Arce</t>
  </si>
  <si>
    <t>Padcaya</t>
  </si>
  <si>
    <t>Bermejo</t>
  </si>
  <si>
    <t>Yacuiba</t>
  </si>
  <si>
    <t>Caraparí</t>
  </si>
  <si>
    <t>Villa Montes</t>
  </si>
  <si>
    <t>Avilés</t>
  </si>
  <si>
    <t>Uriondo</t>
  </si>
  <si>
    <t>Yunchará</t>
  </si>
  <si>
    <t>Méndez</t>
  </si>
  <si>
    <t>Villa San Lorenzo</t>
  </si>
  <si>
    <t>El Puente</t>
  </si>
  <si>
    <t>O'Connor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</si>
  <si>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</si>
  <si>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</si>
  <si>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</si>
  <si>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</si>
  <si>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</si>
  <si>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</si>
  <si>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</si>
  <si>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</si>
  <si>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</si>
  <si>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 de Velasco</t>
  </si>
  <si>
    <t>San Miguel de Velasco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</si>
  <si>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</si>
  <si>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</si>
  <si>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</si>
  <si>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</si>
  <si>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</si>
  <si>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</si>
  <si>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</si>
  <si>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 de Chiquitos</t>
  </si>
  <si>
    <t>Pailón</t>
  </si>
  <si>
    <t>Roboré</t>
  </si>
  <si>
    <t>Sara</t>
  </si>
  <si>
    <t>Portachuelo</t>
  </si>
  <si>
    <t>Santa Rosa del Sara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</si>
  <si>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</si>
  <si>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</si>
  <si>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</si>
  <si>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</si>
  <si>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</si>
  <si>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</si>
  <si>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</si>
  <si>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</si>
  <si>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</si>
  <si>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</si>
  <si>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</si>
  <si>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</si>
  <si>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</si>
  <si>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</si>
  <si>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</si>
  <si>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</si>
  <si>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</si>
  <si>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</si>
  <si>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</si>
  <si>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</si>
  <si>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</si>
  <si>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</si>
  <si>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</si>
  <si>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</si>
  <si>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San Pedro</t>
  </si>
  <si>
    <t>Ñuflo De Chávez</t>
  </si>
  <si>
    <t>Concepción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</si>
  <si>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</si>
  <si>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</si>
  <si>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</si>
  <si>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</si>
  <si>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</si>
  <si>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</si>
  <si>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</si>
  <si>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</si>
  <si>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</si>
  <si>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</si>
  <si>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</si>
  <si>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</si>
  <si>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</si>
  <si>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</si>
  <si>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</si>
  <si>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</si>
  <si>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</si>
  <si>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</si>
  <si>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</si>
  <si>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</si>
  <si>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</si>
  <si>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</si>
  <si>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</si>
  <si>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</si>
  <si>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Santa Rosa</t>
  </si>
  <si>
    <t>Rurrenabaque</t>
  </si>
  <si>
    <t>Yacuma</t>
  </si>
  <si>
    <t>Santa Ana de Yacuma</t>
  </si>
  <si>
    <t>Exaltación</t>
  </si>
  <si>
    <t>Moxos</t>
  </si>
  <si>
    <t>San Ignacio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</si>
  <si>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</si>
  <si>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</si>
  <si>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</si>
  <si>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</si>
  <si>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</si>
  <si>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</si>
  <si>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</si>
  <si>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</si>
  <si>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</si>
  <si>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</si>
  <si>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TIOC-Territorio Indigena Multiétnico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</si>
  <si>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</si>
  <si>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</si>
  <si>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</si>
  <si>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</si>
  <si>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</si>
  <si>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</si>
  <si>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</si>
  <si>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</si>
  <si>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</si>
  <si>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</si>
  <si>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San Lorenzo</t>
  </si>
  <si>
    <t>Sena</t>
  </si>
  <si>
    <t>Abuná</t>
  </si>
  <si>
    <t>Santa Rosa del Abuná</t>
  </si>
  <si>
    <t>Federico Román</t>
  </si>
  <si>
    <t>Nueva Esperanza</t>
  </si>
  <si>
    <t>Villa Nueva (Loma Alta)</t>
  </si>
  <si>
    <t>Santos Mercado</t>
  </si>
  <si>
    <t xml:space="preserve">promedio </t>
  </si>
  <si>
    <t xml:space="preserve">desviacion </t>
  </si>
  <si>
    <t>id_departamento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</si>
  <si>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</si>
  <si>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</si>
  <si>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</si>
  <si>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</si>
  <si>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</si>
  <si>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</si>
  <si>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</si>
  <si>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</si>
  <si>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</si>
  <si>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</si>
  <si>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</si>
  <si>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 xml:space="preserve">Porcentaje del PIB que corresponde a turismo </t>
  </si>
  <si>
    <t>Criterio nacional / meta sectorial de referencia del PSDI Turismo 2021–2025</t>
  </si>
  <si>
    <t>Codigo</t>
  </si>
  <si>
    <t>Municipio</t>
  </si>
  <si>
    <t>sdg8_09_02_02_pbt</t>
  </si>
  <si>
    <t>Umbral 2024</t>
  </si>
  <si>
    <t>sdg9_comunicación 2024</t>
  </si>
  <si>
    <t>Mojocoya</t>
  </si>
  <si>
    <t>Alcalá</t>
  </si>
  <si>
    <t>Huacareta</t>
  </si>
  <si>
    <t>Villa Vaca Guzmán</t>
  </si>
  <si>
    <t>Huacaya (Autonomía Guaraní Chaqueño de Huacaya)</t>
  </si>
  <si>
    <t>Villa Ancoraimes</t>
  </si>
  <si>
    <t>Corocoro</t>
  </si>
  <si>
    <t>Waldo Ballivián</t>
  </si>
  <si>
    <t>Puerto Mayor de Guaqui</t>
  </si>
  <si>
    <t>La (Marka) San Andrés de Machaca</t>
  </si>
  <si>
    <t>Jesús de Machaka</t>
  </si>
  <si>
    <t>Sicasica</t>
  </si>
  <si>
    <t>Charazani</t>
  </si>
  <si>
    <t>Santiváñez</t>
  </si>
  <si>
    <t>Sipesipe</t>
  </si>
  <si>
    <t>Villa Gualberto Villarroel</t>
  </si>
  <si>
    <t>Bolívar</t>
  </si>
  <si>
    <t>Paria</t>
  </si>
  <si>
    <t>Salinas de Garci Mendoza (Autonomía Indígena Originario Campesina de Salinas)</t>
  </si>
  <si>
    <t>Uru Chipaya (Nación Originaria Uru Chipaya)</t>
  </si>
  <si>
    <t>Andamarca</t>
  </si>
  <si>
    <t>Santiago de Huayllamarca</t>
  </si>
  <si>
    <t>Urmiri</t>
  </si>
  <si>
    <t>Chuquihuta Ayllu Jucumani</t>
  </si>
  <si>
    <t>Sacaca</t>
  </si>
  <si>
    <t>Colcha "K"</t>
  </si>
  <si>
    <t>San Pablo</t>
  </si>
  <si>
    <t>San Miguel</t>
  </si>
  <si>
    <t>San José</t>
  </si>
  <si>
    <t>Charagua (Autonomía Guaraní Charagua Iyambae)</t>
  </si>
  <si>
    <t>Gutiérrez (Autonomía Indígena Kereimba Iyaambae)</t>
  </si>
  <si>
    <t>Moromoro</t>
  </si>
  <si>
    <t>Pampagrande</t>
  </si>
  <si>
    <t>Puerto Suárez</t>
  </si>
  <si>
    <t>Puerto Menor de Rurrenabaque</t>
  </si>
  <si>
    <t>Santa Ana</t>
  </si>
  <si>
    <t>TIOC-Territorio Indígena Multiétnico</t>
  </si>
  <si>
    <t>Villa Nueva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</si>
</sst>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_(* #,##0_);_(* \(#,##0\);_(* &quot;-&quot;??_);_(@_)"/>
    <numFmt numFmtId="166" formatCode="0.000"/>
    <numFmt numFmtId="167" formatCode="#,##0.0"/>
  </numFmts>
  <fonts count="8">
    <font>
      <sz val="11.0"/>
      <color theme="1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sz val="9.0"/>
      <color theme="1"/>
      <name val="Arial"/>
    </font>
    <font>
      <sz val="11.0"/>
      <color theme="1"/>
      <name val="Arial"/>
    </font>
    <font>
      <b/>
      <sz val="10.0"/>
      <color theme="1"/>
      <name val="Calibri"/>
    </font>
    <font>
      <sz val="10.0"/>
      <color theme="1"/>
      <name val="Calibri"/>
    </font>
    <font>
      <b/>
      <sz val="9.0"/>
      <color theme="1"/>
      <name val="Play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ECEF"/>
        <bgColor rgb="FFD8ECEF"/>
      </patternFill>
    </fill>
    <fill>
      <patternFill patternType="solid">
        <fgColor rgb="FFFFFF00"/>
        <bgColor rgb="FFFFFF00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0" fillId="0" fontId="1" numFmtId="0" xfId="0" applyFont="1"/>
    <xf borderId="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1" numFmtId="2" xfId="0" applyBorder="1" applyFont="1" applyNumberFormat="1"/>
    <xf borderId="1" fillId="0" fontId="1" numFmtId="1" xfId="0" applyBorder="1" applyFont="1" applyNumberFormat="1"/>
    <xf borderId="1" fillId="2" fontId="1" numFmtId="1" xfId="0" applyBorder="1" applyFill="1" applyFont="1" applyNumberFormat="1"/>
    <xf borderId="1" fillId="2" fontId="2" numFmtId="164" xfId="0" applyBorder="1" applyFont="1" applyNumberFormat="1"/>
    <xf borderId="1" fillId="0" fontId="2" numFmtId="164" xfId="0" applyBorder="1" applyFont="1" applyNumberFormat="1"/>
    <xf borderId="0" fillId="0" fontId="1" numFmtId="1" xfId="0" applyFont="1" applyNumberFormat="1"/>
    <xf borderId="0" fillId="0" fontId="1" numFmtId="2" xfId="0" applyFont="1" applyNumberFormat="1"/>
    <xf borderId="1" fillId="0" fontId="1" numFmtId="165" xfId="0" applyBorder="1" applyFont="1" applyNumberFormat="1"/>
    <xf borderId="3" fillId="0" fontId="1" numFmtId="165" xfId="0" applyBorder="1" applyFont="1" applyNumberFormat="1"/>
    <xf borderId="4" fillId="0" fontId="1" numFmtId="0" xfId="0" applyBorder="1" applyFont="1"/>
    <xf borderId="4" fillId="0" fontId="1" numFmtId="2" xfId="0" applyBorder="1" applyFont="1" applyNumberFormat="1"/>
    <xf borderId="1" fillId="3" fontId="3" numFmtId="2" xfId="0" applyAlignment="1" applyBorder="1" applyFill="1" applyFont="1" applyNumberFormat="1">
      <alignment horizontal="right" vertical="center"/>
    </xf>
    <xf borderId="1" fillId="3" fontId="3" numFmtId="1" xfId="0" applyAlignment="1" applyBorder="1" applyFont="1" applyNumberFormat="1">
      <alignment vertical="center"/>
    </xf>
    <xf borderId="1" fillId="3" fontId="3" numFmtId="3" xfId="0" applyAlignment="1" applyBorder="1" applyFont="1" applyNumberFormat="1">
      <alignment horizontal="right" vertical="center"/>
    </xf>
    <xf borderId="0" fillId="0" fontId="1" numFmtId="166" xfId="0" applyFont="1" applyNumberFormat="1"/>
    <xf borderId="1" fillId="0" fontId="2" numFmtId="49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1" numFmtId="164" xfId="0" applyBorder="1" applyFont="1" applyNumberFormat="1"/>
    <xf borderId="0" fillId="0" fontId="4" numFmtId="2" xfId="0" applyFont="1" applyNumberFormat="1"/>
    <xf borderId="1" fillId="4" fontId="1" numFmtId="0" xfId="0" applyAlignment="1" applyBorder="1" applyFill="1" applyFont="1">
      <alignment horizontal="center" vertical="center"/>
    </xf>
    <xf borderId="1" fillId="4" fontId="1" numFmtId="0" xfId="0" applyBorder="1" applyFont="1"/>
    <xf borderId="0" fillId="0" fontId="4" numFmtId="0" xfId="0" applyAlignment="1" applyFont="1">
      <alignment horizontal="center" vertical="center"/>
    </xf>
    <xf borderId="0" fillId="0" fontId="5" numFmtId="0" xfId="0" applyFont="1"/>
    <xf borderId="0" fillId="0" fontId="1" numFmtId="164" xfId="0" applyFont="1" applyNumberFormat="1"/>
    <xf borderId="0" fillId="0" fontId="6" numFmtId="0" xfId="0" applyFont="1"/>
    <xf borderId="1" fillId="2" fontId="1" numFmtId="2" xfId="0" applyBorder="1" applyFont="1" applyNumberFormat="1"/>
    <xf borderId="1" fillId="5" fontId="2" numFmtId="0" xfId="0" applyBorder="1" applyFill="1" applyFont="1"/>
    <xf borderId="1" fillId="6" fontId="7" numFmtId="0" xfId="0" applyAlignment="1" applyBorder="1" applyFill="1" applyFont="1">
      <alignment horizontal="center"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1" fillId="7" fontId="7" numFmtId="0" xfId="0" applyAlignment="1" applyBorder="1" applyFill="1" applyFont="1">
      <alignment horizontal="center" shrinkToFit="0" vertical="center" wrapText="1"/>
    </xf>
    <xf borderId="1" fillId="8" fontId="7" numFmtId="0" xfId="0" applyAlignment="1" applyBorder="1" applyFill="1" applyFont="1">
      <alignment horizontal="center" shrinkToFit="0" vertical="center" wrapText="1"/>
    </xf>
    <xf borderId="1" fillId="9" fontId="2" numFmtId="0" xfId="0" applyAlignment="1" applyBorder="1" applyFill="1" applyFont="1">
      <alignment horizontal="center" vertical="bottom"/>
    </xf>
    <xf borderId="0" fillId="0" fontId="2" numFmtId="0" xfId="0" applyFont="1"/>
    <xf borderId="1" fillId="0" fontId="1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1" numFmtId="0" xfId="0" applyAlignment="1" applyFont="1">
      <alignment shrinkToFit="0" vertical="center" wrapText="1"/>
    </xf>
    <xf borderId="1" fillId="0" fontId="1" numFmtId="0" xfId="0" applyAlignment="1" applyBorder="1" applyFont="1">
      <alignment horizontal="center"/>
    </xf>
    <xf borderId="1" fillId="0" fontId="1" numFmtId="167" xfId="0" applyAlignment="1" applyBorder="1" applyFont="1" applyNumberFormat="1">
      <alignment horizontal="center"/>
    </xf>
    <xf borderId="1" fillId="0" fontId="4" numFmtId="2" xfId="0" applyBorder="1" applyFont="1" applyNumberFormat="1"/>
    <xf borderId="1" fillId="0" fontId="1" numFmtId="1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&#205;ndice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Índi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4.0"/>
    <col customWidth="1" min="3" max="3" width="15.75"/>
    <col customWidth="1" min="4" max="4" width="24.5"/>
    <col customWidth="1" min="5" max="5" width="14.0"/>
    <col customWidth="1" min="6" max="6" width="22.13"/>
    <col customWidth="1" min="7" max="7" width="21.75"/>
    <col customWidth="1" min="8" max="8" width="14.0"/>
    <col customWidth="1" min="9" max="9" width="22.13"/>
    <col customWidth="1" min="10" max="10" width="28.5"/>
    <col customWidth="1" min="11" max="12" width="11.0"/>
    <col customWidth="1" min="13" max="13" width="19.88"/>
    <col customWidth="1" min="14" max="14" width="21.25"/>
    <col customWidth="1" min="15" max="15" width="11.0"/>
    <col customWidth="1" min="16" max="16" width="25.38"/>
    <col customWidth="1" min="17" max="17" width="20.25"/>
    <col customWidth="1" min="18" max="18" width="16.88"/>
    <col customWidth="1" min="19" max="26" width="11.0"/>
  </cols>
  <sheetData>
    <row r="1" ht="7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2" t="s">
        <v>10</v>
      </c>
      <c r="M1" s="2" t="s">
        <v>11</v>
      </c>
      <c r="N1" s="2" t="s">
        <v>6</v>
      </c>
      <c r="O1" s="2" t="s">
        <v>4</v>
      </c>
      <c r="P1" s="2" t="s">
        <v>12</v>
      </c>
      <c r="Q1" s="2" t="s">
        <v>8</v>
      </c>
      <c r="R1" s="2" t="s">
        <v>9</v>
      </c>
      <c r="S1" s="4"/>
      <c r="T1" s="5"/>
      <c r="U1" s="5"/>
      <c r="V1" s="3"/>
      <c r="W1" s="3"/>
      <c r="X1" s="3"/>
      <c r="Y1" s="3"/>
      <c r="Z1" s="3"/>
    </row>
    <row r="2" ht="14.25" customHeight="1">
      <c r="A2" s="1">
        <v>10101.0</v>
      </c>
      <c r="B2" s="1" t="s">
        <v>13</v>
      </c>
      <c r="C2" s="1" t="s">
        <v>14</v>
      </c>
      <c r="D2" s="1" t="s">
        <v>15</v>
      </c>
      <c r="E2" s="6">
        <v>5.1</v>
      </c>
      <c r="F2" s="7">
        <v>267.903</v>
      </c>
      <c r="G2" s="7">
        <v>5253.0</v>
      </c>
      <c r="H2" s="7">
        <v>664.13</v>
      </c>
      <c r="I2" s="7">
        <v>8866.49</v>
      </c>
      <c r="J2" s="6">
        <f t="shared" ref="J2:J156" si="3">(H2/I2)*100</f>
        <v>7.490337213</v>
      </c>
      <c r="K2" s="3"/>
      <c r="L2" s="1" t="s">
        <v>13</v>
      </c>
      <c r="M2" s="8">
        <f t="shared" ref="M2:N2" si="1">SUM(F2:F30)</f>
        <v>339.311</v>
      </c>
      <c r="N2" s="8">
        <f t="shared" si="1"/>
        <v>10144</v>
      </c>
      <c r="O2" s="9">
        <f t="shared" ref="O2:O12" si="5">(M2/N2)*100</f>
        <v>3.344942823</v>
      </c>
      <c r="P2" s="8">
        <f t="shared" ref="P2:Q2" si="2">SUM(H2:H30)</f>
        <v>862.73</v>
      </c>
      <c r="Q2" s="8">
        <f t="shared" si="2"/>
        <v>20078.78</v>
      </c>
      <c r="R2" s="10">
        <f t="shared" ref="R2:R12" si="7">100*P2/Q2</f>
        <v>4.296725199</v>
      </c>
      <c r="S2" s="11"/>
      <c r="T2" s="11"/>
      <c r="U2" s="12"/>
      <c r="V2" s="3"/>
      <c r="W2" s="3"/>
      <c r="X2" s="3"/>
      <c r="Y2" s="3"/>
      <c r="Z2" s="3"/>
    </row>
    <row r="3" ht="14.25" customHeight="1">
      <c r="A3" s="1">
        <v>10102.0</v>
      </c>
      <c r="B3" s="1" t="s">
        <v>13</v>
      </c>
      <c r="C3" s="1" t="s">
        <v>14</v>
      </c>
      <c r="D3" s="1" t="s">
        <v>16</v>
      </c>
      <c r="E3" s="6">
        <v>0.9</v>
      </c>
      <c r="F3" s="7">
        <v>1.044</v>
      </c>
      <c r="G3" s="7">
        <v>116.0</v>
      </c>
      <c r="H3" s="7">
        <v>6.59</v>
      </c>
      <c r="I3" s="7">
        <v>246.02</v>
      </c>
      <c r="J3" s="6">
        <f t="shared" si="3"/>
        <v>2.678644013</v>
      </c>
      <c r="K3" s="3"/>
      <c r="L3" s="1" t="s">
        <v>17</v>
      </c>
      <c r="M3" s="8">
        <f t="shared" ref="M3:N3" si="4">+SUM(F31:F117)</f>
        <v>2470.303</v>
      </c>
      <c r="N3" s="8">
        <f t="shared" si="4"/>
        <v>49832</v>
      </c>
      <c r="O3" s="9">
        <f t="shared" si="5"/>
        <v>4.957262402</v>
      </c>
      <c r="P3" s="8">
        <f t="shared" ref="P3:Q3" si="6">+SUM(H31:H117)</f>
        <v>4546.57</v>
      </c>
      <c r="Q3" s="8">
        <f t="shared" si="6"/>
        <v>107671.23</v>
      </c>
      <c r="R3" s="10">
        <f t="shared" si="7"/>
        <v>4.222641461</v>
      </c>
      <c r="S3" s="11"/>
      <c r="T3" s="11"/>
      <c r="U3" s="12"/>
      <c r="V3" s="3"/>
      <c r="W3" s="3"/>
      <c r="X3" s="3"/>
      <c r="Y3" s="3"/>
      <c r="Z3" s="3"/>
    </row>
    <row r="4" ht="14.25" customHeight="1">
      <c r="A4" s="1">
        <v>10103.0</v>
      </c>
      <c r="B4" s="1" t="s">
        <v>13</v>
      </c>
      <c r="C4" s="1" t="s">
        <v>14</v>
      </c>
      <c r="D4" s="1" t="s">
        <v>18</v>
      </c>
      <c r="E4" s="6">
        <v>0.4</v>
      </c>
      <c r="F4" s="7">
        <v>0.56</v>
      </c>
      <c r="G4" s="7">
        <v>140.0</v>
      </c>
      <c r="H4" s="7">
        <v>2.7</v>
      </c>
      <c r="I4" s="7">
        <v>274.36</v>
      </c>
      <c r="J4" s="6">
        <f t="shared" si="3"/>
        <v>0.9841084706</v>
      </c>
      <c r="K4" s="3"/>
      <c r="L4" s="1" t="s">
        <v>19</v>
      </c>
      <c r="M4" s="8">
        <f t="shared" ref="M4:N4" si="8">+SUM(F118:F165)</f>
        <v>1140.072</v>
      </c>
      <c r="N4" s="8">
        <f t="shared" si="8"/>
        <v>32553</v>
      </c>
      <c r="O4" s="9">
        <f t="shared" si="5"/>
        <v>3.502202562</v>
      </c>
      <c r="P4" s="8">
        <f t="shared" ref="P4:Q4" si="9">+SUM(H118:H165)</f>
        <v>2995.55</v>
      </c>
      <c r="Q4" s="8">
        <f t="shared" si="9"/>
        <v>65237.36</v>
      </c>
      <c r="R4" s="10">
        <f t="shared" si="7"/>
        <v>4.591770728</v>
      </c>
      <c r="S4" s="11"/>
      <c r="T4" s="11"/>
      <c r="U4" s="12"/>
      <c r="V4" s="3"/>
      <c r="W4" s="3"/>
      <c r="X4" s="3"/>
      <c r="Y4" s="3"/>
      <c r="Z4" s="3"/>
    </row>
    <row r="5" ht="14.25" customHeight="1">
      <c r="A5" s="1">
        <v>10201.0</v>
      </c>
      <c r="B5" s="1" t="s">
        <v>13</v>
      </c>
      <c r="C5" s="1" t="s">
        <v>20</v>
      </c>
      <c r="D5" s="1" t="s">
        <v>21</v>
      </c>
      <c r="E5" s="6">
        <v>0.5</v>
      </c>
      <c r="F5" s="7">
        <v>0.545</v>
      </c>
      <c r="G5" s="7">
        <v>109.0</v>
      </c>
      <c r="H5" s="7">
        <v>2.89</v>
      </c>
      <c r="I5" s="7">
        <v>227.09</v>
      </c>
      <c r="J5" s="6">
        <f t="shared" si="3"/>
        <v>1.272623189</v>
      </c>
      <c r="K5" s="3"/>
      <c r="L5" s="1" t="s">
        <v>22</v>
      </c>
      <c r="M5" s="8">
        <f t="shared" ref="M5:N5" si="10">+SUM(F166:F200)</f>
        <v>189.284</v>
      </c>
      <c r="N5" s="8">
        <f t="shared" si="10"/>
        <v>9806</v>
      </c>
      <c r="O5" s="9">
        <f t="shared" si="5"/>
        <v>1.930287579</v>
      </c>
      <c r="P5" s="8">
        <f t="shared" ref="P5:Q5" si="11">+SUM(H166:H200)</f>
        <v>560.1</v>
      </c>
      <c r="Q5" s="8">
        <f t="shared" si="11"/>
        <v>19069.94</v>
      </c>
      <c r="R5" s="10">
        <f t="shared" si="7"/>
        <v>2.937083179</v>
      </c>
      <c r="S5" s="11"/>
      <c r="T5" s="11"/>
      <c r="U5" s="12"/>
      <c r="V5" s="3"/>
      <c r="W5" s="3"/>
      <c r="X5" s="3"/>
      <c r="Y5" s="3"/>
      <c r="Z5" s="3"/>
    </row>
    <row r="6" ht="14.25" customHeight="1">
      <c r="A6" s="1">
        <v>10202.0</v>
      </c>
      <c r="B6" s="1" t="s">
        <v>13</v>
      </c>
      <c r="C6" s="1" t="s">
        <v>20</v>
      </c>
      <c r="D6" s="1" t="s">
        <v>23</v>
      </c>
      <c r="E6" s="6">
        <v>0.7</v>
      </c>
      <c r="F6" s="7">
        <v>0.9239999999999999</v>
      </c>
      <c r="G6" s="7">
        <v>132.0</v>
      </c>
      <c r="H6" s="7">
        <v>3.41</v>
      </c>
      <c r="I6" s="7">
        <v>287.02</v>
      </c>
      <c r="J6" s="6">
        <f t="shared" si="3"/>
        <v>1.188070518</v>
      </c>
      <c r="K6" s="3"/>
      <c r="L6" s="1" t="s">
        <v>24</v>
      </c>
      <c r="M6" s="8">
        <f t="shared" ref="M6:N6" si="12">+SUM(F201:F242)</f>
        <v>490.12</v>
      </c>
      <c r="N6" s="8">
        <f t="shared" si="12"/>
        <v>15110</v>
      </c>
      <c r="O6" s="9">
        <f t="shared" si="5"/>
        <v>3.243679682</v>
      </c>
      <c r="P6" s="8">
        <f t="shared" ref="P6:Q6" si="13">+SUM(H201:H242)</f>
        <v>862.88</v>
      </c>
      <c r="Q6" s="8">
        <f t="shared" si="13"/>
        <v>38643.99</v>
      </c>
      <c r="R6" s="10">
        <f t="shared" si="7"/>
        <v>2.232895723</v>
      </c>
      <c r="S6" s="11"/>
      <c r="T6" s="11"/>
      <c r="U6" s="12"/>
      <c r="V6" s="3"/>
      <c r="W6" s="3"/>
      <c r="X6" s="3"/>
      <c r="Y6" s="3"/>
      <c r="Z6" s="3"/>
    </row>
    <row r="7" ht="14.25" customHeight="1">
      <c r="A7" s="1">
        <v>10301.0</v>
      </c>
      <c r="B7" s="1" t="s">
        <v>13</v>
      </c>
      <c r="C7" s="1" t="s">
        <v>25</v>
      </c>
      <c r="D7" s="1" t="s">
        <v>26</v>
      </c>
      <c r="E7" s="6">
        <v>12.7</v>
      </c>
      <c r="F7" s="7">
        <v>15.748</v>
      </c>
      <c r="G7" s="7">
        <v>124.0</v>
      </c>
      <c r="H7" s="7">
        <v>20.77</v>
      </c>
      <c r="I7" s="7">
        <v>257.86</v>
      </c>
      <c r="J7" s="6">
        <f t="shared" si="3"/>
        <v>8.054758396</v>
      </c>
      <c r="K7" s="3"/>
      <c r="L7" s="1" t="s">
        <v>27</v>
      </c>
      <c r="M7" s="8">
        <f t="shared" ref="M7:N7" si="14">+SUM(F243:F253)</f>
        <v>250.92</v>
      </c>
      <c r="N7" s="8">
        <f t="shared" si="14"/>
        <v>13575</v>
      </c>
      <c r="O7" s="9">
        <f t="shared" si="5"/>
        <v>1.84839779</v>
      </c>
      <c r="P7" s="8">
        <f t="shared" ref="P7:Q7" si="15">+SUM(H243:H253)</f>
        <v>771.51</v>
      </c>
      <c r="Q7" s="8">
        <f t="shared" si="15"/>
        <v>25046.53</v>
      </c>
      <c r="R7" s="10">
        <f t="shared" si="7"/>
        <v>3.080306933</v>
      </c>
      <c r="S7" s="11"/>
      <c r="T7" s="11"/>
      <c r="U7" s="12"/>
      <c r="V7" s="3"/>
      <c r="W7" s="3"/>
      <c r="X7" s="3"/>
      <c r="Y7" s="3"/>
      <c r="Z7" s="3"/>
    </row>
    <row r="8" ht="14.25" customHeight="1">
      <c r="A8" s="1">
        <v>10302.0</v>
      </c>
      <c r="B8" s="1" t="s">
        <v>13</v>
      </c>
      <c r="C8" s="1" t="s">
        <v>25</v>
      </c>
      <c r="D8" s="1" t="s">
        <v>28</v>
      </c>
      <c r="E8" s="6">
        <v>0.5</v>
      </c>
      <c r="F8" s="7">
        <v>0.545</v>
      </c>
      <c r="G8" s="7">
        <v>109.0</v>
      </c>
      <c r="H8" s="7">
        <v>2.98</v>
      </c>
      <c r="I8" s="7">
        <v>221.78</v>
      </c>
      <c r="J8" s="6">
        <f t="shared" si="3"/>
        <v>1.343673911</v>
      </c>
      <c r="K8" s="3"/>
      <c r="L8" s="1" t="s">
        <v>29</v>
      </c>
      <c r="M8" s="8">
        <f t="shared" ref="M8:N8" si="16">+SUM(F254:F309)</f>
        <v>2318.406</v>
      </c>
      <c r="N8" s="8">
        <f t="shared" si="16"/>
        <v>57566</v>
      </c>
      <c r="O8" s="9">
        <f t="shared" si="5"/>
        <v>4.027387694</v>
      </c>
      <c r="P8" s="8">
        <f t="shared" ref="P8:Q8" si="17">+SUM(H254:H309)</f>
        <v>5285.3</v>
      </c>
      <c r="Q8" s="8">
        <f t="shared" si="17"/>
        <v>138298.98</v>
      </c>
      <c r="R8" s="10">
        <f t="shared" si="7"/>
        <v>3.821647853</v>
      </c>
      <c r="S8" s="11"/>
      <c r="T8" s="11"/>
      <c r="U8" s="12"/>
      <c r="V8" s="3"/>
      <c r="W8" s="3"/>
      <c r="X8" s="3"/>
      <c r="Y8" s="3"/>
      <c r="Z8" s="3"/>
    </row>
    <row r="9" ht="14.25" customHeight="1">
      <c r="A9" s="1">
        <v>10303.0</v>
      </c>
      <c r="B9" s="1" t="s">
        <v>13</v>
      </c>
      <c r="C9" s="1" t="s">
        <v>25</v>
      </c>
      <c r="D9" s="1" t="s">
        <v>30</v>
      </c>
      <c r="E9" s="6">
        <v>0.9</v>
      </c>
      <c r="F9" s="7">
        <v>0.9540000000000001</v>
      </c>
      <c r="G9" s="7">
        <v>106.0</v>
      </c>
      <c r="H9" s="7">
        <v>3.98</v>
      </c>
      <c r="I9" s="7">
        <v>248.0</v>
      </c>
      <c r="J9" s="6">
        <f t="shared" si="3"/>
        <v>1.60483871</v>
      </c>
      <c r="K9" s="3"/>
      <c r="L9" s="1" t="s">
        <v>31</v>
      </c>
      <c r="M9" s="8">
        <f t="shared" ref="M9:N9" si="18">+SUM(F310:F329)</f>
        <v>258.08</v>
      </c>
      <c r="N9" s="8">
        <f t="shared" si="18"/>
        <v>6388</v>
      </c>
      <c r="O9" s="9">
        <f t="shared" si="5"/>
        <v>4.040075141</v>
      </c>
      <c r="P9" s="8">
        <f t="shared" ref="P9:Q9" si="19">+SUM(H310:H329)</f>
        <v>461.94</v>
      </c>
      <c r="Q9" s="8">
        <f t="shared" si="19"/>
        <v>15450.55</v>
      </c>
      <c r="R9" s="10">
        <f t="shared" si="7"/>
        <v>2.98979648</v>
      </c>
      <c r="S9" s="11"/>
      <c r="T9" s="11"/>
      <c r="U9" s="12"/>
      <c r="V9" s="3"/>
      <c r="W9" s="3"/>
      <c r="X9" s="3"/>
      <c r="Y9" s="3"/>
      <c r="Z9" s="3"/>
    </row>
    <row r="10" ht="14.25" customHeight="1">
      <c r="A10" s="1">
        <v>10304.0</v>
      </c>
      <c r="B10" s="1" t="s">
        <v>13</v>
      </c>
      <c r="C10" s="1" t="s">
        <v>25</v>
      </c>
      <c r="D10" s="1" t="s">
        <v>32</v>
      </c>
      <c r="E10" s="6">
        <v>0.9</v>
      </c>
      <c r="F10" s="7">
        <v>0.657</v>
      </c>
      <c r="G10" s="7">
        <v>73.0</v>
      </c>
      <c r="H10" s="7">
        <v>4.17</v>
      </c>
      <c r="I10" s="7">
        <v>160.32</v>
      </c>
      <c r="J10" s="6">
        <f t="shared" si="3"/>
        <v>2.601047904</v>
      </c>
      <c r="K10" s="3"/>
      <c r="L10" s="1" t="s">
        <v>33</v>
      </c>
      <c r="M10" s="8">
        <f t="shared" ref="M10:N10" si="20">+SUM(F330:F344)</f>
        <v>34.661</v>
      </c>
      <c r="N10" s="8">
        <f t="shared" si="20"/>
        <v>1846</v>
      </c>
      <c r="O10" s="9">
        <f t="shared" si="5"/>
        <v>1.877627302</v>
      </c>
      <c r="P10" s="8">
        <f t="shared" ref="P10:Q10" si="21">+SUM(H330:H344)</f>
        <v>147.99</v>
      </c>
      <c r="Q10" s="8">
        <f t="shared" si="21"/>
        <v>3725.83</v>
      </c>
      <c r="R10" s="10">
        <f t="shared" si="7"/>
        <v>3.97200087</v>
      </c>
      <c r="S10" s="11"/>
      <c r="T10" s="11"/>
      <c r="U10" s="12"/>
      <c r="V10" s="3"/>
      <c r="W10" s="3"/>
      <c r="X10" s="3"/>
      <c r="Y10" s="3"/>
      <c r="Z10" s="3"/>
    </row>
    <row r="11" ht="14.25" customHeight="1">
      <c r="A11" s="1">
        <v>10401.0</v>
      </c>
      <c r="B11" s="1" t="s">
        <v>13</v>
      </c>
      <c r="C11" s="1" t="s">
        <v>34</v>
      </c>
      <c r="D11" s="1" t="s">
        <v>35</v>
      </c>
      <c r="E11" s="6">
        <v>0.5</v>
      </c>
      <c r="F11" s="7">
        <v>0.785</v>
      </c>
      <c r="G11" s="7">
        <v>157.0</v>
      </c>
      <c r="H11" s="7">
        <v>10.24</v>
      </c>
      <c r="I11" s="7">
        <v>366.55</v>
      </c>
      <c r="J11" s="6">
        <f t="shared" si="3"/>
        <v>2.793616151</v>
      </c>
      <c r="K11" s="3"/>
      <c r="L11" s="1" t="s">
        <v>36</v>
      </c>
      <c r="M11" s="8">
        <v>67.273</v>
      </c>
      <c r="N11" s="7">
        <v>5704.0</v>
      </c>
      <c r="O11" s="9">
        <f t="shared" si="5"/>
        <v>1.179400421</v>
      </c>
      <c r="P11" s="7">
        <v>257.87</v>
      </c>
      <c r="Q11" s="8">
        <v>10931.119999999999</v>
      </c>
      <c r="R11" s="10">
        <f t="shared" si="7"/>
        <v>2.359044636</v>
      </c>
      <c r="S11" s="11"/>
      <c r="T11" s="11"/>
      <c r="U11" s="12"/>
      <c r="V11" s="3"/>
      <c r="W11" s="3"/>
      <c r="X11" s="3"/>
      <c r="Y11" s="3"/>
      <c r="Z11" s="3"/>
    </row>
    <row r="12" ht="14.25" customHeight="1">
      <c r="A12" s="1">
        <v>10402.0</v>
      </c>
      <c r="B12" s="1" t="s">
        <v>13</v>
      </c>
      <c r="C12" s="1" t="s">
        <v>34</v>
      </c>
      <c r="D12" s="1" t="s">
        <v>34</v>
      </c>
      <c r="E12" s="6">
        <v>1.1</v>
      </c>
      <c r="F12" s="7">
        <v>0.9350000000000002</v>
      </c>
      <c r="G12" s="7">
        <v>85.0</v>
      </c>
      <c r="H12" s="7">
        <v>4.64</v>
      </c>
      <c r="I12" s="7">
        <v>184.04</v>
      </c>
      <c r="J12" s="6">
        <f t="shared" si="3"/>
        <v>2.521191045</v>
      </c>
      <c r="K12" s="3"/>
      <c r="L12" s="1" t="s">
        <v>37</v>
      </c>
      <c r="M12" s="13">
        <f t="shared" ref="M12:N12" si="22">SUM(M2:M10)</f>
        <v>7491.157</v>
      </c>
      <c r="N12" s="13">
        <f t="shared" si="22"/>
        <v>196820</v>
      </c>
      <c r="O12" s="9">
        <f t="shared" si="5"/>
        <v>3.806095417</v>
      </c>
      <c r="P12" s="13">
        <f t="shared" ref="P12:Q12" si="23">SUM(P2:P10)</f>
        <v>16494.57</v>
      </c>
      <c r="Q12" s="14">
        <f t="shared" si="23"/>
        <v>433223.19</v>
      </c>
      <c r="R12" s="10">
        <f t="shared" si="7"/>
        <v>3.807406986</v>
      </c>
      <c r="S12" s="11"/>
      <c r="T12" s="11"/>
      <c r="U12" s="12"/>
      <c r="V12" s="3"/>
      <c r="W12" s="3"/>
      <c r="X12" s="3"/>
      <c r="Y12" s="3"/>
      <c r="Z12" s="3"/>
    </row>
    <row r="13" ht="14.25" customHeight="1">
      <c r="A13" s="1">
        <v>10403.0</v>
      </c>
      <c r="B13" s="1" t="s">
        <v>13</v>
      </c>
      <c r="C13" s="1" t="s">
        <v>34</v>
      </c>
      <c r="D13" s="1" t="s">
        <v>38</v>
      </c>
      <c r="E13" s="6">
        <v>0.8</v>
      </c>
      <c r="F13" s="7">
        <v>0.64</v>
      </c>
      <c r="G13" s="7">
        <v>80.0</v>
      </c>
      <c r="H13" s="7">
        <v>3.08</v>
      </c>
      <c r="I13" s="7">
        <v>158.84</v>
      </c>
      <c r="J13" s="6">
        <f t="shared" si="3"/>
        <v>1.939058172</v>
      </c>
      <c r="K13" s="3"/>
      <c r="L13" s="3"/>
      <c r="M13" s="3"/>
      <c r="N13" s="3"/>
      <c r="O13" s="3"/>
      <c r="P13" s="3"/>
      <c r="Q13" s="15"/>
      <c r="R13" s="16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1">
        <v>10404.0</v>
      </c>
      <c r="B14" s="1" t="s">
        <v>13</v>
      </c>
      <c r="C14" s="1" t="s">
        <v>34</v>
      </c>
      <c r="D14" s="1" t="s">
        <v>39</v>
      </c>
      <c r="E14" s="6">
        <v>1.0</v>
      </c>
      <c r="F14" s="7">
        <v>0.57</v>
      </c>
      <c r="G14" s="7">
        <v>57.0</v>
      </c>
      <c r="H14" s="7">
        <v>4.17</v>
      </c>
      <c r="I14" s="7">
        <v>113.16</v>
      </c>
      <c r="J14" s="6">
        <f t="shared" si="3"/>
        <v>3.68504772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1">
        <v>10405.0</v>
      </c>
      <c r="B15" s="1" t="s">
        <v>13</v>
      </c>
      <c r="C15" s="1" t="s">
        <v>34</v>
      </c>
      <c r="D15" s="1" t="s">
        <v>40</v>
      </c>
      <c r="E15" s="6">
        <v>0.5</v>
      </c>
      <c r="F15" s="7">
        <v>0.345</v>
      </c>
      <c r="G15" s="7">
        <v>69.0</v>
      </c>
      <c r="H15" s="7">
        <v>1.61</v>
      </c>
      <c r="I15" s="7">
        <v>145.72</v>
      </c>
      <c r="J15" s="6">
        <f t="shared" si="3"/>
        <v>1.104858633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1">
        <v>10501.0</v>
      </c>
      <c r="B16" s="1" t="s">
        <v>13</v>
      </c>
      <c r="C16" s="1" t="s">
        <v>41</v>
      </c>
      <c r="D16" s="1" t="s">
        <v>42</v>
      </c>
      <c r="E16" s="6">
        <v>4.9</v>
      </c>
      <c r="F16" s="7">
        <v>20.188000000000002</v>
      </c>
      <c r="G16" s="7">
        <v>412.0</v>
      </c>
      <c r="H16" s="7">
        <v>37.66</v>
      </c>
      <c r="I16" s="7">
        <v>793.09</v>
      </c>
      <c r="J16" s="6">
        <f t="shared" si="3"/>
        <v>4.748515301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1">
        <v>10502.0</v>
      </c>
      <c r="B17" s="1" t="s">
        <v>13</v>
      </c>
      <c r="C17" s="1" t="s">
        <v>41</v>
      </c>
      <c r="D17" s="1" t="s">
        <v>43</v>
      </c>
      <c r="E17" s="6">
        <v>0.6</v>
      </c>
      <c r="F17" s="7">
        <v>0.93</v>
      </c>
      <c r="G17" s="7">
        <v>155.0</v>
      </c>
      <c r="H17" s="7">
        <v>5.73</v>
      </c>
      <c r="I17" s="7">
        <v>319.15</v>
      </c>
      <c r="J17" s="6">
        <f t="shared" si="3"/>
        <v>1.795394015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1">
        <v>10601.0</v>
      </c>
      <c r="B18" s="1" t="s">
        <v>13</v>
      </c>
      <c r="C18" s="1" t="s">
        <v>44</v>
      </c>
      <c r="D18" s="1" t="s">
        <v>45</v>
      </c>
      <c r="E18" s="6">
        <v>0.6</v>
      </c>
      <c r="F18" s="7">
        <v>0.954</v>
      </c>
      <c r="G18" s="7">
        <v>159.0</v>
      </c>
      <c r="H18" s="7">
        <v>17.83</v>
      </c>
      <c r="I18" s="7">
        <v>338.96</v>
      </c>
      <c r="J18" s="6">
        <f t="shared" si="3"/>
        <v>5.260207694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1">
        <v>10602.0</v>
      </c>
      <c r="B19" s="1" t="s">
        <v>13</v>
      </c>
      <c r="C19" s="1" t="s">
        <v>44</v>
      </c>
      <c r="D19" s="1" t="s">
        <v>44</v>
      </c>
      <c r="E19" s="6">
        <v>0.5</v>
      </c>
      <c r="F19" s="7">
        <v>0.5</v>
      </c>
      <c r="G19" s="7">
        <v>100.0</v>
      </c>
      <c r="H19" s="7">
        <v>3.08</v>
      </c>
      <c r="I19" s="7">
        <v>212.1</v>
      </c>
      <c r="J19" s="6">
        <f t="shared" si="3"/>
        <v>1.452145215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1">
        <v>10701.0</v>
      </c>
      <c r="B20" s="1" t="s">
        <v>13</v>
      </c>
      <c r="C20" s="1" t="s">
        <v>46</v>
      </c>
      <c r="D20" s="1" t="s">
        <v>47</v>
      </c>
      <c r="E20" s="6">
        <v>8.4</v>
      </c>
      <c r="F20" s="7">
        <v>17.808000000000003</v>
      </c>
      <c r="G20" s="7">
        <v>212.0</v>
      </c>
      <c r="H20" s="7">
        <v>19.58</v>
      </c>
      <c r="I20" s="7">
        <v>444.95</v>
      </c>
      <c r="J20" s="6">
        <f t="shared" si="3"/>
        <v>4.400494438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1">
        <v>10702.0</v>
      </c>
      <c r="B21" s="1" t="s">
        <v>13</v>
      </c>
      <c r="C21" s="1" t="s">
        <v>46</v>
      </c>
      <c r="D21" s="1" t="s">
        <v>48</v>
      </c>
      <c r="E21" s="6">
        <v>0.4</v>
      </c>
      <c r="F21" s="7">
        <v>1.2480000000000002</v>
      </c>
      <c r="G21" s="7">
        <v>312.0</v>
      </c>
      <c r="H21" s="7">
        <v>7.11</v>
      </c>
      <c r="I21" s="7">
        <v>1048.57</v>
      </c>
      <c r="J21" s="6">
        <f t="shared" si="3"/>
        <v>0.6780663189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1">
        <v>10703.0</v>
      </c>
      <c r="B22" s="1" t="s">
        <v>13</v>
      </c>
      <c r="C22" s="1" t="s">
        <v>46</v>
      </c>
      <c r="D22" s="1" t="s">
        <v>49</v>
      </c>
      <c r="E22" s="6">
        <v>0.2</v>
      </c>
      <c r="F22" s="7">
        <v>0.21600000000000003</v>
      </c>
      <c r="G22" s="7">
        <v>108.0</v>
      </c>
      <c r="H22" s="7">
        <v>2.6</v>
      </c>
      <c r="I22" s="7">
        <v>228.72</v>
      </c>
      <c r="J22" s="6">
        <f t="shared" si="3"/>
        <v>1.136761105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1">
        <v>10704.0</v>
      </c>
      <c r="B23" s="1" t="s">
        <v>13</v>
      </c>
      <c r="C23" s="1" t="s">
        <v>46</v>
      </c>
      <c r="D23" s="1" t="s">
        <v>50</v>
      </c>
      <c r="E23" s="6">
        <v>0.4</v>
      </c>
      <c r="F23" s="7">
        <v>0.56</v>
      </c>
      <c r="G23" s="7">
        <v>140.0</v>
      </c>
      <c r="H23" s="7">
        <v>2.89</v>
      </c>
      <c r="I23" s="7">
        <v>302.21</v>
      </c>
      <c r="J23" s="6">
        <f t="shared" si="3"/>
        <v>0.9562886734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1">
        <v>10801.0</v>
      </c>
      <c r="B24" s="1" t="s">
        <v>13</v>
      </c>
      <c r="C24" s="1" t="s">
        <v>51</v>
      </c>
      <c r="D24" s="1" t="s">
        <v>52</v>
      </c>
      <c r="E24" s="6">
        <v>1.1</v>
      </c>
      <c r="F24" s="7">
        <v>1.3310000000000002</v>
      </c>
      <c r="G24" s="7">
        <v>121.0</v>
      </c>
      <c r="H24" s="7">
        <v>8.96</v>
      </c>
      <c r="I24" s="7">
        <v>228.1</v>
      </c>
      <c r="J24" s="6">
        <f t="shared" si="3"/>
        <v>3.92810171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1">
        <v>10901.0</v>
      </c>
      <c r="B25" s="1" t="s">
        <v>13</v>
      </c>
      <c r="C25" s="1" t="s">
        <v>53</v>
      </c>
      <c r="D25" s="1" t="s">
        <v>54</v>
      </c>
      <c r="E25" s="6">
        <v>1.0</v>
      </c>
      <c r="F25" s="7">
        <v>0.47</v>
      </c>
      <c r="G25" s="7">
        <v>47.0</v>
      </c>
      <c r="H25" s="7">
        <v>3.41</v>
      </c>
      <c r="I25" s="7">
        <v>89.4</v>
      </c>
      <c r="J25" s="6">
        <f t="shared" si="3"/>
        <v>3.814317673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1">
        <v>10902.0</v>
      </c>
      <c r="B26" s="1" t="s">
        <v>13</v>
      </c>
      <c r="C26" s="1" t="s">
        <v>53</v>
      </c>
      <c r="D26" s="1" t="s">
        <v>55</v>
      </c>
      <c r="E26" s="6">
        <v>0.3</v>
      </c>
      <c r="F26" s="7">
        <v>0.714</v>
      </c>
      <c r="G26" s="7">
        <v>238.0</v>
      </c>
      <c r="H26" s="7">
        <v>5.07</v>
      </c>
      <c r="I26" s="7">
        <v>560.59</v>
      </c>
      <c r="J26" s="6">
        <f t="shared" si="3"/>
        <v>0.9044042883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1">
        <v>10903.0</v>
      </c>
      <c r="B27" s="1" t="s">
        <v>13</v>
      </c>
      <c r="C27" s="1" t="s">
        <v>53</v>
      </c>
      <c r="D27" s="1" t="s">
        <v>56</v>
      </c>
      <c r="E27" s="6">
        <v>0.4</v>
      </c>
      <c r="F27" s="7">
        <v>0.252</v>
      </c>
      <c r="G27" s="7">
        <v>63.0</v>
      </c>
      <c r="H27" s="7">
        <v>1.42</v>
      </c>
      <c r="I27" s="7">
        <v>171.86</v>
      </c>
      <c r="J27" s="6">
        <f t="shared" si="3"/>
        <v>0.8262539276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1">
        <v>11001.0</v>
      </c>
      <c r="B28" s="1" t="s">
        <v>13</v>
      </c>
      <c r="C28" s="1" t="s">
        <v>57</v>
      </c>
      <c r="D28" s="1" t="s">
        <v>58</v>
      </c>
      <c r="E28" s="6">
        <v>0.5</v>
      </c>
      <c r="F28" s="7">
        <v>0.925</v>
      </c>
      <c r="G28" s="7">
        <v>185.0</v>
      </c>
      <c r="H28" s="7">
        <v>5.45</v>
      </c>
      <c r="I28" s="7">
        <v>359.97</v>
      </c>
      <c r="J28" s="6">
        <f t="shared" si="3"/>
        <v>1.514015057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1">
        <v>11002.0</v>
      </c>
      <c r="B29" s="1" t="s">
        <v>13</v>
      </c>
      <c r="C29" s="1" t="s">
        <v>57</v>
      </c>
      <c r="D29" s="1" t="s">
        <v>59</v>
      </c>
      <c r="E29" s="6">
        <v>0.0</v>
      </c>
      <c r="F29" s="7">
        <v>0.0</v>
      </c>
      <c r="G29" s="7">
        <v>1017.0</v>
      </c>
      <c r="H29" s="7">
        <v>0.75</v>
      </c>
      <c r="I29" s="7">
        <v>2568.95</v>
      </c>
      <c r="J29" s="6">
        <f t="shared" si="3"/>
        <v>0.02919480722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1">
        <v>11003.0</v>
      </c>
      <c r="B30" s="1" t="s">
        <v>13</v>
      </c>
      <c r="C30" s="1" t="s">
        <v>57</v>
      </c>
      <c r="D30" s="1" t="s">
        <v>60</v>
      </c>
      <c r="E30" s="6">
        <v>0.4</v>
      </c>
      <c r="F30" s="7">
        <v>1.06</v>
      </c>
      <c r="G30" s="7">
        <v>265.0</v>
      </c>
      <c r="H30" s="7">
        <v>5.83</v>
      </c>
      <c r="I30" s="7">
        <v>654.91</v>
      </c>
      <c r="J30" s="6">
        <f t="shared" si="3"/>
        <v>0.8901986533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1">
        <v>20101.0</v>
      </c>
      <c r="B31" s="1" t="s">
        <v>17</v>
      </c>
      <c r="C31" s="1" t="s">
        <v>61</v>
      </c>
      <c r="D31" s="1" t="s">
        <v>62</v>
      </c>
      <c r="E31" s="6">
        <v>6.8</v>
      </c>
      <c r="F31" s="7">
        <v>1353.404</v>
      </c>
      <c r="G31" s="7">
        <v>19903.0</v>
      </c>
      <c r="H31" s="7">
        <v>1912.48</v>
      </c>
      <c r="I31" s="7">
        <v>46346.36</v>
      </c>
      <c r="J31" s="6">
        <f t="shared" si="3"/>
        <v>4.126494508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1">
        <v>20102.0</v>
      </c>
      <c r="B32" s="1" t="s">
        <v>17</v>
      </c>
      <c r="C32" s="1" t="s">
        <v>61</v>
      </c>
      <c r="D32" s="1" t="s">
        <v>63</v>
      </c>
      <c r="E32" s="6">
        <v>12.1</v>
      </c>
      <c r="F32" s="7">
        <v>29.766</v>
      </c>
      <c r="G32" s="7">
        <v>246.0</v>
      </c>
      <c r="H32" s="7">
        <v>5.64</v>
      </c>
      <c r="I32" s="7">
        <v>594.45</v>
      </c>
      <c r="J32" s="6">
        <f t="shared" si="3"/>
        <v>0.9487761797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1">
        <v>20103.0</v>
      </c>
      <c r="B33" s="1" t="s">
        <v>17</v>
      </c>
      <c r="C33" s="1" t="s">
        <v>61</v>
      </c>
      <c r="D33" s="1" t="s">
        <v>64</v>
      </c>
      <c r="E33" s="6">
        <v>1.3</v>
      </c>
      <c r="F33" s="7">
        <v>2.418</v>
      </c>
      <c r="G33" s="7">
        <v>186.0</v>
      </c>
      <c r="H33" s="7">
        <v>22.9</v>
      </c>
      <c r="I33" s="7">
        <v>397.36</v>
      </c>
      <c r="J33" s="6">
        <f t="shared" si="3"/>
        <v>5.763036038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1">
        <v>20104.0</v>
      </c>
      <c r="B34" s="1" t="s">
        <v>17</v>
      </c>
      <c r="C34" s="1" t="s">
        <v>61</v>
      </c>
      <c r="D34" s="1" t="s">
        <v>65</v>
      </c>
      <c r="E34" s="6">
        <v>1.5</v>
      </c>
      <c r="F34" s="7">
        <v>3.27</v>
      </c>
      <c r="G34" s="7">
        <v>218.0</v>
      </c>
      <c r="H34" s="7">
        <v>23.0</v>
      </c>
      <c r="I34" s="7">
        <v>484.92</v>
      </c>
      <c r="J34" s="6">
        <f t="shared" si="3"/>
        <v>4.7430504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1">
        <v>20105.0</v>
      </c>
      <c r="B35" s="1" t="s">
        <v>17</v>
      </c>
      <c r="C35" s="1" t="s">
        <v>61</v>
      </c>
      <c r="D35" s="1" t="s">
        <v>66</v>
      </c>
      <c r="E35" s="6">
        <v>3.4</v>
      </c>
      <c r="F35" s="7">
        <v>435.506</v>
      </c>
      <c r="G35" s="7">
        <v>12809.0</v>
      </c>
      <c r="H35" s="7">
        <v>1727.17</v>
      </c>
      <c r="I35" s="7">
        <v>25068.86</v>
      </c>
      <c r="J35" s="6">
        <f t="shared" si="3"/>
        <v>6.889703002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1">
        <v>20201.0</v>
      </c>
      <c r="B36" s="1" t="s">
        <v>17</v>
      </c>
      <c r="C36" s="1" t="s">
        <v>67</v>
      </c>
      <c r="D36" s="1" t="s">
        <v>68</v>
      </c>
      <c r="E36" s="6">
        <v>0.5</v>
      </c>
      <c r="F36" s="7">
        <v>2.365</v>
      </c>
      <c r="G36" s="7">
        <v>473.0</v>
      </c>
      <c r="H36" s="7">
        <v>43.92</v>
      </c>
      <c r="I36" s="7">
        <v>1114.75</v>
      </c>
      <c r="J36" s="6">
        <f t="shared" si="3"/>
        <v>3.939896838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1">
        <v>20202.0</v>
      </c>
      <c r="B37" s="1" t="s">
        <v>17</v>
      </c>
      <c r="C37" s="1" t="s">
        <v>67</v>
      </c>
      <c r="D37" s="1" t="s">
        <v>69</v>
      </c>
      <c r="E37" s="6">
        <v>0.3</v>
      </c>
      <c r="F37" s="7">
        <v>0.324</v>
      </c>
      <c r="G37" s="7">
        <v>108.0</v>
      </c>
      <c r="H37" s="7">
        <v>2.03</v>
      </c>
      <c r="I37" s="7">
        <v>213.86</v>
      </c>
      <c r="J37" s="6">
        <f t="shared" si="3"/>
        <v>0.9492191153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1">
        <v>20203.0</v>
      </c>
      <c r="B38" s="1" t="s">
        <v>17</v>
      </c>
      <c r="C38" s="1" t="s">
        <v>67</v>
      </c>
      <c r="D38" s="1" t="s">
        <v>70</v>
      </c>
      <c r="E38" s="6">
        <v>57.6</v>
      </c>
      <c r="F38" s="7">
        <v>63.36</v>
      </c>
      <c r="G38" s="7">
        <v>110.0</v>
      </c>
      <c r="H38" s="7">
        <v>6.4</v>
      </c>
      <c r="I38" s="7">
        <v>228.02</v>
      </c>
      <c r="J38" s="6">
        <f t="shared" si="3"/>
        <v>2.806771336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1">
        <v>20204.0</v>
      </c>
      <c r="B39" s="1" t="s">
        <v>17</v>
      </c>
      <c r="C39" s="1" t="s">
        <v>67</v>
      </c>
      <c r="D39" s="1" t="s">
        <v>71</v>
      </c>
      <c r="E39" s="6">
        <v>0.5</v>
      </c>
      <c r="F39" s="7">
        <v>0.465</v>
      </c>
      <c r="G39" s="7">
        <v>93.0</v>
      </c>
      <c r="H39" s="7">
        <v>1.61</v>
      </c>
      <c r="I39" s="7">
        <v>195.63</v>
      </c>
      <c r="J39" s="6">
        <f t="shared" si="3"/>
        <v>0.8229821602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1">
        <v>20205.0</v>
      </c>
      <c r="B40" s="1" t="s">
        <v>17</v>
      </c>
      <c r="C40" s="1" t="s">
        <v>67</v>
      </c>
      <c r="D40" s="1" t="s">
        <v>72</v>
      </c>
      <c r="E40" s="6">
        <v>0.4</v>
      </c>
      <c r="F40" s="7">
        <v>0.332</v>
      </c>
      <c r="G40" s="7">
        <v>83.0</v>
      </c>
      <c r="H40" s="7">
        <v>8.25</v>
      </c>
      <c r="I40" s="7">
        <v>129.74</v>
      </c>
      <c r="J40" s="6">
        <f t="shared" si="3"/>
        <v>6.358871589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1">
        <v>20206.0</v>
      </c>
      <c r="B41" s="1" t="s">
        <v>17</v>
      </c>
      <c r="C41" s="1" t="s">
        <v>67</v>
      </c>
      <c r="D41" s="1" t="s">
        <v>73</v>
      </c>
      <c r="E41" s="6">
        <v>58.4</v>
      </c>
      <c r="F41" s="7">
        <v>67.744</v>
      </c>
      <c r="G41" s="7">
        <v>116.0</v>
      </c>
      <c r="H41" s="7">
        <v>7.01</v>
      </c>
      <c r="I41" s="7">
        <v>248.06</v>
      </c>
      <c r="J41" s="6">
        <f t="shared" si="3"/>
        <v>2.825929211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1">
        <v>20301.0</v>
      </c>
      <c r="B42" s="1" t="s">
        <v>17</v>
      </c>
      <c r="C42" s="1" t="s">
        <v>74</v>
      </c>
      <c r="D42" s="1" t="s">
        <v>75</v>
      </c>
      <c r="E42" s="6">
        <v>0.3</v>
      </c>
      <c r="F42" s="7">
        <v>0.657</v>
      </c>
      <c r="G42" s="7">
        <v>219.0</v>
      </c>
      <c r="H42" s="7">
        <v>3.79</v>
      </c>
      <c r="I42" s="7">
        <v>451.07</v>
      </c>
      <c r="J42" s="6">
        <f t="shared" si="3"/>
        <v>0.8402243554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1">
        <v>20302.0</v>
      </c>
      <c r="B43" s="1" t="s">
        <v>17</v>
      </c>
      <c r="C43" s="1" t="s">
        <v>74</v>
      </c>
      <c r="D43" s="1" t="s">
        <v>76</v>
      </c>
      <c r="E43" s="6">
        <v>0.4</v>
      </c>
      <c r="F43" s="7">
        <v>0.46</v>
      </c>
      <c r="G43" s="7">
        <v>115.0</v>
      </c>
      <c r="H43" s="7">
        <v>2.98</v>
      </c>
      <c r="I43" s="7">
        <v>223.45</v>
      </c>
      <c r="J43" s="6">
        <f t="shared" si="3"/>
        <v>1.333631685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1">
        <v>20303.0</v>
      </c>
      <c r="B44" s="1" t="s">
        <v>17</v>
      </c>
      <c r="C44" s="1" t="s">
        <v>74</v>
      </c>
      <c r="D44" s="1" t="s">
        <v>77</v>
      </c>
      <c r="E44" s="6">
        <v>0.2</v>
      </c>
      <c r="F44" s="7">
        <v>0.262</v>
      </c>
      <c r="G44" s="7">
        <v>131.0</v>
      </c>
      <c r="H44" s="7">
        <v>2.22</v>
      </c>
      <c r="I44" s="7">
        <v>283.05</v>
      </c>
      <c r="J44" s="6">
        <f t="shared" si="3"/>
        <v>0.7843137255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1">
        <v>20304.0</v>
      </c>
      <c r="B45" s="1" t="s">
        <v>17</v>
      </c>
      <c r="C45" s="1" t="s">
        <v>74</v>
      </c>
      <c r="D45" s="1" t="s">
        <v>78</v>
      </c>
      <c r="E45" s="6">
        <v>0.5</v>
      </c>
      <c r="F45" s="7">
        <v>0.18</v>
      </c>
      <c r="G45" s="7">
        <v>36.0</v>
      </c>
      <c r="H45" s="7">
        <v>1.04</v>
      </c>
      <c r="I45" s="7">
        <v>72.12</v>
      </c>
      <c r="J45" s="6">
        <f t="shared" si="3"/>
        <v>1.442041043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1">
        <v>20305.0</v>
      </c>
      <c r="B46" s="1" t="s">
        <v>17</v>
      </c>
      <c r="C46" s="1" t="s">
        <v>74</v>
      </c>
      <c r="D46" s="1" t="s">
        <v>79</v>
      </c>
      <c r="E46" s="6">
        <v>0.5</v>
      </c>
      <c r="F46" s="7">
        <v>0.19</v>
      </c>
      <c r="G46" s="7">
        <v>38.0</v>
      </c>
      <c r="H46" s="7">
        <v>1.23</v>
      </c>
      <c r="I46" s="7">
        <v>175.55</v>
      </c>
      <c r="J46" s="6">
        <f t="shared" si="3"/>
        <v>0.700655084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1">
        <v>20306.0</v>
      </c>
      <c r="B47" s="1" t="s">
        <v>17</v>
      </c>
      <c r="C47" s="1" t="s">
        <v>74</v>
      </c>
      <c r="D47" s="1" t="s">
        <v>80</v>
      </c>
      <c r="E47" s="6">
        <v>0.4</v>
      </c>
      <c r="F47" s="7">
        <v>0.23600000000000002</v>
      </c>
      <c r="G47" s="7">
        <v>59.0</v>
      </c>
      <c r="H47" s="7">
        <v>1.42</v>
      </c>
      <c r="I47" s="7">
        <v>133.27</v>
      </c>
      <c r="J47" s="6">
        <f t="shared" si="3"/>
        <v>1.065506115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1">
        <v>20307.0</v>
      </c>
      <c r="B48" s="1" t="s">
        <v>17</v>
      </c>
      <c r="C48" s="1" t="s">
        <v>74</v>
      </c>
      <c r="D48" s="1" t="s">
        <v>81</v>
      </c>
      <c r="E48" s="6">
        <v>2.7</v>
      </c>
      <c r="F48" s="7">
        <v>0.10800000000000001</v>
      </c>
      <c r="G48" s="7">
        <v>4.0</v>
      </c>
      <c r="H48" s="7">
        <v>1.13</v>
      </c>
      <c r="I48" s="7">
        <v>13.89</v>
      </c>
      <c r="J48" s="6">
        <f t="shared" si="3"/>
        <v>8.135349172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1">
        <v>20308.0</v>
      </c>
      <c r="B49" s="1" t="s">
        <v>17</v>
      </c>
      <c r="C49" s="1" t="s">
        <v>74</v>
      </c>
      <c r="D49" s="1" t="s">
        <v>82</v>
      </c>
      <c r="E49" s="6">
        <v>0.3</v>
      </c>
      <c r="F49" s="7">
        <v>0.195</v>
      </c>
      <c r="G49" s="7">
        <v>65.0</v>
      </c>
      <c r="H49" s="7">
        <v>1.42</v>
      </c>
      <c r="I49" s="7">
        <v>136.75</v>
      </c>
      <c r="J49" s="6">
        <f t="shared" si="3"/>
        <v>1.038391225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1">
        <v>20401.0</v>
      </c>
      <c r="B50" s="1" t="s">
        <v>17</v>
      </c>
      <c r="C50" s="1" t="s">
        <v>83</v>
      </c>
      <c r="D50" s="1" t="s">
        <v>84</v>
      </c>
      <c r="E50" s="6">
        <v>0.4</v>
      </c>
      <c r="F50" s="7">
        <v>0.40800000000000003</v>
      </c>
      <c r="G50" s="7">
        <v>102.0</v>
      </c>
      <c r="H50" s="7">
        <v>7.01</v>
      </c>
      <c r="I50" s="7">
        <v>214.02</v>
      </c>
      <c r="J50" s="6">
        <f t="shared" si="3"/>
        <v>3.275394823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1">
        <v>20402.0</v>
      </c>
      <c r="B51" s="1" t="s">
        <v>17</v>
      </c>
      <c r="C51" s="1" t="s">
        <v>83</v>
      </c>
      <c r="D51" s="1" t="s">
        <v>85</v>
      </c>
      <c r="E51" s="6">
        <v>0.3</v>
      </c>
      <c r="F51" s="7">
        <v>0.423</v>
      </c>
      <c r="G51" s="7">
        <v>141.0</v>
      </c>
      <c r="H51" s="7">
        <v>3.17</v>
      </c>
      <c r="I51" s="7">
        <v>304.55</v>
      </c>
      <c r="J51" s="6">
        <f t="shared" si="3"/>
        <v>1.040879987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1">
        <v>20403.0</v>
      </c>
      <c r="B52" s="1" t="s">
        <v>17</v>
      </c>
      <c r="C52" s="1" t="s">
        <v>83</v>
      </c>
      <c r="D52" s="1" t="s">
        <v>86</v>
      </c>
      <c r="E52" s="6">
        <v>0.1</v>
      </c>
      <c r="F52" s="7">
        <v>0.263</v>
      </c>
      <c r="G52" s="7">
        <v>263.0</v>
      </c>
      <c r="H52" s="7">
        <v>1.84</v>
      </c>
      <c r="I52" s="7">
        <v>491.22</v>
      </c>
      <c r="J52" s="6">
        <f t="shared" si="3"/>
        <v>0.3745775823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1">
        <v>20404.0</v>
      </c>
      <c r="B53" s="1" t="s">
        <v>17</v>
      </c>
      <c r="C53" s="1" t="s">
        <v>83</v>
      </c>
      <c r="D53" s="1" t="s">
        <v>87</v>
      </c>
      <c r="E53" s="6">
        <v>0.2</v>
      </c>
      <c r="F53" s="7">
        <v>0.08800000000000001</v>
      </c>
      <c r="G53" s="7">
        <v>44.0</v>
      </c>
      <c r="H53" s="7">
        <v>0.47</v>
      </c>
      <c r="I53" s="7">
        <v>92.01</v>
      </c>
      <c r="J53" s="6">
        <f t="shared" si="3"/>
        <v>0.510814042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1">
        <v>20405.0</v>
      </c>
      <c r="B54" s="1" t="s">
        <v>17</v>
      </c>
      <c r="C54" s="1" t="s">
        <v>83</v>
      </c>
      <c r="D54" s="1" t="s">
        <v>88</v>
      </c>
      <c r="E54" s="6">
        <v>0.6</v>
      </c>
      <c r="F54" s="7">
        <v>0.324</v>
      </c>
      <c r="G54" s="7">
        <v>54.0</v>
      </c>
      <c r="H54" s="7">
        <v>2.51</v>
      </c>
      <c r="I54" s="7">
        <v>104.9</v>
      </c>
      <c r="J54" s="6">
        <f t="shared" si="3"/>
        <v>2.392755005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1">
        <v>20501.0</v>
      </c>
      <c r="B55" s="1" t="s">
        <v>17</v>
      </c>
      <c r="C55" s="1" t="s">
        <v>89</v>
      </c>
      <c r="D55" s="1" t="s">
        <v>90</v>
      </c>
      <c r="E55" s="6">
        <v>0.3</v>
      </c>
      <c r="F55" s="7">
        <v>0.348</v>
      </c>
      <c r="G55" s="7">
        <v>116.0</v>
      </c>
      <c r="H55" s="7">
        <v>2.6</v>
      </c>
      <c r="I55" s="7">
        <v>209.09</v>
      </c>
      <c r="J55" s="6">
        <f t="shared" si="3"/>
        <v>1.243483667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1">
        <v>20502.0</v>
      </c>
      <c r="B56" s="1" t="s">
        <v>17</v>
      </c>
      <c r="C56" s="1" t="s">
        <v>89</v>
      </c>
      <c r="D56" s="1" t="s">
        <v>91</v>
      </c>
      <c r="E56" s="6">
        <v>0.2</v>
      </c>
      <c r="F56" s="7">
        <v>0.17400000000000002</v>
      </c>
      <c r="G56" s="7">
        <v>87.0</v>
      </c>
      <c r="H56" s="7">
        <v>1.23</v>
      </c>
      <c r="I56" s="7">
        <v>203.18</v>
      </c>
      <c r="J56" s="6">
        <f t="shared" si="3"/>
        <v>0.6053745447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1">
        <v>20503.0</v>
      </c>
      <c r="B57" s="1" t="s">
        <v>17</v>
      </c>
      <c r="C57" s="1" t="s">
        <v>89</v>
      </c>
      <c r="D57" s="1" t="s">
        <v>92</v>
      </c>
      <c r="E57" s="6">
        <v>0.8</v>
      </c>
      <c r="F57" s="7">
        <v>0.32</v>
      </c>
      <c r="G57" s="7">
        <v>40.0</v>
      </c>
      <c r="H57" s="7">
        <v>1.84</v>
      </c>
      <c r="I57" s="7">
        <v>141.7</v>
      </c>
      <c r="J57" s="6">
        <f t="shared" si="3"/>
        <v>1.298517996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1">
        <v>20601.0</v>
      </c>
      <c r="B58" s="1" t="s">
        <v>17</v>
      </c>
      <c r="C58" s="1" t="s">
        <v>93</v>
      </c>
      <c r="D58" s="1" t="s">
        <v>94</v>
      </c>
      <c r="E58" s="6">
        <v>6.8</v>
      </c>
      <c r="F58" s="7">
        <v>44.608000000000004</v>
      </c>
      <c r="G58" s="7">
        <v>656.0</v>
      </c>
      <c r="H58" s="7">
        <v>43.92</v>
      </c>
      <c r="I58" s="7">
        <v>903.59</v>
      </c>
      <c r="J58" s="6">
        <f t="shared" si="3"/>
        <v>4.860611561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1">
        <v>20602.0</v>
      </c>
      <c r="B59" s="1" t="s">
        <v>17</v>
      </c>
      <c r="C59" s="1" t="s">
        <v>93</v>
      </c>
      <c r="D59" s="1" t="s">
        <v>95</v>
      </c>
      <c r="E59" s="6">
        <v>0.7</v>
      </c>
      <c r="F59" s="7">
        <v>3.1289999999999996</v>
      </c>
      <c r="G59" s="7">
        <v>447.0</v>
      </c>
      <c r="H59" s="7">
        <v>13.13</v>
      </c>
      <c r="I59" s="7">
        <v>1257.19</v>
      </c>
      <c r="J59" s="6">
        <f t="shared" si="3"/>
        <v>1.044392653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1">
        <v>20603.0</v>
      </c>
      <c r="B60" s="1" t="s">
        <v>17</v>
      </c>
      <c r="C60" s="1" t="s">
        <v>93</v>
      </c>
      <c r="D60" s="1" t="s">
        <v>96</v>
      </c>
      <c r="E60" s="6">
        <v>0.2</v>
      </c>
      <c r="F60" s="7">
        <v>0.686</v>
      </c>
      <c r="G60" s="7">
        <v>343.0</v>
      </c>
      <c r="H60" s="7">
        <v>2.13</v>
      </c>
      <c r="I60" s="7">
        <v>954.97</v>
      </c>
      <c r="J60" s="6">
        <f t="shared" si="3"/>
        <v>0.2230436558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1">
        <v>20604.0</v>
      </c>
      <c r="B61" s="1" t="s">
        <v>17</v>
      </c>
      <c r="C61" s="1" t="s">
        <v>93</v>
      </c>
      <c r="D61" s="1" t="s">
        <v>97</v>
      </c>
      <c r="E61" s="6">
        <v>0.1</v>
      </c>
      <c r="F61" s="7">
        <v>0.172</v>
      </c>
      <c r="G61" s="7">
        <v>172.0</v>
      </c>
      <c r="H61" s="7">
        <v>0.47</v>
      </c>
      <c r="I61" s="7">
        <v>121.59</v>
      </c>
      <c r="J61" s="6">
        <f t="shared" si="3"/>
        <v>0.3865449461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1">
        <v>20605.0</v>
      </c>
      <c r="B62" s="1" t="s">
        <v>17</v>
      </c>
      <c r="C62" s="1" t="s">
        <v>93</v>
      </c>
      <c r="D62" s="1" t="s">
        <v>98</v>
      </c>
      <c r="E62" s="6">
        <v>0.2</v>
      </c>
      <c r="F62" s="7">
        <v>0.054000000000000006</v>
      </c>
      <c r="G62" s="7">
        <v>27.0</v>
      </c>
      <c r="H62" s="7">
        <v>0.37</v>
      </c>
      <c r="I62" s="7">
        <v>60.39</v>
      </c>
      <c r="J62" s="6">
        <f t="shared" si="3"/>
        <v>0.6126842192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1">
        <v>20606.0</v>
      </c>
      <c r="B63" s="1" t="s">
        <v>17</v>
      </c>
      <c r="C63" s="1" t="s">
        <v>93</v>
      </c>
      <c r="D63" s="1" t="s">
        <v>99</v>
      </c>
      <c r="E63" s="6">
        <v>0.7</v>
      </c>
      <c r="F63" s="7">
        <v>2.639</v>
      </c>
      <c r="G63" s="7">
        <v>377.0</v>
      </c>
      <c r="H63" s="7">
        <v>14.79</v>
      </c>
      <c r="I63" s="7">
        <v>519.49</v>
      </c>
      <c r="J63" s="6">
        <f t="shared" si="3"/>
        <v>2.847023042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1">
        <v>20607.0</v>
      </c>
      <c r="B64" s="1" t="s">
        <v>17</v>
      </c>
      <c r="C64" s="1" t="s">
        <v>93</v>
      </c>
      <c r="D64" s="1" t="s">
        <v>100</v>
      </c>
      <c r="E64" s="6">
        <v>0.8</v>
      </c>
      <c r="F64" s="7">
        <v>2.3920000000000003</v>
      </c>
      <c r="G64" s="7">
        <v>299.0</v>
      </c>
      <c r="H64" s="7">
        <v>27.69</v>
      </c>
      <c r="I64" s="7">
        <v>1103.23</v>
      </c>
      <c r="J64" s="6">
        <f t="shared" si="3"/>
        <v>2.50990274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1">
        <v>20608.0</v>
      </c>
      <c r="B65" s="1" t="s">
        <v>17</v>
      </c>
      <c r="C65" s="1" t="s">
        <v>93</v>
      </c>
      <c r="D65" s="1" t="s">
        <v>101</v>
      </c>
      <c r="E65" s="6">
        <v>0.6</v>
      </c>
      <c r="F65" s="7">
        <v>0.8939999999999999</v>
      </c>
      <c r="G65" s="7">
        <v>149.0</v>
      </c>
      <c r="H65" s="7">
        <v>4.45</v>
      </c>
      <c r="I65" s="7">
        <v>422.75</v>
      </c>
      <c r="J65" s="6">
        <f t="shared" si="3"/>
        <v>1.052631579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1">
        <v>20701.0</v>
      </c>
      <c r="B66" s="1" t="s">
        <v>17</v>
      </c>
      <c r="C66" s="1" t="s">
        <v>102</v>
      </c>
      <c r="D66" s="1" t="s">
        <v>103</v>
      </c>
      <c r="E66" s="6">
        <v>0.6</v>
      </c>
      <c r="F66" s="7">
        <v>1.428</v>
      </c>
      <c r="G66" s="7">
        <v>238.0</v>
      </c>
      <c r="H66" s="7">
        <v>8.06</v>
      </c>
      <c r="I66" s="7">
        <v>653.32</v>
      </c>
      <c r="J66" s="6">
        <f t="shared" si="3"/>
        <v>1.233698647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1">
        <v>20702.0</v>
      </c>
      <c r="B67" s="1" t="s">
        <v>17</v>
      </c>
      <c r="C67" s="1" t="s">
        <v>102</v>
      </c>
      <c r="D67" s="1" t="s">
        <v>104</v>
      </c>
      <c r="E67" s="6">
        <v>0.3</v>
      </c>
      <c r="F67" s="7">
        <v>0.7020000000000001</v>
      </c>
      <c r="G67" s="7">
        <v>234.0</v>
      </c>
      <c r="H67" s="7">
        <v>9.05</v>
      </c>
      <c r="I67" s="7">
        <v>721.26</v>
      </c>
      <c r="J67" s="6">
        <f t="shared" si="3"/>
        <v>1.254748634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1">
        <v>20801.0</v>
      </c>
      <c r="B68" s="1" t="s">
        <v>17</v>
      </c>
      <c r="C68" s="1" t="s">
        <v>105</v>
      </c>
      <c r="D68" s="1" t="s">
        <v>106</v>
      </c>
      <c r="E68" s="6">
        <v>1.6</v>
      </c>
      <c r="F68" s="7">
        <v>29.408</v>
      </c>
      <c r="G68" s="7">
        <v>1838.0</v>
      </c>
      <c r="H68" s="7">
        <v>125.21</v>
      </c>
      <c r="I68" s="7">
        <v>3493.86</v>
      </c>
      <c r="J68" s="6">
        <f t="shared" si="3"/>
        <v>3.583715432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1">
        <v>20802.0</v>
      </c>
      <c r="B69" s="1" t="s">
        <v>17</v>
      </c>
      <c r="C69" s="1" t="s">
        <v>105</v>
      </c>
      <c r="D69" s="1" t="s">
        <v>107</v>
      </c>
      <c r="E69" s="6">
        <v>0.7</v>
      </c>
      <c r="F69" s="7">
        <v>0.567</v>
      </c>
      <c r="G69" s="7">
        <v>81.0</v>
      </c>
      <c r="H69" s="7">
        <v>12.85</v>
      </c>
      <c r="I69" s="7">
        <v>159.28</v>
      </c>
      <c r="J69" s="6">
        <f t="shared" si="3"/>
        <v>8.067553993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1">
        <v>20803.0</v>
      </c>
      <c r="B70" s="1" t="s">
        <v>17</v>
      </c>
      <c r="C70" s="1" t="s">
        <v>105</v>
      </c>
      <c r="D70" s="1" t="s">
        <v>108</v>
      </c>
      <c r="E70" s="6">
        <v>46.8</v>
      </c>
      <c r="F70" s="7">
        <v>103.89599999999999</v>
      </c>
      <c r="G70" s="7">
        <v>222.0</v>
      </c>
      <c r="H70" s="7">
        <v>29.07</v>
      </c>
      <c r="I70" s="7">
        <v>403.57</v>
      </c>
      <c r="J70" s="6">
        <f t="shared" si="3"/>
        <v>7.203211339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1">
        <v>20804.0</v>
      </c>
      <c r="B71" s="1" t="s">
        <v>17</v>
      </c>
      <c r="C71" s="1" t="s">
        <v>105</v>
      </c>
      <c r="D71" s="1" t="s">
        <v>109</v>
      </c>
      <c r="E71" s="6">
        <v>28.3</v>
      </c>
      <c r="F71" s="7">
        <v>28.3</v>
      </c>
      <c r="G71" s="7">
        <v>100.0</v>
      </c>
      <c r="H71" s="7">
        <v>16.98</v>
      </c>
      <c r="I71" s="7">
        <v>203.84</v>
      </c>
      <c r="J71" s="6">
        <f t="shared" si="3"/>
        <v>8.330062794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1">
        <v>20805.0</v>
      </c>
      <c r="B72" s="1" t="s">
        <v>17</v>
      </c>
      <c r="C72" s="1" t="s">
        <v>105</v>
      </c>
      <c r="D72" s="1" t="s">
        <v>110</v>
      </c>
      <c r="E72" s="6">
        <v>0.3</v>
      </c>
      <c r="F72" s="7">
        <v>0.147</v>
      </c>
      <c r="G72" s="7">
        <v>49.0</v>
      </c>
      <c r="H72" s="7">
        <v>1.23</v>
      </c>
      <c r="I72" s="7">
        <v>104.04</v>
      </c>
      <c r="J72" s="6">
        <f t="shared" si="3"/>
        <v>1.182237601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1">
        <v>20806.0</v>
      </c>
      <c r="B73" s="1" t="s">
        <v>17</v>
      </c>
      <c r="C73" s="1" t="s">
        <v>105</v>
      </c>
      <c r="D73" s="1" t="s">
        <v>111</v>
      </c>
      <c r="E73" s="6">
        <v>0.4</v>
      </c>
      <c r="F73" s="7">
        <v>0.5840000000000001</v>
      </c>
      <c r="G73" s="7">
        <v>146.0</v>
      </c>
      <c r="H73" s="7">
        <v>4.74</v>
      </c>
      <c r="I73" s="7">
        <v>286.0</v>
      </c>
      <c r="J73" s="6">
        <f t="shared" si="3"/>
        <v>1.657342657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1">
        <v>20807.0</v>
      </c>
      <c r="B74" s="1" t="s">
        <v>17</v>
      </c>
      <c r="C74" s="1" t="s">
        <v>105</v>
      </c>
      <c r="D74" s="1" t="s">
        <v>112</v>
      </c>
      <c r="E74" s="6">
        <v>0.2</v>
      </c>
      <c r="F74" s="7">
        <v>0.10200000000000001</v>
      </c>
      <c r="G74" s="7">
        <v>51.0</v>
      </c>
      <c r="H74" s="7">
        <v>0.66</v>
      </c>
      <c r="I74" s="7">
        <v>103.37</v>
      </c>
      <c r="J74" s="6">
        <f t="shared" si="3"/>
        <v>0.6384831189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1">
        <v>20901.0</v>
      </c>
      <c r="B75" s="1" t="s">
        <v>17</v>
      </c>
      <c r="C75" s="1" t="s">
        <v>113</v>
      </c>
      <c r="D75" s="1" t="s">
        <v>114</v>
      </c>
      <c r="E75" s="6">
        <v>0.4</v>
      </c>
      <c r="F75" s="7">
        <v>0.5</v>
      </c>
      <c r="G75" s="7">
        <v>125.0</v>
      </c>
      <c r="H75" s="7">
        <v>2.22</v>
      </c>
      <c r="I75" s="7">
        <v>240.2</v>
      </c>
      <c r="J75" s="6">
        <f t="shared" si="3"/>
        <v>0.9242298085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1">
        <v>20902.0</v>
      </c>
      <c r="B76" s="1" t="s">
        <v>17</v>
      </c>
      <c r="C76" s="1" t="s">
        <v>113</v>
      </c>
      <c r="D76" s="1" t="s">
        <v>115</v>
      </c>
      <c r="E76" s="6">
        <v>0.3</v>
      </c>
      <c r="F76" s="7">
        <v>0.375</v>
      </c>
      <c r="G76" s="7">
        <v>125.0</v>
      </c>
      <c r="H76" s="7">
        <v>1.23</v>
      </c>
      <c r="I76" s="7">
        <v>265.38</v>
      </c>
      <c r="J76" s="6">
        <f t="shared" si="3"/>
        <v>0.4634863215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1">
        <v>20903.0</v>
      </c>
      <c r="B77" s="1" t="s">
        <v>17</v>
      </c>
      <c r="C77" s="1" t="s">
        <v>113</v>
      </c>
      <c r="D77" s="1" t="s">
        <v>116</v>
      </c>
      <c r="E77" s="6">
        <v>0.3</v>
      </c>
      <c r="F77" s="7">
        <v>0.267</v>
      </c>
      <c r="G77" s="7">
        <v>89.0</v>
      </c>
      <c r="H77" s="7">
        <v>1.84</v>
      </c>
      <c r="I77" s="7">
        <v>149.54</v>
      </c>
      <c r="J77" s="6">
        <f t="shared" si="3"/>
        <v>1.230440016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1">
        <v>20904.0</v>
      </c>
      <c r="B78" s="1" t="s">
        <v>17</v>
      </c>
      <c r="C78" s="1" t="s">
        <v>113</v>
      </c>
      <c r="D78" s="1" t="s">
        <v>117</v>
      </c>
      <c r="E78" s="6">
        <v>0.6</v>
      </c>
      <c r="F78" s="7">
        <v>0.294</v>
      </c>
      <c r="G78" s="7">
        <v>49.0</v>
      </c>
      <c r="H78" s="7">
        <v>1.42</v>
      </c>
      <c r="I78" s="7">
        <v>93.99</v>
      </c>
      <c r="J78" s="6">
        <f t="shared" si="3"/>
        <v>1.510799021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1">
        <v>20905.0</v>
      </c>
      <c r="B79" s="1" t="s">
        <v>17</v>
      </c>
      <c r="C79" s="1" t="s">
        <v>113</v>
      </c>
      <c r="D79" s="1" t="s">
        <v>118</v>
      </c>
      <c r="E79" s="6">
        <v>0.1</v>
      </c>
      <c r="F79" s="7">
        <v>0.16699999999999998</v>
      </c>
      <c r="G79" s="7">
        <v>167.0</v>
      </c>
      <c r="H79" s="7">
        <v>1.61</v>
      </c>
      <c r="I79" s="7">
        <v>399.77</v>
      </c>
      <c r="J79" s="6">
        <f t="shared" si="3"/>
        <v>0.4027315707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1">
        <v>21001.0</v>
      </c>
      <c r="B80" s="1" t="s">
        <v>17</v>
      </c>
      <c r="C80" s="1" t="s">
        <v>119</v>
      </c>
      <c r="D80" s="1" t="s">
        <v>119</v>
      </c>
      <c r="E80" s="6">
        <v>0.1</v>
      </c>
      <c r="F80" s="7">
        <v>0.34700000000000003</v>
      </c>
      <c r="G80" s="7">
        <v>347.0</v>
      </c>
      <c r="H80" s="7">
        <v>1.42</v>
      </c>
      <c r="I80" s="7">
        <v>462.93</v>
      </c>
      <c r="J80" s="6">
        <f t="shared" si="3"/>
        <v>0.30674184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1">
        <v>21002.0</v>
      </c>
      <c r="B81" s="1" t="s">
        <v>17</v>
      </c>
      <c r="C81" s="1" t="s">
        <v>119</v>
      </c>
      <c r="D81" s="1" t="s">
        <v>120</v>
      </c>
      <c r="E81" s="6">
        <v>0.4</v>
      </c>
      <c r="F81" s="7">
        <v>0.9640000000000001</v>
      </c>
      <c r="G81" s="7">
        <v>241.0</v>
      </c>
      <c r="H81" s="7">
        <v>4.55</v>
      </c>
      <c r="I81" s="7">
        <v>316.81</v>
      </c>
      <c r="J81" s="6">
        <f t="shared" si="3"/>
        <v>1.436192039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1">
        <v>21003.0</v>
      </c>
      <c r="B82" s="1" t="s">
        <v>17</v>
      </c>
      <c r="C82" s="1" t="s">
        <v>119</v>
      </c>
      <c r="D82" s="1" t="s">
        <v>121</v>
      </c>
      <c r="E82" s="6">
        <v>0.3</v>
      </c>
      <c r="F82" s="7">
        <v>0.43799999999999994</v>
      </c>
      <c r="G82" s="7">
        <v>146.0</v>
      </c>
      <c r="H82" s="7">
        <v>2.32</v>
      </c>
      <c r="I82" s="7">
        <v>359.06</v>
      </c>
      <c r="J82" s="6">
        <f t="shared" si="3"/>
        <v>0.6461315658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1">
        <v>21004.0</v>
      </c>
      <c r="B83" s="1" t="s">
        <v>17</v>
      </c>
      <c r="C83" s="1" t="s">
        <v>119</v>
      </c>
      <c r="D83" s="1" t="s">
        <v>122</v>
      </c>
      <c r="E83" s="6">
        <v>0.1</v>
      </c>
      <c r="F83" s="7">
        <v>0.9810000000000001</v>
      </c>
      <c r="G83" s="7">
        <v>981.0</v>
      </c>
      <c r="H83" s="7">
        <v>4.64</v>
      </c>
      <c r="I83" s="7">
        <v>1971.83</v>
      </c>
      <c r="J83" s="6">
        <f t="shared" si="3"/>
        <v>0.2353144034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1">
        <v>21005.0</v>
      </c>
      <c r="B84" s="1" t="s">
        <v>17</v>
      </c>
      <c r="C84" s="1" t="s">
        <v>119</v>
      </c>
      <c r="D84" s="1" t="s">
        <v>123</v>
      </c>
      <c r="E84" s="6">
        <v>0.2</v>
      </c>
      <c r="F84" s="7">
        <v>0.14800000000000002</v>
      </c>
      <c r="G84" s="7">
        <v>74.0</v>
      </c>
      <c r="H84" s="7">
        <v>0.94</v>
      </c>
      <c r="I84" s="7">
        <v>164.5</v>
      </c>
      <c r="J84" s="6">
        <f t="shared" si="3"/>
        <v>0.5714285714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1">
        <v>21006.0</v>
      </c>
      <c r="B85" s="1" t="s">
        <v>17</v>
      </c>
      <c r="C85" s="1" t="s">
        <v>119</v>
      </c>
      <c r="D85" s="1" t="s">
        <v>124</v>
      </c>
      <c r="E85" s="6">
        <v>0.6</v>
      </c>
      <c r="F85" s="7">
        <v>0.348</v>
      </c>
      <c r="G85" s="7">
        <v>58.0</v>
      </c>
      <c r="H85" s="7">
        <v>4.55</v>
      </c>
      <c r="I85" s="7">
        <v>116.42</v>
      </c>
      <c r="J85" s="6">
        <f t="shared" si="3"/>
        <v>3.908263185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1">
        <v>21101.0</v>
      </c>
      <c r="B86" s="1" t="s">
        <v>17</v>
      </c>
      <c r="C86" s="1" t="s">
        <v>125</v>
      </c>
      <c r="D86" s="1" t="s">
        <v>126</v>
      </c>
      <c r="E86" s="6">
        <v>0.9</v>
      </c>
      <c r="F86" s="7">
        <v>1.9709999999999999</v>
      </c>
      <c r="G86" s="7">
        <v>219.0</v>
      </c>
      <c r="H86" s="7">
        <v>8.58</v>
      </c>
      <c r="I86" s="7">
        <v>576.95</v>
      </c>
      <c r="J86" s="6">
        <f t="shared" si="3"/>
        <v>1.487130601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1">
        <v>21102.0</v>
      </c>
      <c r="B87" s="1" t="s">
        <v>17</v>
      </c>
      <c r="C87" s="1" t="s">
        <v>125</v>
      </c>
      <c r="D87" s="1" t="s">
        <v>127</v>
      </c>
      <c r="E87" s="6">
        <v>0.3</v>
      </c>
      <c r="F87" s="7">
        <v>0.882</v>
      </c>
      <c r="G87" s="7">
        <v>294.0</v>
      </c>
      <c r="H87" s="7">
        <v>6.21</v>
      </c>
      <c r="I87" s="7">
        <v>929.54</v>
      </c>
      <c r="J87" s="6">
        <f t="shared" si="3"/>
        <v>0.6680723799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1">
        <v>21103.0</v>
      </c>
      <c r="B88" s="1" t="s">
        <v>17</v>
      </c>
      <c r="C88" s="1" t="s">
        <v>125</v>
      </c>
      <c r="D88" s="1" t="s">
        <v>128</v>
      </c>
      <c r="E88" s="6">
        <v>0.6</v>
      </c>
      <c r="F88" s="7">
        <v>0.81</v>
      </c>
      <c r="G88" s="7">
        <v>135.0</v>
      </c>
      <c r="H88" s="7">
        <v>3.88</v>
      </c>
      <c r="I88" s="7">
        <v>310.73</v>
      </c>
      <c r="J88" s="6">
        <f t="shared" si="3"/>
        <v>1.248672481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1">
        <v>21104.0</v>
      </c>
      <c r="B89" s="1" t="s">
        <v>17</v>
      </c>
      <c r="C89" s="1" t="s">
        <v>125</v>
      </c>
      <c r="D89" s="1" t="s">
        <v>129</v>
      </c>
      <c r="E89" s="6">
        <v>0.6</v>
      </c>
      <c r="F89" s="7">
        <v>2.97</v>
      </c>
      <c r="G89" s="7">
        <v>495.0</v>
      </c>
      <c r="H89" s="7">
        <v>12.47</v>
      </c>
      <c r="I89" s="7">
        <v>1049.74</v>
      </c>
      <c r="J89" s="6">
        <f t="shared" si="3"/>
        <v>1.187913198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1">
        <v>21105.0</v>
      </c>
      <c r="B90" s="1" t="s">
        <v>17</v>
      </c>
      <c r="C90" s="1" t="s">
        <v>125</v>
      </c>
      <c r="D90" s="1" t="s">
        <v>130</v>
      </c>
      <c r="E90" s="6">
        <v>0.2</v>
      </c>
      <c r="F90" s="7">
        <v>0.87</v>
      </c>
      <c r="G90" s="7">
        <v>435.0</v>
      </c>
      <c r="H90" s="7">
        <v>5.35</v>
      </c>
      <c r="I90" s="7">
        <v>1016.22</v>
      </c>
      <c r="J90" s="6">
        <f t="shared" si="3"/>
        <v>0.5264608057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1">
        <v>21201.0</v>
      </c>
      <c r="B91" s="1" t="s">
        <v>17</v>
      </c>
      <c r="C91" s="1" t="s">
        <v>131</v>
      </c>
      <c r="D91" s="1" t="s">
        <v>132</v>
      </c>
      <c r="E91" s="6">
        <v>0.4</v>
      </c>
      <c r="F91" s="7">
        <v>1.844</v>
      </c>
      <c r="G91" s="7">
        <v>461.0</v>
      </c>
      <c r="H91" s="7">
        <v>20.11</v>
      </c>
      <c r="I91" s="7">
        <v>805.98</v>
      </c>
      <c r="J91" s="6">
        <f t="shared" si="3"/>
        <v>2.495099134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1">
        <v>21202.0</v>
      </c>
      <c r="B92" s="1" t="s">
        <v>17</v>
      </c>
      <c r="C92" s="1" t="s">
        <v>131</v>
      </c>
      <c r="D92" s="1" t="s">
        <v>133</v>
      </c>
      <c r="E92" s="6">
        <v>0.5</v>
      </c>
      <c r="F92" s="7">
        <v>1.08</v>
      </c>
      <c r="G92" s="7">
        <v>216.0</v>
      </c>
      <c r="H92" s="7">
        <v>6.92</v>
      </c>
      <c r="I92" s="7">
        <v>415.63</v>
      </c>
      <c r="J92" s="6">
        <f t="shared" si="3"/>
        <v>1.664942377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1">
        <v>21203.0</v>
      </c>
      <c r="B93" s="1" t="s">
        <v>17</v>
      </c>
      <c r="C93" s="1" t="s">
        <v>131</v>
      </c>
      <c r="D93" s="1" t="s">
        <v>134</v>
      </c>
      <c r="E93" s="6">
        <v>0.5</v>
      </c>
      <c r="F93" s="7">
        <v>0.965</v>
      </c>
      <c r="G93" s="7">
        <v>193.0</v>
      </c>
      <c r="H93" s="7">
        <v>23.43</v>
      </c>
      <c r="I93" s="7">
        <v>383.69</v>
      </c>
      <c r="J93" s="6">
        <f t="shared" si="3"/>
        <v>6.10649222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1">
        <v>21204.0</v>
      </c>
      <c r="B94" s="1" t="s">
        <v>17</v>
      </c>
      <c r="C94" s="1" t="s">
        <v>131</v>
      </c>
      <c r="D94" s="1" t="s">
        <v>135</v>
      </c>
      <c r="E94" s="6">
        <v>0.6</v>
      </c>
      <c r="F94" s="7">
        <v>0.37199999999999994</v>
      </c>
      <c r="G94" s="7">
        <v>62.0</v>
      </c>
      <c r="H94" s="7">
        <v>3.69</v>
      </c>
      <c r="I94" s="7">
        <v>126.59</v>
      </c>
      <c r="J94" s="6">
        <f t="shared" si="3"/>
        <v>2.91492219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1">
        <v>21301.0</v>
      </c>
      <c r="B95" s="1" t="s">
        <v>17</v>
      </c>
      <c r="C95" s="1" t="s">
        <v>136</v>
      </c>
      <c r="D95" s="1" t="s">
        <v>137</v>
      </c>
      <c r="E95" s="6">
        <v>0.6</v>
      </c>
      <c r="F95" s="7">
        <v>1.8719999999999999</v>
      </c>
      <c r="G95" s="7">
        <v>312.0</v>
      </c>
      <c r="H95" s="7">
        <v>9.62</v>
      </c>
      <c r="I95" s="7">
        <v>681.93</v>
      </c>
      <c r="J95" s="6">
        <f t="shared" si="3"/>
        <v>1.410701978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1">
        <v>21302.0</v>
      </c>
      <c r="B96" s="1" t="s">
        <v>17</v>
      </c>
      <c r="C96" s="1" t="s">
        <v>136</v>
      </c>
      <c r="D96" s="1" t="s">
        <v>138</v>
      </c>
      <c r="E96" s="6">
        <v>0.1</v>
      </c>
      <c r="F96" s="7">
        <v>0.10700000000000001</v>
      </c>
      <c r="G96" s="7">
        <v>107.0</v>
      </c>
      <c r="H96" s="7">
        <v>0.75</v>
      </c>
      <c r="I96" s="7">
        <v>200.01</v>
      </c>
      <c r="J96" s="6">
        <f t="shared" si="3"/>
        <v>0.3749812509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1">
        <v>21303.0</v>
      </c>
      <c r="B97" s="1" t="s">
        <v>17</v>
      </c>
      <c r="C97" s="1" t="s">
        <v>136</v>
      </c>
      <c r="D97" s="1" t="s">
        <v>139</v>
      </c>
      <c r="E97" s="6">
        <v>0.4</v>
      </c>
      <c r="F97" s="7">
        <v>0.332</v>
      </c>
      <c r="G97" s="7">
        <v>83.0</v>
      </c>
      <c r="H97" s="7">
        <v>2.41</v>
      </c>
      <c r="I97" s="7">
        <v>184.9</v>
      </c>
      <c r="J97" s="6">
        <f t="shared" si="3"/>
        <v>1.303407247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1">
        <v>21304.0</v>
      </c>
      <c r="B98" s="1" t="s">
        <v>17</v>
      </c>
      <c r="C98" s="1" t="s">
        <v>136</v>
      </c>
      <c r="D98" s="1" t="s">
        <v>140</v>
      </c>
      <c r="E98" s="6">
        <v>0.3</v>
      </c>
      <c r="F98" s="7">
        <v>0.39899999999999997</v>
      </c>
      <c r="G98" s="7">
        <v>133.0</v>
      </c>
      <c r="H98" s="7">
        <v>1.84</v>
      </c>
      <c r="I98" s="7">
        <v>262.4</v>
      </c>
      <c r="J98" s="6">
        <f t="shared" si="3"/>
        <v>0.7012195122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1">
        <v>21305.0</v>
      </c>
      <c r="B99" s="1" t="s">
        <v>17</v>
      </c>
      <c r="C99" s="1" t="s">
        <v>136</v>
      </c>
      <c r="D99" s="1" t="s">
        <v>141</v>
      </c>
      <c r="E99" s="6">
        <v>1.4</v>
      </c>
      <c r="F99" s="7">
        <v>3.2059999999999995</v>
      </c>
      <c r="G99" s="7">
        <v>229.0</v>
      </c>
      <c r="H99" s="7">
        <v>39.03</v>
      </c>
      <c r="I99" s="7">
        <v>507.51</v>
      </c>
      <c r="J99" s="6">
        <f t="shared" si="3"/>
        <v>7.690488857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1">
        <v>21306.0</v>
      </c>
      <c r="B100" s="1" t="s">
        <v>17</v>
      </c>
      <c r="C100" s="1" t="s">
        <v>136</v>
      </c>
      <c r="D100" s="1" t="s">
        <v>142</v>
      </c>
      <c r="E100" s="6">
        <v>0.4</v>
      </c>
      <c r="F100" s="7">
        <v>0.46</v>
      </c>
      <c r="G100" s="7">
        <v>115.0</v>
      </c>
      <c r="H100" s="7">
        <v>2.89</v>
      </c>
      <c r="I100" s="7">
        <v>212.26</v>
      </c>
      <c r="J100" s="6">
        <f t="shared" si="3"/>
        <v>1.361537737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1">
        <v>21307.0</v>
      </c>
      <c r="B101" s="1" t="s">
        <v>17</v>
      </c>
      <c r="C101" s="1" t="s">
        <v>136</v>
      </c>
      <c r="D101" s="1" t="s">
        <v>143</v>
      </c>
      <c r="E101" s="6">
        <v>0.6</v>
      </c>
      <c r="F101" s="7">
        <v>0.33</v>
      </c>
      <c r="G101" s="7">
        <v>55.0</v>
      </c>
      <c r="H101" s="7">
        <v>2.03</v>
      </c>
      <c r="I101" s="7">
        <v>99.24</v>
      </c>
      <c r="J101" s="6">
        <f t="shared" si="3"/>
        <v>2.045546151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1">
        <v>21401.0</v>
      </c>
      <c r="B102" s="1" t="s">
        <v>17</v>
      </c>
      <c r="C102" s="1" t="s">
        <v>144</v>
      </c>
      <c r="D102" s="1" t="s">
        <v>145</v>
      </c>
      <c r="E102" s="6">
        <v>28.0</v>
      </c>
      <c r="F102" s="7">
        <v>92.12</v>
      </c>
      <c r="G102" s="7">
        <v>329.0</v>
      </c>
      <c r="H102" s="7">
        <v>49.56</v>
      </c>
      <c r="I102" s="7">
        <v>852.14</v>
      </c>
      <c r="J102" s="6">
        <f t="shared" si="3"/>
        <v>5.815945737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1">
        <v>21402.0</v>
      </c>
      <c r="B103" s="1" t="s">
        <v>17</v>
      </c>
      <c r="C103" s="1" t="s">
        <v>144</v>
      </c>
      <c r="D103" s="1" t="s">
        <v>146</v>
      </c>
      <c r="E103" s="6">
        <v>0.5</v>
      </c>
      <c r="F103" s="7">
        <v>0.995</v>
      </c>
      <c r="G103" s="7">
        <v>199.0</v>
      </c>
      <c r="H103" s="7">
        <v>4.45</v>
      </c>
      <c r="I103" s="7">
        <v>448.68</v>
      </c>
      <c r="J103" s="6">
        <f t="shared" si="3"/>
        <v>0.9917981635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1">
        <v>21501.0</v>
      </c>
      <c r="B104" s="1" t="s">
        <v>17</v>
      </c>
      <c r="C104" s="1" t="s">
        <v>147</v>
      </c>
      <c r="D104" s="1" t="s">
        <v>148</v>
      </c>
      <c r="E104" s="6">
        <v>1.0</v>
      </c>
      <c r="F104" s="7">
        <v>1.14</v>
      </c>
      <c r="G104" s="7">
        <v>114.0</v>
      </c>
      <c r="H104" s="7">
        <v>6.59</v>
      </c>
      <c r="I104" s="7">
        <v>300.82</v>
      </c>
      <c r="J104" s="6">
        <f t="shared" si="3"/>
        <v>2.190678811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1">
        <v>21502.0</v>
      </c>
      <c r="B105" s="1" t="s">
        <v>17</v>
      </c>
      <c r="C105" s="1" t="s">
        <v>147</v>
      </c>
      <c r="D105" s="1" t="s">
        <v>149</v>
      </c>
      <c r="E105" s="6">
        <v>1.5</v>
      </c>
      <c r="F105" s="7">
        <v>1.695</v>
      </c>
      <c r="G105" s="7">
        <v>113.0</v>
      </c>
      <c r="H105" s="7">
        <v>18.11</v>
      </c>
      <c r="I105" s="7">
        <v>229.85</v>
      </c>
      <c r="J105" s="6">
        <f t="shared" si="3"/>
        <v>7.879051555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1">
        <v>21601.0</v>
      </c>
      <c r="B106" s="1" t="s">
        <v>17</v>
      </c>
      <c r="C106" s="1" t="s">
        <v>150</v>
      </c>
      <c r="D106" s="1" t="s">
        <v>151</v>
      </c>
      <c r="E106" s="6">
        <v>0.5</v>
      </c>
      <c r="F106" s="7">
        <v>0.59</v>
      </c>
      <c r="G106" s="7">
        <v>118.0</v>
      </c>
      <c r="H106" s="7">
        <v>3.27</v>
      </c>
      <c r="I106" s="7">
        <v>219.53</v>
      </c>
      <c r="J106" s="6">
        <f t="shared" si="3"/>
        <v>1.489545848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1">
        <v>21602.0</v>
      </c>
      <c r="B107" s="1" t="s">
        <v>17</v>
      </c>
      <c r="C107" s="1" t="s">
        <v>150</v>
      </c>
      <c r="D107" s="1" t="s">
        <v>152</v>
      </c>
      <c r="E107" s="6">
        <v>0.5</v>
      </c>
      <c r="F107" s="7">
        <v>0.165</v>
      </c>
      <c r="G107" s="7">
        <v>33.0</v>
      </c>
      <c r="H107" s="7">
        <v>1.04</v>
      </c>
      <c r="I107" s="7">
        <v>70.25</v>
      </c>
      <c r="J107" s="6">
        <f t="shared" si="3"/>
        <v>1.480427046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1">
        <v>21701.0</v>
      </c>
      <c r="B108" s="1" t="s">
        <v>17</v>
      </c>
      <c r="C108" s="1" t="s">
        <v>153</v>
      </c>
      <c r="D108" s="1" t="s">
        <v>154</v>
      </c>
      <c r="E108" s="6">
        <v>47.1</v>
      </c>
      <c r="F108" s="7">
        <v>128.583</v>
      </c>
      <c r="G108" s="7">
        <v>273.0</v>
      </c>
      <c r="H108" s="7">
        <v>52.88</v>
      </c>
      <c r="I108" s="7">
        <v>473.68</v>
      </c>
      <c r="J108" s="6">
        <f t="shared" si="3"/>
        <v>11.16365479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1">
        <v>21702.0</v>
      </c>
      <c r="B109" s="1" t="s">
        <v>17</v>
      </c>
      <c r="C109" s="1" t="s">
        <v>153</v>
      </c>
      <c r="D109" s="1" t="s">
        <v>155</v>
      </c>
      <c r="E109" s="6">
        <v>26.5</v>
      </c>
      <c r="F109" s="7">
        <v>15.635</v>
      </c>
      <c r="G109" s="7">
        <v>59.0</v>
      </c>
      <c r="H109" s="7">
        <v>18.73</v>
      </c>
      <c r="I109" s="7">
        <v>148.87</v>
      </c>
      <c r="J109" s="6">
        <f t="shared" si="3"/>
        <v>12.5814469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1">
        <v>21703.0</v>
      </c>
      <c r="B110" s="1" t="s">
        <v>17</v>
      </c>
      <c r="C110" s="1" t="s">
        <v>153</v>
      </c>
      <c r="D110" s="1" t="s">
        <v>156</v>
      </c>
      <c r="E110" s="6">
        <v>0.5</v>
      </c>
      <c r="F110" s="7">
        <v>0.165</v>
      </c>
      <c r="G110" s="7">
        <v>33.0</v>
      </c>
      <c r="H110" s="7">
        <v>2.7</v>
      </c>
      <c r="I110" s="7">
        <v>63.69</v>
      </c>
      <c r="J110" s="6">
        <f t="shared" si="3"/>
        <v>4.239284032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1">
        <v>21801.0</v>
      </c>
      <c r="B111" s="1" t="s">
        <v>17</v>
      </c>
      <c r="C111" s="1" t="s">
        <v>157</v>
      </c>
      <c r="D111" s="1" t="s">
        <v>158</v>
      </c>
      <c r="E111" s="6">
        <v>0.1</v>
      </c>
      <c r="F111" s="7">
        <v>0.10400000000000001</v>
      </c>
      <c r="G111" s="7">
        <v>104.0</v>
      </c>
      <c r="H111" s="7">
        <v>0.94</v>
      </c>
      <c r="I111" s="7">
        <v>209.48</v>
      </c>
      <c r="J111" s="6">
        <f t="shared" si="3"/>
        <v>0.448730189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1">
        <v>21802.0</v>
      </c>
      <c r="B112" s="1" t="s">
        <v>17</v>
      </c>
      <c r="C112" s="1" t="s">
        <v>159</v>
      </c>
      <c r="D112" s="1" t="s">
        <v>160</v>
      </c>
      <c r="E112" s="6">
        <v>0.2</v>
      </c>
      <c r="F112" s="7">
        <v>0.16400000000000003</v>
      </c>
      <c r="G112" s="7">
        <v>82.0</v>
      </c>
      <c r="H112" s="7">
        <v>0.85</v>
      </c>
      <c r="I112" s="7">
        <v>151.58</v>
      </c>
      <c r="J112" s="6">
        <f t="shared" si="3"/>
        <v>0.5607599947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1">
        <v>21803.0</v>
      </c>
      <c r="B113" s="1" t="s">
        <v>17</v>
      </c>
      <c r="C113" s="1" t="s">
        <v>159</v>
      </c>
      <c r="D113" s="1" t="s">
        <v>161</v>
      </c>
      <c r="E113" s="6">
        <v>0.3</v>
      </c>
      <c r="F113" s="7">
        <v>0.057</v>
      </c>
      <c r="G113" s="7">
        <v>19.0</v>
      </c>
      <c r="H113" s="7">
        <v>0.37</v>
      </c>
      <c r="I113" s="7">
        <v>41.23</v>
      </c>
      <c r="J113" s="6">
        <f t="shared" si="3"/>
        <v>0.8974048023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1">
        <v>21901.0</v>
      </c>
      <c r="B114" s="1" t="s">
        <v>17</v>
      </c>
      <c r="C114" s="1" t="s">
        <v>162</v>
      </c>
      <c r="D114" s="1" t="s">
        <v>163</v>
      </c>
      <c r="E114" s="6">
        <v>0.7</v>
      </c>
      <c r="F114" s="7">
        <v>0.37799999999999995</v>
      </c>
      <c r="G114" s="7">
        <v>54.0</v>
      </c>
      <c r="H114" s="7">
        <v>2.89</v>
      </c>
      <c r="I114" s="7">
        <v>108.34</v>
      </c>
      <c r="J114" s="6">
        <f t="shared" si="3"/>
        <v>2.667528152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1">
        <v>21902.0</v>
      </c>
      <c r="B115" s="1" t="s">
        <v>17</v>
      </c>
      <c r="C115" s="1" t="s">
        <v>162</v>
      </c>
      <c r="D115" s="1" t="s">
        <v>164</v>
      </c>
      <c r="E115" s="6">
        <v>0.1</v>
      </c>
      <c r="F115" s="7">
        <v>0.02</v>
      </c>
      <c r="G115" s="7">
        <v>20.0</v>
      </c>
      <c r="H115" s="7">
        <v>0.28</v>
      </c>
      <c r="I115" s="7">
        <v>42.53</v>
      </c>
      <c r="J115" s="6">
        <f t="shared" si="3"/>
        <v>0.6583588055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1">
        <v>22001.0</v>
      </c>
      <c r="B116" s="1" t="s">
        <v>17</v>
      </c>
      <c r="C116" s="1" t="s">
        <v>165</v>
      </c>
      <c r="D116" s="1" t="s">
        <v>165</v>
      </c>
      <c r="E116" s="6">
        <v>2.5</v>
      </c>
      <c r="F116" s="7">
        <v>21.075</v>
      </c>
      <c r="G116" s="7">
        <v>843.0</v>
      </c>
      <c r="H116" s="7">
        <v>93.25</v>
      </c>
      <c r="I116" s="7">
        <v>1772.12</v>
      </c>
      <c r="J116" s="6">
        <f t="shared" si="3"/>
        <v>5.262059003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1">
        <v>22002.0</v>
      </c>
      <c r="B117" s="1" t="s">
        <v>17</v>
      </c>
      <c r="C117" s="1" t="s">
        <v>165</v>
      </c>
      <c r="D117" s="1" t="s">
        <v>166</v>
      </c>
      <c r="E117" s="6">
        <v>0.4</v>
      </c>
      <c r="F117" s="7">
        <v>0.82</v>
      </c>
      <c r="G117" s="7">
        <v>205.0</v>
      </c>
      <c r="H117" s="7">
        <v>3.6</v>
      </c>
      <c r="I117" s="7">
        <v>491.12</v>
      </c>
      <c r="J117" s="6">
        <f t="shared" si="3"/>
        <v>0.7330184069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1">
        <v>30101.0</v>
      </c>
      <c r="B118" s="1" t="s">
        <v>19</v>
      </c>
      <c r="C118" s="1" t="s">
        <v>167</v>
      </c>
      <c r="D118" s="1" t="s">
        <v>19</v>
      </c>
      <c r="E118" s="6">
        <v>4.2</v>
      </c>
      <c r="F118" s="7">
        <v>644.322</v>
      </c>
      <c r="G118" s="7">
        <v>15341.0</v>
      </c>
      <c r="H118" s="7">
        <v>1811.21</v>
      </c>
      <c r="I118" s="7">
        <v>29789.02</v>
      </c>
      <c r="J118" s="6">
        <f t="shared" si="3"/>
        <v>6.080126167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1">
        <v>30201.0</v>
      </c>
      <c r="B119" s="1" t="s">
        <v>19</v>
      </c>
      <c r="C119" s="1" t="s">
        <v>168</v>
      </c>
      <c r="D119" s="1" t="s">
        <v>169</v>
      </c>
      <c r="E119" s="6">
        <v>7.5</v>
      </c>
      <c r="F119" s="7">
        <v>18.975</v>
      </c>
      <c r="G119" s="7">
        <v>253.0</v>
      </c>
      <c r="H119" s="7">
        <v>14.32</v>
      </c>
      <c r="I119" s="7">
        <v>528.42</v>
      </c>
      <c r="J119" s="6">
        <f t="shared" si="3"/>
        <v>2.709965558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1">
        <v>30202.0</v>
      </c>
      <c r="B120" s="1" t="s">
        <v>19</v>
      </c>
      <c r="C120" s="1" t="s">
        <v>168</v>
      </c>
      <c r="D120" s="1" t="s">
        <v>170</v>
      </c>
      <c r="E120" s="6">
        <v>0.5</v>
      </c>
      <c r="F120" s="7">
        <v>0.41</v>
      </c>
      <c r="G120" s="7">
        <v>82.0</v>
      </c>
      <c r="H120" s="7">
        <v>2.79</v>
      </c>
      <c r="I120" s="7">
        <v>161.89</v>
      </c>
      <c r="J120" s="6">
        <f t="shared" si="3"/>
        <v>1.723392427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1">
        <v>30203.0</v>
      </c>
      <c r="B121" s="1" t="s">
        <v>19</v>
      </c>
      <c r="C121" s="1" t="s">
        <v>168</v>
      </c>
      <c r="D121" s="1" t="s">
        <v>171</v>
      </c>
      <c r="E121" s="6">
        <v>0.4</v>
      </c>
      <c r="F121" s="7">
        <v>0.40800000000000003</v>
      </c>
      <c r="G121" s="7">
        <v>102.0</v>
      </c>
      <c r="H121" s="7">
        <v>1.61</v>
      </c>
      <c r="I121" s="7">
        <v>216.74</v>
      </c>
      <c r="J121" s="6">
        <f t="shared" si="3"/>
        <v>0.7428255052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1">
        <v>30301.0</v>
      </c>
      <c r="B122" s="1" t="s">
        <v>19</v>
      </c>
      <c r="C122" s="1" t="s">
        <v>172</v>
      </c>
      <c r="D122" s="1" t="s">
        <v>173</v>
      </c>
      <c r="E122" s="17">
        <v>9.3</v>
      </c>
      <c r="F122" s="7">
        <v>15.066</v>
      </c>
      <c r="G122" s="18">
        <v>162.0</v>
      </c>
      <c r="H122" s="19">
        <v>5.45</v>
      </c>
      <c r="I122" s="7">
        <v>477.33</v>
      </c>
      <c r="J122" s="6">
        <f t="shared" si="3"/>
        <v>1.14176775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1">
        <v>30302.0</v>
      </c>
      <c r="B123" s="1" t="s">
        <v>19</v>
      </c>
      <c r="C123" s="1" t="s">
        <v>172</v>
      </c>
      <c r="D123" s="1" t="s">
        <v>174</v>
      </c>
      <c r="E123" s="6">
        <v>0.4</v>
      </c>
      <c r="F123" s="7">
        <v>0.5</v>
      </c>
      <c r="G123" s="7">
        <v>125.0</v>
      </c>
      <c r="H123" s="7">
        <v>2.89</v>
      </c>
      <c r="I123" s="7">
        <v>267.81</v>
      </c>
      <c r="J123" s="6">
        <f t="shared" si="3"/>
        <v>1.079123259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1">
        <v>30303.0</v>
      </c>
      <c r="B124" s="1" t="s">
        <v>19</v>
      </c>
      <c r="C124" s="1" t="s">
        <v>172</v>
      </c>
      <c r="D124" s="1" t="s">
        <v>175</v>
      </c>
      <c r="E124" s="6">
        <v>0.1</v>
      </c>
      <c r="F124" s="7">
        <v>0.22700000000000004</v>
      </c>
      <c r="G124" s="7">
        <v>227.0</v>
      </c>
      <c r="H124" s="7">
        <v>1.51</v>
      </c>
      <c r="I124" s="7">
        <v>604.7</v>
      </c>
      <c r="J124" s="6">
        <f t="shared" si="3"/>
        <v>0.2497106003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1">
        <v>30401.0</v>
      </c>
      <c r="B125" s="1" t="s">
        <v>19</v>
      </c>
      <c r="C125" s="1" t="s">
        <v>176</v>
      </c>
      <c r="D125" s="1" t="s">
        <v>177</v>
      </c>
      <c r="E125" s="6">
        <v>1.0</v>
      </c>
      <c r="F125" s="7">
        <v>1.27</v>
      </c>
      <c r="G125" s="7">
        <v>127.0</v>
      </c>
      <c r="H125" s="7">
        <v>5.45</v>
      </c>
      <c r="I125" s="7">
        <v>253.39</v>
      </c>
      <c r="J125" s="6">
        <f t="shared" si="3"/>
        <v>2.150834682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1">
        <v>30402.0</v>
      </c>
      <c r="B126" s="1" t="s">
        <v>19</v>
      </c>
      <c r="C126" s="1" t="s">
        <v>176</v>
      </c>
      <c r="D126" s="1" t="s">
        <v>178</v>
      </c>
      <c r="E126" s="6">
        <v>0.7</v>
      </c>
      <c r="F126" s="7">
        <v>0.357</v>
      </c>
      <c r="G126" s="7">
        <v>51.0</v>
      </c>
      <c r="H126" s="7">
        <v>1.94</v>
      </c>
      <c r="I126" s="7">
        <v>108.92</v>
      </c>
      <c r="J126" s="6">
        <f t="shared" si="3"/>
        <v>1.781123761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1">
        <v>30403.0</v>
      </c>
      <c r="B127" s="1" t="s">
        <v>19</v>
      </c>
      <c r="C127" s="1" t="s">
        <v>176</v>
      </c>
      <c r="D127" s="1" t="s">
        <v>179</v>
      </c>
      <c r="E127" s="6">
        <v>2.2</v>
      </c>
      <c r="F127" s="7">
        <v>3.718</v>
      </c>
      <c r="G127" s="7">
        <v>169.0</v>
      </c>
      <c r="H127" s="7">
        <v>21.67</v>
      </c>
      <c r="I127" s="7">
        <v>330.16</v>
      </c>
      <c r="J127" s="6">
        <f t="shared" si="3"/>
        <v>6.563484371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1">
        <v>30404.0</v>
      </c>
      <c r="B128" s="1" t="s">
        <v>19</v>
      </c>
      <c r="C128" s="1" t="s">
        <v>176</v>
      </c>
      <c r="D128" s="1" t="s">
        <v>180</v>
      </c>
      <c r="E128" s="6">
        <v>1.1</v>
      </c>
      <c r="F128" s="7">
        <v>0.35200000000000004</v>
      </c>
      <c r="G128" s="7">
        <v>32.0</v>
      </c>
      <c r="H128" s="7">
        <v>1.42</v>
      </c>
      <c r="I128" s="7">
        <v>64.61</v>
      </c>
      <c r="J128" s="6">
        <f t="shared" si="3"/>
        <v>2.197802198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1">
        <v>30501.0</v>
      </c>
      <c r="B129" s="1" t="s">
        <v>19</v>
      </c>
      <c r="C129" s="1" t="s">
        <v>181</v>
      </c>
      <c r="D129" s="1" t="s">
        <v>181</v>
      </c>
      <c r="E129" s="6">
        <v>0.8</v>
      </c>
      <c r="F129" s="7">
        <v>0.8480000000000001</v>
      </c>
      <c r="G129" s="7">
        <v>106.0</v>
      </c>
      <c r="H129" s="7">
        <v>6.3</v>
      </c>
      <c r="I129" s="7">
        <v>214.6</v>
      </c>
      <c r="J129" s="6">
        <f t="shared" si="3"/>
        <v>2.935694315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1">
        <v>30502.0</v>
      </c>
      <c r="B130" s="1" t="s">
        <v>19</v>
      </c>
      <c r="C130" s="1" t="s">
        <v>181</v>
      </c>
      <c r="D130" s="1" t="s">
        <v>182</v>
      </c>
      <c r="E130" s="6">
        <v>0.4</v>
      </c>
      <c r="F130" s="7">
        <v>0.34</v>
      </c>
      <c r="G130" s="7">
        <v>85.0</v>
      </c>
      <c r="H130" s="7">
        <v>1.75</v>
      </c>
      <c r="I130" s="7">
        <v>173.87</v>
      </c>
      <c r="J130" s="6">
        <f t="shared" si="3"/>
        <v>1.006499109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1">
        <v>30601.0</v>
      </c>
      <c r="B131" s="1" t="s">
        <v>19</v>
      </c>
      <c r="C131" s="1" t="s">
        <v>183</v>
      </c>
      <c r="D131" s="1" t="s">
        <v>183</v>
      </c>
      <c r="E131" s="6">
        <v>0.4</v>
      </c>
      <c r="F131" s="7">
        <v>0.28800000000000003</v>
      </c>
      <c r="G131" s="7">
        <v>72.0</v>
      </c>
      <c r="H131" s="7">
        <v>1.84</v>
      </c>
      <c r="I131" s="7">
        <v>174.62</v>
      </c>
      <c r="J131" s="6">
        <f t="shared" si="3"/>
        <v>1.053716642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1">
        <v>30602.0</v>
      </c>
      <c r="B132" s="1" t="s">
        <v>19</v>
      </c>
      <c r="C132" s="1" t="s">
        <v>183</v>
      </c>
      <c r="D132" s="1" t="s">
        <v>184</v>
      </c>
      <c r="E132" s="6">
        <v>0.2</v>
      </c>
      <c r="F132" s="7">
        <v>0.158</v>
      </c>
      <c r="G132" s="7">
        <v>79.0</v>
      </c>
      <c r="H132" s="7">
        <v>0.75</v>
      </c>
      <c r="I132" s="7">
        <v>168.37</v>
      </c>
      <c r="J132" s="6">
        <f t="shared" si="3"/>
        <v>0.4454475263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1">
        <v>30701.0</v>
      </c>
      <c r="B133" s="1" t="s">
        <v>19</v>
      </c>
      <c r="C133" s="1" t="s">
        <v>185</v>
      </c>
      <c r="D133" s="1" t="s">
        <v>185</v>
      </c>
      <c r="E133" s="6">
        <v>0.7</v>
      </c>
      <c r="F133" s="7">
        <v>1.652</v>
      </c>
      <c r="G133" s="7">
        <v>236.0</v>
      </c>
      <c r="H133" s="7">
        <v>7.49</v>
      </c>
      <c r="I133" s="7">
        <v>483.53</v>
      </c>
      <c r="J133" s="6">
        <f t="shared" si="3"/>
        <v>1.54902488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1">
        <v>30702.0</v>
      </c>
      <c r="B134" s="1" t="s">
        <v>19</v>
      </c>
      <c r="C134" s="1" t="s">
        <v>185</v>
      </c>
      <c r="D134" s="1" t="s">
        <v>186</v>
      </c>
      <c r="E134" s="6">
        <v>0.3</v>
      </c>
      <c r="F134" s="7">
        <v>0.423</v>
      </c>
      <c r="G134" s="7">
        <v>141.0</v>
      </c>
      <c r="H134" s="7">
        <v>1.23</v>
      </c>
      <c r="I134" s="7">
        <v>318.31</v>
      </c>
      <c r="J134" s="6">
        <f t="shared" si="3"/>
        <v>0.3864157582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1">
        <v>30703.0</v>
      </c>
      <c r="B135" s="1" t="s">
        <v>19</v>
      </c>
      <c r="C135" s="1" t="s">
        <v>185</v>
      </c>
      <c r="D135" s="1" t="s">
        <v>187</v>
      </c>
      <c r="E135" s="6">
        <v>0.2</v>
      </c>
      <c r="F135" s="7">
        <v>0.138</v>
      </c>
      <c r="G135" s="7">
        <v>69.0</v>
      </c>
      <c r="H135" s="7">
        <v>0.56</v>
      </c>
      <c r="I135" s="7">
        <v>124.18</v>
      </c>
      <c r="J135" s="6">
        <f t="shared" si="3"/>
        <v>0.4509582864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1">
        <v>30801.0</v>
      </c>
      <c r="B136" s="1" t="s">
        <v>19</v>
      </c>
      <c r="C136" s="1" t="s">
        <v>188</v>
      </c>
      <c r="D136" s="1" t="s">
        <v>189</v>
      </c>
      <c r="E136" s="6">
        <v>4.7</v>
      </c>
      <c r="F136" s="7">
        <v>19.505</v>
      </c>
      <c r="G136" s="7">
        <v>415.0</v>
      </c>
      <c r="H136" s="7">
        <v>19.3</v>
      </c>
      <c r="I136" s="7">
        <v>856.52</v>
      </c>
      <c r="J136" s="6">
        <f t="shared" si="3"/>
        <v>2.253304068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1">
        <v>30802.0</v>
      </c>
      <c r="B137" s="1" t="s">
        <v>19</v>
      </c>
      <c r="C137" s="1" t="s">
        <v>188</v>
      </c>
      <c r="D137" s="1" t="s">
        <v>190</v>
      </c>
      <c r="E137" s="6">
        <v>0.3</v>
      </c>
      <c r="F137" s="7">
        <v>0.21899999999999997</v>
      </c>
      <c r="G137" s="7">
        <v>73.0</v>
      </c>
      <c r="H137" s="7">
        <v>1.04</v>
      </c>
      <c r="I137" s="7">
        <v>152.8</v>
      </c>
      <c r="J137" s="6">
        <f t="shared" si="3"/>
        <v>0.6806282723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1">
        <v>30803.0</v>
      </c>
      <c r="B138" s="1" t="s">
        <v>19</v>
      </c>
      <c r="C138" s="1" t="s">
        <v>188</v>
      </c>
      <c r="D138" s="1" t="s">
        <v>191</v>
      </c>
      <c r="E138" s="6">
        <v>1.3</v>
      </c>
      <c r="F138" s="7">
        <v>1.365</v>
      </c>
      <c r="G138" s="7">
        <v>105.0</v>
      </c>
      <c r="H138" s="7">
        <v>6.83</v>
      </c>
      <c r="I138" s="7">
        <v>246.0</v>
      </c>
      <c r="J138" s="6">
        <f t="shared" si="3"/>
        <v>2.776422764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1">
        <v>30901.0</v>
      </c>
      <c r="B139" s="1" t="s">
        <v>19</v>
      </c>
      <c r="C139" s="1" t="s">
        <v>192</v>
      </c>
      <c r="D139" s="1" t="s">
        <v>192</v>
      </c>
      <c r="E139" s="6">
        <v>3.3</v>
      </c>
      <c r="F139" s="7">
        <v>71.544</v>
      </c>
      <c r="G139" s="7">
        <v>2168.0</v>
      </c>
      <c r="H139" s="7">
        <v>229.94</v>
      </c>
      <c r="I139" s="7">
        <v>4477.37</v>
      </c>
      <c r="J139" s="6">
        <f t="shared" si="3"/>
        <v>5.13560416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1">
        <v>30902.0</v>
      </c>
      <c r="B140" s="1" t="s">
        <v>19</v>
      </c>
      <c r="C140" s="1" t="s">
        <v>192</v>
      </c>
      <c r="D140" s="1" t="s">
        <v>193</v>
      </c>
      <c r="E140" s="6">
        <v>3.0</v>
      </c>
      <c r="F140" s="7">
        <v>19.92</v>
      </c>
      <c r="G140" s="7">
        <v>664.0</v>
      </c>
      <c r="H140" s="7">
        <v>26.41</v>
      </c>
      <c r="I140" s="7">
        <v>1377.58</v>
      </c>
      <c r="J140" s="6">
        <f t="shared" si="3"/>
        <v>1.91713004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1">
        <v>30903.0</v>
      </c>
      <c r="B141" s="1" t="s">
        <v>19</v>
      </c>
      <c r="C141" s="1" t="s">
        <v>192</v>
      </c>
      <c r="D141" s="1" t="s">
        <v>194</v>
      </c>
      <c r="E141" s="6">
        <v>3.4</v>
      </c>
      <c r="F141" s="7">
        <v>27.778</v>
      </c>
      <c r="G141" s="7">
        <v>817.0</v>
      </c>
      <c r="H141" s="7">
        <v>74.46</v>
      </c>
      <c r="I141" s="7">
        <v>1782.01</v>
      </c>
      <c r="J141" s="6">
        <f t="shared" si="3"/>
        <v>4.17842773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1">
        <v>30904.0</v>
      </c>
      <c r="B142" s="1" t="s">
        <v>19</v>
      </c>
      <c r="C142" s="1" t="s">
        <v>192</v>
      </c>
      <c r="D142" s="1" t="s">
        <v>195</v>
      </c>
      <c r="E142" s="6">
        <v>3.1</v>
      </c>
      <c r="F142" s="7">
        <v>23.125999999999998</v>
      </c>
      <c r="G142" s="7">
        <v>746.0</v>
      </c>
      <c r="H142" s="7">
        <v>33.48</v>
      </c>
      <c r="I142" s="7">
        <v>1567.01</v>
      </c>
      <c r="J142" s="6">
        <f t="shared" si="3"/>
        <v>2.136553053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1">
        <v>30905.0</v>
      </c>
      <c r="B143" s="1" t="s">
        <v>19</v>
      </c>
      <c r="C143" s="1" t="s">
        <v>192</v>
      </c>
      <c r="D143" s="1" t="s">
        <v>196</v>
      </c>
      <c r="E143" s="6">
        <v>2.8</v>
      </c>
      <c r="F143" s="7">
        <v>30.351999999999997</v>
      </c>
      <c r="G143" s="7">
        <v>1084.0</v>
      </c>
      <c r="H143" s="7">
        <v>56.63</v>
      </c>
      <c r="I143" s="7">
        <v>2296.08</v>
      </c>
      <c r="J143" s="6">
        <f t="shared" si="3"/>
        <v>2.466377478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1">
        <v>31001.0</v>
      </c>
      <c r="B144" s="1" t="s">
        <v>19</v>
      </c>
      <c r="C144" s="1" t="s">
        <v>197</v>
      </c>
      <c r="D144" s="1" t="s">
        <v>198</v>
      </c>
      <c r="E144" s="6">
        <v>2.9</v>
      </c>
      <c r="F144" s="7">
        <v>66.845</v>
      </c>
      <c r="G144" s="7">
        <v>2305.0</v>
      </c>
      <c r="H144" s="7">
        <v>302.99</v>
      </c>
      <c r="I144" s="7">
        <v>4541.12</v>
      </c>
      <c r="J144" s="6">
        <f t="shared" si="3"/>
        <v>6.672142555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1">
        <v>31002.0</v>
      </c>
      <c r="B145" s="1" t="s">
        <v>19</v>
      </c>
      <c r="C145" s="1" t="s">
        <v>197</v>
      </c>
      <c r="D145" s="1" t="s">
        <v>199</v>
      </c>
      <c r="E145" s="6">
        <v>6.2</v>
      </c>
      <c r="F145" s="7">
        <v>14.88</v>
      </c>
      <c r="G145" s="7">
        <v>240.0</v>
      </c>
      <c r="H145" s="7">
        <v>4.17</v>
      </c>
      <c r="I145" s="7">
        <v>557.14</v>
      </c>
      <c r="J145" s="6">
        <f t="shared" si="3"/>
        <v>0.7484653767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1">
        <v>31003.0</v>
      </c>
      <c r="B146" s="1" t="s">
        <v>19</v>
      </c>
      <c r="C146" s="1" t="s">
        <v>197</v>
      </c>
      <c r="D146" s="1" t="s">
        <v>200</v>
      </c>
      <c r="E146" s="6">
        <v>2.3</v>
      </c>
      <c r="F146" s="7">
        <v>31.003999999999998</v>
      </c>
      <c r="G146" s="7">
        <v>1348.0</v>
      </c>
      <c r="H146" s="7">
        <v>113.07</v>
      </c>
      <c r="I146" s="7">
        <v>2130.0</v>
      </c>
      <c r="J146" s="6">
        <f t="shared" si="3"/>
        <v>5.308450704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1">
        <v>31101.0</v>
      </c>
      <c r="B147" s="1" t="s">
        <v>19</v>
      </c>
      <c r="C147" s="1" t="s">
        <v>201</v>
      </c>
      <c r="D147" s="1" t="s">
        <v>201</v>
      </c>
      <c r="E147" s="6">
        <v>8.0</v>
      </c>
      <c r="F147" s="7">
        <v>15.92</v>
      </c>
      <c r="G147" s="7">
        <v>199.0</v>
      </c>
      <c r="H147" s="7">
        <v>5.54</v>
      </c>
      <c r="I147" s="7">
        <v>441.04</v>
      </c>
      <c r="J147" s="6">
        <f t="shared" si="3"/>
        <v>1.256121894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1">
        <v>31201.0</v>
      </c>
      <c r="B148" s="1" t="s">
        <v>19</v>
      </c>
      <c r="C148" s="1" t="s">
        <v>202</v>
      </c>
      <c r="D148" s="1" t="s">
        <v>203</v>
      </c>
      <c r="E148" s="6">
        <v>0.5</v>
      </c>
      <c r="F148" s="7">
        <v>0.87</v>
      </c>
      <c r="G148" s="7">
        <v>174.0</v>
      </c>
      <c r="H148" s="7">
        <v>6.4</v>
      </c>
      <c r="I148" s="7">
        <v>381.34</v>
      </c>
      <c r="J148" s="6">
        <f t="shared" si="3"/>
        <v>1.678292338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1">
        <v>31202.0</v>
      </c>
      <c r="B149" s="1" t="s">
        <v>19</v>
      </c>
      <c r="C149" s="1" t="s">
        <v>202</v>
      </c>
      <c r="D149" s="1" t="s">
        <v>204</v>
      </c>
      <c r="E149" s="6">
        <v>0.3</v>
      </c>
      <c r="F149" s="7">
        <v>0.435</v>
      </c>
      <c r="G149" s="7">
        <v>145.0</v>
      </c>
      <c r="H149" s="7">
        <v>2.03</v>
      </c>
      <c r="I149" s="7">
        <v>284.4</v>
      </c>
      <c r="J149" s="6">
        <f t="shared" si="3"/>
        <v>0.7137834037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1">
        <v>31203.0</v>
      </c>
      <c r="B150" s="1" t="s">
        <v>19</v>
      </c>
      <c r="C150" s="1" t="s">
        <v>202</v>
      </c>
      <c r="D150" s="1" t="s">
        <v>205</v>
      </c>
      <c r="E150" s="6">
        <v>0.2</v>
      </c>
      <c r="F150" s="7">
        <v>0.262</v>
      </c>
      <c r="G150" s="7">
        <v>131.0</v>
      </c>
      <c r="H150" s="7">
        <v>1.32</v>
      </c>
      <c r="I150" s="7">
        <v>304.03</v>
      </c>
      <c r="J150" s="6">
        <f t="shared" si="3"/>
        <v>0.4341676808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1">
        <v>31204.0</v>
      </c>
      <c r="B151" s="1" t="s">
        <v>19</v>
      </c>
      <c r="C151" s="1" t="s">
        <v>202</v>
      </c>
      <c r="D151" s="1" t="s">
        <v>206</v>
      </c>
      <c r="E151" s="6">
        <v>3.6</v>
      </c>
      <c r="F151" s="7">
        <v>16.776</v>
      </c>
      <c r="G151" s="7">
        <v>466.0</v>
      </c>
      <c r="H151" s="7">
        <v>21.43</v>
      </c>
      <c r="I151" s="7">
        <v>943.36</v>
      </c>
      <c r="J151" s="6">
        <f t="shared" si="3"/>
        <v>2.271667232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1">
        <v>31205.0</v>
      </c>
      <c r="B152" s="1" t="s">
        <v>19</v>
      </c>
      <c r="C152" s="1" t="s">
        <v>202</v>
      </c>
      <c r="D152" s="1" t="s">
        <v>207</v>
      </c>
      <c r="E152" s="6">
        <v>1.8</v>
      </c>
      <c r="F152" s="7">
        <v>20.052</v>
      </c>
      <c r="G152" s="7">
        <v>1114.0</v>
      </c>
      <c r="H152" s="7">
        <v>54.73</v>
      </c>
      <c r="I152" s="7">
        <v>2513.51</v>
      </c>
      <c r="J152" s="6">
        <f t="shared" si="3"/>
        <v>2.177433151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1">
        <v>31206.0</v>
      </c>
      <c r="B153" s="1" t="s">
        <v>19</v>
      </c>
      <c r="C153" s="1" t="s">
        <v>202</v>
      </c>
      <c r="D153" s="1" t="s">
        <v>208</v>
      </c>
      <c r="E153" s="6">
        <v>1.9</v>
      </c>
      <c r="F153" s="7">
        <v>18.81</v>
      </c>
      <c r="G153" s="7">
        <v>990.0</v>
      </c>
      <c r="H153" s="7">
        <v>39.51</v>
      </c>
      <c r="I153" s="7">
        <v>1976.25</v>
      </c>
      <c r="J153" s="6">
        <f t="shared" si="3"/>
        <v>1.999240987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1">
        <v>31301.0</v>
      </c>
      <c r="B154" s="1" t="s">
        <v>19</v>
      </c>
      <c r="C154" s="1" t="s">
        <v>209</v>
      </c>
      <c r="D154" s="1" t="s">
        <v>209</v>
      </c>
      <c r="E154" s="6">
        <v>3.7</v>
      </c>
      <c r="F154" s="7">
        <v>17.02</v>
      </c>
      <c r="G154" s="7">
        <v>460.0</v>
      </c>
      <c r="H154" s="7">
        <v>15.6</v>
      </c>
      <c r="I154" s="7">
        <v>902.34</v>
      </c>
      <c r="J154" s="6">
        <f t="shared" si="3"/>
        <v>1.728838354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1">
        <v>31302.0</v>
      </c>
      <c r="B155" s="1" t="s">
        <v>19</v>
      </c>
      <c r="C155" s="1" t="s">
        <v>209</v>
      </c>
      <c r="D155" s="1" t="s">
        <v>210</v>
      </c>
      <c r="E155" s="6">
        <v>0.6</v>
      </c>
      <c r="F155" s="7">
        <v>0.252</v>
      </c>
      <c r="G155" s="7">
        <v>42.0</v>
      </c>
      <c r="H155" s="7">
        <v>1.42</v>
      </c>
      <c r="I155" s="7">
        <v>95.64</v>
      </c>
      <c r="J155" s="6">
        <f t="shared" si="3"/>
        <v>1.484734421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1">
        <v>31303.0</v>
      </c>
      <c r="B156" s="1" t="s">
        <v>19</v>
      </c>
      <c r="C156" s="1" t="s">
        <v>209</v>
      </c>
      <c r="D156" s="1" t="s">
        <v>211</v>
      </c>
      <c r="E156" s="6">
        <v>0.2</v>
      </c>
      <c r="F156" s="7">
        <v>0.098</v>
      </c>
      <c r="G156" s="7">
        <v>49.0</v>
      </c>
      <c r="H156" s="7">
        <v>0.47</v>
      </c>
      <c r="I156" s="7">
        <v>107.57</v>
      </c>
      <c r="J156" s="6">
        <f t="shared" si="3"/>
        <v>0.4369247932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1">
        <v>31304.0</v>
      </c>
      <c r="B157" s="1" t="s">
        <v>19</v>
      </c>
      <c r="C157" s="1" t="s">
        <v>209</v>
      </c>
      <c r="D157" s="1" t="s">
        <v>212</v>
      </c>
      <c r="E157" s="6"/>
      <c r="F157" s="7"/>
      <c r="G157" s="7"/>
      <c r="H157" s="7"/>
      <c r="I157" s="7" t="s">
        <v>213</v>
      </c>
      <c r="J157" s="6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1">
        <v>31401.0</v>
      </c>
      <c r="B158" s="1" t="s">
        <v>19</v>
      </c>
      <c r="C158" s="1" t="s">
        <v>214</v>
      </c>
      <c r="D158" s="1" t="s">
        <v>214</v>
      </c>
      <c r="E158" s="6">
        <v>4.6</v>
      </c>
      <c r="F158" s="7">
        <v>19.043999999999997</v>
      </c>
      <c r="G158" s="7">
        <v>414.0</v>
      </c>
      <c r="H158" s="7">
        <v>48.8</v>
      </c>
      <c r="I158" s="7">
        <v>846.15</v>
      </c>
      <c r="J158" s="6">
        <f t="shared" ref="J158:J215" si="24">(H158/I158)*100</f>
        <v>5.767298942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1">
        <v>31402.0</v>
      </c>
      <c r="B159" s="1" t="s">
        <v>19</v>
      </c>
      <c r="C159" s="1" t="s">
        <v>214</v>
      </c>
      <c r="D159" s="1" t="s">
        <v>215</v>
      </c>
      <c r="E159" s="6">
        <v>0.7</v>
      </c>
      <c r="F159" s="7">
        <v>0.469</v>
      </c>
      <c r="G159" s="7">
        <v>67.0</v>
      </c>
      <c r="H159" s="7">
        <v>2.41</v>
      </c>
      <c r="I159" s="7">
        <v>136.1</v>
      </c>
      <c r="J159" s="6">
        <f t="shared" si="24"/>
        <v>1.770756796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1">
        <v>31403.0</v>
      </c>
      <c r="B160" s="1" t="s">
        <v>19</v>
      </c>
      <c r="C160" s="1" t="s">
        <v>214</v>
      </c>
      <c r="D160" s="1" t="s">
        <v>216</v>
      </c>
      <c r="E160" s="6">
        <v>0.6</v>
      </c>
      <c r="F160" s="7">
        <v>0.9839999999999999</v>
      </c>
      <c r="G160" s="7">
        <v>164.0</v>
      </c>
      <c r="H160" s="7">
        <v>4.17</v>
      </c>
      <c r="I160" s="7">
        <v>374.09</v>
      </c>
      <c r="J160" s="6">
        <f t="shared" si="24"/>
        <v>1.114705018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1">
        <v>31404.0</v>
      </c>
      <c r="B161" s="1" t="s">
        <v>19</v>
      </c>
      <c r="C161" s="1" t="s">
        <v>214</v>
      </c>
      <c r="D161" s="1" t="s">
        <v>217</v>
      </c>
      <c r="E161" s="6">
        <v>0.7</v>
      </c>
      <c r="F161" s="7">
        <v>0.08399999999999999</v>
      </c>
      <c r="G161" s="7">
        <v>12.0</v>
      </c>
      <c r="H161" s="7">
        <v>0.66</v>
      </c>
      <c r="I161" s="7">
        <v>23.41</v>
      </c>
      <c r="J161" s="6">
        <f t="shared" si="24"/>
        <v>2.819307988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1">
        <v>31405.0</v>
      </c>
      <c r="B162" s="1" t="s">
        <v>19</v>
      </c>
      <c r="C162" s="1" t="s">
        <v>214</v>
      </c>
      <c r="D162" s="1" t="s">
        <v>218</v>
      </c>
      <c r="E162" s="6">
        <v>1.2</v>
      </c>
      <c r="F162" s="7">
        <v>0.288</v>
      </c>
      <c r="G162" s="7">
        <v>24.0</v>
      </c>
      <c r="H162" s="7">
        <v>1.61</v>
      </c>
      <c r="I162" s="7">
        <v>48.38</v>
      </c>
      <c r="J162" s="6">
        <f t="shared" si="24"/>
        <v>3.327821414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1">
        <v>31501.0</v>
      </c>
      <c r="B163" s="1" t="s">
        <v>19</v>
      </c>
      <c r="C163" s="1" t="s">
        <v>219</v>
      </c>
      <c r="D163" s="1" t="s">
        <v>219</v>
      </c>
      <c r="E163" s="6">
        <v>0.2</v>
      </c>
      <c r="F163" s="7">
        <v>0.114</v>
      </c>
      <c r="G163" s="7">
        <v>57.0</v>
      </c>
      <c r="H163" s="7">
        <v>0.85</v>
      </c>
      <c r="I163" s="7">
        <v>129.5</v>
      </c>
      <c r="J163" s="6">
        <f t="shared" si="24"/>
        <v>0.6563706564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1">
        <v>31601.0</v>
      </c>
      <c r="B164" s="1" t="s">
        <v>19</v>
      </c>
      <c r="C164" s="1" t="s">
        <v>220</v>
      </c>
      <c r="D164" s="1" t="s">
        <v>220</v>
      </c>
      <c r="E164" s="6">
        <v>6.6</v>
      </c>
      <c r="F164" s="7">
        <v>15.84</v>
      </c>
      <c r="G164" s="7">
        <v>240.0</v>
      </c>
      <c r="H164" s="7">
        <v>2.03</v>
      </c>
      <c r="I164" s="7">
        <v>488.59</v>
      </c>
      <c r="J164" s="6">
        <f t="shared" si="24"/>
        <v>0.4154812829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1">
        <v>31602.0</v>
      </c>
      <c r="B165" s="1" t="s">
        <v>19</v>
      </c>
      <c r="C165" s="1" t="s">
        <v>220</v>
      </c>
      <c r="D165" s="1" t="s">
        <v>221</v>
      </c>
      <c r="E165" s="6">
        <v>4.4</v>
      </c>
      <c r="F165" s="7">
        <v>16.764</v>
      </c>
      <c r="G165" s="7">
        <v>381.0</v>
      </c>
      <c r="H165" s="7">
        <v>28.07</v>
      </c>
      <c r="I165" s="7">
        <v>797.56</v>
      </c>
      <c r="J165" s="6">
        <f t="shared" si="24"/>
        <v>3.519484428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1">
        <v>40101.0</v>
      </c>
      <c r="B166" s="1" t="s">
        <v>22</v>
      </c>
      <c r="C166" s="1" t="s">
        <v>167</v>
      </c>
      <c r="D166" s="1" t="s">
        <v>22</v>
      </c>
      <c r="E166" s="17">
        <v>3.3</v>
      </c>
      <c r="F166" s="7">
        <v>161.7</v>
      </c>
      <c r="G166" s="18">
        <v>4900.0</v>
      </c>
      <c r="H166" s="19">
        <v>460.32</v>
      </c>
      <c r="I166" s="7">
        <v>10455.97</v>
      </c>
      <c r="J166" s="6">
        <f t="shared" si="24"/>
        <v>4.402460986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1">
        <v>40102.0</v>
      </c>
      <c r="B167" s="1" t="s">
        <v>22</v>
      </c>
      <c r="C167" s="1" t="s">
        <v>167</v>
      </c>
      <c r="D167" s="1" t="s">
        <v>222</v>
      </c>
      <c r="E167" s="6">
        <v>2.2</v>
      </c>
      <c r="F167" s="7">
        <v>6.424000000000001</v>
      </c>
      <c r="G167" s="7">
        <v>292.0</v>
      </c>
      <c r="H167" s="7">
        <v>15.22</v>
      </c>
      <c r="I167" s="7">
        <v>617.77</v>
      </c>
      <c r="J167" s="6">
        <f t="shared" si="24"/>
        <v>2.463700083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1">
        <v>40103.0</v>
      </c>
      <c r="B168" s="1" t="s">
        <v>22</v>
      </c>
      <c r="C168" s="1" t="s">
        <v>167</v>
      </c>
      <c r="D168" s="1" t="s">
        <v>223</v>
      </c>
      <c r="E168" s="6">
        <v>0.2</v>
      </c>
      <c r="F168" s="7">
        <v>0.166</v>
      </c>
      <c r="G168" s="7">
        <v>83.0</v>
      </c>
      <c r="H168" s="7">
        <v>0.94</v>
      </c>
      <c r="I168" s="7">
        <v>177.54</v>
      </c>
      <c r="J168" s="6">
        <f t="shared" si="24"/>
        <v>0.5294581503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1">
        <v>40104.0</v>
      </c>
      <c r="B169" s="1" t="s">
        <v>22</v>
      </c>
      <c r="C169" s="1" t="s">
        <v>167</v>
      </c>
      <c r="D169" s="1" t="s">
        <v>224</v>
      </c>
      <c r="E169" s="6">
        <v>0.3</v>
      </c>
      <c r="F169" s="7">
        <v>0.534</v>
      </c>
      <c r="G169" s="7">
        <v>178.0</v>
      </c>
      <c r="H169" s="7">
        <v>1.75</v>
      </c>
      <c r="I169" s="7">
        <v>427.61</v>
      </c>
      <c r="J169" s="6">
        <f t="shared" si="24"/>
        <v>0.4092514207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1">
        <v>40201.0</v>
      </c>
      <c r="B170" s="1" t="s">
        <v>22</v>
      </c>
      <c r="C170" s="1" t="s">
        <v>225</v>
      </c>
      <c r="D170" s="1" t="s">
        <v>226</v>
      </c>
      <c r="E170" s="6">
        <v>2.1</v>
      </c>
      <c r="F170" s="7">
        <v>6.972</v>
      </c>
      <c r="G170" s="7">
        <v>332.0</v>
      </c>
      <c r="H170" s="7">
        <v>36.09</v>
      </c>
      <c r="I170" s="7">
        <v>629.21</v>
      </c>
      <c r="J170" s="6">
        <f t="shared" si="24"/>
        <v>5.735763894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1">
        <v>40202.0</v>
      </c>
      <c r="B171" s="1" t="s">
        <v>22</v>
      </c>
      <c r="C171" s="1" t="s">
        <v>225</v>
      </c>
      <c r="D171" s="1" t="s">
        <v>227</v>
      </c>
      <c r="E171" s="6">
        <v>0.6</v>
      </c>
      <c r="F171" s="7">
        <v>0.288</v>
      </c>
      <c r="G171" s="7">
        <v>48.0</v>
      </c>
      <c r="H171" s="7">
        <v>1.32</v>
      </c>
      <c r="I171" s="7">
        <v>83.61</v>
      </c>
      <c r="J171" s="6">
        <f t="shared" si="24"/>
        <v>1.578758522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1">
        <v>40301.0</v>
      </c>
      <c r="B172" s="1" t="s">
        <v>22</v>
      </c>
      <c r="C172" s="1" t="s">
        <v>228</v>
      </c>
      <c r="D172" s="1" t="s">
        <v>229</v>
      </c>
      <c r="E172" s="6">
        <v>0.4</v>
      </c>
      <c r="F172" s="7">
        <v>0.336</v>
      </c>
      <c r="G172" s="7">
        <v>84.0</v>
      </c>
      <c r="H172" s="7">
        <v>2.32</v>
      </c>
      <c r="I172" s="7">
        <v>187.47</v>
      </c>
      <c r="J172" s="6">
        <f t="shared" si="24"/>
        <v>1.237531338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1">
        <v>40302.0</v>
      </c>
      <c r="B173" s="1" t="s">
        <v>22</v>
      </c>
      <c r="C173" s="1" t="s">
        <v>228</v>
      </c>
      <c r="D173" s="1" t="s">
        <v>230</v>
      </c>
      <c r="E173" s="6">
        <v>0.3</v>
      </c>
      <c r="F173" s="7">
        <v>0.06899999999999999</v>
      </c>
      <c r="G173" s="7">
        <v>23.0</v>
      </c>
      <c r="H173" s="7">
        <v>0.47</v>
      </c>
      <c r="I173" s="7">
        <v>49.52</v>
      </c>
      <c r="J173" s="6">
        <f t="shared" si="24"/>
        <v>0.9491114701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1">
        <v>40401.0</v>
      </c>
      <c r="B174" s="1" t="s">
        <v>22</v>
      </c>
      <c r="C174" s="1" t="s">
        <v>231</v>
      </c>
      <c r="D174" s="1" t="s">
        <v>232</v>
      </c>
      <c r="E174" s="6">
        <v>0.2</v>
      </c>
      <c r="F174" s="7">
        <v>0.134</v>
      </c>
      <c r="G174" s="7">
        <v>67.0</v>
      </c>
      <c r="H174" s="7">
        <v>0.85</v>
      </c>
      <c r="I174" s="7">
        <v>142.69</v>
      </c>
      <c r="J174" s="6">
        <f t="shared" si="24"/>
        <v>0.5956969654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1">
        <v>40402.0</v>
      </c>
      <c r="B175" s="1" t="s">
        <v>22</v>
      </c>
      <c r="C175" s="1" t="s">
        <v>231</v>
      </c>
      <c r="D175" s="1" t="s">
        <v>233</v>
      </c>
      <c r="E175" s="6">
        <v>0.4</v>
      </c>
      <c r="F175" s="7">
        <v>0.35200000000000004</v>
      </c>
      <c r="G175" s="7">
        <v>88.0</v>
      </c>
      <c r="H175" s="7">
        <v>1.84</v>
      </c>
      <c r="I175" s="7">
        <v>173.04</v>
      </c>
      <c r="J175" s="6">
        <f t="shared" si="24"/>
        <v>1.063337957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1">
        <v>40501.0</v>
      </c>
      <c r="B176" s="1" t="s">
        <v>22</v>
      </c>
      <c r="C176" s="1" t="s">
        <v>234</v>
      </c>
      <c r="D176" s="1" t="s">
        <v>235</v>
      </c>
      <c r="E176" s="6">
        <v>1.1</v>
      </c>
      <c r="F176" s="7">
        <v>0.15400000000000003</v>
      </c>
      <c r="G176" s="7">
        <v>14.0</v>
      </c>
      <c r="H176" s="7">
        <v>0.85</v>
      </c>
      <c r="I176" s="7">
        <v>29.05</v>
      </c>
      <c r="J176" s="6">
        <f t="shared" si="24"/>
        <v>2.925989673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1">
        <v>40502.0</v>
      </c>
      <c r="B177" s="1" t="s">
        <v>22</v>
      </c>
      <c r="C177" s="1" t="s">
        <v>234</v>
      </c>
      <c r="D177" s="1" t="s">
        <v>236</v>
      </c>
      <c r="E177" s="6">
        <v>0.3</v>
      </c>
      <c r="F177" s="7">
        <v>0.12</v>
      </c>
      <c r="G177" s="7">
        <v>40.0</v>
      </c>
      <c r="H177" s="7">
        <v>1.94</v>
      </c>
      <c r="I177" s="7">
        <v>86.91</v>
      </c>
      <c r="J177" s="6">
        <f t="shared" si="24"/>
        <v>2.232194224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1">
        <v>40503.0</v>
      </c>
      <c r="B178" s="1" t="s">
        <v>22</v>
      </c>
      <c r="C178" s="1" t="s">
        <v>234</v>
      </c>
      <c r="D178" s="1" t="s">
        <v>237</v>
      </c>
      <c r="E178" s="6">
        <v>0.2</v>
      </c>
      <c r="F178" s="7">
        <v>0.07</v>
      </c>
      <c r="G178" s="7">
        <v>35.0</v>
      </c>
      <c r="H178" s="7">
        <v>0.75</v>
      </c>
      <c r="I178" s="7">
        <v>79.05</v>
      </c>
      <c r="J178" s="6">
        <f t="shared" si="24"/>
        <v>0.9487666034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1">
        <v>40504.0</v>
      </c>
      <c r="B179" s="1" t="s">
        <v>22</v>
      </c>
      <c r="C179" s="1" t="s">
        <v>234</v>
      </c>
      <c r="D179" s="1" t="s">
        <v>238</v>
      </c>
      <c r="E179" s="6">
        <v>0.0</v>
      </c>
      <c r="F179" s="7">
        <v>0.0</v>
      </c>
      <c r="G179" s="7">
        <v>6.0</v>
      </c>
      <c r="H179" s="7">
        <v>0.75</v>
      </c>
      <c r="I179" s="7">
        <v>13.03</v>
      </c>
      <c r="J179" s="6">
        <f t="shared" si="24"/>
        <v>5.755947813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1">
        <v>40505.0</v>
      </c>
      <c r="B180" s="1" t="s">
        <v>22</v>
      </c>
      <c r="C180" s="1" t="s">
        <v>234</v>
      </c>
      <c r="D180" s="1" t="s">
        <v>239</v>
      </c>
      <c r="E180" s="6">
        <v>0.2</v>
      </c>
      <c r="F180" s="7">
        <v>0.046000000000000006</v>
      </c>
      <c r="G180" s="7">
        <v>23.0</v>
      </c>
      <c r="H180" s="7">
        <v>0.47</v>
      </c>
      <c r="I180" s="7">
        <v>44.57</v>
      </c>
      <c r="J180" s="6">
        <f t="shared" si="24"/>
        <v>1.054520978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1">
        <v>40601.0</v>
      </c>
      <c r="B181" s="1" t="s">
        <v>22</v>
      </c>
      <c r="C181" s="1" t="s">
        <v>240</v>
      </c>
      <c r="D181" s="1" t="s">
        <v>240</v>
      </c>
      <c r="E181" s="6">
        <v>0.1</v>
      </c>
      <c r="F181" s="7">
        <v>0.43</v>
      </c>
      <c r="G181" s="7">
        <v>430.0</v>
      </c>
      <c r="H181" s="7">
        <v>3.27</v>
      </c>
      <c r="I181" s="7">
        <v>1046.02</v>
      </c>
      <c r="J181" s="6">
        <f t="shared" si="24"/>
        <v>0.3126135256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1">
        <v>40602.0</v>
      </c>
      <c r="B182" s="1" t="s">
        <v>22</v>
      </c>
      <c r="C182" s="1" t="s">
        <v>240</v>
      </c>
      <c r="D182" s="1" t="s">
        <v>241</v>
      </c>
      <c r="E182" s="6">
        <v>0.5</v>
      </c>
      <c r="F182" s="7">
        <v>0.485</v>
      </c>
      <c r="G182" s="7">
        <v>97.0</v>
      </c>
      <c r="H182" s="7">
        <v>1.75</v>
      </c>
      <c r="I182" s="7">
        <v>165.15</v>
      </c>
      <c r="J182" s="6">
        <f t="shared" si="24"/>
        <v>1.059642749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1">
        <v>40603.0</v>
      </c>
      <c r="B183" s="1" t="s">
        <v>22</v>
      </c>
      <c r="C183" s="1" t="s">
        <v>240</v>
      </c>
      <c r="D183" s="1" t="s">
        <v>242</v>
      </c>
      <c r="E183" s="6">
        <v>0.0</v>
      </c>
      <c r="F183" s="7">
        <v>0.0</v>
      </c>
      <c r="G183" s="7">
        <v>773.0</v>
      </c>
      <c r="H183" s="7">
        <v>0.28</v>
      </c>
      <c r="I183" s="7">
        <v>885.52</v>
      </c>
      <c r="J183" s="6">
        <f t="shared" si="24"/>
        <v>0.03161983919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1">
        <v>40701.0</v>
      </c>
      <c r="B184" s="1" t="s">
        <v>22</v>
      </c>
      <c r="C184" s="1" t="s">
        <v>243</v>
      </c>
      <c r="D184" s="1" t="s">
        <v>244</v>
      </c>
      <c r="E184" s="6">
        <v>0.7</v>
      </c>
      <c r="F184" s="7">
        <v>7.0</v>
      </c>
      <c r="G184" s="7">
        <v>1000.0</v>
      </c>
      <c r="H184" s="7">
        <v>11.28</v>
      </c>
      <c r="I184" s="7">
        <v>1185.68</v>
      </c>
      <c r="J184" s="6">
        <f t="shared" si="24"/>
        <v>0.9513528102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1">
        <v>40702.0</v>
      </c>
      <c r="B185" s="1" t="s">
        <v>22</v>
      </c>
      <c r="C185" s="1" t="s">
        <v>243</v>
      </c>
      <c r="D185" s="1" t="s">
        <v>245</v>
      </c>
      <c r="E185" s="6">
        <v>1.1</v>
      </c>
      <c r="F185" s="7">
        <v>0.638</v>
      </c>
      <c r="G185" s="7">
        <v>58.0</v>
      </c>
      <c r="H185" s="7">
        <v>2.22</v>
      </c>
      <c r="I185" s="7">
        <v>119.65</v>
      </c>
      <c r="J185" s="6">
        <f t="shared" si="24"/>
        <v>1.855411617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1">
        <v>40801.0</v>
      </c>
      <c r="B186" s="1" t="s">
        <v>22</v>
      </c>
      <c r="C186" s="1" t="s">
        <v>246</v>
      </c>
      <c r="D186" s="1" t="s">
        <v>247</v>
      </c>
      <c r="E186" s="6">
        <v>0.2</v>
      </c>
      <c r="F186" s="7">
        <v>0.34</v>
      </c>
      <c r="G186" s="7">
        <v>170.0</v>
      </c>
      <c r="H186" s="7">
        <v>1.51</v>
      </c>
      <c r="I186" s="7">
        <v>331.28</v>
      </c>
      <c r="J186" s="6">
        <f t="shared" si="24"/>
        <v>0.4558077759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1">
        <v>40802.0</v>
      </c>
      <c r="B187" s="1" t="s">
        <v>22</v>
      </c>
      <c r="C187" s="1" t="s">
        <v>246</v>
      </c>
      <c r="D187" s="1" t="s">
        <v>248</v>
      </c>
      <c r="E187" s="6">
        <v>0.3</v>
      </c>
      <c r="F187" s="7">
        <v>0.12299999999999998</v>
      </c>
      <c r="G187" s="7">
        <v>41.0</v>
      </c>
      <c r="H187" s="7">
        <v>0.47</v>
      </c>
      <c r="I187" s="7">
        <v>93.5</v>
      </c>
      <c r="J187" s="6">
        <f t="shared" si="24"/>
        <v>0.5026737968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1">
        <v>40901.0</v>
      </c>
      <c r="B188" s="1" t="s">
        <v>22</v>
      </c>
      <c r="C188" s="1" t="s">
        <v>249</v>
      </c>
      <c r="D188" s="1" t="s">
        <v>249</v>
      </c>
      <c r="E188" s="6">
        <v>0.9</v>
      </c>
      <c r="F188" s="7">
        <v>0.495</v>
      </c>
      <c r="G188" s="7">
        <v>55.0</v>
      </c>
      <c r="H188" s="7">
        <v>3.27</v>
      </c>
      <c r="I188" s="7">
        <v>114.16</v>
      </c>
      <c r="J188" s="6">
        <f t="shared" si="24"/>
        <v>2.864400841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1">
        <v>40902.0</v>
      </c>
      <c r="B189" s="1" t="s">
        <v>22</v>
      </c>
      <c r="C189" s="1" t="s">
        <v>249</v>
      </c>
      <c r="D189" s="1" t="s">
        <v>250</v>
      </c>
      <c r="E189" s="6">
        <v>0.1</v>
      </c>
      <c r="F189" s="7">
        <v>0.012000000000000002</v>
      </c>
      <c r="G189" s="7">
        <v>12.0</v>
      </c>
      <c r="H189" s="7">
        <v>0.09</v>
      </c>
      <c r="I189" s="7">
        <v>24.17</v>
      </c>
      <c r="J189" s="6">
        <f t="shared" si="24"/>
        <v>0.3723624328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1">
        <v>40903.0</v>
      </c>
      <c r="B190" s="1" t="s">
        <v>22</v>
      </c>
      <c r="C190" s="1" t="s">
        <v>249</v>
      </c>
      <c r="D190" s="1" t="s">
        <v>251</v>
      </c>
      <c r="E190" s="6">
        <v>0.2</v>
      </c>
      <c r="F190" s="7">
        <v>0.03</v>
      </c>
      <c r="G190" s="7">
        <v>15.0</v>
      </c>
      <c r="H190" s="7">
        <v>0.18</v>
      </c>
      <c r="I190" s="7">
        <v>30.97</v>
      </c>
      <c r="J190" s="6">
        <f t="shared" si="24"/>
        <v>0.5812076203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1">
        <v>41001.0</v>
      </c>
      <c r="B191" s="1" t="s">
        <v>22</v>
      </c>
      <c r="C191" s="1" t="s">
        <v>252</v>
      </c>
      <c r="D191" s="1" t="s">
        <v>253</v>
      </c>
      <c r="E191" s="6">
        <v>0.3</v>
      </c>
      <c r="F191" s="7">
        <v>0.336</v>
      </c>
      <c r="G191" s="7">
        <v>112.0</v>
      </c>
      <c r="H191" s="7">
        <v>2.03</v>
      </c>
      <c r="I191" s="7">
        <v>234.88</v>
      </c>
      <c r="J191" s="6">
        <f t="shared" si="24"/>
        <v>0.8642711172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1">
        <v>41101.0</v>
      </c>
      <c r="B192" s="1" t="s">
        <v>22</v>
      </c>
      <c r="C192" s="1" t="s">
        <v>254</v>
      </c>
      <c r="D192" s="1" t="s">
        <v>255</v>
      </c>
      <c r="E192" s="6">
        <v>0.7</v>
      </c>
      <c r="F192" s="7">
        <v>0.364</v>
      </c>
      <c r="G192" s="7">
        <v>52.0</v>
      </c>
      <c r="H192" s="7">
        <v>1.42</v>
      </c>
      <c r="I192" s="7">
        <v>104.01</v>
      </c>
      <c r="J192" s="6">
        <f t="shared" si="24"/>
        <v>1.365253341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1">
        <v>41201.0</v>
      </c>
      <c r="B193" s="1" t="s">
        <v>22</v>
      </c>
      <c r="C193" s="1" t="s">
        <v>256</v>
      </c>
      <c r="D193" s="1" t="s">
        <v>257</v>
      </c>
      <c r="E193" s="6">
        <v>0.3</v>
      </c>
      <c r="F193" s="7">
        <v>0.183</v>
      </c>
      <c r="G193" s="7">
        <v>61.0</v>
      </c>
      <c r="H193" s="7">
        <v>0.75</v>
      </c>
      <c r="I193" s="7">
        <v>128.9</v>
      </c>
      <c r="J193" s="6">
        <f t="shared" si="24"/>
        <v>0.5818463926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1">
        <v>41202.0</v>
      </c>
      <c r="B194" s="1" t="s">
        <v>22</v>
      </c>
      <c r="C194" s="1" t="s">
        <v>256</v>
      </c>
      <c r="D194" s="1" t="s">
        <v>258</v>
      </c>
      <c r="E194" s="6">
        <v>0.3</v>
      </c>
      <c r="F194" s="7">
        <v>0.081</v>
      </c>
      <c r="G194" s="7">
        <v>27.0</v>
      </c>
      <c r="H194" s="7">
        <v>0.47</v>
      </c>
      <c r="I194" s="7">
        <v>59.77</v>
      </c>
      <c r="J194" s="6">
        <f t="shared" si="24"/>
        <v>0.7863476661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1">
        <v>41301.0</v>
      </c>
      <c r="B195" s="1" t="s">
        <v>22</v>
      </c>
      <c r="C195" s="1" t="s">
        <v>259</v>
      </c>
      <c r="D195" s="1" t="s">
        <v>259</v>
      </c>
      <c r="E195" s="6">
        <v>0.2</v>
      </c>
      <c r="F195" s="7">
        <v>0.1</v>
      </c>
      <c r="G195" s="7">
        <v>50.0</v>
      </c>
      <c r="H195" s="7">
        <v>0.85</v>
      </c>
      <c r="I195" s="7">
        <v>103.06</v>
      </c>
      <c r="J195" s="6">
        <f t="shared" si="24"/>
        <v>0.8247622744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1">
        <v>41401.0</v>
      </c>
      <c r="B196" s="1" t="s">
        <v>22</v>
      </c>
      <c r="C196" s="1" t="s">
        <v>260</v>
      </c>
      <c r="D196" s="1" t="s">
        <v>261</v>
      </c>
      <c r="E196" s="6">
        <v>0.2</v>
      </c>
      <c r="F196" s="7">
        <v>1.096</v>
      </c>
      <c r="G196" s="7">
        <v>548.0</v>
      </c>
      <c r="H196" s="7">
        <v>2.41</v>
      </c>
      <c r="I196" s="7">
        <v>1052.06</v>
      </c>
      <c r="J196" s="6">
        <f t="shared" si="24"/>
        <v>0.2290743874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1">
        <v>41501.0</v>
      </c>
      <c r="B197" s="1" t="s">
        <v>22</v>
      </c>
      <c r="C197" s="1" t="s">
        <v>262</v>
      </c>
      <c r="D197" s="1" t="s">
        <v>263</v>
      </c>
      <c r="E197" s="6">
        <v>0.1</v>
      </c>
      <c r="F197" s="7">
        <v>0.011000000000000001</v>
      </c>
      <c r="G197" s="7">
        <v>11.0</v>
      </c>
      <c r="H197" s="7">
        <v>0.09</v>
      </c>
      <c r="I197" s="7">
        <v>24.67</v>
      </c>
      <c r="J197" s="6">
        <f t="shared" si="24"/>
        <v>0.3648155655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1">
        <v>41502.0</v>
      </c>
      <c r="B198" s="1" t="s">
        <v>22</v>
      </c>
      <c r="C198" s="1" t="s">
        <v>262</v>
      </c>
      <c r="D198" s="1" t="s">
        <v>264</v>
      </c>
      <c r="E198" s="6">
        <v>0.2</v>
      </c>
      <c r="F198" s="7">
        <v>0.016</v>
      </c>
      <c r="G198" s="7">
        <v>8.0</v>
      </c>
      <c r="H198" s="7">
        <v>0.09</v>
      </c>
      <c r="I198" s="7">
        <v>17.3</v>
      </c>
      <c r="J198" s="6">
        <f t="shared" si="24"/>
        <v>0.5202312139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1">
        <v>41503.0</v>
      </c>
      <c r="B199" s="1" t="s">
        <v>22</v>
      </c>
      <c r="C199" s="1" t="s">
        <v>262</v>
      </c>
      <c r="D199" s="1" t="s">
        <v>228</v>
      </c>
      <c r="E199" s="6">
        <v>0.5</v>
      </c>
      <c r="F199" s="7">
        <v>0.055</v>
      </c>
      <c r="G199" s="7">
        <v>11.0</v>
      </c>
      <c r="H199" s="7">
        <v>1.13</v>
      </c>
      <c r="I199" s="7">
        <v>23.39</v>
      </c>
      <c r="J199" s="6">
        <f t="shared" si="24"/>
        <v>4.831124412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1">
        <v>41601.0</v>
      </c>
      <c r="B200" s="1" t="s">
        <v>22</v>
      </c>
      <c r="C200" s="1" t="s">
        <v>265</v>
      </c>
      <c r="D200" s="1" t="s">
        <v>266</v>
      </c>
      <c r="E200" s="6">
        <v>0.2</v>
      </c>
      <c r="F200" s="7">
        <v>0.124</v>
      </c>
      <c r="G200" s="7">
        <v>62.0</v>
      </c>
      <c r="H200" s="7">
        <v>0.66</v>
      </c>
      <c r="I200" s="7">
        <v>128.76</v>
      </c>
      <c r="J200" s="6">
        <f t="shared" si="24"/>
        <v>0.5125815471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1">
        <v>50101.0</v>
      </c>
      <c r="B201" s="1" t="s">
        <v>267</v>
      </c>
      <c r="C201" s="1" t="s">
        <v>268</v>
      </c>
      <c r="D201" s="1" t="s">
        <v>267</v>
      </c>
      <c r="E201" s="6">
        <v>5.4</v>
      </c>
      <c r="F201" s="7">
        <v>233.172</v>
      </c>
      <c r="G201" s="7">
        <v>4318.0</v>
      </c>
      <c r="H201" s="7">
        <v>372.28</v>
      </c>
      <c r="I201" s="7">
        <v>11473.39</v>
      </c>
      <c r="J201" s="6">
        <f t="shared" si="24"/>
        <v>3.244725404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1">
        <v>50102.0</v>
      </c>
      <c r="B202" s="1" t="s">
        <v>267</v>
      </c>
      <c r="C202" s="1" t="s">
        <v>268</v>
      </c>
      <c r="D202" s="1" t="s">
        <v>269</v>
      </c>
      <c r="E202" s="6">
        <v>2.0</v>
      </c>
      <c r="F202" s="7">
        <v>4.52</v>
      </c>
      <c r="G202" s="7">
        <v>226.0</v>
      </c>
      <c r="H202" s="7">
        <v>4.64</v>
      </c>
      <c r="I202" s="7">
        <v>481.69</v>
      </c>
      <c r="J202" s="6">
        <f t="shared" si="24"/>
        <v>0.9632751355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1">
        <v>50103.0</v>
      </c>
      <c r="B203" s="1" t="s">
        <v>267</v>
      </c>
      <c r="C203" s="1" t="s">
        <v>268</v>
      </c>
      <c r="D203" s="1" t="s">
        <v>270</v>
      </c>
      <c r="E203" s="6">
        <v>0.7</v>
      </c>
      <c r="F203" s="7">
        <v>0.5109999999999999</v>
      </c>
      <c r="G203" s="7">
        <v>73.0</v>
      </c>
      <c r="H203" s="7">
        <v>3.08</v>
      </c>
      <c r="I203" s="7">
        <v>150.22</v>
      </c>
      <c r="J203" s="6">
        <f t="shared" si="24"/>
        <v>2.050326188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1">
        <v>50104.0</v>
      </c>
      <c r="B204" s="1" t="s">
        <v>267</v>
      </c>
      <c r="C204" s="1" t="s">
        <v>268</v>
      </c>
      <c r="D204" s="1" t="s">
        <v>271</v>
      </c>
      <c r="E204" s="6">
        <v>0.2</v>
      </c>
      <c r="F204" s="7">
        <v>0.054000000000000006</v>
      </c>
      <c r="G204" s="7">
        <v>27.0</v>
      </c>
      <c r="H204" s="7">
        <v>1.94</v>
      </c>
      <c r="I204" s="7">
        <v>75.34</v>
      </c>
      <c r="J204" s="6">
        <f t="shared" si="24"/>
        <v>2.574993363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1">
        <v>50201.0</v>
      </c>
      <c r="B205" s="1" t="s">
        <v>267</v>
      </c>
      <c r="C205" s="1" t="s">
        <v>272</v>
      </c>
      <c r="D205" s="1" t="s">
        <v>273</v>
      </c>
      <c r="E205" s="6">
        <v>3.1</v>
      </c>
      <c r="F205" s="7">
        <v>5.27</v>
      </c>
      <c r="G205" s="7">
        <v>170.0</v>
      </c>
      <c r="H205" s="7">
        <v>9.53</v>
      </c>
      <c r="I205" s="7">
        <v>354.03</v>
      </c>
      <c r="J205" s="6">
        <f t="shared" si="24"/>
        <v>2.691862272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1">
        <v>50202.0</v>
      </c>
      <c r="B206" s="1" t="s">
        <v>267</v>
      </c>
      <c r="C206" s="1" t="s">
        <v>272</v>
      </c>
      <c r="D206" s="1" t="s">
        <v>274</v>
      </c>
      <c r="E206" s="6">
        <v>0.5</v>
      </c>
      <c r="F206" s="7">
        <v>0.59</v>
      </c>
      <c r="G206" s="7">
        <v>118.0</v>
      </c>
      <c r="H206" s="7">
        <v>3.41</v>
      </c>
      <c r="I206" s="7">
        <v>277.43</v>
      </c>
      <c r="J206" s="6">
        <f t="shared" si="24"/>
        <v>1.229138882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1">
        <v>50203.0</v>
      </c>
      <c r="B207" s="1" t="s">
        <v>267</v>
      </c>
      <c r="C207" s="1" t="s">
        <v>272</v>
      </c>
      <c r="D207" s="1" t="s">
        <v>275</v>
      </c>
      <c r="E207" s="6">
        <v>2.5</v>
      </c>
      <c r="F207" s="7">
        <v>12.65</v>
      </c>
      <c r="G207" s="7">
        <v>506.0</v>
      </c>
      <c r="H207" s="7">
        <v>55.58</v>
      </c>
      <c r="I207" s="7">
        <v>997.02</v>
      </c>
      <c r="J207" s="6">
        <f t="shared" si="24"/>
        <v>5.574612345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1">
        <v>50204.0</v>
      </c>
      <c r="B208" s="1" t="s">
        <v>267</v>
      </c>
      <c r="C208" s="1" t="s">
        <v>272</v>
      </c>
      <c r="D208" s="1" t="s">
        <v>276</v>
      </c>
      <c r="E208" s="6">
        <v>0.3</v>
      </c>
      <c r="F208" s="7">
        <v>0.183</v>
      </c>
      <c r="G208" s="7">
        <v>61.0</v>
      </c>
      <c r="H208" s="7">
        <v>1.23</v>
      </c>
      <c r="I208" s="7">
        <v>145.8</v>
      </c>
      <c r="J208" s="6">
        <f t="shared" si="24"/>
        <v>0.8436213992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1">
        <v>50301.0</v>
      </c>
      <c r="B209" s="1" t="s">
        <v>267</v>
      </c>
      <c r="C209" s="1" t="s">
        <v>277</v>
      </c>
      <c r="D209" s="1" t="s">
        <v>278</v>
      </c>
      <c r="E209" s="6">
        <v>2.2</v>
      </c>
      <c r="F209" s="7">
        <v>5.83</v>
      </c>
      <c r="G209" s="7">
        <v>265.0</v>
      </c>
      <c r="H209" s="7">
        <v>10.62</v>
      </c>
      <c r="I209" s="7">
        <v>577.74</v>
      </c>
      <c r="J209" s="6">
        <f t="shared" si="24"/>
        <v>1.838197113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1">
        <v>50302.0</v>
      </c>
      <c r="B210" s="1" t="s">
        <v>267</v>
      </c>
      <c r="C210" s="1" t="s">
        <v>277</v>
      </c>
      <c r="D210" s="1" t="s">
        <v>279</v>
      </c>
      <c r="E210" s="6">
        <v>0.7</v>
      </c>
      <c r="F210" s="7">
        <v>0.574</v>
      </c>
      <c r="G210" s="7">
        <v>82.0</v>
      </c>
      <c r="H210" s="7">
        <v>8.77</v>
      </c>
      <c r="I210" s="7">
        <v>164.81</v>
      </c>
      <c r="J210" s="6">
        <f t="shared" si="24"/>
        <v>5.321279049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1">
        <v>50303.0</v>
      </c>
      <c r="B211" s="1" t="s">
        <v>267</v>
      </c>
      <c r="C211" s="1" t="s">
        <v>277</v>
      </c>
      <c r="D211" s="1" t="s">
        <v>280</v>
      </c>
      <c r="E211" s="6">
        <v>0.2</v>
      </c>
      <c r="F211" s="7">
        <v>0.234</v>
      </c>
      <c r="G211" s="7">
        <v>117.0</v>
      </c>
      <c r="H211" s="7">
        <v>1.23</v>
      </c>
      <c r="I211" s="7">
        <v>309.7</v>
      </c>
      <c r="J211" s="6">
        <f t="shared" si="24"/>
        <v>0.3971585405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1">
        <v>50401.0</v>
      </c>
      <c r="B212" s="1" t="s">
        <v>267</v>
      </c>
      <c r="C212" s="1" t="s">
        <v>274</v>
      </c>
      <c r="D212" s="1" t="s">
        <v>281</v>
      </c>
      <c r="E212" s="6">
        <v>1.5</v>
      </c>
      <c r="F212" s="7">
        <v>5.19</v>
      </c>
      <c r="G212" s="7">
        <v>346.0</v>
      </c>
      <c r="H212" s="7">
        <v>9.62</v>
      </c>
      <c r="I212" s="7">
        <v>989.87</v>
      </c>
      <c r="J212" s="6">
        <f t="shared" si="24"/>
        <v>0.9718447877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1">
        <v>50402.0</v>
      </c>
      <c r="B213" s="1" t="s">
        <v>267</v>
      </c>
      <c r="C213" s="1" t="s">
        <v>274</v>
      </c>
      <c r="D213" s="1" t="s">
        <v>282</v>
      </c>
      <c r="E213" s="6">
        <v>2.6</v>
      </c>
      <c r="F213" s="7">
        <v>3.016</v>
      </c>
      <c r="G213" s="7">
        <v>116.0</v>
      </c>
      <c r="H213" s="7">
        <v>3.41</v>
      </c>
      <c r="I213" s="7">
        <v>353.29</v>
      </c>
      <c r="J213" s="6">
        <f t="shared" si="24"/>
        <v>0.9652127148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1">
        <v>50403.0</v>
      </c>
      <c r="B214" s="1" t="s">
        <v>267</v>
      </c>
      <c r="C214" s="1" t="s">
        <v>274</v>
      </c>
      <c r="D214" s="1" t="s">
        <v>283</v>
      </c>
      <c r="E214" s="6">
        <v>2.1</v>
      </c>
      <c r="F214" s="7">
        <v>4.3260000000000005</v>
      </c>
      <c r="G214" s="7">
        <v>206.0</v>
      </c>
      <c r="H214" s="7">
        <v>4.83</v>
      </c>
      <c r="I214" s="7">
        <v>446.45</v>
      </c>
      <c r="J214" s="6">
        <f t="shared" si="24"/>
        <v>1.08186807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1">
        <v>50404.0</v>
      </c>
      <c r="B215" s="1" t="s">
        <v>267</v>
      </c>
      <c r="C215" s="1" t="s">
        <v>274</v>
      </c>
      <c r="D215" s="1" t="s">
        <v>284</v>
      </c>
      <c r="E215" s="6">
        <v>0.3</v>
      </c>
      <c r="F215" s="7">
        <v>0.375</v>
      </c>
      <c r="G215" s="7">
        <v>125.0</v>
      </c>
      <c r="H215" s="7">
        <v>2.89</v>
      </c>
      <c r="I215" s="7">
        <v>271.26</v>
      </c>
      <c r="J215" s="6">
        <f t="shared" si="24"/>
        <v>1.065398511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1">
        <v>50405.0</v>
      </c>
      <c r="B216" s="1" t="s">
        <v>267</v>
      </c>
      <c r="C216" s="1" t="s">
        <v>274</v>
      </c>
      <c r="D216" s="1" t="s">
        <v>285</v>
      </c>
      <c r="E216" s="6"/>
      <c r="F216" s="7"/>
      <c r="G216" s="7"/>
      <c r="H216" s="7" t="s">
        <v>286</v>
      </c>
      <c r="I216" s="7" t="s">
        <v>213</v>
      </c>
      <c r="J216" s="6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1">
        <v>50501.0</v>
      </c>
      <c r="B217" s="1" t="s">
        <v>267</v>
      </c>
      <c r="C217" s="1" t="s">
        <v>287</v>
      </c>
      <c r="D217" s="1" t="s">
        <v>288</v>
      </c>
      <c r="E217" s="6">
        <v>2.0</v>
      </c>
      <c r="F217" s="7">
        <v>4.78</v>
      </c>
      <c r="G217" s="7">
        <v>239.0</v>
      </c>
      <c r="H217" s="7">
        <v>4.93</v>
      </c>
      <c r="I217" s="7">
        <v>479.94</v>
      </c>
      <c r="J217" s="6">
        <f t="shared" ref="J217:J235" si="25">(H217/I217)*100</f>
        <v>1.027211735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1">
        <v>50502.0</v>
      </c>
      <c r="B218" s="1" t="s">
        <v>267</v>
      </c>
      <c r="C218" s="1" t="s">
        <v>287</v>
      </c>
      <c r="D218" s="1" t="s">
        <v>289</v>
      </c>
      <c r="E218" s="6">
        <v>24.9</v>
      </c>
      <c r="F218" s="7">
        <v>18.675</v>
      </c>
      <c r="G218" s="7">
        <v>75.0</v>
      </c>
      <c r="H218" s="7">
        <v>4.07</v>
      </c>
      <c r="I218" s="7">
        <v>70.17</v>
      </c>
      <c r="J218" s="6">
        <f t="shared" si="25"/>
        <v>5.800199515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1">
        <v>50601.0</v>
      </c>
      <c r="B219" s="1" t="s">
        <v>267</v>
      </c>
      <c r="C219" s="1" t="s">
        <v>290</v>
      </c>
      <c r="D219" s="1" t="s">
        <v>291</v>
      </c>
      <c r="E219" s="6">
        <v>2.5</v>
      </c>
      <c r="F219" s="7">
        <v>6.15</v>
      </c>
      <c r="G219" s="7">
        <v>246.0</v>
      </c>
      <c r="H219" s="7">
        <v>16.79</v>
      </c>
      <c r="I219" s="7">
        <v>601.6</v>
      </c>
      <c r="J219" s="6">
        <f t="shared" si="25"/>
        <v>2.790890957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1">
        <v>50602.0</v>
      </c>
      <c r="B220" s="1" t="s">
        <v>267</v>
      </c>
      <c r="C220" s="1" t="s">
        <v>290</v>
      </c>
      <c r="D220" s="1" t="s">
        <v>292</v>
      </c>
      <c r="E220" s="6">
        <v>1.4</v>
      </c>
      <c r="F220" s="7">
        <v>0.8959999999999999</v>
      </c>
      <c r="G220" s="7">
        <v>64.0</v>
      </c>
      <c r="H220" s="7">
        <v>5.17</v>
      </c>
      <c r="I220" s="7">
        <v>136.61</v>
      </c>
      <c r="J220" s="6">
        <f t="shared" si="25"/>
        <v>3.784496011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1">
        <v>50701.0</v>
      </c>
      <c r="B221" s="1" t="s">
        <v>267</v>
      </c>
      <c r="C221" s="1" t="s">
        <v>293</v>
      </c>
      <c r="D221" s="1" t="s">
        <v>294</v>
      </c>
      <c r="E221" s="6">
        <v>0.4</v>
      </c>
      <c r="F221" s="7">
        <v>0.616</v>
      </c>
      <c r="G221" s="7">
        <v>154.0</v>
      </c>
      <c r="H221" s="7">
        <v>3.98</v>
      </c>
      <c r="I221" s="7">
        <v>348.31</v>
      </c>
      <c r="J221" s="6">
        <f t="shared" si="25"/>
        <v>1.142660274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1">
        <v>50702.0</v>
      </c>
      <c r="B222" s="1" t="s">
        <v>267</v>
      </c>
      <c r="C222" s="1" t="s">
        <v>293</v>
      </c>
      <c r="D222" s="1" t="s">
        <v>295</v>
      </c>
      <c r="E222" s="6">
        <v>0.3</v>
      </c>
      <c r="F222" s="7">
        <v>0.192</v>
      </c>
      <c r="G222" s="7">
        <v>64.0</v>
      </c>
      <c r="H222" s="7">
        <v>1.75</v>
      </c>
      <c r="I222" s="7">
        <v>140.27</v>
      </c>
      <c r="J222" s="6">
        <f t="shared" si="25"/>
        <v>1.247593926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1">
        <v>50801.0</v>
      </c>
      <c r="B223" s="1" t="s">
        <v>267</v>
      </c>
      <c r="C223" s="1" t="s">
        <v>296</v>
      </c>
      <c r="D223" s="1" t="s">
        <v>297</v>
      </c>
      <c r="E223" s="6">
        <v>4.4</v>
      </c>
      <c r="F223" s="7">
        <v>24.948</v>
      </c>
      <c r="G223" s="7">
        <v>567.0</v>
      </c>
      <c r="H223" s="7">
        <v>93.62</v>
      </c>
      <c r="I223" s="7">
        <v>1441.1</v>
      </c>
      <c r="J223" s="6">
        <f t="shared" si="25"/>
        <v>6.496426341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1">
        <v>50802.0</v>
      </c>
      <c r="B224" s="1" t="s">
        <v>267</v>
      </c>
      <c r="C224" s="1" t="s">
        <v>296</v>
      </c>
      <c r="D224" s="1" t="s">
        <v>298</v>
      </c>
      <c r="E224" s="6">
        <v>0.3</v>
      </c>
      <c r="F224" s="7">
        <v>1.896</v>
      </c>
      <c r="G224" s="7">
        <v>632.0</v>
      </c>
      <c r="H224" s="7">
        <v>6.3</v>
      </c>
      <c r="I224" s="7">
        <v>1395.55</v>
      </c>
      <c r="J224" s="6">
        <f t="shared" si="25"/>
        <v>0.4514349181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1">
        <v>50901.0</v>
      </c>
      <c r="B225" s="1" t="s">
        <v>267</v>
      </c>
      <c r="C225" s="1" t="s">
        <v>299</v>
      </c>
      <c r="D225" s="1" t="s">
        <v>300</v>
      </c>
      <c r="E225" s="6">
        <v>0.0</v>
      </c>
      <c r="F225" s="7">
        <v>0.0</v>
      </c>
      <c r="G225" s="7">
        <v>4249.0</v>
      </c>
      <c r="H225" s="7">
        <v>19.06</v>
      </c>
      <c r="I225" s="7">
        <v>11388.31</v>
      </c>
      <c r="J225" s="6">
        <f t="shared" si="25"/>
        <v>0.1673646046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1">
        <v>50902.0</v>
      </c>
      <c r="B226" s="1" t="s">
        <v>267</v>
      </c>
      <c r="C226" s="1" t="s">
        <v>299</v>
      </c>
      <c r="D226" s="1" t="s">
        <v>301</v>
      </c>
      <c r="E226" s="6">
        <v>1.1</v>
      </c>
      <c r="F226" s="7">
        <v>0.08800000000000001</v>
      </c>
      <c r="G226" s="7">
        <v>8.0</v>
      </c>
      <c r="H226" s="7">
        <v>0.37</v>
      </c>
      <c r="I226" s="7">
        <v>18.41</v>
      </c>
      <c r="J226" s="6">
        <f t="shared" si="25"/>
        <v>2.009777295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1">
        <v>51001.0</v>
      </c>
      <c r="B227" s="1" t="s">
        <v>267</v>
      </c>
      <c r="C227" s="1" t="s">
        <v>302</v>
      </c>
      <c r="D227" s="1" t="s">
        <v>303</v>
      </c>
      <c r="E227" s="6">
        <v>1.9</v>
      </c>
      <c r="F227" s="7">
        <v>0.57</v>
      </c>
      <c r="G227" s="7">
        <v>30.0</v>
      </c>
      <c r="H227" s="7">
        <v>3.41</v>
      </c>
      <c r="I227" s="7">
        <v>107.32</v>
      </c>
      <c r="J227" s="6">
        <f t="shared" si="25"/>
        <v>3.177413343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1">
        <v>51002.0</v>
      </c>
      <c r="B228" s="1" t="s">
        <v>267</v>
      </c>
      <c r="C228" s="1" t="s">
        <v>302</v>
      </c>
      <c r="D228" s="1" t="s">
        <v>304</v>
      </c>
      <c r="E228" s="6">
        <v>0.0</v>
      </c>
      <c r="F228" s="7">
        <v>0.0</v>
      </c>
      <c r="G228" s="7">
        <v>10.0</v>
      </c>
      <c r="H228" s="7">
        <v>0.18</v>
      </c>
      <c r="I228" s="7">
        <v>22.92</v>
      </c>
      <c r="J228" s="6">
        <f t="shared" si="25"/>
        <v>0.7853403141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1">
        <v>51003.0</v>
      </c>
      <c r="B229" s="1" t="s">
        <v>267</v>
      </c>
      <c r="C229" s="1" t="s">
        <v>302</v>
      </c>
      <c r="D229" s="1" t="s">
        <v>305</v>
      </c>
      <c r="E229" s="6">
        <v>0.9</v>
      </c>
      <c r="F229" s="7">
        <v>0.099</v>
      </c>
      <c r="G229" s="7">
        <v>11.0</v>
      </c>
      <c r="H229" s="7">
        <v>0.75</v>
      </c>
      <c r="I229" s="7">
        <v>20.58</v>
      </c>
      <c r="J229" s="6">
        <f t="shared" si="25"/>
        <v>3.644314869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1">
        <v>51101.0</v>
      </c>
      <c r="B230" s="1" t="s">
        <v>267</v>
      </c>
      <c r="C230" s="1" t="s">
        <v>306</v>
      </c>
      <c r="D230" s="1" t="s">
        <v>307</v>
      </c>
      <c r="E230" s="6">
        <v>2.5</v>
      </c>
      <c r="F230" s="7">
        <v>4.15</v>
      </c>
      <c r="G230" s="7">
        <v>166.0</v>
      </c>
      <c r="H230" s="7">
        <v>3.08</v>
      </c>
      <c r="I230" s="7">
        <v>345.8</v>
      </c>
      <c r="J230" s="6">
        <f t="shared" si="25"/>
        <v>0.8906882591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1">
        <v>51102.0</v>
      </c>
      <c r="B231" s="1" t="s">
        <v>267</v>
      </c>
      <c r="C231" s="1" t="s">
        <v>306</v>
      </c>
      <c r="D231" s="1" t="s">
        <v>308</v>
      </c>
      <c r="E231" s="6">
        <v>0.5</v>
      </c>
      <c r="F231" s="7">
        <v>0.735</v>
      </c>
      <c r="G231" s="7">
        <v>147.0</v>
      </c>
      <c r="H231" s="7">
        <v>4.93</v>
      </c>
      <c r="I231" s="7">
        <v>420.48</v>
      </c>
      <c r="J231" s="6">
        <f t="shared" si="25"/>
        <v>1.172469559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1">
        <v>51103.0</v>
      </c>
      <c r="B232" s="1" t="s">
        <v>267</v>
      </c>
      <c r="C232" s="1" t="s">
        <v>306</v>
      </c>
      <c r="D232" s="1" t="s">
        <v>309</v>
      </c>
      <c r="E232" s="6">
        <v>0.4</v>
      </c>
      <c r="F232" s="7">
        <v>0.556</v>
      </c>
      <c r="G232" s="7">
        <v>139.0</v>
      </c>
      <c r="H232" s="7">
        <v>2.98</v>
      </c>
      <c r="I232" s="7">
        <v>291.11</v>
      </c>
      <c r="J232" s="6">
        <f t="shared" si="25"/>
        <v>1.023668029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1">
        <v>51201.0</v>
      </c>
      <c r="B233" s="1" t="s">
        <v>267</v>
      </c>
      <c r="C233" s="1" t="s">
        <v>310</v>
      </c>
      <c r="D233" s="1" t="s">
        <v>311</v>
      </c>
      <c r="E233" s="6">
        <v>29.1</v>
      </c>
      <c r="F233" s="7">
        <v>123.09300000000002</v>
      </c>
      <c r="G233" s="7">
        <v>423.0</v>
      </c>
      <c r="H233" s="7">
        <v>79.77</v>
      </c>
      <c r="I233" s="7">
        <v>882.63</v>
      </c>
      <c r="J233" s="6">
        <f t="shared" si="25"/>
        <v>9.037762143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1">
        <v>51202.0</v>
      </c>
      <c r="B234" s="1" t="s">
        <v>267</v>
      </c>
      <c r="C234" s="1" t="s">
        <v>310</v>
      </c>
      <c r="D234" s="1" t="s">
        <v>312</v>
      </c>
      <c r="E234" s="6">
        <v>0.6</v>
      </c>
      <c r="F234" s="7">
        <v>0.7739999999999999</v>
      </c>
      <c r="G234" s="7">
        <v>129.0</v>
      </c>
      <c r="H234" s="7">
        <v>4.74</v>
      </c>
      <c r="I234" s="7">
        <v>465.37</v>
      </c>
      <c r="J234" s="6">
        <f t="shared" si="25"/>
        <v>1.018544384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1">
        <v>51203.0</v>
      </c>
      <c r="B235" s="1" t="s">
        <v>267</v>
      </c>
      <c r="C235" s="1" t="s">
        <v>310</v>
      </c>
      <c r="D235" s="1" t="s">
        <v>313</v>
      </c>
      <c r="E235" s="6">
        <v>0.2</v>
      </c>
      <c r="F235" s="7">
        <v>0.916</v>
      </c>
      <c r="G235" s="7">
        <v>458.0</v>
      </c>
      <c r="H235" s="7">
        <v>5.26</v>
      </c>
      <c r="I235" s="7">
        <v>1773.39</v>
      </c>
      <c r="J235" s="6">
        <f t="shared" si="25"/>
        <v>0.2966070633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1">
        <v>51204.0</v>
      </c>
      <c r="B236" s="1" t="s">
        <v>267</v>
      </c>
      <c r="C236" s="1"/>
      <c r="D236" s="1" t="s">
        <v>314</v>
      </c>
      <c r="E236" s="6"/>
      <c r="F236" s="7"/>
      <c r="G236" s="7"/>
      <c r="H236" s="7" t="s">
        <v>286</v>
      </c>
      <c r="I236" s="7" t="s">
        <v>213</v>
      </c>
      <c r="J236" s="6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1">
        <v>51301.0</v>
      </c>
      <c r="B237" s="1" t="s">
        <v>267</v>
      </c>
      <c r="C237" s="1" t="s">
        <v>315</v>
      </c>
      <c r="D237" s="1" t="s">
        <v>316</v>
      </c>
      <c r="E237" s="6">
        <v>0.4</v>
      </c>
      <c r="F237" s="7">
        <v>0.09600000000000002</v>
      </c>
      <c r="G237" s="7">
        <v>24.0</v>
      </c>
      <c r="H237" s="7">
        <v>0.66</v>
      </c>
      <c r="I237" s="7">
        <v>52.47</v>
      </c>
      <c r="J237" s="6">
        <f t="shared" ref="J237:J328" si="26">(H237/I237)*100</f>
        <v>1.257861635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1">
        <v>51302.0</v>
      </c>
      <c r="B238" s="1" t="s">
        <v>267</v>
      </c>
      <c r="C238" s="1" t="s">
        <v>315</v>
      </c>
      <c r="D238" s="1" t="s">
        <v>317</v>
      </c>
      <c r="E238" s="6">
        <v>0.6</v>
      </c>
      <c r="F238" s="7">
        <v>0.282</v>
      </c>
      <c r="G238" s="7">
        <v>47.0</v>
      </c>
      <c r="H238" s="7">
        <v>1.61</v>
      </c>
      <c r="I238" s="7">
        <v>99.73</v>
      </c>
      <c r="J238" s="6">
        <f t="shared" si="26"/>
        <v>1.614358769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1">
        <v>51401.0</v>
      </c>
      <c r="B239" s="1" t="s">
        <v>267</v>
      </c>
      <c r="C239" s="1" t="s">
        <v>318</v>
      </c>
      <c r="D239" s="1" t="s">
        <v>319</v>
      </c>
      <c r="E239" s="6">
        <v>0.5</v>
      </c>
      <c r="F239" s="7">
        <v>0.23</v>
      </c>
      <c r="G239" s="7">
        <v>46.0</v>
      </c>
      <c r="H239" s="7">
        <v>1.51</v>
      </c>
      <c r="I239" s="7">
        <v>87.22</v>
      </c>
      <c r="J239" s="6">
        <f t="shared" si="26"/>
        <v>1.731254299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1">
        <v>51402.0</v>
      </c>
      <c r="B240" s="1" t="s">
        <v>267</v>
      </c>
      <c r="C240" s="1" t="s">
        <v>318</v>
      </c>
      <c r="D240" s="1" t="s">
        <v>320</v>
      </c>
      <c r="E240" s="6">
        <v>0.5</v>
      </c>
      <c r="F240" s="7">
        <v>0.085</v>
      </c>
      <c r="G240" s="7">
        <v>17.0</v>
      </c>
      <c r="H240" s="7">
        <v>0.47</v>
      </c>
      <c r="I240" s="7">
        <v>36.15</v>
      </c>
      <c r="J240" s="6">
        <f t="shared" si="26"/>
        <v>1.300138313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1">
        <v>51501.0</v>
      </c>
      <c r="B241" s="1" t="s">
        <v>267</v>
      </c>
      <c r="C241" s="1" t="s">
        <v>321</v>
      </c>
      <c r="D241" s="1" t="s">
        <v>322</v>
      </c>
      <c r="E241" s="6">
        <v>6.0</v>
      </c>
      <c r="F241" s="7">
        <v>23.7</v>
      </c>
      <c r="G241" s="7">
        <v>395.0</v>
      </c>
      <c r="H241" s="7">
        <v>103.11</v>
      </c>
      <c r="I241" s="7">
        <v>908.37</v>
      </c>
      <c r="J241" s="6">
        <f t="shared" si="26"/>
        <v>11.35110142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1">
        <v>51601.0</v>
      </c>
      <c r="B242" s="1" t="s">
        <v>267</v>
      </c>
      <c r="C242" s="1" t="s">
        <v>323</v>
      </c>
      <c r="D242" s="1" t="s">
        <v>324</v>
      </c>
      <c r="E242" s="6">
        <v>0.7</v>
      </c>
      <c r="F242" s="7">
        <v>0.09799999999999999</v>
      </c>
      <c r="G242" s="7">
        <v>14.0</v>
      </c>
      <c r="H242" s="7">
        <v>1.32</v>
      </c>
      <c r="I242" s="7">
        <v>42.14</v>
      </c>
      <c r="J242" s="6">
        <f t="shared" si="26"/>
        <v>3.132415757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1">
        <v>60101.0</v>
      </c>
      <c r="B243" s="1" t="s">
        <v>27</v>
      </c>
      <c r="C243" s="1" t="s">
        <v>167</v>
      </c>
      <c r="D243" s="1" t="s">
        <v>27</v>
      </c>
      <c r="E243" s="6">
        <v>3.3</v>
      </c>
      <c r="F243" s="7">
        <v>118.50299999999999</v>
      </c>
      <c r="G243" s="7">
        <v>3591.0</v>
      </c>
      <c r="H243" s="7">
        <v>324.28</v>
      </c>
      <c r="I243" s="7">
        <v>6007.45</v>
      </c>
      <c r="J243" s="6">
        <f t="shared" si="26"/>
        <v>5.397964194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1">
        <v>60201.0</v>
      </c>
      <c r="B244" s="1" t="s">
        <v>27</v>
      </c>
      <c r="C244" s="1" t="s">
        <v>325</v>
      </c>
      <c r="D244" s="1" t="s">
        <v>326</v>
      </c>
      <c r="E244" s="6">
        <v>0.7</v>
      </c>
      <c r="F244" s="7">
        <v>2.03</v>
      </c>
      <c r="G244" s="7">
        <v>290.0</v>
      </c>
      <c r="H244" s="7">
        <v>9.15</v>
      </c>
      <c r="I244" s="7">
        <v>597.57</v>
      </c>
      <c r="J244" s="6">
        <f t="shared" si="26"/>
        <v>1.531201366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1">
        <v>60202.0</v>
      </c>
      <c r="B245" s="1" t="s">
        <v>27</v>
      </c>
      <c r="C245" s="1" t="s">
        <v>325</v>
      </c>
      <c r="D245" s="1" t="s">
        <v>327</v>
      </c>
      <c r="E245" s="6">
        <v>4.0</v>
      </c>
      <c r="F245" s="7">
        <v>25.84</v>
      </c>
      <c r="G245" s="7">
        <v>646.0</v>
      </c>
      <c r="H245" s="7">
        <v>75.32</v>
      </c>
      <c r="I245" s="7">
        <v>1166.47</v>
      </c>
      <c r="J245" s="6">
        <f t="shared" si="26"/>
        <v>6.457088481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1">
        <v>60301.0</v>
      </c>
      <c r="B246" s="1" t="s">
        <v>27</v>
      </c>
      <c r="C246" s="1" t="s">
        <v>36</v>
      </c>
      <c r="D246" s="1" t="s">
        <v>328</v>
      </c>
      <c r="E246" s="6">
        <v>1.7</v>
      </c>
      <c r="F246" s="7">
        <v>35.003</v>
      </c>
      <c r="G246" s="7">
        <v>2059.0</v>
      </c>
      <c r="H246" s="7">
        <v>146.27</v>
      </c>
      <c r="I246" s="7">
        <v>4003.24</v>
      </c>
      <c r="J246" s="6">
        <f t="shared" si="26"/>
        <v>3.65379043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1">
        <v>60302.0</v>
      </c>
      <c r="B247" s="1" t="s">
        <v>27</v>
      </c>
      <c r="C247" s="1" t="s">
        <v>36</v>
      </c>
      <c r="D247" s="1" t="s">
        <v>329</v>
      </c>
      <c r="E247" s="6">
        <v>0.8</v>
      </c>
      <c r="F247" s="7">
        <v>4.28</v>
      </c>
      <c r="G247" s="7">
        <v>535.0</v>
      </c>
      <c r="H247" s="7">
        <v>29.31</v>
      </c>
      <c r="I247" s="7">
        <v>1088.97</v>
      </c>
      <c r="J247" s="6">
        <f t="shared" si="26"/>
        <v>2.691534202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1">
        <v>60303.0</v>
      </c>
      <c r="B248" s="1" t="s">
        <v>27</v>
      </c>
      <c r="C248" s="1" t="s">
        <v>36</v>
      </c>
      <c r="D248" s="1" t="s">
        <v>330</v>
      </c>
      <c r="E248" s="6">
        <v>0.9</v>
      </c>
      <c r="F248" s="7">
        <v>27.99</v>
      </c>
      <c r="G248" s="7">
        <v>3110.0</v>
      </c>
      <c r="H248" s="7">
        <v>82.29</v>
      </c>
      <c r="I248" s="7">
        <v>5838.91</v>
      </c>
      <c r="J248" s="6">
        <f t="shared" si="26"/>
        <v>1.409338387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1">
        <v>60401.0</v>
      </c>
      <c r="B249" s="1" t="s">
        <v>27</v>
      </c>
      <c r="C249" s="1" t="s">
        <v>331</v>
      </c>
      <c r="D249" s="1" t="s">
        <v>332</v>
      </c>
      <c r="E249" s="6">
        <v>0.5</v>
      </c>
      <c r="F249" s="7">
        <v>1.575</v>
      </c>
      <c r="G249" s="7">
        <v>315.0</v>
      </c>
      <c r="H249" s="7">
        <v>33.05</v>
      </c>
      <c r="I249" s="7">
        <v>555.03</v>
      </c>
      <c r="J249" s="6">
        <f t="shared" si="26"/>
        <v>5.954633083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1">
        <v>60402.0</v>
      </c>
      <c r="B250" s="1" t="s">
        <v>27</v>
      </c>
      <c r="C250" s="1" t="s">
        <v>331</v>
      </c>
      <c r="D250" s="1" t="s">
        <v>333</v>
      </c>
      <c r="E250" s="6">
        <v>0.3</v>
      </c>
      <c r="F250" s="7">
        <v>0.35100000000000003</v>
      </c>
      <c r="G250" s="7">
        <v>117.0</v>
      </c>
      <c r="H250" s="7">
        <v>1.61</v>
      </c>
      <c r="I250" s="7">
        <v>145.22</v>
      </c>
      <c r="J250" s="6">
        <f t="shared" si="26"/>
        <v>1.108662719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1">
        <v>60501.0</v>
      </c>
      <c r="B251" s="1" t="s">
        <v>27</v>
      </c>
      <c r="C251" s="1" t="s">
        <v>334</v>
      </c>
      <c r="D251" s="1" t="s">
        <v>335</v>
      </c>
      <c r="E251" s="6">
        <v>6.0</v>
      </c>
      <c r="F251" s="7">
        <v>17.16</v>
      </c>
      <c r="G251" s="7">
        <v>286.0</v>
      </c>
      <c r="H251" s="7">
        <v>38.56</v>
      </c>
      <c r="I251" s="7">
        <v>583.67</v>
      </c>
      <c r="J251" s="6">
        <f t="shared" si="26"/>
        <v>6.606472836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1">
        <v>60502.0</v>
      </c>
      <c r="B252" s="1" t="s">
        <v>27</v>
      </c>
      <c r="C252" s="1" t="s">
        <v>334</v>
      </c>
      <c r="D252" s="1" t="s">
        <v>336</v>
      </c>
      <c r="E252" s="6">
        <v>0.2</v>
      </c>
      <c r="F252" s="7">
        <v>0.94</v>
      </c>
      <c r="G252" s="7">
        <v>470.0</v>
      </c>
      <c r="H252" s="7">
        <v>4.45</v>
      </c>
      <c r="I252" s="7">
        <v>723.55</v>
      </c>
      <c r="J252" s="6">
        <f t="shared" si="26"/>
        <v>0.6150231497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1">
        <v>60601.0</v>
      </c>
      <c r="B253" s="1" t="s">
        <v>27</v>
      </c>
      <c r="C253" s="1" t="s">
        <v>337</v>
      </c>
      <c r="D253" s="1" t="s">
        <v>208</v>
      </c>
      <c r="E253" s="6">
        <v>0.8</v>
      </c>
      <c r="F253" s="7">
        <v>17.248</v>
      </c>
      <c r="G253" s="7">
        <v>2156.0</v>
      </c>
      <c r="H253" s="7">
        <v>27.22</v>
      </c>
      <c r="I253" s="7">
        <v>4336.45</v>
      </c>
      <c r="J253" s="6">
        <f t="shared" si="26"/>
        <v>0.6277023833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1">
        <v>70101.0</v>
      </c>
      <c r="B254" s="1" t="s">
        <v>29</v>
      </c>
      <c r="C254" s="1" t="s">
        <v>338</v>
      </c>
      <c r="D254" s="1" t="s">
        <v>339</v>
      </c>
      <c r="E254" s="6">
        <v>5.8</v>
      </c>
      <c r="F254" s="7">
        <v>1511.19</v>
      </c>
      <c r="G254" s="7">
        <v>26055.0</v>
      </c>
      <c r="H254" s="7">
        <v>3764.54</v>
      </c>
      <c r="I254" s="7">
        <v>59088.89</v>
      </c>
      <c r="J254" s="6">
        <f t="shared" si="26"/>
        <v>6.370977691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1">
        <v>70102.0</v>
      </c>
      <c r="B255" s="1" t="s">
        <v>29</v>
      </c>
      <c r="C255" s="1" t="s">
        <v>338</v>
      </c>
      <c r="D255" s="1" t="s">
        <v>340</v>
      </c>
      <c r="E255" s="6">
        <v>3.0</v>
      </c>
      <c r="F255" s="7">
        <v>25.35</v>
      </c>
      <c r="G255" s="7">
        <v>845.0</v>
      </c>
      <c r="H255" s="7">
        <v>88.17</v>
      </c>
      <c r="I255" s="7">
        <v>2120.33</v>
      </c>
      <c r="J255" s="6">
        <f t="shared" si="26"/>
        <v>4.158314979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1">
        <v>70103.0</v>
      </c>
      <c r="B256" s="1" t="s">
        <v>29</v>
      </c>
      <c r="C256" s="1" t="s">
        <v>338</v>
      </c>
      <c r="D256" s="1" t="s">
        <v>341</v>
      </c>
      <c r="E256" s="6">
        <v>1.4</v>
      </c>
      <c r="F256" s="7">
        <v>2.7439999999999998</v>
      </c>
      <c r="G256" s="7">
        <v>196.0</v>
      </c>
      <c r="H256" s="7">
        <v>17.54</v>
      </c>
      <c r="I256" s="7">
        <v>462.31</v>
      </c>
      <c r="J256" s="6">
        <f t="shared" si="26"/>
        <v>3.793991045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1">
        <v>70104.0</v>
      </c>
      <c r="B257" s="1" t="s">
        <v>29</v>
      </c>
      <c r="C257" s="1" t="s">
        <v>338</v>
      </c>
      <c r="D257" s="1" t="s">
        <v>342</v>
      </c>
      <c r="E257" s="6">
        <v>4.0</v>
      </c>
      <c r="F257" s="7">
        <v>52.96</v>
      </c>
      <c r="G257" s="7">
        <v>1324.0</v>
      </c>
      <c r="H257" s="7">
        <v>158.75</v>
      </c>
      <c r="I257" s="7">
        <v>2988.1</v>
      </c>
      <c r="J257" s="6">
        <f t="shared" si="26"/>
        <v>5.312740537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1">
        <v>70105.0</v>
      </c>
      <c r="B258" s="1" t="s">
        <v>29</v>
      </c>
      <c r="C258" s="1" t="s">
        <v>338</v>
      </c>
      <c r="D258" s="1" t="s">
        <v>343</v>
      </c>
      <c r="E258" s="6">
        <v>5.6</v>
      </c>
      <c r="F258" s="7">
        <v>28.167999999999996</v>
      </c>
      <c r="G258" s="7">
        <v>503.0</v>
      </c>
      <c r="H258" s="7">
        <v>74.08</v>
      </c>
      <c r="I258" s="7">
        <v>1145.82</v>
      </c>
      <c r="J258" s="6">
        <f t="shared" si="26"/>
        <v>6.465238868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1">
        <v>70201.0</v>
      </c>
      <c r="B259" s="1" t="s">
        <v>29</v>
      </c>
      <c r="C259" s="1" t="s">
        <v>344</v>
      </c>
      <c r="D259" s="1" t="s">
        <v>344</v>
      </c>
      <c r="E259" s="6">
        <v>2.0</v>
      </c>
      <c r="F259" s="7">
        <v>54.38</v>
      </c>
      <c r="G259" s="7">
        <v>2719.0</v>
      </c>
      <c r="H259" s="7">
        <v>154.76</v>
      </c>
      <c r="I259" s="7">
        <v>6671.48</v>
      </c>
      <c r="J259" s="6">
        <f t="shared" si="26"/>
        <v>2.319725158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1">
        <v>70202.0</v>
      </c>
      <c r="B260" s="1" t="s">
        <v>29</v>
      </c>
      <c r="C260" s="1" t="s">
        <v>344</v>
      </c>
      <c r="D260" s="1" t="s">
        <v>345</v>
      </c>
      <c r="E260" s="6">
        <v>0.3</v>
      </c>
      <c r="F260" s="7">
        <v>1.8719999999999999</v>
      </c>
      <c r="G260" s="7">
        <v>624.0</v>
      </c>
      <c r="H260" s="7">
        <v>3.41</v>
      </c>
      <c r="I260" s="7">
        <v>1585.96</v>
      </c>
      <c r="J260" s="6">
        <f t="shared" si="26"/>
        <v>0.2150117279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1">
        <v>70301.0</v>
      </c>
      <c r="B261" s="1" t="s">
        <v>29</v>
      </c>
      <c r="C261" s="1" t="s">
        <v>346</v>
      </c>
      <c r="D261" s="1" t="s">
        <v>347</v>
      </c>
      <c r="E261" s="6">
        <v>5.2</v>
      </c>
      <c r="F261" s="7">
        <v>36.348</v>
      </c>
      <c r="G261" s="7">
        <v>699.0</v>
      </c>
      <c r="H261" s="7">
        <v>104.53</v>
      </c>
      <c r="I261" s="7">
        <v>1668.1</v>
      </c>
      <c r="J261" s="6">
        <f t="shared" si="26"/>
        <v>6.266410887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1">
        <v>70302.0</v>
      </c>
      <c r="B262" s="1" t="s">
        <v>29</v>
      </c>
      <c r="C262" s="1" t="s">
        <v>346</v>
      </c>
      <c r="D262" s="1" t="s">
        <v>348</v>
      </c>
      <c r="E262" s="6">
        <v>23.8</v>
      </c>
      <c r="F262" s="7">
        <v>44.74400000000001</v>
      </c>
      <c r="G262" s="7">
        <v>188.0</v>
      </c>
      <c r="H262" s="7">
        <v>6.21</v>
      </c>
      <c r="I262" s="7">
        <v>406.41</v>
      </c>
      <c r="J262" s="6">
        <f t="shared" si="26"/>
        <v>1.528013582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1">
        <v>70303.0</v>
      </c>
      <c r="B263" s="1" t="s">
        <v>29</v>
      </c>
      <c r="C263" s="1" t="s">
        <v>346</v>
      </c>
      <c r="D263" s="1" t="s">
        <v>349</v>
      </c>
      <c r="E263" s="6">
        <v>1.0</v>
      </c>
      <c r="F263" s="7">
        <v>0.93</v>
      </c>
      <c r="G263" s="7">
        <v>93.0</v>
      </c>
      <c r="H263" s="7">
        <v>4.36</v>
      </c>
      <c r="I263" s="7">
        <v>218.18</v>
      </c>
      <c r="J263" s="6">
        <f t="shared" si="26"/>
        <v>1.998349986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1">
        <v>70401.0</v>
      </c>
      <c r="B264" s="1" t="s">
        <v>29</v>
      </c>
      <c r="C264" s="1" t="s">
        <v>350</v>
      </c>
      <c r="D264" s="1" t="s">
        <v>351</v>
      </c>
      <c r="E264" s="6">
        <v>1.3</v>
      </c>
      <c r="F264" s="7">
        <v>3.003</v>
      </c>
      <c r="G264" s="7">
        <v>231.0</v>
      </c>
      <c r="H264" s="7">
        <v>16.17</v>
      </c>
      <c r="I264" s="7">
        <v>540.93</v>
      </c>
      <c r="J264" s="6">
        <f t="shared" si="26"/>
        <v>2.989296212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1">
        <v>70402.0</v>
      </c>
      <c r="B265" s="1" t="s">
        <v>29</v>
      </c>
      <c r="C265" s="1" t="s">
        <v>350</v>
      </c>
      <c r="D265" s="1" t="s">
        <v>352</v>
      </c>
      <c r="E265" s="6">
        <v>4.8</v>
      </c>
      <c r="F265" s="7">
        <v>19.151999999999997</v>
      </c>
      <c r="G265" s="7">
        <v>399.0</v>
      </c>
      <c r="H265" s="7">
        <v>25.75</v>
      </c>
      <c r="I265" s="7">
        <v>1004.93</v>
      </c>
      <c r="J265" s="6">
        <f t="shared" si="26"/>
        <v>2.562367528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1">
        <v>70403.0</v>
      </c>
      <c r="B266" s="1" t="s">
        <v>29</v>
      </c>
      <c r="C266" s="1" t="s">
        <v>350</v>
      </c>
      <c r="D266" s="1" t="s">
        <v>353</v>
      </c>
      <c r="E266" s="6">
        <v>2.0</v>
      </c>
      <c r="F266" s="7">
        <v>27.44</v>
      </c>
      <c r="G266" s="7">
        <v>1372.0</v>
      </c>
      <c r="H266" s="7">
        <v>86.89</v>
      </c>
      <c r="I266" s="7">
        <v>4306.93</v>
      </c>
      <c r="J266" s="6">
        <f t="shared" si="26"/>
        <v>2.017446302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1">
        <v>70404.0</v>
      </c>
      <c r="B267" s="1" t="s">
        <v>29</v>
      </c>
      <c r="C267" s="1" t="s">
        <v>350</v>
      </c>
      <c r="D267" s="1" t="s">
        <v>354</v>
      </c>
      <c r="E267" s="6">
        <v>0.3</v>
      </c>
      <c r="F267" s="7">
        <v>1.1789999999999998</v>
      </c>
      <c r="G267" s="7">
        <v>393.0</v>
      </c>
      <c r="H267" s="7">
        <v>3.69</v>
      </c>
      <c r="I267" s="7">
        <v>1062.13</v>
      </c>
      <c r="J267" s="6">
        <f t="shared" si="26"/>
        <v>0.3474150998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1">
        <v>70501.0</v>
      </c>
      <c r="B268" s="1" t="s">
        <v>29</v>
      </c>
      <c r="C268" s="1" t="s">
        <v>355</v>
      </c>
      <c r="D268" s="1" t="s">
        <v>356</v>
      </c>
      <c r="E268" s="6">
        <v>10.1</v>
      </c>
      <c r="F268" s="7">
        <v>85.244</v>
      </c>
      <c r="G268" s="7">
        <v>844.0</v>
      </c>
      <c r="H268" s="7">
        <v>49.94</v>
      </c>
      <c r="I268" s="7">
        <v>1508.93</v>
      </c>
      <c r="J268" s="6">
        <f t="shared" si="26"/>
        <v>3.309630003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1">
        <v>70502.0</v>
      </c>
      <c r="B269" s="1" t="s">
        <v>29</v>
      </c>
      <c r="C269" s="1" t="s">
        <v>355</v>
      </c>
      <c r="D269" s="1" t="s">
        <v>357</v>
      </c>
      <c r="E269" s="6">
        <v>1.1</v>
      </c>
      <c r="F269" s="7">
        <v>21.626000000000005</v>
      </c>
      <c r="G269" s="7">
        <v>1966.0</v>
      </c>
      <c r="H269" s="7">
        <v>44.77</v>
      </c>
      <c r="I269" s="7">
        <v>5396.98</v>
      </c>
      <c r="J269" s="6">
        <f t="shared" si="26"/>
        <v>0.8295380009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1">
        <v>70503.0</v>
      </c>
      <c r="B270" s="1" t="s">
        <v>29</v>
      </c>
      <c r="C270" s="1" t="s">
        <v>355</v>
      </c>
      <c r="D270" s="1" t="s">
        <v>358</v>
      </c>
      <c r="E270" s="6">
        <v>2.7</v>
      </c>
      <c r="F270" s="7">
        <v>5.103</v>
      </c>
      <c r="G270" s="7">
        <v>189.0</v>
      </c>
      <c r="H270" s="7">
        <v>39.13</v>
      </c>
      <c r="I270" s="7">
        <v>410.71</v>
      </c>
      <c r="J270" s="6">
        <f t="shared" si="26"/>
        <v>9.527403764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1">
        <v>70601.0</v>
      </c>
      <c r="B271" s="1" t="s">
        <v>29</v>
      </c>
      <c r="C271" s="1" t="s">
        <v>359</v>
      </c>
      <c r="D271" s="1" t="s">
        <v>360</v>
      </c>
      <c r="E271" s="6">
        <v>0.6</v>
      </c>
      <c r="F271" s="7">
        <v>3.1259999999999994</v>
      </c>
      <c r="G271" s="7">
        <v>521.0</v>
      </c>
      <c r="H271" s="7">
        <v>13.13</v>
      </c>
      <c r="I271" s="7">
        <v>1424.46</v>
      </c>
      <c r="J271" s="6">
        <f t="shared" si="26"/>
        <v>0.9217528046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1">
        <v>70602.0</v>
      </c>
      <c r="B272" s="1" t="s">
        <v>29</v>
      </c>
      <c r="C272" s="1" t="s">
        <v>359</v>
      </c>
      <c r="D272" s="1" t="s">
        <v>361</v>
      </c>
      <c r="E272" s="6">
        <v>0.2</v>
      </c>
      <c r="F272" s="7">
        <v>1.868</v>
      </c>
      <c r="G272" s="7">
        <v>934.0</v>
      </c>
      <c r="H272" s="7">
        <v>6.59</v>
      </c>
      <c r="I272" s="7">
        <v>2496.21</v>
      </c>
      <c r="J272" s="6">
        <f t="shared" si="26"/>
        <v>0.2640002243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1">
        <v>70603.0</v>
      </c>
      <c r="B273" s="1" t="s">
        <v>29</v>
      </c>
      <c r="C273" s="1" t="s">
        <v>359</v>
      </c>
      <c r="D273" s="1" t="s">
        <v>362</v>
      </c>
      <c r="E273" s="6">
        <v>0.5</v>
      </c>
      <c r="F273" s="7">
        <v>1.395</v>
      </c>
      <c r="G273" s="7">
        <v>279.0</v>
      </c>
      <c r="H273" s="7">
        <v>3.08</v>
      </c>
      <c r="I273" s="7">
        <v>815.3</v>
      </c>
      <c r="J273" s="6">
        <f t="shared" si="26"/>
        <v>0.3777750521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1">
        <v>70701.0</v>
      </c>
      <c r="B274" s="1" t="s">
        <v>29</v>
      </c>
      <c r="C274" s="1" t="s">
        <v>363</v>
      </c>
      <c r="D274" s="1" t="s">
        <v>364</v>
      </c>
      <c r="E274" s="6">
        <v>0.1</v>
      </c>
      <c r="F274" s="7">
        <v>0.461</v>
      </c>
      <c r="G274" s="7">
        <v>461.0</v>
      </c>
      <c r="H274" s="7">
        <v>2.32</v>
      </c>
      <c r="I274" s="7">
        <v>1550.84</v>
      </c>
      <c r="J274" s="6">
        <f t="shared" si="26"/>
        <v>0.1495963478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1">
        <v>70702.0</v>
      </c>
      <c r="B275" s="1" t="s">
        <v>29</v>
      </c>
      <c r="C275" s="1" t="s">
        <v>363</v>
      </c>
      <c r="D275" s="1" t="s">
        <v>365</v>
      </c>
      <c r="E275" s="6">
        <v>2.9</v>
      </c>
      <c r="F275" s="7">
        <v>16.646</v>
      </c>
      <c r="G275" s="7">
        <v>574.0</v>
      </c>
      <c r="H275" s="7">
        <v>14.03</v>
      </c>
      <c r="I275" s="7">
        <v>1707.01</v>
      </c>
      <c r="J275" s="6">
        <f t="shared" si="26"/>
        <v>0.8219049683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1">
        <v>70703.0</v>
      </c>
      <c r="B276" s="1" t="s">
        <v>29</v>
      </c>
      <c r="C276" s="1" t="s">
        <v>363</v>
      </c>
      <c r="D276" s="1" t="s">
        <v>366</v>
      </c>
      <c r="E276" s="6">
        <v>1.5</v>
      </c>
      <c r="F276" s="7">
        <v>19.35</v>
      </c>
      <c r="G276" s="7">
        <v>1290.0</v>
      </c>
      <c r="H276" s="7">
        <v>15.88</v>
      </c>
      <c r="I276" s="7">
        <v>3890.43</v>
      </c>
      <c r="J276" s="6">
        <f t="shared" si="26"/>
        <v>0.4081811008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1">
        <v>70704.0</v>
      </c>
      <c r="B277" s="1" t="s">
        <v>29</v>
      </c>
      <c r="C277" s="1" t="s">
        <v>363</v>
      </c>
      <c r="D277" s="1" t="s">
        <v>367</v>
      </c>
      <c r="E277" s="6">
        <v>1.4</v>
      </c>
      <c r="F277" s="7">
        <v>0.616</v>
      </c>
      <c r="G277" s="7">
        <v>44.0</v>
      </c>
      <c r="H277" s="7">
        <v>3.79</v>
      </c>
      <c r="I277" s="7">
        <v>107.18</v>
      </c>
      <c r="J277" s="6">
        <f t="shared" si="26"/>
        <v>3.536107483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1">
        <v>70705.0</v>
      </c>
      <c r="B278" s="1" t="s">
        <v>29</v>
      </c>
      <c r="C278" s="1" t="s">
        <v>363</v>
      </c>
      <c r="D278" s="1" t="s">
        <v>368</v>
      </c>
      <c r="E278" s="6">
        <v>0.3</v>
      </c>
      <c r="F278" s="7">
        <v>0.78</v>
      </c>
      <c r="G278" s="7">
        <v>260.0</v>
      </c>
      <c r="H278" s="7">
        <v>3.08</v>
      </c>
      <c r="I278" s="7">
        <v>631.59</v>
      </c>
      <c r="J278" s="6">
        <f t="shared" si="26"/>
        <v>0.4876581326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1">
        <v>70706.0</v>
      </c>
      <c r="B279" s="1" t="s">
        <v>29</v>
      </c>
      <c r="C279" s="1" t="s">
        <v>363</v>
      </c>
      <c r="D279" s="1" t="s">
        <v>369</v>
      </c>
      <c r="E279" s="6">
        <v>7.2</v>
      </c>
      <c r="F279" s="7">
        <v>28.944000000000003</v>
      </c>
      <c r="G279" s="7">
        <v>402.0</v>
      </c>
      <c r="H279" s="7">
        <v>53.4</v>
      </c>
      <c r="I279" s="7">
        <v>910.58</v>
      </c>
      <c r="J279" s="6">
        <f t="shared" si="26"/>
        <v>5.864394122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1">
        <v>70707.0</v>
      </c>
      <c r="B280" s="1" t="s">
        <v>29</v>
      </c>
      <c r="C280" s="1" t="s">
        <v>363</v>
      </c>
      <c r="D280" s="1" t="s">
        <v>370</v>
      </c>
      <c r="E280" s="6">
        <v>1.9</v>
      </c>
      <c r="F280" s="7">
        <v>0.893</v>
      </c>
      <c r="G280" s="7">
        <v>47.0</v>
      </c>
      <c r="H280" s="7">
        <v>4.93</v>
      </c>
      <c r="I280" s="7">
        <v>102.66</v>
      </c>
      <c r="J280" s="6">
        <f t="shared" si="26"/>
        <v>4.802259887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1">
        <v>70801.0</v>
      </c>
      <c r="B281" s="1" t="s">
        <v>29</v>
      </c>
      <c r="C281" s="1" t="s">
        <v>371</v>
      </c>
      <c r="D281" s="1" t="s">
        <v>371</v>
      </c>
      <c r="E281" s="6">
        <v>1.4</v>
      </c>
      <c r="F281" s="7">
        <v>3.7239999999999998</v>
      </c>
      <c r="G281" s="7">
        <v>266.0</v>
      </c>
      <c r="H281" s="7">
        <v>23.09</v>
      </c>
      <c r="I281" s="7">
        <v>604.66</v>
      </c>
      <c r="J281" s="6">
        <f t="shared" si="26"/>
        <v>3.818674958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1">
        <v>70802.0</v>
      </c>
      <c r="B282" s="1" t="s">
        <v>29</v>
      </c>
      <c r="C282" s="1" t="s">
        <v>371</v>
      </c>
      <c r="D282" s="1" t="s">
        <v>372</v>
      </c>
      <c r="E282" s="6">
        <v>0.4</v>
      </c>
      <c r="F282" s="7">
        <v>0.196</v>
      </c>
      <c r="G282" s="7">
        <v>49.0</v>
      </c>
      <c r="H282" s="7">
        <v>0.85</v>
      </c>
      <c r="I282" s="7">
        <v>114.39</v>
      </c>
      <c r="J282" s="6">
        <f t="shared" si="26"/>
        <v>0.7430719468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1">
        <v>70803.0</v>
      </c>
      <c r="B283" s="1" t="s">
        <v>29</v>
      </c>
      <c r="C283" s="1" t="s">
        <v>371</v>
      </c>
      <c r="D283" s="1" t="s">
        <v>373</v>
      </c>
      <c r="E283" s="6">
        <v>0.2</v>
      </c>
      <c r="F283" s="7">
        <v>0.20400000000000001</v>
      </c>
      <c r="G283" s="7">
        <v>102.0</v>
      </c>
      <c r="H283" s="7">
        <v>0.47</v>
      </c>
      <c r="I283" s="7">
        <v>287.75</v>
      </c>
      <c r="J283" s="6">
        <f t="shared" si="26"/>
        <v>0.1633362294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1">
        <v>70804.0</v>
      </c>
      <c r="B284" s="1" t="s">
        <v>29</v>
      </c>
      <c r="C284" s="1" t="s">
        <v>371</v>
      </c>
      <c r="D284" s="1" t="s">
        <v>374</v>
      </c>
      <c r="E284" s="6">
        <v>0.3</v>
      </c>
      <c r="F284" s="7">
        <v>0.126</v>
      </c>
      <c r="G284" s="7">
        <v>42.0</v>
      </c>
      <c r="H284" s="7">
        <v>0.75</v>
      </c>
      <c r="I284" s="7">
        <v>103.08</v>
      </c>
      <c r="J284" s="6">
        <f t="shared" si="26"/>
        <v>0.7275902212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1">
        <v>70805.0</v>
      </c>
      <c r="B285" s="1" t="s">
        <v>29</v>
      </c>
      <c r="C285" s="1" t="s">
        <v>371</v>
      </c>
      <c r="D285" s="1" t="s">
        <v>375</v>
      </c>
      <c r="E285" s="6">
        <v>0.6</v>
      </c>
      <c r="F285" s="7">
        <v>0.21</v>
      </c>
      <c r="G285" s="7">
        <v>35.0</v>
      </c>
      <c r="H285" s="7">
        <v>0.94</v>
      </c>
      <c r="I285" s="7">
        <v>89.35</v>
      </c>
      <c r="J285" s="6">
        <f t="shared" si="26"/>
        <v>1.052042529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1">
        <v>70901.0</v>
      </c>
      <c r="B286" s="1" t="s">
        <v>29</v>
      </c>
      <c r="C286" s="1" t="s">
        <v>376</v>
      </c>
      <c r="D286" s="1" t="s">
        <v>377</v>
      </c>
      <c r="E286" s="6">
        <v>23.0</v>
      </c>
      <c r="F286" s="7">
        <v>61.64</v>
      </c>
      <c r="G286" s="7">
        <v>268.0</v>
      </c>
      <c r="H286" s="7">
        <v>24.09</v>
      </c>
      <c r="I286" s="7">
        <v>574.5</v>
      </c>
      <c r="J286" s="6">
        <f t="shared" si="26"/>
        <v>4.193211488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1">
        <v>70902.0</v>
      </c>
      <c r="B287" s="1" t="s">
        <v>29</v>
      </c>
      <c r="C287" s="1" t="s">
        <v>376</v>
      </c>
      <c r="D287" s="1" t="s">
        <v>378</v>
      </c>
      <c r="E287" s="6">
        <v>0.8</v>
      </c>
      <c r="F287" s="7">
        <v>1.5760000000000003</v>
      </c>
      <c r="G287" s="7">
        <v>197.0</v>
      </c>
      <c r="H287" s="7">
        <v>7.58</v>
      </c>
      <c r="I287" s="7">
        <v>411.66</v>
      </c>
      <c r="J287" s="6">
        <f t="shared" si="26"/>
        <v>1.841325366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1">
        <v>70903.0</v>
      </c>
      <c r="B288" s="1" t="s">
        <v>29</v>
      </c>
      <c r="C288" s="1" t="s">
        <v>376</v>
      </c>
      <c r="D288" s="1" t="s">
        <v>379</v>
      </c>
      <c r="E288" s="6">
        <v>0.8</v>
      </c>
      <c r="F288" s="7">
        <v>1.7760000000000002</v>
      </c>
      <c r="G288" s="7">
        <v>222.0</v>
      </c>
      <c r="H288" s="7">
        <v>10.81</v>
      </c>
      <c r="I288" s="7">
        <v>530.94</v>
      </c>
      <c r="J288" s="6">
        <f t="shared" si="26"/>
        <v>2.036011602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1">
        <v>70904.0</v>
      </c>
      <c r="B289" s="1" t="s">
        <v>29</v>
      </c>
      <c r="C289" s="1" t="s">
        <v>376</v>
      </c>
      <c r="D289" s="1" t="s">
        <v>380</v>
      </c>
      <c r="E289" s="6">
        <v>1.1</v>
      </c>
      <c r="F289" s="7">
        <v>0.396</v>
      </c>
      <c r="G289" s="7">
        <v>36.0</v>
      </c>
      <c r="H289" s="7">
        <v>1.75</v>
      </c>
      <c r="I289" s="7">
        <v>90.11</v>
      </c>
      <c r="J289" s="6">
        <f t="shared" si="26"/>
        <v>1.942070802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1">
        <v>71001.0</v>
      </c>
      <c r="B290" s="1" t="s">
        <v>29</v>
      </c>
      <c r="C290" s="1" t="s">
        <v>381</v>
      </c>
      <c r="D290" s="1" t="s">
        <v>382</v>
      </c>
      <c r="E290" s="6">
        <v>3.4</v>
      </c>
      <c r="F290" s="7">
        <v>64.464</v>
      </c>
      <c r="G290" s="7">
        <v>1896.0</v>
      </c>
      <c r="H290" s="7">
        <v>178.29</v>
      </c>
      <c r="I290" s="7">
        <v>4177.78</v>
      </c>
      <c r="J290" s="6">
        <f t="shared" si="26"/>
        <v>4.267577517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1">
        <v>71002.0</v>
      </c>
      <c r="B291" s="1" t="s">
        <v>29</v>
      </c>
      <c r="C291" s="1" t="s">
        <v>381</v>
      </c>
      <c r="D291" s="1" t="s">
        <v>383</v>
      </c>
      <c r="E291" s="6">
        <v>0.3</v>
      </c>
      <c r="F291" s="7">
        <v>1.659</v>
      </c>
      <c r="G291" s="7">
        <v>553.0</v>
      </c>
      <c r="H291" s="7">
        <v>2.7</v>
      </c>
      <c r="I291" s="7">
        <v>1422.16</v>
      </c>
      <c r="J291" s="6">
        <f t="shared" si="26"/>
        <v>0.189852056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1">
        <v>71003.0</v>
      </c>
      <c r="B292" s="1" t="s">
        <v>29</v>
      </c>
      <c r="C292" s="1" t="s">
        <v>381</v>
      </c>
      <c r="D292" s="1" t="s">
        <v>384</v>
      </c>
      <c r="E292" s="6">
        <v>1.1</v>
      </c>
      <c r="F292" s="7">
        <v>8.118</v>
      </c>
      <c r="G292" s="7">
        <v>738.0</v>
      </c>
      <c r="H292" s="7">
        <v>12.18</v>
      </c>
      <c r="I292" s="7">
        <v>1989.21</v>
      </c>
      <c r="J292" s="6">
        <f t="shared" si="26"/>
        <v>0.6123033767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1">
        <v>71004.0</v>
      </c>
      <c r="B293" s="1" t="s">
        <v>29</v>
      </c>
      <c r="C293" s="1" t="s">
        <v>381</v>
      </c>
      <c r="D293" s="1" t="s">
        <v>385</v>
      </c>
      <c r="E293" s="6">
        <v>0.2</v>
      </c>
      <c r="F293" s="7">
        <v>1.9280000000000002</v>
      </c>
      <c r="G293" s="7">
        <v>964.0</v>
      </c>
      <c r="H293" s="7">
        <v>3.41</v>
      </c>
      <c r="I293" s="7">
        <v>2758.82</v>
      </c>
      <c r="J293" s="6">
        <f t="shared" si="26"/>
        <v>0.1236035696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1">
        <v>71005.0</v>
      </c>
      <c r="B294" s="1" t="s">
        <v>29</v>
      </c>
      <c r="C294" s="1" t="s">
        <v>381</v>
      </c>
      <c r="D294" s="1" t="s">
        <v>386</v>
      </c>
      <c r="E294" s="6">
        <v>0.2</v>
      </c>
      <c r="F294" s="7">
        <v>2.472</v>
      </c>
      <c r="G294" s="7">
        <v>1236.0</v>
      </c>
      <c r="H294" s="7">
        <v>7.01</v>
      </c>
      <c r="I294" s="7">
        <v>2999.94</v>
      </c>
      <c r="J294" s="6">
        <f t="shared" si="26"/>
        <v>0.2336713401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1">
        <v>71101.0</v>
      </c>
      <c r="B295" s="1" t="s">
        <v>29</v>
      </c>
      <c r="C295" s="1" t="s">
        <v>387</v>
      </c>
      <c r="D295" s="1" t="s">
        <v>388</v>
      </c>
      <c r="E295" s="6">
        <v>19.2</v>
      </c>
      <c r="F295" s="7">
        <v>63.552</v>
      </c>
      <c r="G295" s="7">
        <v>331.0</v>
      </c>
      <c r="H295" s="7">
        <v>39.03</v>
      </c>
      <c r="I295" s="7">
        <v>657.82</v>
      </c>
      <c r="J295" s="6">
        <f t="shared" si="26"/>
        <v>5.933234015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1">
        <v>71102.0</v>
      </c>
      <c r="B296" s="1" t="s">
        <v>29</v>
      </c>
      <c r="C296" s="1" t="s">
        <v>387</v>
      </c>
      <c r="D296" s="1" t="s">
        <v>389</v>
      </c>
      <c r="E296" s="6">
        <v>1.2</v>
      </c>
      <c r="F296" s="7">
        <v>2.532</v>
      </c>
      <c r="G296" s="7">
        <v>211.0</v>
      </c>
      <c r="H296" s="7">
        <v>17.17</v>
      </c>
      <c r="I296" s="7">
        <v>496.8</v>
      </c>
      <c r="J296" s="6">
        <f t="shared" si="26"/>
        <v>3.456119163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1">
        <v>71103.0</v>
      </c>
      <c r="B297" s="1" t="s">
        <v>29</v>
      </c>
      <c r="C297" s="1" t="s">
        <v>387</v>
      </c>
      <c r="D297" s="1" t="s">
        <v>390</v>
      </c>
      <c r="E297" s="6">
        <v>2.8</v>
      </c>
      <c r="F297" s="7">
        <v>2.24</v>
      </c>
      <c r="G297" s="7">
        <v>80.0</v>
      </c>
      <c r="H297" s="7">
        <v>18.73</v>
      </c>
      <c r="I297" s="7">
        <v>181.39</v>
      </c>
      <c r="J297" s="6">
        <f t="shared" si="26"/>
        <v>10.3258173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1">
        <v>71104.0</v>
      </c>
      <c r="B298" s="1" t="s">
        <v>29</v>
      </c>
      <c r="C298" s="1" t="s">
        <v>387</v>
      </c>
      <c r="D298" s="1" t="s">
        <v>391</v>
      </c>
      <c r="E298" s="6">
        <v>0.9</v>
      </c>
      <c r="F298" s="7">
        <v>23.157000000000004</v>
      </c>
      <c r="G298" s="7">
        <v>2573.0</v>
      </c>
      <c r="H298" s="7">
        <v>10.57</v>
      </c>
      <c r="I298" s="7">
        <v>6456.53</v>
      </c>
      <c r="J298" s="6">
        <f t="shared" si="26"/>
        <v>0.1637102282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1">
        <v>71105.0</v>
      </c>
      <c r="B299" s="1" t="s">
        <v>29</v>
      </c>
      <c r="C299" s="1" t="s">
        <v>387</v>
      </c>
      <c r="D299" s="1" t="s">
        <v>392</v>
      </c>
      <c r="E299" s="6">
        <v>0.4</v>
      </c>
      <c r="F299" s="7">
        <v>0.41200000000000003</v>
      </c>
      <c r="G299" s="7">
        <v>103.0</v>
      </c>
      <c r="H299" s="7">
        <v>2.03</v>
      </c>
      <c r="I299" s="7">
        <v>205.95</v>
      </c>
      <c r="J299" s="6">
        <f t="shared" si="26"/>
        <v>0.985676135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1">
        <v>71106.0</v>
      </c>
      <c r="B300" s="1" t="s">
        <v>29</v>
      </c>
      <c r="C300" s="1" t="s">
        <v>387</v>
      </c>
      <c r="D300" s="1" t="s">
        <v>393</v>
      </c>
      <c r="E300" s="6">
        <v>1.1</v>
      </c>
      <c r="F300" s="7">
        <v>21.538</v>
      </c>
      <c r="G300" s="7">
        <v>1958.0</v>
      </c>
      <c r="H300" s="7">
        <v>10.81</v>
      </c>
      <c r="I300" s="7">
        <v>4678.4</v>
      </c>
      <c r="J300" s="6">
        <f t="shared" si="26"/>
        <v>0.2310619015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1">
        <v>71201.0</v>
      </c>
      <c r="B301" s="1" t="s">
        <v>29</v>
      </c>
      <c r="C301" s="1" t="s">
        <v>394</v>
      </c>
      <c r="D301" s="1" t="s">
        <v>395</v>
      </c>
      <c r="E301" s="6">
        <v>0.9</v>
      </c>
      <c r="F301" s="7">
        <v>1.494</v>
      </c>
      <c r="G301" s="7">
        <v>166.0</v>
      </c>
      <c r="H301" s="7">
        <v>7.96</v>
      </c>
      <c r="I301" s="7">
        <v>357.52</v>
      </c>
      <c r="J301" s="6">
        <f t="shared" si="26"/>
        <v>2.22644887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1">
        <v>71301.0</v>
      </c>
      <c r="B302" s="1" t="s">
        <v>29</v>
      </c>
      <c r="C302" s="1" t="s">
        <v>396</v>
      </c>
      <c r="D302" s="1" t="s">
        <v>397</v>
      </c>
      <c r="E302" s="6">
        <v>0.8</v>
      </c>
      <c r="F302" s="7">
        <v>1.76</v>
      </c>
      <c r="G302" s="7">
        <v>220.0</v>
      </c>
      <c r="H302" s="7">
        <v>10.52</v>
      </c>
      <c r="I302" s="7">
        <v>478.43</v>
      </c>
      <c r="J302" s="6">
        <f t="shared" si="26"/>
        <v>2.198858767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1">
        <v>71302.0</v>
      </c>
      <c r="B303" s="1" t="s">
        <v>29</v>
      </c>
      <c r="C303" s="1" t="s">
        <v>396</v>
      </c>
      <c r="D303" s="1" t="s">
        <v>398</v>
      </c>
      <c r="E303" s="6">
        <v>1.2</v>
      </c>
      <c r="F303" s="7">
        <v>1.1159999999999999</v>
      </c>
      <c r="G303" s="7">
        <v>93.0</v>
      </c>
      <c r="H303" s="7">
        <v>5.54</v>
      </c>
      <c r="I303" s="7">
        <v>224.55</v>
      </c>
      <c r="J303" s="6">
        <f t="shared" si="26"/>
        <v>2.467156535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1">
        <v>71401.0</v>
      </c>
      <c r="B304" s="1" t="s">
        <v>29</v>
      </c>
      <c r="C304" s="1" t="s">
        <v>399</v>
      </c>
      <c r="D304" s="1" t="s">
        <v>400</v>
      </c>
      <c r="E304" s="6">
        <v>6.0</v>
      </c>
      <c r="F304" s="7">
        <v>28.32</v>
      </c>
      <c r="G304" s="7">
        <v>472.0</v>
      </c>
      <c r="H304" s="7">
        <v>32.83</v>
      </c>
      <c r="I304" s="7">
        <v>1237.47</v>
      </c>
      <c r="J304" s="6">
        <f t="shared" si="26"/>
        <v>2.652993608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1">
        <v>71402.0</v>
      </c>
      <c r="B305" s="1" t="s">
        <v>29</v>
      </c>
      <c r="C305" s="1" t="s">
        <v>399</v>
      </c>
      <c r="D305" s="1" t="s">
        <v>401</v>
      </c>
      <c r="E305" s="6">
        <v>3.4</v>
      </c>
      <c r="F305" s="7">
        <v>5.541999999999999</v>
      </c>
      <c r="G305" s="7">
        <v>163.0</v>
      </c>
      <c r="H305" s="7">
        <v>40.64</v>
      </c>
      <c r="I305" s="7">
        <v>345.53</v>
      </c>
      <c r="J305" s="6">
        <f t="shared" si="26"/>
        <v>11.76164154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1">
        <v>71403.0</v>
      </c>
      <c r="B306" s="1" t="s">
        <v>29</v>
      </c>
      <c r="C306" s="1" t="s">
        <v>399</v>
      </c>
      <c r="D306" s="1" t="s">
        <v>402</v>
      </c>
      <c r="E306" s="6">
        <v>1.6</v>
      </c>
      <c r="F306" s="7">
        <v>1.2160000000000002</v>
      </c>
      <c r="G306" s="7">
        <v>76.0</v>
      </c>
      <c r="H306" s="7">
        <v>10.43</v>
      </c>
      <c r="I306" s="7">
        <v>148.77</v>
      </c>
      <c r="J306" s="6">
        <f t="shared" si="26"/>
        <v>7.010822074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1">
        <v>71501.0</v>
      </c>
      <c r="B307" s="1" t="s">
        <v>29</v>
      </c>
      <c r="C307" s="1" t="s">
        <v>403</v>
      </c>
      <c r="D307" s="1" t="s">
        <v>404</v>
      </c>
      <c r="E307" s="6">
        <v>4.3</v>
      </c>
      <c r="F307" s="7">
        <v>19.823</v>
      </c>
      <c r="G307" s="7">
        <v>461.0</v>
      </c>
      <c r="H307" s="7">
        <v>33.58</v>
      </c>
      <c r="I307" s="7">
        <v>1059.0</v>
      </c>
      <c r="J307" s="6">
        <f t="shared" si="26"/>
        <v>3.170915958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1">
        <v>71502.0</v>
      </c>
      <c r="B308" s="1" t="s">
        <v>29</v>
      </c>
      <c r="C308" s="1" t="s">
        <v>403</v>
      </c>
      <c r="D308" s="1" t="s">
        <v>405</v>
      </c>
      <c r="E308" s="6">
        <v>0.9</v>
      </c>
      <c r="F308" s="7">
        <v>0.639</v>
      </c>
      <c r="G308" s="7">
        <v>71.0</v>
      </c>
      <c r="H308" s="7">
        <v>4.45</v>
      </c>
      <c r="I308" s="7">
        <v>155.34</v>
      </c>
      <c r="J308" s="6">
        <f t="shared" si="26"/>
        <v>2.864683919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1">
        <v>71503.0</v>
      </c>
      <c r="B309" s="1" t="s">
        <v>29</v>
      </c>
      <c r="C309" s="1" t="s">
        <v>403</v>
      </c>
      <c r="D309" s="1" t="s">
        <v>336</v>
      </c>
      <c r="E309" s="6">
        <v>0.2</v>
      </c>
      <c r="F309" s="7">
        <v>1.064</v>
      </c>
      <c r="G309" s="7">
        <v>532.0</v>
      </c>
      <c r="H309" s="7">
        <v>4.17</v>
      </c>
      <c r="I309" s="7">
        <v>1237.75</v>
      </c>
      <c r="J309" s="6">
        <f t="shared" si="26"/>
        <v>0.336901636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1">
        <v>80101.0</v>
      </c>
      <c r="B310" s="1" t="s">
        <v>31</v>
      </c>
      <c r="C310" s="1" t="s">
        <v>167</v>
      </c>
      <c r="D310" s="1" t="s">
        <v>406</v>
      </c>
      <c r="E310" s="6">
        <v>4.3</v>
      </c>
      <c r="F310" s="7">
        <v>69.05799999999999</v>
      </c>
      <c r="G310" s="7">
        <v>1606.0</v>
      </c>
      <c r="H310" s="7">
        <v>127.02</v>
      </c>
      <c r="I310" s="7">
        <v>3215.37</v>
      </c>
      <c r="J310" s="6">
        <f t="shared" si="26"/>
        <v>3.950400731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1">
        <v>80102.0</v>
      </c>
      <c r="B311" s="1" t="s">
        <v>31</v>
      </c>
      <c r="C311" s="1" t="s">
        <v>167</v>
      </c>
      <c r="D311" s="1" t="s">
        <v>389</v>
      </c>
      <c r="E311" s="6">
        <v>0.3</v>
      </c>
      <c r="F311" s="7">
        <v>0.423</v>
      </c>
      <c r="G311" s="7">
        <v>141.0</v>
      </c>
      <c r="H311" s="7">
        <v>1.84</v>
      </c>
      <c r="I311" s="7">
        <v>325.6</v>
      </c>
      <c r="J311" s="6">
        <f t="shared" si="26"/>
        <v>0.5651105651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1">
        <v>80201.0</v>
      </c>
      <c r="B312" s="1" t="s">
        <v>31</v>
      </c>
      <c r="C312" s="1" t="s">
        <v>407</v>
      </c>
      <c r="D312" s="1" t="s">
        <v>408</v>
      </c>
      <c r="E312" s="6">
        <v>2.9</v>
      </c>
      <c r="F312" s="7">
        <v>34.945</v>
      </c>
      <c r="G312" s="7">
        <v>1205.0</v>
      </c>
      <c r="H312" s="7">
        <v>112.55</v>
      </c>
      <c r="I312" s="7">
        <v>3135.69</v>
      </c>
      <c r="J312" s="6">
        <f t="shared" si="26"/>
        <v>3.589321649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1">
        <v>80202.0</v>
      </c>
      <c r="B313" s="1" t="s">
        <v>31</v>
      </c>
      <c r="C313" s="1" t="s">
        <v>407</v>
      </c>
      <c r="D313" s="1" t="s">
        <v>409</v>
      </c>
      <c r="E313" s="6">
        <v>4.6</v>
      </c>
      <c r="F313" s="7">
        <v>26.403999999999996</v>
      </c>
      <c r="G313" s="7">
        <v>574.0</v>
      </c>
      <c r="H313" s="7">
        <v>65.88</v>
      </c>
      <c r="I313" s="7">
        <v>2084.94</v>
      </c>
      <c r="J313" s="6">
        <f t="shared" si="26"/>
        <v>3.15980316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1">
        <v>80301.0</v>
      </c>
      <c r="B314" s="1" t="s">
        <v>31</v>
      </c>
      <c r="C314" s="1" t="s">
        <v>410</v>
      </c>
      <c r="D314" s="1" t="s">
        <v>411</v>
      </c>
      <c r="E314" s="6">
        <v>0.9</v>
      </c>
      <c r="F314" s="7">
        <v>1.6470000000000002</v>
      </c>
      <c r="G314" s="7">
        <v>183.0</v>
      </c>
      <c r="H314" s="7">
        <v>7.68</v>
      </c>
      <c r="I314" s="7">
        <v>432.97</v>
      </c>
      <c r="J314" s="6">
        <f t="shared" si="26"/>
        <v>1.773794951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1">
        <v>80302.0</v>
      </c>
      <c r="B315" s="1" t="s">
        <v>31</v>
      </c>
      <c r="C315" s="1" t="s">
        <v>410</v>
      </c>
      <c r="D315" s="1" t="s">
        <v>412</v>
      </c>
      <c r="E315" s="6">
        <v>3.8</v>
      </c>
      <c r="F315" s="7">
        <v>19.95</v>
      </c>
      <c r="G315" s="7">
        <v>525.0</v>
      </c>
      <c r="H315" s="7">
        <v>29.26</v>
      </c>
      <c r="I315" s="7">
        <v>1177.89</v>
      </c>
      <c r="J315" s="6">
        <f t="shared" si="26"/>
        <v>2.48410293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1">
        <v>80303.0</v>
      </c>
      <c r="B316" s="1" t="s">
        <v>31</v>
      </c>
      <c r="C316" s="1" t="s">
        <v>410</v>
      </c>
      <c r="D316" s="1" t="s">
        <v>413</v>
      </c>
      <c r="E316" s="6">
        <v>1.1</v>
      </c>
      <c r="F316" s="7">
        <v>1.639</v>
      </c>
      <c r="G316" s="7">
        <v>149.0</v>
      </c>
      <c r="H316" s="7">
        <v>6.59</v>
      </c>
      <c r="I316" s="7">
        <v>366.58</v>
      </c>
      <c r="J316" s="6">
        <f t="shared" si="26"/>
        <v>1.797697638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1">
        <v>80304.0</v>
      </c>
      <c r="B317" s="1" t="s">
        <v>31</v>
      </c>
      <c r="C317" s="1" t="s">
        <v>410</v>
      </c>
      <c r="D317" s="1" t="s">
        <v>414</v>
      </c>
      <c r="E317" s="17">
        <v>24.7</v>
      </c>
      <c r="F317" s="7">
        <v>82.745</v>
      </c>
      <c r="G317" s="18">
        <v>335.0</v>
      </c>
      <c r="H317" s="19">
        <v>42.07</v>
      </c>
      <c r="I317" s="7">
        <v>623.24</v>
      </c>
      <c r="J317" s="6">
        <f t="shared" si="26"/>
        <v>6.750208587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1">
        <v>80401.0</v>
      </c>
      <c r="B318" s="1" t="s">
        <v>31</v>
      </c>
      <c r="C318" s="1" t="s">
        <v>415</v>
      </c>
      <c r="D318" s="1" t="s">
        <v>416</v>
      </c>
      <c r="E318" s="6">
        <v>2.4</v>
      </c>
      <c r="F318" s="7">
        <v>7.007999999999999</v>
      </c>
      <c r="G318" s="7">
        <v>292.0</v>
      </c>
      <c r="H318" s="7">
        <v>18.73</v>
      </c>
      <c r="I318" s="7">
        <v>729.05</v>
      </c>
      <c r="J318" s="6">
        <f t="shared" si="26"/>
        <v>2.56909677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1">
        <v>80402.0</v>
      </c>
      <c r="B319" s="1" t="s">
        <v>31</v>
      </c>
      <c r="C319" s="1" t="s">
        <v>415</v>
      </c>
      <c r="D319" s="1" t="s">
        <v>417</v>
      </c>
      <c r="E319" s="6">
        <v>0.7</v>
      </c>
      <c r="F319" s="7">
        <v>0.714</v>
      </c>
      <c r="G319" s="7">
        <v>102.0</v>
      </c>
      <c r="H319" s="7">
        <v>4.26</v>
      </c>
      <c r="I319" s="7">
        <v>267.36</v>
      </c>
      <c r="J319" s="6">
        <f t="shared" si="26"/>
        <v>1.593357271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1">
        <v>80501.0</v>
      </c>
      <c r="B320" s="1" t="s">
        <v>31</v>
      </c>
      <c r="C320" s="1" t="s">
        <v>418</v>
      </c>
      <c r="D320" s="1" t="s">
        <v>419</v>
      </c>
      <c r="E320" s="6">
        <v>2.3</v>
      </c>
      <c r="F320" s="7">
        <v>7.337</v>
      </c>
      <c r="G320" s="7">
        <v>319.0</v>
      </c>
      <c r="H320" s="7">
        <v>16.55</v>
      </c>
      <c r="I320" s="7">
        <v>652.25</v>
      </c>
      <c r="J320" s="6">
        <f t="shared" si="26"/>
        <v>2.53737064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1">
        <v>80601.0</v>
      </c>
      <c r="B321" s="1" t="s">
        <v>31</v>
      </c>
      <c r="C321" s="1" t="s">
        <v>420</v>
      </c>
      <c r="D321" s="1" t="s">
        <v>421</v>
      </c>
      <c r="E321" s="6">
        <v>0.3</v>
      </c>
      <c r="F321" s="7">
        <v>0.23399999999999999</v>
      </c>
      <c r="G321" s="7">
        <v>78.0</v>
      </c>
      <c r="H321" s="7">
        <v>1.23</v>
      </c>
      <c r="I321" s="7">
        <v>171.35</v>
      </c>
      <c r="J321" s="6">
        <f t="shared" si="26"/>
        <v>0.717829005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1">
        <v>80602.0</v>
      </c>
      <c r="B322" s="1" t="s">
        <v>31</v>
      </c>
      <c r="C322" s="1" t="s">
        <v>420</v>
      </c>
      <c r="D322" s="1" t="s">
        <v>422</v>
      </c>
      <c r="E322" s="6">
        <v>0.4</v>
      </c>
      <c r="F322" s="7">
        <v>1.12</v>
      </c>
      <c r="G322" s="7">
        <v>280.0</v>
      </c>
      <c r="H322" s="7">
        <v>4.64</v>
      </c>
      <c r="I322" s="7">
        <v>640.98</v>
      </c>
      <c r="J322" s="6">
        <f t="shared" si="26"/>
        <v>0.7238915411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1">
        <v>80701.0</v>
      </c>
      <c r="B323" s="1" t="s">
        <v>31</v>
      </c>
      <c r="C323" s="1" t="s">
        <v>423</v>
      </c>
      <c r="D323" s="1" t="s">
        <v>424</v>
      </c>
      <c r="E323" s="6">
        <v>1.1</v>
      </c>
      <c r="F323" s="7">
        <v>1.078</v>
      </c>
      <c r="G323" s="7">
        <v>98.0</v>
      </c>
      <c r="H323" s="7">
        <v>4.83</v>
      </c>
      <c r="I323" s="7">
        <v>237.33</v>
      </c>
      <c r="J323" s="6">
        <f t="shared" si="26"/>
        <v>2.035140943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1">
        <v>80702.0</v>
      </c>
      <c r="B324" s="1" t="s">
        <v>31</v>
      </c>
      <c r="C324" s="1" t="s">
        <v>423</v>
      </c>
      <c r="D324" s="1" t="s">
        <v>390</v>
      </c>
      <c r="E324" s="6">
        <v>0.8</v>
      </c>
      <c r="F324" s="7">
        <v>1.024</v>
      </c>
      <c r="G324" s="7">
        <v>128.0</v>
      </c>
      <c r="H324" s="7">
        <v>3.08</v>
      </c>
      <c r="I324" s="7">
        <v>333.72</v>
      </c>
      <c r="J324" s="6">
        <f t="shared" si="26"/>
        <v>0.9229294019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1">
        <v>80703.0</v>
      </c>
      <c r="B325" s="1" t="s">
        <v>31</v>
      </c>
      <c r="C325" s="1" t="s">
        <v>423</v>
      </c>
      <c r="D325" s="1" t="s">
        <v>425</v>
      </c>
      <c r="E325" s="6">
        <v>0.1</v>
      </c>
      <c r="F325" s="7">
        <v>0.02</v>
      </c>
      <c r="G325" s="7">
        <v>20.0</v>
      </c>
      <c r="H325" s="7">
        <v>0.09</v>
      </c>
      <c r="I325" s="7">
        <v>46.13</v>
      </c>
      <c r="J325" s="6">
        <f t="shared" si="26"/>
        <v>0.1951008021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1">
        <v>80801.0</v>
      </c>
      <c r="B326" s="1" t="s">
        <v>31</v>
      </c>
      <c r="C326" s="1" t="s">
        <v>426</v>
      </c>
      <c r="D326" s="1" t="s">
        <v>427</v>
      </c>
      <c r="E326" s="6">
        <v>1.1</v>
      </c>
      <c r="F326" s="7">
        <v>1.694</v>
      </c>
      <c r="G326" s="7">
        <v>154.0</v>
      </c>
      <c r="H326" s="7">
        <v>10.43</v>
      </c>
      <c r="I326" s="7">
        <v>330.34</v>
      </c>
      <c r="J326" s="6">
        <f t="shared" si="26"/>
        <v>3.15735303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1">
        <v>80802.0</v>
      </c>
      <c r="B327" s="1" t="s">
        <v>31</v>
      </c>
      <c r="C327" s="1" t="s">
        <v>426</v>
      </c>
      <c r="D327" s="1" t="s">
        <v>428</v>
      </c>
      <c r="E327" s="6">
        <v>0.6</v>
      </c>
      <c r="F327" s="7">
        <v>0.732</v>
      </c>
      <c r="G327" s="7">
        <v>122.0</v>
      </c>
      <c r="H327" s="7">
        <v>3.79</v>
      </c>
      <c r="I327" s="7">
        <v>478.22</v>
      </c>
      <c r="J327" s="6">
        <f t="shared" si="26"/>
        <v>0.7925222701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1">
        <v>80803.0</v>
      </c>
      <c r="B328" s="1" t="s">
        <v>31</v>
      </c>
      <c r="C328" s="1" t="s">
        <v>426</v>
      </c>
      <c r="D328" s="1" t="s">
        <v>429</v>
      </c>
      <c r="E328" s="6">
        <v>0.4</v>
      </c>
      <c r="F328" s="7">
        <v>0.308</v>
      </c>
      <c r="G328" s="7">
        <v>77.0</v>
      </c>
      <c r="H328" s="7">
        <v>1.42</v>
      </c>
      <c r="I328" s="7">
        <v>201.54</v>
      </c>
      <c r="J328" s="6">
        <f t="shared" si="26"/>
        <v>0.7045747742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1">
        <v>80901.0</v>
      </c>
      <c r="B329" s="1" t="s">
        <v>31</v>
      </c>
      <c r="C329" s="1"/>
      <c r="D329" s="1" t="s">
        <v>430</v>
      </c>
      <c r="E329" s="6"/>
      <c r="F329" s="7"/>
      <c r="G329" s="7"/>
      <c r="H329" s="7"/>
      <c r="I329" s="7" t="s">
        <v>213</v>
      </c>
      <c r="J329" s="6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1">
        <v>90101.0</v>
      </c>
      <c r="B330" s="1" t="s">
        <v>33</v>
      </c>
      <c r="C330" s="1" t="s">
        <v>431</v>
      </c>
      <c r="D330" s="1" t="s">
        <v>432</v>
      </c>
      <c r="E330" s="6">
        <v>3.6</v>
      </c>
      <c r="F330" s="7">
        <v>27.972</v>
      </c>
      <c r="G330" s="7">
        <v>777.0</v>
      </c>
      <c r="H330" s="7">
        <v>79.35</v>
      </c>
      <c r="I330" s="7">
        <v>1421.1</v>
      </c>
      <c r="J330" s="6">
        <f t="shared" ref="J330:J345" si="27">(H330/I330)*100</f>
        <v>5.583702765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1">
        <v>90102.0</v>
      </c>
      <c r="B331" s="1" t="s">
        <v>33</v>
      </c>
      <c r="C331" s="1" t="s">
        <v>431</v>
      </c>
      <c r="D331" s="1" t="s">
        <v>433</v>
      </c>
      <c r="E331" s="6">
        <v>1.5</v>
      </c>
      <c r="F331" s="7">
        <v>1.815</v>
      </c>
      <c r="G331" s="7">
        <v>121.0</v>
      </c>
      <c r="H331" s="7">
        <v>16.26</v>
      </c>
      <c r="I331" s="7">
        <v>248.3</v>
      </c>
      <c r="J331" s="6">
        <f t="shared" si="27"/>
        <v>6.548530004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1">
        <v>90103.0</v>
      </c>
      <c r="B332" s="1" t="s">
        <v>33</v>
      </c>
      <c r="C332" s="1" t="s">
        <v>431</v>
      </c>
      <c r="D332" s="1" t="s">
        <v>434</v>
      </c>
      <c r="E332" s="6">
        <v>0.1</v>
      </c>
      <c r="F332" s="7">
        <v>0.08200000000000002</v>
      </c>
      <c r="G332" s="7">
        <v>82.0</v>
      </c>
      <c r="H332" s="7">
        <v>0.56</v>
      </c>
      <c r="I332" s="7">
        <v>178.59</v>
      </c>
      <c r="J332" s="6">
        <f t="shared" si="27"/>
        <v>0.313567389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1">
        <v>90104.0</v>
      </c>
      <c r="B333" s="1" t="s">
        <v>33</v>
      </c>
      <c r="C333" s="1" t="s">
        <v>431</v>
      </c>
      <c r="D333" s="1" t="s">
        <v>435</v>
      </c>
      <c r="E333" s="6">
        <v>0.4</v>
      </c>
      <c r="F333" s="7">
        <v>0.38400000000000006</v>
      </c>
      <c r="G333" s="7">
        <v>96.0</v>
      </c>
      <c r="H333" s="7">
        <v>3.79</v>
      </c>
      <c r="I333" s="7">
        <v>196.27</v>
      </c>
      <c r="J333" s="6">
        <f t="shared" si="27"/>
        <v>1.9310134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1">
        <v>90201.0</v>
      </c>
      <c r="B334" s="1" t="s">
        <v>33</v>
      </c>
      <c r="C334" s="1" t="s">
        <v>436</v>
      </c>
      <c r="D334" s="1" t="s">
        <v>437</v>
      </c>
      <c r="E334" s="6">
        <v>1.2</v>
      </c>
      <c r="F334" s="7">
        <v>1.14</v>
      </c>
      <c r="G334" s="7">
        <v>95.0</v>
      </c>
      <c r="H334" s="7">
        <v>10.43</v>
      </c>
      <c r="I334" s="7">
        <v>207.73</v>
      </c>
      <c r="J334" s="6">
        <f t="shared" si="27"/>
        <v>5.020940644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1">
        <v>90202.0</v>
      </c>
      <c r="B335" s="1" t="s">
        <v>33</v>
      </c>
      <c r="C335" s="1" t="s">
        <v>436</v>
      </c>
      <c r="D335" s="1" t="s">
        <v>386</v>
      </c>
      <c r="E335" s="6">
        <v>0.3</v>
      </c>
      <c r="F335" s="7">
        <v>0.102</v>
      </c>
      <c r="G335" s="7">
        <v>34.0</v>
      </c>
      <c r="H335" s="7">
        <v>1.32</v>
      </c>
      <c r="I335" s="7">
        <v>94.36</v>
      </c>
      <c r="J335" s="6">
        <f t="shared" si="27"/>
        <v>1.398897838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1">
        <v>90203.0</v>
      </c>
      <c r="B336" s="1" t="s">
        <v>33</v>
      </c>
      <c r="C336" s="1" t="s">
        <v>436</v>
      </c>
      <c r="D336" s="1" t="s">
        <v>438</v>
      </c>
      <c r="E336" s="6">
        <v>0.2</v>
      </c>
      <c r="F336" s="7">
        <v>0.298</v>
      </c>
      <c r="G336" s="7">
        <v>149.0</v>
      </c>
      <c r="H336" s="7">
        <v>2.7</v>
      </c>
      <c r="I336" s="7">
        <v>296.17</v>
      </c>
      <c r="J336" s="6">
        <f t="shared" si="27"/>
        <v>0.9116385859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1">
        <v>90301.0</v>
      </c>
      <c r="B337" s="1" t="s">
        <v>33</v>
      </c>
      <c r="C337" s="1" t="s">
        <v>439</v>
      </c>
      <c r="D337" s="1" t="s">
        <v>440</v>
      </c>
      <c r="E337" s="6">
        <v>0.6</v>
      </c>
      <c r="F337" s="7">
        <v>0.534</v>
      </c>
      <c r="G337" s="7">
        <v>89.0</v>
      </c>
      <c r="H337" s="7">
        <v>7.49</v>
      </c>
      <c r="I337" s="7">
        <v>206.55</v>
      </c>
      <c r="J337" s="6">
        <f t="shared" si="27"/>
        <v>3.62624062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1">
        <v>90302.0</v>
      </c>
      <c r="B338" s="1" t="s">
        <v>33</v>
      </c>
      <c r="C338" s="1" t="s">
        <v>439</v>
      </c>
      <c r="D338" s="1" t="s">
        <v>441</v>
      </c>
      <c r="E338" s="6">
        <v>0.6</v>
      </c>
      <c r="F338" s="7">
        <v>0.6839999999999999</v>
      </c>
      <c r="G338" s="7">
        <v>114.0</v>
      </c>
      <c r="H338" s="7">
        <v>4.07</v>
      </c>
      <c r="I338" s="7">
        <v>243.96</v>
      </c>
      <c r="J338" s="6">
        <f t="shared" si="27"/>
        <v>1.66830628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1">
        <v>90303.0</v>
      </c>
      <c r="B339" s="1" t="s">
        <v>33</v>
      </c>
      <c r="C339" s="1" t="s">
        <v>439</v>
      </c>
      <c r="D339" s="1" t="s">
        <v>442</v>
      </c>
      <c r="E339" s="6">
        <v>0.9</v>
      </c>
      <c r="F339" s="7">
        <v>0.792</v>
      </c>
      <c r="G339" s="7">
        <v>88.0</v>
      </c>
      <c r="H339" s="7">
        <v>12.85</v>
      </c>
      <c r="I339" s="7">
        <v>198.96</v>
      </c>
      <c r="J339" s="6">
        <f t="shared" si="27"/>
        <v>6.45858464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1">
        <v>90401.0</v>
      </c>
      <c r="B340" s="1" t="s">
        <v>33</v>
      </c>
      <c r="C340" s="1" t="s">
        <v>443</v>
      </c>
      <c r="D340" s="1" t="s">
        <v>444</v>
      </c>
      <c r="E340" s="6">
        <v>0.4</v>
      </c>
      <c r="F340" s="7">
        <v>0.20800000000000002</v>
      </c>
      <c r="G340" s="7">
        <v>52.0</v>
      </c>
      <c r="H340" s="7">
        <v>2.22</v>
      </c>
      <c r="I340" s="7">
        <v>103.76</v>
      </c>
      <c r="J340" s="6">
        <f t="shared" si="27"/>
        <v>2.139552814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1">
        <v>90402.0</v>
      </c>
      <c r="B341" s="1" t="s">
        <v>33</v>
      </c>
      <c r="C341" s="1" t="s">
        <v>443</v>
      </c>
      <c r="D341" s="1" t="s">
        <v>105</v>
      </c>
      <c r="E341" s="6">
        <v>0.4</v>
      </c>
      <c r="F341" s="7">
        <v>0.08</v>
      </c>
      <c r="G341" s="7">
        <v>20.0</v>
      </c>
      <c r="H341" s="7">
        <v>0.85</v>
      </c>
      <c r="I341" s="7">
        <v>37.04</v>
      </c>
      <c r="J341" s="6">
        <f t="shared" si="27"/>
        <v>2.294816415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1">
        <v>90501.0</v>
      </c>
      <c r="B342" s="1" t="s">
        <v>33</v>
      </c>
      <c r="C342" s="1" t="s">
        <v>445</v>
      </c>
      <c r="D342" s="1" t="s">
        <v>446</v>
      </c>
      <c r="E342" s="6">
        <v>0.6</v>
      </c>
      <c r="F342" s="7">
        <v>0.23399999999999999</v>
      </c>
      <c r="G342" s="7">
        <v>39.0</v>
      </c>
      <c r="H342" s="7">
        <v>3.03</v>
      </c>
      <c r="I342" s="7">
        <v>127.34</v>
      </c>
      <c r="J342" s="6">
        <f t="shared" si="27"/>
        <v>2.379456573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1">
        <v>90502.0</v>
      </c>
      <c r="B343" s="1" t="s">
        <v>33</v>
      </c>
      <c r="C343" s="1" t="s">
        <v>445</v>
      </c>
      <c r="D343" s="1" t="s">
        <v>447</v>
      </c>
      <c r="E343" s="6">
        <v>0.5</v>
      </c>
      <c r="F343" s="7">
        <v>0.26</v>
      </c>
      <c r="G343" s="7">
        <v>52.0</v>
      </c>
      <c r="H343" s="7">
        <v>2.32</v>
      </c>
      <c r="I343" s="7">
        <v>90.25</v>
      </c>
      <c r="J343" s="6">
        <f t="shared" si="27"/>
        <v>2.570637119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1">
        <v>90503.0</v>
      </c>
      <c r="B344" s="1" t="s">
        <v>33</v>
      </c>
      <c r="C344" s="1" t="s">
        <v>445</v>
      </c>
      <c r="D344" s="1" t="s">
        <v>448</v>
      </c>
      <c r="E344" s="6">
        <v>0.2</v>
      </c>
      <c r="F344" s="7">
        <v>0.07600000000000001</v>
      </c>
      <c r="G344" s="7">
        <v>38.0</v>
      </c>
      <c r="H344" s="7">
        <v>0.75</v>
      </c>
      <c r="I344" s="7">
        <v>75.45</v>
      </c>
      <c r="J344" s="6">
        <f t="shared" si="27"/>
        <v>0.9940357853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1" t="s">
        <v>36</v>
      </c>
      <c r="E345" s="6">
        <f>(F345/G345)*100</f>
        <v>1.179400421</v>
      </c>
      <c r="F345" s="6">
        <f t="shared" ref="F345:I345" si="28">SUM(F246:F248)</f>
        <v>67.273</v>
      </c>
      <c r="G345" s="6">
        <f t="shared" si="28"/>
        <v>5704</v>
      </c>
      <c r="H345" s="7">
        <f t="shared" si="28"/>
        <v>257.87</v>
      </c>
      <c r="I345" s="6">
        <f t="shared" si="28"/>
        <v>10931.12</v>
      </c>
      <c r="J345" s="6">
        <f t="shared" si="27"/>
        <v>2.359044636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>
        <v>2016.0</v>
      </c>
      <c r="E348" s="3"/>
      <c r="F348" s="3"/>
      <c r="G348" s="20"/>
      <c r="H348" s="20"/>
      <c r="I348" s="3"/>
      <c r="J348" s="20"/>
      <c r="K348" s="20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 t="s">
        <v>449</v>
      </c>
      <c r="E349" s="20">
        <f>AVERAGE(E1:E345)</f>
        <v>2.623174707</v>
      </c>
      <c r="F349" s="3"/>
      <c r="G349" s="20">
        <f>E349+E350</f>
        <v>9.593212882</v>
      </c>
      <c r="H349" s="20"/>
      <c r="I349" s="3"/>
      <c r="J349" s="3">
        <f>AVERAGE(J1:J345)</f>
        <v>2.403179172</v>
      </c>
      <c r="K349" s="20"/>
      <c r="L349" s="3">
        <f>J349+J350</f>
        <v>4.689514198</v>
      </c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 t="s">
        <v>450</v>
      </c>
      <c r="E350" s="20">
        <f>STDEV(E1:E345)</f>
        <v>6.970038175</v>
      </c>
      <c r="F350" s="3"/>
      <c r="G350" s="20">
        <f>E349-E350</f>
        <v>-4.346863467</v>
      </c>
      <c r="H350" s="3"/>
      <c r="I350" s="3"/>
      <c r="J350" s="3">
        <f>STDEV(J1:J345)</f>
        <v>2.286335026</v>
      </c>
      <c r="K350" s="3"/>
      <c r="L350" s="3">
        <f>J349-J350</f>
        <v>0.1168441462</v>
      </c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75"/>
    <col customWidth="1" min="3" max="3" width="22.63"/>
    <col customWidth="1" min="4" max="4" width="22.13"/>
    <col customWidth="1" min="5" max="6" width="9.38"/>
  </cols>
  <sheetData>
    <row r="1" ht="95.25" customHeight="1">
      <c r="A1" s="21" t="s">
        <v>0</v>
      </c>
      <c r="B1" s="2" t="s">
        <v>3</v>
      </c>
      <c r="C1" s="2" t="s">
        <v>4</v>
      </c>
      <c r="D1" s="2" t="s">
        <v>9</v>
      </c>
    </row>
    <row r="2">
      <c r="A2" s="22">
        <v>10101.0</v>
      </c>
      <c r="B2" s="1" t="s">
        <v>15</v>
      </c>
      <c r="C2" s="23">
        <v>5.1</v>
      </c>
      <c r="D2" s="6">
        <v>7.490337213485833</v>
      </c>
      <c r="E2" s="24"/>
    </row>
    <row r="3">
      <c r="A3" s="22">
        <v>10102.0</v>
      </c>
      <c r="B3" s="1" t="s">
        <v>16</v>
      </c>
      <c r="C3" s="23">
        <v>0.9</v>
      </c>
      <c r="D3" s="6">
        <v>2.678644012681896</v>
      </c>
      <c r="E3" s="24"/>
    </row>
    <row r="4">
      <c r="A4" s="22">
        <v>10103.0</v>
      </c>
      <c r="B4" s="1" t="s">
        <v>18</v>
      </c>
      <c r="C4" s="23">
        <v>0.4</v>
      </c>
      <c r="D4" s="6">
        <v>0.9841084706225398</v>
      </c>
      <c r="E4" s="24"/>
    </row>
    <row r="5">
      <c r="A5" s="22">
        <v>10201.0</v>
      </c>
      <c r="B5" s="1" t="s">
        <v>21</v>
      </c>
      <c r="C5" s="23">
        <v>0.5</v>
      </c>
      <c r="D5" s="6">
        <v>1.2726231890439914</v>
      </c>
      <c r="E5" s="24"/>
    </row>
    <row r="6">
      <c r="A6" s="22">
        <v>10202.0</v>
      </c>
      <c r="B6" s="1" t="s">
        <v>23</v>
      </c>
      <c r="C6" s="23">
        <v>0.7</v>
      </c>
      <c r="D6" s="6">
        <v>1.1880705177339559</v>
      </c>
      <c r="E6" s="24"/>
    </row>
    <row r="7">
      <c r="A7" s="22">
        <v>10301.0</v>
      </c>
      <c r="B7" s="1" t="s">
        <v>26</v>
      </c>
      <c r="C7" s="23">
        <v>12.7</v>
      </c>
      <c r="D7" s="6">
        <v>8.054758396028852</v>
      </c>
      <c r="E7" s="24"/>
    </row>
    <row r="8">
      <c r="A8" s="22">
        <v>10302.0</v>
      </c>
      <c r="B8" s="1" t="s">
        <v>28</v>
      </c>
      <c r="C8" s="23">
        <v>0.5</v>
      </c>
      <c r="D8" s="6">
        <v>1.3436739110830553</v>
      </c>
      <c r="E8" s="24"/>
    </row>
    <row r="9">
      <c r="A9" s="22">
        <v>10303.0</v>
      </c>
      <c r="B9" s="1" t="s">
        <v>30</v>
      </c>
      <c r="C9" s="23">
        <v>0.9</v>
      </c>
      <c r="D9" s="6">
        <v>1.6048387096774193</v>
      </c>
      <c r="E9" s="24"/>
    </row>
    <row r="10">
      <c r="A10" s="22">
        <v>10304.0</v>
      </c>
      <c r="B10" s="1" t="s">
        <v>32</v>
      </c>
      <c r="C10" s="23">
        <v>0.9</v>
      </c>
      <c r="D10" s="6">
        <v>2.601047904191617</v>
      </c>
      <c r="E10" s="24"/>
    </row>
    <row r="11">
      <c r="A11" s="22">
        <v>10401.0</v>
      </c>
      <c r="B11" s="1" t="s">
        <v>35</v>
      </c>
      <c r="C11" s="23">
        <v>0.5</v>
      </c>
      <c r="D11" s="6">
        <v>2.7936161505933708</v>
      </c>
      <c r="E11" s="24"/>
    </row>
    <row r="12">
      <c r="A12" s="22">
        <v>10402.0</v>
      </c>
      <c r="B12" s="1" t="s">
        <v>34</v>
      </c>
      <c r="C12" s="23">
        <v>1.1</v>
      </c>
      <c r="D12" s="6">
        <v>2.521191045424908</v>
      </c>
      <c r="E12" s="24"/>
    </row>
    <row r="13">
      <c r="A13" s="22">
        <v>10403.0</v>
      </c>
      <c r="B13" s="1" t="s">
        <v>38</v>
      </c>
      <c r="C13" s="23">
        <v>0.8</v>
      </c>
      <c r="D13" s="6">
        <v>1.9390581717451523</v>
      </c>
      <c r="E13" s="24"/>
    </row>
    <row r="14">
      <c r="A14" s="22">
        <v>10404.0</v>
      </c>
      <c r="B14" s="1" t="s">
        <v>39</v>
      </c>
      <c r="C14" s="23">
        <v>1.0</v>
      </c>
      <c r="D14" s="6">
        <v>3.6850477200424177</v>
      </c>
      <c r="E14" s="24"/>
    </row>
    <row r="15">
      <c r="A15" s="22">
        <v>10405.0</v>
      </c>
      <c r="B15" s="1" t="s">
        <v>40</v>
      </c>
      <c r="C15" s="23">
        <v>0.5</v>
      </c>
      <c r="D15" s="6">
        <v>1.1048586329947847</v>
      </c>
      <c r="E15" s="24"/>
    </row>
    <row r="16">
      <c r="A16" s="22">
        <v>10501.0</v>
      </c>
      <c r="B16" s="1" t="s">
        <v>42</v>
      </c>
      <c r="C16" s="23">
        <v>4.9</v>
      </c>
      <c r="D16" s="6">
        <v>4.748515300911624</v>
      </c>
      <c r="E16" s="24"/>
    </row>
    <row r="17">
      <c r="A17" s="22">
        <v>10502.0</v>
      </c>
      <c r="B17" s="1" t="s">
        <v>43</v>
      </c>
      <c r="C17" s="23">
        <v>0.6</v>
      </c>
      <c r="D17" s="6">
        <v>1.7953940153532824</v>
      </c>
      <c r="E17" s="24"/>
    </row>
    <row r="18">
      <c r="A18" s="22">
        <v>10601.0</v>
      </c>
      <c r="B18" s="1" t="s">
        <v>45</v>
      </c>
      <c r="C18" s="23">
        <v>0.6</v>
      </c>
      <c r="D18" s="6">
        <v>5.2602076941232</v>
      </c>
      <c r="E18" s="24"/>
    </row>
    <row r="19">
      <c r="A19" s="22">
        <v>10602.0</v>
      </c>
      <c r="B19" s="1" t="s">
        <v>44</v>
      </c>
      <c r="C19" s="23">
        <v>0.5</v>
      </c>
      <c r="D19" s="6">
        <v>1.4521452145214522</v>
      </c>
      <c r="E19" s="24"/>
    </row>
    <row r="20">
      <c r="A20" s="22">
        <v>10701.0</v>
      </c>
      <c r="B20" s="1" t="s">
        <v>47</v>
      </c>
      <c r="C20" s="23">
        <v>8.4</v>
      </c>
      <c r="D20" s="6">
        <v>4.4004944375772554</v>
      </c>
      <c r="E20" s="24"/>
    </row>
    <row r="21" ht="15.75" customHeight="1">
      <c r="A21" s="22">
        <v>10702.0</v>
      </c>
      <c r="B21" s="1" t="s">
        <v>48</v>
      </c>
      <c r="C21" s="23">
        <v>0.4</v>
      </c>
      <c r="D21" s="6">
        <v>0.6780663188914426</v>
      </c>
      <c r="E21" s="24"/>
    </row>
    <row r="22" ht="15.75" customHeight="1">
      <c r="A22" s="22">
        <v>10703.0</v>
      </c>
      <c r="B22" s="1" t="s">
        <v>49</v>
      </c>
      <c r="C22" s="23">
        <v>0.2</v>
      </c>
      <c r="D22" s="6">
        <v>1.136761105281567</v>
      </c>
      <c r="E22" s="24"/>
    </row>
    <row r="23" ht="15.75" customHeight="1">
      <c r="A23" s="22">
        <v>10704.0</v>
      </c>
      <c r="B23" s="1" t="s">
        <v>50</v>
      </c>
      <c r="C23" s="23">
        <v>0.4</v>
      </c>
      <c r="D23" s="6">
        <v>0.9562886734389995</v>
      </c>
      <c r="E23" s="24"/>
    </row>
    <row r="24" ht="15.75" customHeight="1">
      <c r="A24" s="22">
        <v>10801.0</v>
      </c>
      <c r="B24" s="1" t="s">
        <v>52</v>
      </c>
      <c r="C24" s="23">
        <v>1.1</v>
      </c>
      <c r="D24" s="6">
        <v>3.9281017097764144</v>
      </c>
      <c r="E24" s="24"/>
    </row>
    <row r="25" ht="15.75" customHeight="1">
      <c r="A25" s="22">
        <v>10901.0</v>
      </c>
      <c r="B25" s="1" t="s">
        <v>54</v>
      </c>
      <c r="C25" s="23">
        <v>1.0</v>
      </c>
      <c r="D25" s="6">
        <v>3.814317673378076</v>
      </c>
      <c r="E25" s="24"/>
    </row>
    <row r="26" ht="15.75" customHeight="1">
      <c r="A26" s="22">
        <v>10902.0</v>
      </c>
      <c r="B26" s="1" t="s">
        <v>55</v>
      </c>
      <c r="C26" s="23">
        <v>0.3</v>
      </c>
      <c r="D26" s="6">
        <v>0.9044042883390714</v>
      </c>
      <c r="E26" s="24"/>
    </row>
    <row r="27" ht="15.75" customHeight="1">
      <c r="A27" s="22">
        <v>10903.0</v>
      </c>
      <c r="B27" s="1" t="s">
        <v>56</v>
      </c>
      <c r="C27" s="23">
        <v>0.4</v>
      </c>
      <c r="D27" s="6">
        <v>0.826253927615501</v>
      </c>
      <c r="E27" s="24"/>
    </row>
    <row r="28" ht="15.75" customHeight="1">
      <c r="A28" s="22">
        <v>11001.0</v>
      </c>
      <c r="B28" s="1" t="s">
        <v>58</v>
      </c>
      <c r="C28" s="23">
        <v>0.5</v>
      </c>
      <c r="D28" s="6">
        <v>1.5140150568102897</v>
      </c>
      <c r="E28" s="24"/>
    </row>
    <row r="29" ht="15.75" customHeight="1">
      <c r="A29" s="22">
        <v>11002.0</v>
      </c>
      <c r="B29" s="1" t="s">
        <v>59</v>
      </c>
      <c r="C29" s="23">
        <v>0.0</v>
      </c>
      <c r="D29" s="6">
        <v>0.029194807216956345</v>
      </c>
      <c r="E29" s="24"/>
    </row>
    <row r="30" ht="15.75" customHeight="1">
      <c r="A30" s="22">
        <v>11003.0</v>
      </c>
      <c r="B30" s="1" t="s">
        <v>60</v>
      </c>
      <c r="C30" s="23">
        <v>0.4</v>
      </c>
      <c r="D30" s="6">
        <v>0.890198653250065</v>
      </c>
      <c r="E30" s="24"/>
    </row>
    <row r="31" ht="15.75" customHeight="1">
      <c r="A31" s="22">
        <v>20101.0</v>
      </c>
      <c r="B31" s="1" t="s">
        <v>62</v>
      </c>
      <c r="C31" s="23">
        <v>6.8</v>
      </c>
      <c r="D31" s="6">
        <v>4.126494507875052</v>
      </c>
      <c r="E31" s="24"/>
    </row>
    <row r="32" ht="15.75" customHeight="1">
      <c r="A32" s="22">
        <v>20102.0</v>
      </c>
      <c r="B32" s="1" t="s">
        <v>63</v>
      </c>
      <c r="C32" s="23">
        <v>12.1</v>
      </c>
      <c r="D32" s="6">
        <v>0.9487761796618721</v>
      </c>
      <c r="E32" s="24"/>
    </row>
    <row r="33" ht="15.75" customHeight="1">
      <c r="A33" s="22">
        <v>20103.0</v>
      </c>
      <c r="B33" s="1" t="s">
        <v>64</v>
      </c>
      <c r="C33" s="23">
        <v>1.3</v>
      </c>
      <c r="D33" s="6">
        <v>5.763036037849808</v>
      </c>
      <c r="E33" s="24"/>
    </row>
    <row r="34" ht="15.75" customHeight="1">
      <c r="A34" s="22">
        <v>20104.0</v>
      </c>
      <c r="B34" s="1" t="s">
        <v>65</v>
      </c>
      <c r="C34" s="23">
        <v>1.5</v>
      </c>
      <c r="D34" s="6">
        <v>4.74305040006599</v>
      </c>
      <c r="E34" s="24"/>
    </row>
    <row r="35" ht="15.75" customHeight="1">
      <c r="A35" s="22">
        <v>20105.0</v>
      </c>
      <c r="B35" s="1" t="s">
        <v>66</v>
      </c>
      <c r="C35" s="23">
        <v>3.4</v>
      </c>
      <c r="D35" s="6">
        <v>6.889703002051151</v>
      </c>
      <c r="E35" s="24"/>
    </row>
    <row r="36" ht="15.75" customHeight="1">
      <c r="A36" s="22">
        <v>20201.0</v>
      </c>
      <c r="B36" s="1" t="s">
        <v>68</v>
      </c>
      <c r="C36" s="23">
        <v>0.5</v>
      </c>
      <c r="D36" s="6">
        <v>3.939896837856022</v>
      </c>
      <c r="E36" s="24"/>
    </row>
    <row r="37" ht="15.75" customHeight="1">
      <c r="A37" s="22">
        <v>20202.0</v>
      </c>
      <c r="B37" s="1" t="s">
        <v>69</v>
      </c>
      <c r="C37" s="23">
        <v>0.3</v>
      </c>
      <c r="D37" s="6">
        <v>0.9492191153090807</v>
      </c>
      <c r="E37" s="24"/>
    </row>
    <row r="38" ht="15.75" customHeight="1">
      <c r="A38" s="22">
        <v>20203.0</v>
      </c>
      <c r="B38" s="1" t="s">
        <v>70</v>
      </c>
      <c r="C38" s="23">
        <v>57.6</v>
      </c>
      <c r="D38" s="6">
        <v>2.8067713358477326</v>
      </c>
      <c r="E38" s="24"/>
    </row>
    <row r="39" ht="15.75" customHeight="1">
      <c r="A39" s="22">
        <v>20204.0</v>
      </c>
      <c r="B39" s="1" t="s">
        <v>71</v>
      </c>
      <c r="C39" s="23">
        <v>0.5</v>
      </c>
      <c r="D39" s="6">
        <v>0.8229821602003784</v>
      </c>
      <c r="E39" s="24"/>
    </row>
    <row r="40" ht="15.75" customHeight="1">
      <c r="A40" s="22">
        <v>20205.0</v>
      </c>
      <c r="B40" s="1" t="s">
        <v>72</v>
      </c>
      <c r="C40" s="23">
        <v>0.4</v>
      </c>
      <c r="D40" s="6">
        <v>6.358871589332511</v>
      </c>
      <c r="E40" s="24"/>
    </row>
    <row r="41" ht="15.75" customHeight="1">
      <c r="A41" s="22">
        <v>20206.0</v>
      </c>
      <c r="B41" s="1" t="s">
        <v>73</v>
      </c>
      <c r="C41" s="23">
        <v>58.4</v>
      </c>
      <c r="D41" s="6">
        <v>2.8259292106748366</v>
      </c>
      <c r="E41" s="24"/>
    </row>
    <row r="42" ht="15.75" customHeight="1">
      <c r="A42" s="22">
        <v>20301.0</v>
      </c>
      <c r="B42" s="1" t="s">
        <v>75</v>
      </c>
      <c r="C42" s="23">
        <v>0.3</v>
      </c>
      <c r="D42" s="6">
        <v>0.8402243554215532</v>
      </c>
      <c r="E42" s="24"/>
    </row>
    <row r="43" ht="15.75" customHeight="1">
      <c r="A43" s="22">
        <v>20302.0</v>
      </c>
      <c r="B43" s="1" t="s">
        <v>76</v>
      </c>
      <c r="C43" s="23">
        <v>0.4</v>
      </c>
      <c r="D43" s="6">
        <v>1.3336316849407026</v>
      </c>
      <c r="E43" s="24"/>
    </row>
    <row r="44" ht="15.75" customHeight="1">
      <c r="A44" s="22">
        <v>20303.0</v>
      </c>
      <c r="B44" s="1" t="s">
        <v>77</v>
      </c>
      <c r="C44" s="23">
        <v>0.2</v>
      </c>
      <c r="D44" s="6">
        <v>0.7843137254901961</v>
      </c>
      <c r="E44" s="24"/>
    </row>
    <row r="45" ht="15.75" customHeight="1">
      <c r="A45" s="22">
        <v>20304.0</v>
      </c>
      <c r="B45" s="1" t="s">
        <v>78</v>
      </c>
      <c r="C45" s="23">
        <v>0.5</v>
      </c>
      <c r="D45" s="6">
        <v>1.4420410427066</v>
      </c>
      <c r="E45" s="24"/>
    </row>
    <row r="46" ht="15.75" customHeight="1">
      <c r="A46" s="22">
        <v>20305.0</v>
      </c>
      <c r="B46" s="1" t="s">
        <v>79</v>
      </c>
      <c r="C46" s="23">
        <v>0.5</v>
      </c>
      <c r="D46" s="6">
        <v>0.7006550840216462</v>
      </c>
      <c r="E46" s="24"/>
    </row>
    <row r="47" ht="15.75" customHeight="1">
      <c r="A47" s="22">
        <v>20306.0</v>
      </c>
      <c r="B47" s="1" t="s">
        <v>80</v>
      </c>
      <c r="C47" s="23">
        <v>0.4</v>
      </c>
      <c r="D47" s="6">
        <v>1.0655061154048173</v>
      </c>
      <c r="E47" s="24"/>
    </row>
    <row r="48" ht="15.75" customHeight="1">
      <c r="A48" s="22">
        <v>20307.0</v>
      </c>
      <c r="B48" s="1" t="s">
        <v>81</v>
      </c>
      <c r="C48" s="23">
        <v>2.7</v>
      </c>
      <c r="D48" s="6">
        <v>8.135349172066233</v>
      </c>
      <c r="E48" s="24"/>
    </row>
    <row r="49" ht="15.75" customHeight="1">
      <c r="A49" s="22">
        <v>20308.0</v>
      </c>
      <c r="B49" s="1" t="s">
        <v>82</v>
      </c>
      <c r="C49" s="23">
        <v>0.3</v>
      </c>
      <c r="D49" s="6">
        <v>1.0383912248628884</v>
      </c>
      <c r="E49" s="24"/>
    </row>
    <row r="50" ht="15.75" customHeight="1">
      <c r="A50" s="22">
        <v>20401.0</v>
      </c>
      <c r="B50" s="1" t="s">
        <v>84</v>
      </c>
      <c r="C50" s="23">
        <v>0.4</v>
      </c>
      <c r="D50" s="6">
        <v>3.2753948229137464</v>
      </c>
      <c r="E50" s="24"/>
    </row>
    <row r="51" ht="15.75" customHeight="1">
      <c r="A51" s="22">
        <v>20402.0</v>
      </c>
      <c r="B51" s="1" t="s">
        <v>85</v>
      </c>
      <c r="C51" s="23">
        <v>0.3</v>
      </c>
      <c r="D51" s="6">
        <v>1.0408799868658676</v>
      </c>
      <c r="E51" s="24"/>
    </row>
    <row r="52" ht="15.75" customHeight="1">
      <c r="A52" s="22">
        <v>20403.0</v>
      </c>
      <c r="B52" s="1" t="s">
        <v>86</v>
      </c>
      <c r="C52" s="23">
        <v>0.1</v>
      </c>
      <c r="D52" s="6">
        <v>0.3745775823459957</v>
      </c>
      <c r="E52" s="24"/>
    </row>
    <row r="53" ht="15.75" customHeight="1">
      <c r="A53" s="22">
        <v>20404.0</v>
      </c>
      <c r="B53" s="1" t="s">
        <v>87</v>
      </c>
      <c r="C53" s="23">
        <v>0.2</v>
      </c>
      <c r="D53" s="6">
        <v>0.5108140419519617</v>
      </c>
      <c r="E53" s="24"/>
    </row>
    <row r="54" ht="15.75" customHeight="1">
      <c r="A54" s="22">
        <v>20405.0</v>
      </c>
      <c r="B54" s="1" t="s">
        <v>88</v>
      </c>
      <c r="C54" s="23">
        <v>0.6</v>
      </c>
      <c r="D54" s="6">
        <v>2.392755004766444</v>
      </c>
      <c r="E54" s="24"/>
    </row>
    <row r="55" ht="15.75" customHeight="1">
      <c r="A55" s="22">
        <v>20501.0</v>
      </c>
      <c r="B55" s="1" t="s">
        <v>90</v>
      </c>
      <c r="C55" s="23">
        <v>0.3</v>
      </c>
      <c r="D55" s="6">
        <v>1.2434836673202927</v>
      </c>
      <c r="E55" s="24"/>
    </row>
    <row r="56" ht="15.75" customHeight="1">
      <c r="A56" s="22">
        <v>20502.0</v>
      </c>
      <c r="B56" s="1" t="s">
        <v>91</v>
      </c>
      <c r="C56" s="23">
        <v>0.2</v>
      </c>
      <c r="D56" s="6">
        <v>0.6053745447386554</v>
      </c>
      <c r="E56" s="24"/>
    </row>
    <row r="57" ht="15.75" customHeight="1">
      <c r="A57" s="22">
        <v>20503.0</v>
      </c>
      <c r="B57" s="1" t="s">
        <v>92</v>
      </c>
      <c r="C57" s="23">
        <v>0.8</v>
      </c>
      <c r="D57" s="6">
        <v>1.2985179957657025</v>
      </c>
      <c r="E57" s="24"/>
    </row>
    <row r="58" ht="15.75" customHeight="1">
      <c r="A58" s="22">
        <v>20601.0</v>
      </c>
      <c r="B58" s="1" t="s">
        <v>94</v>
      </c>
      <c r="C58" s="23">
        <v>6.8</v>
      </c>
      <c r="D58" s="6">
        <v>4.860611560552906</v>
      </c>
      <c r="E58" s="24"/>
    </row>
    <row r="59" ht="15.75" customHeight="1">
      <c r="A59" s="22">
        <v>20602.0</v>
      </c>
      <c r="B59" s="1" t="s">
        <v>95</v>
      </c>
      <c r="C59" s="23">
        <v>0.7</v>
      </c>
      <c r="D59" s="6">
        <v>1.0443926534573136</v>
      </c>
      <c r="E59" s="24"/>
    </row>
    <row r="60" ht="15.75" customHeight="1">
      <c r="A60" s="22">
        <v>20603.0</v>
      </c>
      <c r="B60" s="1" t="s">
        <v>96</v>
      </c>
      <c r="C60" s="23">
        <v>0.2</v>
      </c>
      <c r="D60" s="6">
        <v>0.22304365582164884</v>
      </c>
      <c r="E60" s="24"/>
    </row>
    <row r="61" ht="15.75" customHeight="1">
      <c r="A61" s="22">
        <v>20604.0</v>
      </c>
      <c r="B61" s="1" t="s">
        <v>97</v>
      </c>
      <c r="C61" s="23">
        <v>0.1</v>
      </c>
      <c r="D61" s="6">
        <v>0.3865449461304383</v>
      </c>
      <c r="E61" s="24"/>
    </row>
    <row r="62" ht="15.75" customHeight="1">
      <c r="A62" s="22">
        <v>20605.0</v>
      </c>
      <c r="B62" s="1" t="s">
        <v>98</v>
      </c>
      <c r="C62" s="23">
        <v>0.2</v>
      </c>
      <c r="D62" s="6">
        <v>0.6126842192415963</v>
      </c>
      <c r="E62" s="24"/>
    </row>
    <row r="63" ht="15.75" customHeight="1">
      <c r="A63" s="22">
        <v>20606.0</v>
      </c>
      <c r="B63" s="1" t="s">
        <v>99</v>
      </c>
      <c r="C63" s="23">
        <v>0.7</v>
      </c>
      <c r="D63" s="6">
        <v>2.847023041829486</v>
      </c>
      <c r="E63" s="24"/>
    </row>
    <row r="64" ht="15.75" customHeight="1">
      <c r="A64" s="22">
        <v>20607.0</v>
      </c>
      <c r="B64" s="1" t="s">
        <v>100</v>
      </c>
      <c r="C64" s="23">
        <v>0.8</v>
      </c>
      <c r="D64" s="6">
        <v>2.509902740135783</v>
      </c>
      <c r="E64" s="24"/>
    </row>
    <row r="65" ht="15.75" customHeight="1">
      <c r="A65" s="22">
        <v>20608.0</v>
      </c>
      <c r="B65" s="1" t="s">
        <v>101</v>
      </c>
      <c r="C65" s="23">
        <v>0.6</v>
      </c>
      <c r="D65" s="6">
        <v>1.0526315789473684</v>
      </c>
      <c r="E65" s="24"/>
    </row>
    <row r="66" ht="15.75" customHeight="1">
      <c r="A66" s="22">
        <v>20701.0</v>
      </c>
      <c r="B66" s="1" t="s">
        <v>103</v>
      </c>
      <c r="C66" s="23">
        <v>0.6</v>
      </c>
      <c r="D66" s="6">
        <v>1.2336986469111613</v>
      </c>
      <c r="E66" s="24"/>
    </row>
    <row r="67" ht="15.75" customHeight="1">
      <c r="A67" s="22">
        <v>20702.0</v>
      </c>
      <c r="B67" s="1" t="s">
        <v>104</v>
      </c>
      <c r="C67" s="23">
        <v>0.3</v>
      </c>
      <c r="D67" s="6">
        <v>1.2547486343343595</v>
      </c>
      <c r="E67" s="24"/>
    </row>
    <row r="68" ht="15.75" customHeight="1">
      <c r="A68" s="22">
        <v>20801.0</v>
      </c>
      <c r="B68" s="1" t="s">
        <v>106</v>
      </c>
      <c r="C68" s="23">
        <v>1.6</v>
      </c>
      <c r="D68" s="6">
        <v>3.5837154322153717</v>
      </c>
      <c r="E68" s="24"/>
    </row>
    <row r="69" ht="15.75" customHeight="1">
      <c r="A69" s="22">
        <v>20802.0</v>
      </c>
      <c r="B69" s="1" t="s">
        <v>107</v>
      </c>
      <c r="C69" s="23">
        <v>0.7</v>
      </c>
      <c r="D69" s="6">
        <v>8.067553992968357</v>
      </c>
      <c r="E69" s="24"/>
    </row>
    <row r="70" ht="15.75" customHeight="1">
      <c r="A70" s="22">
        <v>20803.0</v>
      </c>
      <c r="B70" s="1" t="s">
        <v>108</v>
      </c>
      <c r="C70" s="23">
        <v>46.8</v>
      </c>
      <c r="D70" s="6">
        <v>7.203211338801199</v>
      </c>
      <c r="E70" s="24"/>
    </row>
    <row r="71" ht="15.75" customHeight="1">
      <c r="A71" s="22">
        <v>20804.0</v>
      </c>
      <c r="B71" s="1" t="s">
        <v>109</v>
      </c>
      <c r="C71" s="23">
        <v>28.3</v>
      </c>
      <c r="D71" s="6">
        <v>8.330062794348509</v>
      </c>
      <c r="E71" s="24"/>
    </row>
    <row r="72" ht="15.75" customHeight="1">
      <c r="A72" s="22">
        <v>20805.0</v>
      </c>
      <c r="B72" s="1" t="s">
        <v>110</v>
      </c>
      <c r="C72" s="23">
        <v>0.3</v>
      </c>
      <c r="D72" s="6">
        <v>1.1822376009227218</v>
      </c>
      <c r="E72" s="24"/>
    </row>
    <row r="73" ht="15.75" customHeight="1">
      <c r="A73" s="22">
        <v>20806.0</v>
      </c>
      <c r="B73" s="1" t="s">
        <v>111</v>
      </c>
      <c r="C73" s="23">
        <v>0.4</v>
      </c>
      <c r="D73" s="6">
        <v>1.6573426573426575</v>
      </c>
      <c r="E73" s="24"/>
    </row>
    <row r="74" ht="15.75" customHeight="1">
      <c r="A74" s="22">
        <v>20807.0</v>
      </c>
      <c r="B74" s="1" t="s">
        <v>112</v>
      </c>
      <c r="C74" s="23">
        <v>0.2</v>
      </c>
      <c r="D74" s="6">
        <v>0.6384831188932959</v>
      </c>
      <c r="E74" s="24"/>
    </row>
    <row r="75" ht="15.75" customHeight="1">
      <c r="A75" s="22">
        <v>20901.0</v>
      </c>
      <c r="B75" s="1" t="s">
        <v>114</v>
      </c>
      <c r="C75" s="23">
        <v>0.4</v>
      </c>
      <c r="D75" s="6">
        <v>0.9242298084929226</v>
      </c>
      <c r="E75" s="24"/>
    </row>
    <row r="76" ht="15.75" customHeight="1">
      <c r="A76" s="22">
        <v>20902.0</v>
      </c>
      <c r="B76" s="1" t="s">
        <v>115</v>
      </c>
      <c r="C76" s="23">
        <v>0.3</v>
      </c>
      <c r="D76" s="6">
        <v>0.4634863215012435</v>
      </c>
      <c r="E76" s="24"/>
    </row>
    <row r="77" ht="15.75" customHeight="1">
      <c r="A77" s="22">
        <v>20903.0</v>
      </c>
      <c r="B77" s="1" t="s">
        <v>116</v>
      </c>
      <c r="C77" s="23">
        <v>0.3</v>
      </c>
      <c r="D77" s="6">
        <v>1.2304400160492177</v>
      </c>
      <c r="E77" s="24"/>
    </row>
    <row r="78" ht="15.75" customHeight="1">
      <c r="A78" s="22">
        <v>20904.0</v>
      </c>
      <c r="B78" s="1" t="s">
        <v>117</v>
      </c>
      <c r="C78" s="23">
        <v>0.6</v>
      </c>
      <c r="D78" s="6">
        <v>1.5107990211724651</v>
      </c>
      <c r="E78" s="24"/>
    </row>
    <row r="79" ht="15.75" customHeight="1">
      <c r="A79" s="22">
        <v>20905.0</v>
      </c>
      <c r="B79" s="1" t="s">
        <v>118</v>
      </c>
      <c r="C79" s="23">
        <v>0.1</v>
      </c>
      <c r="D79" s="6">
        <v>0.40273157065312565</v>
      </c>
      <c r="E79" s="24"/>
    </row>
    <row r="80" ht="15.75" customHeight="1">
      <c r="A80" s="22">
        <v>21001.0</v>
      </c>
      <c r="B80" s="1" t="s">
        <v>119</v>
      </c>
      <c r="C80" s="23">
        <v>0.1</v>
      </c>
      <c r="D80" s="6">
        <v>0.30674184001900934</v>
      </c>
      <c r="E80" s="24"/>
    </row>
    <row r="81" ht="15.75" customHeight="1">
      <c r="A81" s="22">
        <v>21002.0</v>
      </c>
      <c r="B81" s="1" t="s">
        <v>120</v>
      </c>
      <c r="C81" s="23">
        <v>0.4</v>
      </c>
      <c r="D81" s="6">
        <v>1.436192039392696</v>
      </c>
      <c r="E81" s="24"/>
    </row>
    <row r="82" ht="15.75" customHeight="1">
      <c r="A82" s="22">
        <v>21003.0</v>
      </c>
      <c r="B82" s="1" t="s">
        <v>121</v>
      </c>
      <c r="C82" s="23">
        <v>0.3</v>
      </c>
      <c r="D82" s="6">
        <v>0.646131565755027</v>
      </c>
      <c r="E82" s="24"/>
    </row>
    <row r="83" ht="15.75" customHeight="1">
      <c r="A83" s="22">
        <v>21004.0</v>
      </c>
      <c r="B83" s="1" t="s">
        <v>122</v>
      </c>
      <c r="C83" s="23">
        <v>0.1</v>
      </c>
      <c r="D83" s="6">
        <v>0.2353144033714874</v>
      </c>
      <c r="E83" s="24"/>
    </row>
    <row r="84" ht="15.75" customHeight="1">
      <c r="A84" s="22">
        <v>21005.0</v>
      </c>
      <c r="B84" s="1" t="s">
        <v>123</v>
      </c>
      <c r="C84" s="23">
        <v>0.2</v>
      </c>
      <c r="D84" s="6">
        <v>0.5714285714285714</v>
      </c>
      <c r="E84" s="24"/>
    </row>
    <row r="85" ht="15.75" customHeight="1">
      <c r="A85" s="22">
        <v>21006.0</v>
      </c>
      <c r="B85" s="1" t="s">
        <v>124</v>
      </c>
      <c r="C85" s="23">
        <v>0.6</v>
      </c>
      <c r="D85" s="6">
        <v>3.908263185019756</v>
      </c>
      <c r="E85" s="24"/>
    </row>
    <row r="86" ht="15.75" customHeight="1">
      <c r="A86" s="22">
        <v>21101.0</v>
      </c>
      <c r="B86" s="1" t="s">
        <v>126</v>
      </c>
      <c r="C86" s="23">
        <v>0.9</v>
      </c>
      <c r="D86" s="6">
        <v>1.4871306005719733</v>
      </c>
      <c r="E86" s="24"/>
    </row>
    <row r="87" ht="15.75" customHeight="1">
      <c r="A87" s="22">
        <v>21102.0</v>
      </c>
      <c r="B87" s="1" t="s">
        <v>127</v>
      </c>
      <c r="C87" s="23">
        <v>0.3</v>
      </c>
      <c r="D87" s="6">
        <v>0.6680723798868258</v>
      </c>
      <c r="E87" s="24"/>
    </row>
    <row r="88" ht="15.75" customHeight="1">
      <c r="A88" s="22">
        <v>21103.0</v>
      </c>
      <c r="B88" s="1" t="s">
        <v>128</v>
      </c>
      <c r="C88" s="23">
        <v>0.6</v>
      </c>
      <c r="D88" s="6">
        <v>1.2486724809319987</v>
      </c>
      <c r="E88" s="24"/>
    </row>
    <row r="89" ht="15.75" customHeight="1">
      <c r="A89" s="22">
        <v>21104.0</v>
      </c>
      <c r="B89" s="1" t="s">
        <v>129</v>
      </c>
      <c r="C89" s="23">
        <v>0.6</v>
      </c>
      <c r="D89" s="6">
        <v>1.18791319755368</v>
      </c>
      <c r="E89" s="24"/>
    </row>
    <row r="90" ht="15.75" customHeight="1">
      <c r="A90" s="22">
        <v>21105.0</v>
      </c>
      <c r="B90" s="1" t="s">
        <v>130</v>
      </c>
      <c r="C90" s="23">
        <v>0.2</v>
      </c>
      <c r="D90" s="6">
        <v>0.5264608057310425</v>
      </c>
      <c r="E90" s="24"/>
    </row>
    <row r="91" ht="15.75" customHeight="1">
      <c r="A91" s="22">
        <v>21201.0</v>
      </c>
      <c r="B91" s="1" t="s">
        <v>132</v>
      </c>
      <c r="C91" s="23">
        <v>0.4</v>
      </c>
      <c r="D91" s="6">
        <v>2.4950991339735475</v>
      </c>
      <c r="E91" s="24"/>
    </row>
    <row r="92" ht="15.75" customHeight="1">
      <c r="A92" s="22">
        <v>21202.0</v>
      </c>
      <c r="B92" s="1" t="s">
        <v>133</v>
      </c>
      <c r="C92" s="23">
        <v>0.5</v>
      </c>
      <c r="D92" s="6">
        <v>1.664942376633063</v>
      </c>
      <c r="E92" s="24"/>
    </row>
    <row r="93" ht="15.75" customHeight="1">
      <c r="A93" s="22">
        <v>21203.0</v>
      </c>
      <c r="B93" s="1" t="s">
        <v>134</v>
      </c>
      <c r="C93" s="23">
        <v>0.5</v>
      </c>
      <c r="D93" s="6">
        <v>6.106492220281998</v>
      </c>
      <c r="E93" s="24"/>
    </row>
    <row r="94" ht="15.75" customHeight="1">
      <c r="A94" s="22">
        <v>21204.0</v>
      </c>
      <c r="B94" s="1" t="s">
        <v>135</v>
      </c>
      <c r="C94" s="23">
        <v>0.6</v>
      </c>
      <c r="D94" s="6">
        <v>2.9149221897464255</v>
      </c>
      <c r="E94" s="24"/>
    </row>
    <row r="95" ht="15.75" customHeight="1">
      <c r="A95" s="22">
        <v>21301.0</v>
      </c>
      <c r="B95" s="1" t="s">
        <v>137</v>
      </c>
      <c r="C95" s="23">
        <v>0.6</v>
      </c>
      <c r="D95" s="6">
        <v>1.410701978208907</v>
      </c>
      <c r="E95" s="24"/>
    </row>
    <row r="96" ht="15.75" customHeight="1">
      <c r="A96" s="22">
        <v>21302.0</v>
      </c>
      <c r="B96" s="1" t="s">
        <v>138</v>
      </c>
      <c r="C96" s="23">
        <v>0.1</v>
      </c>
      <c r="D96" s="6">
        <v>0.37498125093745316</v>
      </c>
      <c r="E96" s="24"/>
    </row>
    <row r="97" ht="15.75" customHeight="1">
      <c r="A97" s="22">
        <v>21303.0</v>
      </c>
      <c r="B97" s="1" t="s">
        <v>139</v>
      </c>
      <c r="C97" s="23">
        <v>0.4</v>
      </c>
      <c r="D97" s="6">
        <v>1.3034072471606273</v>
      </c>
      <c r="E97" s="24"/>
    </row>
    <row r="98" ht="15.75" customHeight="1">
      <c r="A98" s="22">
        <v>21304.0</v>
      </c>
      <c r="B98" s="1" t="s">
        <v>140</v>
      </c>
      <c r="C98" s="23">
        <v>0.3</v>
      </c>
      <c r="D98" s="6">
        <v>0.701219512195122</v>
      </c>
      <c r="E98" s="24"/>
    </row>
    <row r="99" ht="15.75" customHeight="1">
      <c r="A99" s="22">
        <v>21305.0</v>
      </c>
      <c r="B99" s="1" t="s">
        <v>141</v>
      </c>
      <c r="C99" s="23">
        <v>1.4</v>
      </c>
      <c r="D99" s="6">
        <v>7.690488857362417</v>
      </c>
      <c r="E99" s="24"/>
    </row>
    <row r="100" ht="15.75" customHeight="1">
      <c r="A100" s="22">
        <v>21306.0</v>
      </c>
      <c r="B100" s="1" t="s">
        <v>142</v>
      </c>
      <c r="C100" s="23">
        <v>0.4</v>
      </c>
      <c r="D100" s="6">
        <v>1.361537736737963</v>
      </c>
      <c r="E100" s="24"/>
    </row>
    <row r="101" ht="15.75" customHeight="1">
      <c r="A101" s="22">
        <v>21307.0</v>
      </c>
      <c r="B101" s="1" t="s">
        <v>143</v>
      </c>
      <c r="C101" s="23">
        <v>0.6</v>
      </c>
      <c r="D101" s="6">
        <v>2.045546150745667</v>
      </c>
      <c r="E101" s="24"/>
    </row>
    <row r="102" ht="15.75" customHeight="1">
      <c r="A102" s="22">
        <v>21401.0</v>
      </c>
      <c r="B102" s="1" t="s">
        <v>145</v>
      </c>
      <c r="C102" s="23">
        <v>28.0</v>
      </c>
      <c r="D102" s="6">
        <v>5.815945736616049</v>
      </c>
      <c r="E102" s="24"/>
    </row>
    <row r="103" ht="15.75" customHeight="1">
      <c r="A103" s="22">
        <v>21402.0</v>
      </c>
      <c r="B103" s="1" t="s">
        <v>146</v>
      </c>
      <c r="C103" s="23">
        <v>0.5</v>
      </c>
      <c r="D103" s="6">
        <v>0.9917981635018277</v>
      </c>
      <c r="E103" s="24"/>
    </row>
    <row r="104" ht="15.75" customHeight="1">
      <c r="A104" s="22">
        <v>21501.0</v>
      </c>
      <c r="B104" s="1" t="s">
        <v>148</v>
      </c>
      <c r="C104" s="23">
        <v>1.0</v>
      </c>
      <c r="D104" s="6">
        <v>2.1906788112492523</v>
      </c>
      <c r="E104" s="24"/>
    </row>
    <row r="105" ht="15.75" customHeight="1">
      <c r="A105" s="22">
        <v>21502.0</v>
      </c>
      <c r="B105" s="1" t="s">
        <v>149</v>
      </c>
      <c r="C105" s="23">
        <v>1.5</v>
      </c>
      <c r="D105" s="6">
        <v>7.879051555362193</v>
      </c>
      <c r="E105" s="24"/>
    </row>
    <row r="106" ht="15.75" customHeight="1">
      <c r="A106" s="22">
        <v>21601.0</v>
      </c>
      <c r="B106" s="1" t="s">
        <v>151</v>
      </c>
      <c r="C106" s="23">
        <v>0.5</v>
      </c>
      <c r="D106" s="6">
        <v>1.4895458479478887</v>
      </c>
      <c r="E106" s="24"/>
    </row>
    <row r="107" ht="15.75" customHeight="1">
      <c r="A107" s="22">
        <v>21602.0</v>
      </c>
      <c r="B107" s="1" t="s">
        <v>152</v>
      </c>
      <c r="C107" s="23">
        <v>0.5</v>
      </c>
      <c r="D107" s="6">
        <v>1.480427046263345</v>
      </c>
      <c r="E107" s="24"/>
    </row>
    <row r="108" ht="15.75" customHeight="1">
      <c r="A108" s="22">
        <v>21701.0</v>
      </c>
      <c r="B108" s="1" t="s">
        <v>154</v>
      </c>
      <c r="C108" s="23">
        <v>47.1</v>
      </c>
      <c r="D108" s="6">
        <v>11.16365478804256</v>
      </c>
      <c r="E108" s="24"/>
    </row>
    <row r="109" ht="15.75" customHeight="1">
      <c r="A109" s="22">
        <v>21702.0</v>
      </c>
      <c r="B109" s="1" t="s">
        <v>155</v>
      </c>
      <c r="C109" s="23">
        <v>26.5</v>
      </c>
      <c r="D109" s="6">
        <v>12.581446899979849</v>
      </c>
      <c r="E109" s="24"/>
    </row>
    <row r="110" ht="15.75" customHeight="1">
      <c r="A110" s="22">
        <v>21703.0</v>
      </c>
      <c r="B110" s="1" t="s">
        <v>156</v>
      </c>
      <c r="C110" s="23">
        <v>0.5</v>
      </c>
      <c r="D110" s="6">
        <v>4.239284032030147</v>
      </c>
      <c r="E110" s="24"/>
    </row>
    <row r="111" ht="15.75" customHeight="1">
      <c r="A111" s="22">
        <v>21801.0</v>
      </c>
      <c r="B111" s="1" t="s">
        <v>158</v>
      </c>
      <c r="C111" s="23">
        <v>0.1</v>
      </c>
      <c r="D111" s="6">
        <v>0.44873018903952644</v>
      </c>
      <c r="E111" s="24"/>
    </row>
    <row r="112" ht="15.75" customHeight="1">
      <c r="A112" s="22">
        <v>21802.0</v>
      </c>
      <c r="B112" s="1" t="s">
        <v>160</v>
      </c>
      <c r="C112" s="23">
        <v>0.2</v>
      </c>
      <c r="D112" s="6">
        <v>0.5607599947222588</v>
      </c>
      <c r="E112" s="24"/>
    </row>
    <row r="113" ht="15.75" customHeight="1">
      <c r="A113" s="22">
        <v>21803.0</v>
      </c>
      <c r="B113" s="1" t="s">
        <v>161</v>
      </c>
      <c r="C113" s="23">
        <v>0.3</v>
      </c>
      <c r="D113" s="6">
        <v>0.8974048023284017</v>
      </c>
      <c r="E113" s="24"/>
    </row>
    <row r="114" ht="15.75" customHeight="1">
      <c r="A114" s="22">
        <v>21901.0</v>
      </c>
      <c r="B114" s="1" t="s">
        <v>163</v>
      </c>
      <c r="C114" s="23">
        <v>0.7</v>
      </c>
      <c r="D114" s="6">
        <v>2.667528152113716</v>
      </c>
      <c r="E114" s="24"/>
    </row>
    <row r="115" ht="15.75" customHeight="1">
      <c r="A115" s="22">
        <v>21902.0</v>
      </c>
      <c r="B115" s="1" t="s">
        <v>164</v>
      </c>
      <c r="C115" s="23">
        <v>0.1</v>
      </c>
      <c r="D115" s="6">
        <v>0.6583588055490243</v>
      </c>
      <c r="E115" s="24"/>
    </row>
    <row r="116" ht="15.75" customHeight="1">
      <c r="A116" s="22">
        <v>22001.0</v>
      </c>
      <c r="B116" s="1" t="s">
        <v>165</v>
      </c>
      <c r="C116" s="23">
        <v>2.5</v>
      </c>
      <c r="D116" s="6">
        <v>5.262059002776336</v>
      </c>
      <c r="E116" s="24"/>
    </row>
    <row r="117" ht="15.75" customHeight="1">
      <c r="A117" s="22">
        <v>22002.0</v>
      </c>
      <c r="B117" s="1" t="s">
        <v>166</v>
      </c>
      <c r="C117" s="23">
        <v>0.4</v>
      </c>
      <c r="D117" s="6">
        <v>0.7330184069066623</v>
      </c>
      <c r="E117" s="24"/>
    </row>
    <row r="118" ht="15.75" customHeight="1">
      <c r="A118" s="22">
        <v>30101.0</v>
      </c>
      <c r="B118" s="1" t="s">
        <v>19</v>
      </c>
      <c r="C118" s="23">
        <v>4.2</v>
      </c>
      <c r="D118" s="6">
        <v>6.080126167292513</v>
      </c>
      <c r="E118" s="24"/>
    </row>
    <row r="119" ht="15.75" customHeight="1">
      <c r="A119" s="22">
        <v>30201.0</v>
      </c>
      <c r="B119" s="1" t="s">
        <v>169</v>
      </c>
      <c r="C119" s="23">
        <v>7.5</v>
      </c>
      <c r="D119" s="6">
        <v>2.7099655577003143</v>
      </c>
      <c r="E119" s="24"/>
    </row>
    <row r="120" ht="15.75" customHeight="1">
      <c r="A120" s="22">
        <v>30202.0</v>
      </c>
      <c r="B120" s="1" t="s">
        <v>170</v>
      </c>
      <c r="C120" s="23">
        <v>0.5</v>
      </c>
      <c r="D120" s="6">
        <v>1.7233924269565757</v>
      </c>
      <c r="E120" s="24"/>
    </row>
    <row r="121" ht="15.75" customHeight="1">
      <c r="A121" s="22">
        <v>30203.0</v>
      </c>
      <c r="B121" s="1" t="s">
        <v>171</v>
      </c>
      <c r="C121" s="23">
        <v>0.4</v>
      </c>
      <c r="D121" s="6">
        <v>0.74282550521362</v>
      </c>
      <c r="E121" s="24"/>
    </row>
    <row r="122" ht="15.75" customHeight="1">
      <c r="A122" s="22">
        <v>30301.0</v>
      </c>
      <c r="B122" s="1" t="s">
        <v>173</v>
      </c>
      <c r="C122" s="23">
        <v>9.3</v>
      </c>
      <c r="D122" s="6">
        <v>1.1417677497747891</v>
      </c>
      <c r="E122" s="24"/>
    </row>
    <row r="123" ht="15.75" customHeight="1">
      <c r="A123" s="22">
        <v>30302.0</v>
      </c>
      <c r="B123" s="1" t="s">
        <v>174</v>
      </c>
      <c r="C123" s="23">
        <v>0.4</v>
      </c>
      <c r="D123" s="6">
        <v>1.0791232590269222</v>
      </c>
      <c r="E123" s="24"/>
    </row>
    <row r="124" ht="15.75" customHeight="1">
      <c r="A124" s="22">
        <v>30303.0</v>
      </c>
      <c r="B124" s="1" t="s">
        <v>175</v>
      </c>
      <c r="C124" s="23">
        <v>0.1</v>
      </c>
      <c r="D124" s="6">
        <v>0.24971060029766826</v>
      </c>
      <c r="E124" s="24"/>
    </row>
    <row r="125" ht="15.75" customHeight="1">
      <c r="A125" s="22">
        <v>30401.0</v>
      </c>
      <c r="B125" s="1" t="s">
        <v>177</v>
      </c>
      <c r="C125" s="23">
        <v>1.0</v>
      </c>
      <c r="D125" s="6">
        <v>2.150834681715932</v>
      </c>
      <c r="E125" s="24"/>
    </row>
    <row r="126" ht="15.75" customHeight="1">
      <c r="A126" s="22">
        <v>30402.0</v>
      </c>
      <c r="B126" s="1" t="s">
        <v>178</v>
      </c>
      <c r="C126" s="23">
        <v>0.7</v>
      </c>
      <c r="D126" s="6">
        <v>1.7811237605582078</v>
      </c>
      <c r="E126" s="24"/>
    </row>
    <row r="127" ht="15.75" customHeight="1">
      <c r="A127" s="22">
        <v>30403.0</v>
      </c>
      <c r="B127" s="1" t="s">
        <v>179</v>
      </c>
      <c r="C127" s="23">
        <v>2.2</v>
      </c>
      <c r="D127" s="6">
        <v>6.563484371213956</v>
      </c>
      <c r="E127" s="24"/>
    </row>
    <row r="128" ht="15.75" customHeight="1">
      <c r="A128" s="22">
        <v>30404.0</v>
      </c>
      <c r="B128" s="1" t="s">
        <v>180</v>
      </c>
      <c r="C128" s="23">
        <v>1.1</v>
      </c>
      <c r="D128" s="6">
        <v>2.1978021978021975</v>
      </c>
      <c r="E128" s="24"/>
    </row>
    <row r="129" ht="15.75" customHeight="1">
      <c r="A129" s="22">
        <v>30501.0</v>
      </c>
      <c r="B129" s="1" t="s">
        <v>181</v>
      </c>
      <c r="C129" s="23">
        <v>0.8</v>
      </c>
      <c r="D129" s="6">
        <v>2.9356943150046595</v>
      </c>
      <c r="E129" s="24"/>
    </row>
    <row r="130" ht="15.75" customHeight="1">
      <c r="A130" s="22">
        <v>30502.0</v>
      </c>
      <c r="B130" s="1" t="s">
        <v>182</v>
      </c>
      <c r="C130" s="23">
        <v>0.4</v>
      </c>
      <c r="D130" s="6">
        <v>1.0064991085293609</v>
      </c>
      <c r="E130" s="24"/>
    </row>
    <row r="131" ht="15.75" customHeight="1">
      <c r="A131" s="22">
        <v>30601.0</v>
      </c>
      <c r="B131" s="1" t="s">
        <v>183</v>
      </c>
      <c r="C131" s="23">
        <v>0.4</v>
      </c>
      <c r="D131" s="6">
        <v>1.053716641850876</v>
      </c>
      <c r="E131" s="24"/>
    </row>
    <row r="132" ht="15.75" customHeight="1">
      <c r="A132" s="22">
        <v>30602.0</v>
      </c>
      <c r="B132" s="1" t="s">
        <v>184</v>
      </c>
      <c r="C132" s="23">
        <v>0.2</v>
      </c>
      <c r="D132" s="6">
        <v>0.44544752628140405</v>
      </c>
      <c r="E132" s="24"/>
    </row>
    <row r="133" ht="15.75" customHeight="1">
      <c r="A133" s="22">
        <v>30701.0</v>
      </c>
      <c r="B133" s="1" t="s">
        <v>185</v>
      </c>
      <c r="C133" s="23">
        <v>0.7</v>
      </c>
      <c r="D133" s="6">
        <v>1.549024879531777</v>
      </c>
      <c r="E133" s="24"/>
    </row>
    <row r="134" ht="15.75" customHeight="1">
      <c r="A134" s="22">
        <v>30702.0</v>
      </c>
      <c r="B134" s="1" t="s">
        <v>186</v>
      </c>
      <c r="C134" s="23">
        <v>0.3</v>
      </c>
      <c r="D134" s="6">
        <v>0.3864157582231158</v>
      </c>
      <c r="E134" s="24"/>
    </row>
    <row r="135" ht="15.75" customHeight="1">
      <c r="A135" s="22">
        <v>30703.0</v>
      </c>
      <c r="B135" s="1" t="s">
        <v>187</v>
      </c>
      <c r="C135" s="23">
        <v>0.2</v>
      </c>
      <c r="D135" s="6">
        <v>0.4509582863585118</v>
      </c>
      <c r="E135" s="24"/>
    </row>
    <row r="136" ht="15.75" customHeight="1">
      <c r="A136" s="22">
        <v>30801.0</v>
      </c>
      <c r="B136" s="1" t="s">
        <v>189</v>
      </c>
      <c r="C136" s="23">
        <v>4.7</v>
      </c>
      <c r="D136" s="6">
        <v>2.2533040676224725</v>
      </c>
      <c r="E136" s="24"/>
    </row>
    <row r="137" ht="15.75" customHeight="1">
      <c r="A137" s="22">
        <v>30802.0</v>
      </c>
      <c r="B137" s="1" t="s">
        <v>190</v>
      </c>
      <c r="C137" s="23">
        <v>0.3</v>
      </c>
      <c r="D137" s="6">
        <v>0.6806282722513088</v>
      </c>
      <c r="E137" s="24"/>
    </row>
    <row r="138" ht="15.75" customHeight="1">
      <c r="A138" s="22">
        <v>30803.0</v>
      </c>
      <c r="B138" s="1" t="s">
        <v>191</v>
      </c>
      <c r="C138" s="23">
        <v>1.3</v>
      </c>
      <c r="D138" s="6">
        <v>2.7764227642276422</v>
      </c>
      <c r="E138" s="24"/>
    </row>
    <row r="139" ht="15.75" customHeight="1">
      <c r="A139" s="22">
        <v>30901.0</v>
      </c>
      <c r="B139" s="1" t="s">
        <v>192</v>
      </c>
      <c r="C139" s="23">
        <v>3.3</v>
      </c>
      <c r="D139" s="6">
        <v>5.135604160478137</v>
      </c>
      <c r="E139" s="24"/>
    </row>
    <row r="140" ht="15.75" customHeight="1">
      <c r="A140" s="22">
        <v>30902.0</v>
      </c>
      <c r="B140" s="1" t="s">
        <v>193</v>
      </c>
      <c r="C140" s="23">
        <v>3.0</v>
      </c>
      <c r="D140" s="6">
        <v>1.9171300396347217</v>
      </c>
      <c r="E140" s="24"/>
    </row>
    <row r="141" ht="15.75" customHeight="1">
      <c r="A141" s="22">
        <v>30903.0</v>
      </c>
      <c r="B141" s="1" t="s">
        <v>194</v>
      </c>
      <c r="C141" s="23">
        <v>3.4</v>
      </c>
      <c r="D141" s="6">
        <v>4.178427730484116</v>
      </c>
      <c r="E141" s="24"/>
    </row>
    <row r="142" ht="15.75" customHeight="1">
      <c r="A142" s="22">
        <v>30904.0</v>
      </c>
      <c r="B142" s="1" t="s">
        <v>195</v>
      </c>
      <c r="C142" s="23">
        <v>3.1</v>
      </c>
      <c r="D142" s="6">
        <v>2.13655305326705</v>
      </c>
      <c r="E142" s="24"/>
    </row>
    <row r="143" ht="15.75" customHeight="1">
      <c r="A143" s="22">
        <v>30905.0</v>
      </c>
      <c r="B143" s="1" t="s">
        <v>196</v>
      </c>
      <c r="C143" s="23">
        <v>2.8</v>
      </c>
      <c r="D143" s="6">
        <v>2.4663774781366508</v>
      </c>
      <c r="E143" s="24"/>
    </row>
    <row r="144" ht="15.75" customHeight="1">
      <c r="A144" s="22">
        <v>31001.0</v>
      </c>
      <c r="B144" s="1" t="s">
        <v>198</v>
      </c>
      <c r="C144" s="23">
        <v>2.9</v>
      </c>
      <c r="D144" s="6">
        <v>6.672142555140582</v>
      </c>
      <c r="E144" s="24"/>
    </row>
    <row r="145" ht="15.75" customHeight="1">
      <c r="A145" s="22">
        <v>31002.0</v>
      </c>
      <c r="B145" s="1" t="s">
        <v>199</v>
      </c>
      <c r="C145" s="23">
        <v>6.2</v>
      </c>
      <c r="D145" s="6">
        <v>0.7484653767455217</v>
      </c>
      <c r="E145" s="24"/>
    </row>
    <row r="146" ht="15.75" customHeight="1">
      <c r="A146" s="22">
        <v>31003.0</v>
      </c>
      <c r="B146" s="1" t="s">
        <v>200</v>
      </c>
      <c r="C146" s="23">
        <v>2.3</v>
      </c>
      <c r="D146" s="6">
        <v>5.3084507042253515</v>
      </c>
      <c r="E146" s="24"/>
    </row>
    <row r="147" ht="15.75" customHeight="1">
      <c r="A147" s="22">
        <v>31101.0</v>
      </c>
      <c r="B147" s="1" t="s">
        <v>201</v>
      </c>
      <c r="C147" s="23">
        <v>8.0</v>
      </c>
      <c r="D147" s="6">
        <v>1.2561218937057863</v>
      </c>
      <c r="E147" s="24"/>
    </row>
    <row r="148" ht="15.75" customHeight="1">
      <c r="A148" s="22">
        <v>31201.0</v>
      </c>
      <c r="B148" s="1" t="s">
        <v>203</v>
      </c>
      <c r="C148" s="23">
        <v>0.5</v>
      </c>
      <c r="D148" s="6">
        <v>1.6782923375465466</v>
      </c>
      <c r="E148" s="24"/>
    </row>
    <row r="149" ht="15.75" customHeight="1">
      <c r="A149" s="22">
        <v>31202.0</v>
      </c>
      <c r="B149" s="1" t="s">
        <v>204</v>
      </c>
      <c r="C149" s="23">
        <v>0.3</v>
      </c>
      <c r="D149" s="6">
        <v>0.7137834036568214</v>
      </c>
      <c r="E149" s="24"/>
    </row>
    <row r="150" ht="15.75" customHeight="1">
      <c r="A150" s="22">
        <v>31203.0</v>
      </c>
      <c r="B150" s="1" t="s">
        <v>205</v>
      </c>
      <c r="C150" s="23">
        <v>0.2</v>
      </c>
      <c r="D150" s="6">
        <v>0.4341676808209717</v>
      </c>
      <c r="E150" s="24"/>
    </row>
    <row r="151" ht="15.75" customHeight="1">
      <c r="A151" s="22">
        <v>31204.0</v>
      </c>
      <c r="B151" s="1" t="s">
        <v>206</v>
      </c>
      <c r="C151" s="23">
        <v>3.6</v>
      </c>
      <c r="D151" s="6">
        <v>2.2716672320217097</v>
      </c>
      <c r="E151" s="24"/>
    </row>
    <row r="152" ht="15.75" customHeight="1">
      <c r="A152" s="22">
        <v>31205.0</v>
      </c>
      <c r="B152" s="1" t="s">
        <v>207</v>
      </c>
      <c r="C152" s="23">
        <v>1.8</v>
      </c>
      <c r="D152" s="6">
        <v>2.1774331512506415</v>
      </c>
      <c r="E152" s="24"/>
    </row>
    <row r="153" ht="15.75" customHeight="1">
      <c r="A153" s="22">
        <v>31206.0</v>
      </c>
      <c r="B153" s="1" t="s">
        <v>208</v>
      </c>
      <c r="C153" s="23">
        <v>1.9</v>
      </c>
      <c r="D153" s="6">
        <v>1.9992409867172674</v>
      </c>
      <c r="E153" s="24"/>
    </row>
    <row r="154" ht="15.75" customHeight="1">
      <c r="A154" s="22">
        <v>31301.0</v>
      </c>
      <c r="B154" s="1" t="s">
        <v>209</v>
      </c>
      <c r="C154" s="23">
        <v>3.7</v>
      </c>
      <c r="D154" s="6">
        <v>1.728838353613937</v>
      </c>
      <c r="E154" s="24"/>
    </row>
    <row r="155" ht="15.75" customHeight="1">
      <c r="A155" s="22">
        <v>31302.0</v>
      </c>
      <c r="B155" s="1" t="s">
        <v>210</v>
      </c>
      <c r="C155" s="23">
        <v>0.6</v>
      </c>
      <c r="D155" s="6">
        <v>1.4847344207444582</v>
      </c>
      <c r="E155" s="24"/>
    </row>
    <row r="156" ht="15.75" customHeight="1">
      <c r="A156" s="22">
        <v>31303.0</v>
      </c>
      <c r="B156" s="1" t="s">
        <v>211</v>
      </c>
      <c r="C156" s="23">
        <v>0.2</v>
      </c>
      <c r="D156" s="6">
        <v>0.43692479315794364</v>
      </c>
      <c r="E156" s="24"/>
    </row>
    <row r="157" ht="15.75" customHeight="1">
      <c r="A157" s="25">
        <v>31304.0</v>
      </c>
      <c r="B157" s="1" t="s">
        <v>212</v>
      </c>
      <c r="C157" s="23"/>
      <c r="D157" s="6"/>
      <c r="E157" s="24"/>
    </row>
    <row r="158" ht="15.75" customHeight="1">
      <c r="A158" s="22">
        <v>31401.0</v>
      </c>
      <c r="B158" s="1" t="s">
        <v>214</v>
      </c>
      <c r="C158" s="23">
        <v>4.6</v>
      </c>
      <c r="D158" s="6">
        <v>5.767298942267919</v>
      </c>
      <c r="E158" s="24"/>
    </row>
    <row r="159" ht="15.75" customHeight="1">
      <c r="A159" s="22">
        <v>31402.0</v>
      </c>
      <c r="B159" s="1" t="s">
        <v>215</v>
      </c>
      <c r="C159" s="23">
        <v>0.7</v>
      </c>
      <c r="D159" s="6">
        <v>1.7707567964731816</v>
      </c>
      <c r="E159" s="24"/>
    </row>
    <row r="160" ht="15.75" customHeight="1">
      <c r="A160" s="22">
        <v>31403.0</v>
      </c>
      <c r="B160" s="1" t="s">
        <v>216</v>
      </c>
      <c r="C160" s="23">
        <v>0.6</v>
      </c>
      <c r="D160" s="6">
        <v>1.1147050175091555</v>
      </c>
      <c r="E160" s="24"/>
    </row>
    <row r="161" ht="15.75" customHeight="1">
      <c r="A161" s="22">
        <v>31404.0</v>
      </c>
      <c r="B161" s="1" t="s">
        <v>217</v>
      </c>
      <c r="C161" s="23">
        <v>0.7</v>
      </c>
      <c r="D161" s="6">
        <v>2.8193079880392995</v>
      </c>
      <c r="E161" s="24"/>
    </row>
    <row r="162" ht="15.75" customHeight="1">
      <c r="A162" s="22">
        <v>31405.0</v>
      </c>
      <c r="B162" s="1" t="s">
        <v>218</v>
      </c>
      <c r="C162" s="23">
        <v>1.2</v>
      </c>
      <c r="D162" s="6">
        <v>3.3278214138073587</v>
      </c>
      <c r="E162" s="24"/>
    </row>
    <row r="163" ht="15.75" customHeight="1">
      <c r="A163" s="22">
        <v>31501.0</v>
      </c>
      <c r="B163" s="1" t="s">
        <v>219</v>
      </c>
      <c r="C163" s="23">
        <v>0.2</v>
      </c>
      <c r="D163" s="6">
        <v>0.6563706563706564</v>
      </c>
      <c r="E163" s="24"/>
    </row>
    <row r="164" ht="15.75" customHeight="1">
      <c r="A164" s="22">
        <v>31601.0</v>
      </c>
      <c r="B164" s="1" t="s">
        <v>220</v>
      </c>
      <c r="C164" s="23">
        <v>6.6</v>
      </c>
      <c r="D164" s="6">
        <v>0.41548128287521235</v>
      </c>
      <c r="E164" s="24"/>
    </row>
    <row r="165" ht="15.75" customHeight="1">
      <c r="A165" s="22">
        <v>31602.0</v>
      </c>
      <c r="B165" s="1" t="s">
        <v>221</v>
      </c>
      <c r="C165" s="23">
        <v>4.4</v>
      </c>
      <c r="D165" s="6">
        <v>3.519484427503887</v>
      </c>
      <c r="E165" s="24"/>
    </row>
    <row r="166" ht="15.75" customHeight="1">
      <c r="A166" s="22">
        <v>40101.0</v>
      </c>
      <c r="B166" s="1" t="s">
        <v>22</v>
      </c>
      <c r="C166" s="23">
        <v>3.3</v>
      </c>
      <c r="D166" s="6">
        <v>4.402460986402983</v>
      </c>
      <c r="E166" s="24"/>
    </row>
    <row r="167" ht="15.75" customHeight="1">
      <c r="A167" s="22">
        <v>40102.0</v>
      </c>
      <c r="B167" s="1" t="s">
        <v>222</v>
      </c>
      <c r="C167" s="23">
        <v>2.2</v>
      </c>
      <c r="D167" s="6">
        <v>2.4637000825549964</v>
      </c>
      <c r="E167" s="24"/>
    </row>
    <row r="168" ht="15.75" customHeight="1">
      <c r="A168" s="22">
        <v>40103.0</v>
      </c>
      <c r="B168" s="1" t="s">
        <v>223</v>
      </c>
      <c r="C168" s="23">
        <v>0.2</v>
      </c>
      <c r="D168" s="6">
        <v>0.5294581502759942</v>
      </c>
      <c r="E168" s="24"/>
    </row>
    <row r="169" ht="15.75" customHeight="1">
      <c r="A169" s="22">
        <v>40104.0</v>
      </c>
      <c r="B169" s="1" t="s">
        <v>224</v>
      </c>
      <c r="C169" s="23">
        <v>0.3</v>
      </c>
      <c r="D169" s="6">
        <v>0.40925142068707465</v>
      </c>
      <c r="E169" s="24"/>
    </row>
    <row r="170" ht="15.75" customHeight="1">
      <c r="A170" s="22">
        <v>40201.0</v>
      </c>
      <c r="B170" s="1" t="s">
        <v>226</v>
      </c>
      <c r="C170" s="23">
        <v>2.1</v>
      </c>
      <c r="D170" s="6">
        <v>5.735763894407272</v>
      </c>
      <c r="E170" s="24"/>
    </row>
    <row r="171" ht="15.75" customHeight="1">
      <c r="A171" s="22">
        <v>40202.0</v>
      </c>
      <c r="B171" s="1" t="s">
        <v>227</v>
      </c>
      <c r="C171" s="23">
        <v>0.6</v>
      </c>
      <c r="D171" s="6">
        <v>1.5787585217079299</v>
      </c>
      <c r="E171" s="24"/>
    </row>
    <row r="172" ht="15.75" customHeight="1">
      <c r="A172" s="22">
        <v>40301.0</v>
      </c>
      <c r="B172" s="1" t="s">
        <v>229</v>
      </c>
      <c r="C172" s="23">
        <v>0.4</v>
      </c>
      <c r="D172" s="6">
        <v>1.2375313383474689</v>
      </c>
      <c r="E172" s="24"/>
    </row>
    <row r="173" ht="15.75" customHeight="1">
      <c r="A173" s="22">
        <v>40302.0</v>
      </c>
      <c r="B173" s="1" t="s">
        <v>230</v>
      </c>
      <c r="C173" s="23">
        <v>0.3</v>
      </c>
      <c r="D173" s="6">
        <v>0.9491114701130855</v>
      </c>
      <c r="E173" s="24"/>
    </row>
    <row r="174" ht="15.75" customHeight="1">
      <c r="A174" s="22">
        <v>40401.0</v>
      </c>
      <c r="B174" s="1" t="s">
        <v>232</v>
      </c>
      <c r="C174" s="23">
        <v>0.2</v>
      </c>
      <c r="D174" s="6">
        <v>0.595696965449576</v>
      </c>
      <c r="E174" s="24"/>
    </row>
    <row r="175" ht="15.75" customHeight="1">
      <c r="A175" s="22">
        <v>40402.0</v>
      </c>
      <c r="B175" s="1" t="s">
        <v>233</v>
      </c>
      <c r="C175" s="23">
        <v>0.4</v>
      </c>
      <c r="D175" s="6">
        <v>1.0633379565418402</v>
      </c>
      <c r="E175" s="24"/>
    </row>
    <row r="176" ht="15.75" customHeight="1">
      <c r="A176" s="22">
        <v>40501.0</v>
      </c>
      <c r="B176" s="1" t="s">
        <v>235</v>
      </c>
      <c r="C176" s="23">
        <v>1.1</v>
      </c>
      <c r="D176" s="6">
        <v>2.9259896729776247</v>
      </c>
      <c r="E176" s="24"/>
    </row>
    <row r="177" ht="15.75" customHeight="1">
      <c r="A177" s="22">
        <v>40502.0</v>
      </c>
      <c r="B177" s="1" t="s">
        <v>236</v>
      </c>
      <c r="C177" s="23">
        <v>0.3</v>
      </c>
      <c r="D177" s="6">
        <v>2.2321942239097914</v>
      </c>
      <c r="E177" s="24"/>
    </row>
    <row r="178" ht="15.75" customHeight="1">
      <c r="A178" s="22">
        <v>40503.0</v>
      </c>
      <c r="B178" s="1" t="s">
        <v>237</v>
      </c>
      <c r="C178" s="23">
        <v>0.2</v>
      </c>
      <c r="D178" s="6">
        <v>0.9487666034155597</v>
      </c>
      <c r="E178" s="24"/>
    </row>
    <row r="179" ht="15.75" customHeight="1">
      <c r="A179" s="22">
        <v>40504.0</v>
      </c>
      <c r="B179" s="1" t="s">
        <v>238</v>
      </c>
      <c r="C179" s="23">
        <v>0.0</v>
      </c>
      <c r="D179" s="6">
        <v>5.755947812739831</v>
      </c>
      <c r="E179" s="24"/>
    </row>
    <row r="180" ht="15.75" customHeight="1">
      <c r="A180" s="22">
        <v>40505.0</v>
      </c>
      <c r="B180" s="1" t="s">
        <v>239</v>
      </c>
      <c r="C180" s="23">
        <v>0.2</v>
      </c>
      <c r="D180" s="6">
        <v>1.054520978236482</v>
      </c>
      <c r="E180" s="24"/>
    </row>
    <row r="181" ht="15.75" customHeight="1">
      <c r="A181" s="22">
        <v>40601.0</v>
      </c>
      <c r="B181" s="1" t="s">
        <v>240</v>
      </c>
      <c r="C181" s="23">
        <v>0.1</v>
      </c>
      <c r="D181" s="6">
        <v>0.3126135255540047</v>
      </c>
      <c r="E181" s="24"/>
    </row>
    <row r="182" ht="15.75" customHeight="1">
      <c r="A182" s="22">
        <v>40602.0</v>
      </c>
      <c r="B182" s="1" t="s">
        <v>241</v>
      </c>
      <c r="C182" s="23">
        <v>0.5</v>
      </c>
      <c r="D182" s="6">
        <v>1.0596427490160458</v>
      </c>
      <c r="E182" s="24"/>
    </row>
    <row r="183" ht="15.75" customHeight="1">
      <c r="A183" s="22">
        <v>40603.0</v>
      </c>
      <c r="B183" s="1" t="s">
        <v>242</v>
      </c>
      <c r="C183" s="23">
        <v>0.0</v>
      </c>
      <c r="D183" s="6">
        <v>0.03161983919053212</v>
      </c>
      <c r="E183" s="24"/>
    </row>
    <row r="184" ht="15.75" customHeight="1">
      <c r="A184" s="22">
        <v>40701.0</v>
      </c>
      <c r="B184" s="1" t="s">
        <v>244</v>
      </c>
      <c r="C184" s="23">
        <v>0.7</v>
      </c>
      <c r="D184" s="6">
        <v>0.9513528102017407</v>
      </c>
      <c r="E184" s="24"/>
    </row>
    <row r="185" ht="15.75" customHeight="1">
      <c r="A185" s="22">
        <v>40702.0</v>
      </c>
      <c r="B185" s="1" t="s">
        <v>245</v>
      </c>
      <c r="C185" s="23">
        <v>1.1</v>
      </c>
      <c r="D185" s="6">
        <v>1.8554116172168826</v>
      </c>
      <c r="E185" s="24"/>
    </row>
    <row r="186" ht="15.75" customHeight="1">
      <c r="A186" s="22">
        <v>40801.0</v>
      </c>
      <c r="B186" s="1" t="s">
        <v>247</v>
      </c>
      <c r="C186" s="23">
        <v>0.2</v>
      </c>
      <c r="D186" s="6">
        <v>0.45580777589954125</v>
      </c>
      <c r="E186" s="24"/>
    </row>
    <row r="187" ht="15.75" customHeight="1">
      <c r="A187" s="22">
        <v>40802.0</v>
      </c>
      <c r="B187" s="1" t="s">
        <v>248</v>
      </c>
      <c r="C187" s="23">
        <v>0.3</v>
      </c>
      <c r="D187" s="6">
        <v>0.5026737967914439</v>
      </c>
      <c r="E187" s="24"/>
    </row>
    <row r="188" ht="15.75" customHeight="1">
      <c r="A188" s="22">
        <v>40901.0</v>
      </c>
      <c r="B188" s="1" t="s">
        <v>249</v>
      </c>
      <c r="C188" s="23">
        <v>0.9</v>
      </c>
      <c r="D188" s="6">
        <v>2.864400840925018</v>
      </c>
      <c r="E188" s="24"/>
    </row>
    <row r="189" ht="15.75" customHeight="1">
      <c r="A189" s="22">
        <v>40902.0</v>
      </c>
      <c r="B189" s="1" t="s">
        <v>250</v>
      </c>
      <c r="C189" s="23">
        <v>0.1</v>
      </c>
      <c r="D189" s="6">
        <v>0.37236243276789405</v>
      </c>
      <c r="E189" s="24"/>
    </row>
    <row r="190" ht="15.75" customHeight="1">
      <c r="A190" s="22">
        <v>40903.0</v>
      </c>
      <c r="B190" s="1" t="s">
        <v>251</v>
      </c>
      <c r="C190" s="23">
        <v>0.2</v>
      </c>
      <c r="D190" s="6">
        <v>0.581207620277688</v>
      </c>
      <c r="E190" s="24"/>
    </row>
    <row r="191" ht="15.75" customHeight="1">
      <c r="A191" s="22">
        <v>41001.0</v>
      </c>
      <c r="B191" s="1" t="s">
        <v>253</v>
      </c>
      <c r="C191" s="23">
        <v>0.3</v>
      </c>
      <c r="D191" s="6">
        <v>0.8642711171662124</v>
      </c>
      <c r="E191" s="24"/>
    </row>
    <row r="192" ht="15.75" customHeight="1">
      <c r="A192" s="22">
        <v>41101.0</v>
      </c>
      <c r="B192" s="1" t="s">
        <v>255</v>
      </c>
      <c r="C192" s="23">
        <v>0.7</v>
      </c>
      <c r="D192" s="6">
        <v>1.3652533410249013</v>
      </c>
      <c r="E192" s="24"/>
    </row>
    <row r="193" ht="15.75" customHeight="1">
      <c r="A193" s="22">
        <v>41201.0</v>
      </c>
      <c r="B193" s="1" t="s">
        <v>257</v>
      </c>
      <c r="C193" s="23">
        <v>0.3</v>
      </c>
      <c r="D193" s="6">
        <v>0.5818463925523661</v>
      </c>
      <c r="E193" s="24"/>
    </row>
    <row r="194" ht="15.75" customHeight="1">
      <c r="A194" s="22">
        <v>41202.0</v>
      </c>
      <c r="B194" s="1" t="s">
        <v>258</v>
      </c>
      <c r="C194" s="23">
        <v>0.3</v>
      </c>
      <c r="D194" s="6">
        <v>0.7863476660532038</v>
      </c>
      <c r="E194" s="24"/>
    </row>
    <row r="195" ht="15.75" customHeight="1">
      <c r="A195" s="22">
        <v>41301.0</v>
      </c>
      <c r="B195" s="1" t="s">
        <v>259</v>
      </c>
      <c r="C195" s="23">
        <v>0.2</v>
      </c>
      <c r="D195" s="6">
        <v>0.8247622744032602</v>
      </c>
      <c r="E195" s="24"/>
    </row>
    <row r="196" ht="15.75" customHeight="1">
      <c r="A196" s="22">
        <v>41401.0</v>
      </c>
      <c r="B196" s="1" t="s">
        <v>261</v>
      </c>
      <c r="C196" s="23">
        <v>0.2</v>
      </c>
      <c r="D196" s="6">
        <v>0.22907438739235408</v>
      </c>
      <c r="E196" s="24"/>
    </row>
    <row r="197" ht="15.75" customHeight="1">
      <c r="A197" s="22">
        <v>41501.0</v>
      </c>
      <c r="B197" s="1" t="s">
        <v>263</v>
      </c>
      <c r="C197" s="23">
        <v>0.1</v>
      </c>
      <c r="D197" s="6">
        <v>0.36481556546412647</v>
      </c>
      <c r="E197" s="24"/>
    </row>
    <row r="198" ht="15.75" customHeight="1">
      <c r="A198" s="22">
        <v>41502.0</v>
      </c>
      <c r="B198" s="1" t="s">
        <v>264</v>
      </c>
      <c r="C198" s="23">
        <v>0.2</v>
      </c>
      <c r="D198" s="6">
        <v>0.5202312138728323</v>
      </c>
      <c r="E198" s="24"/>
    </row>
    <row r="199" ht="15.75" customHeight="1">
      <c r="A199" s="22">
        <v>41503.0</v>
      </c>
      <c r="B199" s="1" t="s">
        <v>228</v>
      </c>
      <c r="C199" s="23">
        <v>0.5</v>
      </c>
      <c r="D199" s="6">
        <v>4.831124412141941</v>
      </c>
      <c r="E199" s="24"/>
    </row>
    <row r="200" ht="15.75" customHeight="1">
      <c r="A200" s="22">
        <v>41601.0</v>
      </c>
      <c r="B200" s="1" t="s">
        <v>266</v>
      </c>
      <c r="C200" s="23">
        <v>0.2</v>
      </c>
      <c r="D200" s="6">
        <v>0.5125815470643057</v>
      </c>
      <c r="E200" s="24"/>
    </row>
    <row r="201" ht="15.75" customHeight="1">
      <c r="A201" s="22">
        <v>50101.0</v>
      </c>
      <c r="B201" s="1" t="s">
        <v>267</v>
      </c>
      <c r="C201" s="23">
        <v>5.4</v>
      </c>
      <c r="D201" s="6">
        <v>3.2447254037385638</v>
      </c>
      <c r="E201" s="24"/>
    </row>
    <row r="202" ht="15.75" customHeight="1">
      <c r="A202" s="22">
        <v>50102.0</v>
      </c>
      <c r="B202" s="1" t="s">
        <v>269</v>
      </c>
      <c r="C202" s="23">
        <v>2.0</v>
      </c>
      <c r="D202" s="6">
        <v>0.963275135460566</v>
      </c>
      <c r="E202" s="24"/>
    </row>
    <row r="203" ht="15.75" customHeight="1">
      <c r="A203" s="22">
        <v>50103.0</v>
      </c>
      <c r="B203" s="1" t="s">
        <v>270</v>
      </c>
      <c r="C203" s="23">
        <v>0.7</v>
      </c>
      <c r="D203" s="6">
        <v>2.050326188257223</v>
      </c>
      <c r="E203" s="24"/>
    </row>
    <row r="204" ht="15.75" customHeight="1">
      <c r="A204" s="22">
        <v>50104.0</v>
      </c>
      <c r="B204" s="1" t="s">
        <v>271</v>
      </c>
      <c r="C204" s="23">
        <v>0.2</v>
      </c>
      <c r="D204" s="6">
        <v>2.5749933634191664</v>
      </c>
      <c r="E204" s="24"/>
    </row>
    <row r="205" ht="15.75" customHeight="1">
      <c r="A205" s="22">
        <v>50201.0</v>
      </c>
      <c r="B205" s="1" t="s">
        <v>273</v>
      </c>
      <c r="C205" s="23">
        <v>3.1</v>
      </c>
      <c r="D205" s="6">
        <v>2.6918622715589073</v>
      </c>
      <c r="E205" s="24"/>
    </row>
    <row r="206" ht="15.75" customHeight="1">
      <c r="A206" s="22">
        <v>50202.0</v>
      </c>
      <c r="B206" s="1" t="s">
        <v>274</v>
      </c>
      <c r="C206" s="23">
        <v>0.5</v>
      </c>
      <c r="D206" s="6">
        <v>1.229138881880114</v>
      </c>
      <c r="E206" s="24"/>
    </row>
    <row r="207" ht="15.75" customHeight="1">
      <c r="A207" s="22">
        <v>50203.0</v>
      </c>
      <c r="B207" s="1" t="s">
        <v>275</v>
      </c>
      <c r="C207" s="23">
        <v>2.5</v>
      </c>
      <c r="D207" s="6">
        <v>5.574612344787466</v>
      </c>
      <c r="E207" s="24"/>
    </row>
    <row r="208" ht="15.75" customHeight="1">
      <c r="A208" s="22">
        <v>50204.0</v>
      </c>
      <c r="B208" s="1" t="s">
        <v>276</v>
      </c>
      <c r="C208" s="23">
        <v>0.3</v>
      </c>
      <c r="D208" s="6">
        <v>0.8436213991769547</v>
      </c>
      <c r="E208" s="24"/>
    </row>
    <row r="209" ht="15.75" customHeight="1">
      <c r="A209" s="22">
        <v>50301.0</v>
      </c>
      <c r="B209" s="1" t="s">
        <v>278</v>
      </c>
      <c r="C209" s="23">
        <v>2.2</v>
      </c>
      <c r="D209" s="6">
        <v>1.8381971128881502</v>
      </c>
      <c r="E209" s="24"/>
    </row>
    <row r="210" ht="15.75" customHeight="1">
      <c r="A210" s="22">
        <v>50302.0</v>
      </c>
      <c r="B210" s="1" t="s">
        <v>279</v>
      </c>
      <c r="C210" s="23">
        <v>0.7</v>
      </c>
      <c r="D210" s="6">
        <v>5.321279048601419</v>
      </c>
      <c r="E210" s="24"/>
    </row>
    <row r="211" ht="15.75" customHeight="1">
      <c r="A211" s="22">
        <v>50303.0</v>
      </c>
      <c r="B211" s="1" t="s">
        <v>280</v>
      </c>
      <c r="C211" s="23">
        <v>0.2</v>
      </c>
      <c r="D211" s="6">
        <v>0.39715854052308686</v>
      </c>
      <c r="E211" s="24"/>
    </row>
    <row r="212" ht="15.75" customHeight="1">
      <c r="A212" s="22">
        <v>50401.0</v>
      </c>
      <c r="B212" s="1" t="s">
        <v>281</v>
      </c>
      <c r="C212" s="23">
        <v>1.5</v>
      </c>
      <c r="D212" s="6">
        <v>0.9718447876993948</v>
      </c>
      <c r="E212" s="24"/>
    </row>
    <row r="213" ht="15.75" customHeight="1">
      <c r="A213" s="22">
        <v>50402.0</v>
      </c>
      <c r="B213" s="1" t="s">
        <v>282</v>
      </c>
      <c r="C213" s="23">
        <v>2.6</v>
      </c>
      <c r="D213" s="6">
        <v>0.9652127147669054</v>
      </c>
      <c r="E213" s="24"/>
    </row>
    <row r="214" ht="15.75" customHeight="1">
      <c r="A214" s="22">
        <v>50403.0</v>
      </c>
      <c r="B214" s="1" t="s">
        <v>283</v>
      </c>
      <c r="C214" s="23">
        <v>2.1</v>
      </c>
      <c r="D214" s="6">
        <v>1.081868070332624</v>
      </c>
      <c r="E214" s="24"/>
    </row>
    <row r="215" ht="15.75" customHeight="1">
      <c r="A215" s="22">
        <v>50404.0</v>
      </c>
      <c r="B215" s="1" t="s">
        <v>284</v>
      </c>
      <c r="C215" s="23">
        <v>0.3</v>
      </c>
      <c r="D215" s="6">
        <v>1.0653985106539852</v>
      </c>
      <c r="E215" s="24"/>
    </row>
    <row r="216" ht="15.75" customHeight="1">
      <c r="A216" s="22">
        <v>50405.0</v>
      </c>
      <c r="B216" s="26" t="s">
        <v>285</v>
      </c>
      <c r="C216" s="23"/>
      <c r="D216" s="6"/>
      <c r="E216" s="24"/>
    </row>
    <row r="217" ht="15.75" customHeight="1">
      <c r="A217" s="22">
        <v>50501.0</v>
      </c>
      <c r="B217" s="1" t="s">
        <v>288</v>
      </c>
      <c r="C217" s="23">
        <v>2.0</v>
      </c>
      <c r="D217" s="6">
        <v>1.0272117348001832</v>
      </c>
      <c r="E217" s="24"/>
    </row>
    <row r="218" ht="15.75" customHeight="1">
      <c r="A218" s="22">
        <v>50502.0</v>
      </c>
      <c r="B218" s="1" t="s">
        <v>289</v>
      </c>
      <c r="C218" s="23">
        <v>24.9</v>
      </c>
      <c r="D218" s="6">
        <v>5.800199515462449</v>
      </c>
      <c r="E218" s="24"/>
    </row>
    <row r="219" ht="15.75" customHeight="1">
      <c r="A219" s="22">
        <v>50601.0</v>
      </c>
      <c r="B219" s="1" t="s">
        <v>291</v>
      </c>
      <c r="C219" s="23">
        <v>2.5</v>
      </c>
      <c r="D219" s="6">
        <v>2.790890957446808</v>
      </c>
      <c r="E219" s="24"/>
    </row>
    <row r="220" ht="15.75" customHeight="1">
      <c r="A220" s="22">
        <v>50602.0</v>
      </c>
      <c r="B220" s="1" t="s">
        <v>292</v>
      </c>
      <c r="C220" s="23">
        <v>1.4</v>
      </c>
      <c r="D220" s="6">
        <v>3.7844960105409555</v>
      </c>
      <c r="E220" s="24"/>
    </row>
    <row r="221" ht="15.75" customHeight="1">
      <c r="A221" s="22">
        <v>50701.0</v>
      </c>
      <c r="B221" s="1" t="s">
        <v>294</v>
      </c>
      <c r="C221" s="23">
        <v>0.4</v>
      </c>
      <c r="D221" s="6">
        <v>1.142660273893945</v>
      </c>
      <c r="E221" s="24"/>
    </row>
    <row r="222" ht="15.75" customHeight="1">
      <c r="A222" s="22">
        <v>50702.0</v>
      </c>
      <c r="B222" s="1" t="s">
        <v>295</v>
      </c>
      <c r="C222" s="23">
        <v>0.3</v>
      </c>
      <c r="D222" s="6">
        <v>1.2475939259998574</v>
      </c>
      <c r="E222" s="24"/>
    </row>
    <row r="223" ht="15.75" customHeight="1">
      <c r="A223" s="22">
        <v>50801.0</v>
      </c>
      <c r="B223" s="1" t="s">
        <v>297</v>
      </c>
      <c r="C223" s="23">
        <v>4.4</v>
      </c>
      <c r="D223" s="6">
        <v>6.496426340989522</v>
      </c>
      <c r="E223" s="24"/>
    </row>
    <row r="224" ht="15.75" customHeight="1">
      <c r="A224" s="22">
        <v>50802.0</v>
      </c>
      <c r="B224" s="1" t="s">
        <v>298</v>
      </c>
      <c r="C224" s="23">
        <v>0.3</v>
      </c>
      <c r="D224" s="6">
        <v>0.45143491813263587</v>
      </c>
      <c r="E224" s="24"/>
    </row>
    <row r="225" ht="15.75" customHeight="1">
      <c r="A225" s="22">
        <v>50901.0</v>
      </c>
      <c r="B225" s="1" t="s">
        <v>300</v>
      </c>
      <c r="C225" s="23">
        <v>0.0</v>
      </c>
      <c r="D225" s="6">
        <v>0.16736460458136457</v>
      </c>
      <c r="E225" s="24"/>
    </row>
    <row r="226" ht="15.75" customHeight="1">
      <c r="A226" s="22">
        <v>50902.0</v>
      </c>
      <c r="B226" s="1" t="s">
        <v>301</v>
      </c>
      <c r="C226" s="23">
        <v>1.1</v>
      </c>
      <c r="D226" s="6">
        <v>2.009777294948398</v>
      </c>
      <c r="E226" s="24"/>
    </row>
    <row r="227" ht="15.75" customHeight="1">
      <c r="A227" s="22">
        <v>51001.0</v>
      </c>
      <c r="B227" s="1" t="s">
        <v>303</v>
      </c>
      <c r="C227" s="23">
        <v>1.9</v>
      </c>
      <c r="D227" s="6">
        <v>3.1774133432724567</v>
      </c>
      <c r="E227" s="24"/>
    </row>
    <row r="228" ht="15.75" customHeight="1">
      <c r="A228" s="22">
        <v>51002.0</v>
      </c>
      <c r="B228" s="1" t="s">
        <v>304</v>
      </c>
      <c r="C228" s="23">
        <v>0.0</v>
      </c>
      <c r="D228" s="6">
        <v>0.7853403141361256</v>
      </c>
      <c r="E228" s="24"/>
    </row>
    <row r="229" ht="15.75" customHeight="1">
      <c r="A229" s="22">
        <v>51003.0</v>
      </c>
      <c r="B229" s="1" t="s">
        <v>305</v>
      </c>
      <c r="C229" s="23">
        <v>0.9</v>
      </c>
      <c r="D229" s="6">
        <v>3.6443148688046647</v>
      </c>
      <c r="E229" s="24"/>
    </row>
    <row r="230" ht="15.75" customHeight="1">
      <c r="A230" s="22">
        <v>51101.0</v>
      </c>
      <c r="B230" s="1" t="s">
        <v>307</v>
      </c>
      <c r="C230" s="23">
        <v>2.5</v>
      </c>
      <c r="D230" s="6">
        <v>0.8906882591093117</v>
      </c>
      <c r="E230" s="24"/>
    </row>
    <row r="231" ht="15.75" customHeight="1">
      <c r="A231" s="22">
        <v>51102.0</v>
      </c>
      <c r="B231" s="1" t="s">
        <v>308</v>
      </c>
      <c r="C231" s="23">
        <v>0.5</v>
      </c>
      <c r="D231" s="6">
        <v>1.1724695585996954</v>
      </c>
      <c r="E231" s="24"/>
    </row>
    <row r="232" ht="15.75" customHeight="1">
      <c r="A232" s="22">
        <v>51103.0</v>
      </c>
      <c r="B232" s="1" t="s">
        <v>309</v>
      </c>
      <c r="C232" s="23">
        <v>0.4</v>
      </c>
      <c r="D232" s="6">
        <v>1.0236680292672873</v>
      </c>
      <c r="E232" s="24"/>
    </row>
    <row r="233" ht="15.75" customHeight="1">
      <c r="A233" s="22">
        <v>51201.0</v>
      </c>
      <c r="B233" s="1" t="s">
        <v>311</v>
      </c>
      <c r="C233" s="23">
        <v>29.1</v>
      </c>
      <c r="D233" s="6">
        <v>9.037762142687196</v>
      </c>
      <c r="E233" s="24"/>
    </row>
    <row r="234" ht="15.75" customHeight="1">
      <c r="A234" s="22">
        <v>51202.0</v>
      </c>
      <c r="B234" s="1" t="s">
        <v>312</v>
      </c>
      <c r="C234" s="23">
        <v>0.6</v>
      </c>
      <c r="D234" s="6">
        <v>1.018544384038507</v>
      </c>
      <c r="E234" s="24"/>
    </row>
    <row r="235" ht="15.75" customHeight="1">
      <c r="A235" s="22">
        <v>51203.0</v>
      </c>
      <c r="B235" s="1" t="s">
        <v>313</v>
      </c>
      <c r="C235" s="23">
        <v>0.2</v>
      </c>
      <c r="D235" s="6">
        <v>0.29660706330812736</v>
      </c>
      <c r="E235" s="24"/>
    </row>
    <row r="236" ht="15.75" customHeight="1">
      <c r="A236" s="22">
        <v>51204.0</v>
      </c>
      <c r="B236" s="26" t="s">
        <v>314</v>
      </c>
      <c r="C236" s="23"/>
      <c r="D236" s="6"/>
      <c r="E236" s="24"/>
    </row>
    <row r="237" ht="15.75" customHeight="1">
      <c r="A237" s="22">
        <v>51301.0</v>
      </c>
      <c r="B237" s="1" t="s">
        <v>316</v>
      </c>
      <c r="C237" s="23">
        <v>0.4</v>
      </c>
      <c r="D237" s="6">
        <v>1.257861635220126</v>
      </c>
      <c r="E237" s="24"/>
    </row>
    <row r="238" ht="15.75" customHeight="1">
      <c r="A238" s="22">
        <v>51302.0</v>
      </c>
      <c r="B238" s="1" t="s">
        <v>317</v>
      </c>
      <c r="C238" s="23">
        <v>0.6</v>
      </c>
      <c r="D238" s="6">
        <v>1.6143587686754237</v>
      </c>
      <c r="E238" s="24"/>
    </row>
    <row r="239" ht="15.75" customHeight="1">
      <c r="A239" s="22">
        <v>51401.0</v>
      </c>
      <c r="B239" s="1" t="s">
        <v>319</v>
      </c>
      <c r="C239" s="23">
        <v>0.5</v>
      </c>
      <c r="D239" s="6">
        <v>1.731254299472598</v>
      </c>
      <c r="E239" s="24"/>
    </row>
    <row r="240" ht="15.75" customHeight="1">
      <c r="A240" s="22">
        <v>51402.0</v>
      </c>
      <c r="B240" s="1" t="s">
        <v>320</v>
      </c>
      <c r="C240" s="23">
        <v>0.5</v>
      </c>
      <c r="D240" s="6">
        <v>1.3001383125864452</v>
      </c>
      <c r="E240" s="24"/>
    </row>
    <row r="241" ht="15.75" customHeight="1">
      <c r="A241" s="22">
        <v>51501.0</v>
      </c>
      <c r="B241" s="1" t="s">
        <v>322</v>
      </c>
      <c r="C241" s="23">
        <v>6.0</v>
      </c>
      <c r="D241" s="6">
        <v>11.35110142342878</v>
      </c>
      <c r="E241" s="24"/>
    </row>
    <row r="242" ht="15.75" customHeight="1">
      <c r="A242" s="22">
        <v>51601.0</v>
      </c>
      <c r="B242" s="1" t="s">
        <v>324</v>
      </c>
      <c r="C242" s="23">
        <v>0.7</v>
      </c>
      <c r="D242" s="6">
        <v>3.132415757000475</v>
      </c>
      <c r="E242" s="24"/>
    </row>
    <row r="243" ht="15.75" customHeight="1">
      <c r="A243" s="22">
        <v>60101.0</v>
      </c>
      <c r="B243" s="1" t="s">
        <v>27</v>
      </c>
      <c r="C243" s="23">
        <v>3.3</v>
      </c>
      <c r="D243" s="6">
        <v>5.397964194458547</v>
      </c>
      <c r="E243" s="24"/>
    </row>
    <row r="244" ht="15.75" customHeight="1">
      <c r="A244" s="22">
        <v>60201.0</v>
      </c>
      <c r="B244" s="1" t="s">
        <v>326</v>
      </c>
      <c r="C244" s="23">
        <v>0.7</v>
      </c>
      <c r="D244" s="6">
        <v>1.531201365530398</v>
      </c>
      <c r="E244" s="24"/>
    </row>
    <row r="245" ht="15.75" customHeight="1">
      <c r="A245" s="22">
        <v>60202.0</v>
      </c>
      <c r="B245" s="1" t="s">
        <v>327</v>
      </c>
      <c r="C245" s="23">
        <v>4.0</v>
      </c>
      <c r="D245" s="6">
        <v>6.457088480629592</v>
      </c>
      <c r="E245" s="24"/>
    </row>
    <row r="246" ht="15.75" customHeight="1">
      <c r="A246" s="22">
        <v>60301.0</v>
      </c>
      <c r="B246" s="1" t="s">
        <v>328</v>
      </c>
      <c r="C246" s="23">
        <v>1.7</v>
      </c>
      <c r="D246" s="6">
        <v>3.653790429751901</v>
      </c>
      <c r="E246" s="24"/>
    </row>
    <row r="247" ht="15.75" customHeight="1">
      <c r="A247" s="22">
        <v>60302.0</v>
      </c>
      <c r="B247" s="1" t="s">
        <v>329</v>
      </c>
      <c r="C247" s="23">
        <v>0.8</v>
      </c>
      <c r="D247" s="6">
        <v>2.6915342020441333</v>
      </c>
      <c r="E247" s="24"/>
    </row>
    <row r="248" ht="15.75" customHeight="1">
      <c r="A248" s="22">
        <v>60303.0</v>
      </c>
      <c r="B248" s="1" t="s">
        <v>330</v>
      </c>
      <c r="C248" s="23">
        <v>0.9</v>
      </c>
      <c r="D248" s="6">
        <v>1.4093383867879452</v>
      </c>
      <c r="E248" s="24"/>
    </row>
    <row r="249" ht="15.75" customHeight="1">
      <c r="A249" s="22">
        <v>60401.0</v>
      </c>
      <c r="B249" s="1" t="s">
        <v>332</v>
      </c>
      <c r="C249" s="23">
        <v>0.5</v>
      </c>
      <c r="D249" s="6">
        <v>5.95463308289642</v>
      </c>
      <c r="E249" s="24"/>
    </row>
    <row r="250" ht="15.75" customHeight="1">
      <c r="A250" s="22">
        <v>60402.0</v>
      </c>
      <c r="B250" s="1" t="s">
        <v>333</v>
      </c>
      <c r="C250" s="23">
        <v>0.3</v>
      </c>
      <c r="D250" s="6">
        <v>1.1086627186337972</v>
      </c>
      <c r="E250" s="24"/>
    </row>
    <row r="251" ht="15.75" customHeight="1">
      <c r="A251" s="22">
        <v>60501.0</v>
      </c>
      <c r="B251" s="1" t="s">
        <v>335</v>
      </c>
      <c r="C251" s="23">
        <v>6.0</v>
      </c>
      <c r="D251" s="6">
        <v>6.606472835677696</v>
      </c>
      <c r="E251" s="24"/>
    </row>
    <row r="252" ht="15.75" customHeight="1">
      <c r="A252" s="22">
        <v>60502.0</v>
      </c>
      <c r="B252" s="1" t="s">
        <v>336</v>
      </c>
      <c r="C252" s="23">
        <v>0.2</v>
      </c>
      <c r="D252" s="6">
        <v>0.6150231497477714</v>
      </c>
      <c r="E252" s="24"/>
    </row>
    <row r="253" ht="15.75" customHeight="1">
      <c r="A253" s="22">
        <v>60601.0</v>
      </c>
      <c r="B253" s="1" t="s">
        <v>208</v>
      </c>
      <c r="C253" s="23">
        <v>0.8</v>
      </c>
      <c r="D253" s="6">
        <v>0.6277023832858675</v>
      </c>
      <c r="E253" s="24"/>
    </row>
    <row r="254" ht="15.75" customHeight="1">
      <c r="A254" s="22">
        <v>70101.0</v>
      </c>
      <c r="B254" s="1" t="s">
        <v>339</v>
      </c>
      <c r="C254" s="23">
        <v>5.8</v>
      </c>
      <c r="D254" s="6">
        <v>6.370977691406964</v>
      </c>
      <c r="E254" s="24"/>
    </row>
    <row r="255" ht="15.75" customHeight="1">
      <c r="A255" s="22">
        <v>70102.0</v>
      </c>
      <c r="B255" s="1" t="s">
        <v>340</v>
      </c>
      <c r="C255" s="23">
        <v>3.0</v>
      </c>
      <c r="D255" s="6">
        <v>4.158314979272094</v>
      </c>
      <c r="E255" s="24"/>
    </row>
    <row r="256" ht="15.75" customHeight="1">
      <c r="A256" s="22">
        <v>70103.0</v>
      </c>
      <c r="B256" s="1" t="s">
        <v>341</v>
      </c>
      <c r="C256" s="23">
        <v>1.4</v>
      </c>
      <c r="D256" s="6">
        <v>3.7939910449698253</v>
      </c>
      <c r="E256" s="24"/>
    </row>
    <row r="257" ht="15.75" customHeight="1">
      <c r="A257" s="22">
        <v>70104.0</v>
      </c>
      <c r="B257" s="1" t="s">
        <v>342</v>
      </c>
      <c r="C257" s="23">
        <v>4.0</v>
      </c>
      <c r="D257" s="6">
        <v>5.312740537465279</v>
      </c>
      <c r="E257" s="24"/>
    </row>
    <row r="258" ht="15.75" customHeight="1">
      <c r="A258" s="22">
        <v>70105.0</v>
      </c>
      <c r="B258" s="1" t="s">
        <v>343</v>
      </c>
      <c r="C258" s="23">
        <v>5.6</v>
      </c>
      <c r="D258" s="6">
        <v>6.4652388682341035</v>
      </c>
      <c r="E258" s="24"/>
    </row>
    <row r="259" ht="15.75" customHeight="1">
      <c r="A259" s="22">
        <v>70201.0</v>
      </c>
      <c r="B259" s="1" t="s">
        <v>344</v>
      </c>
      <c r="C259" s="23">
        <v>2.0</v>
      </c>
      <c r="D259" s="6">
        <v>2.3197251584356096</v>
      </c>
      <c r="E259" s="24"/>
    </row>
    <row r="260" ht="15.75" customHeight="1">
      <c r="A260" s="22">
        <v>70202.0</v>
      </c>
      <c r="B260" s="1" t="s">
        <v>345</v>
      </c>
      <c r="C260" s="23">
        <v>0.3</v>
      </c>
      <c r="D260" s="6">
        <v>0.21501172791243162</v>
      </c>
      <c r="E260" s="24"/>
    </row>
    <row r="261" ht="15.75" customHeight="1">
      <c r="A261" s="22">
        <v>70301.0</v>
      </c>
      <c r="B261" s="1" t="s">
        <v>347</v>
      </c>
      <c r="C261" s="23">
        <v>5.2</v>
      </c>
      <c r="D261" s="6">
        <v>6.266410886637493</v>
      </c>
      <c r="E261" s="24"/>
    </row>
    <row r="262" ht="15.75" customHeight="1">
      <c r="A262" s="22">
        <v>70302.0</v>
      </c>
      <c r="B262" s="1" t="s">
        <v>348</v>
      </c>
      <c r="C262" s="23">
        <v>23.8</v>
      </c>
      <c r="D262" s="6">
        <v>1.528013582342954</v>
      </c>
      <c r="E262" s="24"/>
    </row>
    <row r="263" ht="15.75" customHeight="1">
      <c r="A263" s="22">
        <v>70303.0</v>
      </c>
      <c r="B263" s="1" t="s">
        <v>349</v>
      </c>
      <c r="C263" s="23">
        <v>1.0</v>
      </c>
      <c r="D263" s="6">
        <v>1.9983499862498855</v>
      </c>
      <c r="E263" s="24"/>
    </row>
    <row r="264" ht="15.75" customHeight="1">
      <c r="A264" s="22">
        <v>70401.0</v>
      </c>
      <c r="B264" s="1" t="s">
        <v>351</v>
      </c>
      <c r="C264" s="23">
        <v>1.3</v>
      </c>
      <c r="D264" s="6">
        <v>2.9892962120791977</v>
      </c>
      <c r="E264" s="24"/>
    </row>
    <row r="265" ht="15.75" customHeight="1">
      <c r="A265" s="22">
        <v>70402.0</v>
      </c>
      <c r="B265" s="1" t="s">
        <v>352</v>
      </c>
      <c r="C265" s="23">
        <v>4.8</v>
      </c>
      <c r="D265" s="6">
        <v>2.5623675280865337</v>
      </c>
      <c r="E265" s="24"/>
    </row>
    <row r="266" ht="15.75" customHeight="1">
      <c r="A266" s="22">
        <v>70403.0</v>
      </c>
      <c r="B266" s="1" t="s">
        <v>353</v>
      </c>
      <c r="C266" s="23">
        <v>2.0</v>
      </c>
      <c r="D266" s="6">
        <v>2.0174463016580253</v>
      </c>
      <c r="E266" s="24"/>
    </row>
    <row r="267" ht="15.75" customHeight="1">
      <c r="A267" s="22">
        <v>70404.0</v>
      </c>
      <c r="B267" s="1" t="s">
        <v>354</v>
      </c>
      <c r="C267" s="23">
        <v>0.3</v>
      </c>
      <c r="D267" s="6">
        <v>0.34741509984653474</v>
      </c>
      <c r="E267" s="24"/>
    </row>
    <row r="268" ht="15.75" customHeight="1">
      <c r="A268" s="22">
        <v>70501.0</v>
      </c>
      <c r="B268" s="1" t="s">
        <v>356</v>
      </c>
      <c r="C268" s="23">
        <v>10.1</v>
      </c>
      <c r="D268" s="6">
        <v>3.3096300027171566</v>
      </c>
      <c r="E268" s="24"/>
    </row>
    <row r="269" ht="15.75" customHeight="1">
      <c r="A269" s="22">
        <v>70502.0</v>
      </c>
      <c r="B269" s="1" t="s">
        <v>357</v>
      </c>
      <c r="C269" s="23">
        <v>1.1</v>
      </c>
      <c r="D269" s="6">
        <v>0.8295380008819748</v>
      </c>
      <c r="E269" s="24"/>
    </row>
    <row r="270" ht="15.75" customHeight="1">
      <c r="A270" s="22">
        <v>70503.0</v>
      </c>
      <c r="B270" s="1" t="s">
        <v>358</v>
      </c>
      <c r="C270" s="23">
        <v>2.7</v>
      </c>
      <c r="D270" s="6">
        <v>9.527403764213192</v>
      </c>
      <c r="E270" s="24"/>
    </row>
    <row r="271" ht="15.75" customHeight="1">
      <c r="A271" s="22">
        <v>70601.0</v>
      </c>
      <c r="B271" s="1" t="s">
        <v>360</v>
      </c>
      <c r="C271" s="23">
        <v>0.6</v>
      </c>
      <c r="D271" s="6">
        <v>0.921752804571557</v>
      </c>
      <c r="E271" s="24"/>
    </row>
    <row r="272" ht="15.75" customHeight="1">
      <c r="A272" s="22">
        <v>70602.0</v>
      </c>
      <c r="B272" s="1" t="s">
        <v>361</v>
      </c>
      <c r="C272" s="23">
        <v>0.2</v>
      </c>
      <c r="D272" s="6">
        <v>0.26400022434009957</v>
      </c>
      <c r="E272" s="24"/>
    </row>
    <row r="273" ht="15.75" customHeight="1">
      <c r="A273" s="22">
        <v>70603.0</v>
      </c>
      <c r="B273" s="1" t="s">
        <v>362</v>
      </c>
      <c r="C273" s="23">
        <v>0.5</v>
      </c>
      <c r="D273" s="6">
        <v>0.377775052128051</v>
      </c>
      <c r="E273" s="24"/>
    </row>
    <row r="274" ht="15.75" customHeight="1">
      <c r="A274" s="22">
        <v>70701.0</v>
      </c>
      <c r="B274" s="1" t="s">
        <v>364</v>
      </c>
      <c r="C274" s="23">
        <v>0.1</v>
      </c>
      <c r="D274" s="6">
        <v>0.14959634778571612</v>
      </c>
      <c r="E274" s="24"/>
    </row>
    <row r="275" ht="15.75" customHeight="1">
      <c r="A275" s="22">
        <v>70702.0</v>
      </c>
      <c r="B275" s="1" t="s">
        <v>365</v>
      </c>
      <c r="C275" s="23">
        <v>2.9</v>
      </c>
      <c r="D275" s="6">
        <v>0.8219049683364479</v>
      </c>
      <c r="E275" s="24"/>
    </row>
    <row r="276" ht="15.75" customHeight="1">
      <c r="A276" s="22">
        <v>70703.0</v>
      </c>
      <c r="B276" s="1" t="s">
        <v>366</v>
      </c>
      <c r="C276" s="23">
        <v>1.5</v>
      </c>
      <c r="D276" s="6">
        <v>0.40818110080376724</v>
      </c>
      <c r="E276" s="24"/>
    </row>
    <row r="277" ht="15.75" customHeight="1">
      <c r="A277" s="22">
        <v>70704.0</v>
      </c>
      <c r="B277" s="1" t="s">
        <v>367</v>
      </c>
      <c r="C277" s="23">
        <v>1.4</v>
      </c>
      <c r="D277" s="6">
        <v>3.536107482739317</v>
      </c>
      <c r="E277" s="24"/>
    </row>
    <row r="278" ht="15.75" customHeight="1">
      <c r="A278" s="22">
        <v>70705.0</v>
      </c>
      <c r="B278" s="1" t="s">
        <v>368</v>
      </c>
      <c r="C278" s="23">
        <v>0.3</v>
      </c>
      <c r="D278" s="6">
        <v>0.48765813264934527</v>
      </c>
      <c r="E278" s="24"/>
    </row>
    <row r="279" ht="15.75" customHeight="1">
      <c r="A279" s="22">
        <v>70706.0</v>
      </c>
      <c r="B279" s="1" t="s">
        <v>369</v>
      </c>
      <c r="C279" s="23">
        <v>7.2</v>
      </c>
      <c r="D279" s="6">
        <v>5.864394122427463</v>
      </c>
      <c r="E279" s="24"/>
    </row>
    <row r="280" ht="15.75" customHeight="1">
      <c r="A280" s="22">
        <v>70707.0</v>
      </c>
      <c r="B280" s="1" t="s">
        <v>370</v>
      </c>
      <c r="C280" s="23">
        <v>1.9</v>
      </c>
      <c r="D280" s="6">
        <v>4.80225988700565</v>
      </c>
      <c r="E280" s="24"/>
    </row>
    <row r="281" ht="15.75" customHeight="1">
      <c r="A281" s="22">
        <v>70801.0</v>
      </c>
      <c r="B281" s="1" t="s">
        <v>371</v>
      </c>
      <c r="C281" s="23">
        <v>1.4</v>
      </c>
      <c r="D281" s="6">
        <v>3.81867495782754</v>
      </c>
      <c r="E281" s="24"/>
    </row>
    <row r="282" ht="15.75" customHeight="1">
      <c r="A282" s="22">
        <v>70802.0</v>
      </c>
      <c r="B282" s="1" t="s">
        <v>372</v>
      </c>
      <c r="C282" s="23">
        <v>0.4</v>
      </c>
      <c r="D282" s="6">
        <v>0.7430719468485008</v>
      </c>
      <c r="E282" s="24"/>
    </row>
    <row r="283" ht="15.75" customHeight="1">
      <c r="A283" s="22">
        <v>70803.0</v>
      </c>
      <c r="B283" s="1" t="s">
        <v>373</v>
      </c>
      <c r="C283" s="23">
        <v>0.2</v>
      </c>
      <c r="D283" s="6">
        <v>0.1633362293657689</v>
      </c>
      <c r="E283" s="24"/>
    </row>
    <row r="284" ht="15.75" customHeight="1">
      <c r="A284" s="22">
        <v>70804.0</v>
      </c>
      <c r="B284" s="1" t="s">
        <v>374</v>
      </c>
      <c r="C284" s="23">
        <v>0.3</v>
      </c>
      <c r="D284" s="6">
        <v>0.7275902211874272</v>
      </c>
      <c r="E284" s="24"/>
    </row>
    <row r="285" ht="15.75" customHeight="1">
      <c r="A285" s="22">
        <v>70805.0</v>
      </c>
      <c r="B285" s="1" t="s">
        <v>375</v>
      </c>
      <c r="C285" s="23">
        <v>0.6</v>
      </c>
      <c r="D285" s="6">
        <v>1.0520425293788473</v>
      </c>
      <c r="E285" s="24"/>
    </row>
    <row r="286" ht="15.75" customHeight="1">
      <c r="A286" s="22">
        <v>70901.0</v>
      </c>
      <c r="B286" s="1" t="s">
        <v>377</v>
      </c>
      <c r="C286" s="23">
        <v>23.0</v>
      </c>
      <c r="D286" s="6">
        <v>4.193211488250652</v>
      </c>
      <c r="E286" s="24"/>
    </row>
    <row r="287" ht="15.75" customHeight="1">
      <c r="A287" s="22">
        <v>70902.0</v>
      </c>
      <c r="B287" s="1" t="s">
        <v>378</v>
      </c>
      <c r="C287" s="23">
        <v>0.8</v>
      </c>
      <c r="D287" s="6">
        <v>1.841325365592965</v>
      </c>
      <c r="E287" s="24"/>
    </row>
    <row r="288" ht="15.75" customHeight="1">
      <c r="A288" s="22">
        <v>70903.0</v>
      </c>
      <c r="B288" s="1" t="s">
        <v>379</v>
      </c>
      <c r="C288" s="23">
        <v>0.8</v>
      </c>
      <c r="D288" s="6">
        <v>2.036011602064263</v>
      </c>
      <c r="E288" s="24"/>
    </row>
    <row r="289" ht="15.75" customHeight="1">
      <c r="A289" s="22">
        <v>70904.0</v>
      </c>
      <c r="B289" s="1" t="s">
        <v>380</v>
      </c>
      <c r="C289" s="23">
        <v>1.1</v>
      </c>
      <c r="D289" s="6">
        <v>1.94207080235268</v>
      </c>
      <c r="E289" s="24"/>
    </row>
    <row r="290" ht="15.75" customHeight="1">
      <c r="A290" s="22">
        <v>71001.0</v>
      </c>
      <c r="B290" s="1" t="s">
        <v>382</v>
      </c>
      <c r="C290" s="23">
        <v>3.4</v>
      </c>
      <c r="D290" s="6">
        <v>4.267577517246002</v>
      </c>
      <c r="E290" s="24"/>
    </row>
    <row r="291" ht="15.75" customHeight="1">
      <c r="A291" s="22">
        <v>71002.0</v>
      </c>
      <c r="B291" s="1" t="s">
        <v>383</v>
      </c>
      <c r="C291" s="23">
        <v>0.3</v>
      </c>
      <c r="D291" s="6">
        <v>0.1898520560274512</v>
      </c>
      <c r="E291" s="24"/>
    </row>
    <row r="292" ht="15.75" customHeight="1">
      <c r="A292" s="22">
        <v>71003.0</v>
      </c>
      <c r="B292" s="1" t="s">
        <v>384</v>
      </c>
      <c r="C292" s="23">
        <v>1.1</v>
      </c>
      <c r="D292" s="6">
        <v>0.6123033767173903</v>
      </c>
      <c r="E292" s="24"/>
    </row>
    <row r="293" ht="15.75" customHeight="1">
      <c r="A293" s="22">
        <v>71004.0</v>
      </c>
      <c r="B293" s="1" t="s">
        <v>385</v>
      </c>
      <c r="C293" s="23">
        <v>0.2</v>
      </c>
      <c r="D293" s="6">
        <v>0.12360356964209336</v>
      </c>
      <c r="E293" s="24"/>
    </row>
    <row r="294" ht="15.75" customHeight="1">
      <c r="A294" s="22">
        <v>71005.0</v>
      </c>
      <c r="B294" s="1" t="s">
        <v>386</v>
      </c>
      <c r="C294" s="23">
        <v>0.2</v>
      </c>
      <c r="D294" s="6">
        <v>0.23367134009346854</v>
      </c>
      <c r="E294" s="24"/>
    </row>
    <row r="295" ht="15.75" customHeight="1">
      <c r="A295" s="22">
        <v>71101.0</v>
      </c>
      <c r="B295" s="1" t="s">
        <v>388</v>
      </c>
      <c r="C295" s="23">
        <v>19.2</v>
      </c>
      <c r="D295" s="6">
        <v>5.933234015384147</v>
      </c>
      <c r="E295" s="24"/>
    </row>
    <row r="296" ht="15.75" customHeight="1">
      <c r="A296" s="22">
        <v>71102.0</v>
      </c>
      <c r="B296" s="1" t="s">
        <v>389</v>
      </c>
      <c r="C296" s="23">
        <v>1.2</v>
      </c>
      <c r="D296" s="6">
        <v>3.456119162640902</v>
      </c>
      <c r="E296" s="24"/>
    </row>
    <row r="297" ht="15.75" customHeight="1">
      <c r="A297" s="22">
        <v>71103.0</v>
      </c>
      <c r="B297" s="1" t="s">
        <v>390</v>
      </c>
      <c r="C297" s="23">
        <v>2.8</v>
      </c>
      <c r="D297" s="6">
        <v>10.32581729974089</v>
      </c>
      <c r="E297" s="24"/>
    </row>
    <row r="298" ht="15.75" customHeight="1">
      <c r="A298" s="22">
        <v>71104.0</v>
      </c>
      <c r="B298" s="1" t="s">
        <v>391</v>
      </c>
      <c r="C298" s="23">
        <v>0.9</v>
      </c>
      <c r="D298" s="6">
        <v>0.16371022824953962</v>
      </c>
      <c r="E298" s="24"/>
    </row>
    <row r="299" ht="15.75" customHeight="1">
      <c r="A299" s="22">
        <v>71105.0</v>
      </c>
      <c r="B299" s="1" t="s">
        <v>392</v>
      </c>
      <c r="C299" s="23">
        <v>0.4</v>
      </c>
      <c r="D299" s="6">
        <v>0.9856761349842194</v>
      </c>
      <c r="E299" s="24"/>
    </row>
    <row r="300" ht="15.75" customHeight="1">
      <c r="A300" s="22">
        <v>71106.0</v>
      </c>
      <c r="B300" s="1" t="s">
        <v>393</v>
      </c>
      <c r="C300" s="23">
        <v>1.1</v>
      </c>
      <c r="D300" s="6">
        <v>0.231061901504788</v>
      </c>
      <c r="E300" s="24"/>
    </row>
    <row r="301" ht="15.75" customHeight="1">
      <c r="A301" s="22">
        <v>71201.0</v>
      </c>
      <c r="B301" s="1" t="s">
        <v>395</v>
      </c>
      <c r="C301" s="23">
        <v>0.9</v>
      </c>
      <c r="D301" s="6">
        <v>2.226448869993287</v>
      </c>
      <c r="E301" s="24"/>
    </row>
    <row r="302" ht="15.75" customHeight="1">
      <c r="A302" s="22">
        <v>71301.0</v>
      </c>
      <c r="B302" s="1" t="s">
        <v>397</v>
      </c>
      <c r="C302" s="23">
        <v>0.8</v>
      </c>
      <c r="D302" s="6">
        <v>2.1988587672177746</v>
      </c>
      <c r="E302" s="24"/>
    </row>
    <row r="303" ht="15.75" customHeight="1">
      <c r="A303" s="22">
        <v>71302.0</v>
      </c>
      <c r="B303" s="1" t="s">
        <v>398</v>
      </c>
      <c r="C303" s="23">
        <v>1.2</v>
      </c>
      <c r="D303" s="6">
        <v>2.467156535292808</v>
      </c>
      <c r="E303" s="24"/>
    </row>
    <row r="304" ht="15.75" customHeight="1">
      <c r="A304" s="22">
        <v>71401.0</v>
      </c>
      <c r="B304" s="1" t="s">
        <v>400</v>
      </c>
      <c r="C304" s="23">
        <v>6.0</v>
      </c>
      <c r="D304" s="6">
        <v>2.6529936079258487</v>
      </c>
      <c r="E304" s="24"/>
    </row>
    <row r="305" ht="15.75" customHeight="1">
      <c r="A305" s="22">
        <v>71402.0</v>
      </c>
      <c r="B305" s="1" t="s">
        <v>401</v>
      </c>
      <c r="C305" s="23">
        <v>3.4</v>
      </c>
      <c r="D305" s="6">
        <v>11.761641536190782</v>
      </c>
      <c r="E305" s="24"/>
    </row>
    <row r="306" ht="15.75" customHeight="1">
      <c r="A306" s="22">
        <v>71403.0</v>
      </c>
      <c r="B306" s="1" t="s">
        <v>402</v>
      </c>
      <c r="C306" s="23">
        <v>1.6</v>
      </c>
      <c r="D306" s="6">
        <v>7.010822074342944</v>
      </c>
      <c r="E306" s="24"/>
    </row>
    <row r="307" ht="15.75" customHeight="1">
      <c r="A307" s="22">
        <v>71501.0</v>
      </c>
      <c r="B307" s="1" t="s">
        <v>404</v>
      </c>
      <c r="C307" s="23">
        <v>4.3</v>
      </c>
      <c r="D307" s="6">
        <v>3.170915958451369</v>
      </c>
      <c r="E307" s="24"/>
    </row>
    <row r="308" ht="15.75" customHeight="1">
      <c r="A308" s="22">
        <v>71502.0</v>
      </c>
      <c r="B308" s="1" t="s">
        <v>405</v>
      </c>
      <c r="C308" s="23">
        <v>0.9</v>
      </c>
      <c r="D308" s="6">
        <v>2.8646839191451012</v>
      </c>
      <c r="E308" s="24"/>
    </row>
    <row r="309" ht="15.75" customHeight="1">
      <c r="A309" s="22">
        <v>71503.0</v>
      </c>
      <c r="B309" s="1" t="s">
        <v>336</v>
      </c>
      <c r="C309" s="23">
        <v>0.2</v>
      </c>
      <c r="D309" s="6">
        <v>0.3369016360331246</v>
      </c>
      <c r="E309" s="24"/>
    </row>
    <row r="310" ht="15.75" customHeight="1">
      <c r="A310" s="22">
        <v>80101.0</v>
      </c>
      <c r="B310" s="1" t="s">
        <v>406</v>
      </c>
      <c r="C310" s="23">
        <v>4.3</v>
      </c>
      <c r="D310" s="6">
        <v>3.9504007314865786</v>
      </c>
      <c r="E310" s="24"/>
    </row>
    <row r="311" ht="15.75" customHeight="1">
      <c r="A311" s="22">
        <v>80102.0</v>
      </c>
      <c r="B311" s="1" t="s">
        <v>389</v>
      </c>
      <c r="C311" s="23">
        <v>0.3</v>
      </c>
      <c r="D311" s="6">
        <v>0.5651105651105651</v>
      </c>
      <c r="E311" s="24"/>
    </row>
    <row r="312" ht="15.75" customHeight="1">
      <c r="A312" s="22">
        <v>80201.0</v>
      </c>
      <c r="B312" s="1" t="s">
        <v>408</v>
      </c>
      <c r="C312" s="23">
        <v>2.9</v>
      </c>
      <c r="D312" s="6">
        <v>3.5893216485047943</v>
      </c>
      <c r="E312" s="24"/>
    </row>
    <row r="313" ht="15.75" customHeight="1">
      <c r="A313" s="22">
        <v>80202.0</v>
      </c>
      <c r="B313" s="1" t="s">
        <v>409</v>
      </c>
      <c r="C313" s="23">
        <v>4.6</v>
      </c>
      <c r="D313" s="6">
        <v>3.1598031598031593</v>
      </c>
      <c r="E313" s="24"/>
    </row>
    <row r="314" ht="15.75" customHeight="1">
      <c r="A314" s="22">
        <v>80301.0</v>
      </c>
      <c r="B314" s="1" t="s">
        <v>411</v>
      </c>
      <c r="C314" s="23">
        <v>0.9</v>
      </c>
      <c r="D314" s="6">
        <v>1.7737949511513498</v>
      </c>
      <c r="E314" s="24"/>
    </row>
    <row r="315" ht="15.75" customHeight="1">
      <c r="A315" s="22">
        <v>80302.0</v>
      </c>
      <c r="B315" s="1" t="s">
        <v>412</v>
      </c>
      <c r="C315" s="23">
        <v>3.8</v>
      </c>
      <c r="D315" s="6">
        <v>2.4841029298151778</v>
      </c>
      <c r="E315" s="24"/>
    </row>
    <row r="316" ht="15.75" customHeight="1">
      <c r="A316" s="22">
        <v>80303.0</v>
      </c>
      <c r="B316" s="1" t="s">
        <v>413</v>
      </c>
      <c r="C316" s="23">
        <v>1.1</v>
      </c>
      <c r="D316" s="6">
        <v>1.7976976376234384</v>
      </c>
      <c r="E316" s="24"/>
    </row>
    <row r="317" ht="15.75" customHeight="1">
      <c r="A317" s="22">
        <v>80304.0</v>
      </c>
      <c r="B317" s="1" t="s">
        <v>414</v>
      </c>
      <c r="C317" s="23">
        <v>24.7</v>
      </c>
      <c r="D317" s="6">
        <v>6.750208587382067</v>
      </c>
      <c r="E317" s="24"/>
    </row>
    <row r="318" ht="15.75" customHeight="1">
      <c r="A318" s="22">
        <v>80401.0</v>
      </c>
      <c r="B318" s="1" t="s">
        <v>416</v>
      </c>
      <c r="C318" s="23">
        <v>2.4</v>
      </c>
      <c r="D318" s="6">
        <v>2.5690967697688776</v>
      </c>
      <c r="E318" s="24"/>
    </row>
    <row r="319" ht="15.75" customHeight="1">
      <c r="A319" s="22">
        <v>80402.0</v>
      </c>
      <c r="B319" s="1" t="s">
        <v>417</v>
      </c>
      <c r="C319" s="23">
        <v>0.7</v>
      </c>
      <c r="D319" s="6">
        <v>1.5933572710951522</v>
      </c>
      <c r="E319" s="24"/>
    </row>
    <row r="320" ht="15.75" customHeight="1">
      <c r="A320" s="22">
        <v>80501.0</v>
      </c>
      <c r="B320" s="1" t="s">
        <v>419</v>
      </c>
      <c r="C320" s="23">
        <v>2.3</v>
      </c>
      <c r="D320" s="6">
        <v>2.5373706400919893</v>
      </c>
      <c r="E320" s="24"/>
    </row>
    <row r="321" ht="15.75" customHeight="1">
      <c r="A321" s="22">
        <v>80601.0</v>
      </c>
      <c r="B321" s="1" t="s">
        <v>421</v>
      </c>
      <c r="C321" s="23">
        <v>0.3</v>
      </c>
      <c r="D321" s="6">
        <v>0.717829004960607</v>
      </c>
      <c r="E321" s="24"/>
    </row>
    <row r="322" ht="15.75" customHeight="1">
      <c r="A322" s="22">
        <v>80602.0</v>
      </c>
      <c r="B322" s="1" t="s">
        <v>422</v>
      </c>
      <c r="C322" s="23">
        <v>0.4</v>
      </c>
      <c r="D322" s="6">
        <v>0.7238915410777247</v>
      </c>
      <c r="E322" s="24"/>
    </row>
    <row r="323" ht="15.75" customHeight="1">
      <c r="A323" s="22">
        <v>80701.0</v>
      </c>
      <c r="B323" s="1" t="s">
        <v>424</v>
      </c>
      <c r="C323" s="23">
        <v>1.1</v>
      </c>
      <c r="D323" s="6">
        <v>2.0351409429907723</v>
      </c>
      <c r="E323" s="24"/>
    </row>
    <row r="324" ht="15.75" customHeight="1">
      <c r="A324" s="22">
        <v>80702.0</v>
      </c>
      <c r="B324" s="1" t="s">
        <v>390</v>
      </c>
      <c r="C324" s="23">
        <v>0.8</v>
      </c>
      <c r="D324" s="6">
        <v>0.922929401893803</v>
      </c>
      <c r="E324" s="24"/>
    </row>
    <row r="325" ht="15.75" customHeight="1">
      <c r="A325" s="22">
        <v>80703.0</v>
      </c>
      <c r="B325" s="1" t="s">
        <v>425</v>
      </c>
      <c r="C325" s="23">
        <v>0.1</v>
      </c>
      <c r="D325" s="6">
        <v>0.1951008020810752</v>
      </c>
      <c r="E325" s="24"/>
    </row>
    <row r="326" ht="15.75" customHeight="1">
      <c r="A326" s="22">
        <v>80801.0</v>
      </c>
      <c r="B326" s="1" t="s">
        <v>427</v>
      </c>
      <c r="C326" s="23">
        <v>1.1</v>
      </c>
      <c r="D326" s="6">
        <v>3.1573530302112975</v>
      </c>
      <c r="E326" s="24"/>
    </row>
    <row r="327" ht="15.75" customHeight="1">
      <c r="A327" s="22">
        <v>80802.0</v>
      </c>
      <c r="B327" s="1" t="s">
        <v>428</v>
      </c>
      <c r="C327" s="23">
        <v>0.6</v>
      </c>
      <c r="D327" s="6">
        <v>0.7925222700848981</v>
      </c>
      <c r="E327" s="24"/>
    </row>
    <row r="328" ht="15.75" customHeight="1">
      <c r="A328" s="22">
        <v>80803.0</v>
      </c>
      <c r="B328" s="1" t="s">
        <v>429</v>
      </c>
      <c r="C328" s="23">
        <v>0.4</v>
      </c>
      <c r="D328" s="6">
        <v>0.7045747742383646</v>
      </c>
      <c r="E328" s="24"/>
    </row>
    <row r="329" ht="15.75" customHeight="1">
      <c r="A329" s="22">
        <v>80901.0</v>
      </c>
      <c r="B329" s="26" t="s">
        <v>430</v>
      </c>
      <c r="C329" s="23"/>
      <c r="D329" s="6"/>
      <c r="E329" s="24"/>
    </row>
    <row r="330" ht="15.75" customHeight="1">
      <c r="A330" s="22">
        <v>90101.0</v>
      </c>
      <c r="B330" s="1" t="s">
        <v>432</v>
      </c>
      <c r="C330" s="23">
        <v>3.6</v>
      </c>
      <c r="D330" s="6">
        <v>5.583702765463373</v>
      </c>
      <c r="E330" s="24"/>
    </row>
    <row r="331" ht="15.75" customHeight="1">
      <c r="A331" s="22">
        <v>90102.0</v>
      </c>
      <c r="B331" s="1" t="s">
        <v>433</v>
      </c>
      <c r="C331" s="23">
        <v>1.5</v>
      </c>
      <c r="D331" s="6">
        <v>6.548530004027386</v>
      </c>
      <c r="E331" s="24"/>
    </row>
    <row r="332" ht="15.75" customHeight="1">
      <c r="A332" s="22">
        <v>90103.0</v>
      </c>
      <c r="B332" s="1" t="s">
        <v>434</v>
      </c>
      <c r="C332" s="23">
        <v>0.1</v>
      </c>
      <c r="D332" s="6">
        <v>0.3135673889915449</v>
      </c>
      <c r="E332" s="24"/>
    </row>
    <row r="333" ht="15.75" customHeight="1">
      <c r="A333" s="22">
        <v>90104.0</v>
      </c>
      <c r="B333" s="1" t="s">
        <v>435</v>
      </c>
      <c r="C333" s="23">
        <v>0.4</v>
      </c>
      <c r="D333" s="6">
        <v>1.9310133999082897</v>
      </c>
      <c r="E333" s="24"/>
    </row>
    <row r="334" ht="15.75" customHeight="1">
      <c r="A334" s="22">
        <v>90201.0</v>
      </c>
      <c r="B334" s="1" t="s">
        <v>437</v>
      </c>
      <c r="C334" s="23">
        <v>1.2</v>
      </c>
      <c r="D334" s="6">
        <v>5.020940644105329</v>
      </c>
      <c r="E334" s="24"/>
    </row>
    <row r="335" ht="15.75" customHeight="1">
      <c r="A335" s="22">
        <v>90202.0</v>
      </c>
      <c r="B335" s="1" t="s">
        <v>386</v>
      </c>
      <c r="C335" s="23">
        <v>0.3</v>
      </c>
      <c r="D335" s="6">
        <v>1.3988978380669777</v>
      </c>
      <c r="E335" s="24"/>
    </row>
    <row r="336" ht="15.75" customHeight="1">
      <c r="A336" s="22">
        <v>90203.0</v>
      </c>
      <c r="B336" s="1" t="s">
        <v>438</v>
      </c>
      <c r="C336" s="23">
        <v>0.2</v>
      </c>
      <c r="D336" s="6">
        <v>0.91163858594726</v>
      </c>
      <c r="E336" s="24"/>
    </row>
    <row r="337" ht="15.75" customHeight="1">
      <c r="A337" s="22">
        <v>90301.0</v>
      </c>
      <c r="B337" s="1" t="s">
        <v>440</v>
      </c>
      <c r="C337" s="23">
        <v>0.6</v>
      </c>
      <c r="D337" s="6">
        <v>3.6262406197046717</v>
      </c>
      <c r="E337" s="24"/>
    </row>
    <row r="338" ht="15.75" customHeight="1">
      <c r="A338" s="22">
        <v>90302.0</v>
      </c>
      <c r="B338" s="1" t="s">
        <v>441</v>
      </c>
      <c r="C338" s="23">
        <v>0.6</v>
      </c>
      <c r="D338" s="6">
        <v>1.6683062797179866</v>
      </c>
      <c r="E338" s="24"/>
    </row>
    <row r="339" ht="15.75" customHeight="1">
      <c r="A339" s="22">
        <v>90303.0</v>
      </c>
      <c r="B339" s="1" t="s">
        <v>442</v>
      </c>
      <c r="C339" s="23">
        <v>0.9</v>
      </c>
      <c r="D339" s="6">
        <v>6.458584640128668</v>
      </c>
      <c r="E339" s="24"/>
    </row>
    <row r="340" ht="15.75" customHeight="1">
      <c r="A340" s="22">
        <v>90401.0</v>
      </c>
      <c r="B340" s="1" t="s">
        <v>444</v>
      </c>
      <c r="C340" s="23">
        <v>0.4</v>
      </c>
      <c r="D340" s="6">
        <v>2.1395528141865845</v>
      </c>
      <c r="E340" s="24"/>
    </row>
    <row r="341" ht="15.75" customHeight="1">
      <c r="A341" s="22">
        <v>90402.0</v>
      </c>
      <c r="B341" s="1" t="s">
        <v>105</v>
      </c>
      <c r="C341" s="23">
        <v>0.4</v>
      </c>
      <c r="D341" s="6">
        <v>2.294816414686825</v>
      </c>
      <c r="E341" s="24"/>
    </row>
    <row r="342" ht="15.75" customHeight="1">
      <c r="A342" s="22">
        <v>90501.0</v>
      </c>
      <c r="B342" s="1" t="s">
        <v>446</v>
      </c>
      <c r="C342" s="23">
        <v>0.6</v>
      </c>
      <c r="D342" s="6">
        <v>2.3794565729542954</v>
      </c>
      <c r="E342" s="24"/>
    </row>
    <row r="343" ht="15.75" customHeight="1">
      <c r="A343" s="22">
        <v>90502.0</v>
      </c>
      <c r="B343" s="1" t="s">
        <v>447</v>
      </c>
      <c r="C343" s="23">
        <v>0.5</v>
      </c>
      <c r="D343" s="6">
        <v>2.5706371191135733</v>
      </c>
      <c r="E343" s="24"/>
    </row>
    <row r="344" ht="15.75" customHeight="1">
      <c r="A344" s="22">
        <v>90503.0</v>
      </c>
      <c r="B344" s="1" t="s">
        <v>448</v>
      </c>
      <c r="C344" s="23">
        <v>0.2</v>
      </c>
      <c r="D344" s="6">
        <v>0.9940357852882704</v>
      </c>
      <c r="E344" s="24"/>
    </row>
    <row r="345" ht="15.75" customHeight="1">
      <c r="A345" s="27"/>
      <c r="B345" s="28"/>
      <c r="C345" s="29"/>
      <c r="D345" s="3"/>
    </row>
    <row r="346" ht="15.75" customHeight="1">
      <c r="A346" s="27"/>
      <c r="B346" s="28"/>
      <c r="C346" s="29"/>
      <c r="D346" s="3"/>
    </row>
    <row r="347" ht="15.75" customHeight="1">
      <c r="A347" s="27"/>
      <c r="B347" s="28"/>
      <c r="C347" s="29"/>
      <c r="D347" s="3"/>
    </row>
    <row r="348" ht="15.75" customHeight="1">
      <c r="A348" s="27"/>
      <c r="B348" s="28"/>
      <c r="C348" s="29"/>
    </row>
    <row r="349" ht="15.75" customHeight="1">
      <c r="A349" s="27"/>
      <c r="B349" s="28"/>
      <c r="C349" s="29"/>
    </row>
    <row r="350" ht="15.75" customHeight="1">
      <c r="A350" s="27"/>
      <c r="B350" s="28"/>
      <c r="C350" s="29"/>
      <c r="D350" s="29"/>
    </row>
    <row r="351" ht="15.75" customHeight="1">
      <c r="A351" s="27"/>
      <c r="B351" s="28"/>
      <c r="C351" s="29"/>
      <c r="D351" s="29"/>
    </row>
    <row r="352" ht="15.75" customHeight="1">
      <c r="A352" s="27"/>
      <c r="B352" s="28"/>
      <c r="C352" s="29"/>
      <c r="D352" s="29"/>
    </row>
    <row r="353" ht="15.75" customHeight="1">
      <c r="A353" s="27"/>
      <c r="B353" s="30"/>
      <c r="C353" s="29"/>
      <c r="D353" s="29"/>
    </row>
    <row r="354" ht="15.75" customHeight="1">
      <c r="A354" s="27"/>
      <c r="B354" s="30"/>
      <c r="D354" s="3"/>
    </row>
    <row r="355" ht="15.75" customHeight="1">
      <c r="A355" s="27"/>
      <c r="B355" s="30"/>
    </row>
    <row r="356" ht="15.75" customHeight="1">
      <c r="A356" s="27"/>
      <c r="B356" s="30"/>
    </row>
    <row r="357" ht="15.75" customHeight="1">
      <c r="A357" s="27"/>
      <c r="B357" s="30"/>
    </row>
    <row r="358" ht="15.75" customHeight="1">
      <c r="A358" s="27"/>
      <c r="B358" s="30"/>
    </row>
    <row r="359" ht="15.75" customHeight="1">
      <c r="A359" s="27"/>
      <c r="B359" s="30"/>
    </row>
    <row r="360" ht="15.75" customHeight="1">
      <c r="A360" s="27"/>
      <c r="B360" s="30"/>
    </row>
    <row r="361" ht="15.75" customHeight="1">
      <c r="A361" s="27"/>
      <c r="B361" s="30"/>
    </row>
    <row r="362" ht="15.75" customHeight="1">
      <c r="A362" s="27"/>
      <c r="B362" s="30"/>
    </row>
    <row r="363" ht="15.75" customHeight="1">
      <c r="A363" s="27"/>
      <c r="B363" s="30"/>
    </row>
    <row r="364" ht="15.75" customHeight="1">
      <c r="A364" s="27"/>
      <c r="B364" s="30"/>
    </row>
    <row r="365" ht="15.75" customHeight="1">
      <c r="A365" s="27"/>
      <c r="B365" s="30"/>
    </row>
    <row r="366" ht="15.75" customHeight="1">
      <c r="A366" s="27"/>
      <c r="B366" s="30"/>
    </row>
    <row r="367" ht="15.75" customHeight="1">
      <c r="A367" s="27"/>
      <c r="B367" s="30"/>
    </row>
    <row r="368" ht="15.75" customHeight="1">
      <c r="A368" s="27"/>
      <c r="B368" s="30"/>
    </row>
    <row r="369" ht="15.75" customHeight="1">
      <c r="A369" s="27"/>
      <c r="B369" s="30"/>
    </row>
    <row r="370" ht="15.75" customHeight="1">
      <c r="A370" s="27"/>
      <c r="B370" s="30"/>
    </row>
    <row r="371" ht="15.75" customHeight="1">
      <c r="A371" s="27"/>
      <c r="B371" s="30"/>
    </row>
    <row r="372" ht="15.75" customHeight="1">
      <c r="A372" s="27"/>
      <c r="B372" s="30"/>
    </row>
    <row r="373" ht="15.75" customHeight="1">
      <c r="A373" s="27"/>
      <c r="B373" s="30"/>
    </row>
    <row r="374" ht="15.75" customHeight="1">
      <c r="A374" s="27"/>
      <c r="B374" s="30"/>
    </row>
    <row r="375" ht="15.75" customHeight="1">
      <c r="A375" s="27"/>
      <c r="B375" s="30"/>
    </row>
    <row r="376" ht="15.75" customHeight="1">
      <c r="A376" s="27"/>
      <c r="B376" s="30"/>
    </row>
    <row r="377" ht="15.75" customHeight="1">
      <c r="A377" s="27"/>
      <c r="B377" s="30"/>
    </row>
    <row r="378" ht="15.75" customHeight="1">
      <c r="A378" s="27"/>
      <c r="B378" s="30"/>
    </row>
    <row r="379" ht="15.75" customHeight="1">
      <c r="A379" s="27"/>
      <c r="B379" s="30"/>
    </row>
    <row r="380" ht="15.75" customHeight="1">
      <c r="A380" s="27"/>
      <c r="B380" s="30"/>
    </row>
    <row r="381" ht="15.75" customHeight="1">
      <c r="A381" s="27"/>
      <c r="B381" s="30"/>
    </row>
    <row r="382" ht="15.75" customHeight="1">
      <c r="A382" s="27"/>
      <c r="B382" s="30"/>
    </row>
    <row r="383" ht="15.75" customHeight="1">
      <c r="A383" s="27"/>
      <c r="B383" s="30"/>
    </row>
    <row r="384" ht="15.75" customHeight="1">
      <c r="A384" s="27"/>
      <c r="B384" s="30"/>
    </row>
    <row r="385" ht="15.75" customHeight="1">
      <c r="A385" s="27"/>
      <c r="B385" s="30"/>
    </row>
    <row r="386" ht="15.75" customHeight="1">
      <c r="A386" s="27"/>
      <c r="B386" s="30"/>
    </row>
    <row r="387" ht="15.75" customHeight="1">
      <c r="A387" s="27"/>
      <c r="B387" s="30"/>
    </row>
    <row r="388" ht="15.75" customHeight="1">
      <c r="A388" s="27"/>
      <c r="B388" s="30"/>
    </row>
    <row r="389" ht="15.75" customHeight="1">
      <c r="A389" s="27"/>
      <c r="B389" s="30"/>
    </row>
    <row r="390" ht="15.75" customHeight="1">
      <c r="A390" s="27"/>
      <c r="B390" s="30"/>
    </row>
    <row r="391" ht="15.75" customHeight="1">
      <c r="A391" s="27"/>
      <c r="B391" s="30"/>
    </row>
    <row r="392" ht="15.75" customHeight="1">
      <c r="A392" s="27"/>
      <c r="B392" s="30"/>
    </row>
    <row r="393" ht="15.75" customHeight="1">
      <c r="A393" s="27"/>
      <c r="B393" s="30"/>
    </row>
    <row r="394" ht="15.75" customHeight="1">
      <c r="A394" s="27"/>
      <c r="B394" s="30"/>
    </row>
    <row r="395" ht="15.75" customHeight="1">
      <c r="A395" s="27"/>
      <c r="B395" s="30"/>
    </row>
    <row r="396" ht="15.75" customHeight="1">
      <c r="A396" s="27"/>
      <c r="B396" s="30"/>
    </row>
    <row r="397" ht="15.75" customHeight="1">
      <c r="A397" s="27"/>
      <c r="B397" s="30"/>
    </row>
    <row r="398" ht="15.75" customHeight="1">
      <c r="A398" s="27"/>
      <c r="B398" s="30"/>
    </row>
    <row r="399" ht="15.75" customHeight="1">
      <c r="A399" s="27"/>
      <c r="B399" s="30"/>
    </row>
    <row r="400" ht="15.75" customHeight="1">
      <c r="A400" s="27"/>
      <c r="B400" s="30"/>
    </row>
    <row r="401" ht="15.75" customHeight="1">
      <c r="A401" s="27"/>
      <c r="B401" s="30"/>
    </row>
    <row r="402" ht="15.75" customHeight="1">
      <c r="A402" s="27"/>
      <c r="B402" s="30"/>
    </row>
    <row r="403" ht="15.75" customHeight="1">
      <c r="A403" s="27"/>
      <c r="B403" s="30"/>
    </row>
    <row r="404" ht="15.75" customHeight="1">
      <c r="A404" s="27"/>
      <c r="B404" s="30"/>
    </row>
    <row r="405" ht="15.75" customHeight="1">
      <c r="A405" s="27"/>
      <c r="B405" s="30"/>
    </row>
    <row r="406" ht="15.75" customHeight="1">
      <c r="A406" s="27"/>
      <c r="B406" s="30"/>
    </row>
    <row r="407" ht="15.75" customHeight="1">
      <c r="A407" s="27"/>
      <c r="B407" s="30"/>
    </row>
    <row r="408" ht="15.75" customHeight="1">
      <c r="A408" s="27"/>
      <c r="B408" s="30"/>
    </row>
    <row r="409" ht="15.75" customHeight="1">
      <c r="A409" s="27"/>
      <c r="B409" s="30"/>
    </row>
    <row r="410" ht="15.75" customHeight="1">
      <c r="A410" s="27"/>
      <c r="B410" s="30"/>
    </row>
    <row r="411" ht="15.75" customHeight="1">
      <c r="A411" s="27"/>
      <c r="B411" s="30"/>
    </row>
    <row r="412" ht="15.75" customHeight="1">
      <c r="A412" s="27"/>
      <c r="B412" s="30"/>
    </row>
    <row r="413" ht="15.75" customHeight="1">
      <c r="A413" s="27"/>
      <c r="B413" s="30"/>
    </row>
    <row r="414" ht="15.75" customHeight="1">
      <c r="A414" s="27"/>
      <c r="B414" s="30"/>
    </row>
    <row r="415" ht="15.75" customHeight="1">
      <c r="A415" s="27"/>
      <c r="B415" s="30"/>
    </row>
    <row r="416" ht="15.75" customHeight="1">
      <c r="A416" s="27"/>
      <c r="B416" s="30"/>
    </row>
    <row r="417" ht="15.75" customHeight="1">
      <c r="A417" s="27"/>
      <c r="B417" s="30"/>
    </row>
    <row r="418" ht="15.75" customHeight="1">
      <c r="A418" s="27"/>
      <c r="B418" s="30"/>
    </row>
    <row r="419" ht="15.75" customHeight="1">
      <c r="A419" s="27"/>
      <c r="B419" s="30"/>
    </row>
    <row r="420" ht="15.75" customHeight="1">
      <c r="A420" s="27"/>
      <c r="B420" s="30"/>
    </row>
    <row r="421" ht="15.75" customHeight="1">
      <c r="A421" s="27"/>
      <c r="B421" s="30"/>
    </row>
    <row r="422" ht="15.75" customHeight="1">
      <c r="A422" s="27"/>
      <c r="B422" s="30"/>
    </row>
    <row r="423" ht="15.75" customHeight="1">
      <c r="A423" s="27"/>
      <c r="B423" s="30"/>
    </row>
    <row r="424" ht="15.75" customHeight="1">
      <c r="A424" s="27"/>
      <c r="B424" s="30"/>
    </row>
    <row r="425" ht="15.75" customHeight="1">
      <c r="A425" s="27"/>
      <c r="B425" s="30"/>
    </row>
    <row r="426" ht="15.75" customHeight="1">
      <c r="A426" s="27"/>
      <c r="B426" s="30"/>
    </row>
    <row r="427" ht="15.75" customHeight="1">
      <c r="A427" s="27"/>
      <c r="B427" s="30"/>
    </row>
    <row r="428" ht="15.75" customHeight="1">
      <c r="A428" s="27"/>
      <c r="B428" s="30"/>
    </row>
    <row r="429" ht="15.75" customHeight="1">
      <c r="A429" s="27"/>
      <c r="B429" s="30"/>
    </row>
    <row r="430" ht="15.75" customHeight="1">
      <c r="A430" s="27"/>
      <c r="B430" s="30"/>
    </row>
    <row r="431" ht="15.75" customHeight="1">
      <c r="A431" s="27"/>
      <c r="B431" s="30"/>
    </row>
    <row r="432" ht="15.75" customHeight="1">
      <c r="A432" s="27"/>
      <c r="B432" s="30"/>
    </row>
    <row r="433" ht="15.75" customHeight="1">
      <c r="A433" s="27"/>
      <c r="B433" s="30"/>
    </row>
    <row r="434" ht="15.75" customHeight="1">
      <c r="A434" s="27"/>
      <c r="B434" s="30"/>
    </row>
    <row r="435" ht="15.75" customHeight="1">
      <c r="A435" s="27"/>
      <c r="B435" s="30"/>
    </row>
    <row r="436" ht="15.75" customHeight="1">
      <c r="A436" s="27"/>
      <c r="B436" s="30"/>
    </row>
    <row r="437" ht="15.75" customHeight="1">
      <c r="A437" s="27"/>
      <c r="B437" s="30"/>
    </row>
    <row r="438" ht="15.75" customHeight="1">
      <c r="A438" s="27"/>
      <c r="B438" s="30"/>
    </row>
    <row r="439" ht="15.75" customHeight="1">
      <c r="A439" s="27"/>
      <c r="B439" s="30"/>
    </row>
    <row r="440" ht="15.75" customHeight="1">
      <c r="A440" s="27"/>
      <c r="B440" s="30"/>
    </row>
    <row r="441" ht="15.75" customHeight="1">
      <c r="A441" s="27"/>
      <c r="B441" s="30"/>
    </row>
    <row r="442" ht="15.75" customHeight="1">
      <c r="A442" s="27"/>
      <c r="B442" s="30"/>
    </row>
    <row r="443" ht="15.75" customHeight="1">
      <c r="A443" s="27"/>
      <c r="B443" s="30"/>
    </row>
    <row r="444" ht="15.75" customHeight="1">
      <c r="A444" s="27"/>
      <c r="B444" s="30"/>
    </row>
    <row r="445" ht="15.75" customHeight="1">
      <c r="A445" s="27"/>
      <c r="B445" s="30"/>
    </row>
    <row r="446" ht="15.75" customHeight="1">
      <c r="A446" s="27"/>
      <c r="B446" s="30"/>
    </row>
    <row r="447" ht="15.75" customHeight="1">
      <c r="A447" s="27"/>
      <c r="B447" s="30"/>
    </row>
    <row r="448" ht="15.75" customHeight="1">
      <c r="A448" s="27"/>
      <c r="B448" s="30"/>
    </row>
    <row r="449" ht="15.75" customHeight="1">
      <c r="A449" s="27"/>
      <c r="B449" s="30"/>
    </row>
    <row r="450" ht="15.75" customHeight="1">
      <c r="A450" s="27"/>
      <c r="B450" s="30"/>
    </row>
    <row r="451" ht="15.75" customHeight="1">
      <c r="A451" s="27"/>
      <c r="B451" s="30"/>
    </row>
    <row r="452" ht="15.75" customHeight="1">
      <c r="A452" s="27"/>
      <c r="B452" s="30"/>
    </row>
    <row r="453" ht="15.75" customHeight="1">
      <c r="A453" s="27"/>
      <c r="B453" s="30"/>
    </row>
    <row r="454" ht="15.75" customHeight="1">
      <c r="A454" s="27"/>
      <c r="B454" s="30"/>
    </row>
    <row r="455" ht="15.75" customHeight="1">
      <c r="A455" s="27"/>
      <c r="B455" s="30"/>
    </row>
    <row r="456" ht="15.75" customHeight="1">
      <c r="A456" s="27"/>
      <c r="B456" s="30"/>
    </row>
    <row r="457" ht="15.75" customHeight="1">
      <c r="A457" s="27"/>
      <c r="B457" s="30"/>
    </row>
    <row r="458" ht="15.75" customHeight="1">
      <c r="A458" s="27"/>
      <c r="B458" s="30"/>
    </row>
    <row r="459" ht="15.75" customHeight="1">
      <c r="A459" s="27"/>
      <c r="B459" s="30"/>
    </row>
    <row r="460" ht="15.75" customHeight="1">
      <c r="A460" s="27"/>
      <c r="B460" s="30"/>
    </row>
    <row r="461" ht="15.75" customHeight="1">
      <c r="A461" s="27"/>
      <c r="B461" s="30"/>
    </row>
    <row r="462" ht="15.75" customHeight="1">
      <c r="A462" s="27"/>
      <c r="B462" s="30"/>
    </row>
    <row r="463" ht="15.75" customHeight="1">
      <c r="A463" s="27"/>
      <c r="B463" s="30"/>
    </row>
    <row r="464" ht="15.75" customHeight="1">
      <c r="A464" s="27"/>
      <c r="B464" s="30"/>
    </row>
    <row r="465" ht="15.75" customHeight="1">
      <c r="A465" s="27"/>
      <c r="B465" s="30"/>
    </row>
    <row r="466" ht="15.75" customHeight="1">
      <c r="A466" s="27"/>
      <c r="B466" s="30"/>
    </row>
    <row r="467" ht="15.75" customHeight="1">
      <c r="A467" s="27"/>
      <c r="B467" s="30"/>
    </row>
    <row r="468" ht="15.75" customHeight="1">
      <c r="A468" s="27"/>
      <c r="B468" s="30"/>
    </row>
    <row r="469" ht="15.75" customHeight="1">
      <c r="A469" s="27"/>
      <c r="B469" s="30"/>
    </row>
    <row r="470" ht="15.75" customHeight="1">
      <c r="A470" s="27"/>
      <c r="B470" s="30"/>
    </row>
    <row r="471" ht="15.75" customHeight="1">
      <c r="A471" s="27"/>
      <c r="B471" s="30"/>
    </row>
    <row r="472" ht="15.75" customHeight="1">
      <c r="A472" s="27"/>
      <c r="B472" s="30"/>
    </row>
    <row r="473" ht="15.75" customHeight="1">
      <c r="A473" s="27"/>
      <c r="B473" s="30"/>
    </row>
    <row r="474" ht="15.75" customHeight="1">
      <c r="A474" s="27"/>
      <c r="B474" s="30"/>
    </row>
    <row r="475" ht="15.75" customHeight="1">
      <c r="A475" s="27"/>
      <c r="B475" s="30"/>
    </row>
    <row r="476" ht="15.75" customHeight="1">
      <c r="A476" s="27"/>
      <c r="B476" s="30"/>
    </row>
    <row r="477" ht="15.75" customHeight="1">
      <c r="A477" s="27"/>
      <c r="B477" s="30"/>
    </row>
    <row r="478" ht="15.75" customHeight="1">
      <c r="A478" s="27"/>
      <c r="B478" s="30"/>
    </row>
    <row r="479" ht="15.75" customHeight="1">
      <c r="A479" s="27"/>
      <c r="B479" s="30"/>
    </row>
    <row r="480" ht="15.75" customHeight="1">
      <c r="A480" s="27"/>
      <c r="B480" s="30"/>
    </row>
    <row r="481" ht="15.75" customHeight="1">
      <c r="A481" s="27"/>
      <c r="B481" s="30"/>
    </row>
    <row r="482" ht="15.75" customHeight="1">
      <c r="A482" s="27"/>
      <c r="B482" s="30"/>
    </row>
    <row r="483" ht="15.75" customHeight="1">
      <c r="A483" s="27"/>
      <c r="B483" s="30"/>
    </row>
    <row r="484" ht="15.75" customHeight="1">
      <c r="A484" s="27"/>
      <c r="B484" s="30"/>
    </row>
    <row r="485" ht="15.75" customHeight="1">
      <c r="A485" s="27"/>
      <c r="B485" s="30"/>
    </row>
    <row r="486" ht="15.75" customHeight="1">
      <c r="A486" s="27"/>
      <c r="B486" s="30"/>
    </row>
    <row r="487" ht="15.75" customHeight="1">
      <c r="A487" s="27"/>
      <c r="B487" s="30"/>
    </row>
    <row r="488" ht="15.75" customHeight="1">
      <c r="A488" s="27"/>
      <c r="B488" s="30"/>
    </row>
    <row r="489" ht="15.75" customHeight="1">
      <c r="A489" s="27"/>
      <c r="B489" s="30"/>
    </row>
    <row r="490" ht="15.75" customHeight="1">
      <c r="A490" s="27"/>
      <c r="B490" s="30"/>
    </row>
    <row r="491" ht="15.75" customHeight="1">
      <c r="A491" s="27"/>
      <c r="B491" s="30"/>
    </row>
    <row r="492" ht="15.75" customHeight="1">
      <c r="A492" s="27"/>
      <c r="B492" s="30"/>
    </row>
    <row r="493" ht="15.75" customHeight="1">
      <c r="A493" s="27"/>
      <c r="B493" s="30"/>
    </row>
    <row r="494" ht="15.75" customHeight="1">
      <c r="A494" s="27"/>
      <c r="B494" s="30"/>
    </row>
    <row r="495" ht="15.75" customHeight="1">
      <c r="A495" s="27"/>
      <c r="B495" s="30"/>
    </row>
    <row r="496" ht="15.75" customHeight="1">
      <c r="A496" s="27"/>
      <c r="B496" s="30"/>
    </row>
    <row r="497" ht="15.75" customHeight="1">
      <c r="A497" s="27"/>
      <c r="B497" s="30"/>
    </row>
    <row r="498" ht="15.75" customHeight="1">
      <c r="A498" s="27"/>
      <c r="B498" s="30"/>
    </row>
    <row r="499" ht="15.75" customHeight="1">
      <c r="A499" s="27"/>
      <c r="B499" s="30"/>
    </row>
    <row r="500" ht="15.75" customHeight="1">
      <c r="A500" s="27"/>
      <c r="B500" s="30"/>
    </row>
    <row r="501" ht="15.75" customHeight="1">
      <c r="A501" s="27"/>
      <c r="B501" s="30"/>
    </row>
    <row r="502" ht="15.75" customHeight="1">
      <c r="A502" s="27"/>
      <c r="B502" s="30"/>
    </row>
    <row r="503" ht="15.75" customHeight="1">
      <c r="A503" s="27"/>
      <c r="B503" s="30"/>
    </row>
    <row r="504" ht="15.75" customHeight="1">
      <c r="A504" s="27"/>
      <c r="B504" s="30"/>
    </row>
    <row r="505" ht="15.75" customHeight="1">
      <c r="A505" s="27"/>
      <c r="B505" s="30"/>
    </row>
    <row r="506" ht="15.75" customHeight="1">
      <c r="A506" s="27"/>
      <c r="B506" s="30"/>
    </row>
    <row r="507" ht="15.75" customHeight="1">
      <c r="A507" s="27"/>
      <c r="B507" s="30"/>
    </row>
    <row r="508" ht="15.75" customHeight="1">
      <c r="A508" s="27"/>
      <c r="B508" s="30"/>
    </row>
    <row r="509" ht="15.75" customHeight="1">
      <c r="A509" s="27"/>
      <c r="B509" s="30"/>
    </row>
    <row r="510" ht="15.75" customHeight="1">
      <c r="A510" s="27"/>
      <c r="B510" s="30"/>
    </row>
    <row r="511" ht="15.75" customHeight="1">
      <c r="A511" s="27"/>
      <c r="B511" s="30"/>
    </row>
    <row r="512" ht="15.75" customHeight="1">
      <c r="A512" s="27"/>
      <c r="B512" s="30"/>
    </row>
    <row r="513" ht="15.75" customHeight="1">
      <c r="A513" s="27"/>
      <c r="B513" s="30"/>
    </row>
    <row r="514" ht="15.75" customHeight="1">
      <c r="A514" s="27"/>
      <c r="B514" s="30"/>
    </row>
    <row r="515" ht="15.75" customHeight="1">
      <c r="A515" s="27"/>
      <c r="B515" s="30"/>
    </row>
    <row r="516" ht="15.75" customHeight="1">
      <c r="A516" s="27"/>
      <c r="B516" s="30"/>
    </row>
    <row r="517" ht="15.75" customHeight="1">
      <c r="A517" s="27"/>
      <c r="B517" s="30"/>
    </row>
    <row r="518" ht="15.75" customHeight="1">
      <c r="A518" s="27"/>
      <c r="B518" s="30"/>
    </row>
    <row r="519" ht="15.75" customHeight="1">
      <c r="A519" s="27"/>
      <c r="B519" s="30"/>
    </row>
    <row r="520" ht="15.75" customHeight="1">
      <c r="A520" s="27"/>
      <c r="B520" s="30"/>
    </row>
    <row r="521" ht="15.75" customHeight="1">
      <c r="A521" s="27"/>
      <c r="B521" s="30"/>
    </row>
    <row r="522" ht="15.75" customHeight="1">
      <c r="A522" s="27"/>
      <c r="B522" s="30"/>
    </row>
    <row r="523" ht="15.75" customHeight="1">
      <c r="A523" s="27"/>
      <c r="B523" s="30"/>
    </row>
    <row r="524" ht="15.75" customHeight="1">
      <c r="A524" s="27"/>
      <c r="B524" s="30"/>
    </row>
    <row r="525" ht="15.75" customHeight="1">
      <c r="A525" s="27"/>
      <c r="B525" s="30"/>
    </row>
    <row r="526" ht="15.75" customHeight="1">
      <c r="A526" s="27"/>
      <c r="B526" s="30"/>
    </row>
    <row r="527" ht="15.75" customHeight="1">
      <c r="A527" s="27"/>
      <c r="B527" s="30"/>
    </row>
    <row r="528" ht="15.75" customHeight="1">
      <c r="A528" s="27"/>
      <c r="B528" s="30"/>
    </row>
    <row r="529" ht="15.75" customHeight="1">
      <c r="A529" s="27"/>
      <c r="B529" s="30"/>
    </row>
    <row r="530" ht="15.75" customHeight="1">
      <c r="A530" s="27"/>
      <c r="B530" s="30"/>
    </row>
    <row r="531" ht="15.75" customHeight="1">
      <c r="A531" s="27"/>
      <c r="B531" s="30"/>
    </row>
    <row r="532" ht="15.75" customHeight="1">
      <c r="A532" s="27"/>
      <c r="B532" s="30"/>
    </row>
    <row r="533" ht="15.75" customHeight="1">
      <c r="A533" s="27"/>
      <c r="B533" s="30"/>
    </row>
    <row r="534" ht="15.75" customHeight="1">
      <c r="A534" s="27"/>
      <c r="B534" s="30"/>
    </row>
    <row r="535" ht="15.75" customHeight="1">
      <c r="A535" s="27"/>
      <c r="B535" s="30"/>
    </row>
    <row r="536" ht="15.75" customHeight="1">
      <c r="A536" s="27"/>
      <c r="B536" s="30"/>
    </row>
    <row r="537" ht="15.75" customHeight="1">
      <c r="A537" s="27"/>
      <c r="B537" s="30"/>
    </row>
    <row r="538" ht="15.75" customHeight="1">
      <c r="A538" s="27"/>
      <c r="B538" s="30"/>
    </row>
    <row r="539" ht="15.75" customHeight="1">
      <c r="A539" s="27"/>
      <c r="B539" s="30"/>
    </row>
    <row r="540" ht="15.75" customHeight="1">
      <c r="A540" s="27"/>
      <c r="B540" s="30"/>
    </row>
    <row r="541" ht="15.75" customHeight="1">
      <c r="A541" s="27"/>
      <c r="B541" s="30"/>
    </row>
    <row r="542" ht="15.75" customHeight="1">
      <c r="A542" s="27"/>
      <c r="B542" s="30"/>
    </row>
    <row r="543" ht="15.75" customHeight="1">
      <c r="A543" s="27"/>
      <c r="B543" s="30"/>
    </row>
    <row r="544" ht="15.75" customHeight="1">
      <c r="A544" s="27"/>
      <c r="B544" s="30"/>
    </row>
    <row r="545" ht="15.75" customHeight="1">
      <c r="A545" s="27"/>
    </row>
    <row r="546" ht="15.75" customHeight="1">
      <c r="A546" s="27"/>
    </row>
    <row r="547" ht="15.75" customHeight="1">
      <c r="A547" s="27"/>
    </row>
    <row r="548" ht="15.75" customHeight="1">
      <c r="A548" s="27"/>
    </row>
    <row r="549" ht="15.75" customHeight="1">
      <c r="A549" s="27"/>
    </row>
    <row r="550" ht="15.75" customHeight="1">
      <c r="A550" s="27"/>
    </row>
    <row r="551" ht="15.75" customHeight="1">
      <c r="A551" s="27"/>
    </row>
    <row r="552" ht="15.75" customHeight="1">
      <c r="A552" s="27"/>
    </row>
    <row r="553" ht="15.75" customHeight="1">
      <c r="A553" s="27"/>
    </row>
    <row r="554" ht="15.75" customHeight="1">
      <c r="A554" s="27"/>
    </row>
    <row r="555" ht="15.75" customHeight="1">
      <c r="A555" s="27"/>
    </row>
    <row r="556" ht="15.75" customHeight="1">
      <c r="A556" s="27"/>
    </row>
    <row r="557" ht="15.75" customHeight="1">
      <c r="A557" s="27"/>
    </row>
    <row r="558" ht="15.75" customHeight="1">
      <c r="A558" s="27"/>
    </row>
    <row r="559" ht="15.75" customHeight="1">
      <c r="A559" s="27"/>
    </row>
    <row r="560" ht="15.75" customHeight="1">
      <c r="A560" s="27"/>
    </row>
    <row r="561" ht="15.75" customHeight="1">
      <c r="A561" s="27"/>
    </row>
    <row r="562" ht="15.75" customHeight="1">
      <c r="A562" s="27"/>
    </row>
    <row r="563" ht="15.75" customHeight="1">
      <c r="A563" s="27"/>
    </row>
    <row r="564" ht="15.75" customHeight="1">
      <c r="A564" s="27"/>
    </row>
    <row r="565" ht="15.75" customHeight="1">
      <c r="A565" s="27"/>
    </row>
    <row r="566" ht="15.75" customHeight="1">
      <c r="A566" s="27"/>
    </row>
    <row r="567" ht="15.75" customHeight="1">
      <c r="A567" s="27"/>
    </row>
    <row r="568" ht="15.75" customHeight="1">
      <c r="A568" s="27"/>
    </row>
    <row r="569" ht="15.75" customHeight="1">
      <c r="A569" s="27"/>
    </row>
    <row r="570" ht="15.75" customHeight="1">
      <c r="A570" s="27"/>
    </row>
    <row r="571" ht="15.75" customHeight="1">
      <c r="A571" s="27"/>
    </row>
    <row r="572" ht="15.75" customHeight="1">
      <c r="A572" s="27"/>
    </row>
    <row r="573" ht="15.75" customHeight="1">
      <c r="A573" s="27"/>
    </row>
    <row r="574" ht="15.75" customHeight="1">
      <c r="A574" s="27"/>
    </row>
    <row r="575" ht="15.75" customHeight="1">
      <c r="A575" s="27"/>
    </row>
    <row r="576" ht="15.75" customHeight="1">
      <c r="A576" s="27"/>
    </row>
    <row r="577" ht="15.75" customHeight="1">
      <c r="A577" s="27"/>
    </row>
    <row r="578" ht="15.75" customHeight="1">
      <c r="A578" s="27"/>
    </row>
    <row r="579" ht="15.75" customHeight="1">
      <c r="A579" s="27"/>
    </row>
    <row r="580" ht="15.75" customHeight="1">
      <c r="A580" s="27"/>
    </row>
    <row r="581" ht="15.75" customHeight="1">
      <c r="A581" s="27"/>
    </row>
    <row r="582" ht="15.75" customHeight="1">
      <c r="A582" s="27"/>
    </row>
    <row r="583" ht="15.75" customHeight="1">
      <c r="A583" s="27"/>
    </row>
    <row r="584" ht="15.75" customHeight="1">
      <c r="A584" s="27"/>
    </row>
    <row r="585" ht="15.75" customHeight="1">
      <c r="A585" s="27"/>
    </row>
    <row r="586" ht="15.75" customHeight="1">
      <c r="A586" s="27"/>
    </row>
    <row r="587" ht="15.75" customHeight="1">
      <c r="A587" s="27"/>
    </row>
    <row r="588" ht="15.75" customHeight="1">
      <c r="A588" s="27"/>
    </row>
    <row r="589" ht="15.75" customHeight="1">
      <c r="A589" s="27"/>
    </row>
    <row r="590" ht="15.75" customHeight="1">
      <c r="A590" s="27"/>
    </row>
    <row r="591" ht="15.75" customHeight="1">
      <c r="A591" s="27"/>
    </row>
    <row r="592" ht="15.75" customHeight="1">
      <c r="A592" s="27"/>
    </row>
    <row r="593" ht="15.75" customHeight="1">
      <c r="A593" s="27"/>
    </row>
    <row r="594" ht="15.75" customHeight="1">
      <c r="A594" s="27"/>
    </row>
    <row r="595" ht="15.75" customHeight="1">
      <c r="A595" s="27"/>
    </row>
    <row r="596" ht="15.75" customHeight="1">
      <c r="A596" s="27"/>
    </row>
    <row r="597" ht="15.75" customHeight="1">
      <c r="A597" s="27"/>
    </row>
    <row r="598" ht="15.75" customHeight="1">
      <c r="A598" s="27"/>
    </row>
    <row r="599" ht="15.75" customHeight="1">
      <c r="A599" s="27"/>
    </row>
    <row r="600" ht="15.75" customHeight="1">
      <c r="A600" s="27"/>
    </row>
    <row r="601" ht="15.75" customHeight="1">
      <c r="A601" s="27"/>
    </row>
    <row r="602" ht="15.75" customHeight="1">
      <c r="A602" s="27"/>
    </row>
    <row r="603" ht="15.75" customHeight="1">
      <c r="A603" s="27"/>
    </row>
    <row r="604" ht="15.75" customHeight="1">
      <c r="A604" s="27"/>
    </row>
    <row r="605" ht="15.75" customHeight="1">
      <c r="A605" s="27"/>
    </row>
    <row r="606" ht="15.75" customHeight="1">
      <c r="A606" s="27"/>
    </row>
    <row r="607" ht="15.75" customHeight="1">
      <c r="A607" s="27"/>
    </row>
    <row r="608" ht="15.75" customHeight="1">
      <c r="A608" s="27"/>
    </row>
    <row r="609" ht="15.75" customHeight="1">
      <c r="A609" s="27"/>
    </row>
    <row r="610" ht="15.75" customHeight="1">
      <c r="A610" s="27"/>
    </row>
    <row r="611" ht="15.75" customHeight="1">
      <c r="A611" s="27"/>
    </row>
    <row r="612" ht="15.75" customHeight="1">
      <c r="A612" s="27"/>
    </row>
    <row r="613" ht="15.75" customHeight="1">
      <c r="A613" s="27"/>
    </row>
    <row r="614" ht="15.75" customHeight="1">
      <c r="A614" s="27"/>
    </row>
    <row r="615" ht="15.75" customHeight="1">
      <c r="A615" s="27"/>
    </row>
    <row r="616" ht="15.75" customHeight="1">
      <c r="A616" s="27"/>
    </row>
    <row r="617" ht="15.75" customHeight="1">
      <c r="A617" s="27"/>
    </row>
    <row r="618" ht="15.75" customHeight="1">
      <c r="A618" s="27"/>
    </row>
    <row r="619" ht="15.75" customHeight="1">
      <c r="A619" s="27"/>
    </row>
    <row r="620" ht="15.75" customHeight="1">
      <c r="A620" s="27"/>
    </row>
    <row r="621" ht="15.75" customHeight="1">
      <c r="A621" s="27"/>
    </row>
    <row r="622" ht="15.75" customHeight="1">
      <c r="A622" s="27"/>
    </row>
    <row r="623" ht="15.75" customHeight="1">
      <c r="A623" s="27"/>
    </row>
    <row r="624" ht="15.75" customHeight="1">
      <c r="A624" s="27"/>
    </row>
    <row r="625" ht="15.75" customHeight="1">
      <c r="A625" s="27"/>
    </row>
    <row r="626" ht="15.75" customHeight="1">
      <c r="A626" s="27"/>
    </row>
    <row r="627" ht="15.75" customHeight="1">
      <c r="A627" s="27"/>
    </row>
    <row r="628" ht="15.75" customHeight="1">
      <c r="A628" s="27"/>
    </row>
    <row r="629" ht="15.75" customHeight="1">
      <c r="A629" s="27"/>
    </row>
    <row r="630" ht="15.75" customHeight="1">
      <c r="A630" s="27"/>
    </row>
    <row r="631" ht="15.75" customHeight="1">
      <c r="A631" s="27"/>
    </row>
    <row r="632" ht="15.75" customHeight="1">
      <c r="A632" s="27"/>
    </row>
    <row r="633" ht="15.75" customHeight="1">
      <c r="A633" s="27"/>
    </row>
    <row r="634" ht="15.75" customHeight="1">
      <c r="A634" s="27"/>
    </row>
    <row r="635" ht="15.75" customHeight="1">
      <c r="A635" s="27"/>
    </row>
    <row r="636" ht="15.75" customHeight="1">
      <c r="A636" s="27"/>
    </row>
    <row r="637" ht="15.75" customHeight="1">
      <c r="A637" s="27"/>
    </row>
    <row r="638" ht="15.75" customHeight="1">
      <c r="A638" s="27"/>
    </row>
    <row r="639" ht="15.75" customHeight="1">
      <c r="A639" s="27"/>
    </row>
    <row r="640" ht="15.75" customHeight="1">
      <c r="A640" s="27"/>
    </row>
    <row r="641" ht="15.75" customHeight="1">
      <c r="A641" s="27"/>
    </row>
    <row r="642" ht="15.75" customHeight="1">
      <c r="A642" s="27"/>
    </row>
    <row r="643" ht="15.75" customHeight="1">
      <c r="A643" s="27"/>
    </row>
    <row r="644" ht="15.75" customHeight="1">
      <c r="A644" s="27"/>
    </row>
    <row r="645" ht="15.75" customHeight="1">
      <c r="A645" s="27"/>
    </row>
    <row r="646" ht="15.75" customHeight="1">
      <c r="A646" s="27"/>
    </row>
    <row r="647" ht="15.75" customHeight="1">
      <c r="A647" s="27"/>
    </row>
    <row r="648" ht="15.75" customHeight="1">
      <c r="A648" s="27"/>
    </row>
    <row r="649" ht="15.75" customHeight="1">
      <c r="A649" s="27"/>
    </row>
    <row r="650" ht="15.75" customHeight="1">
      <c r="A650" s="27"/>
    </row>
    <row r="651" ht="15.75" customHeight="1">
      <c r="A651" s="27"/>
    </row>
    <row r="652" ht="15.75" customHeight="1">
      <c r="A652" s="27"/>
    </row>
    <row r="653" ht="15.75" customHeight="1">
      <c r="A653" s="27"/>
    </row>
    <row r="654" ht="15.75" customHeight="1">
      <c r="A654" s="27"/>
    </row>
    <row r="655" ht="15.75" customHeight="1">
      <c r="A655" s="27"/>
    </row>
    <row r="656" ht="15.75" customHeight="1">
      <c r="A656" s="27"/>
    </row>
    <row r="657" ht="15.75" customHeight="1">
      <c r="A657" s="27"/>
    </row>
    <row r="658" ht="15.75" customHeight="1">
      <c r="A658" s="27"/>
    </row>
    <row r="659" ht="15.75" customHeight="1">
      <c r="A659" s="27"/>
    </row>
    <row r="660" ht="15.75" customHeight="1">
      <c r="A660" s="27"/>
    </row>
    <row r="661" ht="15.75" customHeight="1">
      <c r="A661" s="27"/>
    </row>
    <row r="662" ht="15.75" customHeight="1">
      <c r="A662" s="27"/>
    </row>
    <row r="663" ht="15.75" customHeight="1">
      <c r="A663" s="27"/>
    </row>
    <row r="664" ht="15.75" customHeight="1">
      <c r="A664" s="27"/>
    </row>
    <row r="665" ht="15.75" customHeight="1">
      <c r="A665" s="27"/>
    </row>
    <row r="666" ht="15.75" customHeight="1">
      <c r="A666" s="27"/>
    </row>
    <row r="667" ht="15.75" customHeight="1">
      <c r="A667" s="27"/>
    </row>
    <row r="668" ht="15.75" customHeight="1">
      <c r="A668" s="27"/>
    </row>
    <row r="669" ht="15.75" customHeight="1">
      <c r="A669" s="27"/>
    </row>
    <row r="670" ht="15.75" customHeight="1">
      <c r="A670" s="27"/>
    </row>
    <row r="671" ht="15.75" customHeight="1">
      <c r="A671" s="27"/>
    </row>
    <row r="672" ht="15.75" customHeight="1">
      <c r="A672" s="27"/>
    </row>
    <row r="673" ht="15.75" customHeight="1">
      <c r="A673" s="27"/>
    </row>
    <row r="674" ht="15.75" customHeight="1">
      <c r="A674" s="27"/>
    </row>
    <row r="675" ht="15.75" customHeight="1">
      <c r="A675" s="27"/>
    </row>
    <row r="676" ht="15.75" customHeight="1">
      <c r="A676" s="27"/>
    </row>
    <row r="677" ht="15.75" customHeight="1">
      <c r="A677" s="27"/>
    </row>
    <row r="678" ht="15.75" customHeight="1">
      <c r="A678" s="27"/>
    </row>
    <row r="679" ht="15.75" customHeight="1">
      <c r="A679" s="27"/>
    </row>
    <row r="680" ht="15.75" customHeight="1">
      <c r="A680" s="27"/>
    </row>
    <row r="681" ht="15.75" customHeight="1">
      <c r="A681" s="27"/>
    </row>
    <row r="682" ht="15.75" customHeight="1">
      <c r="A682" s="27"/>
    </row>
    <row r="683" ht="15.75" customHeight="1">
      <c r="A683" s="27"/>
    </row>
    <row r="684" ht="15.75" customHeight="1">
      <c r="A684" s="27"/>
    </row>
    <row r="685" ht="15.75" customHeight="1">
      <c r="A685" s="27"/>
    </row>
    <row r="686" ht="15.75" customHeight="1">
      <c r="A686" s="27"/>
    </row>
    <row r="687" ht="15.75" customHeight="1">
      <c r="A687" s="27"/>
    </row>
    <row r="688" ht="15.75" customHeight="1">
      <c r="A688" s="27"/>
    </row>
    <row r="689" ht="15.75" customHeight="1">
      <c r="A689" s="27"/>
    </row>
    <row r="690" ht="15.75" customHeight="1">
      <c r="A690" s="27"/>
    </row>
    <row r="691" ht="15.75" customHeight="1">
      <c r="A691" s="27"/>
    </row>
    <row r="692" ht="15.75" customHeight="1">
      <c r="A692" s="27"/>
    </row>
    <row r="693" ht="15.75" customHeight="1">
      <c r="A693" s="27"/>
    </row>
    <row r="694" ht="15.75" customHeight="1">
      <c r="A694" s="27"/>
    </row>
    <row r="695" ht="15.75" customHeight="1">
      <c r="A695" s="27"/>
    </row>
    <row r="696" ht="15.75" customHeight="1">
      <c r="A696" s="27"/>
    </row>
    <row r="697" ht="15.75" customHeight="1">
      <c r="A697" s="27"/>
    </row>
    <row r="698" ht="15.75" customHeight="1">
      <c r="A698" s="27"/>
    </row>
    <row r="699" ht="15.75" customHeight="1">
      <c r="A699" s="27"/>
    </row>
    <row r="700" ht="15.75" customHeight="1">
      <c r="A700" s="27"/>
    </row>
    <row r="701" ht="15.75" customHeight="1">
      <c r="A701" s="27"/>
    </row>
    <row r="702" ht="15.75" customHeight="1">
      <c r="A702" s="27"/>
    </row>
    <row r="703" ht="15.75" customHeight="1">
      <c r="A703" s="27"/>
    </row>
    <row r="704" ht="15.75" customHeight="1">
      <c r="A704" s="27"/>
    </row>
    <row r="705" ht="15.75" customHeight="1">
      <c r="A705" s="27"/>
    </row>
    <row r="706" ht="15.75" customHeight="1">
      <c r="A706" s="27"/>
    </row>
    <row r="707" ht="15.75" customHeight="1">
      <c r="A707" s="27"/>
    </row>
    <row r="708" ht="15.75" customHeight="1">
      <c r="A708" s="27"/>
    </row>
    <row r="709" ht="15.75" customHeight="1">
      <c r="A709" s="27"/>
    </row>
    <row r="710" ht="15.75" customHeight="1">
      <c r="A710" s="27"/>
    </row>
    <row r="711" ht="15.75" customHeight="1">
      <c r="A711" s="27"/>
    </row>
    <row r="712" ht="15.75" customHeight="1">
      <c r="A712" s="27"/>
    </row>
    <row r="713" ht="15.75" customHeight="1">
      <c r="A713" s="27"/>
    </row>
    <row r="714" ht="15.75" customHeight="1">
      <c r="A714" s="27"/>
    </row>
    <row r="715" ht="15.75" customHeight="1">
      <c r="A715" s="27"/>
    </row>
    <row r="716" ht="15.75" customHeight="1">
      <c r="A716" s="27"/>
    </row>
    <row r="717" ht="15.75" customHeight="1">
      <c r="A717" s="27"/>
    </row>
    <row r="718" ht="15.75" customHeight="1">
      <c r="A718" s="27"/>
    </row>
    <row r="719" ht="15.75" customHeight="1">
      <c r="A719" s="27"/>
    </row>
    <row r="720" ht="15.75" customHeight="1">
      <c r="A720" s="27"/>
    </row>
    <row r="721" ht="15.75" customHeight="1">
      <c r="A721" s="27"/>
    </row>
    <row r="722" ht="15.75" customHeight="1">
      <c r="A722" s="27"/>
    </row>
    <row r="723" ht="15.75" customHeight="1">
      <c r="A723" s="27"/>
    </row>
    <row r="724" ht="15.75" customHeight="1">
      <c r="A724" s="27"/>
    </row>
    <row r="725" ht="15.75" customHeight="1">
      <c r="A725" s="27"/>
    </row>
    <row r="726" ht="15.75" customHeight="1">
      <c r="A726" s="27"/>
    </row>
    <row r="727" ht="15.75" customHeight="1">
      <c r="A727" s="27"/>
    </row>
    <row r="728" ht="15.75" customHeight="1">
      <c r="A728" s="27"/>
    </row>
    <row r="729" ht="15.75" customHeight="1">
      <c r="A729" s="27"/>
    </row>
    <row r="730" ht="15.75" customHeight="1">
      <c r="A730" s="27"/>
    </row>
    <row r="731" ht="15.75" customHeight="1">
      <c r="A731" s="27"/>
    </row>
    <row r="732" ht="15.75" customHeight="1">
      <c r="A732" s="27"/>
    </row>
    <row r="733" ht="15.75" customHeight="1">
      <c r="A733" s="27"/>
    </row>
    <row r="734" ht="15.75" customHeight="1">
      <c r="A734" s="27"/>
    </row>
    <row r="735" ht="15.75" customHeight="1">
      <c r="A735" s="27"/>
    </row>
    <row r="736" ht="15.75" customHeight="1">
      <c r="A736" s="27"/>
    </row>
    <row r="737" ht="15.75" customHeight="1">
      <c r="A737" s="27"/>
    </row>
    <row r="738" ht="15.75" customHeight="1">
      <c r="A738" s="27"/>
    </row>
    <row r="739" ht="15.75" customHeight="1">
      <c r="A739" s="27"/>
    </row>
    <row r="740" ht="15.75" customHeight="1">
      <c r="A740" s="27"/>
    </row>
    <row r="741" ht="15.75" customHeight="1">
      <c r="A741" s="27"/>
    </row>
    <row r="742" ht="15.75" customHeight="1">
      <c r="A742" s="27"/>
    </row>
    <row r="743" ht="15.75" customHeight="1">
      <c r="A743" s="27"/>
    </row>
    <row r="744" ht="15.75" customHeight="1">
      <c r="A744" s="27"/>
    </row>
    <row r="745" ht="15.75" customHeight="1">
      <c r="A745" s="27"/>
    </row>
    <row r="746" ht="15.75" customHeight="1">
      <c r="A746" s="27"/>
    </row>
    <row r="747" ht="15.75" customHeight="1">
      <c r="A747" s="27"/>
    </row>
    <row r="748" ht="15.75" customHeight="1">
      <c r="A748" s="27"/>
    </row>
    <row r="749" ht="15.75" customHeight="1">
      <c r="A749" s="27"/>
    </row>
    <row r="750" ht="15.75" customHeight="1">
      <c r="A750" s="27"/>
    </row>
    <row r="751" ht="15.75" customHeight="1">
      <c r="A751" s="27"/>
    </row>
    <row r="752" ht="15.75" customHeight="1">
      <c r="A752" s="27"/>
    </row>
    <row r="753" ht="15.75" customHeight="1">
      <c r="A753" s="27"/>
    </row>
    <row r="754" ht="15.75" customHeight="1">
      <c r="A754" s="27"/>
    </row>
    <row r="755" ht="15.75" customHeight="1">
      <c r="A755" s="27"/>
    </row>
    <row r="756" ht="15.75" customHeight="1">
      <c r="A756" s="27"/>
    </row>
    <row r="757" ht="15.75" customHeight="1">
      <c r="A757" s="27"/>
    </row>
    <row r="758" ht="15.75" customHeight="1">
      <c r="A758" s="27"/>
    </row>
    <row r="759" ht="15.75" customHeight="1">
      <c r="A759" s="27"/>
    </row>
    <row r="760" ht="15.75" customHeight="1">
      <c r="A760" s="27"/>
    </row>
    <row r="761" ht="15.75" customHeight="1">
      <c r="A761" s="27"/>
    </row>
    <row r="762" ht="15.75" customHeight="1">
      <c r="A762" s="27"/>
    </row>
    <row r="763" ht="15.75" customHeight="1">
      <c r="A763" s="27"/>
    </row>
    <row r="764" ht="15.75" customHeight="1">
      <c r="A764" s="27"/>
    </row>
    <row r="765" ht="15.75" customHeight="1">
      <c r="A765" s="27"/>
    </row>
    <row r="766" ht="15.75" customHeight="1">
      <c r="A766" s="27"/>
    </row>
    <row r="767" ht="15.75" customHeight="1">
      <c r="A767" s="27"/>
    </row>
    <row r="768" ht="15.75" customHeight="1">
      <c r="A768" s="27"/>
    </row>
    <row r="769" ht="15.75" customHeight="1">
      <c r="A769" s="27"/>
    </row>
    <row r="770" ht="15.75" customHeight="1">
      <c r="A770" s="27"/>
    </row>
    <row r="771" ht="15.75" customHeight="1">
      <c r="A771" s="27"/>
    </row>
    <row r="772" ht="15.75" customHeight="1">
      <c r="A772" s="27"/>
    </row>
    <row r="773" ht="15.75" customHeight="1">
      <c r="A773" s="27"/>
    </row>
    <row r="774" ht="15.75" customHeight="1">
      <c r="A774" s="27"/>
    </row>
    <row r="775" ht="15.75" customHeight="1">
      <c r="A775" s="27"/>
    </row>
    <row r="776" ht="15.75" customHeight="1">
      <c r="A776" s="27"/>
    </row>
    <row r="777" ht="15.75" customHeight="1">
      <c r="A777" s="27"/>
    </row>
    <row r="778" ht="15.75" customHeight="1">
      <c r="A778" s="27"/>
    </row>
    <row r="779" ht="15.75" customHeight="1">
      <c r="A779" s="27"/>
    </row>
    <row r="780" ht="15.75" customHeight="1">
      <c r="A780" s="27"/>
    </row>
    <row r="781" ht="15.75" customHeight="1">
      <c r="A781" s="27"/>
    </row>
    <row r="782" ht="15.75" customHeight="1">
      <c r="A782" s="27"/>
    </row>
    <row r="783" ht="15.75" customHeight="1">
      <c r="A783" s="27"/>
    </row>
    <row r="784" ht="15.75" customHeight="1">
      <c r="A784" s="27"/>
    </row>
    <row r="785" ht="15.75" customHeight="1">
      <c r="A785" s="27"/>
    </row>
    <row r="786" ht="15.75" customHeight="1">
      <c r="A786" s="27"/>
    </row>
    <row r="787" ht="15.75" customHeight="1">
      <c r="A787" s="27"/>
    </row>
    <row r="788" ht="15.75" customHeight="1">
      <c r="A788" s="27"/>
    </row>
    <row r="789" ht="15.75" customHeight="1">
      <c r="A789" s="27"/>
    </row>
    <row r="790" ht="15.75" customHeight="1">
      <c r="A790" s="27"/>
    </row>
    <row r="791" ht="15.75" customHeight="1">
      <c r="A791" s="27"/>
    </row>
    <row r="792" ht="15.75" customHeight="1">
      <c r="A792" s="27"/>
    </row>
    <row r="793" ht="15.75" customHeight="1">
      <c r="A793" s="27"/>
    </row>
    <row r="794" ht="15.75" customHeight="1">
      <c r="A794" s="27"/>
    </row>
    <row r="795" ht="15.75" customHeight="1">
      <c r="A795" s="27"/>
    </row>
    <row r="796" ht="15.75" customHeight="1">
      <c r="A796" s="27"/>
    </row>
    <row r="797" ht="15.75" customHeight="1">
      <c r="A797" s="27"/>
    </row>
    <row r="798" ht="15.75" customHeight="1">
      <c r="A798" s="27"/>
    </row>
    <row r="799" ht="15.75" customHeight="1">
      <c r="A799" s="27"/>
    </row>
    <row r="800" ht="15.75" customHeight="1">
      <c r="A800" s="27"/>
    </row>
    <row r="801" ht="15.75" customHeight="1">
      <c r="A801" s="27"/>
    </row>
    <row r="802" ht="15.75" customHeight="1">
      <c r="A802" s="27"/>
    </row>
    <row r="803" ht="15.75" customHeight="1">
      <c r="A803" s="27"/>
    </row>
    <row r="804" ht="15.75" customHeight="1">
      <c r="A804" s="27"/>
    </row>
    <row r="805" ht="15.75" customHeight="1">
      <c r="A805" s="27"/>
    </row>
    <row r="806" ht="15.75" customHeight="1">
      <c r="A806" s="27"/>
    </row>
    <row r="807" ht="15.75" customHeight="1">
      <c r="A807" s="27"/>
    </row>
    <row r="808" ht="15.75" customHeight="1">
      <c r="A808" s="27"/>
    </row>
    <row r="809" ht="15.75" customHeight="1">
      <c r="A809" s="27"/>
    </row>
    <row r="810" ht="15.75" customHeight="1">
      <c r="A810" s="27"/>
    </row>
    <row r="811" ht="15.75" customHeight="1">
      <c r="A811" s="27"/>
    </row>
    <row r="812" ht="15.75" customHeight="1">
      <c r="A812" s="27"/>
    </row>
    <row r="813" ht="15.75" customHeight="1">
      <c r="A813" s="27"/>
    </row>
    <row r="814" ht="15.75" customHeight="1">
      <c r="A814" s="27"/>
    </row>
    <row r="815" ht="15.75" customHeight="1">
      <c r="A815" s="27"/>
    </row>
    <row r="816" ht="15.75" customHeight="1">
      <c r="A816" s="27"/>
    </row>
    <row r="817" ht="15.75" customHeight="1">
      <c r="A817" s="27"/>
    </row>
    <row r="818" ht="15.75" customHeight="1">
      <c r="A818" s="27"/>
    </row>
    <row r="819" ht="15.75" customHeight="1">
      <c r="A819" s="27"/>
    </row>
    <row r="820" ht="15.75" customHeight="1">
      <c r="A820" s="27"/>
    </row>
    <row r="821" ht="15.75" customHeight="1">
      <c r="A821" s="27"/>
    </row>
    <row r="822" ht="15.75" customHeight="1">
      <c r="A822" s="27"/>
    </row>
    <row r="823" ht="15.75" customHeight="1">
      <c r="A823" s="27"/>
    </row>
    <row r="824" ht="15.75" customHeight="1">
      <c r="A824" s="27"/>
    </row>
    <row r="825" ht="15.75" customHeight="1">
      <c r="A825" s="27"/>
    </row>
    <row r="826" ht="15.75" customHeight="1">
      <c r="A826" s="27"/>
    </row>
    <row r="827" ht="15.75" customHeight="1">
      <c r="A827" s="27"/>
    </row>
    <row r="828" ht="15.75" customHeight="1">
      <c r="A828" s="27"/>
    </row>
    <row r="829" ht="15.75" customHeight="1">
      <c r="A829" s="27"/>
    </row>
    <row r="830" ht="15.75" customHeight="1">
      <c r="A830" s="27"/>
    </row>
    <row r="831" ht="15.75" customHeight="1">
      <c r="A831" s="27"/>
    </row>
    <row r="832" ht="15.75" customHeight="1">
      <c r="A832" s="27"/>
    </row>
    <row r="833" ht="15.75" customHeight="1">
      <c r="A833" s="27"/>
    </row>
    <row r="834" ht="15.75" customHeight="1">
      <c r="A834" s="27"/>
    </row>
    <row r="835" ht="15.75" customHeight="1">
      <c r="A835" s="27"/>
    </row>
    <row r="836" ht="15.75" customHeight="1">
      <c r="A836" s="27"/>
    </row>
    <row r="837" ht="15.75" customHeight="1">
      <c r="A837" s="27"/>
    </row>
    <row r="838" ht="15.75" customHeight="1">
      <c r="A838" s="27"/>
    </row>
    <row r="839" ht="15.75" customHeight="1">
      <c r="A839" s="27"/>
    </row>
    <row r="840" ht="15.75" customHeight="1">
      <c r="A840" s="27"/>
    </row>
    <row r="841" ht="15.75" customHeight="1">
      <c r="A841" s="27"/>
    </row>
    <row r="842" ht="15.75" customHeight="1">
      <c r="A842" s="27"/>
    </row>
    <row r="843" ht="15.75" customHeight="1">
      <c r="A843" s="27"/>
    </row>
    <row r="844" ht="15.75" customHeight="1">
      <c r="A844" s="27"/>
    </row>
    <row r="845" ht="15.75" customHeight="1">
      <c r="A845" s="27"/>
    </row>
    <row r="846" ht="15.75" customHeight="1">
      <c r="A846" s="27"/>
    </row>
    <row r="847" ht="15.75" customHeight="1">
      <c r="A847" s="27"/>
    </row>
    <row r="848" ht="15.75" customHeight="1">
      <c r="A848" s="27"/>
    </row>
    <row r="849" ht="15.75" customHeight="1">
      <c r="A849" s="27"/>
    </row>
    <row r="850" ht="15.75" customHeight="1">
      <c r="A850" s="27"/>
    </row>
    <row r="851" ht="15.75" customHeight="1">
      <c r="A851" s="27"/>
    </row>
    <row r="852" ht="15.75" customHeight="1">
      <c r="A852" s="27"/>
    </row>
    <row r="853" ht="15.75" customHeight="1">
      <c r="A853" s="27"/>
    </row>
    <row r="854" ht="15.75" customHeight="1">
      <c r="A854" s="27"/>
    </row>
    <row r="855" ht="15.75" customHeight="1">
      <c r="A855" s="27"/>
    </row>
    <row r="856" ht="15.75" customHeight="1">
      <c r="A856" s="27"/>
    </row>
    <row r="857" ht="15.75" customHeight="1">
      <c r="A857" s="27"/>
    </row>
    <row r="858" ht="15.75" customHeight="1">
      <c r="A858" s="27"/>
    </row>
    <row r="859" ht="15.75" customHeight="1">
      <c r="A859" s="27"/>
    </row>
    <row r="860" ht="15.75" customHeight="1">
      <c r="A860" s="27"/>
    </row>
    <row r="861" ht="15.75" customHeight="1">
      <c r="A861" s="27"/>
    </row>
    <row r="862" ht="15.75" customHeight="1">
      <c r="A862" s="27"/>
    </row>
    <row r="863" ht="15.75" customHeight="1">
      <c r="A863" s="27"/>
    </row>
    <row r="864" ht="15.75" customHeight="1">
      <c r="A864" s="27"/>
    </row>
    <row r="865" ht="15.75" customHeight="1">
      <c r="A865" s="27"/>
    </row>
    <row r="866" ht="15.75" customHeight="1">
      <c r="A866" s="27"/>
    </row>
    <row r="867" ht="15.75" customHeight="1">
      <c r="A867" s="27"/>
    </row>
    <row r="868" ht="15.75" customHeight="1">
      <c r="A868" s="27"/>
    </row>
    <row r="869" ht="15.75" customHeight="1">
      <c r="A869" s="27"/>
    </row>
    <row r="870" ht="15.75" customHeight="1">
      <c r="A870" s="27"/>
    </row>
    <row r="871" ht="15.75" customHeight="1">
      <c r="A871" s="27"/>
    </row>
    <row r="872" ht="15.75" customHeight="1">
      <c r="A872" s="27"/>
    </row>
    <row r="873" ht="15.75" customHeight="1">
      <c r="A873" s="27"/>
    </row>
    <row r="874" ht="15.75" customHeight="1">
      <c r="A874" s="27"/>
    </row>
    <row r="875" ht="15.75" customHeight="1">
      <c r="A875" s="27"/>
    </row>
    <row r="876" ht="15.75" customHeight="1">
      <c r="A876" s="27"/>
    </row>
    <row r="877" ht="15.75" customHeight="1">
      <c r="A877" s="27"/>
    </row>
    <row r="878" ht="15.75" customHeight="1">
      <c r="A878" s="27"/>
    </row>
    <row r="879" ht="15.75" customHeight="1">
      <c r="A879" s="27"/>
    </row>
    <row r="880" ht="15.75" customHeight="1">
      <c r="A880" s="27"/>
    </row>
    <row r="881" ht="15.75" customHeight="1">
      <c r="A881" s="27"/>
    </row>
    <row r="882" ht="15.75" customHeight="1">
      <c r="A882" s="27"/>
    </row>
    <row r="883" ht="15.75" customHeight="1">
      <c r="A883" s="27"/>
    </row>
    <row r="884" ht="15.75" customHeight="1">
      <c r="A884" s="27"/>
    </row>
    <row r="885" ht="15.75" customHeight="1">
      <c r="A885" s="27"/>
    </row>
    <row r="886" ht="15.75" customHeight="1">
      <c r="A886" s="27"/>
    </row>
    <row r="887" ht="15.75" customHeight="1">
      <c r="A887" s="27"/>
    </row>
    <row r="888" ht="15.75" customHeight="1">
      <c r="A888" s="27"/>
    </row>
    <row r="889" ht="15.75" customHeight="1">
      <c r="A889" s="27"/>
    </row>
    <row r="890" ht="15.75" customHeight="1">
      <c r="A890" s="27"/>
    </row>
    <row r="891" ht="15.75" customHeight="1">
      <c r="A891" s="27"/>
    </row>
    <row r="892" ht="15.75" customHeight="1">
      <c r="A892" s="27"/>
    </row>
    <row r="893" ht="15.75" customHeight="1">
      <c r="A893" s="27"/>
    </row>
    <row r="894" ht="15.75" customHeight="1">
      <c r="A894" s="27"/>
    </row>
    <row r="895" ht="15.75" customHeight="1">
      <c r="A895" s="27"/>
    </row>
    <row r="896" ht="15.75" customHeight="1">
      <c r="A896" s="27"/>
    </row>
    <row r="897" ht="15.75" customHeight="1">
      <c r="A897" s="27"/>
    </row>
    <row r="898" ht="15.75" customHeight="1">
      <c r="A898" s="27"/>
    </row>
    <row r="899" ht="15.75" customHeight="1">
      <c r="A899" s="27"/>
    </row>
    <row r="900" ht="15.75" customHeight="1">
      <c r="A900" s="27"/>
    </row>
    <row r="901" ht="15.75" customHeight="1">
      <c r="A901" s="27"/>
    </row>
    <row r="902" ht="15.75" customHeight="1">
      <c r="A902" s="27"/>
    </row>
    <row r="903" ht="15.75" customHeight="1">
      <c r="A903" s="27"/>
    </row>
    <row r="904" ht="15.75" customHeight="1">
      <c r="A904" s="27"/>
    </row>
    <row r="905" ht="15.75" customHeight="1">
      <c r="A905" s="27"/>
    </row>
    <row r="906" ht="15.75" customHeight="1">
      <c r="A906" s="27"/>
    </row>
    <row r="907" ht="15.75" customHeight="1">
      <c r="A907" s="27"/>
    </row>
    <row r="908" ht="15.75" customHeight="1">
      <c r="A908" s="27"/>
    </row>
    <row r="909" ht="15.75" customHeight="1">
      <c r="A909" s="27"/>
    </row>
    <row r="910" ht="15.75" customHeight="1">
      <c r="A910" s="27"/>
    </row>
    <row r="911" ht="15.75" customHeight="1">
      <c r="A911" s="27"/>
    </row>
    <row r="912" ht="15.75" customHeight="1">
      <c r="A912" s="27"/>
    </row>
    <row r="913" ht="15.75" customHeight="1">
      <c r="A913" s="27"/>
    </row>
    <row r="914" ht="15.75" customHeight="1">
      <c r="A914" s="27"/>
    </row>
    <row r="915" ht="15.75" customHeight="1">
      <c r="A915" s="27"/>
    </row>
    <row r="916" ht="15.75" customHeight="1">
      <c r="A916" s="27"/>
    </row>
    <row r="917" ht="15.75" customHeight="1">
      <c r="A917" s="27"/>
    </row>
    <row r="918" ht="15.75" customHeight="1">
      <c r="A918" s="27"/>
    </row>
    <row r="919" ht="15.75" customHeight="1">
      <c r="A919" s="27"/>
    </row>
    <row r="920" ht="15.75" customHeight="1">
      <c r="A920" s="27"/>
    </row>
    <row r="921" ht="15.75" customHeight="1">
      <c r="A921" s="27"/>
    </row>
    <row r="922" ht="15.75" customHeight="1">
      <c r="A922" s="27"/>
    </row>
    <row r="923" ht="15.75" customHeight="1">
      <c r="A923" s="27"/>
    </row>
    <row r="924" ht="15.75" customHeight="1">
      <c r="A924" s="27"/>
    </row>
    <row r="925" ht="15.75" customHeight="1">
      <c r="A925" s="27"/>
    </row>
    <row r="926" ht="15.75" customHeight="1">
      <c r="A926" s="27"/>
    </row>
    <row r="927" ht="15.75" customHeight="1">
      <c r="A927" s="27"/>
    </row>
    <row r="928" ht="15.75" customHeight="1">
      <c r="A928" s="27"/>
    </row>
    <row r="929" ht="15.75" customHeight="1">
      <c r="A929" s="27"/>
    </row>
    <row r="930" ht="15.75" customHeight="1">
      <c r="A930" s="27"/>
    </row>
    <row r="931" ht="15.75" customHeight="1">
      <c r="A931" s="27"/>
    </row>
    <row r="932" ht="15.75" customHeight="1">
      <c r="A932" s="27"/>
    </row>
    <row r="933" ht="15.75" customHeight="1">
      <c r="A933" s="27"/>
    </row>
    <row r="934" ht="15.75" customHeight="1">
      <c r="A934" s="27"/>
    </row>
    <row r="935" ht="15.75" customHeight="1">
      <c r="A935" s="27"/>
    </row>
    <row r="936" ht="15.75" customHeight="1">
      <c r="A936" s="27"/>
    </row>
    <row r="937" ht="15.75" customHeight="1">
      <c r="A937" s="27"/>
    </row>
    <row r="938" ht="15.75" customHeight="1">
      <c r="A938" s="27"/>
    </row>
    <row r="939" ht="15.75" customHeight="1">
      <c r="A939" s="27"/>
    </row>
    <row r="940" ht="15.75" customHeight="1">
      <c r="A940" s="27"/>
    </row>
    <row r="941" ht="15.75" customHeight="1">
      <c r="A941" s="27"/>
    </row>
    <row r="942" ht="15.75" customHeight="1">
      <c r="A942" s="27"/>
    </row>
    <row r="943" ht="15.75" customHeight="1">
      <c r="A943" s="27"/>
    </row>
    <row r="944" ht="15.75" customHeight="1">
      <c r="A944" s="27"/>
    </row>
    <row r="945" ht="15.75" customHeight="1">
      <c r="A945" s="27"/>
    </row>
    <row r="946" ht="15.75" customHeight="1">
      <c r="A946" s="27"/>
    </row>
    <row r="947" ht="15.75" customHeight="1">
      <c r="A947" s="27"/>
    </row>
    <row r="948" ht="15.75" customHeight="1">
      <c r="A948" s="27"/>
    </row>
    <row r="949" ht="15.75" customHeight="1">
      <c r="A949" s="27"/>
    </row>
    <row r="950" ht="15.75" customHeight="1">
      <c r="A950" s="27"/>
    </row>
    <row r="951" ht="15.75" customHeight="1">
      <c r="A951" s="27"/>
    </row>
    <row r="952" ht="15.75" customHeight="1">
      <c r="A952" s="27"/>
    </row>
    <row r="953" ht="15.75" customHeight="1">
      <c r="A953" s="27"/>
    </row>
    <row r="954" ht="15.75" customHeight="1">
      <c r="A954" s="27"/>
    </row>
    <row r="955" ht="15.75" customHeight="1">
      <c r="A955" s="27"/>
    </row>
    <row r="956" ht="15.75" customHeight="1">
      <c r="A956" s="27"/>
    </row>
    <row r="957" ht="15.75" customHeight="1">
      <c r="A957" s="27"/>
    </row>
    <row r="958" ht="15.75" customHeight="1">
      <c r="A958" s="27"/>
    </row>
    <row r="959" ht="15.75" customHeight="1">
      <c r="A959" s="27"/>
    </row>
    <row r="960" ht="15.75" customHeight="1">
      <c r="A960" s="27"/>
    </row>
    <row r="961" ht="15.75" customHeight="1">
      <c r="A961" s="27"/>
    </row>
    <row r="962" ht="15.75" customHeight="1">
      <c r="A962" s="27"/>
    </row>
    <row r="963" ht="15.75" customHeight="1">
      <c r="A963" s="27"/>
    </row>
    <row r="964" ht="15.75" customHeight="1">
      <c r="A964" s="27"/>
    </row>
    <row r="965" ht="15.75" customHeight="1">
      <c r="A965" s="27"/>
    </row>
    <row r="966" ht="15.75" customHeight="1">
      <c r="A966" s="27"/>
    </row>
    <row r="967" ht="15.75" customHeight="1">
      <c r="A967" s="27"/>
    </row>
    <row r="968" ht="15.75" customHeight="1">
      <c r="A968" s="27"/>
    </row>
    <row r="969" ht="15.75" customHeight="1">
      <c r="A969" s="27"/>
    </row>
    <row r="970" ht="15.75" customHeight="1">
      <c r="A970" s="27"/>
    </row>
    <row r="971" ht="15.75" customHeight="1">
      <c r="A971" s="27"/>
    </row>
    <row r="972" ht="15.75" customHeight="1">
      <c r="A972" s="27"/>
    </row>
    <row r="973" ht="15.75" customHeight="1">
      <c r="A973" s="27"/>
    </row>
    <row r="974" ht="15.75" customHeight="1">
      <c r="A974" s="27"/>
    </row>
    <row r="975" ht="15.75" customHeight="1">
      <c r="A975" s="27"/>
    </row>
    <row r="976" ht="15.75" customHeight="1">
      <c r="A976" s="27"/>
    </row>
    <row r="977" ht="15.75" customHeight="1">
      <c r="A977" s="27"/>
    </row>
    <row r="978" ht="15.75" customHeight="1">
      <c r="A978" s="27"/>
    </row>
    <row r="979" ht="15.75" customHeight="1">
      <c r="A979" s="27"/>
    </row>
    <row r="980" ht="15.75" customHeight="1">
      <c r="A980" s="27"/>
    </row>
    <row r="981" ht="15.75" customHeight="1">
      <c r="A981" s="27"/>
    </row>
    <row r="982" ht="15.75" customHeight="1">
      <c r="A982" s="27"/>
    </row>
    <row r="983" ht="15.75" customHeight="1">
      <c r="A983" s="27"/>
    </row>
    <row r="984" ht="15.75" customHeight="1">
      <c r="A984" s="27"/>
    </row>
    <row r="985" ht="15.75" customHeight="1">
      <c r="A985" s="27"/>
    </row>
    <row r="986" ht="15.75" customHeight="1">
      <c r="A986" s="27"/>
    </row>
    <row r="987" ht="15.75" customHeight="1">
      <c r="A987" s="27"/>
    </row>
    <row r="988" ht="15.75" customHeight="1">
      <c r="A988" s="27"/>
    </row>
    <row r="989" ht="15.75" customHeight="1">
      <c r="A989" s="27"/>
    </row>
    <row r="990" ht="15.75" customHeight="1">
      <c r="A990" s="27"/>
    </row>
    <row r="991" ht="15.75" customHeight="1">
      <c r="A991" s="27"/>
    </row>
    <row r="992" ht="15.75" customHeight="1">
      <c r="A992" s="27"/>
    </row>
    <row r="993" ht="15.75" customHeight="1">
      <c r="A993" s="27"/>
    </row>
    <row r="994" ht="15.75" customHeight="1">
      <c r="A994" s="27"/>
    </row>
    <row r="995" ht="15.75" customHeight="1">
      <c r="A995" s="27"/>
    </row>
    <row r="996" ht="15.75" customHeight="1">
      <c r="A996" s="27"/>
    </row>
    <row r="997" ht="15.75" customHeight="1">
      <c r="A997" s="27"/>
    </row>
    <row r="998" ht="15.75" customHeight="1">
      <c r="A998" s="27"/>
    </row>
    <row r="999" ht="15.75" customHeight="1">
      <c r="A999" s="27"/>
    </row>
    <row r="1000" ht="15.75" customHeight="1">
      <c r="A1000" s="2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75"/>
    <col customWidth="1" min="3" max="3" width="21.88"/>
    <col customWidth="1" min="4" max="4" width="22.13"/>
    <col customWidth="1" min="5" max="6" width="9.38"/>
  </cols>
  <sheetData>
    <row r="1" ht="96.75" customHeight="1">
      <c r="A1" s="21" t="s">
        <v>0</v>
      </c>
      <c r="B1" s="2" t="s">
        <v>3</v>
      </c>
      <c r="C1" s="2" t="s">
        <v>5</v>
      </c>
      <c r="D1" s="2" t="s">
        <v>7</v>
      </c>
    </row>
    <row r="2">
      <c r="A2" s="22">
        <v>10101.0</v>
      </c>
      <c r="B2" s="1" t="s">
        <v>15</v>
      </c>
      <c r="C2" s="7">
        <v>267.903</v>
      </c>
      <c r="D2" s="7">
        <v>664.13</v>
      </c>
    </row>
    <row r="3">
      <c r="A3" s="22">
        <v>10102.0</v>
      </c>
      <c r="B3" s="1" t="s">
        <v>16</v>
      </c>
      <c r="C3" s="7">
        <v>1.044</v>
      </c>
      <c r="D3" s="7">
        <v>6.59</v>
      </c>
    </row>
    <row r="4">
      <c r="A4" s="22">
        <v>10103.0</v>
      </c>
      <c r="B4" s="1" t="s">
        <v>18</v>
      </c>
      <c r="C4" s="7">
        <v>0.56</v>
      </c>
      <c r="D4" s="7">
        <v>2.7</v>
      </c>
    </row>
    <row r="5">
      <c r="A5" s="22">
        <v>10201.0</v>
      </c>
      <c r="B5" s="1" t="s">
        <v>21</v>
      </c>
      <c r="C5" s="7">
        <v>0.545</v>
      </c>
      <c r="D5" s="7">
        <v>2.89</v>
      </c>
    </row>
    <row r="6">
      <c r="A6" s="22">
        <v>10202.0</v>
      </c>
      <c r="B6" s="1" t="s">
        <v>23</v>
      </c>
      <c r="C6" s="7">
        <v>0.9239999999999999</v>
      </c>
      <c r="D6" s="7">
        <v>3.41</v>
      </c>
    </row>
    <row r="7">
      <c r="A7" s="22">
        <v>10301.0</v>
      </c>
      <c r="B7" s="1" t="s">
        <v>26</v>
      </c>
      <c r="C7" s="7">
        <v>15.748</v>
      </c>
      <c r="D7" s="7">
        <v>20.77</v>
      </c>
    </row>
    <row r="8">
      <c r="A8" s="22">
        <v>10302.0</v>
      </c>
      <c r="B8" s="1" t="s">
        <v>28</v>
      </c>
      <c r="C8" s="7">
        <v>0.545</v>
      </c>
      <c r="D8" s="7">
        <v>2.98</v>
      </c>
    </row>
    <row r="9">
      <c r="A9" s="22">
        <v>10303.0</v>
      </c>
      <c r="B9" s="1" t="s">
        <v>30</v>
      </c>
      <c r="C9" s="7">
        <v>0.9540000000000001</v>
      </c>
      <c r="D9" s="7">
        <v>3.98</v>
      </c>
    </row>
    <row r="10">
      <c r="A10" s="22">
        <v>10304.0</v>
      </c>
      <c r="B10" s="1" t="s">
        <v>32</v>
      </c>
      <c r="C10" s="7">
        <v>0.657</v>
      </c>
      <c r="D10" s="7">
        <v>4.17</v>
      </c>
    </row>
    <row r="11">
      <c r="A11" s="22">
        <v>10401.0</v>
      </c>
      <c r="B11" s="1" t="s">
        <v>35</v>
      </c>
      <c r="C11" s="7">
        <v>0.785</v>
      </c>
      <c r="D11" s="7">
        <v>10.24</v>
      </c>
    </row>
    <row r="12">
      <c r="A12" s="22">
        <v>10402.0</v>
      </c>
      <c r="B12" s="1" t="s">
        <v>34</v>
      </c>
      <c r="C12" s="7">
        <v>0.9350000000000002</v>
      </c>
      <c r="D12" s="7">
        <v>4.64</v>
      </c>
    </row>
    <row r="13">
      <c r="A13" s="22">
        <v>10403.0</v>
      </c>
      <c r="B13" s="1" t="s">
        <v>38</v>
      </c>
      <c r="C13" s="7">
        <v>0.64</v>
      </c>
      <c r="D13" s="7">
        <v>3.08</v>
      </c>
    </row>
    <row r="14">
      <c r="A14" s="22">
        <v>10404.0</v>
      </c>
      <c r="B14" s="1" t="s">
        <v>39</v>
      </c>
      <c r="C14" s="7">
        <v>0.57</v>
      </c>
      <c r="D14" s="7">
        <v>4.17</v>
      </c>
    </row>
    <row r="15">
      <c r="A15" s="22">
        <v>10405.0</v>
      </c>
      <c r="B15" s="1" t="s">
        <v>40</v>
      </c>
      <c r="C15" s="7">
        <v>0.345</v>
      </c>
      <c r="D15" s="7">
        <v>1.61</v>
      </c>
    </row>
    <row r="16">
      <c r="A16" s="22">
        <v>10501.0</v>
      </c>
      <c r="B16" s="1" t="s">
        <v>42</v>
      </c>
      <c r="C16" s="7">
        <v>20.188000000000002</v>
      </c>
      <c r="D16" s="7">
        <v>37.66</v>
      </c>
    </row>
    <row r="17">
      <c r="A17" s="22">
        <v>10502.0</v>
      </c>
      <c r="B17" s="1" t="s">
        <v>43</v>
      </c>
      <c r="C17" s="7">
        <v>0.93</v>
      </c>
      <c r="D17" s="7">
        <v>5.73</v>
      </c>
    </row>
    <row r="18">
      <c r="A18" s="22">
        <v>10601.0</v>
      </c>
      <c r="B18" s="1" t="s">
        <v>45</v>
      </c>
      <c r="C18" s="7">
        <v>0.954</v>
      </c>
      <c r="D18" s="7">
        <v>17.83</v>
      </c>
    </row>
    <row r="19">
      <c r="A19" s="22">
        <v>10602.0</v>
      </c>
      <c r="B19" s="1" t="s">
        <v>44</v>
      </c>
      <c r="C19" s="7">
        <v>0.5</v>
      </c>
      <c r="D19" s="7">
        <v>3.08</v>
      </c>
    </row>
    <row r="20">
      <c r="A20" s="22">
        <v>10701.0</v>
      </c>
      <c r="B20" s="1" t="s">
        <v>47</v>
      </c>
      <c r="C20" s="7">
        <v>17.808000000000003</v>
      </c>
      <c r="D20" s="7">
        <v>19.58</v>
      </c>
    </row>
    <row r="21" ht="15.75" customHeight="1">
      <c r="A21" s="22">
        <v>10702.0</v>
      </c>
      <c r="B21" s="1" t="s">
        <v>48</v>
      </c>
      <c r="C21" s="7">
        <v>1.2480000000000002</v>
      </c>
      <c r="D21" s="7">
        <v>7.11</v>
      </c>
    </row>
    <row r="22" ht="15.75" customHeight="1">
      <c r="A22" s="22">
        <v>10703.0</v>
      </c>
      <c r="B22" s="1" t="s">
        <v>49</v>
      </c>
      <c r="C22" s="7">
        <v>0.21600000000000003</v>
      </c>
      <c r="D22" s="7">
        <v>2.6</v>
      </c>
    </row>
    <row r="23" ht="15.75" customHeight="1">
      <c r="A23" s="22">
        <v>10704.0</v>
      </c>
      <c r="B23" s="1" t="s">
        <v>50</v>
      </c>
      <c r="C23" s="7">
        <v>0.56</v>
      </c>
      <c r="D23" s="7">
        <v>2.89</v>
      </c>
    </row>
    <row r="24" ht="15.75" customHeight="1">
      <c r="A24" s="22">
        <v>10801.0</v>
      </c>
      <c r="B24" s="1" t="s">
        <v>52</v>
      </c>
      <c r="C24" s="7">
        <v>1.3310000000000002</v>
      </c>
      <c r="D24" s="7">
        <v>8.96</v>
      </c>
    </row>
    <row r="25" ht="15.75" customHeight="1">
      <c r="A25" s="22">
        <v>10901.0</v>
      </c>
      <c r="B25" s="1" t="s">
        <v>54</v>
      </c>
      <c r="C25" s="7">
        <v>0.47</v>
      </c>
      <c r="D25" s="7">
        <v>3.41</v>
      </c>
    </row>
    <row r="26" ht="15.75" customHeight="1">
      <c r="A26" s="22">
        <v>10902.0</v>
      </c>
      <c r="B26" s="1" t="s">
        <v>55</v>
      </c>
      <c r="C26" s="7">
        <v>0.714</v>
      </c>
      <c r="D26" s="7">
        <v>5.07</v>
      </c>
    </row>
    <row r="27" ht="15.75" customHeight="1">
      <c r="A27" s="22">
        <v>10903.0</v>
      </c>
      <c r="B27" s="1" t="s">
        <v>56</v>
      </c>
      <c r="C27" s="7">
        <v>0.252</v>
      </c>
      <c r="D27" s="7">
        <v>1.42</v>
      </c>
    </row>
    <row r="28" ht="15.75" customHeight="1">
      <c r="A28" s="22">
        <v>11001.0</v>
      </c>
      <c r="B28" s="1" t="s">
        <v>58</v>
      </c>
      <c r="C28" s="7">
        <v>0.925</v>
      </c>
      <c r="D28" s="7">
        <v>5.45</v>
      </c>
    </row>
    <row r="29" ht="15.75" customHeight="1">
      <c r="A29" s="22">
        <v>11002.0</v>
      </c>
      <c r="B29" s="1" t="s">
        <v>59</v>
      </c>
      <c r="C29" s="7">
        <v>0.0</v>
      </c>
      <c r="D29" s="7">
        <v>0.75</v>
      </c>
    </row>
    <row r="30" ht="15.75" customHeight="1">
      <c r="A30" s="22">
        <v>11003.0</v>
      </c>
      <c r="B30" s="1" t="s">
        <v>60</v>
      </c>
      <c r="C30" s="7">
        <v>1.06</v>
      </c>
      <c r="D30" s="7">
        <v>5.83</v>
      </c>
    </row>
    <row r="31" ht="15.75" customHeight="1">
      <c r="A31" s="22">
        <v>20101.0</v>
      </c>
      <c r="B31" s="1" t="s">
        <v>62</v>
      </c>
      <c r="C31" s="7">
        <v>1353.404</v>
      </c>
      <c r="D31" s="7">
        <v>1912.48</v>
      </c>
    </row>
    <row r="32" ht="15.75" customHeight="1">
      <c r="A32" s="22">
        <v>20102.0</v>
      </c>
      <c r="B32" s="1" t="s">
        <v>63</v>
      </c>
      <c r="C32" s="7">
        <v>29.766</v>
      </c>
      <c r="D32" s="7">
        <v>5.64</v>
      </c>
    </row>
    <row r="33" ht="15.75" customHeight="1">
      <c r="A33" s="22">
        <v>20103.0</v>
      </c>
      <c r="B33" s="1" t="s">
        <v>64</v>
      </c>
      <c r="C33" s="7">
        <v>2.418</v>
      </c>
      <c r="D33" s="7">
        <v>22.9</v>
      </c>
    </row>
    <row r="34" ht="15.75" customHeight="1">
      <c r="A34" s="22">
        <v>20104.0</v>
      </c>
      <c r="B34" s="1" t="s">
        <v>65</v>
      </c>
      <c r="C34" s="7">
        <v>3.27</v>
      </c>
      <c r="D34" s="7">
        <v>23.0</v>
      </c>
    </row>
    <row r="35" ht="15.75" customHeight="1">
      <c r="A35" s="22">
        <v>20105.0</v>
      </c>
      <c r="B35" s="1" t="s">
        <v>66</v>
      </c>
      <c r="C35" s="7">
        <v>435.506</v>
      </c>
      <c r="D35" s="7">
        <v>1727.17</v>
      </c>
    </row>
    <row r="36" ht="15.75" customHeight="1">
      <c r="A36" s="22">
        <v>20201.0</v>
      </c>
      <c r="B36" s="1" t="s">
        <v>68</v>
      </c>
      <c r="C36" s="7">
        <v>2.365</v>
      </c>
      <c r="D36" s="7">
        <v>43.92</v>
      </c>
    </row>
    <row r="37" ht="15.75" customHeight="1">
      <c r="A37" s="22">
        <v>20202.0</v>
      </c>
      <c r="B37" s="1" t="s">
        <v>69</v>
      </c>
      <c r="C37" s="7">
        <v>0.324</v>
      </c>
      <c r="D37" s="7">
        <v>2.03</v>
      </c>
    </row>
    <row r="38" ht="15.75" customHeight="1">
      <c r="A38" s="22">
        <v>20203.0</v>
      </c>
      <c r="B38" s="1" t="s">
        <v>70</v>
      </c>
      <c r="C38" s="7">
        <v>63.36</v>
      </c>
      <c r="D38" s="7">
        <v>6.4</v>
      </c>
    </row>
    <row r="39" ht="15.75" customHeight="1">
      <c r="A39" s="22">
        <v>20204.0</v>
      </c>
      <c r="B39" s="1" t="s">
        <v>71</v>
      </c>
      <c r="C39" s="7">
        <v>0.465</v>
      </c>
      <c r="D39" s="7">
        <v>1.61</v>
      </c>
    </row>
    <row r="40" ht="15.75" customHeight="1">
      <c r="A40" s="22">
        <v>20205.0</v>
      </c>
      <c r="B40" s="1" t="s">
        <v>72</v>
      </c>
      <c r="C40" s="7">
        <v>0.332</v>
      </c>
      <c r="D40" s="7">
        <v>8.25</v>
      </c>
    </row>
    <row r="41" ht="15.75" customHeight="1">
      <c r="A41" s="22">
        <v>20206.0</v>
      </c>
      <c r="B41" s="1" t="s">
        <v>73</v>
      </c>
      <c r="C41" s="7">
        <v>67.744</v>
      </c>
      <c r="D41" s="7">
        <v>7.01</v>
      </c>
    </row>
    <row r="42" ht="15.75" customHeight="1">
      <c r="A42" s="22">
        <v>20301.0</v>
      </c>
      <c r="B42" s="1" t="s">
        <v>75</v>
      </c>
      <c r="C42" s="7">
        <v>0.657</v>
      </c>
      <c r="D42" s="7">
        <v>3.79</v>
      </c>
    </row>
    <row r="43" ht="15.75" customHeight="1">
      <c r="A43" s="22">
        <v>20302.0</v>
      </c>
      <c r="B43" s="1" t="s">
        <v>76</v>
      </c>
      <c r="C43" s="7">
        <v>0.46</v>
      </c>
      <c r="D43" s="7">
        <v>2.98</v>
      </c>
    </row>
    <row r="44" ht="15.75" customHeight="1">
      <c r="A44" s="22">
        <v>20303.0</v>
      </c>
      <c r="B44" s="1" t="s">
        <v>77</v>
      </c>
      <c r="C44" s="7">
        <v>0.262</v>
      </c>
      <c r="D44" s="7">
        <v>2.22</v>
      </c>
    </row>
    <row r="45" ht="15.75" customHeight="1">
      <c r="A45" s="22">
        <v>20304.0</v>
      </c>
      <c r="B45" s="1" t="s">
        <v>78</v>
      </c>
      <c r="C45" s="7">
        <v>0.18</v>
      </c>
      <c r="D45" s="7">
        <v>1.04</v>
      </c>
    </row>
    <row r="46" ht="15.75" customHeight="1">
      <c r="A46" s="22">
        <v>20305.0</v>
      </c>
      <c r="B46" s="1" t="s">
        <v>79</v>
      </c>
      <c r="C46" s="7">
        <v>0.19</v>
      </c>
      <c r="D46" s="7">
        <v>1.23</v>
      </c>
    </row>
    <row r="47" ht="15.75" customHeight="1">
      <c r="A47" s="22">
        <v>20306.0</v>
      </c>
      <c r="B47" s="1" t="s">
        <v>80</v>
      </c>
      <c r="C47" s="7">
        <v>0.23600000000000002</v>
      </c>
      <c r="D47" s="7">
        <v>1.42</v>
      </c>
    </row>
    <row r="48" ht="15.75" customHeight="1">
      <c r="A48" s="22">
        <v>20307.0</v>
      </c>
      <c r="B48" s="1" t="s">
        <v>81</v>
      </c>
      <c r="C48" s="7">
        <v>0.10800000000000001</v>
      </c>
      <c r="D48" s="7">
        <v>1.13</v>
      </c>
    </row>
    <row r="49" ht="15.75" customHeight="1">
      <c r="A49" s="22">
        <v>20308.0</v>
      </c>
      <c r="B49" s="1" t="s">
        <v>82</v>
      </c>
      <c r="C49" s="7">
        <v>0.195</v>
      </c>
      <c r="D49" s="7">
        <v>1.42</v>
      </c>
    </row>
    <row r="50" ht="15.75" customHeight="1">
      <c r="A50" s="22">
        <v>20401.0</v>
      </c>
      <c r="B50" s="1" t="s">
        <v>84</v>
      </c>
      <c r="C50" s="7">
        <v>0.40800000000000003</v>
      </c>
      <c r="D50" s="7">
        <v>7.01</v>
      </c>
    </row>
    <row r="51" ht="15.75" customHeight="1">
      <c r="A51" s="22">
        <v>20402.0</v>
      </c>
      <c r="B51" s="1" t="s">
        <v>85</v>
      </c>
      <c r="C51" s="7">
        <v>0.423</v>
      </c>
      <c r="D51" s="7">
        <v>3.17</v>
      </c>
    </row>
    <row r="52" ht="15.75" customHeight="1">
      <c r="A52" s="22">
        <v>20403.0</v>
      </c>
      <c r="B52" s="1" t="s">
        <v>86</v>
      </c>
      <c r="C52" s="7">
        <v>0.263</v>
      </c>
      <c r="D52" s="7">
        <v>1.84</v>
      </c>
    </row>
    <row r="53" ht="15.75" customHeight="1">
      <c r="A53" s="22">
        <v>20404.0</v>
      </c>
      <c r="B53" s="1" t="s">
        <v>87</v>
      </c>
      <c r="C53" s="7">
        <v>0.08800000000000001</v>
      </c>
      <c r="D53" s="7">
        <v>0.47</v>
      </c>
    </row>
    <row r="54" ht="15.75" customHeight="1">
      <c r="A54" s="22">
        <v>20405.0</v>
      </c>
      <c r="B54" s="1" t="s">
        <v>88</v>
      </c>
      <c r="C54" s="7">
        <v>0.324</v>
      </c>
      <c r="D54" s="7">
        <v>2.51</v>
      </c>
    </row>
    <row r="55" ht="15.75" customHeight="1">
      <c r="A55" s="22">
        <v>20501.0</v>
      </c>
      <c r="B55" s="1" t="s">
        <v>90</v>
      </c>
      <c r="C55" s="7">
        <v>0.348</v>
      </c>
      <c r="D55" s="7">
        <v>2.6</v>
      </c>
    </row>
    <row r="56" ht="15.75" customHeight="1">
      <c r="A56" s="22">
        <v>20502.0</v>
      </c>
      <c r="B56" s="1" t="s">
        <v>91</v>
      </c>
      <c r="C56" s="7">
        <v>0.17400000000000002</v>
      </c>
      <c r="D56" s="7">
        <v>1.23</v>
      </c>
    </row>
    <row r="57" ht="15.75" customHeight="1">
      <c r="A57" s="22">
        <v>20503.0</v>
      </c>
      <c r="B57" s="1" t="s">
        <v>92</v>
      </c>
      <c r="C57" s="7">
        <v>0.32</v>
      </c>
      <c r="D57" s="7">
        <v>1.84</v>
      </c>
    </row>
    <row r="58" ht="15.75" customHeight="1">
      <c r="A58" s="22">
        <v>20601.0</v>
      </c>
      <c r="B58" s="1" t="s">
        <v>94</v>
      </c>
      <c r="C58" s="7">
        <v>44.608000000000004</v>
      </c>
      <c r="D58" s="7">
        <v>43.92</v>
      </c>
    </row>
    <row r="59" ht="15.75" customHeight="1">
      <c r="A59" s="22">
        <v>20602.0</v>
      </c>
      <c r="B59" s="1" t="s">
        <v>95</v>
      </c>
      <c r="C59" s="7">
        <v>3.1289999999999996</v>
      </c>
      <c r="D59" s="7">
        <v>13.13</v>
      </c>
    </row>
    <row r="60" ht="15.75" customHeight="1">
      <c r="A60" s="22">
        <v>20603.0</v>
      </c>
      <c r="B60" s="1" t="s">
        <v>96</v>
      </c>
      <c r="C60" s="7">
        <v>0.686</v>
      </c>
      <c r="D60" s="7">
        <v>2.13</v>
      </c>
    </row>
    <row r="61" ht="15.75" customHeight="1">
      <c r="A61" s="22">
        <v>20604.0</v>
      </c>
      <c r="B61" s="1" t="s">
        <v>97</v>
      </c>
      <c r="C61" s="7">
        <v>0.172</v>
      </c>
      <c r="D61" s="7">
        <v>0.47</v>
      </c>
    </row>
    <row r="62" ht="15.75" customHeight="1">
      <c r="A62" s="22">
        <v>20605.0</v>
      </c>
      <c r="B62" s="1" t="s">
        <v>98</v>
      </c>
      <c r="C62" s="7">
        <v>0.054000000000000006</v>
      </c>
      <c r="D62" s="7">
        <v>0.37</v>
      </c>
    </row>
    <row r="63" ht="15.75" customHeight="1">
      <c r="A63" s="22">
        <v>20606.0</v>
      </c>
      <c r="B63" s="1" t="s">
        <v>99</v>
      </c>
      <c r="C63" s="7">
        <v>2.639</v>
      </c>
      <c r="D63" s="7">
        <v>14.79</v>
      </c>
    </row>
    <row r="64" ht="15.75" customHeight="1">
      <c r="A64" s="22">
        <v>20607.0</v>
      </c>
      <c r="B64" s="1" t="s">
        <v>100</v>
      </c>
      <c r="C64" s="7">
        <v>2.3920000000000003</v>
      </c>
      <c r="D64" s="7">
        <v>27.69</v>
      </c>
    </row>
    <row r="65" ht="15.75" customHeight="1">
      <c r="A65" s="22">
        <v>20608.0</v>
      </c>
      <c r="B65" s="1" t="s">
        <v>101</v>
      </c>
      <c r="C65" s="7">
        <v>0.8939999999999999</v>
      </c>
      <c r="D65" s="7">
        <v>4.45</v>
      </c>
    </row>
    <row r="66" ht="15.75" customHeight="1">
      <c r="A66" s="22">
        <v>20701.0</v>
      </c>
      <c r="B66" s="1" t="s">
        <v>103</v>
      </c>
      <c r="C66" s="7">
        <v>1.428</v>
      </c>
      <c r="D66" s="7">
        <v>8.06</v>
      </c>
    </row>
    <row r="67" ht="15.75" customHeight="1">
      <c r="A67" s="22">
        <v>20702.0</v>
      </c>
      <c r="B67" s="1" t="s">
        <v>104</v>
      </c>
      <c r="C67" s="7">
        <v>0.7020000000000001</v>
      </c>
      <c r="D67" s="7">
        <v>9.05</v>
      </c>
    </row>
    <row r="68" ht="15.75" customHeight="1">
      <c r="A68" s="22">
        <v>20801.0</v>
      </c>
      <c r="B68" s="1" t="s">
        <v>106</v>
      </c>
      <c r="C68" s="7">
        <v>29.408</v>
      </c>
      <c r="D68" s="7">
        <v>125.21</v>
      </c>
    </row>
    <row r="69" ht="15.75" customHeight="1">
      <c r="A69" s="22">
        <v>20802.0</v>
      </c>
      <c r="B69" s="1" t="s">
        <v>107</v>
      </c>
      <c r="C69" s="7">
        <v>0.567</v>
      </c>
      <c r="D69" s="7">
        <v>12.85</v>
      </c>
    </row>
    <row r="70" ht="15.75" customHeight="1">
      <c r="A70" s="22">
        <v>20803.0</v>
      </c>
      <c r="B70" s="1" t="s">
        <v>108</v>
      </c>
      <c r="C70" s="7">
        <v>103.89599999999999</v>
      </c>
      <c r="D70" s="7">
        <v>29.07</v>
      </c>
    </row>
    <row r="71" ht="15.75" customHeight="1">
      <c r="A71" s="22">
        <v>20804.0</v>
      </c>
      <c r="B71" s="1" t="s">
        <v>109</v>
      </c>
      <c r="C71" s="7">
        <v>28.3</v>
      </c>
      <c r="D71" s="7">
        <v>16.98</v>
      </c>
    </row>
    <row r="72" ht="15.75" customHeight="1">
      <c r="A72" s="22">
        <v>20805.0</v>
      </c>
      <c r="B72" s="1" t="s">
        <v>110</v>
      </c>
      <c r="C72" s="7">
        <v>0.147</v>
      </c>
      <c r="D72" s="7">
        <v>1.23</v>
      </c>
    </row>
    <row r="73" ht="15.75" customHeight="1">
      <c r="A73" s="22">
        <v>20806.0</v>
      </c>
      <c r="B73" s="1" t="s">
        <v>111</v>
      </c>
      <c r="C73" s="7">
        <v>0.5840000000000001</v>
      </c>
      <c r="D73" s="7">
        <v>4.74</v>
      </c>
    </row>
    <row r="74" ht="15.75" customHeight="1">
      <c r="A74" s="22">
        <v>20807.0</v>
      </c>
      <c r="B74" s="1" t="s">
        <v>112</v>
      </c>
      <c r="C74" s="7">
        <v>0.10200000000000001</v>
      </c>
      <c r="D74" s="7">
        <v>0.66</v>
      </c>
    </row>
    <row r="75" ht="15.75" customHeight="1">
      <c r="A75" s="22">
        <v>20901.0</v>
      </c>
      <c r="B75" s="1" t="s">
        <v>114</v>
      </c>
      <c r="C75" s="7">
        <v>0.5</v>
      </c>
      <c r="D75" s="7">
        <v>2.22</v>
      </c>
    </row>
    <row r="76" ht="15.75" customHeight="1">
      <c r="A76" s="22">
        <v>20902.0</v>
      </c>
      <c r="B76" s="1" t="s">
        <v>115</v>
      </c>
      <c r="C76" s="7">
        <v>0.375</v>
      </c>
      <c r="D76" s="7">
        <v>1.23</v>
      </c>
    </row>
    <row r="77" ht="15.75" customHeight="1">
      <c r="A77" s="22">
        <v>20903.0</v>
      </c>
      <c r="B77" s="1" t="s">
        <v>116</v>
      </c>
      <c r="C77" s="7">
        <v>0.267</v>
      </c>
      <c r="D77" s="7">
        <v>1.84</v>
      </c>
    </row>
    <row r="78" ht="15.75" customHeight="1">
      <c r="A78" s="22">
        <v>20904.0</v>
      </c>
      <c r="B78" s="1" t="s">
        <v>117</v>
      </c>
      <c r="C78" s="7">
        <v>0.294</v>
      </c>
      <c r="D78" s="7">
        <v>1.42</v>
      </c>
    </row>
    <row r="79" ht="15.75" customHeight="1">
      <c r="A79" s="22">
        <v>20905.0</v>
      </c>
      <c r="B79" s="1" t="s">
        <v>118</v>
      </c>
      <c r="C79" s="7">
        <v>0.16699999999999998</v>
      </c>
      <c r="D79" s="7">
        <v>1.61</v>
      </c>
    </row>
    <row r="80" ht="15.75" customHeight="1">
      <c r="A80" s="22">
        <v>21001.0</v>
      </c>
      <c r="B80" s="1" t="s">
        <v>119</v>
      </c>
      <c r="C80" s="7">
        <v>0.34700000000000003</v>
      </c>
      <c r="D80" s="7">
        <v>1.42</v>
      </c>
    </row>
    <row r="81" ht="15.75" customHeight="1">
      <c r="A81" s="22">
        <v>21002.0</v>
      </c>
      <c r="B81" s="1" t="s">
        <v>120</v>
      </c>
      <c r="C81" s="7">
        <v>0.9640000000000001</v>
      </c>
      <c r="D81" s="7">
        <v>4.55</v>
      </c>
    </row>
    <row r="82" ht="15.75" customHeight="1">
      <c r="A82" s="22">
        <v>21003.0</v>
      </c>
      <c r="B82" s="1" t="s">
        <v>121</v>
      </c>
      <c r="C82" s="7">
        <v>0.43799999999999994</v>
      </c>
      <c r="D82" s="7">
        <v>2.32</v>
      </c>
    </row>
    <row r="83" ht="15.75" customHeight="1">
      <c r="A83" s="22">
        <v>21004.0</v>
      </c>
      <c r="B83" s="1" t="s">
        <v>122</v>
      </c>
      <c r="C83" s="7">
        <v>0.9810000000000001</v>
      </c>
      <c r="D83" s="7">
        <v>4.64</v>
      </c>
    </row>
    <row r="84" ht="15.75" customHeight="1">
      <c r="A84" s="22">
        <v>21005.0</v>
      </c>
      <c r="B84" s="1" t="s">
        <v>123</v>
      </c>
      <c r="C84" s="7">
        <v>0.14800000000000002</v>
      </c>
      <c r="D84" s="7">
        <v>0.94</v>
      </c>
    </row>
    <row r="85" ht="15.75" customHeight="1">
      <c r="A85" s="22">
        <v>21006.0</v>
      </c>
      <c r="B85" s="1" t="s">
        <v>124</v>
      </c>
      <c r="C85" s="7">
        <v>0.348</v>
      </c>
      <c r="D85" s="7">
        <v>4.55</v>
      </c>
    </row>
    <row r="86" ht="15.75" customHeight="1">
      <c r="A86" s="22">
        <v>21101.0</v>
      </c>
      <c r="B86" s="1" t="s">
        <v>126</v>
      </c>
      <c r="C86" s="7">
        <v>1.9709999999999999</v>
      </c>
      <c r="D86" s="7">
        <v>8.58</v>
      </c>
    </row>
    <row r="87" ht="15.75" customHeight="1">
      <c r="A87" s="22">
        <v>21102.0</v>
      </c>
      <c r="B87" s="1" t="s">
        <v>127</v>
      </c>
      <c r="C87" s="7">
        <v>0.882</v>
      </c>
      <c r="D87" s="7">
        <v>6.21</v>
      </c>
    </row>
    <row r="88" ht="15.75" customHeight="1">
      <c r="A88" s="22">
        <v>21103.0</v>
      </c>
      <c r="B88" s="1" t="s">
        <v>128</v>
      </c>
      <c r="C88" s="7">
        <v>0.81</v>
      </c>
      <c r="D88" s="7">
        <v>3.88</v>
      </c>
    </row>
    <row r="89" ht="15.75" customHeight="1">
      <c r="A89" s="22">
        <v>21104.0</v>
      </c>
      <c r="B89" s="1" t="s">
        <v>129</v>
      </c>
      <c r="C89" s="7">
        <v>2.97</v>
      </c>
      <c r="D89" s="7">
        <v>12.47</v>
      </c>
    </row>
    <row r="90" ht="15.75" customHeight="1">
      <c r="A90" s="22">
        <v>21105.0</v>
      </c>
      <c r="B90" s="1" t="s">
        <v>130</v>
      </c>
      <c r="C90" s="7">
        <v>0.87</v>
      </c>
      <c r="D90" s="7">
        <v>5.35</v>
      </c>
    </row>
    <row r="91" ht="15.75" customHeight="1">
      <c r="A91" s="22">
        <v>21201.0</v>
      </c>
      <c r="B91" s="1" t="s">
        <v>132</v>
      </c>
      <c r="C91" s="7">
        <v>1.844</v>
      </c>
      <c r="D91" s="7">
        <v>20.11</v>
      </c>
    </row>
    <row r="92" ht="15.75" customHeight="1">
      <c r="A92" s="22">
        <v>21202.0</v>
      </c>
      <c r="B92" s="1" t="s">
        <v>133</v>
      </c>
      <c r="C92" s="7">
        <v>1.08</v>
      </c>
      <c r="D92" s="7">
        <v>6.92</v>
      </c>
    </row>
    <row r="93" ht="15.75" customHeight="1">
      <c r="A93" s="22">
        <v>21203.0</v>
      </c>
      <c r="B93" s="1" t="s">
        <v>134</v>
      </c>
      <c r="C93" s="7">
        <v>0.965</v>
      </c>
      <c r="D93" s="7">
        <v>23.43</v>
      </c>
    </row>
    <row r="94" ht="15.75" customHeight="1">
      <c r="A94" s="22">
        <v>21204.0</v>
      </c>
      <c r="B94" s="1" t="s">
        <v>135</v>
      </c>
      <c r="C94" s="7">
        <v>0.37199999999999994</v>
      </c>
      <c r="D94" s="7">
        <v>3.69</v>
      </c>
    </row>
    <row r="95" ht="15.75" customHeight="1">
      <c r="A95" s="22">
        <v>21301.0</v>
      </c>
      <c r="B95" s="1" t="s">
        <v>137</v>
      </c>
      <c r="C95" s="7">
        <v>1.8719999999999999</v>
      </c>
      <c r="D95" s="7">
        <v>9.62</v>
      </c>
    </row>
    <row r="96" ht="15.75" customHeight="1">
      <c r="A96" s="22">
        <v>21302.0</v>
      </c>
      <c r="B96" s="1" t="s">
        <v>138</v>
      </c>
      <c r="C96" s="7">
        <v>0.10700000000000001</v>
      </c>
      <c r="D96" s="7">
        <v>0.75</v>
      </c>
    </row>
    <row r="97" ht="15.75" customHeight="1">
      <c r="A97" s="22">
        <v>21303.0</v>
      </c>
      <c r="B97" s="1" t="s">
        <v>139</v>
      </c>
      <c r="C97" s="7">
        <v>0.332</v>
      </c>
      <c r="D97" s="7">
        <v>2.41</v>
      </c>
    </row>
    <row r="98" ht="15.75" customHeight="1">
      <c r="A98" s="22">
        <v>21304.0</v>
      </c>
      <c r="B98" s="1" t="s">
        <v>140</v>
      </c>
      <c r="C98" s="7">
        <v>0.39899999999999997</v>
      </c>
      <c r="D98" s="7">
        <v>1.84</v>
      </c>
    </row>
    <row r="99" ht="15.75" customHeight="1">
      <c r="A99" s="22">
        <v>21305.0</v>
      </c>
      <c r="B99" s="1" t="s">
        <v>141</v>
      </c>
      <c r="C99" s="7">
        <v>3.2059999999999995</v>
      </c>
      <c r="D99" s="7">
        <v>39.03</v>
      </c>
    </row>
    <row r="100" ht="15.75" customHeight="1">
      <c r="A100" s="22">
        <v>21306.0</v>
      </c>
      <c r="B100" s="1" t="s">
        <v>142</v>
      </c>
      <c r="C100" s="7">
        <v>0.46</v>
      </c>
      <c r="D100" s="7">
        <v>2.89</v>
      </c>
    </row>
    <row r="101" ht="15.75" customHeight="1">
      <c r="A101" s="22">
        <v>21307.0</v>
      </c>
      <c r="B101" s="1" t="s">
        <v>143</v>
      </c>
      <c r="C101" s="7">
        <v>0.33</v>
      </c>
      <c r="D101" s="7">
        <v>2.03</v>
      </c>
    </row>
    <row r="102" ht="15.75" customHeight="1">
      <c r="A102" s="22">
        <v>21401.0</v>
      </c>
      <c r="B102" s="1" t="s">
        <v>145</v>
      </c>
      <c r="C102" s="7">
        <v>92.12</v>
      </c>
      <c r="D102" s="7">
        <v>49.56</v>
      </c>
    </row>
    <row r="103" ht="15.75" customHeight="1">
      <c r="A103" s="22">
        <v>21402.0</v>
      </c>
      <c r="B103" s="1" t="s">
        <v>146</v>
      </c>
      <c r="C103" s="7">
        <v>0.995</v>
      </c>
      <c r="D103" s="7">
        <v>4.45</v>
      </c>
    </row>
    <row r="104" ht="15.75" customHeight="1">
      <c r="A104" s="22">
        <v>21501.0</v>
      </c>
      <c r="B104" s="1" t="s">
        <v>148</v>
      </c>
      <c r="C104" s="7">
        <v>1.14</v>
      </c>
      <c r="D104" s="7">
        <v>6.59</v>
      </c>
    </row>
    <row r="105" ht="15.75" customHeight="1">
      <c r="A105" s="22">
        <v>21502.0</v>
      </c>
      <c r="B105" s="1" t="s">
        <v>149</v>
      </c>
      <c r="C105" s="7">
        <v>1.695</v>
      </c>
      <c r="D105" s="7">
        <v>18.11</v>
      </c>
    </row>
    <row r="106" ht="15.75" customHeight="1">
      <c r="A106" s="22">
        <v>21601.0</v>
      </c>
      <c r="B106" s="1" t="s">
        <v>151</v>
      </c>
      <c r="C106" s="7">
        <v>0.59</v>
      </c>
      <c r="D106" s="7">
        <v>3.27</v>
      </c>
    </row>
    <row r="107" ht="15.75" customHeight="1">
      <c r="A107" s="22">
        <v>21602.0</v>
      </c>
      <c r="B107" s="1" t="s">
        <v>152</v>
      </c>
      <c r="C107" s="7">
        <v>0.165</v>
      </c>
      <c r="D107" s="7">
        <v>1.04</v>
      </c>
    </row>
    <row r="108" ht="15.75" customHeight="1">
      <c r="A108" s="22">
        <v>21701.0</v>
      </c>
      <c r="B108" s="1" t="s">
        <v>154</v>
      </c>
      <c r="C108" s="7">
        <v>128.583</v>
      </c>
      <c r="D108" s="7">
        <v>52.88</v>
      </c>
    </row>
    <row r="109" ht="15.75" customHeight="1">
      <c r="A109" s="22">
        <v>21702.0</v>
      </c>
      <c r="B109" s="1" t="s">
        <v>155</v>
      </c>
      <c r="C109" s="7">
        <v>15.635</v>
      </c>
      <c r="D109" s="7">
        <v>18.73</v>
      </c>
    </row>
    <row r="110" ht="15.75" customHeight="1">
      <c r="A110" s="22">
        <v>21703.0</v>
      </c>
      <c r="B110" s="1" t="s">
        <v>156</v>
      </c>
      <c r="C110" s="7">
        <v>0.165</v>
      </c>
      <c r="D110" s="7">
        <v>2.7</v>
      </c>
    </row>
    <row r="111" ht="15.75" customHeight="1">
      <c r="A111" s="22">
        <v>21801.0</v>
      </c>
      <c r="B111" s="1" t="s">
        <v>158</v>
      </c>
      <c r="C111" s="7">
        <v>0.10400000000000001</v>
      </c>
      <c r="D111" s="7">
        <v>0.94</v>
      </c>
    </row>
    <row r="112" ht="15.75" customHeight="1">
      <c r="A112" s="22">
        <v>21802.0</v>
      </c>
      <c r="B112" s="1" t="s">
        <v>160</v>
      </c>
      <c r="C112" s="7">
        <v>0.16400000000000003</v>
      </c>
      <c r="D112" s="7">
        <v>0.85</v>
      </c>
    </row>
    <row r="113" ht="15.75" customHeight="1">
      <c r="A113" s="22">
        <v>21803.0</v>
      </c>
      <c r="B113" s="1" t="s">
        <v>161</v>
      </c>
      <c r="C113" s="7">
        <v>0.057</v>
      </c>
      <c r="D113" s="7">
        <v>0.37</v>
      </c>
    </row>
    <row r="114" ht="15.75" customHeight="1">
      <c r="A114" s="22">
        <v>21901.0</v>
      </c>
      <c r="B114" s="1" t="s">
        <v>163</v>
      </c>
      <c r="C114" s="7">
        <v>0.37799999999999995</v>
      </c>
      <c r="D114" s="7">
        <v>2.89</v>
      </c>
    </row>
    <row r="115" ht="15.75" customHeight="1">
      <c r="A115" s="22">
        <v>21902.0</v>
      </c>
      <c r="B115" s="1" t="s">
        <v>164</v>
      </c>
      <c r="C115" s="7">
        <v>0.02</v>
      </c>
      <c r="D115" s="7">
        <v>0.28</v>
      </c>
    </row>
    <row r="116" ht="15.75" customHeight="1">
      <c r="A116" s="22">
        <v>22001.0</v>
      </c>
      <c r="B116" s="1" t="s">
        <v>165</v>
      </c>
      <c r="C116" s="7">
        <v>21.075</v>
      </c>
      <c r="D116" s="7">
        <v>93.25</v>
      </c>
    </row>
    <row r="117" ht="15.75" customHeight="1">
      <c r="A117" s="22">
        <v>22002.0</v>
      </c>
      <c r="B117" s="1" t="s">
        <v>166</v>
      </c>
      <c r="C117" s="7">
        <v>0.82</v>
      </c>
      <c r="D117" s="7">
        <v>3.6</v>
      </c>
    </row>
    <row r="118" ht="15.75" customHeight="1">
      <c r="A118" s="22">
        <v>30101.0</v>
      </c>
      <c r="B118" s="1" t="s">
        <v>19</v>
      </c>
      <c r="C118" s="7">
        <v>644.322</v>
      </c>
      <c r="D118" s="7">
        <v>1811.21</v>
      </c>
    </row>
    <row r="119" ht="15.75" customHeight="1">
      <c r="A119" s="22">
        <v>30201.0</v>
      </c>
      <c r="B119" s="1" t="s">
        <v>169</v>
      </c>
      <c r="C119" s="7">
        <v>18.975</v>
      </c>
      <c r="D119" s="7">
        <v>14.32</v>
      </c>
    </row>
    <row r="120" ht="15.75" customHeight="1">
      <c r="A120" s="22">
        <v>30202.0</v>
      </c>
      <c r="B120" s="1" t="s">
        <v>170</v>
      </c>
      <c r="C120" s="7">
        <v>0.41</v>
      </c>
      <c r="D120" s="7">
        <v>2.79</v>
      </c>
    </row>
    <row r="121" ht="15.75" customHeight="1">
      <c r="A121" s="22">
        <v>30203.0</v>
      </c>
      <c r="B121" s="1" t="s">
        <v>171</v>
      </c>
      <c r="C121" s="7">
        <v>0.40800000000000003</v>
      </c>
      <c r="D121" s="7">
        <v>1.61</v>
      </c>
    </row>
    <row r="122" ht="15.75" customHeight="1">
      <c r="A122" s="22">
        <v>30301.0</v>
      </c>
      <c r="B122" s="1" t="s">
        <v>173</v>
      </c>
      <c r="C122" s="7">
        <v>15.066</v>
      </c>
      <c r="D122" s="7">
        <v>5.45</v>
      </c>
    </row>
    <row r="123" ht="15.75" customHeight="1">
      <c r="A123" s="22">
        <v>30302.0</v>
      </c>
      <c r="B123" s="1" t="s">
        <v>174</v>
      </c>
      <c r="C123" s="7">
        <v>0.5</v>
      </c>
      <c r="D123" s="7">
        <v>2.89</v>
      </c>
    </row>
    <row r="124" ht="15.75" customHeight="1">
      <c r="A124" s="22">
        <v>30303.0</v>
      </c>
      <c r="B124" s="1" t="s">
        <v>175</v>
      </c>
      <c r="C124" s="7">
        <v>0.22700000000000004</v>
      </c>
      <c r="D124" s="7">
        <v>1.51</v>
      </c>
    </row>
    <row r="125" ht="15.75" customHeight="1">
      <c r="A125" s="22">
        <v>30401.0</v>
      </c>
      <c r="B125" s="1" t="s">
        <v>177</v>
      </c>
      <c r="C125" s="7">
        <v>1.27</v>
      </c>
      <c r="D125" s="7">
        <v>5.45</v>
      </c>
    </row>
    <row r="126" ht="15.75" customHeight="1">
      <c r="A126" s="22">
        <v>30402.0</v>
      </c>
      <c r="B126" s="1" t="s">
        <v>178</v>
      </c>
      <c r="C126" s="7">
        <v>0.357</v>
      </c>
      <c r="D126" s="7">
        <v>1.94</v>
      </c>
    </row>
    <row r="127" ht="15.75" customHeight="1">
      <c r="A127" s="22">
        <v>30403.0</v>
      </c>
      <c r="B127" s="1" t="s">
        <v>179</v>
      </c>
      <c r="C127" s="7">
        <v>3.718</v>
      </c>
      <c r="D127" s="7">
        <v>21.67</v>
      </c>
    </row>
    <row r="128" ht="15.75" customHeight="1">
      <c r="A128" s="22">
        <v>30404.0</v>
      </c>
      <c r="B128" s="1" t="s">
        <v>180</v>
      </c>
      <c r="C128" s="7">
        <v>0.35200000000000004</v>
      </c>
      <c r="D128" s="7">
        <v>1.42</v>
      </c>
    </row>
    <row r="129" ht="15.75" customHeight="1">
      <c r="A129" s="22">
        <v>30501.0</v>
      </c>
      <c r="B129" s="1" t="s">
        <v>181</v>
      </c>
      <c r="C129" s="7">
        <v>0.8480000000000001</v>
      </c>
      <c r="D129" s="7">
        <v>6.3</v>
      </c>
    </row>
    <row r="130" ht="15.75" customHeight="1">
      <c r="A130" s="22">
        <v>30502.0</v>
      </c>
      <c r="B130" s="1" t="s">
        <v>182</v>
      </c>
      <c r="C130" s="7">
        <v>0.34</v>
      </c>
      <c r="D130" s="7">
        <v>1.75</v>
      </c>
    </row>
    <row r="131" ht="15.75" customHeight="1">
      <c r="A131" s="22">
        <v>30601.0</v>
      </c>
      <c r="B131" s="1" t="s">
        <v>183</v>
      </c>
      <c r="C131" s="7">
        <v>0.28800000000000003</v>
      </c>
      <c r="D131" s="7">
        <v>1.84</v>
      </c>
    </row>
    <row r="132" ht="15.75" customHeight="1">
      <c r="A132" s="22">
        <v>30602.0</v>
      </c>
      <c r="B132" s="1" t="s">
        <v>184</v>
      </c>
      <c r="C132" s="7">
        <v>0.158</v>
      </c>
      <c r="D132" s="7">
        <v>0.75</v>
      </c>
    </row>
    <row r="133" ht="15.75" customHeight="1">
      <c r="A133" s="22">
        <v>30701.0</v>
      </c>
      <c r="B133" s="1" t="s">
        <v>185</v>
      </c>
      <c r="C133" s="7">
        <v>1.652</v>
      </c>
      <c r="D133" s="7">
        <v>7.49</v>
      </c>
    </row>
    <row r="134" ht="15.75" customHeight="1">
      <c r="A134" s="22">
        <v>30702.0</v>
      </c>
      <c r="B134" s="1" t="s">
        <v>186</v>
      </c>
      <c r="C134" s="7">
        <v>0.423</v>
      </c>
      <c r="D134" s="7">
        <v>1.23</v>
      </c>
    </row>
    <row r="135" ht="15.75" customHeight="1">
      <c r="A135" s="22">
        <v>30703.0</v>
      </c>
      <c r="B135" s="1" t="s">
        <v>187</v>
      </c>
      <c r="C135" s="7">
        <v>0.138</v>
      </c>
      <c r="D135" s="7">
        <v>0.56</v>
      </c>
    </row>
    <row r="136" ht="15.75" customHeight="1">
      <c r="A136" s="22">
        <v>30801.0</v>
      </c>
      <c r="B136" s="1" t="s">
        <v>189</v>
      </c>
      <c r="C136" s="7">
        <v>19.505</v>
      </c>
      <c r="D136" s="7">
        <v>19.3</v>
      </c>
    </row>
    <row r="137" ht="15.75" customHeight="1">
      <c r="A137" s="22">
        <v>30802.0</v>
      </c>
      <c r="B137" s="1" t="s">
        <v>190</v>
      </c>
      <c r="C137" s="7">
        <v>0.21899999999999997</v>
      </c>
      <c r="D137" s="7">
        <v>1.04</v>
      </c>
    </row>
    <row r="138" ht="15.75" customHeight="1">
      <c r="A138" s="22">
        <v>30803.0</v>
      </c>
      <c r="B138" s="1" t="s">
        <v>191</v>
      </c>
      <c r="C138" s="7">
        <v>1.365</v>
      </c>
      <c r="D138" s="7">
        <v>6.83</v>
      </c>
    </row>
    <row r="139" ht="15.75" customHeight="1">
      <c r="A139" s="22">
        <v>30901.0</v>
      </c>
      <c r="B139" s="1" t="s">
        <v>192</v>
      </c>
      <c r="C139" s="7">
        <v>71.544</v>
      </c>
      <c r="D139" s="7">
        <v>229.94</v>
      </c>
    </row>
    <row r="140" ht="15.75" customHeight="1">
      <c r="A140" s="22">
        <v>30902.0</v>
      </c>
      <c r="B140" s="1" t="s">
        <v>193</v>
      </c>
      <c r="C140" s="7">
        <v>19.92</v>
      </c>
      <c r="D140" s="7">
        <v>26.41</v>
      </c>
    </row>
    <row r="141" ht="15.75" customHeight="1">
      <c r="A141" s="22">
        <v>30903.0</v>
      </c>
      <c r="B141" s="1" t="s">
        <v>194</v>
      </c>
      <c r="C141" s="7">
        <v>27.778</v>
      </c>
      <c r="D141" s="7">
        <v>74.46</v>
      </c>
    </row>
    <row r="142" ht="15.75" customHeight="1">
      <c r="A142" s="22">
        <v>30904.0</v>
      </c>
      <c r="B142" s="1" t="s">
        <v>195</v>
      </c>
      <c r="C142" s="7">
        <v>23.125999999999998</v>
      </c>
      <c r="D142" s="7">
        <v>33.48</v>
      </c>
    </row>
    <row r="143" ht="15.75" customHeight="1">
      <c r="A143" s="22">
        <v>30905.0</v>
      </c>
      <c r="B143" s="1" t="s">
        <v>196</v>
      </c>
      <c r="C143" s="7">
        <v>30.351999999999997</v>
      </c>
      <c r="D143" s="7">
        <v>56.63</v>
      </c>
    </row>
    <row r="144" ht="15.75" customHeight="1">
      <c r="A144" s="22">
        <v>31001.0</v>
      </c>
      <c r="B144" s="1" t="s">
        <v>198</v>
      </c>
      <c r="C144" s="7">
        <v>66.845</v>
      </c>
      <c r="D144" s="7">
        <v>302.99</v>
      </c>
    </row>
    <row r="145" ht="15.75" customHeight="1">
      <c r="A145" s="22">
        <v>31002.0</v>
      </c>
      <c r="B145" s="1" t="s">
        <v>199</v>
      </c>
      <c r="C145" s="7">
        <v>14.88</v>
      </c>
      <c r="D145" s="7">
        <v>4.17</v>
      </c>
    </row>
    <row r="146" ht="15.75" customHeight="1">
      <c r="A146" s="22">
        <v>31003.0</v>
      </c>
      <c r="B146" s="1" t="s">
        <v>200</v>
      </c>
      <c r="C146" s="7">
        <v>31.003999999999998</v>
      </c>
      <c r="D146" s="7">
        <v>113.07</v>
      </c>
    </row>
    <row r="147" ht="15.75" customHeight="1">
      <c r="A147" s="22">
        <v>31101.0</v>
      </c>
      <c r="B147" s="1" t="s">
        <v>201</v>
      </c>
      <c r="C147" s="7">
        <v>15.92</v>
      </c>
      <c r="D147" s="7">
        <v>5.54</v>
      </c>
    </row>
    <row r="148" ht="15.75" customHeight="1">
      <c r="A148" s="22">
        <v>31201.0</v>
      </c>
      <c r="B148" s="1" t="s">
        <v>203</v>
      </c>
      <c r="C148" s="7">
        <v>0.87</v>
      </c>
      <c r="D148" s="7">
        <v>6.4</v>
      </c>
    </row>
    <row r="149" ht="15.75" customHeight="1">
      <c r="A149" s="22">
        <v>31202.0</v>
      </c>
      <c r="B149" s="1" t="s">
        <v>204</v>
      </c>
      <c r="C149" s="7">
        <v>0.435</v>
      </c>
      <c r="D149" s="7">
        <v>2.03</v>
      </c>
    </row>
    <row r="150" ht="15.75" customHeight="1">
      <c r="A150" s="22">
        <v>31203.0</v>
      </c>
      <c r="B150" s="1" t="s">
        <v>205</v>
      </c>
      <c r="C150" s="7">
        <v>0.262</v>
      </c>
      <c r="D150" s="7">
        <v>1.32</v>
      </c>
    </row>
    <row r="151" ht="15.75" customHeight="1">
      <c r="A151" s="22">
        <v>31204.0</v>
      </c>
      <c r="B151" s="1" t="s">
        <v>206</v>
      </c>
      <c r="C151" s="7">
        <v>16.776</v>
      </c>
      <c r="D151" s="7">
        <v>21.43</v>
      </c>
    </row>
    <row r="152" ht="15.75" customHeight="1">
      <c r="A152" s="22">
        <v>31205.0</v>
      </c>
      <c r="B152" s="1" t="s">
        <v>207</v>
      </c>
      <c r="C152" s="7">
        <v>20.052</v>
      </c>
      <c r="D152" s="7">
        <v>54.73</v>
      </c>
    </row>
    <row r="153" ht="15.75" customHeight="1">
      <c r="A153" s="22">
        <v>31206.0</v>
      </c>
      <c r="B153" s="1" t="s">
        <v>208</v>
      </c>
      <c r="C153" s="7">
        <v>18.81</v>
      </c>
      <c r="D153" s="7">
        <v>39.51</v>
      </c>
    </row>
    <row r="154" ht="15.75" customHeight="1">
      <c r="A154" s="22">
        <v>31301.0</v>
      </c>
      <c r="B154" s="1" t="s">
        <v>209</v>
      </c>
      <c r="C154" s="7">
        <v>17.02</v>
      </c>
      <c r="D154" s="7">
        <v>15.6</v>
      </c>
    </row>
    <row r="155" ht="15.75" customHeight="1">
      <c r="A155" s="22">
        <v>31302.0</v>
      </c>
      <c r="B155" s="1" t="s">
        <v>210</v>
      </c>
      <c r="C155" s="7">
        <v>0.252</v>
      </c>
      <c r="D155" s="7">
        <v>1.42</v>
      </c>
    </row>
    <row r="156" ht="15.75" customHeight="1">
      <c r="A156" s="22">
        <v>31303.0</v>
      </c>
      <c r="B156" s="1" t="s">
        <v>211</v>
      </c>
      <c r="C156" s="7">
        <v>0.098</v>
      </c>
      <c r="D156" s="7">
        <v>0.47</v>
      </c>
    </row>
    <row r="157" ht="15.75" customHeight="1">
      <c r="A157" s="25">
        <v>31304.0</v>
      </c>
      <c r="B157" s="1" t="s">
        <v>212</v>
      </c>
      <c r="C157" s="7"/>
      <c r="D157" s="7"/>
    </row>
    <row r="158" ht="15.75" customHeight="1">
      <c r="A158" s="22">
        <v>31401.0</v>
      </c>
      <c r="B158" s="1" t="s">
        <v>214</v>
      </c>
      <c r="C158" s="7">
        <v>19.043999999999997</v>
      </c>
      <c r="D158" s="7">
        <v>48.8</v>
      </c>
    </row>
    <row r="159" ht="15.75" customHeight="1">
      <c r="A159" s="22">
        <v>31402.0</v>
      </c>
      <c r="B159" s="1" t="s">
        <v>215</v>
      </c>
      <c r="C159" s="7">
        <v>0.469</v>
      </c>
      <c r="D159" s="7">
        <v>2.41</v>
      </c>
    </row>
    <row r="160" ht="15.75" customHeight="1">
      <c r="A160" s="22">
        <v>31403.0</v>
      </c>
      <c r="B160" s="1" t="s">
        <v>216</v>
      </c>
      <c r="C160" s="7">
        <v>0.9839999999999999</v>
      </c>
      <c r="D160" s="7">
        <v>4.17</v>
      </c>
    </row>
    <row r="161" ht="15.75" customHeight="1">
      <c r="A161" s="22">
        <v>31404.0</v>
      </c>
      <c r="B161" s="1" t="s">
        <v>217</v>
      </c>
      <c r="C161" s="7">
        <v>0.08399999999999999</v>
      </c>
      <c r="D161" s="7">
        <v>0.66</v>
      </c>
    </row>
    <row r="162" ht="15.75" customHeight="1">
      <c r="A162" s="22">
        <v>31405.0</v>
      </c>
      <c r="B162" s="1" t="s">
        <v>218</v>
      </c>
      <c r="C162" s="7">
        <v>0.288</v>
      </c>
      <c r="D162" s="7">
        <v>1.61</v>
      </c>
    </row>
    <row r="163" ht="15.75" customHeight="1">
      <c r="A163" s="22">
        <v>31501.0</v>
      </c>
      <c r="B163" s="1" t="s">
        <v>219</v>
      </c>
      <c r="C163" s="7">
        <v>0.114</v>
      </c>
      <c r="D163" s="7">
        <v>0.85</v>
      </c>
    </row>
    <row r="164" ht="15.75" customHeight="1">
      <c r="A164" s="22">
        <v>31601.0</v>
      </c>
      <c r="B164" s="1" t="s">
        <v>220</v>
      </c>
      <c r="C164" s="7">
        <v>15.84</v>
      </c>
      <c r="D164" s="7">
        <v>2.03</v>
      </c>
    </row>
    <row r="165" ht="15.75" customHeight="1">
      <c r="A165" s="22">
        <v>31602.0</v>
      </c>
      <c r="B165" s="1" t="s">
        <v>221</v>
      </c>
      <c r="C165" s="7">
        <v>16.764</v>
      </c>
      <c r="D165" s="7">
        <v>28.07</v>
      </c>
    </row>
    <row r="166" ht="15.75" customHeight="1">
      <c r="A166" s="22">
        <v>40101.0</v>
      </c>
      <c r="B166" s="1" t="s">
        <v>22</v>
      </c>
      <c r="C166" s="7">
        <v>161.7</v>
      </c>
      <c r="D166" s="7">
        <v>460.32</v>
      </c>
    </row>
    <row r="167" ht="15.75" customHeight="1">
      <c r="A167" s="22">
        <v>40102.0</v>
      </c>
      <c r="B167" s="1" t="s">
        <v>222</v>
      </c>
      <c r="C167" s="7">
        <v>6.424000000000001</v>
      </c>
      <c r="D167" s="7">
        <v>15.22</v>
      </c>
    </row>
    <row r="168" ht="15.75" customHeight="1">
      <c r="A168" s="22">
        <v>40103.0</v>
      </c>
      <c r="B168" s="1" t="s">
        <v>223</v>
      </c>
      <c r="C168" s="7">
        <v>0.166</v>
      </c>
      <c r="D168" s="7">
        <v>0.94</v>
      </c>
    </row>
    <row r="169" ht="15.75" customHeight="1">
      <c r="A169" s="22">
        <v>40104.0</v>
      </c>
      <c r="B169" s="1" t="s">
        <v>224</v>
      </c>
      <c r="C169" s="7">
        <v>0.534</v>
      </c>
      <c r="D169" s="7">
        <v>1.75</v>
      </c>
    </row>
    <row r="170" ht="15.75" customHeight="1">
      <c r="A170" s="22">
        <v>40201.0</v>
      </c>
      <c r="B170" s="1" t="s">
        <v>226</v>
      </c>
      <c r="C170" s="7">
        <v>6.972</v>
      </c>
      <c r="D170" s="7">
        <v>36.09</v>
      </c>
    </row>
    <row r="171" ht="15.75" customHeight="1">
      <c r="A171" s="22">
        <v>40202.0</v>
      </c>
      <c r="B171" s="1" t="s">
        <v>227</v>
      </c>
      <c r="C171" s="7">
        <v>0.288</v>
      </c>
      <c r="D171" s="7">
        <v>1.32</v>
      </c>
    </row>
    <row r="172" ht="15.75" customHeight="1">
      <c r="A172" s="22">
        <v>40301.0</v>
      </c>
      <c r="B172" s="1" t="s">
        <v>229</v>
      </c>
      <c r="C172" s="7">
        <v>0.336</v>
      </c>
      <c r="D172" s="7">
        <v>2.32</v>
      </c>
    </row>
    <row r="173" ht="15.75" customHeight="1">
      <c r="A173" s="22">
        <v>40302.0</v>
      </c>
      <c r="B173" s="1" t="s">
        <v>230</v>
      </c>
      <c r="C173" s="7">
        <v>0.06899999999999999</v>
      </c>
      <c r="D173" s="7">
        <v>0.47</v>
      </c>
    </row>
    <row r="174" ht="15.75" customHeight="1">
      <c r="A174" s="22">
        <v>40401.0</v>
      </c>
      <c r="B174" s="1" t="s">
        <v>232</v>
      </c>
      <c r="C174" s="7">
        <v>0.134</v>
      </c>
      <c r="D174" s="7">
        <v>0.85</v>
      </c>
    </row>
    <row r="175" ht="15.75" customHeight="1">
      <c r="A175" s="22">
        <v>40402.0</v>
      </c>
      <c r="B175" s="1" t="s">
        <v>233</v>
      </c>
      <c r="C175" s="7">
        <v>0.35200000000000004</v>
      </c>
      <c r="D175" s="7">
        <v>1.84</v>
      </c>
    </row>
    <row r="176" ht="15.75" customHeight="1">
      <c r="A176" s="22">
        <v>40501.0</v>
      </c>
      <c r="B176" s="1" t="s">
        <v>235</v>
      </c>
      <c r="C176" s="7">
        <v>0.15400000000000003</v>
      </c>
      <c r="D176" s="7">
        <v>0.85</v>
      </c>
    </row>
    <row r="177" ht="15.75" customHeight="1">
      <c r="A177" s="22">
        <v>40502.0</v>
      </c>
      <c r="B177" s="1" t="s">
        <v>236</v>
      </c>
      <c r="C177" s="7">
        <v>0.12</v>
      </c>
      <c r="D177" s="7">
        <v>1.94</v>
      </c>
    </row>
    <row r="178" ht="15.75" customHeight="1">
      <c r="A178" s="22">
        <v>40503.0</v>
      </c>
      <c r="B178" s="1" t="s">
        <v>237</v>
      </c>
      <c r="C178" s="7">
        <v>0.07</v>
      </c>
      <c r="D178" s="7">
        <v>0.75</v>
      </c>
    </row>
    <row r="179" ht="15.75" customHeight="1">
      <c r="A179" s="22">
        <v>40504.0</v>
      </c>
      <c r="B179" s="1" t="s">
        <v>238</v>
      </c>
      <c r="C179" s="7">
        <v>0.0</v>
      </c>
      <c r="D179" s="7">
        <v>0.75</v>
      </c>
    </row>
    <row r="180" ht="15.75" customHeight="1">
      <c r="A180" s="22">
        <v>40505.0</v>
      </c>
      <c r="B180" s="1" t="s">
        <v>239</v>
      </c>
      <c r="C180" s="7">
        <v>0.046000000000000006</v>
      </c>
      <c r="D180" s="7">
        <v>0.47</v>
      </c>
    </row>
    <row r="181" ht="15.75" customHeight="1">
      <c r="A181" s="22">
        <v>40601.0</v>
      </c>
      <c r="B181" s="1" t="s">
        <v>240</v>
      </c>
      <c r="C181" s="7">
        <v>0.43</v>
      </c>
      <c r="D181" s="7">
        <v>3.27</v>
      </c>
    </row>
    <row r="182" ht="15.75" customHeight="1">
      <c r="A182" s="22">
        <v>40602.0</v>
      </c>
      <c r="B182" s="1" t="s">
        <v>241</v>
      </c>
      <c r="C182" s="7">
        <v>0.485</v>
      </c>
      <c r="D182" s="7">
        <v>1.75</v>
      </c>
    </row>
    <row r="183" ht="15.75" customHeight="1">
      <c r="A183" s="22">
        <v>40603.0</v>
      </c>
      <c r="B183" s="1" t="s">
        <v>242</v>
      </c>
      <c r="C183" s="7">
        <v>0.0</v>
      </c>
      <c r="D183" s="7">
        <v>0.28</v>
      </c>
    </row>
    <row r="184" ht="15.75" customHeight="1">
      <c r="A184" s="22">
        <v>40701.0</v>
      </c>
      <c r="B184" s="1" t="s">
        <v>244</v>
      </c>
      <c r="C184" s="7">
        <v>7.0</v>
      </c>
      <c r="D184" s="7">
        <v>11.28</v>
      </c>
    </row>
    <row r="185" ht="15.75" customHeight="1">
      <c r="A185" s="22">
        <v>40702.0</v>
      </c>
      <c r="B185" s="1" t="s">
        <v>245</v>
      </c>
      <c r="C185" s="7">
        <v>0.638</v>
      </c>
      <c r="D185" s="7">
        <v>2.22</v>
      </c>
    </row>
    <row r="186" ht="15.75" customHeight="1">
      <c r="A186" s="22">
        <v>40801.0</v>
      </c>
      <c r="B186" s="1" t="s">
        <v>247</v>
      </c>
      <c r="C186" s="7">
        <v>0.34</v>
      </c>
      <c r="D186" s="7">
        <v>1.51</v>
      </c>
    </row>
    <row r="187" ht="15.75" customHeight="1">
      <c r="A187" s="22">
        <v>40802.0</v>
      </c>
      <c r="B187" s="1" t="s">
        <v>248</v>
      </c>
      <c r="C187" s="7">
        <v>0.12299999999999998</v>
      </c>
      <c r="D187" s="7">
        <v>0.47</v>
      </c>
    </row>
    <row r="188" ht="15.75" customHeight="1">
      <c r="A188" s="22">
        <v>40901.0</v>
      </c>
      <c r="B188" s="1" t="s">
        <v>249</v>
      </c>
      <c r="C188" s="7">
        <v>0.495</v>
      </c>
      <c r="D188" s="7">
        <v>3.27</v>
      </c>
    </row>
    <row r="189" ht="15.75" customHeight="1">
      <c r="A189" s="22">
        <v>40902.0</v>
      </c>
      <c r="B189" s="1" t="s">
        <v>250</v>
      </c>
      <c r="C189" s="7">
        <v>0.012000000000000002</v>
      </c>
      <c r="D189" s="7">
        <v>0.09</v>
      </c>
    </row>
    <row r="190" ht="15.75" customHeight="1">
      <c r="A190" s="22">
        <v>40903.0</v>
      </c>
      <c r="B190" s="1" t="s">
        <v>251</v>
      </c>
      <c r="C190" s="7">
        <v>0.03</v>
      </c>
      <c r="D190" s="7">
        <v>0.18</v>
      </c>
    </row>
    <row r="191" ht="15.75" customHeight="1">
      <c r="A191" s="22">
        <v>41001.0</v>
      </c>
      <c r="B191" s="1" t="s">
        <v>253</v>
      </c>
      <c r="C191" s="7">
        <v>0.336</v>
      </c>
      <c r="D191" s="7">
        <v>2.03</v>
      </c>
    </row>
    <row r="192" ht="15.75" customHeight="1">
      <c r="A192" s="22">
        <v>41101.0</v>
      </c>
      <c r="B192" s="1" t="s">
        <v>255</v>
      </c>
      <c r="C192" s="7">
        <v>0.364</v>
      </c>
      <c r="D192" s="7">
        <v>1.42</v>
      </c>
    </row>
    <row r="193" ht="15.75" customHeight="1">
      <c r="A193" s="22">
        <v>41201.0</v>
      </c>
      <c r="B193" s="1" t="s">
        <v>257</v>
      </c>
      <c r="C193" s="7">
        <v>0.183</v>
      </c>
      <c r="D193" s="7">
        <v>0.75</v>
      </c>
    </row>
    <row r="194" ht="15.75" customHeight="1">
      <c r="A194" s="22">
        <v>41202.0</v>
      </c>
      <c r="B194" s="1" t="s">
        <v>258</v>
      </c>
      <c r="C194" s="7">
        <v>0.081</v>
      </c>
      <c r="D194" s="7">
        <v>0.47</v>
      </c>
    </row>
    <row r="195" ht="15.75" customHeight="1">
      <c r="A195" s="22">
        <v>41301.0</v>
      </c>
      <c r="B195" s="1" t="s">
        <v>259</v>
      </c>
      <c r="C195" s="7">
        <v>0.1</v>
      </c>
      <c r="D195" s="7">
        <v>0.85</v>
      </c>
    </row>
    <row r="196" ht="15.75" customHeight="1">
      <c r="A196" s="22">
        <v>41401.0</v>
      </c>
      <c r="B196" s="1" t="s">
        <v>261</v>
      </c>
      <c r="C196" s="7">
        <v>1.096</v>
      </c>
      <c r="D196" s="7">
        <v>2.41</v>
      </c>
    </row>
    <row r="197" ht="15.75" customHeight="1">
      <c r="A197" s="22">
        <v>41501.0</v>
      </c>
      <c r="B197" s="1" t="s">
        <v>263</v>
      </c>
      <c r="C197" s="7">
        <v>0.011000000000000001</v>
      </c>
      <c r="D197" s="7">
        <v>0.09</v>
      </c>
    </row>
    <row r="198" ht="15.75" customHeight="1">
      <c r="A198" s="22">
        <v>41502.0</v>
      </c>
      <c r="B198" s="1" t="s">
        <v>264</v>
      </c>
      <c r="C198" s="7">
        <v>0.016</v>
      </c>
      <c r="D198" s="7">
        <v>0.09</v>
      </c>
    </row>
    <row r="199" ht="15.75" customHeight="1">
      <c r="A199" s="22">
        <v>41503.0</v>
      </c>
      <c r="B199" s="1" t="s">
        <v>228</v>
      </c>
      <c r="C199" s="7">
        <v>0.055</v>
      </c>
      <c r="D199" s="7">
        <v>1.13</v>
      </c>
    </row>
    <row r="200" ht="15.75" customHeight="1">
      <c r="A200" s="22">
        <v>41601.0</v>
      </c>
      <c r="B200" s="1" t="s">
        <v>266</v>
      </c>
      <c r="C200" s="7">
        <v>0.124</v>
      </c>
      <c r="D200" s="7">
        <v>0.66</v>
      </c>
    </row>
    <row r="201" ht="15.75" customHeight="1">
      <c r="A201" s="22">
        <v>50101.0</v>
      </c>
      <c r="B201" s="1" t="s">
        <v>267</v>
      </c>
      <c r="C201" s="7">
        <v>233.172</v>
      </c>
      <c r="D201" s="7">
        <v>372.28</v>
      </c>
    </row>
    <row r="202" ht="15.75" customHeight="1">
      <c r="A202" s="22">
        <v>50102.0</v>
      </c>
      <c r="B202" s="1" t="s">
        <v>269</v>
      </c>
      <c r="C202" s="7">
        <v>4.52</v>
      </c>
      <c r="D202" s="7">
        <v>4.64</v>
      </c>
    </row>
    <row r="203" ht="15.75" customHeight="1">
      <c r="A203" s="22">
        <v>50103.0</v>
      </c>
      <c r="B203" s="1" t="s">
        <v>270</v>
      </c>
      <c r="C203" s="7">
        <v>0.5109999999999999</v>
      </c>
      <c r="D203" s="7">
        <v>3.08</v>
      </c>
    </row>
    <row r="204" ht="15.75" customHeight="1">
      <c r="A204" s="22">
        <v>50104.0</v>
      </c>
      <c r="B204" s="1" t="s">
        <v>271</v>
      </c>
      <c r="C204" s="7">
        <v>0.054000000000000006</v>
      </c>
      <c r="D204" s="7">
        <v>1.94</v>
      </c>
    </row>
    <row r="205" ht="15.75" customHeight="1">
      <c r="A205" s="22">
        <v>50201.0</v>
      </c>
      <c r="B205" s="1" t="s">
        <v>273</v>
      </c>
      <c r="C205" s="7">
        <v>5.27</v>
      </c>
      <c r="D205" s="7">
        <v>9.53</v>
      </c>
    </row>
    <row r="206" ht="15.75" customHeight="1">
      <c r="A206" s="22">
        <v>50202.0</v>
      </c>
      <c r="B206" s="1" t="s">
        <v>274</v>
      </c>
      <c r="C206" s="7">
        <v>0.59</v>
      </c>
      <c r="D206" s="7">
        <v>3.41</v>
      </c>
    </row>
    <row r="207" ht="15.75" customHeight="1">
      <c r="A207" s="22">
        <v>50203.0</v>
      </c>
      <c r="B207" s="1" t="s">
        <v>275</v>
      </c>
      <c r="C207" s="7">
        <v>12.65</v>
      </c>
      <c r="D207" s="7">
        <v>55.58</v>
      </c>
    </row>
    <row r="208" ht="15.75" customHeight="1">
      <c r="A208" s="22">
        <v>50204.0</v>
      </c>
      <c r="B208" s="1" t="s">
        <v>276</v>
      </c>
      <c r="C208" s="7">
        <v>0.183</v>
      </c>
      <c r="D208" s="7">
        <v>1.23</v>
      </c>
    </row>
    <row r="209" ht="15.75" customHeight="1">
      <c r="A209" s="22">
        <v>50301.0</v>
      </c>
      <c r="B209" s="1" t="s">
        <v>278</v>
      </c>
      <c r="C209" s="7">
        <v>5.83</v>
      </c>
      <c r="D209" s="7">
        <v>10.62</v>
      </c>
    </row>
    <row r="210" ht="15.75" customHeight="1">
      <c r="A210" s="22">
        <v>50302.0</v>
      </c>
      <c r="B210" s="1" t="s">
        <v>279</v>
      </c>
      <c r="C210" s="7">
        <v>0.574</v>
      </c>
      <c r="D210" s="7">
        <v>8.77</v>
      </c>
    </row>
    <row r="211" ht="15.75" customHeight="1">
      <c r="A211" s="22">
        <v>50303.0</v>
      </c>
      <c r="B211" s="1" t="s">
        <v>280</v>
      </c>
      <c r="C211" s="7">
        <v>0.234</v>
      </c>
      <c r="D211" s="7">
        <v>1.23</v>
      </c>
    </row>
    <row r="212" ht="15.75" customHeight="1">
      <c r="A212" s="22">
        <v>50401.0</v>
      </c>
      <c r="B212" s="1" t="s">
        <v>281</v>
      </c>
      <c r="C212" s="7">
        <v>5.19</v>
      </c>
      <c r="D212" s="7">
        <v>9.62</v>
      </c>
    </row>
    <row r="213" ht="15.75" customHeight="1">
      <c r="A213" s="22">
        <v>50402.0</v>
      </c>
      <c r="B213" s="1" t="s">
        <v>282</v>
      </c>
      <c r="C213" s="7">
        <v>3.016</v>
      </c>
      <c r="D213" s="7">
        <v>3.41</v>
      </c>
    </row>
    <row r="214" ht="15.75" customHeight="1">
      <c r="A214" s="22">
        <v>50403.0</v>
      </c>
      <c r="B214" s="1" t="s">
        <v>283</v>
      </c>
      <c r="C214" s="7">
        <v>4.3260000000000005</v>
      </c>
      <c r="D214" s="7">
        <v>4.83</v>
      </c>
    </row>
    <row r="215" ht="15.75" customHeight="1">
      <c r="A215" s="22">
        <v>50404.0</v>
      </c>
      <c r="B215" s="1" t="s">
        <v>284</v>
      </c>
      <c r="C215" s="7">
        <v>0.375</v>
      </c>
      <c r="D215" s="7">
        <v>2.89</v>
      </c>
    </row>
    <row r="216" ht="15.75" customHeight="1">
      <c r="A216" s="22">
        <v>50405.0</v>
      </c>
      <c r="B216" s="26" t="s">
        <v>285</v>
      </c>
      <c r="C216" s="7"/>
      <c r="D216" s="7"/>
    </row>
    <row r="217" ht="15.75" customHeight="1">
      <c r="A217" s="22">
        <v>50501.0</v>
      </c>
      <c r="B217" s="1" t="s">
        <v>288</v>
      </c>
      <c r="C217" s="7">
        <v>4.78</v>
      </c>
      <c r="D217" s="7">
        <v>4.93</v>
      </c>
    </row>
    <row r="218" ht="15.75" customHeight="1">
      <c r="A218" s="22">
        <v>50502.0</v>
      </c>
      <c r="B218" s="1" t="s">
        <v>289</v>
      </c>
      <c r="C218" s="7">
        <v>18.675</v>
      </c>
      <c r="D218" s="7">
        <v>4.07</v>
      </c>
    </row>
    <row r="219" ht="15.75" customHeight="1">
      <c r="A219" s="22">
        <v>50601.0</v>
      </c>
      <c r="B219" s="1" t="s">
        <v>291</v>
      </c>
      <c r="C219" s="7">
        <v>6.15</v>
      </c>
      <c r="D219" s="7">
        <v>16.79</v>
      </c>
    </row>
    <row r="220" ht="15.75" customHeight="1">
      <c r="A220" s="22">
        <v>50602.0</v>
      </c>
      <c r="B220" s="1" t="s">
        <v>292</v>
      </c>
      <c r="C220" s="7">
        <v>0.8959999999999999</v>
      </c>
      <c r="D220" s="7">
        <v>5.17</v>
      </c>
    </row>
    <row r="221" ht="15.75" customHeight="1">
      <c r="A221" s="22">
        <v>50701.0</v>
      </c>
      <c r="B221" s="1" t="s">
        <v>294</v>
      </c>
      <c r="C221" s="7">
        <v>0.616</v>
      </c>
      <c r="D221" s="7">
        <v>3.98</v>
      </c>
    </row>
    <row r="222" ht="15.75" customHeight="1">
      <c r="A222" s="22">
        <v>50702.0</v>
      </c>
      <c r="B222" s="1" t="s">
        <v>295</v>
      </c>
      <c r="C222" s="7">
        <v>0.192</v>
      </c>
      <c r="D222" s="7">
        <v>1.75</v>
      </c>
    </row>
    <row r="223" ht="15.75" customHeight="1">
      <c r="A223" s="22">
        <v>50801.0</v>
      </c>
      <c r="B223" s="1" t="s">
        <v>297</v>
      </c>
      <c r="C223" s="7">
        <v>24.948</v>
      </c>
      <c r="D223" s="7">
        <v>93.62</v>
      </c>
    </row>
    <row r="224" ht="15.75" customHeight="1">
      <c r="A224" s="22">
        <v>50802.0</v>
      </c>
      <c r="B224" s="1" t="s">
        <v>298</v>
      </c>
      <c r="C224" s="7">
        <v>1.896</v>
      </c>
      <c r="D224" s="7">
        <v>6.3</v>
      </c>
    </row>
    <row r="225" ht="15.75" customHeight="1">
      <c r="A225" s="22">
        <v>50901.0</v>
      </c>
      <c r="B225" s="1" t="s">
        <v>300</v>
      </c>
      <c r="C225" s="7">
        <v>0.0</v>
      </c>
      <c r="D225" s="7">
        <v>19.06</v>
      </c>
    </row>
    <row r="226" ht="15.75" customHeight="1">
      <c r="A226" s="22">
        <v>50902.0</v>
      </c>
      <c r="B226" s="1" t="s">
        <v>301</v>
      </c>
      <c r="C226" s="7">
        <v>0.08800000000000001</v>
      </c>
      <c r="D226" s="7">
        <v>0.37</v>
      </c>
    </row>
    <row r="227" ht="15.75" customHeight="1">
      <c r="A227" s="22">
        <v>51001.0</v>
      </c>
      <c r="B227" s="1" t="s">
        <v>303</v>
      </c>
      <c r="C227" s="7">
        <v>0.57</v>
      </c>
      <c r="D227" s="7">
        <v>3.41</v>
      </c>
    </row>
    <row r="228" ht="15.75" customHeight="1">
      <c r="A228" s="22">
        <v>51002.0</v>
      </c>
      <c r="B228" s="1" t="s">
        <v>304</v>
      </c>
      <c r="C228" s="7">
        <v>0.0</v>
      </c>
      <c r="D228" s="7">
        <v>0.18</v>
      </c>
    </row>
    <row r="229" ht="15.75" customHeight="1">
      <c r="A229" s="22">
        <v>51003.0</v>
      </c>
      <c r="B229" s="1" t="s">
        <v>305</v>
      </c>
      <c r="C229" s="7">
        <v>0.099</v>
      </c>
      <c r="D229" s="7">
        <v>0.75</v>
      </c>
    </row>
    <row r="230" ht="15.75" customHeight="1">
      <c r="A230" s="22">
        <v>51101.0</v>
      </c>
      <c r="B230" s="1" t="s">
        <v>307</v>
      </c>
      <c r="C230" s="7">
        <v>4.15</v>
      </c>
      <c r="D230" s="7">
        <v>3.08</v>
      </c>
    </row>
    <row r="231" ht="15.75" customHeight="1">
      <c r="A231" s="22">
        <v>51102.0</v>
      </c>
      <c r="B231" s="1" t="s">
        <v>308</v>
      </c>
      <c r="C231" s="7">
        <v>0.735</v>
      </c>
      <c r="D231" s="7">
        <v>4.93</v>
      </c>
    </row>
    <row r="232" ht="15.75" customHeight="1">
      <c r="A232" s="22">
        <v>51103.0</v>
      </c>
      <c r="B232" s="1" t="s">
        <v>309</v>
      </c>
      <c r="C232" s="7">
        <v>0.556</v>
      </c>
      <c r="D232" s="7">
        <v>2.98</v>
      </c>
    </row>
    <row r="233" ht="15.75" customHeight="1">
      <c r="A233" s="22">
        <v>51201.0</v>
      </c>
      <c r="B233" s="1" t="s">
        <v>311</v>
      </c>
      <c r="C233" s="7">
        <v>123.09300000000002</v>
      </c>
      <c r="D233" s="7">
        <v>79.77</v>
      </c>
    </row>
    <row r="234" ht="15.75" customHeight="1">
      <c r="A234" s="22">
        <v>51202.0</v>
      </c>
      <c r="B234" s="1" t="s">
        <v>312</v>
      </c>
      <c r="C234" s="7">
        <v>0.7739999999999999</v>
      </c>
      <c r="D234" s="7">
        <v>4.74</v>
      </c>
    </row>
    <row r="235" ht="15.75" customHeight="1">
      <c r="A235" s="22">
        <v>51203.0</v>
      </c>
      <c r="B235" s="1" t="s">
        <v>313</v>
      </c>
      <c r="C235" s="7">
        <v>0.916</v>
      </c>
      <c r="D235" s="7">
        <v>5.26</v>
      </c>
    </row>
    <row r="236" ht="15.75" customHeight="1">
      <c r="A236" s="22">
        <v>51204.0</v>
      </c>
      <c r="B236" s="26" t="s">
        <v>314</v>
      </c>
      <c r="C236" s="7"/>
      <c r="D236" s="7"/>
    </row>
    <row r="237" ht="15.75" customHeight="1">
      <c r="A237" s="22">
        <v>51301.0</v>
      </c>
      <c r="B237" s="1" t="s">
        <v>316</v>
      </c>
      <c r="C237" s="7">
        <v>0.09600000000000002</v>
      </c>
      <c r="D237" s="7">
        <v>0.66</v>
      </c>
    </row>
    <row r="238" ht="15.75" customHeight="1">
      <c r="A238" s="22">
        <v>51302.0</v>
      </c>
      <c r="B238" s="1" t="s">
        <v>317</v>
      </c>
      <c r="C238" s="7">
        <v>0.282</v>
      </c>
      <c r="D238" s="7">
        <v>1.61</v>
      </c>
    </row>
    <row r="239" ht="15.75" customHeight="1">
      <c r="A239" s="22">
        <v>51401.0</v>
      </c>
      <c r="B239" s="1" t="s">
        <v>319</v>
      </c>
      <c r="C239" s="7">
        <v>0.23</v>
      </c>
      <c r="D239" s="7">
        <v>1.51</v>
      </c>
    </row>
    <row r="240" ht="15.75" customHeight="1">
      <c r="A240" s="22">
        <v>51402.0</v>
      </c>
      <c r="B240" s="1" t="s">
        <v>320</v>
      </c>
      <c r="C240" s="7">
        <v>0.085</v>
      </c>
      <c r="D240" s="7">
        <v>0.47</v>
      </c>
    </row>
    <row r="241" ht="15.75" customHeight="1">
      <c r="A241" s="22">
        <v>51501.0</v>
      </c>
      <c r="B241" s="1" t="s">
        <v>322</v>
      </c>
      <c r="C241" s="7">
        <v>23.7</v>
      </c>
      <c r="D241" s="7">
        <v>103.11</v>
      </c>
    </row>
    <row r="242" ht="15.75" customHeight="1">
      <c r="A242" s="22">
        <v>51601.0</v>
      </c>
      <c r="B242" s="1" t="s">
        <v>324</v>
      </c>
      <c r="C242" s="7">
        <v>0.09799999999999999</v>
      </c>
      <c r="D242" s="7">
        <v>1.32</v>
      </c>
    </row>
    <row r="243" ht="15.75" customHeight="1">
      <c r="A243" s="22">
        <v>60101.0</v>
      </c>
      <c r="B243" s="1" t="s">
        <v>27</v>
      </c>
      <c r="C243" s="7">
        <v>118.50299999999999</v>
      </c>
      <c r="D243" s="7">
        <v>324.28</v>
      </c>
    </row>
    <row r="244" ht="15.75" customHeight="1">
      <c r="A244" s="22">
        <v>60201.0</v>
      </c>
      <c r="B244" s="1" t="s">
        <v>326</v>
      </c>
      <c r="C244" s="7">
        <v>2.03</v>
      </c>
      <c r="D244" s="7">
        <v>9.15</v>
      </c>
    </row>
    <row r="245" ht="15.75" customHeight="1">
      <c r="A245" s="22">
        <v>60202.0</v>
      </c>
      <c r="B245" s="1" t="s">
        <v>327</v>
      </c>
      <c r="C245" s="7">
        <v>25.84</v>
      </c>
      <c r="D245" s="7">
        <v>75.32</v>
      </c>
    </row>
    <row r="246" ht="15.75" customHeight="1">
      <c r="A246" s="22">
        <v>60301.0</v>
      </c>
      <c r="B246" s="1" t="s">
        <v>328</v>
      </c>
      <c r="C246" s="7">
        <v>35.003</v>
      </c>
      <c r="D246" s="7">
        <v>146.27</v>
      </c>
    </row>
    <row r="247" ht="15.75" customHeight="1">
      <c r="A247" s="22">
        <v>60302.0</v>
      </c>
      <c r="B247" s="1" t="s">
        <v>329</v>
      </c>
      <c r="C247" s="7">
        <v>4.28</v>
      </c>
      <c r="D247" s="7">
        <v>29.31</v>
      </c>
    </row>
    <row r="248" ht="15.75" customHeight="1">
      <c r="A248" s="22">
        <v>60303.0</v>
      </c>
      <c r="B248" s="1" t="s">
        <v>330</v>
      </c>
      <c r="C248" s="7">
        <v>27.99</v>
      </c>
      <c r="D248" s="7">
        <v>82.29</v>
      </c>
    </row>
    <row r="249" ht="15.75" customHeight="1">
      <c r="A249" s="22">
        <v>60401.0</v>
      </c>
      <c r="B249" s="1" t="s">
        <v>332</v>
      </c>
      <c r="C249" s="7">
        <v>1.575</v>
      </c>
      <c r="D249" s="7">
        <v>33.05</v>
      </c>
    </row>
    <row r="250" ht="15.75" customHeight="1">
      <c r="A250" s="22">
        <v>60402.0</v>
      </c>
      <c r="B250" s="1" t="s">
        <v>333</v>
      </c>
      <c r="C250" s="7">
        <v>0.35100000000000003</v>
      </c>
      <c r="D250" s="7">
        <v>1.61</v>
      </c>
    </row>
    <row r="251" ht="15.75" customHeight="1">
      <c r="A251" s="22">
        <v>60501.0</v>
      </c>
      <c r="B251" s="1" t="s">
        <v>335</v>
      </c>
      <c r="C251" s="7">
        <v>17.16</v>
      </c>
      <c r="D251" s="7">
        <v>38.56</v>
      </c>
    </row>
    <row r="252" ht="15.75" customHeight="1">
      <c r="A252" s="22">
        <v>60502.0</v>
      </c>
      <c r="B252" s="1" t="s">
        <v>336</v>
      </c>
      <c r="C252" s="7">
        <v>0.94</v>
      </c>
      <c r="D252" s="7">
        <v>4.45</v>
      </c>
    </row>
    <row r="253" ht="15.75" customHeight="1">
      <c r="A253" s="22">
        <v>60601.0</v>
      </c>
      <c r="B253" s="1" t="s">
        <v>208</v>
      </c>
      <c r="C253" s="7">
        <v>17.248</v>
      </c>
      <c r="D253" s="7">
        <v>27.22</v>
      </c>
    </row>
    <row r="254" ht="15.75" customHeight="1">
      <c r="A254" s="22">
        <v>70101.0</v>
      </c>
      <c r="B254" s="1" t="s">
        <v>339</v>
      </c>
      <c r="C254" s="7">
        <v>1511.19</v>
      </c>
      <c r="D254" s="7">
        <v>3764.54</v>
      </c>
    </row>
    <row r="255" ht="15.75" customHeight="1">
      <c r="A255" s="22">
        <v>70102.0</v>
      </c>
      <c r="B255" s="1" t="s">
        <v>340</v>
      </c>
      <c r="C255" s="7">
        <v>25.35</v>
      </c>
      <c r="D255" s="7">
        <v>88.17</v>
      </c>
    </row>
    <row r="256" ht="15.75" customHeight="1">
      <c r="A256" s="22">
        <v>70103.0</v>
      </c>
      <c r="B256" s="1" t="s">
        <v>341</v>
      </c>
      <c r="C256" s="7">
        <v>2.7439999999999998</v>
      </c>
      <c r="D256" s="7">
        <v>17.54</v>
      </c>
    </row>
    <row r="257" ht="15.75" customHeight="1">
      <c r="A257" s="22">
        <v>70104.0</v>
      </c>
      <c r="B257" s="1" t="s">
        <v>342</v>
      </c>
      <c r="C257" s="7">
        <v>52.96</v>
      </c>
      <c r="D257" s="7">
        <v>158.75</v>
      </c>
    </row>
    <row r="258" ht="15.75" customHeight="1">
      <c r="A258" s="22">
        <v>70105.0</v>
      </c>
      <c r="B258" s="1" t="s">
        <v>343</v>
      </c>
      <c r="C258" s="7">
        <v>28.167999999999996</v>
      </c>
      <c r="D258" s="7">
        <v>74.08</v>
      </c>
    </row>
    <row r="259" ht="15.75" customHeight="1">
      <c r="A259" s="22">
        <v>70201.0</v>
      </c>
      <c r="B259" s="1" t="s">
        <v>344</v>
      </c>
      <c r="C259" s="7">
        <v>54.38</v>
      </c>
      <c r="D259" s="7">
        <v>154.76</v>
      </c>
    </row>
    <row r="260" ht="15.75" customHeight="1">
      <c r="A260" s="22">
        <v>70202.0</v>
      </c>
      <c r="B260" s="1" t="s">
        <v>345</v>
      </c>
      <c r="C260" s="7">
        <v>1.8719999999999999</v>
      </c>
      <c r="D260" s="7">
        <v>3.41</v>
      </c>
    </row>
    <row r="261" ht="15.75" customHeight="1">
      <c r="A261" s="22">
        <v>70301.0</v>
      </c>
      <c r="B261" s="1" t="s">
        <v>347</v>
      </c>
      <c r="C261" s="7">
        <v>36.348</v>
      </c>
      <c r="D261" s="7">
        <v>104.53</v>
      </c>
    </row>
    <row r="262" ht="15.75" customHeight="1">
      <c r="A262" s="22">
        <v>70302.0</v>
      </c>
      <c r="B262" s="1" t="s">
        <v>348</v>
      </c>
      <c r="C262" s="7">
        <v>44.74400000000001</v>
      </c>
      <c r="D262" s="7">
        <v>6.21</v>
      </c>
    </row>
    <row r="263" ht="15.75" customHeight="1">
      <c r="A263" s="22">
        <v>70303.0</v>
      </c>
      <c r="B263" s="1" t="s">
        <v>349</v>
      </c>
      <c r="C263" s="7">
        <v>0.93</v>
      </c>
      <c r="D263" s="7">
        <v>4.36</v>
      </c>
    </row>
    <row r="264" ht="15.75" customHeight="1">
      <c r="A264" s="22">
        <v>70401.0</v>
      </c>
      <c r="B264" s="1" t="s">
        <v>351</v>
      </c>
      <c r="C264" s="7">
        <v>3.003</v>
      </c>
      <c r="D264" s="7">
        <v>16.17</v>
      </c>
    </row>
    <row r="265" ht="15.75" customHeight="1">
      <c r="A265" s="22">
        <v>70402.0</v>
      </c>
      <c r="B265" s="1" t="s">
        <v>352</v>
      </c>
      <c r="C265" s="7">
        <v>19.151999999999997</v>
      </c>
      <c r="D265" s="7">
        <v>25.75</v>
      </c>
    </row>
    <row r="266" ht="15.75" customHeight="1">
      <c r="A266" s="22">
        <v>70403.0</v>
      </c>
      <c r="B266" s="1" t="s">
        <v>353</v>
      </c>
      <c r="C266" s="7">
        <v>27.44</v>
      </c>
      <c r="D266" s="7">
        <v>86.89</v>
      </c>
    </row>
    <row r="267" ht="15.75" customHeight="1">
      <c r="A267" s="22">
        <v>70404.0</v>
      </c>
      <c r="B267" s="1" t="s">
        <v>354</v>
      </c>
      <c r="C267" s="7">
        <v>1.1789999999999998</v>
      </c>
      <c r="D267" s="7">
        <v>3.69</v>
      </c>
    </row>
    <row r="268" ht="15.75" customHeight="1">
      <c r="A268" s="22">
        <v>70501.0</v>
      </c>
      <c r="B268" s="1" t="s">
        <v>356</v>
      </c>
      <c r="C268" s="7">
        <v>85.244</v>
      </c>
      <c r="D268" s="7">
        <v>49.94</v>
      </c>
    </row>
    <row r="269" ht="15.75" customHeight="1">
      <c r="A269" s="22">
        <v>70502.0</v>
      </c>
      <c r="B269" s="1" t="s">
        <v>357</v>
      </c>
      <c r="C269" s="7">
        <v>21.626000000000005</v>
      </c>
      <c r="D269" s="7">
        <v>44.77</v>
      </c>
    </row>
    <row r="270" ht="15.75" customHeight="1">
      <c r="A270" s="22">
        <v>70503.0</v>
      </c>
      <c r="B270" s="1" t="s">
        <v>358</v>
      </c>
      <c r="C270" s="7">
        <v>5.103</v>
      </c>
      <c r="D270" s="7">
        <v>39.13</v>
      </c>
    </row>
    <row r="271" ht="15.75" customHeight="1">
      <c r="A271" s="22">
        <v>70601.0</v>
      </c>
      <c r="B271" s="1" t="s">
        <v>360</v>
      </c>
      <c r="C271" s="7">
        <v>3.1259999999999994</v>
      </c>
      <c r="D271" s="7">
        <v>13.13</v>
      </c>
    </row>
    <row r="272" ht="15.75" customHeight="1">
      <c r="A272" s="22">
        <v>70602.0</v>
      </c>
      <c r="B272" s="1" t="s">
        <v>361</v>
      </c>
      <c r="C272" s="7">
        <v>1.868</v>
      </c>
      <c r="D272" s="7">
        <v>6.59</v>
      </c>
    </row>
    <row r="273" ht="15.75" customHeight="1">
      <c r="A273" s="22">
        <v>70603.0</v>
      </c>
      <c r="B273" s="1" t="s">
        <v>362</v>
      </c>
      <c r="C273" s="7">
        <v>1.395</v>
      </c>
      <c r="D273" s="7">
        <v>3.08</v>
      </c>
    </row>
    <row r="274" ht="15.75" customHeight="1">
      <c r="A274" s="22">
        <v>70701.0</v>
      </c>
      <c r="B274" s="1" t="s">
        <v>364</v>
      </c>
      <c r="C274" s="7">
        <v>0.461</v>
      </c>
      <c r="D274" s="7">
        <v>2.32</v>
      </c>
    </row>
    <row r="275" ht="15.75" customHeight="1">
      <c r="A275" s="22">
        <v>70702.0</v>
      </c>
      <c r="B275" s="1" t="s">
        <v>365</v>
      </c>
      <c r="C275" s="7">
        <v>16.646</v>
      </c>
      <c r="D275" s="7">
        <v>14.03</v>
      </c>
    </row>
    <row r="276" ht="15.75" customHeight="1">
      <c r="A276" s="22">
        <v>70703.0</v>
      </c>
      <c r="B276" s="1" t="s">
        <v>366</v>
      </c>
      <c r="C276" s="7">
        <v>19.35</v>
      </c>
      <c r="D276" s="7">
        <v>15.88</v>
      </c>
    </row>
    <row r="277" ht="15.75" customHeight="1">
      <c r="A277" s="22">
        <v>70704.0</v>
      </c>
      <c r="B277" s="1" t="s">
        <v>367</v>
      </c>
      <c r="C277" s="7">
        <v>0.616</v>
      </c>
      <c r="D277" s="7">
        <v>3.79</v>
      </c>
    </row>
    <row r="278" ht="15.75" customHeight="1">
      <c r="A278" s="22">
        <v>70705.0</v>
      </c>
      <c r="B278" s="1" t="s">
        <v>368</v>
      </c>
      <c r="C278" s="7">
        <v>0.78</v>
      </c>
      <c r="D278" s="7">
        <v>3.08</v>
      </c>
    </row>
    <row r="279" ht="15.75" customHeight="1">
      <c r="A279" s="22">
        <v>70706.0</v>
      </c>
      <c r="B279" s="1" t="s">
        <v>369</v>
      </c>
      <c r="C279" s="7">
        <v>28.944000000000003</v>
      </c>
      <c r="D279" s="7">
        <v>53.4</v>
      </c>
    </row>
    <row r="280" ht="15.75" customHeight="1">
      <c r="A280" s="22">
        <v>70707.0</v>
      </c>
      <c r="B280" s="1" t="s">
        <v>370</v>
      </c>
      <c r="C280" s="7">
        <v>0.893</v>
      </c>
      <c r="D280" s="7">
        <v>4.93</v>
      </c>
    </row>
    <row r="281" ht="15.75" customHeight="1">
      <c r="A281" s="22">
        <v>70801.0</v>
      </c>
      <c r="B281" s="1" t="s">
        <v>371</v>
      </c>
      <c r="C281" s="7">
        <v>3.7239999999999998</v>
      </c>
      <c r="D281" s="7">
        <v>23.09</v>
      </c>
    </row>
    <row r="282" ht="15.75" customHeight="1">
      <c r="A282" s="22">
        <v>70802.0</v>
      </c>
      <c r="B282" s="1" t="s">
        <v>372</v>
      </c>
      <c r="C282" s="7">
        <v>0.196</v>
      </c>
      <c r="D282" s="7">
        <v>0.85</v>
      </c>
    </row>
    <row r="283" ht="15.75" customHeight="1">
      <c r="A283" s="22">
        <v>70803.0</v>
      </c>
      <c r="B283" s="1" t="s">
        <v>373</v>
      </c>
      <c r="C283" s="7">
        <v>0.20400000000000001</v>
      </c>
      <c r="D283" s="7">
        <v>0.47</v>
      </c>
    </row>
    <row r="284" ht="15.75" customHeight="1">
      <c r="A284" s="22">
        <v>70804.0</v>
      </c>
      <c r="B284" s="1" t="s">
        <v>374</v>
      </c>
      <c r="C284" s="7">
        <v>0.126</v>
      </c>
      <c r="D284" s="7">
        <v>0.75</v>
      </c>
    </row>
    <row r="285" ht="15.75" customHeight="1">
      <c r="A285" s="22">
        <v>70805.0</v>
      </c>
      <c r="B285" s="1" t="s">
        <v>375</v>
      </c>
      <c r="C285" s="7">
        <v>0.21</v>
      </c>
      <c r="D285" s="7">
        <v>0.94</v>
      </c>
    </row>
    <row r="286" ht="15.75" customHeight="1">
      <c r="A286" s="22">
        <v>70901.0</v>
      </c>
      <c r="B286" s="1" t="s">
        <v>377</v>
      </c>
      <c r="C286" s="7">
        <v>61.64</v>
      </c>
      <c r="D286" s="7">
        <v>24.09</v>
      </c>
    </row>
    <row r="287" ht="15.75" customHeight="1">
      <c r="A287" s="22">
        <v>70902.0</v>
      </c>
      <c r="B287" s="1" t="s">
        <v>378</v>
      </c>
      <c r="C287" s="7">
        <v>1.5760000000000003</v>
      </c>
      <c r="D287" s="7">
        <v>7.58</v>
      </c>
    </row>
    <row r="288" ht="15.75" customHeight="1">
      <c r="A288" s="22">
        <v>70903.0</v>
      </c>
      <c r="B288" s="1" t="s">
        <v>379</v>
      </c>
      <c r="C288" s="7">
        <v>1.7760000000000002</v>
      </c>
      <c r="D288" s="7">
        <v>10.81</v>
      </c>
    </row>
    <row r="289" ht="15.75" customHeight="1">
      <c r="A289" s="22">
        <v>70904.0</v>
      </c>
      <c r="B289" s="1" t="s">
        <v>380</v>
      </c>
      <c r="C289" s="7">
        <v>0.396</v>
      </c>
      <c r="D289" s="7">
        <v>1.75</v>
      </c>
    </row>
    <row r="290" ht="15.75" customHeight="1">
      <c r="A290" s="22">
        <v>71001.0</v>
      </c>
      <c r="B290" s="1" t="s">
        <v>382</v>
      </c>
      <c r="C290" s="7">
        <v>64.464</v>
      </c>
      <c r="D290" s="7">
        <v>178.29</v>
      </c>
    </row>
    <row r="291" ht="15.75" customHeight="1">
      <c r="A291" s="22">
        <v>71002.0</v>
      </c>
      <c r="B291" s="1" t="s">
        <v>383</v>
      </c>
      <c r="C291" s="7">
        <v>1.659</v>
      </c>
      <c r="D291" s="7">
        <v>2.7</v>
      </c>
    </row>
    <row r="292" ht="15.75" customHeight="1">
      <c r="A292" s="22">
        <v>71003.0</v>
      </c>
      <c r="B292" s="1" t="s">
        <v>384</v>
      </c>
      <c r="C292" s="7">
        <v>8.118</v>
      </c>
      <c r="D292" s="7">
        <v>12.18</v>
      </c>
    </row>
    <row r="293" ht="15.75" customHeight="1">
      <c r="A293" s="22">
        <v>71004.0</v>
      </c>
      <c r="B293" s="1" t="s">
        <v>385</v>
      </c>
      <c r="C293" s="7">
        <v>1.9280000000000002</v>
      </c>
      <c r="D293" s="7">
        <v>3.41</v>
      </c>
    </row>
    <row r="294" ht="15.75" customHeight="1">
      <c r="A294" s="22">
        <v>71005.0</v>
      </c>
      <c r="B294" s="1" t="s">
        <v>386</v>
      </c>
      <c r="C294" s="7">
        <v>2.472</v>
      </c>
      <c r="D294" s="7">
        <v>7.01</v>
      </c>
    </row>
    <row r="295" ht="15.75" customHeight="1">
      <c r="A295" s="22">
        <v>71101.0</v>
      </c>
      <c r="B295" s="1" t="s">
        <v>388</v>
      </c>
      <c r="C295" s="7">
        <v>63.552</v>
      </c>
      <c r="D295" s="7">
        <v>39.03</v>
      </c>
    </row>
    <row r="296" ht="15.75" customHeight="1">
      <c r="A296" s="22">
        <v>71102.0</v>
      </c>
      <c r="B296" s="1" t="s">
        <v>389</v>
      </c>
      <c r="C296" s="7">
        <v>2.532</v>
      </c>
      <c r="D296" s="7">
        <v>17.17</v>
      </c>
    </row>
    <row r="297" ht="15.75" customHeight="1">
      <c r="A297" s="22">
        <v>71103.0</v>
      </c>
      <c r="B297" s="1" t="s">
        <v>390</v>
      </c>
      <c r="C297" s="7">
        <v>2.24</v>
      </c>
      <c r="D297" s="7">
        <v>18.73</v>
      </c>
    </row>
    <row r="298" ht="15.75" customHeight="1">
      <c r="A298" s="22">
        <v>71104.0</v>
      </c>
      <c r="B298" s="1" t="s">
        <v>391</v>
      </c>
      <c r="C298" s="7">
        <v>23.157000000000004</v>
      </c>
      <c r="D298" s="7">
        <v>10.57</v>
      </c>
    </row>
    <row r="299" ht="15.75" customHeight="1">
      <c r="A299" s="22">
        <v>71105.0</v>
      </c>
      <c r="B299" s="1" t="s">
        <v>392</v>
      </c>
      <c r="C299" s="7">
        <v>0.41200000000000003</v>
      </c>
      <c r="D299" s="7">
        <v>2.03</v>
      </c>
    </row>
    <row r="300" ht="15.75" customHeight="1">
      <c r="A300" s="22">
        <v>71106.0</v>
      </c>
      <c r="B300" s="1" t="s">
        <v>393</v>
      </c>
      <c r="C300" s="7">
        <v>21.538</v>
      </c>
      <c r="D300" s="7">
        <v>10.81</v>
      </c>
    </row>
    <row r="301" ht="15.75" customHeight="1">
      <c r="A301" s="22">
        <v>71201.0</v>
      </c>
      <c r="B301" s="1" t="s">
        <v>395</v>
      </c>
      <c r="C301" s="7">
        <v>1.494</v>
      </c>
      <c r="D301" s="7">
        <v>7.96</v>
      </c>
    </row>
    <row r="302" ht="15.75" customHeight="1">
      <c r="A302" s="22">
        <v>71301.0</v>
      </c>
      <c r="B302" s="1" t="s">
        <v>397</v>
      </c>
      <c r="C302" s="7">
        <v>1.76</v>
      </c>
      <c r="D302" s="7">
        <v>10.52</v>
      </c>
    </row>
    <row r="303" ht="15.75" customHeight="1">
      <c r="A303" s="22">
        <v>71302.0</v>
      </c>
      <c r="B303" s="1" t="s">
        <v>398</v>
      </c>
      <c r="C303" s="7">
        <v>1.1159999999999999</v>
      </c>
      <c r="D303" s="7">
        <v>5.54</v>
      </c>
    </row>
    <row r="304" ht="15.75" customHeight="1">
      <c r="A304" s="22">
        <v>71401.0</v>
      </c>
      <c r="B304" s="1" t="s">
        <v>400</v>
      </c>
      <c r="C304" s="7">
        <v>28.32</v>
      </c>
      <c r="D304" s="7">
        <v>32.83</v>
      </c>
    </row>
    <row r="305" ht="15.75" customHeight="1">
      <c r="A305" s="22">
        <v>71402.0</v>
      </c>
      <c r="B305" s="1" t="s">
        <v>401</v>
      </c>
      <c r="C305" s="7">
        <v>5.541999999999999</v>
      </c>
      <c r="D305" s="7">
        <v>40.64</v>
      </c>
    </row>
    <row r="306" ht="15.75" customHeight="1">
      <c r="A306" s="22">
        <v>71403.0</v>
      </c>
      <c r="B306" s="1" t="s">
        <v>402</v>
      </c>
      <c r="C306" s="7">
        <v>1.2160000000000002</v>
      </c>
      <c r="D306" s="7">
        <v>10.43</v>
      </c>
    </row>
    <row r="307" ht="15.75" customHeight="1">
      <c r="A307" s="22">
        <v>71501.0</v>
      </c>
      <c r="B307" s="1" t="s">
        <v>404</v>
      </c>
      <c r="C307" s="7">
        <v>19.823</v>
      </c>
      <c r="D307" s="7">
        <v>33.58</v>
      </c>
    </row>
    <row r="308" ht="15.75" customHeight="1">
      <c r="A308" s="22">
        <v>71502.0</v>
      </c>
      <c r="B308" s="1" t="s">
        <v>405</v>
      </c>
      <c r="C308" s="7">
        <v>0.639</v>
      </c>
      <c r="D308" s="7">
        <v>4.45</v>
      </c>
    </row>
    <row r="309" ht="15.75" customHeight="1">
      <c r="A309" s="22">
        <v>71503.0</v>
      </c>
      <c r="B309" s="1" t="s">
        <v>336</v>
      </c>
      <c r="C309" s="7">
        <v>1.064</v>
      </c>
      <c r="D309" s="7">
        <v>4.17</v>
      </c>
    </row>
    <row r="310" ht="15.75" customHeight="1">
      <c r="A310" s="22">
        <v>80101.0</v>
      </c>
      <c r="B310" s="1" t="s">
        <v>406</v>
      </c>
      <c r="C310" s="7">
        <v>69.05799999999999</v>
      </c>
      <c r="D310" s="7">
        <v>127.02</v>
      </c>
    </row>
    <row r="311" ht="15.75" customHeight="1">
      <c r="A311" s="22">
        <v>80102.0</v>
      </c>
      <c r="B311" s="1" t="s">
        <v>389</v>
      </c>
      <c r="C311" s="7">
        <v>0.423</v>
      </c>
      <c r="D311" s="7">
        <v>1.84</v>
      </c>
    </row>
    <row r="312" ht="15.75" customHeight="1">
      <c r="A312" s="22">
        <v>80201.0</v>
      </c>
      <c r="B312" s="1" t="s">
        <v>408</v>
      </c>
      <c r="C312" s="7">
        <v>34.945</v>
      </c>
      <c r="D312" s="7">
        <v>112.55</v>
      </c>
    </row>
    <row r="313" ht="15.75" customHeight="1">
      <c r="A313" s="22">
        <v>80202.0</v>
      </c>
      <c r="B313" s="1" t="s">
        <v>409</v>
      </c>
      <c r="C313" s="7">
        <v>26.403999999999996</v>
      </c>
      <c r="D313" s="7">
        <v>65.88</v>
      </c>
    </row>
    <row r="314" ht="15.75" customHeight="1">
      <c r="A314" s="22">
        <v>80301.0</v>
      </c>
      <c r="B314" s="1" t="s">
        <v>411</v>
      </c>
      <c r="C314" s="7">
        <v>1.6470000000000002</v>
      </c>
      <c r="D314" s="7">
        <v>7.68</v>
      </c>
    </row>
    <row r="315" ht="15.75" customHeight="1">
      <c r="A315" s="22">
        <v>80302.0</v>
      </c>
      <c r="B315" s="1" t="s">
        <v>412</v>
      </c>
      <c r="C315" s="7">
        <v>19.95</v>
      </c>
      <c r="D315" s="7">
        <v>29.26</v>
      </c>
    </row>
    <row r="316" ht="15.75" customHeight="1">
      <c r="A316" s="22">
        <v>80303.0</v>
      </c>
      <c r="B316" s="1" t="s">
        <v>413</v>
      </c>
      <c r="C316" s="7">
        <v>1.639</v>
      </c>
      <c r="D316" s="7">
        <v>6.59</v>
      </c>
    </row>
    <row r="317" ht="15.75" customHeight="1">
      <c r="A317" s="22">
        <v>80304.0</v>
      </c>
      <c r="B317" s="1" t="s">
        <v>414</v>
      </c>
      <c r="C317" s="7">
        <v>82.745</v>
      </c>
      <c r="D317" s="7">
        <v>42.07</v>
      </c>
    </row>
    <row r="318" ht="15.75" customHeight="1">
      <c r="A318" s="22">
        <v>80401.0</v>
      </c>
      <c r="B318" s="1" t="s">
        <v>416</v>
      </c>
      <c r="C318" s="7">
        <v>7.007999999999999</v>
      </c>
      <c r="D318" s="7">
        <v>18.73</v>
      </c>
    </row>
    <row r="319" ht="15.75" customHeight="1">
      <c r="A319" s="22">
        <v>80402.0</v>
      </c>
      <c r="B319" s="1" t="s">
        <v>417</v>
      </c>
      <c r="C319" s="7">
        <v>0.714</v>
      </c>
      <c r="D319" s="7">
        <v>4.26</v>
      </c>
    </row>
    <row r="320" ht="15.75" customHeight="1">
      <c r="A320" s="22">
        <v>80501.0</v>
      </c>
      <c r="B320" s="1" t="s">
        <v>419</v>
      </c>
      <c r="C320" s="7">
        <v>7.337</v>
      </c>
      <c r="D320" s="7">
        <v>16.55</v>
      </c>
    </row>
    <row r="321" ht="15.75" customHeight="1">
      <c r="A321" s="22">
        <v>80601.0</v>
      </c>
      <c r="B321" s="1" t="s">
        <v>421</v>
      </c>
      <c r="C321" s="7">
        <v>0.23399999999999999</v>
      </c>
      <c r="D321" s="7">
        <v>1.23</v>
      </c>
    </row>
    <row r="322" ht="15.75" customHeight="1">
      <c r="A322" s="22">
        <v>80602.0</v>
      </c>
      <c r="B322" s="1" t="s">
        <v>422</v>
      </c>
      <c r="C322" s="7">
        <v>1.12</v>
      </c>
      <c r="D322" s="7">
        <v>4.64</v>
      </c>
    </row>
    <row r="323" ht="15.75" customHeight="1">
      <c r="A323" s="22">
        <v>80701.0</v>
      </c>
      <c r="B323" s="1" t="s">
        <v>424</v>
      </c>
      <c r="C323" s="7">
        <v>1.078</v>
      </c>
      <c r="D323" s="7">
        <v>4.83</v>
      </c>
    </row>
    <row r="324" ht="15.75" customHeight="1">
      <c r="A324" s="22">
        <v>80702.0</v>
      </c>
      <c r="B324" s="1" t="s">
        <v>390</v>
      </c>
      <c r="C324" s="7">
        <v>1.024</v>
      </c>
      <c r="D324" s="7">
        <v>3.08</v>
      </c>
    </row>
    <row r="325" ht="15.75" customHeight="1">
      <c r="A325" s="22">
        <v>80703.0</v>
      </c>
      <c r="B325" s="1" t="s">
        <v>425</v>
      </c>
      <c r="C325" s="7">
        <v>0.02</v>
      </c>
      <c r="D325" s="7">
        <v>0.09</v>
      </c>
    </row>
    <row r="326" ht="15.75" customHeight="1">
      <c r="A326" s="22">
        <v>80801.0</v>
      </c>
      <c r="B326" s="1" t="s">
        <v>427</v>
      </c>
      <c r="C326" s="7">
        <v>1.694</v>
      </c>
      <c r="D326" s="7">
        <v>10.43</v>
      </c>
    </row>
    <row r="327" ht="15.75" customHeight="1">
      <c r="A327" s="22">
        <v>80802.0</v>
      </c>
      <c r="B327" s="1" t="s">
        <v>428</v>
      </c>
      <c r="C327" s="7">
        <v>0.732</v>
      </c>
      <c r="D327" s="7">
        <v>3.79</v>
      </c>
    </row>
    <row r="328" ht="15.75" customHeight="1">
      <c r="A328" s="22">
        <v>80803.0</v>
      </c>
      <c r="B328" s="1" t="s">
        <v>429</v>
      </c>
      <c r="C328" s="7">
        <v>0.308</v>
      </c>
      <c r="D328" s="7">
        <v>1.42</v>
      </c>
    </row>
    <row r="329" ht="15.75" customHeight="1">
      <c r="A329" s="22">
        <v>80901.0</v>
      </c>
      <c r="B329" s="26" t="s">
        <v>430</v>
      </c>
      <c r="C329" s="7"/>
      <c r="D329" s="7"/>
    </row>
    <row r="330" ht="15.75" customHeight="1">
      <c r="A330" s="22">
        <v>90101.0</v>
      </c>
      <c r="B330" s="1" t="s">
        <v>432</v>
      </c>
      <c r="C330" s="7">
        <v>27.972</v>
      </c>
      <c r="D330" s="7">
        <v>79.35</v>
      </c>
    </row>
    <row r="331" ht="15.75" customHeight="1">
      <c r="A331" s="22">
        <v>90102.0</v>
      </c>
      <c r="B331" s="1" t="s">
        <v>433</v>
      </c>
      <c r="C331" s="7">
        <v>1.815</v>
      </c>
      <c r="D331" s="7">
        <v>16.26</v>
      </c>
    </row>
    <row r="332" ht="15.75" customHeight="1">
      <c r="A332" s="22">
        <v>90103.0</v>
      </c>
      <c r="B332" s="1" t="s">
        <v>434</v>
      </c>
      <c r="C332" s="7">
        <v>0.08200000000000002</v>
      </c>
      <c r="D332" s="7">
        <v>0.56</v>
      </c>
    </row>
    <row r="333" ht="15.75" customHeight="1">
      <c r="A333" s="22">
        <v>90104.0</v>
      </c>
      <c r="B333" s="1" t="s">
        <v>435</v>
      </c>
      <c r="C333" s="7">
        <v>0.38400000000000006</v>
      </c>
      <c r="D333" s="7">
        <v>3.79</v>
      </c>
    </row>
    <row r="334" ht="15.75" customHeight="1">
      <c r="A334" s="22">
        <v>90201.0</v>
      </c>
      <c r="B334" s="1" t="s">
        <v>437</v>
      </c>
      <c r="C334" s="7">
        <v>1.14</v>
      </c>
      <c r="D334" s="7">
        <v>10.43</v>
      </c>
    </row>
    <row r="335" ht="15.75" customHeight="1">
      <c r="A335" s="22">
        <v>90202.0</v>
      </c>
      <c r="B335" s="1" t="s">
        <v>386</v>
      </c>
      <c r="C335" s="7">
        <v>0.102</v>
      </c>
      <c r="D335" s="7">
        <v>1.32</v>
      </c>
    </row>
    <row r="336" ht="15.75" customHeight="1">
      <c r="A336" s="22">
        <v>90203.0</v>
      </c>
      <c r="B336" s="1" t="s">
        <v>438</v>
      </c>
      <c r="C336" s="7">
        <v>0.298</v>
      </c>
      <c r="D336" s="7">
        <v>2.7</v>
      </c>
    </row>
    <row r="337" ht="15.75" customHeight="1">
      <c r="A337" s="22">
        <v>90301.0</v>
      </c>
      <c r="B337" s="1" t="s">
        <v>440</v>
      </c>
      <c r="C337" s="7">
        <v>0.534</v>
      </c>
      <c r="D337" s="7">
        <v>7.49</v>
      </c>
    </row>
    <row r="338" ht="15.75" customHeight="1">
      <c r="A338" s="22">
        <v>90302.0</v>
      </c>
      <c r="B338" s="1" t="s">
        <v>441</v>
      </c>
      <c r="C338" s="7">
        <v>0.6839999999999999</v>
      </c>
      <c r="D338" s="7">
        <v>4.07</v>
      </c>
    </row>
    <row r="339" ht="15.75" customHeight="1">
      <c r="A339" s="22">
        <v>90303.0</v>
      </c>
      <c r="B339" s="1" t="s">
        <v>442</v>
      </c>
      <c r="C339" s="7">
        <v>0.792</v>
      </c>
      <c r="D339" s="7">
        <v>12.85</v>
      </c>
    </row>
    <row r="340" ht="15.75" customHeight="1">
      <c r="A340" s="22">
        <v>90401.0</v>
      </c>
      <c r="B340" s="1" t="s">
        <v>444</v>
      </c>
      <c r="C340" s="7">
        <v>0.20800000000000002</v>
      </c>
      <c r="D340" s="7">
        <v>2.22</v>
      </c>
    </row>
    <row r="341" ht="15.75" customHeight="1">
      <c r="A341" s="22">
        <v>90402.0</v>
      </c>
      <c r="B341" s="1" t="s">
        <v>105</v>
      </c>
      <c r="C341" s="7">
        <v>0.08</v>
      </c>
      <c r="D341" s="7">
        <v>0.85</v>
      </c>
    </row>
    <row r="342" ht="15.75" customHeight="1">
      <c r="A342" s="22">
        <v>90501.0</v>
      </c>
      <c r="B342" s="1" t="s">
        <v>446</v>
      </c>
      <c r="C342" s="7">
        <v>0.23399999999999999</v>
      </c>
      <c r="D342" s="7">
        <v>3.03</v>
      </c>
    </row>
    <row r="343" ht="15.75" customHeight="1">
      <c r="A343" s="22">
        <v>90502.0</v>
      </c>
      <c r="B343" s="1" t="s">
        <v>447</v>
      </c>
      <c r="C343" s="7">
        <v>0.26</v>
      </c>
      <c r="D343" s="7">
        <v>2.32</v>
      </c>
    </row>
    <row r="344" ht="15.75" customHeight="1">
      <c r="A344" s="22">
        <v>90503.0</v>
      </c>
      <c r="B344" s="1" t="s">
        <v>448</v>
      </c>
      <c r="C344" s="7">
        <v>0.07600000000000001</v>
      </c>
      <c r="D344" s="7">
        <v>0.75</v>
      </c>
    </row>
    <row r="345" ht="15.75" customHeight="1">
      <c r="A345" s="27"/>
      <c r="B345" s="28"/>
      <c r="D345" s="3"/>
    </row>
    <row r="346" ht="15.75" customHeight="1">
      <c r="A346" s="27"/>
      <c r="B346" s="28"/>
      <c r="D346" s="3"/>
    </row>
    <row r="347" ht="15.75" customHeight="1">
      <c r="A347" s="27"/>
      <c r="B347" s="28"/>
      <c r="D347" s="3"/>
    </row>
    <row r="348" ht="15.75" customHeight="1">
      <c r="A348" s="27"/>
      <c r="B348" s="28"/>
    </row>
    <row r="349" ht="15.75" customHeight="1">
      <c r="A349" s="27"/>
      <c r="B349" s="28"/>
    </row>
    <row r="350" ht="15.75" customHeight="1">
      <c r="A350" s="27"/>
      <c r="B350" s="28"/>
      <c r="D350" s="29"/>
    </row>
    <row r="351" ht="15.75" customHeight="1">
      <c r="A351" s="27"/>
      <c r="B351" s="28"/>
      <c r="D351" s="29"/>
    </row>
    <row r="352" ht="15.75" customHeight="1">
      <c r="A352" s="27"/>
      <c r="B352" s="28"/>
      <c r="D352" s="29"/>
    </row>
    <row r="353" ht="15.75" customHeight="1">
      <c r="A353" s="27"/>
      <c r="B353" s="30"/>
      <c r="D353" s="29"/>
    </row>
    <row r="354" ht="15.75" customHeight="1">
      <c r="A354" s="27"/>
      <c r="B354" s="30"/>
      <c r="D354" s="3"/>
    </row>
    <row r="355" ht="15.75" customHeight="1">
      <c r="A355" s="27"/>
      <c r="B355" s="30"/>
    </row>
    <row r="356" ht="15.75" customHeight="1">
      <c r="A356" s="27"/>
      <c r="B356" s="30"/>
    </row>
    <row r="357" ht="15.75" customHeight="1">
      <c r="A357" s="27"/>
      <c r="B357" s="30"/>
    </row>
    <row r="358" ht="15.75" customHeight="1">
      <c r="A358" s="27"/>
      <c r="B358" s="30"/>
    </row>
    <row r="359" ht="15.75" customHeight="1">
      <c r="A359" s="27"/>
      <c r="B359" s="30"/>
    </row>
    <row r="360" ht="15.75" customHeight="1">
      <c r="A360" s="27"/>
      <c r="B360" s="30"/>
    </row>
    <row r="361" ht="15.75" customHeight="1">
      <c r="A361" s="27"/>
      <c r="B361" s="30"/>
    </row>
    <row r="362" ht="15.75" customHeight="1">
      <c r="A362" s="27"/>
      <c r="B362" s="30"/>
    </row>
    <row r="363" ht="15.75" customHeight="1">
      <c r="A363" s="27"/>
      <c r="B363" s="30"/>
    </row>
    <row r="364" ht="15.75" customHeight="1">
      <c r="A364" s="27"/>
      <c r="B364" s="30"/>
    </row>
    <row r="365" ht="15.75" customHeight="1">
      <c r="A365" s="27"/>
      <c r="B365" s="30"/>
    </row>
    <row r="366" ht="15.75" customHeight="1">
      <c r="A366" s="27"/>
      <c r="B366" s="30"/>
    </row>
    <row r="367" ht="15.75" customHeight="1">
      <c r="A367" s="27"/>
      <c r="B367" s="30"/>
    </row>
    <row r="368" ht="15.75" customHeight="1">
      <c r="A368" s="27"/>
      <c r="B368" s="30"/>
    </row>
    <row r="369" ht="15.75" customHeight="1">
      <c r="A369" s="27"/>
      <c r="B369" s="30"/>
    </row>
    <row r="370" ht="15.75" customHeight="1">
      <c r="A370" s="27"/>
      <c r="B370" s="30"/>
    </row>
    <row r="371" ht="15.75" customHeight="1">
      <c r="A371" s="27"/>
      <c r="B371" s="30"/>
    </row>
    <row r="372" ht="15.75" customHeight="1">
      <c r="A372" s="27"/>
      <c r="B372" s="30"/>
    </row>
    <row r="373" ht="15.75" customHeight="1">
      <c r="A373" s="27"/>
      <c r="B373" s="30"/>
    </row>
    <row r="374" ht="15.75" customHeight="1">
      <c r="A374" s="27"/>
      <c r="B374" s="30"/>
    </row>
    <row r="375" ht="15.75" customHeight="1">
      <c r="A375" s="27"/>
      <c r="B375" s="30"/>
    </row>
    <row r="376" ht="15.75" customHeight="1">
      <c r="A376" s="27"/>
      <c r="B376" s="30"/>
    </row>
    <row r="377" ht="15.75" customHeight="1">
      <c r="A377" s="27"/>
      <c r="B377" s="30"/>
    </row>
    <row r="378" ht="15.75" customHeight="1">
      <c r="A378" s="27"/>
      <c r="B378" s="30"/>
    </row>
    <row r="379" ht="15.75" customHeight="1">
      <c r="A379" s="27"/>
      <c r="B379" s="30"/>
    </row>
    <row r="380" ht="15.75" customHeight="1">
      <c r="A380" s="27"/>
      <c r="B380" s="30"/>
    </row>
    <row r="381" ht="15.75" customHeight="1">
      <c r="A381" s="27"/>
      <c r="B381" s="30"/>
    </row>
    <row r="382" ht="15.75" customHeight="1">
      <c r="A382" s="27"/>
      <c r="B382" s="30"/>
    </row>
    <row r="383" ht="15.75" customHeight="1">
      <c r="A383" s="27"/>
      <c r="B383" s="30"/>
    </row>
    <row r="384" ht="15.75" customHeight="1">
      <c r="A384" s="27"/>
      <c r="B384" s="30"/>
    </row>
    <row r="385" ht="15.75" customHeight="1">
      <c r="A385" s="27"/>
      <c r="B385" s="30"/>
    </row>
    <row r="386" ht="15.75" customHeight="1">
      <c r="A386" s="27"/>
      <c r="B386" s="30"/>
    </row>
    <row r="387" ht="15.75" customHeight="1">
      <c r="A387" s="27"/>
      <c r="B387" s="30"/>
    </row>
    <row r="388" ht="15.75" customHeight="1">
      <c r="A388" s="27"/>
      <c r="B388" s="30"/>
    </row>
    <row r="389" ht="15.75" customHeight="1">
      <c r="A389" s="27"/>
      <c r="B389" s="30"/>
    </row>
    <row r="390" ht="15.75" customHeight="1">
      <c r="A390" s="27"/>
      <c r="B390" s="30"/>
    </row>
    <row r="391" ht="15.75" customHeight="1">
      <c r="A391" s="27"/>
      <c r="B391" s="30"/>
    </row>
    <row r="392" ht="15.75" customHeight="1">
      <c r="A392" s="27"/>
      <c r="B392" s="30"/>
    </row>
    <row r="393" ht="15.75" customHeight="1">
      <c r="A393" s="27"/>
      <c r="B393" s="30"/>
    </row>
    <row r="394" ht="15.75" customHeight="1">
      <c r="A394" s="27"/>
      <c r="B394" s="30"/>
    </row>
    <row r="395" ht="15.75" customHeight="1">
      <c r="A395" s="27"/>
      <c r="B395" s="30"/>
    </row>
    <row r="396" ht="15.75" customHeight="1">
      <c r="A396" s="27"/>
      <c r="B396" s="30"/>
    </row>
    <row r="397" ht="15.75" customHeight="1">
      <c r="A397" s="27"/>
      <c r="B397" s="30"/>
    </row>
    <row r="398" ht="15.75" customHeight="1">
      <c r="A398" s="27"/>
      <c r="B398" s="30"/>
    </row>
    <row r="399" ht="15.75" customHeight="1">
      <c r="A399" s="27"/>
      <c r="B399" s="30"/>
    </row>
    <row r="400" ht="15.75" customHeight="1">
      <c r="A400" s="27"/>
      <c r="B400" s="30"/>
    </row>
    <row r="401" ht="15.75" customHeight="1">
      <c r="A401" s="27"/>
      <c r="B401" s="30"/>
    </row>
    <row r="402" ht="15.75" customHeight="1">
      <c r="A402" s="27"/>
      <c r="B402" s="30"/>
    </row>
    <row r="403" ht="15.75" customHeight="1">
      <c r="A403" s="27"/>
      <c r="B403" s="30"/>
    </row>
    <row r="404" ht="15.75" customHeight="1">
      <c r="A404" s="27"/>
      <c r="B404" s="30"/>
    </row>
    <row r="405" ht="15.75" customHeight="1">
      <c r="A405" s="27"/>
      <c r="B405" s="30"/>
    </row>
    <row r="406" ht="15.75" customHeight="1">
      <c r="A406" s="27"/>
      <c r="B406" s="30"/>
    </row>
    <row r="407" ht="15.75" customHeight="1">
      <c r="A407" s="27"/>
      <c r="B407" s="30"/>
    </row>
    <row r="408" ht="15.75" customHeight="1">
      <c r="A408" s="27"/>
      <c r="B408" s="30"/>
    </row>
    <row r="409" ht="15.75" customHeight="1">
      <c r="A409" s="27"/>
      <c r="B409" s="30"/>
    </row>
    <row r="410" ht="15.75" customHeight="1">
      <c r="A410" s="27"/>
      <c r="B410" s="30"/>
    </row>
    <row r="411" ht="15.75" customHeight="1">
      <c r="A411" s="27"/>
      <c r="B411" s="30"/>
    </row>
    <row r="412" ht="15.75" customHeight="1">
      <c r="A412" s="27"/>
      <c r="B412" s="30"/>
    </row>
    <row r="413" ht="15.75" customHeight="1">
      <c r="A413" s="27"/>
      <c r="B413" s="30"/>
    </row>
    <row r="414" ht="15.75" customHeight="1">
      <c r="A414" s="27"/>
      <c r="B414" s="30"/>
    </row>
    <row r="415" ht="15.75" customHeight="1">
      <c r="A415" s="27"/>
      <c r="B415" s="30"/>
    </row>
    <row r="416" ht="15.75" customHeight="1">
      <c r="A416" s="27"/>
      <c r="B416" s="30"/>
    </row>
    <row r="417" ht="15.75" customHeight="1">
      <c r="A417" s="27"/>
      <c r="B417" s="30"/>
    </row>
    <row r="418" ht="15.75" customHeight="1">
      <c r="A418" s="27"/>
      <c r="B418" s="30"/>
    </row>
    <row r="419" ht="15.75" customHeight="1">
      <c r="A419" s="27"/>
      <c r="B419" s="30"/>
    </row>
    <row r="420" ht="15.75" customHeight="1">
      <c r="A420" s="27"/>
      <c r="B420" s="30"/>
    </row>
    <row r="421" ht="15.75" customHeight="1">
      <c r="A421" s="27"/>
      <c r="B421" s="30"/>
    </row>
    <row r="422" ht="15.75" customHeight="1">
      <c r="A422" s="27"/>
      <c r="B422" s="30"/>
    </row>
    <row r="423" ht="15.75" customHeight="1">
      <c r="A423" s="27"/>
      <c r="B423" s="30"/>
    </row>
    <row r="424" ht="15.75" customHeight="1">
      <c r="A424" s="27"/>
      <c r="B424" s="30"/>
    </row>
    <row r="425" ht="15.75" customHeight="1">
      <c r="A425" s="27"/>
      <c r="B425" s="30"/>
    </row>
    <row r="426" ht="15.75" customHeight="1">
      <c r="A426" s="27"/>
      <c r="B426" s="30"/>
    </row>
    <row r="427" ht="15.75" customHeight="1">
      <c r="A427" s="27"/>
      <c r="B427" s="30"/>
    </row>
    <row r="428" ht="15.75" customHeight="1">
      <c r="A428" s="27"/>
      <c r="B428" s="30"/>
    </row>
    <row r="429" ht="15.75" customHeight="1">
      <c r="A429" s="27"/>
      <c r="B429" s="30"/>
    </row>
    <row r="430" ht="15.75" customHeight="1">
      <c r="A430" s="27"/>
      <c r="B430" s="30"/>
    </row>
    <row r="431" ht="15.75" customHeight="1">
      <c r="A431" s="27"/>
      <c r="B431" s="30"/>
    </row>
    <row r="432" ht="15.75" customHeight="1">
      <c r="A432" s="27"/>
      <c r="B432" s="30"/>
    </row>
    <row r="433" ht="15.75" customHeight="1">
      <c r="A433" s="27"/>
      <c r="B433" s="30"/>
    </row>
    <row r="434" ht="15.75" customHeight="1">
      <c r="A434" s="27"/>
      <c r="B434" s="30"/>
    </row>
    <row r="435" ht="15.75" customHeight="1">
      <c r="A435" s="27"/>
      <c r="B435" s="30"/>
    </row>
    <row r="436" ht="15.75" customHeight="1">
      <c r="A436" s="27"/>
      <c r="B436" s="30"/>
    </row>
    <row r="437" ht="15.75" customHeight="1">
      <c r="A437" s="27"/>
      <c r="B437" s="30"/>
    </row>
    <row r="438" ht="15.75" customHeight="1">
      <c r="A438" s="27"/>
      <c r="B438" s="30"/>
    </row>
    <row r="439" ht="15.75" customHeight="1">
      <c r="A439" s="27"/>
      <c r="B439" s="30"/>
    </row>
    <row r="440" ht="15.75" customHeight="1">
      <c r="A440" s="27"/>
      <c r="B440" s="30"/>
    </row>
    <row r="441" ht="15.75" customHeight="1">
      <c r="A441" s="27"/>
      <c r="B441" s="30"/>
    </row>
    <row r="442" ht="15.75" customHeight="1">
      <c r="A442" s="27"/>
      <c r="B442" s="30"/>
    </row>
    <row r="443" ht="15.75" customHeight="1">
      <c r="A443" s="27"/>
      <c r="B443" s="30"/>
    </row>
    <row r="444" ht="15.75" customHeight="1">
      <c r="A444" s="27"/>
      <c r="B444" s="30"/>
    </row>
    <row r="445" ht="15.75" customHeight="1">
      <c r="A445" s="27"/>
      <c r="B445" s="30"/>
    </row>
    <row r="446" ht="15.75" customHeight="1">
      <c r="A446" s="27"/>
      <c r="B446" s="30"/>
    </row>
    <row r="447" ht="15.75" customHeight="1">
      <c r="A447" s="27"/>
      <c r="B447" s="30"/>
    </row>
    <row r="448" ht="15.75" customHeight="1">
      <c r="A448" s="27"/>
      <c r="B448" s="30"/>
    </row>
    <row r="449" ht="15.75" customHeight="1">
      <c r="A449" s="27"/>
      <c r="B449" s="30"/>
    </row>
    <row r="450" ht="15.75" customHeight="1">
      <c r="A450" s="27"/>
      <c r="B450" s="30"/>
    </row>
    <row r="451" ht="15.75" customHeight="1">
      <c r="A451" s="27"/>
      <c r="B451" s="30"/>
    </row>
    <row r="452" ht="15.75" customHeight="1">
      <c r="A452" s="27"/>
      <c r="B452" s="30"/>
    </row>
    <row r="453" ht="15.75" customHeight="1">
      <c r="A453" s="27"/>
      <c r="B453" s="30"/>
    </row>
    <row r="454" ht="15.75" customHeight="1">
      <c r="A454" s="27"/>
      <c r="B454" s="30"/>
    </row>
    <row r="455" ht="15.75" customHeight="1">
      <c r="A455" s="27"/>
      <c r="B455" s="30"/>
    </row>
    <row r="456" ht="15.75" customHeight="1">
      <c r="A456" s="27"/>
      <c r="B456" s="30"/>
    </row>
    <row r="457" ht="15.75" customHeight="1">
      <c r="A457" s="27"/>
      <c r="B457" s="30"/>
    </row>
    <row r="458" ht="15.75" customHeight="1">
      <c r="A458" s="27"/>
      <c r="B458" s="30"/>
    </row>
    <row r="459" ht="15.75" customHeight="1">
      <c r="A459" s="27"/>
      <c r="B459" s="30"/>
    </row>
    <row r="460" ht="15.75" customHeight="1">
      <c r="A460" s="27"/>
      <c r="B460" s="30"/>
    </row>
    <row r="461" ht="15.75" customHeight="1">
      <c r="A461" s="27"/>
      <c r="B461" s="30"/>
    </row>
    <row r="462" ht="15.75" customHeight="1">
      <c r="A462" s="27"/>
      <c r="B462" s="30"/>
    </row>
    <row r="463" ht="15.75" customHeight="1">
      <c r="A463" s="27"/>
      <c r="B463" s="30"/>
    </row>
    <row r="464" ht="15.75" customHeight="1">
      <c r="A464" s="27"/>
      <c r="B464" s="30"/>
    </row>
    <row r="465" ht="15.75" customHeight="1">
      <c r="A465" s="27"/>
      <c r="B465" s="30"/>
    </row>
    <row r="466" ht="15.75" customHeight="1">
      <c r="A466" s="27"/>
      <c r="B466" s="30"/>
    </row>
    <row r="467" ht="15.75" customHeight="1">
      <c r="A467" s="27"/>
      <c r="B467" s="30"/>
    </row>
    <row r="468" ht="15.75" customHeight="1">
      <c r="A468" s="27"/>
      <c r="B468" s="30"/>
    </row>
    <row r="469" ht="15.75" customHeight="1">
      <c r="A469" s="27"/>
      <c r="B469" s="30"/>
    </row>
    <row r="470" ht="15.75" customHeight="1">
      <c r="A470" s="27"/>
      <c r="B470" s="30"/>
    </row>
    <row r="471" ht="15.75" customHeight="1">
      <c r="A471" s="27"/>
      <c r="B471" s="30"/>
    </row>
    <row r="472" ht="15.75" customHeight="1">
      <c r="A472" s="27"/>
      <c r="B472" s="30"/>
    </row>
    <row r="473" ht="15.75" customHeight="1">
      <c r="A473" s="27"/>
      <c r="B473" s="30"/>
    </row>
    <row r="474" ht="15.75" customHeight="1">
      <c r="A474" s="27"/>
      <c r="B474" s="30"/>
    </row>
    <row r="475" ht="15.75" customHeight="1">
      <c r="A475" s="27"/>
      <c r="B475" s="30"/>
    </row>
    <row r="476" ht="15.75" customHeight="1">
      <c r="A476" s="27"/>
      <c r="B476" s="30"/>
    </row>
    <row r="477" ht="15.75" customHeight="1">
      <c r="A477" s="27"/>
      <c r="B477" s="30"/>
    </row>
    <row r="478" ht="15.75" customHeight="1">
      <c r="A478" s="27"/>
      <c r="B478" s="30"/>
    </row>
    <row r="479" ht="15.75" customHeight="1">
      <c r="A479" s="27"/>
      <c r="B479" s="30"/>
    </row>
    <row r="480" ht="15.75" customHeight="1">
      <c r="A480" s="27"/>
      <c r="B480" s="30"/>
    </row>
    <row r="481" ht="15.75" customHeight="1">
      <c r="A481" s="27"/>
      <c r="B481" s="30"/>
    </row>
    <row r="482" ht="15.75" customHeight="1">
      <c r="A482" s="27"/>
      <c r="B482" s="30"/>
    </row>
    <row r="483" ht="15.75" customHeight="1">
      <c r="A483" s="27"/>
      <c r="B483" s="30"/>
    </row>
    <row r="484" ht="15.75" customHeight="1">
      <c r="A484" s="27"/>
      <c r="B484" s="30"/>
    </row>
    <row r="485" ht="15.75" customHeight="1">
      <c r="A485" s="27"/>
      <c r="B485" s="30"/>
    </row>
    <row r="486" ht="15.75" customHeight="1">
      <c r="A486" s="27"/>
      <c r="B486" s="30"/>
    </row>
    <row r="487" ht="15.75" customHeight="1">
      <c r="A487" s="27"/>
      <c r="B487" s="30"/>
    </row>
    <row r="488" ht="15.75" customHeight="1">
      <c r="A488" s="27"/>
      <c r="B488" s="30"/>
    </row>
    <row r="489" ht="15.75" customHeight="1">
      <c r="A489" s="27"/>
      <c r="B489" s="30"/>
    </row>
    <row r="490" ht="15.75" customHeight="1">
      <c r="A490" s="27"/>
      <c r="B490" s="30"/>
    </row>
    <row r="491" ht="15.75" customHeight="1">
      <c r="A491" s="27"/>
      <c r="B491" s="30"/>
    </row>
    <row r="492" ht="15.75" customHeight="1">
      <c r="A492" s="27"/>
      <c r="B492" s="30"/>
    </row>
    <row r="493" ht="15.75" customHeight="1">
      <c r="A493" s="27"/>
      <c r="B493" s="30"/>
    </row>
    <row r="494" ht="15.75" customHeight="1">
      <c r="A494" s="27"/>
      <c r="B494" s="30"/>
    </row>
    <row r="495" ht="15.75" customHeight="1">
      <c r="A495" s="27"/>
      <c r="B495" s="30"/>
    </row>
    <row r="496" ht="15.75" customHeight="1">
      <c r="A496" s="27"/>
      <c r="B496" s="30"/>
    </row>
    <row r="497" ht="15.75" customHeight="1">
      <c r="A497" s="27"/>
      <c r="B497" s="30"/>
    </row>
    <row r="498" ht="15.75" customHeight="1">
      <c r="A498" s="27"/>
      <c r="B498" s="30"/>
    </row>
    <row r="499" ht="15.75" customHeight="1">
      <c r="A499" s="27"/>
      <c r="B499" s="30"/>
    </row>
    <row r="500" ht="15.75" customHeight="1">
      <c r="A500" s="27"/>
      <c r="B500" s="30"/>
    </row>
    <row r="501" ht="15.75" customHeight="1">
      <c r="A501" s="27"/>
      <c r="B501" s="30"/>
    </row>
    <row r="502" ht="15.75" customHeight="1">
      <c r="A502" s="27"/>
      <c r="B502" s="30"/>
    </row>
    <row r="503" ht="15.75" customHeight="1">
      <c r="A503" s="27"/>
      <c r="B503" s="30"/>
    </row>
    <row r="504" ht="15.75" customHeight="1">
      <c r="A504" s="27"/>
      <c r="B504" s="30"/>
    </row>
    <row r="505" ht="15.75" customHeight="1">
      <c r="A505" s="27"/>
      <c r="B505" s="30"/>
    </row>
    <row r="506" ht="15.75" customHeight="1">
      <c r="A506" s="27"/>
      <c r="B506" s="30"/>
    </row>
    <row r="507" ht="15.75" customHeight="1">
      <c r="A507" s="27"/>
      <c r="B507" s="30"/>
    </row>
    <row r="508" ht="15.75" customHeight="1">
      <c r="A508" s="27"/>
      <c r="B508" s="30"/>
    </row>
    <row r="509" ht="15.75" customHeight="1">
      <c r="A509" s="27"/>
      <c r="B509" s="30"/>
    </row>
    <row r="510" ht="15.75" customHeight="1">
      <c r="A510" s="27"/>
      <c r="B510" s="30"/>
    </row>
    <row r="511" ht="15.75" customHeight="1">
      <c r="A511" s="27"/>
      <c r="B511" s="30"/>
    </row>
    <row r="512" ht="15.75" customHeight="1">
      <c r="A512" s="27"/>
      <c r="B512" s="30"/>
    </row>
    <row r="513" ht="15.75" customHeight="1">
      <c r="A513" s="27"/>
      <c r="B513" s="30"/>
    </row>
    <row r="514" ht="15.75" customHeight="1">
      <c r="A514" s="27"/>
      <c r="B514" s="30"/>
    </row>
    <row r="515" ht="15.75" customHeight="1">
      <c r="A515" s="27"/>
      <c r="B515" s="30"/>
    </row>
    <row r="516" ht="15.75" customHeight="1">
      <c r="A516" s="27"/>
      <c r="B516" s="30"/>
    </row>
    <row r="517" ht="15.75" customHeight="1">
      <c r="A517" s="27"/>
      <c r="B517" s="30"/>
    </row>
    <row r="518" ht="15.75" customHeight="1">
      <c r="A518" s="27"/>
      <c r="B518" s="30"/>
    </row>
    <row r="519" ht="15.75" customHeight="1">
      <c r="A519" s="27"/>
      <c r="B519" s="30"/>
    </row>
    <row r="520" ht="15.75" customHeight="1">
      <c r="A520" s="27"/>
      <c r="B520" s="30"/>
    </row>
    <row r="521" ht="15.75" customHeight="1">
      <c r="A521" s="27"/>
      <c r="B521" s="30"/>
    </row>
    <row r="522" ht="15.75" customHeight="1">
      <c r="A522" s="27"/>
      <c r="B522" s="30"/>
    </row>
    <row r="523" ht="15.75" customHeight="1">
      <c r="A523" s="27"/>
      <c r="B523" s="30"/>
    </row>
    <row r="524" ht="15.75" customHeight="1">
      <c r="A524" s="27"/>
      <c r="B524" s="30"/>
    </row>
    <row r="525" ht="15.75" customHeight="1">
      <c r="A525" s="27"/>
      <c r="B525" s="30"/>
    </row>
    <row r="526" ht="15.75" customHeight="1">
      <c r="A526" s="27"/>
      <c r="B526" s="30"/>
    </row>
    <row r="527" ht="15.75" customHeight="1">
      <c r="A527" s="27"/>
      <c r="B527" s="30"/>
    </row>
    <row r="528" ht="15.75" customHeight="1">
      <c r="A528" s="27"/>
      <c r="B528" s="30"/>
    </row>
    <row r="529" ht="15.75" customHeight="1">
      <c r="A529" s="27"/>
      <c r="B529" s="30"/>
    </row>
    <row r="530" ht="15.75" customHeight="1">
      <c r="A530" s="27"/>
      <c r="B530" s="30"/>
    </row>
    <row r="531" ht="15.75" customHeight="1">
      <c r="A531" s="27"/>
      <c r="B531" s="30"/>
    </row>
    <row r="532" ht="15.75" customHeight="1">
      <c r="A532" s="27"/>
      <c r="B532" s="30"/>
    </row>
    <row r="533" ht="15.75" customHeight="1">
      <c r="A533" s="27"/>
      <c r="B533" s="30"/>
    </row>
    <row r="534" ht="15.75" customHeight="1">
      <c r="A534" s="27"/>
      <c r="B534" s="30"/>
    </row>
    <row r="535" ht="15.75" customHeight="1">
      <c r="A535" s="27"/>
      <c r="B535" s="30"/>
    </row>
    <row r="536" ht="15.75" customHeight="1">
      <c r="A536" s="27"/>
      <c r="B536" s="30"/>
    </row>
    <row r="537" ht="15.75" customHeight="1">
      <c r="A537" s="27"/>
      <c r="B537" s="30"/>
    </row>
    <row r="538" ht="15.75" customHeight="1">
      <c r="A538" s="27"/>
      <c r="B538" s="30"/>
    </row>
    <row r="539" ht="15.75" customHeight="1">
      <c r="A539" s="27"/>
      <c r="B539" s="30"/>
    </row>
    <row r="540" ht="15.75" customHeight="1">
      <c r="A540" s="27"/>
      <c r="B540" s="30"/>
    </row>
    <row r="541" ht="15.75" customHeight="1">
      <c r="A541" s="27"/>
      <c r="B541" s="30"/>
    </row>
    <row r="542" ht="15.75" customHeight="1">
      <c r="A542" s="27"/>
      <c r="B542" s="30"/>
    </row>
    <row r="543" ht="15.75" customHeight="1">
      <c r="A543" s="27"/>
      <c r="B543" s="30"/>
    </row>
    <row r="544" ht="15.75" customHeight="1">
      <c r="A544" s="27"/>
      <c r="B544" s="30"/>
    </row>
    <row r="545" ht="15.75" customHeight="1">
      <c r="A545" s="27"/>
    </row>
    <row r="546" ht="15.75" customHeight="1">
      <c r="A546" s="27"/>
    </row>
    <row r="547" ht="15.75" customHeight="1">
      <c r="A547" s="27"/>
    </row>
    <row r="548" ht="15.75" customHeight="1">
      <c r="A548" s="27"/>
    </row>
    <row r="549" ht="15.75" customHeight="1">
      <c r="A549" s="27"/>
    </row>
    <row r="550" ht="15.75" customHeight="1">
      <c r="A550" s="27"/>
    </row>
    <row r="551" ht="15.75" customHeight="1">
      <c r="A551" s="27"/>
    </row>
    <row r="552" ht="15.75" customHeight="1">
      <c r="A552" s="27"/>
    </row>
    <row r="553" ht="15.75" customHeight="1">
      <c r="A553" s="27"/>
    </row>
    <row r="554" ht="15.75" customHeight="1">
      <c r="A554" s="27"/>
    </row>
    <row r="555" ht="15.75" customHeight="1">
      <c r="A555" s="27"/>
    </row>
    <row r="556" ht="15.75" customHeight="1">
      <c r="A556" s="27"/>
    </row>
    <row r="557" ht="15.75" customHeight="1">
      <c r="A557" s="27"/>
    </row>
    <row r="558" ht="15.75" customHeight="1">
      <c r="A558" s="27"/>
    </row>
    <row r="559" ht="15.75" customHeight="1">
      <c r="A559" s="27"/>
    </row>
    <row r="560" ht="15.75" customHeight="1">
      <c r="A560" s="27"/>
    </row>
    <row r="561" ht="15.75" customHeight="1">
      <c r="A561" s="27"/>
    </row>
    <row r="562" ht="15.75" customHeight="1">
      <c r="A562" s="27"/>
    </row>
    <row r="563" ht="15.75" customHeight="1">
      <c r="A563" s="27"/>
    </row>
    <row r="564" ht="15.75" customHeight="1">
      <c r="A564" s="27"/>
    </row>
    <row r="565" ht="15.75" customHeight="1">
      <c r="A565" s="27"/>
    </row>
    <row r="566" ht="15.75" customHeight="1">
      <c r="A566" s="27"/>
    </row>
    <row r="567" ht="15.75" customHeight="1">
      <c r="A567" s="27"/>
    </row>
    <row r="568" ht="15.75" customHeight="1">
      <c r="A568" s="27"/>
    </row>
    <row r="569" ht="15.75" customHeight="1">
      <c r="A569" s="27"/>
    </row>
    <row r="570" ht="15.75" customHeight="1">
      <c r="A570" s="27"/>
    </row>
    <row r="571" ht="15.75" customHeight="1">
      <c r="A571" s="27"/>
    </row>
    <row r="572" ht="15.75" customHeight="1">
      <c r="A572" s="27"/>
    </row>
    <row r="573" ht="15.75" customHeight="1">
      <c r="A573" s="27"/>
    </row>
    <row r="574" ht="15.75" customHeight="1">
      <c r="A574" s="27"/>
    </row>
    <row r="575" ht="15.75" customHeight="1">
      <c r="A575" s="27"/>
    </row>
    <row r="576" ht="15.75" customHeight="1">
      <c r="A576" s="27"/>
    </row>
    <row r="577" ht="15.75" customHeight="1">
      <c r="A577" s="27"/>
    </row>
    <row r="578" ht="15.75" customHeight="1">
      <c r="A578" s="27"/>
    </row>
    <row r="579" ht="15.75" customHeight="1">
      <c r="A579" s="27"/>
    </row>
    <row r="580" ht="15.75" customHeight="1">
      <c r="A580" s="27"/>
    </row>
    <row r="581" ht="15.75" customHeight="1">
      <c r="A581" s="27"/>
    </row>
    <row r="582" ht="15.75" customHeight="1">
      <c r="A582" s="27"/>
    </row>
    <row r="583" ht="15.75" customHeight="1">
      <c r="A583" s="27"/>
    </row>
    <row r="584" ht="15.75" customHeight="1">
      <c r="A584" s="27"/>
    </row>
    <row r="585" ht="15.75" customHeight="1">
      <c r="A585" s="27"/>
    </row>
    <row r="586" ht="15.75" customHeight="1">
      <c r="A586" s="27"/>
    </row>
    <row r="587" ht="15.75" customHeight="1">
      <c r="A587" s="27"/>
    </row>
    <row r="588" ht="15.75" customHeight="1">
      <c r="A588" s="27"/>
    </row>
    <row r="589" ht="15.75" customHeight="1">
      <c r="A589" s="27"/>
    </row>
    <row r="590" ht="15.75" customHeight="1">
      <c r="A590" s="27"/>
    </row>
    <row r="591" ht="15.75" customHeight="1">
      <c r="A591" s="27"/>
    </row>
    <row r="592" ht="15.75" customHeight="1">
      <c r="A592" s="27"/>
    </row>
    <row r="593" ht="15.75" customHeight="1">
      <c r="A593" s="27"/>
    </row>
    <row r="594" ht="15.75" customHeight="1">
      <c r="A594" s="27"/>
    </row>
    <row r="595" ht="15.75" customHeight="1">
      <c r="A595" s="27"/>
    </row>
    <row r="596" ht="15.75" customHeight="1">
      <c r="A596" s="27"/>
    </row>
    <row r="597" ht="15.75" customHeight="1">
      <c r="A597" s="27"/>
    </row>
    <row r="598" ht="15.75" customHeight="1">
      <c r="A598" s="27"/>
    </row>
    <row r="599" ht="15.75" customHeight="1">
      <c r="A599" s="27"/>
    </row>
    <row r="600" ht="15.75" customHeight="1">
      <c r="A600" s="27"/>
    </row>
    <row r="601" ht="15.75" customHeight="1">
      <c r="A601" s="27"/>
    </row>
    <row r="602" ht="15.75" customHeight="1">
      <c r="A602" s="27"/>
    </row>
    <row r="603" ht="15.75" customHeight="1">
      <c r="A603" s="27"/>
    </row>
    <row r="604" ht="15.75" customHeight="1">
      <c r="A604" s="27"/>
    </row>
    <row r="605" ht="15.75" customHeight="1">
      <c r="A605" s="27"/>
    </row>
    <row r="606" ht="15.75" customHeight="1">
      <c r="A606" s="27"/>
    </row>
    <row r="607" ht="15.75" customHeight="1">
      <c r="A607" s="27"/>
    </row>
    <row r="608" ht="15.75" customHeight="1">
      <c r="A608" s="27"/>
    </row>
    <row r="609" ht="15.75" customHeight="1">
      <c r="A609" s="27"/>
    </row>
    <row r="610" ht="15.75" customHeight="1">
      <c r="A610" s="27"/>
    </row>
    <row r="611" ht="15.75" customHeight="1">
      <c r="A611" s="27"/>
    </row>
    <row r="612" ht="15.75" customHeight="1">
      <c r="A612" s="27"/>
    </row>
    <row r="613" ht="15.75" customHeight="1">
      <c r="A613" s="27"/>
    </row>
    <row r="614" ht="15.75" customHeight="1">
      <c r="A614" s="27"/>
    </row>
    <row r="615" ht="15.75" customHeight="1">
      <c r="A615" s="27"/>
    </row>
    <row r="616" ht="15.75" customHeight="1">
      <c r="A616" s="27"/>
    </row>
    <row r="617" ht="15.75" customHeight="1">
      <c r="A617" s="27"/>
    </row>
    <row r="618" ht="15.75" customHeight="1">
      <c r="A618" s="27"/>
    </row>
    <row r="619" ht="15.75" customHeight="1">
      <c r="A619" s="27"/>
    </row>
    <row r="620" ht="15.75" customHeight="1">
      <c r="A620" s="27"/>
    </row>
    <row r="621" ht="15.75" customHeight="1">
      <c r="A621" s="27"/>
    </row>
    <row r="622" ht="15.75" customHeight="1">
      <c r="A622" s="27"/>
    </row>
    <row r="623" ht="15.75" customHeight="1">
      <c r="A623" s="27"/>
    </row>
    <row r="624" ht="15.75" customHeight="1">
      <c r="A624" s="27"/>
    </row>
    <row r="625" ht="15.75" customHeight="1">
      <c r="A625" s="27"/>
    </row>
    <row r="626" ht="15.75" customHeight="1">
      <c r="A626" s="27"/>
    </row>
    <row r="627" ht="15.75" customHeight="1">
      <c r="A627" s="27"/>
    </row>
    <row r="628" ht="15.75" customHeight="1">
      <c r="A628" s="27"/>
    </row>
    <row r="629" ht="15.75" customHeight="1">
      <c r="A629" s="27"/>
    </row>
    <row r="630" ht="15.75" customHeight="1">
      <c r="A630" s="27"/>
    </row>
    <row r="631" ht="15.75" customHeight="1">
      <c r="A631" s="27"/>
    </row>
    <row r="632" ht="15.75" customHeight="1">
      <c r="A632" s="27"/>
    </row>
    <row r="633" ht="15.75" customHeight="1">
      <c r="A633" s="27"/>
    </row>
    <row r="634" ht="15.75" customHeight="1">
      <c r="A634" s="27"/>
    </row>
    <row r="635" ht="15.75" customHeight="1">
      <c r="A635" s="27"/>
    </row>
    <row r="636" ht="15.75" customHeight="1">
      <c r="A636" s="27"/>
    </row>
    <row r="637" ht="15.75" customHeight="1">
      <c r="A637" s="27"/>
    </row>
    <row r="638" ht="15.75" customHeight="1">
      <c r="A638" s="27"/>
    </row>
    <row r="639" ht="15.75" customHeight="1">
      <c r="A639" s="27"/>
    </row>
    <row r="640" ht="15.75" customHeight="1">
      <c r="A640" s="27"/>
    </row>
    <row r="641" ht="15.75" customHeight="1">
      <c r="A641" s="27"/>
    </row>
    <row r="642" ht="15.75" customHeight="1">
      <c r="A642" s="27"/>
    </row>
    <row r="643" ht="15.75" customHeight="1">
      <c r="A643" s="27"/>
    </row>
    <row r="644" ht="15.75" customHeight="1">
      <c r="A644" s="27"/>
    </row>
    <row r="645" ht="15.75" customHeight="1">
      <c r="A645" s="27"/>
    </row>
    <row r="646" ht="15.75" customHeight="1">
      <c r="A646" s="27"/>
    </row>
    <row r="647" ht="15.75" customHeight="1">
      <c r="A647" s="27"/>
    </row>
    <row r="648" ht="15.75" customHeight="1">
      <c r="A648" s="27"/>
    </row>
    <row r="649" ht="15.75" customHeight="1">
      <c r="A649" s="27"/>
    </row>
    <row r="650" ht="15.75" customHeight="1">
      <c r="A650" s="27"/>
    </row>
    <row r="651" ht="15.75" customHeight="1">
      <c r="A651" s="27"/>
    </row>
    <row r="652" ht="15.75" customHeight="1">
      <c r="A652" s="27"/>
    </row>
    <row r="653" ht="15.75" customHeight="1">
      <c r="A653" s="27"/>
    </row>
    <row r="654" ht="15.75" customHeight="1">
      <c r="A654" s="27"/>
    </row>
    <row r="655" ht="15.75" customHeight="1">
      <c r="A655" s="27"/>
    </row>
    <row r="656" ht="15.75" customHeight="1">
      <c r="A656" s="27"/>
    </row>
    <row r="657" ht="15.75" customHeight="1">
      <c r="A657" s="27"/>
    </row>
    <row r="658" ht="15.75" customHeight="1">
      <c r="A658" s="27"/>
    </row>
    <row r="659" ht="15.75" customHeight="1">
      <c r="A659" s="27"/>
    </row>
    <row r="660" ht="15.75" customHeight="1">
      <c r="A660" s="27"/>
    </row>
    <row r="661" ht="15.75" customHeight="1">
      <c r="A661" s="27"/>
    </row>
    <row r="662" ht="15.75" customHeight="1">
      <c r="A662" s="27"/>
    </row>
    <row r="663" ht="15.75" customHeight="1">
      <c r="A663" s="27"/>
    </row>
    <row r="664" ht="15.75" customHeight="1">
      <c r="A664" s="27"/>
    </row>
    <row r="665" ht="15.75" customHeight="1">
      <c r="A665" s="27"/>
    </row>
    <row r="666" ht="15.75" customHeight="1">
      <c r="A666" s="27"/>
    </row>
    <row r="667" ht="15.75" customHeight="1">
      <c r="A667" s="27"/>
    </row>
    <row r="668" ht="15.75" customHeight="1">
      <c r="A668" s="27"/>
    </row>
    <row r="669" ht="15.75" customHeight="1">
      <c r="A669" s="27"/>
    </row>
    <row r="670" ht="15.75" customHeight="1">
      <c r="A670" s="27"/>
    </row>
    <row r="671" ht="15.75" customHeight="1">
      <c r="A671" s="27"/>
    </row>
    <row r="672" ht="15.75" customHeight="1">
      <c r="A672" s="27"/>
    </row>
    <row r="673" ht="15.75" customHeight="1">
      <c r="A673" s="27"/>
    </row>
    <row r="674" ht="15.75" customHeight="1">
      <c r="A674" s="27"/>
    </row>
    <row r="675" ht="15.75" customHeight="1">
      <c r="A675" s="27"/>
    </row>
    <row r="676" ht="15.75" customHeight="1">
      <c r="A676" s="27"/>
    </row>
    <row r="677" ht="15.75" customHeight="1">
      <c r="A677" s="27"/>
    </row>
    <row r="678" ht="15.75" customHeight="1">
      <c r="A678" s="27"/>
    </row>
    <row r="679" ht="15.75" customHeight="1">
      <c r="A679" s="27"/>
    </row>
    <row r="680" ht="15.75" customHeight="1">
      <c r="A680" s="27"/>
    </row>
    <row r="681" ht="15.75" customHeight="1">
      <c r="A681" s="27"/>
    </row>
    <row r="682" ht="15.75" customHeight="1">
      <c r="A682" s="27"/>
    </row>
    <row r="683" ht="15.75" customHeight="1">
      <c r="A683" s="27"/>
    </row>
    <row r="684" ht="15.75" customHeight="1">
      <c r="A684" s="27"/>
    </row>
    <row r="685" ht="15.75" customHeight="1">
      <c r="A685" s="27"/>
    </row>
    <row r="686" ht="15.75" customHeight="1">
      <c r="A686" s="27"/>
    </row>
    <row r="687" ht="15.75" customHeight="1">
      <c r="A687" s="27"/>
    </row>
    <row r="688" ht="15.75" customHeight="1">
      <c r="A688" s="27"/>
    </row>
    <row r="689" ht="15.75" customHeight="1">
      <c r="A689" s="27"/>
    </row>
    <row r="690" ht="15.75" customHeight="1">
      <c r="A690" s="27"/>
    </row>
    <row r="691" ht="15.75" customHeight="1">
      <c r="A691" s="27"/>
    </row>
    <row r="692" ht="15.75" customHeight="1">
      <c r="A692" s="27"/>
    </row>
    <row r="693" ht="15.75" customHeight="1">
      <c r="A693" s="27"/>
    </row>
    <row r="694" ht="15.75" customHeight="1">
      <c r="A694" s="27"/>
    </row>
    <row r="695" ht="15.75" customHeight="1">
      <c r="A695" s="27"/>
    </row>
    <row r="696" ht="15.75" customHeight="1">
      <c r="A696" s="27"/>
    </row>
    <row r="697" ht="15.75" customHeight="1">
      <c r="A697" s="27"/>
    </row>
    <row r="698" ht="15.75" customHeight="1">
      <c r="A698" s="27"/>
    </row>
    <row r="699" ht="15.75" customHeight="1">
      <c r="A699" s="27"/>
    </row>
    <row r="700" ht="15.75" customHeight="1">
      <c r="A700" s="27"/>
    </row>
    <row r="701" ht="15.75" customHeight="1">
      <c r="A701" s="27"/>
    </row>
    <row r="702" ht="15.75" customHeight="1">
      <c r="A702" s="27"/>
    </row>
    <row r="703" ht="15.75" customHeight="1">
      <c r="A703" s="27"/>
    </row>
    <row r="704" ht="15.75" customHeight="1">
      <c r="A704" s="27"/>
    </row>
    <row r="705" ht="15.75" customHeight="1">
      <c r="A705" s="27"/>
    </row>
    <row r="706" ht="15.75" customHeight="1">
      <c r="A706" s="27"/>
    </row>
    <row r="707" ht="15.75" customHeight="1">
      <c r="A707" s="27"/>
    </row>
    <row r="708" ht="15.75" customHeight="1">
      <c r="A708" s="27"/>
    </row>
    <row r="709" ht="15.75" customHeight="1">
      <c r="A709" s="27"/>
    </row>
    <row r="710" ht="15.75" customHeight="1">
      <c r="A710" s="27"/>
    </row>
    <row r="711" ht="15.75" customHeight="1">
      <c r="A711" s="27"/>
    </row>
    <row r="712" ht="15.75" customHeight="1">
      <c r="A712" s="27"/>
    </row>
    <row r="713" ht="15.75" customHeight="1">
      <c r="A713" s="27"/>
    </row>
    <row r="714" ht="15.75" customHeight="1">
      <c r="A714" s="27"/>
    </row>
    <row r="715" ht="15.75" customHeight="1">
      <c r="A715" s="27"/>
    </row>
    <row r="716" ht="15.75" customHeight="1">
      <c r="A716" s="27"/>
    </row>
    <row r="717" ht="15.75" customHeight="1">
      <c r="A717" s="27"/>
    </row>
    <row r="718" ht="15.75" customHeight="1">
      <c r="A718" s="27"/>
    </row>
    <row r="719" ht="15.75" customHeight="1">
      <c r="A719" s="27"/>
    </row>
    <row r="720" ht="15.75" customHeight="1">
      <c r="A720" s="27"/>
    </row>
    <row r="721" ht="15.75" customHeight="1">
      <c r="A721" s="27"/>
    </row>
    <row r="722" ht="15.75" customHeight="1">
      <c r="A722" s="27"/>
    </row>
    <row r="723" ht="15.75" customHeight="1">
      <c r="A723" s="27"/>
    </row>
    <row r="724" ht="15.75" customHeight="1">
      <c r="A724" s="27"/>
    </row>
    <row r="725" ht="15.75" customHeight="1">
      <c r="A725" s="27"/>
    </row>
    <row r="726" ht="15.75" customHeight="1">
      <c r="A726" s="27"/>
    </row>
    <row r="727" ht="15.75" customHeight="1">
      <c r="A727" s="27"/>
    </row>
    <row r="728" ht="15.75" customHeight="1">
      <c r="A728" s="27"/>
    </row>
    <row r="729" ht="15.75" customHeight="1">
      <c r="A729" s="27"/>
    </row>
    <row r="730" ht="15.75" customHeight="1">
      <c r="A730" s="27"/>
    </row>
    <row r="731" ht="15.75" customHeight="1">
      <c r="A731" s="27"/>
    </row>
    <row r="732" ht="15.75" customHeight="1">
      <c r="A732" s="27"/>
    </row>
    <row r="733" ht="15.75" customHeight="1">
      <c r="A733" s="27"/>
    </row>
    <row r="734" ht="15.75" customHeight="1">
      <c r="A734" s="27"/>
    </row>
    <row r="735" ht="15.75" customHeight="1">
      <c r="A735" s="27"/>
    </row>
    <row r="736" ht="15.75" customHeight="1">
      <c r="A736" s="27"/>
    </row>
    <row r="737" ht="15.75" customHeight="1">
      <c r="A737" s="27"/>
    </row>
    <row r="738" ht="15.75" customHeight="1">
      <c r="A738" s="27"/>
    </row>
    <row r="739" ht="15.75" customHeight="1">
      <c r="A739" s="27"/>
    </row>
    <row r="740" ht="15.75" customHeight="1">
      <c r="A740" s="27"/>
    </row>
    <row r="741" ht="15.75" customHeight="1">
      <c r="A741" s="27"/>
    </row>
    <row r="742" ht="15.75" customHeight="1">
      <c r="A742" s="27"/>
    </row>
    <row r="743" ht="15.75" customHeight="1">
      <c r="A743" s="27"/>
    </row>
    <row r="744" ht="15.75" customHeight="1">
      <c r="A744" s="27"/>
    </row>
    <row r="745" ht="15.75" customHeight="1">
      <c r="A745" s="27"/>
    </row>
    <row r="746" ht="15.75" customHeight="1">
      <c r="A746" s="27"/>
    </row>
    <row r="747" ht="15.75" customHeight="1">
      <c r="A747" s="27"/>
    </row>
    <row r="748" ht="15.75" customHeight="1">
      <c r="A748" s="27"/>
    </row>
    <row r="749" ht="15.75" customHeight="1">
      <c r="A749" s="27"/>
    </row>
    <row r="750" ht="15.75" customHeight="1">
      <c r="A750" s="27"/>
    </row>
    <row r="751" ht="15.75" customHeight="1">
      <c r="A751" s="27"/>
    </row>
    <row r="752" ht="15.75" customHeight="1">
      <c r="A752" s="27"/>
    </row>
    <row r="753" ht="15.75" customHeight="1">
      <c r="A753" s="27"/>
    </row>
    <row r="754" ht="15.75" customHeight="1">
      <c r="A754" s="27"/>
    </row>
    <row r="755" ht="15.75" customHeight="1">
      <c r="A755" s="27"/>
    </row>
    <row r="756" ht="15.75" customHeight="1">
      <c r="A756" s="27"/>
    </row>
    <row r="757" ht="15.75" customHeight="1">
      <c r="A757" s="27"/>
    </row>
    <row r="758" ht="15.75" customHeight="1">
      <c r="A758" s="27"/>
    </row>
    <row r="759" ht="15.75" customHeight="1">
      <c r="A759" s="27"/>
    </row>
    <row r="760" ht="15.75" customHeight="1">
      <c r="A760" s="27"/>
    </row>
    <row r="761" ht="15.75" customHeight="1">
      <c r="A761" s="27"/>
    </row>
    <row r="762" ht="15.75" customHeight="1">
      <c r="A762" s="27"/>
    </row>
    <row r="763" ht="15.75" customHeight="1">
      <c r="A763" s="27"/>
    </row>
    <row r="764" ht="15.75" customHeight="1">
      <c r="A764" s="27"/>
    </row>
    <row r="765" ht="15.75" customHeight="1">
      <c r="A765" s="27"/>
    </row>
    <row r="766" ht="15.75" customHeight="1">
      <c r="A766" s="27"/>
    </row>
    <row r="767" ht="15.75" customHeight="1">
      <c r="A767" s="27"/>
    </row>
    <row r="768" ht="15.75" customHeight="1">
      <c r="A768" s="27"/>
    </row>
    <row r="769" ht="15.75" customHeight="1">
      <c r="A769" s="27"/>
    </row>
    <row r="770" ht="15.75" customHeight="1">
      <c r="A770" s="27"/>
    </row>
    <row r="771" ht="15.75" customHeight="1">
      <c r="A771" s="27"/>
    </row>
    <row r="772" ht="15.75" customHeight="1">
      <c r="A772" s="27"/>
    </row>
    <row r="773" ht="15.75" customHeight="1">
      <c r="A773" s="27"/>
    </row>
    <row r="774" ht="15.75" customHeight="1">
      <c r="A774" s="27"/>
    </row>
    <row r="775" ht="15.75" customHeight="1">
      <c r="A775" s="27"/>
    </row>
    <row r="776" ht="15.75" customHeight="1">
      <c r="A776" s="27"/>
    </row>
    <row r="777" ht="15.75" customHeight="1">
      <c r="A777" s="27"/>
    </row>
    <row r="778" ht="15.75" customHeight="1">
      <c r="A778" s="27"/>
    </row>
    <row r="779" ht="15.75" customHeight="1">
      <c r="A779" s="27"/>
    </row>
    <row r="780" ht="15.75" customHeight="1">
      <c r="A780" s="27"/>
    </row>
    <row r="781" ht="15.75" customHeight="1">
      <c r="A781" s="27"/>
    </row>
    <row r="782" ht="15.75" customHeight="1">
      <c r="A782" s="27"/>
    </row>
    <row r="783" ht="15.75" customHeight="1">
      <c r="A783" s="27"/>
    </row>
    <row r="784" ht="15.75" customHeight="1">
      <c r="A784" s="27"/>
    </row>
    <row r="785" ht="15.75" customHeight="1">
      <c r="A785" s="27"/>
    </row>
    <row r="786" ht="15.75" customHeight="1">
      <c r="A786" s="27"/>
    </row>
    <row r="787" ht="15.75" customHeight="1">
      <c r="A787" s="27"/>
    </row>
    <row r="788" ht="15.75" customHeight="1">
      <c r="A788" s="27"/>
    </row>
    <row r="789" ht="15.75" customHeight="1">
      <c r="A789" s="27"/>
    </row>
    <row r="790" ht="15.75" customHeight="1">
      <c r="A790" s="27"/>
    </row>
    <row r="791" ht="15.75" customHeight="1">
      <c r="A791" s="27"/>
    </row>
    <row r="792" ht="15.75" customHeight="1">
      <c r="A792" s="27"/>
    </row>
    <row r="793" ht="15.75" customHeight="1">
      <c r="A793" s="27"/>
    </row>
    <row r="794" ht="15.75" customHeight="1">
      <c r="A794" s="27"/>
    </row>
    <row r="795" ht="15.75" customHeight="1">
      <c r="A795" s="27"/>
    </row>
    <row r="796" ht="15.75" customHeight="1">
      <c r="A796" s="27"/>
    </row>
    <row r="797" ht="15.75" customHeight="1">
      <c r="A797" s="27"/>
    </row>
    <row r="798" ht="15.75" customHeight="1">
      <c r="A798" s="27"/>
    </row>
    <row r="799" ht="15.75" customHeight="1">
      <c r="A799" s="27"/>
    </row>
    <row r="800" ht="15.75" customHeight="1">
      <c r="A800" s="27"/>
    </row>
    <row r="801" ht="15.75" customHeight="1">
      <c r="A801" s="27"/>
    </row>
    <row r="802" ht="15.75" customHeight="1">
      <c r="A802" s="27"/>
    </row>
    <row r="803" ht="15.75" customHeight="1">
      <c r="A803" s="27"/>
    </row>
    <row r="804" ht="15.75" customHeight="1">
      <c r="A804" s="27"/>
    </row>
    <row r="805" ht="15.75" customHeight="1">
      <c r="A805" s="27"/>
    </row>
    <row r="806" ht="15.75" customHeight="1">
      <c r="A806" s="27"/>
    </row>
    <row r="807" ht="15.75" customHeight="1">
      <c r="A807" s="27"/>
    </row>
    <row r="808" ht="15.75" customHeight="1">
      <c r="A808" s="27"/>
    </row>
    <row r="809" ht="15.75" customHeight="1">
      <c r="A809" s="27"/>
    </row>
    <row r="810" ht="15.75" customHeight="1">
      <c r="A810" s="27"/>
    </row>
    <row r="811" ht="15.75" customHeight="1">
      <c r="A811" s="27"/>
    </row>
    <row r="812" ht="15.75" customHeight="1">
      <c r="A812" s="27"/>
    </row>
    <row r="813" ht="15.75" customHeight="1">
      <c r="A813" s="27"/>
    </row>
    <row r="814" ht="15.75" customHeight="1">
      <c r="A814" s="27"/>
    </row>
    <row r="815" ht="15.75" customHeight="1">
      <c r="A815" s="27"/>
    </row>
    <row r="816" ht="15.75" customHeight="1">
      <c r="A816" s="27"/>
    </row>
    <row r="817" ht="15.75" customHeight="1">
      <c r="A817" s="27"/>
    </row>
    <row r="818" ht="15.75" customHeight="1">
      <c r="A818" s="27"/>
    </row>
    <row r="819" ht="15.75" customHeight="1">
      <c r="A819" s="27"/>
    </row>
    <row r="820" ht="15.75" customHeight="1">
      <c r="A820" s="27"/>
    </row>
    <row r="821" ht="15.75" customHeight="1">
      <c r="A821" s="27"/>
    </row>
    <row r="822" ht="15.75" customHeight="1">
      <c r="A822" s="27"/>
    </row>
    <row r="823" ht="15.75" customHeight="1">
      <c r="A823" s="27"/>
    </row>
    <row r="824" ht="15.75" customHeight="1">
      <c r="A824" s="27"/>
    </row>
    <row r="825" ht="15.75" customHeight="1">
      <c r="A825" s="27"/>
    </row>
    <row r="826" ht="15.75" customHeight="1">
      <c r="A826" s="27"/>
    </row>
    <row r="827" ht="15.75" customHeight="1">
      <c r="A827" s="27"/>
    </row>
    <row r="828" ht="15.75" customHeight="1">
      <c r="A828" s="27"/>
    </row>
    <row r="829" ht="15.75" customHeight="1">
      <c r="A829" s="27"/>
    </row>
    <row r="830" ht="15.75" customHeight="1">
      <c r="A830" s="27"/>
    </row>
    <row r="831" ht="15.75" customHeight="1">
      <c r="A831" s="27"/>
    </row>
    <row r="832" ht="15.75" customHeight="1">
      <c r="A832" s="27"/>
    </row>
    <row r="833" ht="15.75" customHeight="1">
      <c r="A833" s="27"/>
    </row>
    <row r="834" ht="15.75" customHeight="1">
      <c r="A834" s="27"/>
    </row>
    <row r="835" ht="15.75" customHeight="1">
      <c r="A835" s="27"/>
    </row>
    <row r="836" ht="15.75" customHeight="1">
      <c r="A836" s="27"/>
    </row>
    <row r="837" ht="15.75" customHeight="1">
      <c r="A837" s="27"/>
    </row>
    <row r="838" ht="15.75" customHeight="1">
      <c r="A838" s="27"/>
    </row>
    <row r="839" ht="15.75" customHeight="1">
      <c r="A839" s="27"/>
    </row>
    <row r="840" ht="15.75" customHeight="1">
      <c r="A840" s="27"/>
    </row>
    <row r="841" ht="15.75" customHeight="1">
      <c r="A841" s="27"/>
    </row>
    <row r="842" ht="15.75" customHeight="1">
      <c r="A842" s="27"/>
    </row>
    <row r="843" ht="15.75" customHeight="1">
      <c r="A843" s="27"/>
    </row>
    <row r="844" ht="15.75" customHeight="1">
      <c r="A844" s="27"/>
    </row>
    <row r="845" ht="15.75" customHeight="1">
      <c r="A845" s="27"/>
    </row>
    <row r="846" ht="15.75" customHeight="1">
      <c r="A846" s="27"/>
    </row>
    <row r="847" ht="15.75" customHeight="1">
      <c r="A847" s="27"/>
    </row>
    <row r="848" ht="15.75" customHeight="1">
      <c r="A848" s="27"/>
    </row>
    <row r="849" ht="15.75" customHeight="1">
      <c r="A849" s="27"/>
    </row>
    <row r="850" ht="15.75" customHeight="1">
      <c r="A850" s="27"/>
    </row>
    <row r="851" ht="15.75" customHeight="1">
      <c r="A851" s="27"/>
    </row>
    <row r="852" ht="15.75" customHeight="1">
      <c r="A852" s="27"/>
    </row>
    <row r="853" ht="15.75" customHeight="1">
      <c r="A853" s="27"/>
    </row>
    <row r="854" ht="15.75" customHeight="1">
      <c r="A854" s="27"/>
    </row>
    <row r="855" ht="15.75" customHeight="1">
      <c r="A855" s="27"/>
    </row>
    <row r="856" ht="15.75" customHeight="1">
      <c r="A856" s="27"/>
    </row>
    <row r="857" ht="15.75" customHeight="1">
      <c r="A857" s="27"/>
    </row>
    <row r="858" ht="15.75" customHeight="1">
      <c r="A858" s="27"/>
    </row>
    <row r="859" ht="15.75" customHeight="1">
      <c r="A859" s="27"/>
    </row>
    <row r="860" ht="15.75" customHeight="1">
      <c r="A860" s="27"/>
    </row>
    <row r="861" ht="15.75" customHeight="1">
      <c r="A861" s="27"/>
    </row>
    <row r="862" ht="15.75" customHeight="1">
      <c r="A862" s="27"/>
    </row>
    <row r="863" ht="15.75" customHeight="1">
      <c r="A863" s="27"/>
    </row>
    <row r="864" ht="15.75" customHeight="1">
      <c r="A864" s="27"/>
    </row>
    <row r="865" ht="15.75" customHeight="1">
      <c r="A865" s="27"/>
    </row>
    <row r="866" ht="15.75" customHeight="1">
      <c r="A866" s="27"/>
    </row>
    <row r="867" ht="15.75" customHeight="1">
      <c r="A867" s="27"/>
    </row>
    <row r="868" ht="15.75" customHeight="1">
      <c r="A868" s="27"/>
    </row>
    <row r="869" ht="15.75" customHeight="1">
      <c r="A869" s="27"/>
    </row>
    <row r="870" ht="15.75" customHeight="1">
      <c r="A870" s="27"/>
    </row>
    <row r="871" ht="15.75" customHeight="1">
      <c r="A871" s="27"/>
    </row>
    <row r="872" ht="15.75" customHeight="1">
      <c r="A872" s="27"/>
    </row>
    <row r="873" ht="15.75" customHeight="1">
      <c r="A873" s="27"/>
    </row>
    <row r="874" ht="15.75" customHeight="1">
      <c r="A874" s="27"/>
    </row>
    <row r="875" ht="15.75" customHeight="1">
      <c r="A875" s="27"/>
    </row>
    <row r="876" ht="15.75" customHeight="1">
      <c r="A876" s="27"/>
    </row>
    <row r="877" ht="15.75" customHeight="1">
      <c r="A877" s="27"/>
    </row>
    <row r="878" ht="15.75" customHeight="1">
      <c r="A878" s="27"/>
    </row>
    <row r="879" ht="15.75" customHeight="1">
      <c r="A879" s="27"/>
    </row>
    <row r="880" ht="15.75" customHeight="1">
      <c r="A880" s="27"/>
    </row>
    <row r="881" ht="15.75" customHeight="1">
      <c r="A881" s="27"/>
    </row>
    <row r="882" ht="15.75" customHeight="1">
      <c r="A882" s="27"/>
    </row>
    <row r="883" ht="15.75" customHeight="1">
      <c r="A883" s="27"/>
    </row>
    <row r="884" ht="15.75" customHeight="1">
      <c r="A884" s="27"/>
    </row>
    <row r="885" ht="15.75" customHeight="1">
      <c r="A885" s="27"/>
    </row>
    <row r="886" ht="15.75" customHeight="1">
      <c r="A886" s="27"/>
    </row>
    <row r="887" ht="15.75" customHeight="1">
      <c r="A887" s="27"/>
    </row>
    <row r="888" ht="15.75" customHeight="1">
      <c r="A888" s="27"/>
    </row>
    <row r="889" ht="15.75" customHeight="1">
      <c r="A889" s="27"/>
    </row>
    <row r="890" ht="15.75" customHeight="1">
      <c r="A890" s="27"/>
    </row>
    <row r="891" ht="15.75" customHeight="1">
      <c r="A891" s="27"/>
    </row>
    <row r="892" ht="15.75" customHeight="1">
      <c r="A892" s="27"/>
    </row>
    <row r="893" ht="15.75" customHeight="1">
      <c r="A893" s="27"/>
    </row>
    <row r="894" ht="15.75" customHeight="1">
      <c r="A894" s="27"/>
    </row>
    <row r="895" ht="15.75" customHeight="1">
      <c r="A895" s="27"/>
    </row>
    <row r="896" ht="15.75" customHeight="1">
      <c r="A896" s="27"/>
    </row>
    <row r="897" ht="15.75" customHeight="1">
      <c r="A897" s="27"/>
    </row>
    <row r="898" ht="15.75" customHeight="1">
      <c r="A898" s="27"/>
    </row>
    <row r="899" ht="15.75" customHeight="1">
      <c r="A899" s="27"/>
    </row>
    <row r="900" ht="15.75" customHeight="1">
      <c r="A900" s="27"/>
    </row>
    <row r="901" ht="15.75" customHeight="1">
      <c r="A901" s="27"/>
    </row>
    <row r="902" ht="15.75" customHeight="1">
      <c r="A902" s="27"/>
    </row>
    <row r="903" ht="15.75" customHeight="1">
      <c r="A903" s="27"/>
    </row>
    <row r="904" ht="15.75" customHeight="1">
      <c r="A904" s="27"/>
    </row>
    <row r="905" ht="15.75" customHeight="1">
      <c r="A905" s="27"/>
    </row>
    <row r="906" ht="15.75" customHeight="1">
      <c r="A906" s="27"/>
    </row>
    <row r="907" ht="15.75" customHeight="1">
      <c r="A907" s="27"/>
    </row>
    <row r="908" ht="15.75" customHeight="1">
      <c r="A908" s="27"/>
    </row>
    <row r="909" ht="15.75" customHeight="1">
      <c r="A909" s="27"/>
    </row>
    <row r="910" ht="15.75" customHeight="1">
      <c r="A910" s="27"/>
    </row>
    <row r="911" ht="15.75" customHeight="1">
      <c r="A911" s="27"/>
    </row>
    <row r="912" ht="15.75" customHeight="1">
      <c r="A912" s="27"/>
    </row>
    <row r="913" ht="15.75" customHeight="1">
      <c r="A913" s="27"/>
    </row>
    <row r="914" ht="15.75" customHeight="1">
      <c r="A914" s="27"/>
    </row>
    <row r="915" ht="15.75" customHeight="1">
      <c r="A915" s="27"/>
    </row>
    <row r="916" ht="15.75" customHeight="1">
      <c r="A916" s="27"/>
    </row>
    <row r="917" ht="15.75" customHeight="1">
      <c r="A917" s="27"/>
    </row>
    <row r="918" ht="15.75" customHeight="1">
      <c r="A918" s="27"/>
    </row>
    <row r="919" ht="15.75" customHeight="1">
      <c r="A919" s="27"/>
    </row>
    <row r="920" ht="15.75" customHeight="1">
      <c r="A920" s="27"/>
    </row>
    <row r="921" ht="15.75" customHeight="1">
      <c r="A921" s="27"/>
    </row>
    <row r="922" ht="15.75" customHeight="1">
      <c r="A922" s="27"/>
    </row>
    <row r="923" ht="15.75" customHeight="1">
      <c r="A923" s="27"/>
    </row>
    <row r="924" ht="15.75" customHeight="1">
      <c r="A924" s="27"/>
    </row>
    <row r="925" ht="15.75" customHeight="1">
      <c r="A925" s="27"/>
    </row>
    <row r="926" ht="15.75" customHeight="1">
      <c r="A926" s="27"/>
    </row>
    <row r="927" ht="15.75" customHeight="1">
      <c r="A927" s="27"/>
    </row>
    <row r="928" ht="15.75" customHeight="1">
      <c r="A928" s="27"/>
    </row>
    <row r="929" ht="15.75" customHeight="1">
      <c r="A929" s="27"/>
    </row>
    <row r="930" ht="15.75" customHeight="1">
      <c r="A930" s="27"/>
    </row>
    <row r="931" ht="15.75" customHeight="1">
      <c r="A931" s="27"/>
    </row>
    <row r="932" ht="15.75" customHeight="1">
      <c r="A932" s="27"/>
    </row>
    <row r="933" ht="15.75" customHeight="1">
      <c r="A933" s="27"/>
    </row>
    <row r="934" ht="15.75" customHeight="1">
      <c r="A934" s="27"/>
    </row>
    <row r="935" ht="15.75" customHeight="1">
      <c r="A935" s="27"/>
    </row>
    <row r="936" ht="15.75" customHeight="1">
      <c r="A936" s="27"/>
    </row>
    <row r="937" ht="15.75" customHeight="1">
      <c r="A937" s="27"/>
    </row>
    <row r="938" ht="15.75" customHeight="1">
      <c r="A938" s="27"/>
    </row>
    <row r="939" ht="15.75" customHeight="1">
      <c r="A939" s="27"/>
    </row>
    <row r="940" ht="15.75" customHeight="1">
      <c r="A940" s="27"/>
    </row>
    <row r="941" ht="15.75" customHeight="1">
      <c r="A941" s="27"/>
    </row>
    <row r="942" ht="15.75" customHeight="1">
      <c r="A942" s="27"/>
    </row>
    <row r="943" ht="15.75" customHeight="1">
      <c r="A943" s="27"/>
    </row>
    <row r="944" ht="15.75" customHeight="1">
      <c r="A944" s="27"/>
    </row>
    <row r="945" ht="15.75" customHeight="1">
      <c r="A945" s="27"/>
    </row>
    <row r="946" ht="15.75" customHeight="1">
      <c r="A946" s="27"/>
    </row>
    <row r="947" ht="15.75" customHeight="1">
      <c r="A947" s="27"/>
    </row>
    <row r="948" ht="15.75" customHeight="1">
      <c r="A948" s="27"/>
    </row>
    <row r="949" ht="15.75" customHeight="1">
      <c r="A949" s="27"/>
    </row>
    <row r="950" ht="15.75" customHeight="1">
      <c r="A950" s="27"/>
    </row>
    <row r="951" ht="15.75" customHeight="1">
      <c r="A951" s="27"/>
    </row>
    <row r="952" ht="15.75" customHeight="1">
      <c r="A952" s="27"/>
    </row>
    <row r="953" ht="15.75" customHeight="1">
      <c r="A953" s="27"/>
    </row>
    <row r="954" ht="15.75" customHeight="1">
      <c r="A954" s="27"/>
    </row>
    <row r="955" ht="15.75" customHeight="1">
      <c r="A955" s="27"/>
    </row>
    <row r="956" ht="15.75" customHeight="1">
      <c r="A956" s="27"/>
    </row>
    <row r="957" ht="15.75" customHeight="1">
      <c r="A957" s="27"/>
    </row>
    <row r="958" ht="15.75" customHeight="1">
      <c r="A958" s="27"/>
    </row>
    <row r="959" ht="15.75" customHeight="1">
      <c r="A959" s="27"/>
    </row>
    <row r="960" ht="15.75" customHeight="1">
      <c r="A960" s="27"/>
    </row>
    <row r="961" ht="15.75" customHeight="1">
      <c r="A961" s="27"/>
    </row>
    <row r="962" ht="15.75" customHeight="1">
      <c r="A962" s="27"/>
    </row>
    <row r="963" ht="15.75" customHeight="1">
      <c r="A963" s="27"/>
    </row>
    <row r="964" ht="15.75" customHeight="1">
      <c r="A964" s="27"/>
    </row>
    <row r="965" ht="15.75" customHeight="1">
      <c r="A965" s="27"/>
    </row>
    <row r="966" ht="15.75" customHeight="1">
      <c r="A966" s="27"/>
    </row>
    <row r="967" ht="15.75" customHeight="1">
      <c r="A967" s="27"/>
    </row>
    <row r="968" ht="15.75" customHeight="1">
      <c r="A968" s="27"/>
    </row>
    <row r="969" ht="15.75" customHeight="1">
      <c r="A969" s="27"/>
    </row>
    <row r="970" ht="15.75" customHeight="1">
      <c r="A970" s="27"/>
    </row>
    <row r="971" ht="15.75" customHeight="1">
      <c r="A971" s="27"/>
    </row>
    <row r="972" ht="15.75" customHeight="1">
      <c r="A972" s="27"/>
    </row>
    <row r="973" ht="15.75" customHeight="1">
      <c r="A973" s="27"/>
    </row>
    <row r="974" ht="15.75" customHeight="1">
      <c r="A974" s="27"/>
    </row>
    <row r="975" ht="15.75" customHeight="1">
      <c r="A975" s="27"/>
    </row>
    <row r="976" ht="15.75" customHeight="1">
      <c r="A976" s="27"/>
    </row>
    <row r="977" ht="15.75" customHeight="1">
      <c r="A977" s="27"/>
    </row>
    <row r="978" ht="15.75" customHeight="1">
      <c r="A978" s="27"/>
    </row>
    <row r="979" ht="15.75" customHeight="1">
      <c r="A979" s="27"/>
    </row>
    <row r="980" ht="15.75" customHeight="1">
      <c r="A980" s="27"/>
    </row>
    <row r="981" ht="15.75" customHeight="1">
      <c r="A981" s="27"/>
    </row>
    <row r="982" ht="15.75" customHeight="1">
      <c r="A982" s="27"/>
    </row>
    <row r="983" ht="15.75" customHeight="1">
      <c r="A983" s="27"/>
    </row>
    <row r="984" ht="15.75" customHeight="1">
      <c r="A984" s="27"/>
    </row>
    <row r="985" ht="15.75" customHeight="1">
      <c r="A985" s="27"/>
    </row>
    <row r="986" ht="15.75" customHeight="1">
      <c r="A986" s="27"/>
    </row>
    <row r="987" ht="15.75" customHeight="1">
      <c r="A987" s="27"/>
    </row>
    <row r="988" ht="15.75" customHeight="1">
      <c r="A988" s="27"/>
    </row>
    <row r="989" ht="15.75" customHeight="1">
      <c r="A989" s="27"/>
    </row>
    <row r="990" ht="15.75" customHeight="1">
      <c r="A990" s="27"/>
    </row>
    <row r="991" ht="15.75" customHeight="1">
      <c r="A991" s="27"/>
    </row>
    <row r="992" ht="15.75" customHeight="1">
      <c r="A992" s="27"/>
    </row>
    <row r="993" ht="15.75" customHeight="1">
      <c r="A993" s="27"/>
    </row>
    <row r="994" ht="15.75" customHeight="1">
      <c r="A994" s="27"/>
    </row>
    <row r="995" ht="15.75" customHeight="1">
      <c r="A995" s="27"/>
    </row>
    <row r="996" ht="15.75" customHeight="1">
      <c r="A996" s="27"/>
    </row>
    <row r="997" ht="15.75" customHeight="1">
      <c r="A997" s="27"/>
    </row>
    <row r="998" ht="15.75" customHeight="1">
      <c r="A998" s="27"/>
    </row>
    <row r="999" ht="15.75" customHeight="1">
      <c r="A999" s="27"/>
    </row>
    <row r="1000" ht="15.75" customHeight="1">
      <c r="A1000" s="2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13.25"/>
    <col customWidth="1" min="3" max="3" width="21.0"/>
    <col customWidth="1" min="4" max="4" width="21.88"/>
    <col customWidth="1" min="5" max="26" width="11.0"/>
  </cols>
  <sheetData>
    <row r="1" ht="78.75" customHeight="1">
      <c r="A1" s="2" t="s">
        <v>451</v>
      </c>
      <c r="B1" s="2" t="s">
        <v>10</v>
      </c>
      <c r="C1" s="2" t="s">
        <v>4</v>
      </c>
      <c r="D1" s="2" t="s">
        <v>9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1">
        <v>1.0</v>
      </c>
      <c r="B2" s="1" t="s">
        <v>13</v>
      </c>
      <c r="C2" s="6">
        <v>3.3449428233438496</v>
      </c>
      <c r="D2" s="6">
        <v>4.296725199439409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1">
        <v>2.0</v>
      </c>
      <c r="B3" s="1" t="s">
        <v>17</v>
      </c>
      <c r="C3" s="6">
        <v>4.957262401669609</v>
      </c>
      <c r="D3" s="6">
        <v>4.222641461419178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1">
        <v>3.0</v>
      </c>
      <c r="B4" s="1" t="s">
        <v>19</v>
      </c>
      <c r="C4" s="6">
        <v>3.5022025619758534</v>
      </c>
      <c r="D4" s="6">
        <v>4.591770727693459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1">
        <v>4.0</v>
      </c>
      <c r="B5" s="1" t="s">
        <v>22</v>
      </c>
      <c r="C5" s="6">
        <v>1.930287579033245</v>
      </c>
      <c r="D5" s="6">
        <v>2.9370831790765997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1">
        <v>5.0</v>
      </c>
      <c r="B6" s="1" t="s">
        <v>267</v>
      </c>
      <c r="C6" s="6">
        <v>3.2436796823295824</v>
      </c>
      <c r="D6" s="6">
        <v>2.2328957232418274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">
        <v>6.0</v>
      </c>
      <c r="B7" s="1" t="s">
        <v>27</v>
      </c>
      <c r="C7" s="6">
        <v>1.8483977900552482</v>
      </c>
      <c r="D7" s="6">
        <v>3.0803069327367902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1">
        <v>7.0</v>
      </c>
      <c r="B8" s="1" t="s">
        <v>29</v>
      </c>
      <c r="C8" s="6">
        <v>4.027387694125005</v>
      </c>
      <c r="D8" s="6">
        <v>3.821647853078888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1">
        <v>8.0</v>
      </c>
      <c r="B9" s="1" t="s">
        <v>31</v>
      </c>
      <c r="C9" s="6">
        <v>4.040075140889168</v>
      </c>
      <c r="D9" s="6">
        <v>2.989796479736967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1">
        <v>9.0</v>
      </c>
      <c r="B10" s="1" t="s">
        <v>33</v>
      </c>
      <c r="C10" s="6">
        <v>1.8776273022751897</v>
      </c>
      <c r="D10" s="6">
        <v>3.9720008696048925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1">
        <v>10.0</v>
      </c>
      <c r="B11" s="1" t="s">
        <v>36</v>
      </c>
      <c r="C11" s="31">
        <v>1.1794004207573632</v>
      </c>
      <c r="D11" s="6">
        <v>2.3590446358653097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1">
        <v>11.0</v>
      </c>
      <c r="B12" s="1" t="s">
        <v>37</v>
      </c>
      <c r="C12" s="6">
        <v>3.8060954171324046</v>
      </c>
      <c r="D12" s="6">
        <v>3.8074069857617743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13.25"/>
    <col customWidth="1" min="3" max="3" width="18.38"/>
    <col customWidth="1" min="4" max="4" width="17.25"/>
    <col customWidth="1" min="5" max="26" width="11.0"/>
  </cols>
  <sheetData>
    <row r="1" ht="14.25" customHeight="1">
      <c r="A1" s="2" t="s">
        <v>451</v>
      </c>
      <c r="B1" s="2" t="s">
        <v>10</v>
      </c>
      <c r="C1" s="2" t="s">
        <v>5</v>
      </c>
      <c r="D1" s="2" t="s">
        <v>7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1">
        <v>1.0</v>
      </c>
      <c r="B2" s="1" t="s">
        <v>13</v>
      </c>
      <c r="C2" s="7">
        <v>339.3110000000001</v>
      </c>
      <c r="D2" s="7">
        <v>862.7300000000002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1">
        <v>2.0</v>
      </c>
      <c r="B3" s="1" t="s">
        <v>17</v>
      </c>
      <c r="C3" s="7">
        <v>2470.3029999999994</v>
      </c>
      <c r="D3" s="7">
        <v>4546.570000000001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1">
        <v>3.0</v>
      </c>
      <c r="B4" s="1" t="s">
        <v>19</v>
      </c>
      <c r="C4" s="7">
        <v>1140.0719999999997</v>
      </c>
      <c r="D4" s="7">
        <v>2995.550000000001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1">
        <v>4.0</v>
      </c>
      <c r="B5" s="1" t="s">
        <v>22</v>
      </c>
      <c r="C5" s="7">
        <v>189.284</v>
      </c>
      <c r="D5" s="7">
        <v>560.1000000000003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1">
        <v>5.0</v>
      </c>
      <c r="B6" s="1" t="s">
        <v>267</v>
      </c>
      <c r="C6" s="7">
        <v>490.11999999999995</v>
      </c>
      <c r="D6" s="7">
        <v>862.8799999999998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">
        <v>6.0</v>
      </c>
      <c r="B7" s="1" t="s">
        <v>27</v>
      </c>
      <c r="C7" s="7">
        <v>250.91999999999996</v>
      </c>
      <c r="D7" s="7">
        <v>771.51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1">
        <v>7.0</v>
      </c>
      <c r="B8" s="1" t="s">
        <v>29</v>
      </c>
      <c r="C8" s="7">
        <v>2318.406</v>
      </c>
      <c r="D8" s="7">
        <v>5285.3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1">
        <v>8.0</v>
      </c>
      <c r="B9" s="1" t="s">
        <v>31</v>
      </c>
      <c r="C9" s="7">
        <v>258.08000000000004</v>
      </c>
      <c r="D9" s="7">
        <v>461.93999999999994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1">
        <v>9.0</v>
      </c>
      <c r="B10" s="1" t="s">
        <v>33</v>
      </c>
      <c r="C10" s="7">
        <v>34.661</v>
      </c>
      <c r="D10" s="7">
        <v>147.98999999999998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1">
        <v>10.0</v>
      </c>
      <c r="B11" s="1" t="s">
        <v>36</v>
      </c>
      <c r="C11" s="7">
        <v>67.273</v>
      </c>
      <c r="D11" s="7">
        <v>257.87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1">
        <v>11.0</v>
      </c>
      <c r="B12" s="1" t="s">
        <v>37</v>
      </c>
      <c r="C12" s="7">
        <v>7491.156999999999</v>
      </c>
      <c r="D12" s="7">
        <v>16494.570000000003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24.38"/>
    <col customWidth="1" min="3" max="8" width="12.88"/>
    <col customWidth="1" min="9" max="10" width="8.0"/>
    <col customWidth="1" min="11" max="11" width="23.88"/>
    <col customWidth="1" min="12" max="26" width="8.0"/>
  </cols>
  <sheetData>
    <row r="1" ht="30.75" customHeight="1">
      <c r="A1" s="32" t="s">
        <v>452</v>
      </c>
      <c r="B1" s="32" t="s">
        <v>453</v>
      </c>
      <c r="C1" s="33" t="s">
        <v>454</v>
      </c>
      <c r="D1" s="33" t="s">
        <v>455</v>
      </c>
      <c r="E1" s="34" t="s">
        <v>456</v>
      </c>
      <c r="F1" s="34" t="s">
        <v>457</v>
      </c>
      <c r="G1" s="35" t="s">
        <v>458</v>
      </c>
      <c r="H1" s="35" t="s">
        <v>459</v>
      </c>
      <c r="I1" s="36" t="s">
        <v>460</v>
      </c>
      <c r="J1" s="36" t="s">
        <v>461</v>
      </c>
      <c r="K1" s="37" t="s">
        <v>462</v>
      </c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ht="14.25" customHeight="1">
      <c r="A2" s="22">
        <v>8.0</v>
      </c>
      <c r="B2" s="2" t="s">
        <v>463</v>
      </c>
      <c r="C2" s="22">
        <v>100.0</v>
      </c>
      <c r="D2" s="22">
        <v>10.0</v>
      </c>
      <c r="E2" s="22">
        <v>10.0</v>
      </c>
      <c r="F2" s="22">
        <v>5.0</v>
      </c>
      <c r="G2" s="22">
        <v>5.0</v>
      </c>
      <c r="H2" s="22">
        <v>2.5</v>
      </c>
      <c r="I2" s="22">
        <v>2.5</v>
      </c>
      <c r="J2" s="22">
        <v>0.0</v>
      </c>
      <c r="K2" s="39" t="s">
        <v>464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3"/>
      <c r="C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3"/>
      <c r="C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11" max="26" width="12.63"/>
  </cols>
  <sheetData>
    <row r="1" ht="15.0" customHeight="1">
      <c r="A1" s="2" t="s">
        <v>465</v>
      </c>
      <c r="B1" s="2" t="s">
        <v>466</v>
      </c>
      <c r="C1" s="40" t="s">
        <v>467</v>
      </c>
      <c r="D1" s="2" t="s">
        <v>468</v>
      </c>
      <c r="E1" s="40" t="s">
        <v>469</v>
      </c>
      <c r="F1" s="2" t="s">
        <v>468</v>
      </c>
      <c r="K1" s="41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15.0" customHeight="1">
      <c r="A2" s="43">
        <v>10101.0</v>
      </c>
      <c r="B2" s="43" t="s">
        <v>15</v>
      </c>
      <c r="C2" s="6">
        <v>5.1</v>
      </c>
      <c r="D2" s="44" t="str">
        <f t="shared" ref="D2:D344" si="1">IF(C2&lt;=0.11,"Rojo",
   IF(C2&lt;=2.4,"Naranja",
   IF(C2&lt;=4.68,"Amarillo","Verde")))</f>
        <v>Verde</v>
      </c>
      <c r="E2" s="45">
        <v>7.490337213485833</v>
      </c>
      <c r="F2" s="44" t="str">
        <f t="shared" ref="F2:F344" si="2">IF(E2&lt;=0.11,"Rojo",
   IF(E2&lt;=2.4,"Naranja",
   IF(E2&lt;=4.68,"Amarillo","Verde")))</f>
        <v>Verde</v>
      </c>
      <c r="K2" s="2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43">
        <v>10102.0</v>
      </c>
      <c r="B3" s="43" t="s">
        <v>16</v>
      </c>
      <c r="C3" s="6">
        <v>0.9</v>
      </c>
      <c r="D3" s="44" t="str">
        <f t="shared" si="1"/>
        <v>Naranja</v>
      </c>
      <c r="E3" s="45">
        <v>2.678644012681896</v>
      </c>
      <c r="F3" s="44" t="str">
        <f t="shared" si="2"/>
        <v>Amarillo</v>
      </c>
      <c r="K3" s="24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43">
        <v>10103.0</v>
      </c>
      <c r="B4" s="43" t="s">
        <v>18</v>
      </c>
      <c r="C4" s="6">
        <v>0.4</v>
      </c>
      <c r="D4" s="44" t="str">
        <f t="shared" si="1"/>
        <v>Naranja</v>
      </c>
      <c r="E4" s="45">
        <v>0.9841084706225398</v>
      </c>
      <c r="F4" s="44" t="str">
        <f t="shared" si="2"/>
        <v>Naranja</v>
      </c>
      <c r="K4" s="2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43">
        <v>10201.0</v>
      </c>
      <c r="B5" s="43" t="s">
        <v>20</v>
      </c>
      <c r="C5" s="6">
        <v>0.5</v>
      </c>
      <c r="D5" s="44" t="str">
        <f t="shared" si="1"/>
        <v>Naranja</v>
      </c>
      <c r="E5" s="45">
        <v>1.2726231890439914</v>
      </c>
      <c r="F5" s="44" t="str">
        <f t="shared" si="2"/>
        <v>Naranja</v>
      </c>
      <c r="K5" s="24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43">
        <v>10202.0</v>
      </c>
      <c r="B6" s="43" t="s">
        <v>23</v>
      </c>
      <c r="C6" s="6">
        <v>0.7</v>
      </c>
      <c r="D6" s="44" t="str">
        <f t="shared" si="1"/>
        <v>Naranja</v>
      </c>
      <c r="E6" s="45">
        <v>1.1880705177339559</v>
      </c>
      <c r="F6" s="44" t="str">
        <f t="shared" si="2"/>
        <v>Naranja</v>
      </c>
      <c r="K6" s="24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43">
        <v>10301.0</v>
      </c>
      <c r="B7" s="43" t="s">
        <v>25</v>
      </c>
      <c r="C7" s="6">
        <v>12.7</v>
      </c>
      <c r="D7" s="44" t="str">
        <f t="shared" si="1"/>
        <v>Verde</v>
      </c>
      <c r="E7" s="45">
        <v>8.054758396028852</v>
      </c>
      <c r="F7" s="44" t="str">
        <f t="shared" si="2"/>
        <v>Verde</v>
      </c>
      <c r="K7" s="24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43">
        <v>10302.0</v>
      </c>
      <c r="B8" s="43" t="s">
        <v>28</v>
      </c>
      <c r="C8" s="6">
        <v>0.5</v>
      </c>
      <c r="D8" s="44" t="str">
        <f t="shared" si="1"/>
        <v>Naranja</v>
      </c>
      <c r="E8" s="45">
        <v>1.3436739110830553</v>
      </c>
      <c r="F8" s="44" t="str">
        <f t="shared" si="2"/>
        <v>Naranja</v>
      </c>
      <c r="K8" s="24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43">
        <v>10303.0</v>
      </c>
      <c r="B9" s="43" t="s">
        <v>470</v>
      </c>
      <c r="C9" s="6">
        <v>0.9</v>
      </c>
      <c r="D9" s="44" t="str">
        <f t="shared" si="1"/>
        <v>Naranja</v>
      </c>
      <c r="E9" s="45">
        <v>1.6048387096774193</v>
      </c>
      <c r="F9" s="44" t="str">
        <f t="shared" si="2"/>
        <v>Naranja</v>
      </c>
      <c r="K9" s="24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43">
        <v>10304.0</v>
      </c>
      <c r="B10" s="43" t="s">
        <v>32</v>
      </c>
      <c r="C10" s="6">
        <v>0.9</v>
      </c>
      <c r="D10" s="44" t="str">
        <f t="shared" si="1"/>
        <v>Naranja</v>
      </c>
      <c r="E10" s="45">
        <v>2.601047904191617</v>
      </c>
      <c r="F10" s="44" t="str">
        <f t="shared" si="2"/>
        <v>Amarillo</v>
      </c>
      <c r="K10" s="24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43">
        <v>10401.0</v>
      </c>
      <c r="B11" s="43" t="s">
        <v>35</v>
      </c>
      <c r="C11" s="6">
        <v>0.5</v>
      </c>
      <c r="D11" s="44" t="str">
        <f t="shared" si="1"/>
        <v>Naranja</v>
      </c>
      <c r="E11" s="45">
        <v>2.7936161505933708</v>
      </c>
      <c r="F11" s="44" t="str">
        <f t="shared" si="2"/>
        <v>Amarillo</v>
      </c>
      <c r="K11" s="24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43">
        <v>10402.0</v>
      </c>
      <c r="B12" s="43" t="s">
        <v>34</v>
      </c>
      <c r="C12" s="6">
        <v>1.1</v>
      </c>
      <c r="D12" s="44" t="str">
        <f t="shared" si="1"/>
        <v>Naranja</v>
      </c>
      <c r="E12" s="45">
        <v>2.521191045424908</v>
      </c>
      <c r="F12" s="44" t="str">
        <f t="shared" si="2"/>
        <v>Amarillo</v>
      </c>
      <c r="K12" s="24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43">
        <v>10403.0</v>
      </c>
      <c r="B13" s="43" t="s">
        <v>38</v>
      </c>
      <c r="C13" s="6">
        <v>0.8</v>
      </c>
      <c r="D13" s="44" t="str">
        <f t="shared" si="1"/>
        <v>Naranja</v>
      </c>
      <c r="E13" s="45">
        <v>1.9390581717451523</v>
      </c>
      <c r="F13" s="44" t="str">
        <f t="shared" si="2"/>
        <v>Naranja</v>
      </c>
      <c r="K13" s="24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43">
        <v>10404.0</v>
      </c>
      <c r="B14" s="43" t="s">
        <v>471</v>
      </c>
      <c r="C14" s="6">
        <v>1.0</v>
      </c>
      <c r="D14" s="44" t="str">
        <f t="shared" si="1"/>
        <v>Naranja</v>
      </c>
      <c r="E14" s="45">
        <v>3.6850477200424177</v>
      </c>
      <c r="F14" s="44" t="str">
        <f t="shared" si="2"/>
        <v>Amarillo</v>
      </c>
      <c r="K14" s="24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43">
        <v>10405.0</v>
      </c>
      <c r="B15" s="43" t="s">
        <v>40</v>
      </c>
      <c r="C15" s="6">
        <v>0.5</v>
      </c>
      <c r="D15" s="44" t="str">
        <f t="shared" si="1"/>
        <v>Naranja</v>
      </c>
      <c r="E15" s="45">
        <v>1.1048586329947847</v>
      </c>
      <c r="F15" s="44" t="str">
        <f t="shared" si="2"/>
        <v>Naranja</v>
      </c>
      <c r="K15" s="24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43">
        <v>10501.0</v>
      </c>
      <c r="B16" s="43" t="s">
        <v>42</v>
      </c>
      <c r="C16" s="6">
        <v>4.9</v>
      </c>
      <c r="D16" s="44" t="str">
        <f t="shared" si="1"/>
        <v>Verde</v>
      </c>
      <c r="E16" s="45">
        <v>4.748515300911624</v>
      </c>
      <c r="F16" s="44" t="str">
        <f t="shared" si="2"/>
        <v>Verde</v>
      </c>
      <c r="K16" s="24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43">
        <v>10502.0</v>
      </c>
      <c r="B17" s="43" t="s">
        <v>472</v>
      </c>
      <c r="C17" s="6">
        <v>0.6</v>
      </c>
      <c r="D17" s="44" t="str">
        <f t="shared" si="1"/>
        <v>Naranja</v>
      </c>
      <c r="E17" s="45">
        <v>1.7953940153532824</v>
      </c>
      <c r="F17" s="44" t="str">
        <f t="shared" si="2"/>
        <v>Naranja</v>
      </c>
      <c r="K17" s="24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43">
        <v>10601.0</v>
      </c>
      <c r="B18" s="43" t="s">
        <v>45</v>
      </c>
      <c r="C18" s="6">
        <v>0.6</v>
      </c>
      <c r="D18" s="44" t="str">
        <f t="shared" si="1"/>
        <v>Naranja</v>
      </c>
      <c r="E18" s="45">
        <v>5.2602076941232</v>
      </c>
      <c r="F18" s="44" t="str">
        <f t="shared" si="2"/>
        <v>Verde</v>
      </c>
      <c r="K18" s="24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43">
        <v>10602.0</v>
      </c>
      <c r="B19" s="43" t="s">
        <v>44</v>
      </c>
      <c r="C19" s="6">
        <v>0.5</v>
      </c>
      <c r="D19" s="44" t="str">
        <f t="shared" si="1"/>
        <v>Naranja</v>
      </c>
      <c r="E19" s="45">
        <v>1.4521452145214522</v>
      </c>
      <c r="F19" s="44" t="str">
        <f t="shared" si="2"/>
        <v>Naranja</v>
      </c>
      <c r="K19" s="24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43">
        <v>10701.0</v>
      </c>
      <c r="B20" s="43" t="s">
        <v>47</v>
      </c>
      <c r="C20" s="6">
        <v>8.4</v>
      </c>
      <c r="D20" s="44" t="str">
        <f t="shared" si="1"/>
        <v>Verde</v>
      </c>
      <c r="E20" s="45">
        <v>4.4004944375772554</v>
      </c>
      <c r="F20" s="44" t="str">
        <f t="shared" si="2"/>
        <v>Amarillo</v>
      </c>
      <c r="K20" s="24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43">
        <v>10702.0</v>
      </c>
      <c r="B21" s="43" t="s">
        <v>48</v>
      </c>
      <c r="C21" s="6">
        <v>0.4</v>
      </c>
      <c r="D21" s="44" t="str">
        <f t="shared" si="1"/>
        <v>Naranja</v>
      </c>
      <c r="E21" s="45">
        <v>0.6780663188914426</v>
      </c>
      <c r="F21" s="44" t="str">
        <f t="shared" si="2"/>
        <v>Naranja</v>
      </c>
      <c r="K21" s="24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43">
        <v>10703.0</v>
      </c>
      <c r="B22" s="43" t="s">
        <v>49</v>
      </c>
      <c r="C22" s="6">
        <v>0.2</v>
      </c>
      <c r="D22" s="44" t="str">
        <f t="shared" si="1"/>
        <v>Naranja</v>
      </c>
      <c r="E22" s="45">
        <v>1.136761105281567</v>
      </c>
      <c r="F22" s="44" t="str">
        <f t="shared" si="2"/>
        <v>Naranja</v>
      </c>
      <c r="K22" s="24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0" customHeight="1">
      <c r="A23" s="43">
        <v>10704.0</v>
      </c>
      <c r="B23" s="43" t="s">
        <v>50</v>
      </c>
      <c r="C23" s="6">
        <v>0.4</v>
      </c>
      <c r="D23" s="44" t="str">
        <f t="shared" si="1"/>
        <v>Naranja</v>
      </c>
      <c r="E23" s="45">
        <v>0.9562886734389995</v>
      </c>
      <c r="F23" s="44" t="str">
        <f t="shared" si="2"/>
        <v>Naranja</v>
      </c>
      <c r="K23" s="24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3">
        <v>10801.0</v>
      </c>
      <c r="B24" s="43" t="s">
        <v>52</v>
      </c>
      <c r="C24" s="6">
        <v>1.1</v>
      </c>
      <c r="D24" s="44" t="str">
        <f t="shared" si="1"/>
        <v>Naranja</v>
      </c>
      <c r="E24" s="45">
        <v>3.9281017097764144</v>
      </c>
      <c r="F24" s="44" t="str">
        <f t="shared" si="2"/>
        <v>Amarillo</v>
      </c>
      <c r="K24" s="24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3">
        <v>10901.0</v>
      </c>
      <c r="B25" s="43" t="s">
        <v>54</v>
      </c>
      <c r="C25" s="6">
        <v>1.0</v>
      </c>
      <c r="D25" s="44" t="str">
        <f t="shared" si="1"/>
        <v>Naranja</v>
      </c>
      <c r="E25" s="45">
        <v>3.814317673378076</v>
      </c>
      <c r="F25" s="44" t="str">
        <f t="shared" si="2"/>
        <v>Amarillo</v>
      </c>
      <c r="K25" s="24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3">
        <v>10902.0</v>
      </c>
      <c r="B26" s="43" t="s">
        <v>55</v>
      </c>
      <c r="C26" s="6">
        <v>0.3</v>
      </c>
      <c r="D26" s="44" t="str">
        <f t="shared" si="1"/>
        <v>Naranja</v>
      </c>
      <c r="E26" s="45">
        <v>0.9044042883390714</v>
      </c>
      <c r="F26" s="44" t="str">
        <f t="shared" si="2"/>
        <v>Naranja</v>
      </c>
      <c r="K26" s="24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3">
        <v>10903.0</v>
      </c>
      <c r="B27" s="43" t="s">
        <v>56</v>
      </c>
      <c r="C27" s="6">
        <v>0.4</v>
      </c>
      <c r="D27" s="44" t="str">
        <f t="shared" si="1"/>
        <v>Naranja</v>
      </c>
      <c r="E27" s="45">
        <v>0.826253927615501</v>
      </c>
      <c r="F27" s="44" t="str">
        <f t="shared" si="2"/>
        <v>Naranja</v>
      </c>
      <c r="K27" s="24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3">
        <v>11001.0</v>
      </c>
      <c r="B28" s="43" t="s">
        <v>473</v>
      </c>
      <c r="C28" s="6">
        <v>0.5</v>
      </c>
      <c r="D28" s="44" t="str">
        <f t="shared" si="1"/>
        <v>Naranja</v>
      </c>
      <c r="E28" s="45">
        <v>1.5140150568102897</v>
      </c>
      <c r="F28" s="44" t="str">
        <f t="shared" si="2"/>
        <v>Naranja</v>
      </c>
      <c r="K28" s="24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3">
        <v>11002.0</v>
      </c>
      <c r="B29" s="43" t="s">
        <v>474</v>
      </c>
      <c r="C29" s="6">
        <v>0.0</v>
      </c>
      <c r="D29" s="44" t="str">
        <f t="shared" si="1"/>
        <v>Rojo</v>
      </c>
      <c r="E29" s="45">
        <v>0.029194807216956345</v>
      </c>
      <c r="F29" s="44" t="str">
        <f t="shared" si="2"/>
        <v>Rojo</v>
      </c>
      <c r="K29" s="24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3">
        <v>11003.0</v>
      </c>
      <c r="B30" s="43" t="s">
        <v>60</v>
      </c>
      <c r="C30" s="6">
        <v>0.4</v>
      </c>
      <c r="D30" s="44" t="str">
        <f t="shared" si="1"/>
        <v>Naranja</v>
      </c>
      <c r="E30" s="45">
        <v>0.890198653250065</v>
      </c>
      <c r="F30" s="44" t="str">
        <f t="shared" si="2"/>
        <v>Naranja</v>
      </c>
      <c r="K30" s="24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3">
        <v>20101.0</v>
      </c>
      <c r="B31" s="43" t="s">
        <v>62</v>
      </c>
      <c r="C31" s="6">
        <v>6.8</v>
      </c>
      <c r="D31" s="44" t="str">
        <f t="shared" si="1"/>
        <v>Verde</v>
      </c>
      <c r="E31" s="45">
        <v>4.126494507875052</v>
      </c>
      <c r="F31" s="44" t="str">
        <f t="shared" si="2"/>
        <v>Amarillo</v>
      </c>
      <c r="K31" s="24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3">
        <v>20102.0</v>
      </c>
      <c r="B32" s="46" t="s">
        <v>63</v>
      </c>
      <c r="C32" s="6">
        <v>12.1</v>
      </c>
      <c r="D32" s="44" t="str">
        <f t="shared" si="1"/>
        <v>Verde</v>
      </c>
      <c r="E32" s="45">
        <v>0.9487761796618721</v>
      </c>
      <c r="F32" s="44" t="str">
        <f t="shared" si="2"/>
        <v>Naranja</v>
      </c>
      <c r="K32" s="24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3">
        <v>20103.0</v>
      </c>
      <c r="B33" s="46" t="s">
        <v>64</v>
      </c>
      <c r="C33" s="6">
        <v>1.3</v>
      </c>
      <c r="D33" s="44" t="str">
        <f t="shared" si="1"/>
        <v>Naranja</v>
      </c>
      <c r="E33" s="45">
        <v>5.763036037849808</v>
      </c>
      <c r="F33" s="44" t="str">
        <f t="shared" si="2"/>
        <v>Verde</v>
      </c>
      <c r="K33" s="24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3">
        <v>20104.0</v>
      </c>
      <c r="B34" s="46" t="s">
        <v>65</v>
      </c>
      <c r="C34" s="6">
        <v>1.5</v>
      </c>
      <c r="D34" s="44" t="str">
        <f t="shared" si="1"/>
        <v>Naranja</v>
      </c>
      <c r="E34" s="45">
        <v>4.74305040006599</v>
      </c>
      <c r="F34" s="44" t="str">
        <f t="shared" si="2"/>
        <v>Verde</v>
      </c>
      <c r="K34" s="24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3">
        <v>20105.0</v>
      </c>
      <c r="B35" s="46" t="s">
        <v>66</v>
      </c>
      <c r="C35" s="6">
        <v>3.4</v>
      </c>
      <c r="D35" s="44" t="str">
        <f t="shared" si="1"/>
        <v>Amarillo</v>
      </c>
      <c r="E35" s="45">
        <v>6.889703002051151</v>
      </c>
      <c r="F35" s="44" t="str">
        <f t="shared" si="2"/>
        <v>Verde</v>
      </c>
      <c r="K35" s="24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3">
        <v>20201.0</v>
      </c>
      <c r="B36" s="46" t="s">
        <v>68</v>
      </c>
      <c r="C36" s="6">
        <v>0.5</v>
      </c>
      <c r="D36" s="44" t="str">
        <f t="shared" si="1"/>
        <v>Naranja</v>
      </c>
      <c r="E36" s="45">
        <v>3.939896837856022</v>
      </c>
      <c r="F36" s="44" t="str">
        <f t="shared" si="2"/>
        <v>Amarillo</v>
      </c>
      <c r="K36" s="24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3">
        <v>20202.0</v>
      </c>
      <c r="B37" s="46" t="s">
        <v>475</v>
      </c>
      <c r="C37" s="6">
        <v>0.3</v>
      </c>
      <c r="D37" s="44" t="str">
        <f t="shared" si="1"/>
        <v>Naranja</v>
      </c>
      <c r="E37" s="45">
        <v>0.9492191153090807</v>
      </c>
      <c r="F37" s="44" t="str">
        <f t="shared" si="2"/>
        <v>Naranja</v>
      </c>
      <c r="K37" s="24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3">
        <v>20203.0</v>
      </c>
      <c r="B38" s="46" t="s">
        <v>71</v>
      </c>
      <c r="C38" s="6">
        <v>57.6</v>
      </c>
      <c r="D38" s="44" t="str">
        <f t="shared" si="1"/>
        <v>Verde</v>
      </c>
      <c r="E38" s="45">
        <v>2.8067713358477326</v>
      </c>
      <c r="F38" s="44" t="str">
        <f t="shared" si="2"/>
        <v>Amarillo</v>
      </c>
      <c r="K38" s="24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3">
        <v>20204.0</v>
      </c>
      <c r="B39" s="46" t="s">
        <v>72</v>
      </c>
      <c r="C39" s="6">
        <v>0.5</v>
      </c>
      <c r="D39" s="44" t="str">
        <f t="shared" si="1"/>
        <v>Naranja</v>
      </c>
      <c r="E39" s="45">
        <v>0.8229821602003784</v>
      </c>
      <c r="F39" s="44" t="str">
        <f t="shared" si="2"/>
        <v>Naranja</v>
      </c>
      <c r="K39" s="24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3">
        <v>20205.0</v>
      </c>
      <c r="B40" s="46" t="s">
        <v>73</v>
      </c>
      <c r="C40" s="6">
        <v>0.4</v>
      </c>
      <c r="D40" s="44" t="str">
        <f t="shared" si="1"/>
        <v>Naranja</v>
      </c>
      <c r="E40" s="45">
        <v>6.358871589332511</v>
      </c>
      <c r="F40" s="44" t="str">
        <f t="shared" si="2"/>
        <v>Verde</v>
      </c>
      <c r="K40" s="24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3">
        <v>20206.0</v>
      </c>
      <c r="B41" s="46" t="s">
        <v>70</v>
      </c>
      <c r="C41" s="6">
        <v>58.4</v>
      </c>
      <c r="D41" s="44" t="str">
        <f t="shared" si="1"/>
        <v>Verde</v>
      </c>
      <c r="E41" s="45">
        <v>2.8259292106748366</v>
      </c>
      <c r="F41" s="44" t="str">
        <f t="shared" si="2"/>
        <v>Amarillo</v>
      </c>
      <c r="K41" s="24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3">
        <v>20301.0</v>
      </c>
      <c r="B42" s="46" t="s">
        <v>476</v>
      </c>
      <c r="C42" s="6">
        <v>0.3</v>
      </c>
      <c r="D42" s="44" t="str">
        <f t="shared" si="1"/>
        <v>Naranja</v>
      </c>
      <c r="E42" s="45">
        <v>0.8402243554215532</v>
      </c>
      <c r="F42" s="44" t="str">
        <f t="shared" si="2"/>
        <v>Naranja</v>
      </c>
      <c r="K42" s="24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3">
        <v>20302.0</v>
      </c>
      <c r="B43" s="46" t="s">
        <v>76</v>
      </c>
      <c r="C43" s="6">
        <v>0.4</v>
      </c>
      <c r="D43" s="44" t="str">
        <f t="shared" si="1"/>
        <v>Naranja</v>
      </c>
      <c r="E43" s="45">
        <v>1.3336316849407026</v>
      </c>
      <c r="F43" s="44" t="str">
        <f t="shared" si="2"/>
        <v>Naranja</v>
      </c>
      <c r="K43" s="24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3">
        <v>20303.0</v>
      </c>
      <c r="B44" s="46" t="s">
        <v>77</v>
      </c>
      <c r="C44" s="6">
        <v>0.2</v>
      </c>
      <c r="D44" s="44" t="str">
        <f t="shared" si="1"/>
        <v>Naranja</v>
      </c>
      <c r="E44" s="45">
        <v>0.7843137254901961</v>
      </c>
      <c r="F44" s="44" t="str">
        <f t="shared" si="2"/>
        <v>Naranja</v>
      </c>
      <c r="K44" s="24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3">
        <v>20304.0</v>
      </c>
      <c r="B45" s="46" t="s">
        <v>78</v>
      </c>
      <c r="C45" s="6">
        <v>0.5</v>
      </c>
      <c r="D45" s="44" t="str">
        <f t="shared" si="1"/>
        <v>Naranja</v>
      </c>
      <c r="E45" s="45">
        <v>1.4420410427066</v>
      </c>
      <c r="F45" s="44" t="str">
        <f t="shared" si="2"/>
        <v>Naranja</v>
      </c>
      <c r="K45" s="24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3">
        <v>20305.0</v>
      </c>
      <c r="B46" s="46" t="s">
        <v>79</v>
      </c>
      <c r="C46" s="6">
        <v>0.5</v>
      </c>
      <c r="D46" s="44" t="str">
        <f t="shared" si="1"/>
        <v>Naranja</v>
      </c>
      <c r="E46" s="45">
        <v>0.7006550840216462</v>
      </c>
      <c r="F46" s="44" t="str">
        <f t="shared" si="2"/>
        <v>Naranja</v>
      </c>
      <c r="K46" s="24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3">
        <v>20306.0</v>
      </c>
      <c r="B47" s="46" t="s">
        <v>477</v>
      </c>
      <c r="C47" s="6">
        <v>0.4</v>
      </c>
      <c r="D47" s="44" t="str">
        <f t="shared" si="1"/>
        <v>Naranja</v>
      </c>
      <c r="E47" s="45">
        <v>1.0655061154048173</v>
      </c>
      <c r="F47" s="44" t="str">
        <f t="shared" si="2"/>
        <v>Naranja</v>
      </c>
      <c r="K47" s="24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3">
        <v>20307.0</v>
      </c>
      <c r="B48" s="46" t="s">
        <v>81</v>
      </c>
      <c r="C48" s="6">
        <v>2.7</v>
      </c>
      <c r="D48" s="44" t="str">
        <f t="shared" si="1"/>
        <v>Amarillo</v>
      </c>
      <c r="E48" s="45">
        <v>8.135349172066233</v>
      </c>
      <c r="F48" s="44" t="str">
        <f t="shared" si="2"/>
        <v>Verde</v>
      </c>
      <c r="K48" s="24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3">
        <v>20308.0</v>
      </c>
      <c r="B49" s="46" t="s">
        <v>82</v>
      </c>
      <c r="C49" s="6">
        <v>0.3</v>
      </c>
      <c r="D49" s="44" t="str">
        <f t="shared" si="1"/>
        <v>Naranja</v>
      </c>
      <c r="E49" s="45">
        <v>1.0383912248628884</v>
      </c>
      <c r="F49" s="44" t="str">
        <f t="shared" si="2"/>
        <v>Naranja</v>
      </c>
      <c r="K49" s="24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3">
        <v>20401.0</v>
      </c>
      <c r="B50" s="46" t="s">
        <v>84</v>
      </c>
      <c r="C50" s="6">
        <v>0.4</v>
      </c>
      <c r="D50" s="44" t="str">
        <f t="shared" si="1"/>
        <v>Naranja</v>
      </c>
      <c r="E50" s="45">
        <v>3.2753948229137464</v>
      </c>
      <c r="F50" s="44" t="str">
        <f t="shared" si="2"/>
        <v>Amarillo</v>
      </c>
      <c r="K50" s="24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3">
        <v>20402.0</v>
      </c>
      <c r="B51" s="46" t="s">
        <v>85</v>
      </c>
      <c r="C51" s="6">
        <v>0.3</v>
      </c>
      <c r="D51" s="44" t="str">
        <f t="shared" si="1"/>
        <v>Naranja</v>
      </c>
      <c r="E51" s="45">
        <v>1.0408799868658676</v>
      </c>
      <c r="F51" s="44" t="str">
        <f t="shared" si="2"/>
        <v>Naranja</v>
      </c>
      <c r="K51" s="24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3">
        <v>20403.0</v>
      </c>
      <c r="B52" s="46" t="s">
        <v>86</v>
      </c>
      <c r="C52" s="6">
        <v>0.1</v>
      </c>
      <c r="D52" s="44" t="str">
        <f t="shared" si="1"/>
        <v>Rojo</v>
      </c>
      <c r="E52" s="45">
        <v>0.3745775823459957</v>
      </c>
      <c r="F52" s="44" t="str">
        <f t="shared" si="2"/>
        <v>Naranja</v>
      </c>
      <c r="K52" s="24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3">
        <v>20404.0</v>
      </c>
      <c r="B53" s="46" t="s">
        <v>87</v>
      </c>
      <c r="C53" s="6">
        <v>0.2</v>
      </c>
      <c r="D53" s="44" t="str">
        <f t="shared" si="1"/>
        <v>Naranja</v>
      </c>
      <c r="E53" s="45">
        <v>0.5108140419519617</v>
      </c>
      <c r="F53" s="44" t="str">
        <f t="shared" si="2"/>
        <v>Naranja</v>
      </c>
      <c r="K53" s="24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3">
        <v>20405.0</v>
      </c>
      <c r="B54" s="46" t="s">
        <v>88</v>
      </c>
      <c r="C54" s="6">
        <v>0.6</v>
      </c>
      <c r="D54" s="44" t="str">
        <f t="shared" si="1"/>
        <v>Naranja</v>
      </c>
      <c r="E54" s="45">
        <v>2.392755004766444</v>
      </c>
      <c r="F54" s="44" t="str">
        <f t="shared" si="2"/>
        <v>Naranja</v>
      </c>
      <c r="K54" s="24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3">
        <v>20501.0</v>
      </c>
      <c r="B55" s="46" t="s">
        <v>90</v>
      </c>
      <c r="C55" s="6">
        <v>0.3</v>
      </c>
      <c r="D55" s="44" t="str">
        <f t="shared" si="1"/>
        <v>Naranja</v>
      </c>
      <c r="E55" s="45">
        <v>1.2434836673202927</v>
      </c>
      <c r="F55" s="44" t="str">
        <f t="shared" si="2"/>
        <v>Naranja</v>
      </c>
      <c r="K55" s="24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3">
        <v>20502.0</v>
      </c>
      <c r="B56" s="46" t="s">
        <v>91</v>
      </c>
      <c r="C56" s="6">
        <v>0.2</v>
      </c>
      <c r="D56" s="44" t="str">
        <f t="shared" si="1"/>
        <v>Naranja</v>
      </c>
      <c r="E56" s="45">
        <v>0.6053745447386554</v>
      </c>
      <c r="F56" s="44" t="str">
        <f t="shared" si="2"/>
        <v>Naranja</v>
      </c>
      <c r="K56" s="24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3">
        <v>20503.0</v>
      </c>
      <c r="B57" s="46" t="s">
        <v>92</v>
      </c>
      <c r="C57" s="6">
        <v>0.8</v>
      </c>
      <c r="D57" s="44" t="str">
        <f t="shared" si="1"/>
        <v>Naranja</v>
      </c>
      <c r="E57" s="45">
        <v>1.2985179957657025</v>
      </c>
      <c r="F57" s="44" t="str">
        <f t="shared" si="2"/>
        <v>Naranja</v>
      </c>
      <c r="K57" s="24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3">
        <v>20601.0</v>
      </c>
      <c r="B58" s="46" t="s">
        <v>94</v>
      </c>
      <c r="C58" s="6">
        <v>6.8</v>
      </c>
      <c r="D58" s="44" t="str">
        <f t="shared" si="1"/>
        <v>Verde</v>
      </c>
      <c r="E58" s="45">
        <v>4.860611560552906</v>
      </c>
      <c r="F58" s="44" t="str">
        <f t="shared" si="2"/>
        <v>Verde</v>
      </c>
      <c r="K58" s="24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3">
        <v>20602.0</v>
      </c>
      <c r="B59" s="46" t="s">
        <v>95</v>
      </c>
      <c r="C59" s="6">
        <v>0.7</v>
      </c>
      <c r="D59" s="44" t="str">
        <f t="shared" si="1"/>
        <v>Naranja</v>
      </c>
      <c r="E59" s="45">
        <v>1.0443926534573136</v>
      </c>
      <c r="F59" s="44" t="str">
        <f t="shared" si="2"/>
        <v>Naranja</v>
      </c>
      <c r="K59" s="24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3">
        <v>20603.0</v>
      </c>
      <c r="B60" s="46" t="s">
        <v>96</v>
      </c>
      <c r="C60" s="6">
        <v>0.2</v>
      </c>
      <c r="D60" s="44" t="str">
        <f t="shared" si="1"/>
        <v>Naranja</v>
      </c>
      <c r="E60" s="45">
        <v>0.22304365582164884</v>
      </c>
      <c r="F60" s="44" t="str">
        <f t="shared" si="2"/>
        <v>Naranja</v>
      </c>
      <c r="K60" s="24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3">
        <v>20604.0</v>
      </c>
      <c r="B61" s="46" t="s">
        <v>97</v>
      </c>
      <c r="C61" s="6">
        <v>0.1</v>
      </c>
      <c r="D61" s="44" t="str">
        <f t="shared" si="1"/>
        <v>Rojo</v>
      </c>
      <c r="E61" s="45">
        <v>0.3865449461304383</v>
      </c>
      <c r="F61" s="44" t="str">
        <f t="shared" si="2"/>
        <v>Naranja</v>
      </c>
      <c r="K61" s="24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3">
        <v>20605.0</v>
      </c>
      <c r="B62" s="46" t="s">
        <v>98</v>
      </c>
      <c r="C62" s="6">
        <v>0.2</v>
      </c>
      <c r="D62" s="44" t="str">
        <f t="shared" si="1"/>
        <v>Naranja</v>
      </c>
      <c r="E62" s="45">
        <v>0.6126842192415963</v>
      </c>
      <c r="F62" s="44" t="str">
        <f t="shared" si="2"/>
        <v>Naranja</v>
      </c>
      <c r="K62" s="24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3">
        <v>20606.0</v>
      </c>
      <c r="B63" s="46" t="s">
        <v>99</v>
      </c>
      <c r="C63" s="6">
        <v>0.7</v>
      </c>
      <c r="D63" s="44" t="str">
        <f t="shared" si="1"/>
        <v>Naranja</v>
      </c>
      <c r="E63" s="45">
        <v>2.847023041829486</v>
      </c>
      <c r="F63" s="44" t="str">
        <f t="shared" si="2"/>
        <v>Amarillo</v>
      </c>
      <c r="K63" s="24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3">
        <v>20607.0</v>
      </c>
      <c r="B64" s="46" t="s">
        <v>100</v>
      </c>
      <c r="C64" s="6">
        <v>0.8</v>
      </c>
      <c r="D64" s="44" t="str">
        <f t="shared" si="1"/>
        <v>Naranja</v>
      </c>
      <c r="E64" s="45">
        <v>2.509902740135783</v>
      </c>
      <c r="F64" s="44" t="str">
        <f t="shared" si="2"/>
        <v>Amarillo</v>
      </c>
      <c r="K64" s="24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3">
        <v>20608.0</v>
      </c>
      <c r="B65" s="46" t="s">
        <v>101</v>
      </c>
      <c r="C65" s="6">
        <v>0.6</v>
      </c>
      <c r="D65" s="44" t="str">
        <f t="shared" si="1"/>
        <v>Naranja</v>
      </c>
      <c r="E65" s="45">
        <v>1.0526315789473684</v>
      </c>
      <c r="F65" s="44" t="str">
        <f t="shared" si="2"/>
        <v>Naranja</v>
      </c>
      <c r="K65" s="24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3">
        <v>20701.0</v>
      </c>
      <c r="B66" s="46" t="s">
        <v>103</v>
      </c>
      <c r="C66" s="6">
        <v>0.6</v>
      </c>
      <c r="D66" s="44" t="str">
        <f t="shared" si="1"/>
        <v>Naranja</v>
      </c>
      <c r="E66" s="45">
        <v>1.2336986469111613</v>
      </c>
      <c r="F66" s="44" t="str">
        <f t="shared" si="2"/>
        <v>Naranja</v>
      </c>
      <c r="K66" s="24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3">
        <v>20702.0</v>
      </c>
      <c r="B67" s="46" t="s">
        <v>104</v>
      </c>
      <c r="C67" s="6">
        <v>0.3</v>
      </c>
      <c r="D67" s="44" t="str">
        <f t="shared" si="1"/>
        <v>Naranja</v>
      </c>
      <c r="E67" s="45">
        <v>1.2547486343343595</v>
      </c>
      <c r="F67" s="44" t="str">
        <f t="shared" si="2"/>
        <v>Naranja</v>
      </c>
      <c r="K67" s="24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3">
        <v>20801.0</v>
      </c>
      <c r="B68" s="46" t="s">
        <v>106</v>
      </c>
      <c r="C68" s="6">
        <v>1.6</v>
      </c>
      <c r="D68" s="44" t="str">
        <f t="shared" si="1"/>
        <v>Naranja</v>
      </c>
      <c r="E68" s="45">
        <v>3.5837154322153717</v>
      </c>
      <c r="F68" s="44" t="str">
        <f t="shared" si="2"/>
        <v>Amarillo</v>
      </c>
      <c r="K68" s="24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3">
        <v>20802.0</v>
      </c>
      <c r="B69" s="46" t="s">
        <v>478</v>
      </c>
      <c r="C69" s="6">
        <v>0.7</v>
      </c>
      <c r="D69" s="44" t="str">
        <f t="shared" si="1"/>
        <v>Naranja</v>
      </c>
      <c r="E69" s="45">
        <v>8.067553992968357</v>
      </c>
      <c r="F69" s="44" t="str">
        <f t="shared" si="2"/>
        <v>Verde</v>
      </c>
      <c r="K69" s="24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3">
        <v>20803.0</v>
      </c>
      <c r="B70" s="46" t="s">
        <v>108</v>
      </c>
      <c r="C70" s="6">
        <v>46.8</v>
      </c>
      <c r="D70" s="44" t="str">
        <f t="shared" si="1"/>
        <v>Verde</v>
      </c>
      <c r="E70" s="45">
        <v>7.203211338801199</v>
      </c>
      <c r="F70" s="44" t="str">
        <f t="shared" si="2"/>
        <v>Verde</v>
      </c>
      <c r="K70" s="24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3">
        <v>20804.0</v>
      </c>
      <c r="B71" s="46" t="s">
        <v>109</v>
      </c>
      <c r="C71" s="6">
        <v>28.3</v>
      </c>
      <c r="D71" s="44" t="str">
        <f t="shared" si="1"/>
        <v>Verde</v>
      </c>
      <c r="E71" s="45">
        <v>8.330062794348509</v>
      </c>
      <c r="F71" s="44" t="str">
        <f t="shared" si="2"/>
        <v>Verde</v>
      </c>
      <c r="K71" s="24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3">
        <v>20805.0</v>
      </c>
      <c r="B72" s="46" t="s">
        <v>479</v>
      </c>
      <c r="C72" s="6">
        <v>0.3</v>
      </c>
      <c r="D72" s="44" t="str">
        <f t="shared" si="1"/>
        <v>Naranja</v>
      </c>
      <c r="E72" s="45">
        <v>1.1822376009227218</v>
      </c>
      <c r="F72" s="44" t="str">
        <f t="shared" si="2"/>
        <v>Naranja</v>
      </c>
      <c r="K72" s="24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3">
        <v>20806.0</v>
      </c>
      <c r="B73" s="46" t="s">
        <v>480</v>
      </c>
      <c r="C73" s="6">
        <v>0.4</v>
      </c>
      <c r="D73" s="44" t="str">
        <f t="shared" si="1"/>
        <v>Naranja</v>
      </c>
      <c r="E73" s="45">
        <v>1.6573426573426575</v>
      </c>
      <c r="F73" s="44" t="str">
        <f t="shared" si="2"/>
        <v>Naranja</v>
      </c>
      <c r="K73" s="24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3">
        <v>20807.0</v>
      </c>
      <c r="B74" s="46" t="s">
        <v>112</v>
      </c>
      <c r="C74" s="6">
        <v>0.2</v>
      </c>
      <c r="D74" s="44" t="str">
        <f t="shared" si="1"/>
        <v>Naranja</v>
      </c>
      <c r="E74" s="45">
        <v>0.6384831188932959</v>
      </c>
      <c r="F74" s="44" t="str">
        <f t="shared" si="2"/>
        <v>Naranja</v>
      </c>
      <c r="K74" s="24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3">
        <v>20901.0</v>
      </c>
      <c r="B75" s="46" t="s">
        <v>114</v>
      </c>
      <c r="C75" s="6">
        <v>0.4</v>
      </c>
      <c r="D75" s="44" t="str">
        <f t="shared" si="1"/>
        <v>Naranja</v>
      </c>
      <c r="E75" s="45">
        <v>0.9242298084929226</v>
      </c>
      <c r="F75" s="44" t="str">
        <f t="shared" si="2"/>
        <v>Naranja</v>
      </c>
      <c r="K75" s="24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3">
        <v>20902.0</v>
      </c>
      <c r="B76" s="46" t="s">
        <v>115</v>
      </c>
      <c r="C76" s="6">
        <v>0.3</v>
      </c>
      <c r="D76" s="44" t="str">
        <f t="shared" si="1"/>
        <v>Naranja</v>
      </c>
      <c r="E76" s="45">
        <v>0.4634863215012435</v>
      </c>
      <c r="F76" s="44" t="str">
        <f t="shared" si="2"/>
        <v>Naranja</v>
      </c>
      <c r="K76" s="24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3">
        <v>20903.0</v>
      </c>
      <c r="B77" s="46" t="s">
        <v>116</v>
      </c>
      <c r="C77" s="6">
        <v>0.3</v>
      </c>
      <c r="D77" s="44" t="str">
        <f t="shared" si="1"/>
        <v>Naranja</v>
      </c>
      <c r="E77" s="45">
        <v>1.2304400160492177</v>
      </c>
      <c r="F77" s="44" t="str">
        <f t="shared" si="2"/>
        <v>Naranja</v>
      </c>
      <c r="K77" s="24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3">
        <v>20904.0</v>
      </c>
      <c r="B78" s="46" t="s">
        <v>117</v>
      </c>
      <c r="C78" s="6">
        <v>0.6</v>
      </c>
      <c r="D78" s="44" t="str">
        <f t="shared" si="1"/>
        <v>Naranja</v>
      </c>
      <c r="E78" s="45">
        <v>1.5107990211724651</v>
      </c>
      <c r="F78" s="44" t="str">
        <f t="shared" si="2"/>
        <v>Naranja</v>
      </c>
      <c r="K78" s="24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3">
        <v>20905.0</v>
      </c>
      <c r="B79" s="46" t="s">
        <v>118</v>
      </c>
      <c r="C79" s="6">
        <v>0.1</v>
      </c>
      <c r="D79" s="44" t="str">
        <f t="shared" si="1"/>
        <v>Rojo</v>
      </c>
      <c r="E79" s="45">
        <v>0.40273157065312565</v>
      </c>
      <c r="F79" s="44" t="str">
        <f t="shared" si="2"/>
        <v>Naranja</v>
      </c>
      <c r="K79" s="24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3">
        <v>21001.0</v>
      </c>
      <c r="B80" s="46" t="s">
        <v>119</v>
      </c>
      <c r="C80" s="6">
        <v>0.1</v>
      </c>
      <c r="D80" s="44" t="str">
        <f t="shared" si="1"/>
        <v>Rojo</v>
      </c>
      <c r="E80" s="45">
        <v>0.30674184001900934</v>
      </c>
      <c r="F80" s="44" t="str">
        <f t="shared" si="2"/>
        <v>Naranja</v>
      </c>
      <c r="K80" s="24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3">
        <v>21002.0</v>
      </c>
      <c r="B81" s="46" t="s">
        <v>120</v>
      </c>
      <c r="C81" s="6">
        <v>0.4</v>
      </c>
      <c r="D81" s="44" t="str">
        <f t="shared" si="1"/>
        <v>Naranja</v>
      </c>
      <c r="E81" s="45">
        <v>1.436192039392696</v>
      </c>
      <c r="F81" s="44" t="str">
        <f t="shared" si="2"/>
        <v>Naranja</v>
      </c>
      <c r="K81" s="24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3">
        <v>21003.0</v>
      </c>
      <c r="B82" s="46" t="s">
        <v>121</v>
      </c>
      <c r="C82" s="6">
        <v>0.3</v>
      </c>
      <c r="D82" s="44" t="str">
        <f t="shared" si="1"/>
        <v>Naranja</v>
      </c>
      <c r="E82" s="45">
        <v>0.646131565755027</v>
      </c>
      <c r="F82" s="44" t="str">
        <f t="shared" si="2"/>
        <v>Naranja</v>
      </c>
      <c r="K82" s="24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3">
        <v>21004.0</v>
      </c>
      <c r="B83" s="46" t="s">
        <v>122</v>
      </c>
      <c r="C83" s="6">
        <v>0.1</v>
      </c>
      <c r="D83" s="44" t="str">
        <f t="shared" si="1"/>
        <v>Rojo</v>
      </c>
      <c r="E83" s="45">
        <v>0.2353144033714874</v>
      </c>
      <c r="F83" s="44" t="str">
        <f t="shared" si="2"/>
        <v>Naranja</v>
      </c>
      <c r="K83" s="24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3">
        <v>21005.0</v>
      </c>
      <c r="B84" s="46" t="s">
        <v>123</v>
      </c>
      <c r="C84" s="6">
        <v>0.2</v>
      </c>
      <c r="D84" s="44" t="str">
        <f t="shared" si="1"/>
        <v>Naranja</v>
      </c>
      <c r="E84" s="45">
        <v>0.5714285714285714</v>
      </c>
      <c r="F84" s="44" t="str">
        <f t="shared" si="2"/>
        <v>Naranja</v>
      </c>
      <c r="K84" s="24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3">
        <v>21006.0</v>
      </c>
      <c r="B85" s="46" t="s">
        <v>124</v>
      </c>
      <c r="C85" s="6">
        <v>0.6</v>
      </c>
      <c r="D85" s="44" t="str">
        <f t="shared" si="1"/>
        <v>Naranja</v>
      </c>
      <c r="E85" s="45">
        <v>3.908263185019756</v>
      </c>
      <c r="F85" s="44" t="str">
        <f t="shared" si="2"/>
        <v>Amarillo</v>
      </c>
      <c r="K85" s="24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3">
        <v>21101.0</v>
      </c>
      <c r="B86" s="46" t="s">
        <v>126</v>
      </c>
      <c r="C86" s="6">
        <v>0.9</v>
      </c>
      <c r="D86" s="44" t="str">
        <f t="shared" si="1"/>
        <v>Naranja</v>
      </c>
      <c r="E86" s="45">
        <v>1.4871306005719733</v>
      </c>
      <c r="F86" s="44" t="str">
        <f t="shared" si="2"/>
        <v>Naranja</v>
      </c>
      <c r="K86" s="24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3">
        <v>21102.0</v>
      </c>
      <c r="B87" s="46" t="s">
        <v>127</v>
      </c>
      <c r="C87" s="6">
        <v>0.3</v>
      </c>
      <c r="D87" s="44" t="str">
        <f t="shared" si="1"/>
        <v>Naranja</v>
      </c>
      <c r="E87" s="45">
        <v>0.6680723798868258</v>
      </c>
      <c r="F87" s="44" t="str">
        <f t="shared" si="2"/>
        <v>Naranja</v>
      </c>
      <c r="K87" s="24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3">
        <v>21103.0</v>
      </c>
      <c r="B88" s="46" t="s">
        <v>128</v>
      </c>
      <c r="C88" s="6">
        <v>0.6</v>
      </c>
      <c r="D88" s="44" t="str">
        <f t="shared" si="1"/>
        <v>Naranja</v>
      </c>
      <c r="E88" s="45">
        <v>1.2486724809319987</v>
      </c>
      <c r="F88" s="44" t="str">
        <f t="shared" si="2"/>
        <v>Naranja</v>
      </c>
      <c r="K88" s="24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3">
        <v>21104.0</v>
      </c>
      <c r="B89" s="46" t="s">
        <v>129</v>
      </c>
      <c r="C89" s="6">
        <v>0.6</v>
      </c>
      <c r="D89" s="44" t="str">
        <f t="shared" si="1"/>
        <v>Naranja</v>
      </c>
      <c r="E89" s="45">
        <v>1.18791319755368</v>
      </c>
      <c r="F89" s="44" t="str">
        <f t="shared" si="2"/>
        <v>Naranja</v>
      </c>
      <c r="K89" s="24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3">
        <v>21105.0</v>
      </c>
      <c r="B90" s="46" t="s">
        <v>130</v>
      </c>
      <c r="C90" s="6">
        <v>0.2</v>
      </c>
      <c r="D90" s="44" t="str">
        <f t="shared" si="1"/>
        <v>Naranja</v>
      </c>
      <c r="E90" s="45">
        <v>0.5264608057310425</v>
      </c>
      <c r="F90" s="44" t="str">
        <f t="shared" si="2"/>
        <v>Naranja</v>
      </c>
      <c r="K90" s="24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3">
        <v>21201.0</v>
      </c>
      <c r="B91" s="46" t="s">
        <v>132</v>
      </c>
      <c r="C91" s="6">
        <v>0.4</v>
      </c>
      <c r="D91" s="44" t="str">
        <f t="shared" si="1"/>
        <v>Naranja</v>
      </c>
      <c r="E91" s="45">
        <v>2.4950991339735475</v>
      </c>
      <c r="F91" s="44" t="str">
        <f t="shared" si="2"/>
        <v>Amarillo</v>
      </c>
      <c r="K91" s="24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3">
        <v>21202.0</v>
      </c>
      <c r="B92" s="46" t="s">
        <v>133</v>
      </c>
      <c r="C92" s="6">
        <v>0.5</v>
      </c>
      <c r="D92" s="44" t="str">
        <f t="shared" si="1"/>
        <v>Naranja</v>
      </c>
      <c r="E92" s="45">
        <v>1.664942376633063</v>
      </c>
      <c r="F92" s="44" t="str">
        <f t="shared" si="2"/>
        <v>Naranja</v>
      </c>
      <c r="K92" s="24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3">
        <v>21203.0</v>
      </c>
      <c r="B93" s="46" t="s">
        <v>134</v>
      </c>
      <c r="C93" s="6">
        <v>0.5</v>
      </c>
      <c r="D93" s="44" t="str">
        <f t="shared" si="1"/>
        <v>Naranja</v>
      </c>
      <c r="E93" s="45">
        <v>6.106492220281998</v>
      </c>
      <c r="F93" s="44" t="str">
        <f t="shared" si="2"/>
        <v>Verde</v>
      </c>
      <c r="K93" s="24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3">
        <v>21204.0</v>
      </c>
      <c r="B94" s="46" t="s">
        <v>135</v>
      </c>
      <c r="C94" s="6">
        <v>0.6</v>
      </c>
      <c r="D94" s="44" t="str">
        <f t="shared" si="1"/>
        <v>Naranja</v>
      </c>
      <c r="E94" s="45">
        <v>2.9149221897464255</v>
      </c>
      <c r="F94" s="44" t="str">
        <f t="shared" si="2"/>
        <v>Amarillo</v>
      </c>
      <c r="K94" s="24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3">
        <v>21301.0</v>
      </c>
      <c r="B95" s="46" t="s">
        <v>481</v>
      </c>
      <c r="C95" s="6">
        <v>0.6</v>
      </c>
      <c r="D95" s="44" t="str">
        <f t="shared" si="1"/>
        <v>Naranja</v>
      </c>
      <c r="E95" s="45">
        <v>1.410701978208907</v>
      </c>
      <c r="F95" s="44" t="str">
        <f t="shared" si="2"/>
        <v>Naranja</v>
      </c>
      <c r="K95" s="24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3">
        <v>21302.0</v>
      </c>
      <c r="B96" s="46" t="s">
        <v>138</v>
      </c>
      <c r="C96" s="6">
        <v>0.1</v>
      </c>
      <c r="D96" s="44" t="str">
        <f t="shared" si="1"/>
        <v>Rojo</v>
      </c>
      <c r="E96" s="45">
        <v>0.37498125093745316</v>
      </c>
      <c r="F96" s="44" t="str">
        <f t="shared" si="2"/>
        <v>Naranja</v>
      </c>
      <c r="K96" s="24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3">
        <v>21303.0</v>
      </c>
      <c r="B97" s="46" t="s">
        <v>139</v>
      </c>
      <c r="C97" s="6">
        <v>0.4</v>
      </c>
      <c r="D97" s="44" t="str">
        <f t="shared" si="1"/>
        <v>Naranja</v>
      </c>
      <c r="E97" s="45">
        <v>1.3034072471606273</v>
      </c>
      <c r="F97" s="44" t="str">
        <f t="shared" si="2"/>
        <v>Naranja</v>
      </c>
      <c r="K97" s="24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3">
        <v>21304.0</v>
      </c>
      <c r="B98" s="46" t="s">
        <v>140</v>
      </c>
      <c r="C98" s="6">
        <v>0.3</v>
      </c>
      <c r="D98" s="44" t="str">
        <f t="shared" si="1"/>
        <v>Naranja</v>
      </c>
      <c r="E98" s="45">
        <v>0.701219512195122</v>
      </c>
      <c r="F98" s="44" t="str">
        <f t="shared" si="2"/>
        <v>Naranja</v>
      </c>
      <c r="K98" s="24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3">
        <v>21305.0</v>
      </c>
      <c r="B99" s="46" t="s">
        <v>141</v>
      </c>
      <c r="C99" s="6">
        <v>1.4</v>
      </c>
      <c r="D99" s="44" t="str">
        <f t="shared" si="1"/>
        <v>Naranja</v>
      </c>
      <c r="E99" s="45">
        <v>7.690488857362417</v>
      </c>
      <c r="F99" s="44" t="str">
        <f t="shared" si="2"/>
        <v>Verde</v>
      </c>
      <c r="K99" s="24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3">
        <v>21306.0</v>
      </c>
      <c r="B100" s="46" t="s">
        <v>142</v>
      </c>
      <c r="C100" s="6">
        <v>0.4</v>
      </c>
      <c r="D100" s="44" t="str">
        <f t="shared" si="1"/>
        <v>Naranja</v>
      </c>
      <c r="E100" s="45">
        <v>1.361537736737963</v>
      </c>
      <c r="F100" s="44" t="str">
        <f t="shared" si="2"/>
        <v>Naranja</v>
      </c>
      <c r="K100" s="24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3">
        <v>21307.0</v>
      </c>
      <c r="B101" s="46" t="s">
        <v>143</v>
      </c>
      <c r="C101" s="6">
        <v>0.6</v>
      </c>
      <c r="D101" s="44" t="str">
        <f t="shared" si="1"/>
        <v>Naranja</v>
      </c>
      <c r="E101" s="45">
        <v>2.045546150745667</v>
      </c>
      <c r="F101" s="44" t="str">
        <f t="shared" si="2"/>
        <v>Naranja</v>
      </c>
      <c r="K101" s="24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3">
        <v>21401.0</v>
      </c>
      <c r="B102" s="46" t="s">
        <v>145</v>
      </c>
      <c r="C102" s="6">
        <v>28.0</v>
      </c>
      <c r="D102" s="44" t="str">
        <f t="shared" si="1"/>
        <v>Verde</v>
      </c>
      <c r="E102" s="45">
        <v>5.815945736616049</v>
      </c>
      <c r="F102" s="44" t="str">
        <f t="shared" si="2"/>
        <v>Verde</v>
      </c>
      <c r="K102" s="24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3">
        <v>21402.0</v>
      </c>
      <c r="B103" s="46" t="s">
        <v>146</v>
      </c>
      <c r="C103" s="6">
        <v>0.5</v>
      </c>
      <c r="D103" s="44" t="str">
        <f t="shared" si="1"/>
        <v>Naranja</v>
      </c>
      <c r="E103" s="45">
        <v>0.9917981635018277</v>
      </c>
      <c r="F103" s="44" t="str">
        <f t="shared" si="2"/>
        <v>Naranja</v>
      </c>
      <c r="K103" s="24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3">
        <v>21501.0</v>
      </c>
      <c r="B104" s="46" t="s">
        <v>148</v>
      </c>
      <c r="C104" s="6">
        <v>1.0</v>
      </c>
      <c r="D104" s="44" t="str">
        <f t="shared" si="1"/>
        <v>Naranja</v>
      </c>
      <c r="E104" s="45">
        <v>2.1906788112492523</v>
      </c>
      <c r="F104" s="44" t="str">
        <f t="shared" si="2"/>
        <v>Naranja</v>
      </c>
      <c r="K104" s="24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3">
        <v>21502.0</v>
      </c>
      <c r="B105" s="46" t="s">
        <v>149</v>
      </c>
      <c r="C105" s="6">
        <v>1.5</v>
      </c>
      <c r="D105" s="44" t="str">
        <f t="shared" si="1"/>
        <v>Naranja</v>
      </c>
      <c r="E105" s="45">
        <v>7.879051555362193</v>
      </c>
      <c r="F105" s="44" t="str">
        <f t="shared" si="2"/>
        <v>Verde</v>
      </c>
      <c r="K105" s="24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3">
        <v>21601.0</v>
      </c>
      <c r="B106" s="46" t="s">
        <v>482</v>
      </c>
      <c r="C106" s="6">
        <v>0.5</v>
      </c>
      <c r="D106" s="44" t="str">
        <f t="shared" si="1"/>
        <v>Naranja</v>
      </c>
      <c r="E106" s="45">
        <v>1.4895458479478887</v>
      </c>
      <c r="F106" s="44" t="str">
        <f t="shared" si="2"/>
        <v>Naranja</v>
      </c>
      <c r="K106" s="24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3">
        <v>21602.0</v>
      </c>
      <c r="B107" s="46" t="s">
        <v>152</v>
      </c>
      <c r="C107" s="6">
        <v>0.5</v>
      </c>
      <c r="D107" s="44" t="str">
        <f t="shared" si="1"/>
        <v>Naranja</v>
      </c>
      <c r="E107" s="45">
        <v>1.480427046263345</v>
      </c>
      <c r="F107" s="44" t="str">
        <f t="shared" si="2"/>
        <v>Naranja</v>
      </c>
      <c r="K107" s="24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3">
        <v>21701.0</v>
      </c>
      <c r="B108" s="46" t="s">
        <v>154</v>
      </c>
      <c r="C108" s="6">
        <v>47.1</v>
      </c>
      <c r="D108" s="44" t="str">
        <f t="shared" si="1"/>
        <v>Verde</v>
      </c>
      <c r="E108" s="45">
        <v>11.16365478804256</v>
      </c>
      <c r="F108" s="44" t="str">
        <f t="shared" si="2"/>
        <v>Verde</v>
      </c>
      <c r="K108" s="24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3">
        <v>21702.0</v>
      </c>
      <c r="B109" s="46" t="s">
        <v>155</v>
      </c>
      <c r="C109" s="6">
        <v>26.5</v>
      </c>
      <c r="D109" s="44" t="str">
        <f t="shared" si="1"/>
        <v>Verde</v>
      </c>
      <c r="E109" s="45">
        <v>12.581446899979849</v>
      </c>
      <c r="F109" s="44" t="str">
        <f t="shared" si="2"/>
        <v>Verde</v>
      </c>
      <c r="K109" s="24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3">
        <v>21703.0</v>
      </c>
      <c r="B110" s="46" t="s">
        <v>156</v>
      </c>
      <c r="C110" s="6">
        <v>0.5</v>
      </c>
      <c r="D110" s="44" t="str">
        <f t="shared" si="1"/>
        <v>Naranja</v>
      </c>
      <c r="E110" s="45">
        <v>4.239284032030147</v>
      </c>
      <c r="F110" s="44" t="str">
        <f t="shared" si="2"/>
        <v>Amarillo</v>
      </c>
      <c r="K110" s="24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3">
        <v>21801.0</v>
      </c>
      <c r="B111" s="46" t="s">
        <v>158</v>
      </c>
      <c r="C111" s="6">
        <v>0.1</v>
      </c>
      <c r="D111" s="44" t="str">
        <f t="shared" si="1"/>
        <v>Rojo</v>
      </c>
      <c r="E111" s="45">
        <v>0.44873018903952644</v>
      </c>
      <c r="F111" s="44" t="str">
        <f t="shared" si="2"/>
        <v>Naranja</v>
      </c>
      <c r="K111" s="24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3">
        <v>21802.0</v>
      </c>
      <c r="B112" s="46" t="s">
        <v>160</v>
      </c>
      <c r="C112" s="6">
        <v>0.2</v>
      </c>
      <c r="D112" s="44" t="str">
        <f t="shared" si="1"/>
        <v>Naranja</v>
      </c>
      <c r="E112" s="45">
        <v>0.5607599947222588</v>
      </c>
      <c r="F112" s="44" t="str">
        <f t="shared" si="2"/>
        <v>Naranja</v>
      </c>
      <c r="K112" s="24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3">
        <v>21803.0</v>
      </c>
      <c r="B113" s="46" t="s">
        <v>161</v>
      </c>
      <c r="C113" s="6">
        <v>0.3</v>
      </c>
      <c r="D113" s="44" t="str">
        <f t="shared" si="1"/>
        <v>Naranja</v>
      </c>
      <c r="E113" s="45">
        <v>0.8974048023284017</v>
      </c>
      <c r="F113" s="44" t="str">
        <f t="shared" si="2"/>
        <v>Naranja</v>
      </c>
      <c r="K113" s="24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3">
        <v>21901.0</v>
      </c>
      <c r="B114" s="46" t="s">
        <v>163</v>
      </c>
      <c r="C114" s="6">
        <v>0.7</v>
      </c>
      <c r="D114" s="44" t="str">
        <f t="shared" si="1"/>
        <v>Naranja</v>
      </c>
      <c r="E114" s="45">
        <v>2.667528152113716</v>
      </c>
      <c r="F114" s="44" t="str">
        <f t="shared" si="2"/>
        <v>Amarillo</v>
      </c>
      <c r="K114" s="24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3">
        <v>21902.0</v>
      </c>
      <c r="B115" s="46" t="s">
        <v>164</v>
      </c>
      <c r="C115" s="6">
        <v>0.1</v>
      </c>
      <c r="D115" s="44" t="str">
        <f t="shared" si="1"/>
        <v>Rojo</v>
      </c>
      <c r="E115" s="45">
        <v>0.6583588055490243</v>
      </c>
      <c r="F115" s="44" t="str">
        <f t="shared" si="2"/>
        <v>Naranja</v>
      </c>
      <c r="K115" s="24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3">
        <v>22001.0</v>
      </c>
      <c r="B116" s="46" t="s">
        <v>165</v>
      </c>
      <c r="C116" s="6">
        <v>2.5</v>
      </c>
      <c r="D116" s="44" t="str">
        <f t="shared" si="1"/>
        <v>Amarillo</v>
      </c>
      <c r="E116" s="45">
        <v>5.262059002776336</v>
      </c>
      <c r="F116" s="44" t="str">
        <f t="shared" si="2"/>
        <v>Verde</v>
      </c>
      <c r="K116" s="24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3">
        <v>22002.0</v>
      </c>
      <c r="B117" s="46" t="s">
        <v>166</v>
      </c>
      <c r="C117" s="6">
        <v>0.4</v>
      </c>
      <c r="D117" s="44" t="str">
        <f t="shared" si="1"/>
        <v>Naranja</v>
      </c>
      <c r="E117" s="45">
        <v>0.7330184069066623</v>
      </c>
      <c r="F117" s="44" t="str">
        <f t="shared" si="2"/>
        <v>Naranja</v>
      </c>
      <c r="K117" s="24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3">
        <v>30101.0</v>
      </c>
      <c r="B118" s="46" t="s">
        <v>19</v>
      </c>
      <c r="C118" s="6">
        <v>4.2</v>
      </c>
      <c r="D118" s="44" t="str">
        <f t="shared" si="1"/>
        <v>Amarillo</v>
      </c>
      <c r="E118" s="45">
        <v>6.080126167292513</v>
      </c>
      <c r="F118" s="44" t="str">
        <f t="shared" si="2"/>
        <v>Verde</v>
      </c>
      <c r="K118" s="24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3">
        <v>30201.0</v>
      </c>
      <c r="B119" s="46" t="s">
        <v>169</v>
      </c>
      <c r="C119" s="6">
        <v>7.5</v>
      </c>
      <c r="D119" s="44" t="str">
        <f t="shared" si="1"/>
        <v>Verde</v>
      </c>
      <c r="E119" s="45">
        <v>2.7099655577003143</v>
      </c>
      <c r="F119" s="44" t="str">
        <f t="shared" si="2"/>
        <v>Amarillo</v>
      </c>
      <c r="K119" s="24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3">
        <v>30202.0</v>
      </c>
      <c r="B120" s="46" t="s">
        <v>170</v>
      </c>
      <c r="C120" s="6">
        <v>0.5</v>
      </c>
      <c r="D120" s="44" t="str">
        <f t="shared" si="1"/>
        <v>Naranja</v>
      </c>
      <c r="E120" s="45">
        <v>1.7233924269565757</v>
      </c>
      <c r="F120" s="44" t="str">
        <f t="shared" si="2"/>
        <v>Naranja</v>
      </c>
      <c r="K120" s="24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3">
        <v>30203.0</v>
      </c>
      <c r="B121" s="46" t="s">
        <v>171</v>
      </c>
      <c r="C121" s="6">
        <v>0.4</v>
      </c>
      <c r="D121" s="44" t="str">
        <f t="shared" si="1"/>
        <v>Naranja</v>
      </c>
      <c r="E121" s="45">
        <v>0.74282550521362</v>
      </c>
      <c r="F121" s="44" t="str">
        <f t="shared" si="2"/>
        <v>Naranja</v>
      </c>
      <c r="K121" s="24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3">
        <v>30301.0</v>
      </c>
      <c r="B122" s="46" t="s">
        <v>172</v>
      </c>
      <c r="C122" s="6">
        <v>9.3</v>
      </c>
      <c r="D122" s="44" t="str">
        <f t="shared" si="1"/>
        <v>Verde</v>
      </c>
      <c r="E122" s="45">
        <v>1.1417677497747891</v>
      </c>
      <c r="F122" s="44" t="str">
        <f t="shared" si="2"/>
        <v>Naranja</v>
      </c>
      <c r="K122" s="24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3">
        <v>30302.0</v>
      </c>
      <c r="B123" s="46" t="s">
        <v>174</v>
      </c>
      <c r="C123" s="6">
        <v>0.4</v>
      </c>
      <c r="D123" s="44" t="str">
        <f t="shared" si="1"/>
        <v>Naranja</v>
      </c>
      <c r="E123" s="45">
        <v>1.0791232590269222</v>
      </c>
      <c r="F123" s="44" t="str">
        <f t="shared" si="2"/>
        <v>Naranja</v>
      </c>
      <c r="K123" s="24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3">
        <v>30303.0</v>
      </c>
      <c r="B124" s="46" t="s">
        <v>175</v>
      </c>
      <c r="C124" s="6">
        <v>0.1</v>
      </c>
      <c r="D124" s="44" t="str">
        <f t="shared" si="1"/>
        <v>Rojo</v>
      </c>
      <c r="E124" s="45">
        <v>0.24971060029766826</v>
      </c>
      <c r="F124" s="44" t="str">
        <f t="shared" si="2"/>
        <v>Naranja</v>
      </c>
      <c r="K124" s="24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3">
        <v>30401.0</v>
      </c>
      <c r="B125" s="46" t="s">
        <v>177</v>
      </c>
      <c r="C125" s="6">
        <v>1.0</v>
      </c>
      <c r="D125" s="44" t="str">
        <f t="shared" si="1"/>
        <v>Naranja</v>
      </c>
      <c r="E125" s="45">
        <v>2.150834681715932</v>
      </c>
      <c r="F125" s="44" t="str">
        <f t="shared" si="2"/>
        <v>Naranja</v>
      </c>
      <c r="K125" s="24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3">
        <v>30402.0</v>
      </c>
      <c r="B126" s="46" t="s">
        <v>178</v>
      </c>
      <c r="C126" s="6">
        <v>0.7</v>
      </c>
      <c r="D126" s="44" t="str">
        <f t="shared" si="1"/>
        <v>Naranja</v>
      </c>
      <c r="E126" s="45">
        <v>1.7811237605582078</v>
      </c>
      <c r="F126" s="44" t="str">
        <f t="shared" si="2"/>
        <v>Naranja</v>
      </c>
      <c r="K126" s="24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3">
        <v>30403.0</v>
      </c>
      <c r="B127" s="46" t="s">
        <v>179</v>
      </c>
      <c r="C127" s="6">
        <v>2.2</v>
      </c>
      <c r="D127" s="44" t="str">
        <f t="shared" si="1"/>
        <v>Naranja</v>
      </c>
      <c r="E127" s="45">
        <v>6.563484371213956</v>
      </c>
      <c r="F127" s="44" t="str">
        <f t="shared" si="2"/>
        <v>Verde</v>
      </c>
      <c r="K127" s="24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3">
        <v>30404.0</v>
      </c>
      <c r="B128" s="46" t="s">
        <v>180</v>
      </c>
      <c r="C128" s="6">
        <v>1.1</v>
      </c>
      <c r="D128" s="44" t="str">
        <f t="shared" si="1"/>
        <v>Naranja</v>
      </c>
      <c r="E128" s="45">
        <v>2.1978021978021975</v>
      </c>
      <c r="F128" s="44" t="str">
        <f t="shared" si="2"/>
        <v>Naranja</v>
      </c>
      <c r="K128" s="24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3">
        <v>30501.0</v>
      </c>
      <c r="B129" s="46" t="s">
        <v>181</v>
      </c>
      <c r="C129" s="6">
        <v>0.8</v>
      </c>
      <c r="D129" s="44" t="str">
        <f t="shared" si="1"/>
        <v>Naranja</v>
      </c>
      <c r="E129" s="45">
        <v>2.9356943150046595</v>
      </c>
      <c r="F129" s="44" t="str">
        <f t="shared" si="2"/>
        <v>Amarillo</v>
      </c>
      <c r="K129" s="24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3">
        <v>30502.0</v>
      </c>
      <c r="B130" s="46" t="s">
        <v>182</v>
      </c>
      <c r="C130" s="6">
        <v>0.4</v>
      </c>
      <c r="D130" s="44" t="str">
        <f t="shared" si="1"/>
        <v>Naranja</v>
      </c>
      <c r="E130" s="45">
        <v>1.0064991085293609</v>
      </c>
      <c r="F130" s="44" t="str">
        <f t="shared" si="2"/>
        <v>Naranja</v>
      </c>
      <c r="K130" s="24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3">
        <v>30601.0</v>
      </c>
      <c r="B131" s="46" t="s">
        <v>183</v>
      </c>
      <c r="C131" s="6">
        <v>0.4</v>
      </c>
      <c r="D131" s="44" t="str">
        <f t="shared" si="1"/>
        <v>Naranja</v>
      </c>
      <c r="E131" s="45">
        <v>1.053716641850876</v>
      </c>
      <c r="F131" s="44" t="str">
        <f t="shared" si="2"/>
        <v>Naranja</v>
      </c>
      <c r="K131" s="24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3">
        <v>30602.0</v>
      </c>
      <c r="B132" s="46" t="s">
        <v>184</v>
      </c>
      <c r="C132" s="6">
        <v>0.2</v>
      </c>
      <c r="D132" s="44" t="str">
        <f t="shared" si="1"/>
        <v>Naranja</v>
      </c>
      <c r="E132" s="45">
        <v>0.44544752628140405</v>
      </c>
      <c r="F132" s="44" t="str">
        <f t="shared" si="2"/>
        <v>Naranja</v>
      </c>
      <c r="K132" s="24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3">
        <v>30701.0</v>
      </c>
      <c r="B133" s="46" t="s">
        <v>185</v>
      </c>
      <c r="C133" s="6">
        <v>0.7</v>
      </c>
      <c r="D133" s="44" t="str">
        <f t="shared" si="1"/>
        <v>Naranja</v>
      </c>
      <c r="E133" s="45">
        <v>1.549024879531777</v>
      </c>
      <c r="F133" s="44" t="str">
        <f t="shared" si="2"/>
        <v>Naranja</v>
      </c>
      <c r="K133" s="24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3">
        <v>30702.0</v>
      </c>
      <c r="B134" s="46" t="s">
        <v>483</v>
      </c>
      <c r="C134" s="6">
        <v>0.3</v>
      </c>
      <c r="D134" s="44" t="str">
        <f t="shared" si="1"/>
        <v>Naranja</v>
      </c>
      <c r="E134" s="45">
        <v>0.3864157582231158</v>
      </c>
      <c r="F134" s="44" t="str">
        <f t="shared" si="2"/>
        <v>Naranja</v>
      </c>
      <c r="K134" s="24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3">
        <v>30703.0</v>
      </c>
      <c r="B135" s="46" t="s">
        <v>187</v>
      </c>
      <c r="C135" s="6">
        <v>0.2</v>
      </c>
      <c r="D135" s="44" t="str">
        <f t="shared" si="1"/>
        <v>Naranja</v>
      </c>
      <c r="E135" s="45">
        <v>0.4509582863585118</v>
      </c>
      <c r="F135" s="44" t="str">
        <f t="shared" si="2"/>
        <v>Naranja</v>
      </c>
      <c r="K135" s="24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3">
        <v>30801.0</v>
      </c>
      <c r="B136" s="46" t="s">
        <v>189</v>
      </c>
      <c r="C136" s="6">
        <v>4.7</v>
      </c>
      <c r="D136" s="44" t="str">
        <f t="shared" si="1"/>
        <v>Verde</v>
      </c>
      <c r="E136" s="45">
        <v>2.2533040676224725</v>
      </c>
      <c r="F136" s="44" t="str">
        <f t="shared" si="2"/>
        <v>Naranja</v>
      </c>
      <c r="K136" s="24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3">
        <v>30802.0</v>
      </c>
      <c r="B137" s="46" t="s">
        <v>190</v>
      </c>
      <c r="C137" s="6">
        <v>0.3</v>
      </c>
      <c r="D137" s="44" t="str">
        <f t="shared" si="1"/>
        <v>Naranja</v>
      </c>
      <c r="E137" s="45">
        <v>0.6806282722513088</v>
      </c>
      <c r="F137" s="44" t="str">
        <f t="shared" si="2"/>
        <v>Naranja</v>
      </c>
      <c r="K137" s="24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3">
        <v>30803.0</v>
      </c>
      <c r="B138" s="46" t="s">
        <v>191</v>
      </c>
      <c r="C138" s="6">
        <v>1.3</v>
      </c>
      <c r="D138" s="44" t="str">
        <f t="shared" si="1"/>
        <v>Naranja</v>
      </c>
      <c r="E138" s="45">
        <v>2.7764227642276422</v>
      </c>
      <c r="F138" s="44" t="str">
        <f t="shared" si="2"/>
        <v>Amarillo</v>
      </c>
      <c r="K138" s="24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3">
        <v>30901.0</v>
      </c>
      <c r="B139" s="46" t="s">
        <v>192</v>
      </c>
      <c r="C139" s="6">
        <v>3.3</v>
      </c>
      <c r="D139" s="44" t="str">
        <f t="shared" si="1"/>
        <v>Amarillo</v>
      </c>
      <c r="E139" s="45">
        <v>5.135604160478137</v>
      </c>
      <c r="F139" s="44" t="str">
        <f t="shared" si="2"/>
        <v>Verde</v>
      </c>
      <c r="K139" s="24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3">
        <v>30902.0</v>
      </c>
      <c r="B140" s="46" t="s">
        <v>484</v>
      </c>
      <c r="C140" s="6">
        <v>3.0</v>
      </c>
      <c r="D140" s="44" t="str">
        <f t="shared" si="1"/>
        <v>Amarillo</v>
      </c>
      <c r="E140" s="45">
        <v>1.9171300396347217</v>
      </c>
      <c r="F140" s="44" t="str">
        <f t="shared" si="2"/>
        <v>Naranja</v>
      </c>
      <c r="K140" s="24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3">
        <v>30903.0</v>
      </c>
      <c r="B141" s="46" t="s">
        <v>194</v>
      </c>
      <c r="C141" s="6">
        <v>3.4</v>
      </c>
      <c r="D141" s="44" t="str">
        <f t="shared" si="1"/>
        <v>Amarillo</v>
      </c>
      <c r="E141" s="45">
        <v>4.178427730484116</v>
      </c>
      <c r="F141" s="44" t="str">
        <f t="shared" si="2"/>
        <v>Amarillo</v>
      </c>
      <c r="K141" s="2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3">
        <v>30904.0</v>
      </c>
      <c r="B142" s="46" t="s">
        <v>195</v>
      </c>
      <c r="C142" s="6">
        <v>3.1</v>
      </c>
      <c r="D142" s="44" t="str">
        <f t="shared" si="1"/>
        <v>Amarillo</v>
      </c>
      <c r="E142" s="45">
        <v>2.13655305326705</v>
      </c>
      <c r="F142" s="44" t="str">
        <f t="shared" si="2"/>
        <v>Naranja</v>
      </c>
      <c r="K142" s="24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3">
        <v>30905.0</v>
      </c>
      <c r="B143" s="46" t="s">
        <v>196</v>
      </c>
      <c r="C143" s="6">
        <v>2.8</v>
      </c>
      <c r="D143" s="44" t="str">
        <f t="shared" si="1"/>
        <v>Amarillo</v>
      </c>
      <c r="E143" s="45">
        <v>2.4663774781366508</v>
      </c>
      <c r="F143" s="44" t="str">
        <f t="shared" si="2"/>
        <v>Amarillo</v>
      </c>
      <c r="K143" s="24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3">
        <v>31001.0</v>
      </c>
      <c r="B144" s="46" t="s">
        <v>198</v>
      </c>
      <c r="C144" s="6">
        <v>2.9</v>
      </c>
      <c r="D144" s="44" t="str">
        <f t="shared" si="1"/>
        <v>Amarillo</v>
      </c>
      <c r="E144" s="45">
        <v>6.672142555140582</v>
      </c>
      <c r="F144" s="44" t="str">
        <f t="shared" si="2"/>
        <v>Verde</v>
      </c>
      <c r="K144" s="24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3">
        <v>31002.0</v>
      </c>
      <c r="B145" s="46" t="s">
        <v>199</v>
      </c>
      <c r="C145" s="6">
        <v>6.2</v>
      </c>
      <c r="D145" s="44" t="str">
        <f t="shared" si="1"/>
        <v>Verde</v>
      </c>
      <c r="E145" s="45">
        <v>0.7484653767455217</v>
      </c>
      <c r="F145" s="44" t="str">
        <f t="shared" si="2"/>
        <v>Naranja</v>
      </c>
      <c r="K145" s="2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3">
        <v>31003.0</v>
      </c>
      <c r="B146" s="46" t="s">
        <v>200</v>
      </c>
      <c r="C146" s="6">
        <v>2.3</v>
      </c>
      <c r="D146" s="44" t="str">
        <f t="shared" si="1"/>
        <v>Naranja</v>
      </c>
      <c r="E146" s="45">
        <v>5.3084507042253515</v>
      </c>
      <c r="F146" s="44" t="str">
        <f t="shared" si="2"/>
        <v>Verde</v>
      </c>
      <c r="K146" s="24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3">
        <v>31101.0</v>
      </c>
      <c r="B147" s="46" t="s">
        <v>201</v>
      </c>
      <c r="C147" s="6">
        <v>8.0</v>
      </c>
      <c r="D147" s="44" t="str">
        <f t="shared" si="1"/>
        <v>Verde</v>
      </c>
      <c r="E147" s="45">
        <v>1.2561218937057863</v>
      </c>
      <c r="F147" s="44" t="str">
        <f t="shared" si="2"/>
        <v>Naranja</v>
      </c>
      <c r="K147" s="24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3">
        <v>31201.0</v>
      </c>
      <c r="B148" s="46" t="s">
        <v>203</v>
      </c>
      <c r="C148" s="6">
        <v>0.5</v>
      </c>
      <c r="D148" s="44" t="str">
        <f t="shared" si="1"/>
        <v>Naranja</v>
      </c>
      <c r="E148" s="45">
        <v>1.6782923375465466</v>
      </c>
      <c r="F148" s="44" t="str">
        <f t="shared" si="2"/>
        <v>Naranja</v>
      </c>
      <c r="K148" s="24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3">
        <v>31202.0</v>
      </c>
      <c r="B149" s="46" t="s">
        <v>204</v>
      </c>
      <c r="C149" s="6">
        <v>0.3</v>
      </c>
      <c r="D149" s="44" t="str">
        <f t="shared" si="1"/>
        <v>Naranja</v>
      </c>
      <c r="E149" s="45">
        <v>0.7137834036568214</v>
      </c>
      <c r="F149" s="44" t="str">
        <f t="shared" si="2"/>
        <v>Naranja</v>
      </c>
      <c r="K149" s="24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3">
        <v>31203.0</v>
      </c>
      <c r="B150" s="46" t="s">
        <v>205</v>
      </c>
      <c r="C150" s="6">
        <v>0.2</v>
      </c>
      <c r="D150" s="44" t="str">
        <f t="shared" si="1"/>
        <v>Naranja</v>
      </c>
      <c r="E150" s="45">
        <v>0.4341676808209717</v>
      </c>
      <c r="F150" s="44" t="str">
        <f t="shared" si="2"/>
        <v>Naranja</v>
      </c>
      <c r="K150" s="24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3">
        <v>31204.0</v>
      </c>
      <c r="B151" s="46" t="s">
        <v>206</v>
      </c>
      <c r="C151" s="6">
        <v>3.6</v>
      </c>
      <c r="D151" s="44" t="str">
        <f t="shared" si="1"/>
        <v>Amarillo</v>
      </c>
      <c r="E151" s="45">
        <v>2.2716672320217097</v>
      </c>
      <c r="F151" s="44" t="str">
        <f t="shared" si="2"/>
        <v>Naranja</v>
      </c>
      <c r="K151" s="24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3">
        <v>31205.0</v>
      </c>
      <c r="B152" s="46" t="s">
        <v>207</v>
      </c>
      <c r="C152" s="6">
        <v>1.8</v>
      </c>
      <c r="D152" s="44" t="str">
        <f t="shared" si="1"/>
        <v>Naranja</v>
      </c>
      <c r="E152" s="45">
        <v>2.1774331512506415</v>
      </c>
      <c r="F152" s="44" t="str">
        <f t="shared" si="2"/>
        <v>Naranja</v>
      </c>
      <c r="K152" s="24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3">
        <v>31206.0</v>
      </c>
      <c r="B153" s="46" t="s">
        <v>208</v>
      </c>
      <c r="C153" s="6">
        <v>1.9</v>
      </c>
      <c r="D153" s="44" t="str">
        <f t="shared" si="1"/>
        <v>Naranja</v>
      </c>
      <c r="E153" s="45">
        <v>1.9992409867172674</v>
      </c>
      <c r="F153" s="44" t="str">
        <f t="shared" si="2"/>
        <v>Naranja</v>
      </c>
      <c r="K153" s="24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3">
        <v>31301.0</v>
      </c>
      <c r="B154" s="46" t="s">
        <v>209</v>
      </c>
      <c r="C154" s="6">
        <v>3.7</v>
      </c>
      <c r="D154" s="44" t="str">
        <f t="shared" si="1"/>
        <v>Amarillo</v>
      </c>
      <c r="E154" s="45">
        <v>1.728838353613937</v>
      </c>
      <c r="F154" s="44" t="str">
        <f t="shared" si="2"/>
        <v>Naranja</v>
      </c>
      <c r="K154" s="24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3">
        <v>31302.0</v>
      </c>
      <c r="B155" s="46" t="s">
        <v>210</v>
      </c>
      <c r="C155" s="6">
        <v>0.6</v>
      </c>
      <c r="D155" s="44" t="str">
        <f t="shared" si="1"/>
        <v>Naranja</v>
      </c>
      <c r="E155" s="45">
        <v>1.4847344207444582</v>
      </c>
      <c r="F155" s="44" t="str">
        <f t="shared" si="2"/>
        <v>Naranja</v>
      </c>
      <c r="K155" s="24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3">
        <v>31303.0</v>
      </c>
      <c r="B156" s="46" t="s">
        <v>211</v>
      </c>
      <c r="C156" s="6">
        <v>0.2</v>
      </c>
      <c r="D156" s="44" t="str">
        <f t="shared" si="1"/>
        <v>Naranja</v>
      </c>
      <c r="E156" s="45">
        <v>0.43692479315794364</v>
      </c>
      <c r="F156" s="44" t="str">
        <f t="shared" si="2"/>
        <v>Naranja</v>
      </c>
      <c r="K156" s="24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3">
        <v>31304.0</v>
      </c>
      <c r="B157" s="46" t="s">
        <v>212</v>
      </c>
      <c r="C157" s="6"/>
      <c r="D157" s="44" t="str">
        <f t="shared" si="1"/>
        <v>Rojo</v>
      </c>
      <c r="E157" s="45"/>
      <c r="F157" s="44" t="str">
        <f t="shared" si="2"/>
        <v>Rojo</v>
      </c>
      <c r="K157" s="24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3">
        <v>31401.0</v>
      </c>
      <c r="B158" s="46" t="s">
        <v>214</v>
      </c>
      <c r="C158" s="6">
        <v>4.6</v>
      </c>
      <c r="D158" s="44" t="str">
        <f t="shared" si="1"/>
        <v>Amarillo</v>
      </c>
      <c r="E158" s="45">
        <v>5.767298942267919</v>
      </c>
      <c r="F158" s="44" t="str">
        <f t="shared" si="2"/>
        <v>Verde</v>
      </c>
      <c r="K158" s="24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3">
        <v>31402.0</v>
      </c>
      <c r="B159" s="46" t="s">
        <v>215</v>
      </c>
      <c r="C159" s="6">
        <v>0.7</v>
      </c>
      <c r="D159" s="44" t="str">
        <f t="shared" si="1"/>
        <v>Naranja</v>
      </c>
      <c r="E159" s="45">
        <v>1.7707567964731816</v>
      </c>
      <c r="F159" s="44" t="str">
        <f t="shared" si="2"/>
        <v>Naranja</v>
      </c>
      <c r="K159" s="24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3">
        <v>31403.0</v>
      </c>
      <c r="B160" s="46" t="s">
        <v>216</v>
      </c>
      <c r="C160" s="6">
        <v>0.6</v>
      </c>
      <c r="D160" s="44" t="str">
        <f t="shared" si="1"/>
        <v>Naranja</v>
      </c>
      <c r="E160" s="45">
        <v>1.1147050175091555</v>
      </c>
      <c r="F160" s="44" t="str">
        <f t="shared" si="2"/>
        <v>Naranja</v>
      </c>
      <c r="K160" s="24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3">
        <v>31404.0</v>
      </c>
      <c r="B161" s="46" t="s">
        <v>217</v>
      </c>
      <c r="C161" s="6">
        <v>0.7</v>
      </c>
      <c r="D161" s="44" t="str">
        <f t="shared" si="1"/>
        <v>Naranja</v>
      </c>
      <c r="E161" s="45">
        <v>2.8193079880392995</v>
      </c>
      <c r="F161" s="44" t="str">
        <f t="shared" si="2"/>
        <v>Amarillo</v>
      </c>
      <c r="K161" s="24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3">
        <v>31405.0</v>
      </c>
      <c r="B162" s="46" t="s">
        <v>485</v>
      </c>
      <c r="C162" s="6">
        <v>1.2</v>
      </c>
      <c r="D162" s="44" t="str">
        <f t="shared" si="1"/>
        <v>Naranja</v>
      </c>
      <c r="E162" s="45">
        <v>3.3278214138073587</v>
      </c>
      <c r="F162" s="44" t="str">
        <f t="shared" si="2"/>
        <v>Amarillo</v>
      </c>
      <c r="K162" s="24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3">
        <v>31501.0</v>
      </c>
      <c r="B163" s="46" t="s">
        <v>486</v>
      </c>
      <c r="C163" s="6">
        <v>0.2</v>
      </c>
      <c r="D163" s="44" t="str">
        <f t="shared" si="1"/>
        <v>Naranja</v>
      </c>
      <c r="E163" s="45">
        <v>0.6563706563706564</v>
      </c>
      <c r="F163" s="44" t="str">
        <f t="shared" si="2"/>
        <v>Naranja</v>
      </c>
      <c r="K163" s="24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3">
        <v>31601.0</v>
      </c>
      <c r="B164" s="46" t="s">
        <v>220</v>
      </c>
      <c r="C164" s="6">
        <v>6.6</v>
      </c>
      <c r="D164" s="44" t="str">
        <f t="shared" si="1"/>
        <v>Verde</v>
      </c>
      <c r="E164" s="45">
        <v>0.41548128287521235</v>
      </c>
      <c r="F164" s="44" t="str">
        <f t="shared" si="2"/>
        <v>Naranja</v>
      </c>
      <c r="K164" s="24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3">
        <v>31602.0</v>
      </c>
      <c r="B165" s="46" t="s">
        <v>221</v>
      </c>
      <c r="C165" s="6">
        <v>4.4</v>
      </c>
      <c r="D165" s="44" t="str">
        <f t="shared" si="1"/>
        <v>Amarillo</v>
      </c>
      <c r="E165" s="45">
        <v>3.519484427503887</v>
      </c>
      <c r="F165" s="44" t="str">
        <f t="shared" si="2"/>
        <v>Amarillo</v>
      </c>
      <c r="K165" s="24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3">
        <v>40101.0</v>
      </c>
      <c r="B166" s="46" t="s">
        <v>22</v>
      </c>
      <c r="C166" s="6">
        <v>3.3</v>
      </c>
      <c r="D166" s="44" t="str">
        <f t="shared" si="1"/>
        <v>Amarillo</v>
      </c>
      <c r="E166" s="45">
        <v>4.402460986402983</v>
      </c>
      <c r="F166" s="44" t="str">
        <f t="shared" si="2"/>
        <v>Amarillo</v>
      </c>
      <c r="K166" s="24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3">
        <v>40102.0</v>
      </c>
      <c r="B167" s="46" t="s">
        <v>222</v>
      </c>
      <c r="C167" s="6">
        <v>2.2</v>
      </c>
      <c r="D167" s="44" t="str">
        <f t="shared" si="1"/>
        <v>Naranja</v>
      </c>
      <c r="E167" s="45">
        <v>2.4637000825549964</v>
      </c>
      <c r="F167" s="44" t="str">
        <f t="shared" si="2"/>
        <v>Amarillo</v>
      </c>
      <c r="K167" s="24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3">
        <v>40103.0</v>
      </c>
      <c r="B168" s="46" t="s">
        <v>223</v>
      </c>
      <c r="C168" s="6">
        <v>0.2</v>
      </c>
      <c r="D168" s="44" t="str">
        <f t="shared" si="1"/>
        <v>Naranja</v>
      </c>
      <c r="E168" s="45">
        <v>0.5294581502759942</v>
      </c>
      <c r="F168" s="44" t="str">
        <f t="shared" si="2"/>
        <v>Naranja</v>
      </c>
      <c r="K168" s="24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3">
        <v>40104.0</v>
      </c>
      <c r="B169" s="46" t="s">
        <v>487</v>
      </c>
      <c r="C169" s="6">
        <v>0.3</v>
      </c>
      <c r="D169" s="44" t="str">
        <f t="shared" si="1"/>
        <v>Naranja</v>
      </c>
      <c r="E169" s="45">
        <v>0.40925142068707465</v>
      </c>
      <c r="F169" s="44" t="str">
        <f t="shared" si="2"/>
        <v>Naranja</v>
      </c>
      <c r="K169" s="24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3">
        <v>40201.0</v>
      </c>
      <c r="B170" s="46" t="s">
        <v>226</v>
      </c>
      <c r="C170" s="6">
        <v>2.1</v>
      </c>
      <c r="D170" s="44" t="str">
        <f t="shared" si="1"/>
        <v>Naranja</v>
      </c>
      <c r="E170" s="45">
        <v>5.735763894407272</v>
      </c>
      <c r="F170" s="44" t="str">
        <f t="shared" si="2"/>
        <v>Verde</v>
      </c>
      <c r="K170" s="24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3">
        <v>40202.0</v>
      </c>
      <c r="B171" s="46" t="s">
        <v>227</v>
      </c>
      <c r="C171" s="6">
        <v>0.6</v>
      </c>
      <c r="D171" s="44" t="str">
        <f t="shared" si="1"/>
        <v>Naranja</v>
      </c>
      <c r="E171" s="45">
        <v>1.5787585217079299</v>
      </c>
      <c r="F171" s="44" t="str">
        <f t="shared" si="2"/>
        <v>Naranja</v>
      </c>
      <c r="K171" s="24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3">
        <v>40301.0</v>
      </c>
      <c r="B172" s="46" t="s">
        <v>229</v>
      </c>
      <c r="C172" s="6">
        <v>0.4</v>
      </c>
      <c r="D172" s="44" t="str">
        <f t="shared" si="1"/>
        <v>Naranja</v>
      </c>
      <c r="E172" s="45">
        <v>1.2375313383474689</v>
      </c>
      <c r="F172" s="44" t="str">
        <f t="shared" si="2"/>
        <v>Naranja</v>
      </c>
      <c r="K172" s="24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3">
        <v>40302.0</v>
      </c>
      <c r="B173" s="46" t="s">
        <v>230</v>
      </c>
      <c r="C173" s="6">
        <v>0.3</v>
      </c>
      <c r="D173" s="44" t="str">
        <f t="shared" si="1"/>
        <v>Naranja</v>
      </c>
      <c r="E173" s="45">
        <v>0.9491114701130855</v>
      </c>
      <c r="F173" s="44" t="str">
        <f t="shared" si="2"/>
        <v>Naranja</v>
      </c>
      <c r="K173" s="24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3">
        <v>40401.0</v>
      </c>
      <c r="B174" s="46" t="s">
        <v>232</v>
      </c>
      <c r="C174" s="6">
        <v>0.2</v>
      </c>
      <c r="D174" s="44" t="str">
        <f t="shared" si="1"/>
        <v>Naranja</v>
      </c>
      <c r="E174" s="45">
        <v>0.595696965449576</v>
      </c>
      <c r="F174" s="44" t="str">
        <f t="shared" si="2"/>
        <v>Naranja</v>
      </c>
      <c r="K174" s="24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3">
        <v>40402.0</v>
      </c>
      <c r="B175" s="46" t="s">
        <v>233</v>
      </c>
      <c r="C175" s="6">
        <v>0.4</v>
      </c>
      <c r="D175" s="44" t="str">
        <f t="shared" si="1"/>
        <v>Naranja</v>
      </c>
      <c r="E175" s="45">
        <v>1.0633379565418402</v>
      </c>
      <c r="F175" s="44" t="str">
        <f t="shared" si="2"/>
        <v>Naranja</v>
      </c>
      <c r="K175" s="24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3">
        <v>40501.0</v>
      </c>
      <c r="B176" s="46" t="s">
        <v>235</v>
      </c>
      <c r="C176" s="6">
        <v>1.1</v>
      </c>
      <c r="D176" s="44" t="str">
        <f t="shared" si="1"/>
        <v>Naranja</v>
      </c>
      <c r="E176" s="45">
        <v>2.9259896729776247</v>
      </c>
      <c r="F176" s="44" t="str">
        <f t="shared" si="2"/>
        <v>Amarillo</v>
      </c>
      <c r="K176" s="24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3">
        <v>40502.0</v>
      </c>
      <c r="B177" s="46" t="s">
        <v>236</v>
      </c>
      <c r="C177" s="6">
        <v>0.3</v>
      </c>
      <c r="D177" s="44" t="str">
        <f t="shared" si="1"/>
        <v>Naranja</v>
      </c>
      <c r="E177" s="45">
        <v>2.2321942239097914</v>
      </c>
      <c r="F177" s="44" t="str">
        <f t="shared" si="2"/>
        <v>Naranja</v>
      </c>
      <c r="K177" s="24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3">
        <v>40503.0</v>
      </c>
      <c r="B178" s="46" t="s">
        <v>237</v>
      </c>
      <c r="C178" s="6">
        <v>0.2</v>
      </c>
      <c r="D178" s="44" t="str">
        <f t="shared" si="1"/>
        <v>Naranja</v>
      </c>
      <c r="E178" s="45">
        <v>0.9487666034155597</v>
      </c>
      <c r="F178" s="44" t="str">
        <f t="shared" si="2"/>
        <v>Naranja</v>
      </c>
      <c r="K178" s="24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3">
        <v>40504.0</v>
      </c>
      <c r="B179" s="46" t="s">
        <v>238</v>
      </c>
      <c r="C179" s="6">
        <v>0.0</v>
      </c>
      <c r="D179" s="44" t="str">
        <f t="shared" si="1"/>
        <v>Rojo</v>
      </c>
      <c r="E179" s="45">
        <v>5.755947812739831</v>
      </c>
      <c r="F179" s="44" t="str">
        <f t="shared" si="2"/>
        <v>Verde</v>
      </c>
      <c r="K179" s="24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3">
        <v>40505.0</v>
      </c>
      <c r="B180" s="46" t="s">
        <v>239</v>
      </c>
      <c r="C180" s="6">
        <v>0.2</v>
      </c>
      <c r="D180" s="44" t="str">
        <f t="shared" si="1"/>
        <v>Naranja</v>
      </c>
      <c r="E180" s="45">
        <v>1.054520978236482</v>
      </c>
      <c r="F180" s="44" t="str">
        <f t="shared" si="2"/>
        <v>Naranja</v>
      </c>
      <c r="K180" s="24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3">
        <v>40601.0</v>
      </c>
      <c r="B181" s="46" t="s">
        <v>240</v>
      </c>
      <c r="C181" s="6">
        <v>0.1</v>
      </c>
      <c r="D181" s="44" t="str">
        <f t="shared" si="1"/>
        <v>Rojo</v>
      </c>
      <c r="E181" s="45">
        <v>0.3126135255540047</v>
      </c>
      <c r="F181" s="44" t="str">
        <f t="shared" si="2"/>
        <v>Naranja</v>
      </c>
      <c r="K181" s="24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3">
        <v>40602.0</v>
      </c>
      <c r="B182" s="46" t="s">
        <v>241</v>
      </c>
      <c r="C182" s="6">
        <v>0.5</v>
      </c>
      <c r="D182" s="44" t="str">
        <f t="shared" si="1"/>
        <v>Naranja</v>
      </c>
      <c r="E182" s="45">
        <v>1.0596427490160458</v>
      </c>
      <c r="F182" s="44" t="str">
        <f t="shared" si="2"/>
        <v>Naranja</v>
      </c>
      <c r="K182" s="24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3">
        <v>40603.0</v>
      </c>
      <c r="B183" s="46" t="s">
        <v>242</v>
      </c>
      <c r="C183" s="6">
        <v>0.0</v>
      </c>
      <c r="D183" s="44" t="str">
        <f t="shared" si="1"/>
        <v>Rojo</v>
      </c>
      <c r="E183" s="45">
        <v>0.03161983919053212</v>
      </c>
      <c r="F183" s="44" t="str">
        <f t="shared" si="2"/>
        <v>Rojo</v>
      </c>
      <c r="K183" s="24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3">
        <v>40701.0</v>
      </c>
      <c r="B184" s="46" t="s">
        <v>244</v>
      </c>
      <c r="C184" s="6">
        <v>0.7</v>
      </c>
      <c r="D184" s="44" t="str">
        <f t="shared" si="1"/>
        <v>Naranja</v>
      </c>
      <c r="E184" s="45">
        <v>0.9513528102017407</v>
      </c>
      <c r="F184" s="44" t="str">
        <f t="shared" si="2"/>
        <v>Naranja</v>
      </c>
      <c r="K184" s="24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3">
        <v>40702.0</v>
      </c>
      <c r="B185" s="46" t="s">
        <v>245</v>
      </c>
      <c r="C185" s="6">
        <v>1.1</v>
      </c>
      <c r="D185" s="44" t="str">
        <f t="shared" si="1"/>
        <v>Naranja</v>
      </c>
      <c r="E185" s="45">
        <v>1.8554116172168826</v>
      </c>
      <c r="F185" s="44" t="str">
        <f t="shared" si="2"/>
        <v>Naranja</v>
      </c>
      <c r="K185" s="24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3">
        <v>40801.0</v>
      </c>
      <c r="B186" s="46" t="s">
        <v>488</v>
      </c>
      <c r="C186" s="6">
        <v>0.2</v>
      </c>
      <c r="D186" s="44" t="str">
        <f t="shared" si="1"/>
        <v>Naranja</v>
      </c>
      <c r="E186" s="45">
        <v>0.45580777589954125</v>
      </c>
      <c r="F186" s="44" t="str">
        <f t="shared" si="2"/>
        <v>Naranja</v>
      </c>
      <c r="K186" s="24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3">
        <v>40802.0</v>
      </c>
      <c r="B187" s="46" t="s">
        <v>248</v>
      </c>
      <c r="C187" s="6">
        <v>0.3</v>
      </c>
      <c r="D187" s="44" t="str">
        <f t="shared" si="1"/>
        <v>Naranja</v>
      </c>
      <c r="E187" s="45">
        <v>0.5026737967914439</v>
      </c>
      <c r="F187" s="44" t="str">
        <f t="shared" si="2"/>
        <v>Naranja</v>
      </c>
      <c r="K187" s="24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3">
        <v>40901.0</v>
      </c>
      <c r="B188" s="46" t="s">
        <v>249</v>
      </c>
      <c r="C188" s="6">
        <v>0.9</v>
      </c>
      <c r="D188" s="44" t="str">
        <f t="shared" si="1"/>
        <v>Naranja</v>
      </c>
      <c r="E188" s="45">
        <v>2.864400840925018</v>
      </c>
      <c r="F188" s="44" t="str">
        <f t="shared" si="2"/>
        <v>Amarillo</v>
      </c>
      <c r="K188" s="24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3">
        <v>40902.0</v>
      </c>
      <c r="B189" s="46" t="s">
        <v>250</v>
      </c>
      <c r="C189" s="6">
        <v>0.1</v>
      </c>
      <c r="D189" s="44" t="str">
        <f t="shared" si="1"/>
        <v>Rojo</v>
      </c>
      <c r="E189" s="45">
        <v>0.37236243276789405</v>
      </c>
      <c r="F189" s="44" t="str">
        <f t="shared" si="2"/>
        <v>Naranja</v>
      </c>
      <c r="K189" s="24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3">
        <v>40903.0</v>
      </c>
      <c r="B190" s="46" t="s">
        <v>489</v>
      </c>
      <c r="C190" s="6">
        <v>0.2</v>
      </c>
      <c r="D190" s="44" t="str">
        <f t="shared" si="1"/>
        <v>Naranja</v>
      </c>
      <c r="E190" s="45">
        <v>0.581207620277688</v>
      </c>
      <c r="F190" s="44" t="str">
        <f t="shared" si="2"/>
        <v>Naranja</v>
      </c>
      <c r="K190" s="24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3">
        <v>41001.0</v>
      </c>
      <c r="B191" s="46" t="s">
        <v>253</v>
      </c>
      <c r="C191" s="6">
        <v>0.3</v>
      </c>
      <c r="D191" s="44" t="str">
        <f t="shared" si="1"/>
        <v>Naranja</v>
      </c>
      <c r="E191" s="45">
        <v>0.8642711171662124</v>
      </c>
      <c r="F191" s="44" t="str">
        <f t="shared" si="2"/>
        <v>Naranja</v>
      </c>
      <c r="K191" s="24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3">
        <v>41101.0</v>
      </c>
      <c r="B192" s="46" t="s">
        <v>255</v>
      </c>
      <c r="C192" s="6">
        <v>0.7</v>
      </c>
      <c r="D192" s="44" t="str">
        <f t="shared" si="1"/>
        <v>Naranja</v>
      </c>
      <c r="E192" s="45">
        <v>1.3652533410249013</v>
      </c>
      <c r="F192" s="44" t="str">
        <f t="shared" si="2"/>
        <v>Naranja</v>
      </c>
      <c r="K192" s="24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3">
        <v>41201.0</v>
      </c>
      <c r="B193" s="46" t="s">
        <v>490</v>
      </c>
      <c r="C193" s="6">
        <v>0.3</v>
      </c>
      <c r="D193" s="44" t="str">
        <f t="shared" si="1"/>
        <v>Naranja</v>
      </c>
      <c r="E193" s="45">
        <v>0.5818463925523661</v>
      </c>
      <c r="F193" s="44" t="str">
        <f t="shared" si="2"/>
        <v>Naranja</v>
      </c>
      <c r="K193" s="24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3">
        <v>41202.0</v>
      </c>
      <c r="B194" s="46" t="s">
        <v>258</v>
      </c>
      <c r="C194" s="6">
        <v>0.3</v>
      </c>
      <c r="D194" s="44" t="str">
        <f t="shared" si="1"/>
        <v>Naranja</v>
      </c>
      <c r="E194" s="45">
        <v>0.7863476660532038</v>
      </c>
      <c r="F194" s="44" t="str">
        <f t="shared" si="2"/>
        <v>Naranja</v>
      </c>
      <c r="K194" s="24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3">
        <v>41301.0</v>
      </c>
      <c r="B195" s="46" t="s">
        <v>203</v>
      </c>
      <c r="C195" s="6">
        <v>0.2</v>
      </c>
      <c r="D195" s="44" t="str">
        <f t="shared" si="1"/>
        <v>Naranja</v>
      </c>
      <c r="E195" s="45">
        <v>0.8247622744032602</v>
      </c>
      <c r="F195" s="44" t="str">
        <f t="shared" si="2"/>
        <v>Naranja</v>
      </c>
      <c r="K195" s="24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3">
        <v>41401.0</v>
      </c>
      <c r="B196" s="46" t="s">
        <v>261</v>
      </c>
      <c r="C196" s="6">
        <v>0.2</v>
      </c>
      <c r="D196" s="44" t="str">
        <f t="shared" si="1"/>
        <v>Naranja</v>
      </c>
      <c r="E196" s="45">
        <v>0.22907438739235408</v>
      </c>
      <c r="F196" s="44" t="str">
        <f t="shared" si="2"/>
        <v>Naranja</v>
      </c>
      <c r="K196" s="24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3">
        <v>41501.0</v>
      </c>
      <c r="B197" s="46" t="s">
        <v>263</v>
      </c>
      <c r="C197" s="6">
        <v>0.1</v>
      </c>
      <c r="D197" s="44" t="str">
        <f t="shared" si="1"/>
        <v>Rojo</v>
      </c>
      <c r="E197" s="45">
        <v>0.36481556546412647</v>
      </c>
      <c r="F197" s="44" t="str">
        <f t="shared" si="2"/>
        <v>Naranja</v>
      </c>
      <c r="K197" s="24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3">
        <v>41502.0</v>
      </c>
      <c r="B198" s="46" t="s">
        <v>264</v>
      </c>
      <c r="C198" s="6">
        <v>0.2</v>
      </c>
      <c r="D198" s="44" t="str">
        <f t="shared" si="1"/>
        <v>Naranja</v>
      </c>
      <c r="E198" s="45">
        <v>0.5202312138728323</v>
      </c>
      <c r="F198" s="44" t="str">
        <f t="shared" si="2"/>
        <v>Naranja</v>
      </c>
      <c r="K198" s="24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3">
        <v>41503.0</v>
      </c>
      <c r="B199" s="46" t="s">
        <v>228</v>
      </c>
      <c r="C199" s="6">
        <v>0.5</v>
      </c>
      <c r="D199" s="44" t="str">
        <f t="shared" si="1"/>
        <v>Naranja</v>
      </c>
      <c r="E199" s="45">
        <v>4.831124412141941</v>
      </c>
      <c r="F199" s="44" t="str">
        <f t="shared" si="2"/>
        <v>Verde</v>
      </c>
      <c r="K199" s="24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3">
        <v>41601.0</v>
      </c>
      <c r="B200" s="46" t="s">
        <v>491</v>
      </c>
      <c r="C200" s="6">
        <v>0.2</v>
      </c>
      <c r="D200" s="44" t="str">
        <f t="shared" si="1"/>
        <v>Naranja</v>
      </c>
      <c r="E200" s="45">
        <v>0.5125815470643057</v>
      </c>
      <c r="F200" s="44" t="str">
        <f t="shared" si="2"/>
        <v>Naranja</v>
      </c>
      <c r="K200" s="24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3">
        <v>50101.0</v>
      </c>
      <c r="B201" s="46" t="s">
        <v>267</v>
      </c>
      <c r="C201" s="6">
        <v>5.4</v>
      </c>
      <c r="D201" s="44" t="str">
        <f t="shared" si="1"/>
        <v>Verde</v>
      </c>
      <c r="E201" s="45">
        <v>3.2447254037385638</v>
      </c>
      <c r="F201" s="44" t="str">
        <f t="shared" si="2"/>
        <v>Amarillo</v>
      </c>
      <c r="K201" s="24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3">
        <v>50102.0</v>
      </c>
      <c r="B202" s="46" t="s">
        <v>269</v>
      </c>
      <c r="C202" s="6">
        <v>2.0</v>
      </c>
      <c r="D202" s="44" t="str">
        <f t="shared" si="1"/>
        <v>Naranja</v>
      </c>
      <c r="E202" s="45">
        <v>0.963275135460566</v>
      </c>
      <c r="F202" s="44" t="str">
        <f t="shared" si="2"/>
        <v>Naranja</v>
      </c>
      <c r="K202" s="24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3">
        <v>50103.0</v>
      </c>
      <c r="B203" s="46" t="s">
        <v>270</v>
      </c>
      <c r="C203" s="6">
        <v>0.7</v>
      </c>
      <c r="D203" s="44" t="str">
        <f t="shared" si="1"/>
        <v>Naranja</v>
      </c>
      <c r="E203" s="45">
        <v>2.050326188257223</v>
      </c>
      <c r="F203" s="44" t="str">
        <f t="shared" si="2"/>
        <v>Naranja</v>
      </c>
      <c r="K203" s="24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3">
        <v>50104.0</v>
      </c>
      <c r="B204" s="46" t="s">
        <v>492</v>
      </c>
      <c r="C204" s="6">
        <v>0.2</v>
      </c>
      <c r="D204" s="44" t="str">
        <f t="shared" si="1"/>
        <v>Naranja</v>
      </c>
      <c r="E204" s="45">
        <v>2.5749933634191664</v>
      </c>
      <c r="F204" s="44" t="str">
        <f t="shared" si="2"/>
        <v>Amarillo</v>
      </c>
      <c r="K204" s="24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3">
        <v>50201.0</v>
      </c>
      <c r="B205" s="46" t="s">
        <v>273</v>
      </c>
      <c r="C205" s="6">
        <v>3.1</v>
      </c>
      <c r="D205" s="44" t="str">
        <f t="shared" si="1"/>
        <v>Amarillo</v>
      </c>
      <c r="E205" s="45">
        <v>2.6918622715589073</v>
      </c>
      <c r="F205" s="44" t="str">
        <f t="shared" si="2"/>
        <v>Amarillo</v>
      </c>
      <c r="K205" s="24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3">
        <v>50202.0</v>
      </c>
      <c r="B206" s="46" t="s">
        <v>274</v>
      </c>
      <c r="C206" s="6">
        <v>0.5</v>
      </c>
      <c r="D206" s="44" t="str">
        <f t="shared" si="1"/>
        <v>Naranja</v>
      </c>
      <c r="E206" s="45">
        <v>1.229138881880114</v>
      </c>
      <c r="F206" s="44" t="str">
        <f t="shared" si="2"/>
        <v>Naranja</v>
      </c>
      <c r="K206" s="24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3">
        <v>50203.0</v>
      </c>
      <c r="B207" s="46" t="s">
        <v>275</v>
      </c>
      <c r="C207" s="6">
        <v>2.5</v>
      </c>
      <c r="D207" s="44" t="str">
        <f t="shared" si="1"/>
        <v>Amarillo</v>
      </c>
      <c r="E207" s="45">
        <v>5.574612344787466</v>
      </c>
      <c r="F207" s="44" t="str">
        <f t="shared" si="2"/>
        <v>Verde</v>
      </c>
      <c r="K207" s="24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3">
        <v>50204.0</v>
      </c>
      <c r="B208" s="46" t="s">
        <v>493</v>
      </c>
      <c r="C208" s="6">
        <v>0.3</v>
      </c>
      <c r="D208" s="44" t="str">
        <f t="shared" si="1"/>
        <v>Naranja</v>
      </c>
      <c r="E208" s="45">
        <v>0.8436213991769547</v>
      </c>
      <c r="F208" s="44" t="str">
        <f t="shared" si="2"/>
        <v>Naranja</v>
      </c>
      <c r="K208" s="24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3">
        <v>50301.0</v>
      </c>
      <c r="B209" s="46" t="s">
        <v>278</v>
      </c>
      <c r="C209" s="6">
        <v>2.2</v>
      </c>
      <c r="D209" s="44" t="str">
        <f t="shared" si="1"/>
        <v>Naranja</v>
      </c>
      <c r="E209" s="45">
        <v>1.8381971128881502</v>
      </c>
      <c r="F209" s="44" t="str">
        <f t="shared" si="2"/>
        <v>Naranja</v>
      </c>
      <c r="K209" s="24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3">
        <v>50302.0</v>
      </c>
      <c r="B210" s="46" t="s">
        <v>279</v>
      </c>
      <c r="C210" s="6">
        <v>0.7</v>
      </c>
      <c r="D210" s="44" t="str">
        <f t="shared" si="1"/>
        <v>Naranja</v>
      </c>
      <c r="E210" s="45">
        <v>5.321279048601419</v>
      </c>
      <c r="F210" s="44" t="str">
        <f t="shared" si="2"/>
        <v>Verde</v>
      </c>
      <c r="K210" s="24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3">
        <v>50303.0</v>
      </c>
      <c r="B211" s="46" t="s">
        <v>280</v>
      </c>
      <c r="C211" s="6">
        <v>0.2</v>
      </c>
      <c r="D211" s="44" t="str">
        <f t="shared" si="1"/>
        <v>Naranja</v>
      </c>
      <c r="E211" s="45">
        <v>0.39715854052308686</v>
      </c>
      <c r="F211" s="44" t="str">
        <f t="shared" si="2"/>
        <v>Naranja</v>
      </c>
      <c r="K211" s="24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3">
        <v>50401.0</v>
      </c>
      <c r="B212" s="46" t="s">
        <v>281</v>
      </c>
      <c r="C212" s="6">
        <v>1.5</v>
      </c>
      <c r="D212" s="44" t="str">
        <f t="shared" si="1"/>
        <v>Naranja</v>
      </c>
      <c r="E212" s="45">
        <v>0.9718447876993948</v>
      </c>
      <c r="F212" s="44" t="str">
        <f t="shared" si="2"/>
        <v>Naranja</v>
      </c>
      <c r="K212" s="24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3">
        <v>50402.0</v>
      </c>
      <c r="B213" s="46" t="s">
        <v>282</v>
      </c>
      <c r="C213" s="6">
        <v>2.6</v>
      </c>
      <c r="D213" s="44" t="str">
        <f t="shared" si="1"/>
        <v>Amarillo</v>
      </c>
      <c r="E213" s="45">
        <v>0.9652127147669054</v>
      </c>
      <c r="F213" s="44" t="str">
        <f t="shared" si="2"/>
        <v>Naranja</v>
      </c>
      <c r="K213" s="24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3">
        <v>50403.0</v>
      </c>
      <c r="B214" s="46" t="s">
        <v>283</v>
      </c>
      <c r="C214" s="6">
        <v>2.1</v>
      </c>
      <c r="D214" s="44" t="str">
        <f t="shared" si="1"/>
        <v>Naranja</v>
      </c>
      <c r="E214" s="45">
        <v>1.081868070332624</v>
      </c>
      <c r="F214" s="44" t="str">
        <f t="shared" si="2"/>
        <v>Naranja</v>
      </c>
      <c r="K214" s="24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3">
        <v>50404.0</v>
      </c>
      <c r="B215" s="46" t="s">
        <v>284</v>
      </c>
      <c r="C215" s="6">
        <v>0.3</v>
      </c>
      <c r="D215" s="44" t="str">
        <f t="shared" si="1"/>
        <v>Naranja</v>
      </c>
      <c r="E215" s="45">
        <v>1.0653985106539852</v>
      </c>
      <c r="F215" s="44" t="str">
        <f t="shared" si="2"/>
        <v>Naranja</v>
      </c>
      <c r="K215" s="24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3">
        <v>50405.0</v>
      </c>
      <c r="B216" s="46" t="s">
        <v>285</v>
      </c>
      <c r="C216" s="6"/>
      <c r="D216" s="44" t="str">
        <f t="shared" si="1"/>
        <v>Rojo</v>
      </c>
      <c r="E216" s="45"/>
      <c r="F216" s="44" t="str">
        <f t="shared" si="2"/>
        <v>Rojo</v>
      </c>
      <c r="K216" s="24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3">
        <v>50501.0</v>
      </c>
      <c r="B217" s="46" t="s">
        <v>386</v>
      </c>
      <c r="C217" s="6">
        <v>2.0</v>
      </c>
      <c r="D217" s="44" t="str">
        <f t="shared" si="1"/>
        <v>Naranja</v>
      </c>
      <c r="E217" s="45">
        <v>1.0272117348001832</v>
      </c>
      <c r="F217" s="44" t="str">
        <f t="shared" si="2"/>
        <v>Naranja</v>
      </c>
      <c r="K217" s="24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3">
        <v>50502.0</v>
      </c>
      <c r="B218" s="46" t="s">
        <v>289</v>
      </c>
      <c r="C218" s="6">
        <v>24.9</v>
      </c>
      <c r="D218" s="44" t="str">
        <f t="shared" si="1"/>
        <v>Verde</v>
      </c>
      <c r="E218" s="45">
        <v>5.800199515462449</v>
      </c>
      <c r="F218" s="44" t="str">
        <f t="shared" si="2"/>
        <v>Verde</v>
      </c>
      <c r="K218" s="24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3">
        <v>50601.0</v>
      </c>
      <c r="B219" s="46" t="s">
        <v>291</v>
      </c>
      <c r="C219" s="6">
        <v>2.5</v>
      </c>
      <c r="D219" s="44" t="str">
        <f t="shared" si="1"/>
        <v>Amarillo</v>
      </c>
      <c r="E219" s="45">
        <v>2.790890957446808</v>
      </c>
      <c r="F219" s="44" t="str">
        <f t="shared" si="2"/>
        <v>Amarillo</v>
      </c>
      <c r="K219" s="24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3">
        <v>50602.0</v>
      </c>
      <c r="B220" s="46" t="s">
        <v>292</v>
      </c>
      <c r="C220" s="6">
        <v>1.4</v>
      </c>
      <c r="D220" s="44" t="str">
        <f t="shared" si="1"/>
        <v>Naranja</v>
      </c>
      <c r="E220" s="45">
        <v>3.7844960105409555</v>
      </c>
      <c r="F220" s="44" t="str">
        <f t="shared" si="2"/>
        <v>Amarillo</v>
      </c>
      <c r="K220" s="24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3">
        <v>50701.0</v>
      </c>
      <c r="B221" s="46" t="s">
        <v>494</v>
      </c>
      <c r="C221" s="6">
        <v>0.4</v>
      </c>
      <c r="D221" s="44" t="str">
        <f t="shared" si="1"/>
        <v>Naranja</v>
      </c>
      <c r="E221" s="45">
        <v>1.142660273893945</v>
      </c>
      <c r="F221" s="44" t="str">
        <f t="shared" si="2"/>
        <v>Naranja</v>
      </c>
      <c r="K221" s="24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3">
        <v>50702.0</v>
      </c>
      <c r="B222" s="46" t="s">
        <v>295</v>
      </c>
      <c r="C222" s="6">
        <v>0.3</v>
      </c>
      <c r="D222" s="44" t="str">
        <f t="shared" si="1"/>
        <v>Naranja</v>
      </c>
      <c r="E222" s="45">
        <v>1.2475939259998574</v>
      </c>
      <c r="F222" s="44" t="str">
        <f t="shared" si="2"/>
        <v>Naranja</v>
      </c>
      <c r="K222" s="24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3">
        <v>50801.0</v>
      </c>
      <c r="B223" s="46" t="s">
        <v>297</v>
      </c>
      <c r="C223" s="6">
        <v>4.4</v>
      </c>
      <c r="D223" s="44" t="str">
        <f t="shared" si="1"/>
        <v>Amarillo</v>
      </c>
      <c r="E223" s="45">
        <v>6.496426340989522</v>
      </c>
      <c r="F223" s="44" t="str">
        <f t="shared" si="2"/>
        <v>Verde</v>
      </c>
      <c r="K223" s="24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3">
        <v>50802.0</v>
      </c>
      <c r="B224" s="46" t="s">
        <v>298</v>
      </c>
      <c r="C224" s="6">
        <v>0.3</v>
      </c>
      <c r="D224" s="44" t="str">
        <f t="shared" si="1"/>
        <v>Naranja</v>
      </c>
      <c r="E224" s="45">
        <v>0.45143491813263587</v>
      </c>
      <c r="F224" s="44" t="str">
        <f t="shared" si="2"/>
        <v>Naranja</v>
      </c>
      <c r="K224" s="24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3">
        <v>50901.0</v>
      </c>
      <c r="B225" s="46" t="s">
        <v>495</v>
      </c>
      <c r="C225" s="6">
        <v>0.0</v>
      </c>
      <c r="D225" s="44" t="str">
        <f t="shared" si="1"/>
        <v>Rojo</v>
      </c>
      <c r="E225" s="45">
        <v>0.16736460458136457</v>
      </c>
      <c r="F225" s="44" t="str">
        <f t="shared" si="2"/>
        <v>Naranja</v>
      </c>
      <c r="K225" s="24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3">
        <v>50902.0</v>
      </c>
      <c r="B226" s="46" t="s">
        <v>301</v>
      </c>
      <c r="C226" s="6">
        <v>1.1</v>
      </c>
      <c r="D226" s="44" t="str">
        <f t="shared" si="1"/>
        <v>Naranja</v>
      </c>
      <c r="E226" s="45">
        <v>2.009777294948398</v>
      </c>
      <c r="F226" s="44" t="str">
        <f t="shared" si="2"/>
        <v>Naranja</v>
      </c>
      <c r="K226" s="24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3">
        <v>51001.0</v>
      </c>
      <c r="B227" s="46" t="s">
        <v>496</v>
      </c>
      <c r="C227" s="6">
        <v>1.9</v>
      </c>
      <c r="D227" s="44" t="str">
        <f t="shared" si="1"/>
        <v>Naranja</v>
      </c>
      <c r="E227" s="45">
        <v>3.1774133432724567</v>
      </c>
      <c r="F227" s="44" t="str">
        <f t="shared" si="2"/>
        <v>Amarillo</v>
      </c>
      <c r="K227" s="24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3">
        <v>51002.0</v>
      </c>
      <c r="B228" s="46" t="s">
        <v>304</v>
      </c>
      <c r="C228" s="6">
        <v>0.0</v>
      </c>
      <c r="D228" s="44" t="str">
        <f t="shared" si="1"/>
        <v>Rojo</v>
      </c>
      <c r="E228" s="45">
        <v>0.7853403141361256</v>
      </c>
      <c r="F228" s="44" t="str">
        <f t="shared" si="2"/>
        <v>Naranja</v>
      </c>
      <c r="K228" s="24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3">
        <v>51003.0</v>
      </c>
      <c r="B229" s="46" t="s">
        <v>305</v>
      </c>
      <c r="C229" s="6">
        <v>0.9</v>
      </c>
      <c r="D229" s="44" t="str">
        <f t="shared" si="1"/>
        <v>Naranja</v>
      </c>
      <c r="E229" s="45">
        <v>3.6443148688046647</v>
      </c>
      <c r="F229" s="44" t="str">
        <f t="shared" si="2"/>
        <v>Amarillo</v>
      </c>
      <c r="K229" s="24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3">
        <v>51101.0</v>
      </c>
      <c r="B230" s="46" t="s">
        <v>307</v>
      </c>
      <c r="C230" s="6">
        <v>2.5</v>
      </c>
      <c r="D230" s="44" t="str">
        <f t="shared" si="1"/>
        <v>Amarillo</v>
      </c>
      <c r="E230" s="45">
        <v>0.8906882591093117</v>
      </c>
      <c r="F230" s="44" t="str">
        <f t="shared" si="2"/>
        <v>Naranja</v>
      </c>
      <c r="K230" s="24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3">
        <v>51102.0</v>
      </c>
      <c r="B231" s="46" t="s">
        <v>308</v>
      </c>
      <c r="C231" s="6">
        <v>0.5</v>
      </c>
      <c r="D231" s="44" t="str">
        <f t="shared" si="1"/>
        <v>Naranja</v>
      </c>
      <c r="E231" s="45">
        <v>1.1724695585996954</v>
      </c>
      <c r="F231" s="44" t="str">
        <f t="shared" si="2"/>
        <v>Naranja</v>
      </c>
      <c r="K231" s="24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43">
        <v>51103.0</v>
      </c>
      <c r="B232" s="46" t="s">
        <v>309</v>
      </c>
      <c r="C232" s="6">
        <v>0.4</v>
      </c>
      <c r="D232" s="44" t="str">
        <f t="shared" si="1"/>
        <v>Naranja</v>
      </c>
      <c r="E232" s="45">
        <v>1.0236680292672873</v>
      </c>
      <c r="F232" s="44" t="str">
        <f t="shared" si="2"/>
        <v>Naranja</v>
      </c>
      <c r="K232" s="24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43">
        <v>51201.0</v>
      </c>
      <c r="B233" s="46" t="s">
        <v>311</v>
      </c>
      <c r="C233" s="6">
        <v>29.1</v>
      </c>
      <c r="D233" s="44" t="str">
        <f t="shared" si="1"/>
        <v>Verde</v>
      </c>
      <c r="E233" s="45">
        <v>9.037762142687196</v>
      </c>
      <c r="F233" s="44" t="str">
        <f t="shared" si="2"/>
        <v>Verde</v>
      </c>
      <c r="K233" s="24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43">
        <v>51202.0</v>
      </c>
      <c r="B234" s="46" t="s">
        <v>312</v>
      </c>
      <c r="C234" s="6">
        <v>0.6</v>
      </c>
      <c r="D234" s="44" t="str">
        <f t="shared" si="1"/>
        <v>Naranja</v>
      </c>
      <c r="E234" s="45">
        <v>1.018544384038507</v>
      </c>
      <c r="F234" s="44" t="str">
        <f t="shared" si="2"/>
        <v>Naranja</v>
      </c>
      <c r="K234" s="24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43">
        <v>51203.0</v>
      </c>
      <c r="B235" s="46" t="s">
        <v>313</v>
      </c>
      <c r="C235" s="6">
        <v>0.2</v>
      </c>
      <c r="D235" s="44" t="str">
        <f t="shared" si="1"/>
        <v>Naranja</v>
      </c>
      <c r="E235" s="45">
        <v>0.29660706330812736</v>
      </c>
      <c r="F235" s="44" t="str">
        <f t="shared" si="2"/>
        <v>Naranja</v>
      </c>
      <c r="K235" s="24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43">
        <v>51204.0</v>
      </c>
      <c r="B236" s="46" t="s">
        <v>314</v>
      </c>
      <c r="C236" s="6"/>
      <c r="D236" s="44" t="str">
        <f t="shared" si="1"/>
        <v>Rojo</v>
      </c>
      <c r="E236" s="45"/>
      <c r="F236" s="44" t="str">
        <f t="shared" si="2"/>
        <v>Rojo</v>
      </c>
      <c r="K236" s="24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43">
        <v>51301.0</v>
      </c>
      <c r="B237" s="46" t="s">
        <v>316</v>
      </c>
      <c r="C237" s="6">
        <v>0.4</v>
      </c>
      <c r="D237" s="44" t="str">
        <f t="shared" si="1"/>
        <v>Naranja</v>
      </c>
      <c r="E237" s="45">
        <v>1.257861635220126</v>
      </c>
      <c r="F237" s="44" t="str">
        <f t="shared" si="2"/>
        <v>Naranja</v>
      </c>
      <c r="K237" s="24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43">
        <v>51302.0</v>
      </c>
      <c r="B238" s="46" t="s">
        <v>317</v>
      </c>
      <c r="C238" s="6">
        <v>0.6</v>
      </c>
      <c r="D238" s="44" t="str">
        <f t="shared" si="1"/>
        <v>Naranja</v>
      </c>
      <c r="E238" s="45">
        <v>1.6143587686754237</v>
      </c>
      <c r="F238" s="44" t="str">
        <f t="shared" si="2"/>
        <v>Naranja</v>
      </c>
      <c r="K238" s="24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43">
        <v>51401.0</v>
      </c>
      <c r="B239" s="46" t="s">
        <v>319</v>
      </c>
      <c r="C239" s="6">
        <v>0.5</v>
      </c>
      <c r="D239" s="44" t="str">
        <f t="shared" si="1"/>
        <v>Naranja</v>
      </c>
      <c r="E239" s="45">
        <v>1.731254299472598</v>
      </c>
      <c r="F239" s="44" t="str">
        <f t="shared" si="2"/>
        <v>Naranja</v>
      </c>
      <c r="K239" s="24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43">
        <v>51402.0</v>
      </c>
      <c r="B240" s="46" t="s">
        <v>320</v>
      </c>
      <c r="C240" s="6">
        <v>0.5</v>
      </c>
      <c r="D240" s="44" t="str">
        <f t="shared" si="1"/>
        <v>Naranja</v>
      </c>
      <c r="E240" s="45">
        <v>1.3001383125864452</v>
      </c>
      <c r="F240" s="44" t="str">
        <f t="shared" si="2"/>
        <v>Naranja</v>
      </c>
      <c r="K240" s="24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43">
        <v>51501.0</v>
      </c>
      <c r="B241" s="46" t="s">
        <v>322</v>
      </c>
      <c r="C241" s="6">
        <v>6.0</v>
      </c>
      <c r="D241" s="44" t="str">
        <f t="shared" si="1"/>
        <v>Verde</v>
      </c>
      <c r="E241" s="45">
        <v>11.35110142342878</v>
      </c>
      <c r="F241" s="44" t="str">
        <f t="shared" si="2"/>
        <v>Verde</v>
      </c>
      <c r="K241" s="24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43">
        <v>51601.0</v>
      </c>
      <c r="B242" s="46" t="s">
        <v>324</v>
      </c>
      <c r="C242" s="6">
        <v>0.7</v>
      </c>
      <c r="D242" s="44" t="str">
        <f t="shared" si="1"/>
        <v>Naranja</v>
      </c>
      <c r="E242" s="45">
        <v>3.132415757000475</v>
      </c>
      <c r="F242" s="44" t="str">
        <f t="shared" si="2"/>
        <v>Amarillo</v>
      </c>
      <c r="K242" s="24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3">
        <v>60101.0</v>
      </c>
      <c r="B243" s="46" t="s">
        <v>27</v>
      </c>
      <c r="C243" s="6">
        <v>3.3</v>
      </c>
      <c r="D243" s="44" t="str">
        <f t="shared" si="1"/>
        <v>Amarillo</v>
      </c>
      <c r="E243" s="45">
        <v>5.397964194458547</v>
      </c>
      <c r="F243" s="44" t="str">
        <f t="shared" si="2"/>
        <v>Verde</v>
      </c>
      <c r="K243" s="24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43">
        <v>60201.0</v>
      </c>
      <c r="B244" s="46" t="s">
        <v>326</v>
      </c>
      <c r="C244" s="6">
        <v>0.7</v>
      </c>
      <c r="D244" s="44" t="str">
        <f t="shared" si="1"/>
        <v>Naranja</v>
      </c>
      <c r="E244" s="45">
        <v>1.531201365530398</v>
      </c>
      <c r="F244" s="44" t="str">
        <f t="shared" si="2"/>
        <v>Naranja</v>
      </c>
      <c r="K244" s="24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43">
        <v>60202.0</v>
      </c>
      <c r="B245" s="46" t="s">
        <v>327</v>
      </c>
      <c r="C245" s="6">
        <v>4.0</v>
      </c>
      <c r="D245" s="44" t="str">
        <f t="shared" si="1"/>
        <v>Amarillo</v>
      </c>
      <c r="E245" s="45">
        <v>6.457088480629592</v>
      </c>
      <c r="F245" s="44" t="str">
        <f t="shared" si="2"/>
        <v>Verde</v>
      </c>
      <c r="K245" s="24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43">
        <v>60301.0</v>
      </c>
      <c r="B246" s="46" t="s">
        <v>328</v>
      </c>
      <c r="C246" s="6">
        <v>1.7</v>
      </c>
      <c r="D246" s="44" t="str">
        <f t="shared" si="1"/>
        <v>Naranja</v>
      </c>
      <c r="E246" s="45">
        <v>3.653790429751901</v>
      </c>
      <c r="F246" s="44" t="str">
        <f t="shared" si="2"/>
        <v>Amarillo</v>
      </c>
      <c r="K246" s="24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43">
        <v>60302.0</v>
      </c>
      <c r="B247" s="46" t="s">
        <v>329</v>
      </c>
      <c r="C247" s="6">
        <v>0.8</v>
      </c>
      <c r="D247" s="44" t="str">
        <f t="shared" si="1"/>
        <v>Naranja</v>
      </c>
      <c r="E247" s="45">
        <v>2.6915342020441333</v>
      </c>
      <c r="F247" s="44" t="str">
        <f t="shared" si="2"/>
        <v>Amarillo</v>
      </c>
      <c r="K247" s="24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43">
        <v>60303.0</v>
      </c>
      <c r="B248" s="46" t="s">
        <v>330</v>
      </c>
      <c r="C248" s="6">
        <v>0.9</v>
      </c>
      <c r="D248" s="44" t="str">
        <f t="shared" si="1"/>
        <v>Naranja</v>
      </c>
      <c r="E248" s="45">
        <v>1.4093383867879452</v>
      </c>
      <c r="F248" s="44" t="str">
        <f t="shared" si="2"/>
        <v>Naranja</v>
      </c>
      <c r="K248" s="24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43">
        <v>60401.0</v>
      </c>
      <c r="B249" s="46" t="s">
        <v>332</v>
      </c>
      <c r="C249" s="6">
        <v>0.5</v>
      </c>
      <c r="D249" s="44" t="str">
        <f t="shared" si="1"/>
        <v>Naranja</v>
      </c>
      <c r="E249" s="45">
        <v>5.95463308289642</v>
      </c>
      <c r="F249" s="44" t="str">
        <f t="shared" si="2"/>
        <v>Verde</v>
      </c>
      <c r="K249" s="24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43">
        <v>60402.0</v>
      </c>
      <c r="B250" s="46" t="s">
        <v>333</v>
      </c>
      <c r="C250" s="6">
        <v>0.3</v>
      </c>
      <c r="D250" s="44" t="str">
        <f t="shared" si="1"/>
        <v>Naranja</v>
      </c>
      <c r="E250" s="45">
        <v>1.1086627186337972</v>
      </c>
      <c r="F250" s="44" t="str">
        <f t="shared" si="2"/>
        <v>Naranja</v>
      </c>
      <c r="K250" s="24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43">
        <v>60501.0</v>
      </c>
      <c r="B251" s="46" t="s">
        <v>441</v>
      </c>
      <c r="C251" s="6">
        <v>6.0</v>
      </c>
      <c r="D251" s="44" t="str">
        <f t="shared" si="1"/>
        <v>Verde</v>
      </c>
      <c r="E251" s="45">
        <v>6.606472835677696</v>
      </c>
      <c r="F251" s="44" t="str">
        <f t="shared" si="2"/>
        <v>Verde</v>
      </c>
      <c r="K251" s="24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43">
        <v>60502.0</v>
      </c>
      <c r="B252" s="46" t="s">
        <v>336</v>
      </c>
      <c r="C252" s="6">
        <v>0.2</v>
      </c>
      <c r="D252" s="44" t="str">
        <f t="shared" si="1"/>
        <v>Naranja</v>
      </c>
      <c r="E252" s="45">
        <v>0.6150231497477714</v>
      </c>
      <c r="F252" s="44" t="str">
        <f t="shared" si="2"/>
        <v>Naranja</v>
      </c>
      <c r="K252" s="24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43">
        <v>60601.0</v>
      </c>
      <c r="B253" s="46" t="s">
        <v>208</v>
      </c>
      <c r="C253" s="6">
        <v>0.8</v>
      </c>
      <c r="D253" s="44" t="str">
        <f t="shared" si="1"/>
        <v>Naranja</v>
      </c>
      <c r="E253" s="45">
        <v>0.6277023832858675</v>
      </c>
      <c r="F253" s="44" t="str">
        <f t="shared" si="2"/>
        <v>Naranja</v>
      </c>
      <c r="K253" s="24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3">
        <v>70101.0</v>
      </c>
      <c r="B254" s="46" t="s">
        <v>339</v>
      </c>
      <c r="C254" s="6">
        <v>5.8</v>
      </c>
      <c r="D254" s="44" t="str">
        <f t="shared" si="1"/>
        <v>Verde</v>
      </c>
      <c r="E254" s="45">
        <v>6.370977691406964</v>
      </c>
      <c r="F254" s="44" t="str">
        <f t="shared" si="2"/>
        <v>Verde</v>
      </c>
      <c r="K254" s="24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43">
        <v>70102.0</v>
      </c>
      <c r="B255" s="46" t="s">
        <v>340</v>
      </c>
      <c r="C255" s="6">
        <v>3.0</v>
      </c>
      <c r="D255" s="44" t="str">
        <f t="shared" si="1"/>
        <v>Amarillo</v>
      </c>
      <c r="E255" s="45">
        <v>4.158314979272094</v>
      </c>
      <c r="F255" s="44" t="str">
        <f t="shared" si="2"/>
        <v>Amarillo</v>
      </c>
      <c r="K255" s="24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43">
        <v>70103.0</v>
      </c>
      <c r="B256" s="46" t="s">
        <v>341</v>
      </c>
      <c r="C256" s="6">
        <v>1.4</v>
      </c>
      <c r="D256" s="44" t="str">
        <f t="shared" si="1"/>
        <v>Naranja</v>
      </c>
      <c r="E256" s="45">
        <v>3.7939910449698253</v>
      </c>
      <c r="F256" s="44" t="str">
        <f t="shared" si="2"/>
        <v>Amarillo</v>
      </c>
      <c r="K256" s="24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43">
        <v>70104.0</v>
      </c>
      <c r="B257" s="46" t="s">
        <v>342</v>
      </c>
      <c r="C257" s="6">
        <v>4.0</v>
      </c>
      <c r="D257" s="44" t="str">
        <f t="shared" si="1"/>
        <v>Amarillo</v>
      </c>
      <c r="E257" s="45">
        <v>5.312740537465279</v>
      </c>
      <c r="F257" s="44" t="str">
        <f t="shared" si="2"/>
        <v>Verde</v>
      </c>
      <c r="K257" s="24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43">
        <v>70105.0</v>
      </c>
      <c r="B258" s="46" t="s">
        <v>343</v>
      </c>
      <c r="C258" s="6">
        <v>5.6</v>
      </c>
      <c r="D258" s="44" t="str">
        <f t="shared" si="1"/>
        <v>Verde</v>
      </c>
      <c r="E258" s="45">
        <v>6.4652388682341035</v>
      </c>
      <c r="F258" s="44" t="str">
        <f t="shared" si="2"/>
        <v>Verde</v>
      </c>
      <c r="K258" s="24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43">
        <v>70201.0</v>
      </c>
      <c r="B259" s="46" t="s">
        <v>344</v>
      </c>
      <c r="C259" s="6">
        <v>2.0</v>
      </c>
      <c r="D259" s="44" t="str">
        <f t="shared" si="1"/>
        <v>Naranja</v>
      </c>
      <c r="E259" s="45">
        <v>2.3197251584356096</v>
      </c>
      <c r="F259" s="44" t="str">
        <f t="shared" si="2"/>
        <v>Naranja</v>
      </c>
      <c r="K259" s="24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43">
        <v>70202.0</v>
      </c>
      <c r="B260" s="46" t="s">
        <v>345</v>
      </c>
      <c r="C260" s="6">
        <v>0.3</v>
      </c>
      <c r="D260" s="44" t="str">
        <f t="shared" si="1"/>
        <v>Naranja</v>
      </c>
      <c r="E260" s="45">
        <v>0.21501172791243162</v>
      </c>
      <c r="F260" s="44" t="str">
        <f t="shared" si="2"/>
        <v>Naranja</v>
      </c>
      <c r="K260" s="24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3">
        <v>70301.0</v>
      </c>
      <c r="B261" s="46" t="s">
        <v>419</v>
      </c>
      <c r="C261" s="6">
        <v>5.2</v>
      </c>
      <c r="D261" s="44" t="str">
        <f t="shared" si="1"/>
        <v>Verde</v>
      </c>
      <c r="E261" s="45">
        <v>6.266410886637493</v>
      </c>
      <c r="F261" s="44" t="str">
        <f t="shared" si="2"/>
        <v>Verde</v>
      </c>
      <c r="K261" s="24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3">
        <v>70302.0</v>
      </c>
      <c r="B262" s="46" t="s">
        <v>497</v>
      </c>
      <c r="C262" s="6">
        <v>23.8</v>
      </c>
      <c r="D262" s="44" t="str">
        <f t="shared" si="1"/>
        <v>Verde</v>
      </c>
      <c r="E262" s="45">
        <v>1.528013582342954</v>
      </c>
      <c r="F262" s="44" t="str">
        <f t="shared" si="2"/>
        <v>Naranja</v>
      </c>
      <c r="K262" s="24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43">
        <v>70303.0</v>
      </c>
      <c r="B263" s="46" t="s">
        <v>349</v>
      </c>
      <c r="C263" s="6">
        <v>1.0</v>
      </c>
      <c r="D263" s="44" t="str">
        <f t="shared" si="1"/>
        <v>Naranja</v>
      </c>
      <c r="E263" s="45">
        <v>1.9983499862498855</v>
      </c>
      <c r="F263" s="44" t="str">
        <f t="shared" si="2"/>
        <v>Naranja</v>
      </c>
      <c r="K263" s="24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3">
        <v>70401.0</v>
      </c>
      <c r="B264" s="46" t="s">
        <v>351</v>
      </c>
      <c r="C264" s="6">
        <v>1.3</v>
      </c>
      <c r="D264" s="44" t="str">
        <f t="shared" si="1"/>
        <v>Naranja</v>
      </c>
      <c r="E264" s="45">
        <v>2.9892962120791977</v>
      </c>
      <c r="F264" s="44" t="str">
        <f t="shared" si="2"/>
        <v>Amarillo</v>
      </c>
      <c r="K264" s="24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43">
        <v>70402.0</v>
      </c>
      <c r="B265" s="46" t="s">
        <v>352</v>
      </c>
      <c r="C265" s="6">
        <v>4.8</v>
      </c>
      <c r="D265" s="44" t="str">
        <f t="shared" si="1"/>
        <v>Verde</v>
      </c>
      <c r="E265" s="45">
        <v>2.5623675280865337</v>
      </c>
      <c r="F265" s="44" t="str">
        <f t="shared" si="2"/>
        <v>Amarillo</v>
      </c>
      <c r="K265" s="24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43">
        <v>70403.0</v>
      </c>
      <c r="B266" s="46" t="s">
        <v>353</v>
      </c>
      <c r="C266" s="6">
        <v>2.0</v>
      </c>
      <c r="D266" s="44" t="str">
        <f t="shared" si="1"/>
        <v>Naranja</v>
      </c>
      <c r="E266" s="45">
        <v>2.0174463016580253</v>
      </c>
      <c r="F266" s="44" t="str">
        <f t="shared" si="2"/>
        <v>Naranja</v>
      </c>
      <c r="K266" s="24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43">
        <v>70404.0</v>
      </c>
      <c r="B267" s="46" t="s">
        <v>354</v>
      </c>
      <c r="C267" s="6">
        <v>0.3</v>
      </c>
      <c r="D267" s="44" t="str">
        <f t="shared" si="1"/>
        <v>Naranja</v>
      </c>
      <c r="E267" s="45">
        <v>0.34741509984653474</v>
      </c>
      <c r="F267" s="44" t="str">
        <f t="shared" si="2"/>
        <v>Naranja</v>
      </c>
      <c r="K267" s="24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43">
        <v>70501.0</v>
      </c>
      <c r="B268" s="46" t="s">
        <v>498</v>
      </c>
      <c r="C268" s="6">
        <v>10.1</v>
      </c>
      <c r="D268" s="44" t="str">
        <f t="shared" si="1"/>
        <v>Verde</v>
      </c>
      <c r="E268" s="45">
        <v>3.3096300027171566</v>
      </c>
      <c r="F268" s="44" t="str">
        <f t="shared" si="2"/>
        <v>Amarillo</v>
      </c>
      <c r="K268" s="24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43">
        <v>70502.0</v>
      </c>
      <c r="B269" s="46" t="s">
        <v>357</v>
      </c>
      <c r="C269" s="6">
        <v>1.1</v>
      </c>
      <c r="D269" s="44" t="str">
        <f t="shared" si="1"/>
        <v>Naranja</v>
      </c>
      <c r="E269" s="45">
        <v>0.8295380008819748</v>
      </c>
      <c r="F269" s="44" t="str">
        <f t="shared" si="2"/>
        <v>Naranja</v>
      </c>
      <c r="K269" s="24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43">
        <v>70503.0</v>
      </c>
      <c r="B270" s="46" t="s">
        <v>358</v>
      </c>
      <c r="C270" s="6">
        <v>2.7</v>
      </c>
      <c r="D270" s="44" t="str">
        <f t="shared" si="1"/>
        <v>Amarillo</v>
      </c>
      <c r="E270" s="45">
        <v>9.527403764213192</v>
      </c>
      <c r="F270" s="44" t="str">
        <f t="shared" si="2"/>
        <v>Verde</v>
      </c>
      <c r="K270" s="24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43">
        <v>70601.0</v>
      </c>
      <c r="B271" s="46" t="s">
        <v>360</v>
      </c>
      <c r="C271" s="6">
        <v>0.6</v>
      </c>
      <c r="D271" s="44" t="str">
        <f t="shared" si="1"/>
        <v>Naranja</v>
      </c>
      <c r="E271" s="45">
        <v>0.921752804571557</v>
      </c>
      <c r="F271" s="44" t="str">
        <f t="shared" si="2"/>
        <v>Naranja</v>
      </c>
      <c r="K271" s="24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43">
        <v>70602.0</v>
      </c>
      <c r="B272" s="46" t="s">
        <v>413</v>
      </c>
      <c r="C272" s="6">
        <v>0.2</v>
      </c>
      <c r="D272" s="44" t="str">
        <f t="shared" si="1"/>
        <v>Naranja</v>
      </c>
      <c r="E272" s="45">
        <v>0.26400022434009957</v>
      </c>
      <c r="F272" s="44" t="str">
        <f t="shared" si="2"/>
        <v>Naranja</v>
      </c>
      <c r="K272" s="24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43">
        <v>70603.0</v>
      </c>
      <c r="B273" s="46" t="s">
        <v>362</v>
      </c>
      <c r="C273" s="6">
        <v>0.5</v>
      </c>
      <c r="D273" s="44" t="str">
        <f t="shared" si="1"/>
        <v>Naranja</v>
      </c>
      <c r="E273" s="45">
        <v>0.377775052128051</v>
      </c>
      <c r="F273" s="44" t="str">
        <f t="shared" si="2"/>
        <v>Naranja</v>
      </c>
      <c r="K273" s="24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43">
        <v>70701.0</v>
      </c>
      <c r="B274" s="46" t="s">
        <v>364</v>
      </c>
      <c r="C274" s="6">
        <v>0.1</v>
      </c>
      <c r="D274" s="44" t="str">
        <f t="shared" si="1"/>
        <v>Rojo</v>
      </c>
      <c r="E274" s="45">
        <v>0.14959634778571612</v>
      </c>
      <c r="F274" s="44" t="str">
        <f t="shared" si="2"/>
        <v>Naranja</v>
      </c>
      <c r="K274" s="24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43">
        <v>70702.0</v>
      </c>
      <c r="B275" s="46" t="s">
        <v>499</v>
      </c>
      <c r="C275" s="6">
        <v>2.9</v>
      </c>
      <c r="D275" s="44" t="str">
        <f t="shared" si="1"/>
        <v>Amarillo</v>
      </c>
      <c r="E275" s="45">
        <v>0.8219049683364479</v>
      </c>
      <c r="F275" s="44" t="str">
        <f t="shared" si="2"/>
        <v>Naranja</v>
      </c>
      <c r="K275" s="24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43">
        <v>70703.0</v>
      </c>
      <c r="B276" s="46" t="s">
        <v>366</v>
      </c>
      <c r="C276" s="6">
        <v>1.5</v>
      </c>
      <c r="D276" s="44" t="str">
        <f t="shared" si="1"/>
        <v>Naranja</v>
      </c>
      <c r="E276" s="45">
        <v>0.40818110080376724</v>
      </c>
      <c r="F276" s="44" t="str">
        <f t="shared" si="2"/>
        <v>Naranja</v>
      </c>
      <c r="K276" s="24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43">
        <v>70704.0</v>
      </c>
      <c r="B277" s="46" t="s">
        <v>367</v>
      </c>
      <c r="C277" s="6">
        <v>1.4</v>
      </c>
      <c r="D277" s="44" t="str">
        <f t="shared" si="1"/>
        <v>Naranja</v>
      </c>
      <c r="E277" s="45">
        <v>3.536107482739317</v>
      </c>
      <c r="F277" s="44" t="str">
        <f t="shared" si="2"/>
        <v>Amarillo</v>
      </c>
      <c r="K277" s="24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43">
        <v>70705.0</v>
      </c>
      <c r="B278" s="46" t="s">
        <v>500</v>
      </c>
      <c r="C278" s="6">
        <v>0.3</v>
      </c>
      <c r="D278" s="44" t="str">
        <f t="shared" si="1"/>
        <v>Naranja</v>
      </c>
      <c r="E278" s="45">
        <v>0.48765813264934527</v>
      </c>
      <c r="F278" s="44" t="str">
        <f t="shared" si="2"/>
        <v>Naranja</v>
      </c>
      <c r="K278" s="24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43">
        <v>70706.0</v>
      </c>
      <c r="B279" s="46" t="s">
        <v>369</v>
      </c>
      <c r="C279" s="6">
        <v>7.2</v>
      </c>
      <c r="D279" s="44" t="str">
        <f t="shared" si="1"/>
        <v>Verde</v>
      </c>
      <c r="E279" s="45">
        <v>5.864394122427463</v>
      </c>
      <c r="F279" s="44" t="str">
        <f t="shared" si="2"/>
        <v>Verde</v>
      </c>
      <c r="K279" s="24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43">
        <v>70707.0</v>
      </c>
      <c r="B280" s="46" t="s">
        <v>370</v>
      </c>
      <c r="C280" s="6">
        <v>1.9</v>
      </c>
      <c r="D280" s="44" t="str">
        <f t="shared" si="1"/>
        <v>Naranja</v>
      </c>
      <c r="E280" s="45">
        <v>4.80225988700565</v>
      </c>
      <c r="F280" s="44" t="str">
        <f t="shared" si="2"/>
        <v>Verde</v>
      </c>
      <c r="K280" s="24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43">
        <v>70801.0</v>
      </c>
      <c r="B281" s="46" t="s">
        <v>371</v>
      </c>
      <c r="C281" s="6">
        <v>1.4</v>
      </c>
      <c r="D281" s="44" t="str">
        <f t="shared" si="1"/>
        <v>Naranja</v>
      </c>
      <c r="E281" s="45">
        <v>3.81867495782754</v>
      </c>
      <c r="F281" s="44" t="str">
        <f t="shared" si="2"/>
        <v>Amarillo</v>
      </c>
      <c r="K281" s="24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43">
        <v>70802.0</v>
      </c>
      <c r="B282" s="46" t="s">
        <v>372</v>
      </c>
      <c r="C282" s="6">
        <v>0.4</v>
      </c>
      <c r="D282" s="44" t="str">
        <f t="shared" si="1"/>
        <v>Naranja</v>
      </c>
      <c r="E282" s="45">
        <v>0.7430719468485008</v>
      </c>
      <c r="F282" s="44" t="str">
        <f t="shared" si="2"/>
        <v>Naranja</v>
      </c>
      <c r="K282" s="24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43">
        <v>70803.0</v>
      </c>
      <c r="B283" s="46" t="s">
        <v>501</v>
      </c>
      <c r="C283" s="6">
        <v>0.2</v>
      </c>
      <c r="D283" s="44" t="str">
        <f t="shared" si="1"/>
        <v>Naranja</v>
      </c>
      <c r="E283" s="45">
        <v>0.1633362293657689</v>
      </c>
      <c r="F283" s="44" t="str">
        <f t="shared" si="2"/>
        <v>Naranja</v>
      </c>
      <c r="K283" s="24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43">
        <v>70804.0</v>
      </c>
      <c r="B284" s="46" t="s">
        <v>374</v>
      </c>
      <c r="C284" s="6">
        <v>0.3</v>
      </c>
      <c r="D284" s="44" t="str">
        <f t="shared" si="1"/>
        <v>Naranja</v>
      </c>
      <c r="E284" s="45">
        <v>0.7275902211874272</v>
      </c>
      <c r="F284" s="44" t="str">
        <f t="shared" si="2"/>
        <v>Naranja</v>
      </c>
      <c r="K284" s="24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43">
        <v>70805.0</v>
      </c>
      <c r="B285" s="46" t="s">
        <v>375</v>
      </c>
      <c r="C285" s="6">
        <v>0.6</v>
      </c>
      <c r="D285" s="44" t="str">
        <f t="shared" si="1"/>
        <v>Naranja</v>
      </c>
      <c r="E285" s="45">
        <v>1.0520425293788473</v>
      </c>
      <c r="F285" s="44" t="str">
        <f t="shared" si="2"/>
        <v>Naranja</v>
      </c>
      <c r="K285" s="24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43">
        <v>70901.0</v>
      </c>
      <c r="B286" s="46" t="s">
        <v>377</v>
      </c>
      <c r="C286" s="6">
        <v>23.0</v>
      </c>
      <c r="D286" s="44" t="str">
        <f t="shared" si="1"/>
        <v>Verde</v>
      </c>
      <c r="E286" s="45">
        <v>4.193211488250652</v>
      </c>
      <c r="F286" s="44" t="str">
        <f t="shared" si="2"/>
        <v>Amarillo</v>
      </c>
      <c r="K286" s="24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43">
        <v>70902.0</v>
      </c>
      <c r="B287" s="46" t="s">
        <v>502</v>
      </c>
      <c r="C287" s="6">
        <v>0.8</v>
      </c>
      <c r="D287" s="44" t="str">
        <f t="shared" si="1"/>
        <v>Naranja</v>
      </c>
      <c r="E287" s="45">
        <v>1.841325365592965</v>
      </c>
      <c r="F287" s="44" t="str">
        <f t="shared" si="2"/>
        <v>Naranja</v>
      </c>
      <c r="K287" s="24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43">
        <v>70903.0</v>
      </c>
      <c r="B288" s="46" t="s">
        <v>379</v>
      </c>
      <c r="C288" s="6">
        <v>0.8</v>
      </c>
      <c r="D288" s="44" t="str">
        <f t="shared" si="1"/>
        <v>Naranja</v>
      </c>
      <c r="E288" s="45">
        <v>2.036011602064263</v>
      </c>
      <c r="F288" s="44" t="str">
        <f t="shared" si="2"/>
        <v>Naranja</v>
      </c>
      <c r="K288" s="24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43">
        <v>70904.0</v>
      </c>
      <c r="B289" s="46" t="s">
        <v>380</v>
      </c>
      <c r="C289" s="6">
        <v>1.1</v>
      </c>
      <c r="D289" s="44" t="str">
        <f t="shared" si="1"/>
        <v>Naranja</v>
      </c>
      <c r="E289" s="45">
        <v>1.94207080235268</v>
      </c>
      <c r="F289" s="44" t="str">
        <f t="shared" si="2"/>
        <v>Naranja</v>
      </c>
      <c r="K289" s="24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43">
        <v>71001.0</v>
      </c>
      <c r="B290" s="46" t="s">
        <v>382</v>
      </c>
      <c r="C290" s="6">
        <v>3.4</v>
      </c>
      <c r="D290" s="44" t="str">
        <f t="shared" si="1"/>
        <v>Amarillo</v>
      </c>
      <c r="E290" s="45">
        <v>4.267577517246002</v>
      </c>
      <c r="F290" s="44" t="str">
        <f t="shared" si="2"/>
        <v>Amarillo</v>
      </c>
      <c r="K290" s="24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43">
        <v>71002.0</v>
      </c>
      <c r="B291" s="46" t="s">
        <v>383</v>
      </c>
      <c r="C291" s="6">
        <v>0.3</v>
      </c>
      <c r="D291" s="44" t="str">
        <f t="shared" si="1"/>
        <v>Naranja</v>
      </c>
      <c r="E291" s="45">
        <v>0.1898520560274512</v>
      </c>
      <c r="F291" s="44" t="str">
        <f t="shared" si="2"/>
        <v>Naranja</v>
      </c>
      <c r="K291" s="24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43">
        <v>71003.0</v>
      </c>
      <c r="B292" s="46" t="s">
        <v>384</v>
      </c>
      <c r="C292" s="6">
        <v>1.1</v>
      </c>
      <c r="D292" s="44" t="str">
        <f t="shared" si="1"/>
        <v>Naranja</v>
      </c>
      <c r="E292" s="45">
        <v>0.6123033767173903</v>
      </c>
      <c r="F292" s="44" t="str">
        <f t="shared" si="2"/>
        <v>Naranja</v>
      </c>
      <c r="K292" s="24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43">
        <v>71004.0</v>
      </c>
      <c r="B293" s="46" t="s">
        <v>385</v>
      </c>
      <c r="C293" s="6">
        <v>0.2</v>
      </c>
      <c r="D293" s="44" t="str">
        <f t="shared" si="1"/>
        <v>Naranja</v>
      </c>
      <c r="E293" s="45">
        <v>0.12360356964209336</v>
      </c>
      <c r="F293" s="44" t="str">
        <f t="shared" si="2"/>
        <v>Naranja</v>
      </c>
      <c r="K293" s="24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43">
        <v>71005.0</v>
      </c>
      <c r="B294" s="46" t="s">
        <v>386</v>
      </c>
      <c r="C294" s="6">
        <v>0.2</v>
      </c>
      <c r="D294" s="44" t="str">
        <f t="shared" si="1"/>
        <v>Naranja</v>
      </c>
      <c r="E294" s="45">
        <v>0.23367134009346854</v>
      </c>
      <c r="F294" s="44" t="str">
        <f t="shared" si="2"/>
        <v>Naranja</v>
      </c>
      <c r="K294" s="24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43">
        <v>71101.0</v>
      </c>
      <c r="B295" s="46" t="s">
        <v>388</v>
      </c>
      <c r="C295" s="6">
        <v>19.2</v>
      </c>
      <c r="D295" s="44" t="str">
        <f t="shared" si="1"/>
        <v>Verde</v>
      </c>
      <c r="E295" s="45">
        <v>5.933234015384147</v>
      </c>
      <c r="F295" s="44" t="str">
        <f t="shared" si="2"/>
        <v>Verde</v>
      </c>
      <c r="K295" s="24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43">
        <v>71102.0</v>
      </c>
      <c r="B296" s="46" t="s">
        <v>389</v>
      </c>
      <c r="C296" s="6">
        <v>1.2</v>
      </c>
      <c r="D296" s="44" t="str">
        <f t="shared" si="1"/>
        <v>Naranja</v>
      </c>
      <c r="E296" s="45">
        <v>3.456119162640902</v>
      </c>
      <c r="F296" s="44" t="str">
        <f t="shared" si="2"/>
        <v>Amarillo</v>
      </c>
      <c r="K296" s="24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43">
        <v>71103.0</v>
      </c>
      <c r="B297" s="46" t="s">
        <v>391</v>
      </c>
      <c r="C297" s="6">
        <v>2.8</v>
      </c>
      <c r="D297" s="44" t="str">
        <f t="shared" si="1"/>
        <v>Amarillo</v>
      </c>
      <c r="E297" s="45">
        <v>10.32581729974089</v>
      </c>
      <c r="F297" s="44" t="str">
        <f t="shared" si="2"/>
        <v>Verde</v>
      </c>
      <c r="K297" s="24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43">
        <v>71104.0</v>
      </c>
      <c r="B298" s="46" t="s">
        <v>392</v>
      </c>
      <c r="C298" s="6">
        <v>0.9</v>
      </c>
      <c r="D298" s="44" t="str">
        <f t="shared" si="1"/>
        <v>Naranja</v>
      </c>
      <c r="E298" s="45">
        <v>0.16371022824953962</v>
      </c>
      <c r="F298" s="44" t="str">
        <f t="shared" si="2"/>
        <v>Naranja</v>
      </c>
      <c r="K298" s="24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43">
        <v>71105.0</v>
      </c>
      <c r="B299" s="46" t="s">
        <v>390</v>
      </c>
      <c r="C299" s="6">
        <v>0.4</v>
      </c>
      <c r="D299" s="44" t="str">
        <f t="shared" si="1"/>
        <v>Naranja</v>
      </c>
      <c r="E299" s="45">
        <v>0.9856761349842194</v>
      </c>
      <c r="F299" s="44" t="str">
        <f t="shared" si="2"/>
        <v>Naranja</v>
      </c>
      <c r="K299" s="24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43">
        <v>71106.0</v>
      </c>
      <c r="B300" s="46" t="s">
        <v>393</v>
      </c>
      <c r="C300" s="6">
        <v>1.1</v>
      </c>
      <c r="D300" s="44" t="str">
        <f t="shared" si="1"/>
        <v>Naranja</v>
      </c>
      <c r="E300" s="45">
        <v>0.231061901504788</v>
      </c>
      <c r="F300" s="44" t="str">
        <f t="shared" si="2"/>
        <v>Naranja</v>
      </c>
      <c r="K300" s="24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43">
        <v>71201.0</v>
      </c>
      <c r="B301" s="46" t="s">
        <v>395</v>
      </c>
      <c r="C301" s="6">
        <v>0.9</v>
      </c>
      <c r="D301" s="44" t="str">
        <f t="shared" si="1"/>
        <v>Naranja</v>
      </c>
      <c r="E301" s="45">
        <v>2.226448869993287</v>
      </c>
      <c r="F301" s="44" t="str">
        <f t="shared" si="2"/>
        <v>Naranja</v>
      </c>
      <c r="K301" s="24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43">
        <v>71301.0</v>
      </c>
      <c r="B302" s="46" t="s">
        <v>397</v>
      </c>
      <c r="C302" s="6">
        <v>0.8</v>
      </c>
      <c r="D302" s="44" t="str">
        <f t="shared" si="1"/>
        <v>Naranja</v>
      </c>
      <c r="E302" s="45">
        <v>2.1988587672177746</v>
      </c>
      <c r="F302" s="44" t="str">
        <f t="shared" si="2"/>
        <v>Naranja</v>
      </c>
      <c r="K302" s="24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43">
        <v>71302.0</v>
      </c>
      <c r="B303" s="46" t="s">
        <v>398</v>
      </c>
      <c r="C303" s="6">
        <v>1.2</v>
      </c>
      <c r="D303" s="44" t="str">
        <f t="shared" si="1"/>
        <v>Naranja</v>
      </c>
      <c r="E303" s="45">
        <v>2.467156535292808</v>
      </c>
      <c r="F303" s="44" t="str">
        <f t="shared" si="2"/>
        <v>Amarillo</v>
      </c>
      <c r="K303" s="24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43">
        <v>71401.0</v>
      </c>
      <c r="B304" s="46" t="s">
        <v>503</v>
      </c>
      <c r="C304" s="6">
        <v>6.0</v>
      </c>
      <c r="D304" s="44" t="str">
        <f t="shared" si="1"/>
        <v>Verde</v>
      </c>
      <c r="E304" s="45">
        <v>2.6529936079258487</v>
      </c>
      <c r="F304" s="44" t="str">
        <f t="shared" si="2"/>
        <v>Amarillo</v>
      </c>
      <c r="K304" s="24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43">
        <v>71402.0</v>
      </c>
      <c r="B305" s="46" t="s">
        <v>401</v>
      </c>
      <c r="C305" s="6">
        <v>3.4</v>
      </c>
      <c r="D305" s="44" t="str">
        <f t="shared" si="1"/>
        <v>Amarillo</v>
      </c>
      <c r="E305" s="45">
        <v>11.761641536190782</v>
      </c>
      <c r="F305" s="44" t="str">
        <f t="shared" si="2"/>
        <v>Verde</v>
      </c>
      <c r="K305" s="24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43">
        <v>71403.0</v>
      </c>
      <c r="B306" s="46" t="s">
        <v>402</v>
      </c>
      <c r="C306" s="6">
        <v>1.6</v>
      </c>
      <c r="D306" s="44" t="str">
        <f t="shared" si="1"/>
        <v>Naranja</v>
      </c>
      <c r="E306" s="45">
        <v>7.010822074342944</v>
      </c>
      <c r="F306" s="44" t="str">
        <f t="shared" si="2"/>
        <v>Verde</v>
      </c>
      <c r="K306" s="24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43">
        <v>71501.0</v>
      </c>
      <c r="B307" s="46" t="s">
        <v>404</v>
      </c>
      <c r="C307" s="6">
        <v>4.3</v>
      </c>
      <c r="D307" s="44" t="str">
        <f t="shared" si="1"/>
        <v>Amarillo</v>
      </c>
      <c r="E307" s="45">
        <v>3.170915958451369</v>
      </c>
      <c r="F307" s="44" t="str">
        <f t="shared" si="2"/>
        <v>Amarillo</v>
      </c>
      <c r="K307" s="24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43">
        <v>71502.0</v>
      </c>
      <c r="B308" s="46" t="s">
        <v>405</v>
      </c>
      <c r="C308" s="6">
        <v>0.9</v>
      </c>
      <c r="D308" s="44" t="str">
        <f t="shared" si="1"/>
        <v>Naranja</v>
      </c>
      <c r="E308" s="45">
        <v>2.8646839191451012</v>
      </c>
      <c r="F308" s="44" t="str">
        <f t="shared" si="2"/>
        <v>Amarillo</v>
      </c>
      <c r="K308" s="24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43">
        <v>71503.0</v>
      </c>
      <c r="B309" s="46" t="s">
        <v>336</v>
      </c>
      <c r="C309" s="6">
        <v>0.2</v>
      </c>
      <c r="D309" s="44" t="str">
        <f t="shared" si="1"/>
        <v>Naranja</v>
      </c>
      <c r="E309" s="45">
        <v>0.3369016360331246</v>
      </c>
      <c r="F309" s="44" t="str">
        <f t="shared" si="2"/>
        <v>Naranja</v>
      </c>
      <c r="K309" s="24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43">
        <v>80101.0</v>
      </c>
      <c r="B310" s="46" t="s">
        <v>406</v>
      </c>
      <c r="C310" s="6">
        <v>4.3</v>
      </c>
      <c r="D310" s="44" t="str">
        <f t="shared" si="1"/>
        <v>Amarillo</v>
      </c>
      <c r="E310" s="45">
        <v>3.9504007314865786</v>
      </c>
      <c r="F310" s="44" t="str">
        <f t="shared" si="2"/>
        <v>Amarillo</v>
      </c>
      <c r="K310" s="24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43">
        <v>80102.0</v>
      </c>
      <c r="B311" s="46" t="s">
        <v>389</v>
      </c>
      <c r="C311" s="6">
        <v>0.3</v>
      </c>
      <c r="D311" s="44" t="str">
        <f t="shared" si="1"/>
        <v>Naranja</v>
      </c>
      <c r="E311" s="45">
        <v>0.5651105651105651</v>
      </c>
      <c r="F311" s="44" t="str">
        <f t="shared" si="2"/>
        <v>Naranja</v>
      </c>
      <c r="K311" s="24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43">
        <v>80201.0</v>
      </c>
      <c r="B312" s="46" t="s">
        <v>408</v>
      </c>
      <c r="C312" s="6">
        <v>2.9</v>
      </c>
      <c r="D312" s="44" t="str">
        <f t="shared" si="1"/>
        <v>Amarillo</v>
      </c>
      <c r="E312" s="45">
        <v>3.5893216485047943</v>
      </c>
      <c r="F312" s="44" t="str">
        <f t="shared" si="2"/>
        <v>Amarillo</v>
      </c>
      <c r="K312" s="24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43">
        <v>80202.0</v>
      </c>
      <c r="B313" s="46" t="s">
        <v>409</v>
      </c>
      <c r="C313" s="6">
        <v>4.6</v>
      </c>
      <c r="D313" s="44" t="str">
        <f t="shared" si="1"/>
        <v>Amarillo</v>
      </c>
      <c r="E313" s="45">
        <v>3.1598031598031593</v>
      </c>
      <c r="F313" s="44" t="str">
        <f t="shared" si="2"/>
        <v>Amarillo</v>
      </c>
      <c r="K313" s="24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43">
        <v>80301.0</v>
      </c>
      <c r="B314" s="46" t="s">
        <v>411</v>
      </c>
      <c r="C314" s="6">
        <v>0.9</v>
      </c>
      <c r="D314" s="44" t="str">
        <f t="shared" si="1"/>
        <v>Naranja</v>
      </c>
      <c r="E314" s="45">
        <v>1.7737949511513498</v>
      </c>
      <c r="F314" s="44" t="str">
        <f t="shared" si="2"/>
        <v>Naranja</v>
      </c>
      <c r="K314" s="24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43">
        <v>80302.0</v>
      </c>
      <c r="B315" s="46" t="s">
        <v>412</v>
      </c>
      <c r="C315" s="6">
        <v>3.8</v>
      </c>
      <c r="D315" s="44" t="str">
        <f t="shared" si="1"/>
        <v>Amarillo</v>
      </c>
      <c r="E315" s="45">
        <v>2.4841029298151778</v>
      </c>
      <c r="F315" s="44" t="str">
        <f t="shared" si="2"/>
        <v>Amarillo</v>
      </c>
      <c r="K315" s="24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43">
        <v>80303.0</v>
      </c>
      <c r="B316" s="46" t="s">
        <v>413</v>
      </c>
      <c r="C316" s="6">
        <v>1.1</v>
      </c>
      <c r="D316" s="44" t="str">
        <f t="shared" si="1"/>
        <v>Naranja</v>
      </c>
      <c r="E316" s="45">
        <v>1.7976976376234384</v>
      </c>
      <c r="F316" s="44" t="str">
        <f t="shared" si="2"/>
        <v>Naranja</v>
      </c>
      <c r="K316" s="24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43">
        <v>80304.0</v>
      </c>
      <c r="B317" s="46" t="s">
        <v>504</v>
      </c>
      <c r="C317" s="6">
        <v>24.7</v>
      </c>
      <c r="D317" s="44" t="str">
        <f t="shared" si="1"/>
        <v>Verde</v>
      </c>
      <c r="E317" s="45">
        <v>6.750208587382067</v>
      </c>
      <c r="F317" s="44" t="str">
        <f t="shared" si="2"/>
        <v>Verde</v>
      </c>
      <c r="K317" s="24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43">
        <v>80401.0</v>
      </c>
      <c r="B318" s="46" t="s">
        <v>505</v>
      </c>
      <c r="C318" s="6">
        <v>2.4</v>
      </c>
      <c r="D318" s="44" t="str">
        <f t="shared" si="1"/>
        <v>Naranja</v>
      </c>
      <c r="E318" s="45">
        <v>2.5690967697688776</v>
      </c>
      <c r="F318" s="44" t="str">
        <f t="shared" si="2"/>
        <v>Amarillo</v>
      </c>
      <c r="K318" s="24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43">
        <v>80402.0</v>
      </c>
      <c r="B319" s="46" t="s">
        <v>417</v>
      </c>
      <c r="C319" s="6">
        <v>0.7</v>
      </c>
      <c r="D319" s="44" t="str">
        <f t="shared" si="1"/>
        <v>Naranja</v>
      </c>
      <c r="E319" s="45">
        <v>1.5933572710951522</v>
      </c>
      <c r="F319" s="44" t="str">
        <f t="shared" si="2"/>
        <v>Naranja</v>
      </c>
      <c r="K319" s="24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43">
        <v>80501.0</v>
      </c>
      <c r="B320" s="46" t="s">
        <v>419</v>
      </c>
      <c r="C320" s="6">
        <v>2.3</v>
      </c>
      <c r="D320" s="44" t="str">
        <f t="shared" si="1"/>
        <v>Naranja</v>
      </c>
      <c r="E320" s="45">
        <v>2.5373706400919893</v>
      </c>
      <c r="F320" s="44" t="str">
        <f t="shared" si="2"/>
        <v>Amarillo</v>
      </c>
      <c r="K320" s="24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43">
        <v>80601.0</v>
      </c>
      <c r="B321" s="46" t="s">
        <v>421</v>
      </c>
      <c r="C321" s="6">
        <v>0.3</v>
      </c>
      <c r="D321" s="44" t="str">
        <f t="shared" si="1"/>
        <v>Naranja</v>
      </c>
      <c r="E321" s="45">
        <v>0.717829004960607</v>
      </c>
      <c r="F321" s="44" t="str">
        <f t="shared" si="2"/>
        <v>Naranja</v>
      </c>
      <c r="K321" s="24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43">
        <v>80602.0</v>
      </c>
      <c r="B322" s="46" t="s">
        <v>422</v>
      </c>
      <c r="C322" s="6">
        <v>0.4</v>
      </c>
      <c r="D322" s="44" t="str">
        <f t="shared" si="1"/>
        <v>Naranja</v>
      </c>
      <c r="E322" s="45">
        <v>0.7238915410777247</v>
      </c>
      <c r="F322" s="44" t="str">
        <f t="shared" si="2"/>
        <v>Naranja</v>
      </c>
      <c r="K322" s="24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43">
        <v>80701.0</v>
      </c>
      <c r="B323" s="46" t="s">
        <v>424</v>
      </c>
      <c r="C323" s="6">
        <v>1.1</v>
      </c>
      <c r="D323" s="44" t="str">
        <f t="shared" si="1"/>
        <v>Naranja</v>
      </c>
      <c r="E323" s="45">
        <v>2.0351409429907723</v>
      </c>
      <c r="F323" s="44" t="str">
        <f t="shared" si="2"/>
        <v>Naranja</v>
      </c>
      <c r="K323" s="24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43">
        <v>80702.0</v>
      </c>
      <c r="B324" s="46" t="s">
        <v>390</v>
      </c>
      <c r="C324" s="6">
        <v>0.8</v>
      </c>
      <c r="D324" s="44" t="str">
        <f t="shared" si="1"/>
        <v>Naranja</v>
      </c>
      <c r="E324" s="45">
        <v>0.922929401893803</v>
      </c>
      <c r="F324" s="44" t="str">
        <f t="shared" si="2"/>
        <v>Naranja</v>
      </c>
      <c r="K324" s="24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43">
        <v>80703.0</v>
      </c>
      <c r="B325" s="46" t="s">
        <v>425</v>
      </c>
      <c r="C325" s="6">
        <v>0.1</v>
      </c>
      <c r="D325" s="44" t="str">
        <f t="shared" si="1"/>
        <v>Rojo</v>
      </c>
      <c r="E325" s="45">
        <v>0.1951008020810752</v>
      </c>
      <c r="F325" s="44" t="str">
        <f t="shared" si="2"/>
        <v>Naranja</v>
      </c>
      <c r="K325" s="24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43">
        <v>80801.0</v>
      </c>
      <c r="B326" s="46" t="s">
        <v>427</v>
      </c>
      <c r="C326" s="6">
        <v>1.1</v>
      </c>
      <c r="D326" s="44" t="str">
        <f t="shared" si="1"/>
        <v>Naranja</v>
      </c>
      <c r="E326" s="45">
        <v>3.1573530302112975</v>
      </c>
      <c r="F326" s="44" t="str">
        <f t="shared" si="2"/>
        <v>Amarillo</v>
      </c>
      <c r="K326" s="24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43">
        <v>80802.0</v>
      </c>
      <c r="B327" s="46" t="s">
        <v>428</v>
      </c>
      <c r="C327" s="6">
        <v>0.6</v>
      </c>
      <c r="D327" s="44" t="str">
        <f t="shared" si="1"/>
        <v>Naranja</v>
      </c>
      <c r="E327" s="45">
        <v>0.7925222700848981</v>
      </c>
      <c r="F327" s="44" t="str">
        <f t="shared" si="2"/>
        <v>Naranja</v>
      </c>
      <c r="K327" s="24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43">
        <v>80803.0</v>
      </c>
      <c r="B328" s="46" t="s">
        <v>429</v>
      </c>
      <c r="C328" s="6">
        <v>0.4</v>
      </c>
      <c r="D328" s="44" t="str">
        <f t="shared" si="1"/>
        <v>Naranja</v>
      </c>
      <c r="E328" s="45">
        <v>0.7045747742383646</v>
      </c>
      <c r="F328" s="44" t="str">
        <f t="shared" si="2"/>
        <v>Naranja</v>
      </c>
      <c r="K328" s="24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43">
        <v>80901.0</v>
      </c>
      <c r="B329" s="46" t="s">
        <v>506</v>
      </c>
      <c r="C329" s="6"/>
      <c r="D329" s="44" t="str">
        <f t="shared" si="1"/>
        <v>Rojo</v>
      </c>
      <c r="E329" s="45"/>
      <c r="F329" s="44" t="str">
        <f t="shared" si="2"/>
        <v>Rojo</v>
      </c>
      <c r="K329" s="24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43">
        <v>90101.0</v>
      </c>
      <c r="B330" s="46" t="s">
        <v>432</v>
      </c>
      <c r="C330" s="6">
        <v>3.6</v>
      </c>
      <c r="D330" s="44" t="str">
        <f t="shared" si="1"/>
        <v>Amarillo</v>
      </c>
      <c r="E330" s="45">
        <v>5.583702765463373</v>
      </c>
      <c r="F330" s="44" t="str">
        <f t="shared" si="2"/>
        <v>Verde</v>
      </c>
      <c r="K330" s="24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43">
        <v>90102.0</v>
      </c>
      <c r="B331" s="46" t="s">
        <v>433</v>
      </c>
      <c r="C331" s="6">
        <v>1.5</v>
      </c>
      <c r="D331" s="44" t="str">
        <f t="shared" si="1"/>
        <v>Naranja</v>
      </c>
      <c r="E331" s="45">
        <v>6.548530004027386</v>
      </c>
      <c r="F331" s="44" t="str">
        <f t="shared" si="2"/>
        <v>Verde</v>
      </c>
      <c r="K331" s="24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43">
        <v>90103.0</v>
      </c>
      <c r="B332" s="46" t="s">
        <v>434</v>
      </c>
      <c r="C332" s="6">
        <v>0.1</v>
      </c>
      <c r="D332" s="44" t="str">
        <f t="shared" si="1"/>
        <v>Rojo</v>
      </c>
      <c r="E332" s="45">
        <v>0.3135673889915449</v>
      </c>
      <c r="F332" s="44" t="str">
        <f t="shared" si="2"/>
        <v>Naranja</v>
      </c>
      <c r="K332" s="24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43">
        <v>90104.0</v>
      </c>
      <c r="B333" s="46" t="s">
        <v>435</v>
      </c>
      <c r="C333" s="6">
        <v>0.4</v>
      </c>
      <c r="D333" s="44" t="str">
        <f t="shared" si="1"/>
        <v>Naranja</v>
      </c>
      <c r="E333" s="45">
        <v>1.9310133999082897</v>
      </c>
      <c r="F333" s="44" t="str">
        <f t="shared" si="2"/>
        <v>Naranja</v>
      </c>
      <c r="K333" s="24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43">
        <v>90201.0</v>
      </c>
      <c r="B334" s="46" t="s">
        <v>437</v>
      </c>
      <c r="C334" s="6">
        <v>1.2</v>
      </c>
      <c r="D334" s="44" t="str">
        <f t="shared" si="1"/>
        <v>Naranja</v>
      </c>
      <c r="E334" s="45">
        <v>5.020940644105329</v>
      </c>
      <c r="F334" s="44" t="str">
        <f t="shared" si="2"/>
        <v>Verde</v>
      </c>
      <c r="K334" s="24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43">
        <v>90202.0</v>
      </c>
      <c r="B335" s="46" t="s">
        <v>386</v>
      </c>
      <c r="C335" s="6">
        <v>0.3</v>
      </c>
      <c r="D335" s="44" t="str">
        <f t="shared" si="1"/>
        <v>Naranja</v>
      </c>
      <c r="E335" s="45">
        <v>1.3988978380669777</v>
      </c>
      <c r="F335" s="44" t="str">
        <f t="shared" si="2"/>
        <v>Naranja</v>
      </c>
      <c r="K335" s="24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43">
        <v>90203.0</v>
      </c>
      <c r="B336" s="46" t="s">
        <v>438</v>
      </c>
      <c r="C336" s="6">
        <v>0.2</v>
      </c>
      <c r="D336" s="44" t="str">
        <f t="shared" si="1"/>
        <v>Naranja</v>
      </c>
      <c r="E336" s="45">
        <v>0.91163858594726</v>
      </c>
      <c r="F336" s="44" t="str">
        <f t="shared" si="2"/>
        <v>Naranja</v>
      </c>
      <c r="K336" s="24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43">
        <v>90301.0</v>
      </c>
      <c r="B337" s="46" t="s">
        <v>440</v>
      </c>
      <c r="C337" s="6">
        <v>0.6</v>
      </c>
      <c r="D337" s="44" t="str">
        <f t="shared" si="1"/>
        <v>Naranja</v>
      </c>
      <c r="E337" s="45">
        <v>3.6262406197046717</v>
      </c>
      <c r="F337" s="44" t="str">
        <f t="shared" si="2"/>
        <v>Amarillo</v>
      </c>
      <c r="K337" s="24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43">
        <v>90302.0</v>
      </c>
      <c r="B338" s="46" t="s">
        <v>441</v>
      </c>
      <c r="C338" s="6">
        <v>0.6</v>
      </c>
      <c r="D338" s="44" t="str">
        <f t="shared" si="1"/>
        <v>Naranja</v>
      </c>
      <c r="E338" s="45">
        <v>1.6683062797179866</v>
      </c>
      <c r="F338" s="44" t="str">
        <f t="shared" si="2"/>
        <v>Naranja</v>
      </c>
      <c r="K338" s="24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43">
        <v>90303.0</v>
      </c>
      <c r="B339" s="46" t="s">
        <v>442</v>
      </c>
      <c r="C339" s="6">
        <v>0.9</v>
      </c>
      <c r="D339" s="44" t="str">
        <f t="shared" si="1"/>
        <v>Naranja</v>
      </c>
      <c r="E339" s="45">
        <v>6.458584640128668</v>
      </c>
      <c r="F339" s="44" t="str">
        <f t="shared" si="2"/>
        <v>Verde</v>
      </c>
      <c r="K339" s="24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43">
        <v>90401.0</v>
      </c>
      <c r="B340" s="46" t="s">
        <v>413</v>
      </c>
      <c r="C340" s="6">
        <v>0.4</v>
      </c>
      <c r="D340" s="44" t="str">
        <f t="shared" si="1"/>
        <v>Naranja</v>
      </c>
      <c r="E340" s="45">
        <v>2.1395528141865845</v>
      </c>
      <c r="F340" s="44" t="str">
        <f t="shared" si="2"/>
        <v>Naranja</v>
      </c>
      <c r="K340" s="24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43">
        <v>90402.0</v>
      </c>
      <c r="B341" s="46" t="s">
        <v>105</v>
      </c>
      <c r="C341" s="6">
        <v>0.4</v>
      </c>
      <c r="D341" s="44" t="str">
        <f t="shared" si="1"/>
        <v>Naranja</v>
      </c>
      <c r="E341" s="45">
        <v>2.294816414686825</v>
      </c>
      <c r="F341" s="44" t="str">
        <f t="shared" si="2"/>
        <v>Naranja</v>
      </c>
      <c r="K341" s="24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43">
        <v>90501.0</v>
      </c>
      <c r="B342" s="46" t="s">
        <v>446</v>
      </c>
      <c r="C342" s="6">
        <v>0.6</v>
      </c>
      <c r="D342" s="44" t="str">
        <f t="shared" si="1"/>
        <v>Naranja</v>
      </c>
      <c r="E342" s="45">
        <v>2.3794565729542954</v>
      </c>
      <c r="F342" s="44" t="str">
        <f t="shared" si="2"/>
        <v>Naranja</v>
      </c>
      <c r="K342" s="24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43">
        <v>90502.0</v>
      </c>
      <c r="B343" s="46" t="s">
        <v>507</v>
      </c>
      <c r="C343" s="6">
        <v>0.5</v>
      </c>
      <c r="D343" s="44" t="str">
        <f t="shared" si="1"/>
        <v>Naranja</v>
      </c>
      <c r="E343" s="45">
        <v>2.5706371191135733</v>
      </c>
      <c r="F343" s="44" t="str">
        <f t="shared" si="2"/>
        <v>Amarillo</v>
      </c>
      <c r="K343" s="24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43">
        <v>90503.0</v>
      </c>
      <c r="B344" s="46" t="s">
        <v>448</v>
      </c>
      <c r="C344" s="6">
        <v>0.2</v>
      </c>
      <c r="D344" s="44" t="str">
        <f t="shared" si="1"/>
        <v>Naranja</v>
      </c>
      <c r="E344" s="45">
        <v>0.9940357852882704</v>
      </c>
      <c r="F344" s="44" t="str">
        <f t="shared" si="2"/>
        <v>Naranja</v>
      </c>
      <c r="K344" s="24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47"/>
      <c r="B345" s="47"/>
      <c r="C345" s="47"/>
      <c r="D345" s="47"/>
      <c r="E345" s="47"/>
      <c r="F345" s="47"/>
      <c r="K345" s="47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47"/>
      <c r="B346" s="47"/>
      <c r="C346" s="47"/>
      <c r="D346" s="47"/>
      <c r="E346" s="47"/>
      <c r="F346" s="47"/>
      <c r="K346" s="47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47"/>
      <c r="B347" s="47"/>
      <c r="C347" s="47"/>
      <c r="D347" s="47"/>
      <c r="E347" s="47"/>
      <c r="F347" s="47"/>
      <c r="K347" s="47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47"/>
      <c r="B348" s="47"/>
      <c r="C348" s="47"/>
      <c r="D348" s="47"/>
      <c r="E348" s="47"/>
      <c r="F348" s="47"/>
      <c r="K348" s="47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47"/>
      <c r="B349" s="47"/>
      <c r="C349" s="47"/>
      <c r="D349" s="47"/>
      <c r="E349" s="47"/>
      <c r="F349" s="47"/>
      <c r="K349" s="47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47"/>
      <c r="B350" s="47"/>
      <c r="C350" s="47"/>
      <c r="D350" s="47"/>
      <c r="E350" s="47"/>
      <c r="F350" s="47"/>
      <c r="K350" s="47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47"/>
      <c r="B351" s="47"/>
      <c r="C351" s="47"/>
      <c r="D351" s="47"/>
      <c r="E351" s="47"/>
      <c r="F351" s="47"/>
      <c r="K351" s="47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47"/>
      <c r="B352" s="47"/>
      <c r="C352" s="47"/>
      <c r="D352" s="47"/>
      <c r="E352" s="47"/>
      <c r="F352" s="47"/>
      <c r="K352" s="47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47"/>
      <c r="B353" s="47"/>
      <c r="C353" s="47"/>
      <c r="D353" s="47"/>
      <c r="E353" s="47"/>
      <c r="F353" s="47"/>
      <c r="K353" s="47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47"/>
      <c r="B354" s="47"/>
      <c r="C354" s="47"/>
      <c r="D354" s="47"/>
      <c r="E354" s="47"/>
      <c r="F354" s="47"/>
      <c r="K354" s="47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47"/>
      <c r="B355" s="47"/>
      <c r="C355" s="47"/>
      <c r="D355" s="47"/>
      <c r="E355" s="47"/>
      <c r="F355" s="47"/>
      <c r="K355" s="47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47"/>
      <c r="B356" s="47"/>
      <c r="C356" s="47"/>
      <c r="D356" s="47"/>
      <c r="E356" s="47"/>
      <c r="F356" s="47"/>
      <c r="K356" s="47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47"/>
      <c r="B357" s="47"/>
      <c r="C357" s="47"/>
      <c r="D357" s="47"/>
      <c r="E357" s="47"/>
      <c r="F357" s="47"/>
      <c r="K357" s="47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47"/>
      <c r="B358" s="47"/>
      <c r="C358" s="47"/>
      <c r="D358" s="47"/>
      <c r="E358" s="47"/>
      <c r="F358" s="47"/>
      <c r="K358" s="47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47"/>
      <c r="B359" s="47"/>
      <c r="C359" s="47"/>
      <c r="D359" s="47"/>
      <c r="E359" s="47"/>
      <c r="F359" s="47"/>
      <c r="K359" s="47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47"/>
      <c r="B360" s="47"/>
      <c r="C360" s="47"/>
      <c r="D360" s="47"/>
      <c r="E360" s="47"/>
      <c r="F360" s="47"/>
      <c r="K360" s="47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47"/>
      <c r="B361" s="47"/>
      <c r="C361" s="47"/>
      <c r="D361" s="47"/>
      <c r="E361" s="47"/>
      <c r="F361" s="47"/>
      <c r="K361" s="47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47"/>
      <c r="B362" s="47"/>
      <c r="C362" s="47"/>
      <c r="D362" s="47"/>
      <c r="E362" s="47"/>
      <c r="F362" s="47"/>
      <c r="K362" s="47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47"/>
      <c r="B363" s="47"/>
      <c r="C363" s="47"/>
      <c r="D363" s="47"/>
      <c r="E363" s="47"/>
      <c r="F363" s="47"/>
      <c r="K363" s="47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47"/>
      <c r="B364" s="47"/>
      <c r="C364" s="47"/>
      <c r="D364" s="47"/>
      <c r="E364" s="47"/>
      <c r="F364" s="47"/>
      <c r="K364" s="47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47"/>
      <c r="B365" s="47"/>
      <c r="C365" s="47"/>
      <c r="D365" s="47"/>
      <c r="E365" s="47"/>
      <c r="F365" s="47"/>
      <c r="K365" s="47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47"/>
      <c r="B366" s="47"/>
      <c r="C366" s="47"/>
      <c r="D366" s="47"/>
      <c r="E366" s="47"/>
      <c r="F366" s="47"/>
      <c r="K366" s="47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47"/>
      <c r="B367" s="47"/>
      <c r="C367" s="47"/>
      <c r="D367" s="47"/>
      <c r="E367" s="47"/>
      <c r="F367" s="47"/>
      <c r="K367" s="47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47"/>
      <c r="B368" s="47"/>
      <c r="C368" s="47"/>
      <c r="D368" s="47"/>
      <c r="E368" s="47"/>
      <c r="F368" s="47"/>
      <c r="K368" s="47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47"/>
      <c r="B369" s="47"/>
      <c r="C369" s="47"/>
      <c r="D369" s="47"/>
      <c r="E369" s="47"/>
      <c r="F369" s="47"/>
      <c r="K369" s="47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47"/>
      <c r="B370" s="47"/>
      <c r="C370" s="47"/>
      <c r="D370" s="47"/>
      <c r="E370" s="47"/>
      <c r="F370" s="47"/>
      <c r="K370" s="47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47"/>
      <c r="B371" s="47"/>
      <c r="C371" s="47"/>
      <c r="D371" s="47"/>
      <c r="E371" s="47"/>
      <c r="F371" s="47"/>
      <c r="K371" s="47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47"/>
      <c r="B372" s="47"/>
      <c r="C372" s="47"/>
      <c r="D372" s="47"/>
      <c r="E372" s="47"/>
      <c r="F372" s="47"/>
      <c r="K372" s="47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47"/>
      <c r="B373" s="47"/>
      <c r="C373" s="47"/>
      <c r="D373" s="47"/>
      <c r="E373" s="47"/>
      <c r="F373" s="47"/>
      <c r="K373" s="47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47"/>
      <c r="B374" s="47"/>
      <c r="C374" s="47"/>
      <c r="D374" s="47"/>
      <c r="E374" s="47"/>
      <c r="F374" s="47"/>
      <c r="K374" s="47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47"/>
      <c r="B375" s="47"/>
      <c r="C375" s="47"/>
      <c r="D375" s="47"/>
      <c r="E375" s="47"/>
      <c r="F375" s="47"/>
      <c r="K375" s="47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47"/>
      <c r="B376" s="47"/>
      <c r="C376" s="47"/>
      <c r="D376" s="47"/>
      <c r="E376" s="47"/>
      <c r="F376" s="47"/>
      <c r="K376" s="47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47"/>
      <c r="B377" s="47"/>
      <c r="C377" s="47"/>
      <c r="D377" s="47"/>
      <c r="E377" s="47"/>
      <c r="F377" s="47"/>
      <c r="K377" s="47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47"/>
      <c r="B378" s="47"/>
      <c r="C378" s="47"/>
      <c r="D378" s="47"/>
      <c r="E378" s="47"/>
      <c r="F378" s="47"/>
      <c r="K378" s="47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47"/>
      <c r="B379" s="47"/>
      <c r="C379" s="47"/>
      <c r="D379" s="47"/>
      <c r="E379" s="47"/>
      <c r="F379" s="47"/>
      <c r="K379" s="47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47"/>
      <c r="B380" s="47"/>
      <c r="C380" s="47"/>
      <c r="D380" s="47"/>
      <c r="E380" s="47"/>
      <c r="F380" s="47"/>
      <c r="K380" s="47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47"/>
      <c r="B381" s="47"/>
      <c r="C381" s="47"/>
      <c r="D381" s="47"/>
      <c r="E381" s="47"/>
      <c r="F381" s="47"/>
      <c r="K381" s="47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47"/>
      <c r="B382" s="47"/>
      <c r="C382" s="47"/>
      <c r="D382" s="47"/>
      <c r="E382" s="47"/>
      <c r="F382" s="47"/>
      <c r="K382" s="47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47"/>
      <c r="B383" s="47"/>
      <c r="C383" s="47"/>
      <c r="D383" s="47"/>
      <c r="E383" s="47"/>
      <c r="F383" s="47"/>
      <c r="K383" s="47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47"/>
      <c r="B384" s="47"/>
      <c r="C384" s="47"/>
      <c r="D384" s="47"/>
      <c r="E384" s="47"/>
      <c r="F384" s="47"/>
      <c r="K384" s="47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47"/>
      <c r="B385" s="47"/>
      <c r="C385" s="47"/>
      <c r="D385" s="47"/>
      <c r="E385" s="47"/>
      <c r="F385" s="47"/>
      <c r="K385" s="47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47"/>
      <c r="B386" s="47"/>
      <c r="C386" s="47"/>
      <c r="D386" s="47"/>
      <c r="E386" s="47"/>
      <c r="F386" s="47"/>
      <c r="K386" s="47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47"/>
      <c r="B387" s="47"/>
      <c r="C387" s="47"/>
      <c r="D387" s="47"/>
      <c r="E387" s="47"/>
      <c r="F387" s="47"/>
      <c r="K387" s="47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47"/>
      <c r="B388" s="47"/>
      <c r="C388" s="47"/>
      <c r="D388" s="47"/>
      <c r="E388" s="47"/>
      <c r="F388" s="47"/>
      <c r="K388" s="47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47"/>
      <c r="B389" s="47"/>
      <c r="C389" s="47"/>
      <c r="D389" s="47"/>
      <c r="E389" s="47"/>
      <c r="F389" s="47"/>
      <c r="K389" s="47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47"/>
      <c r="B390" s="47"/>
      <c r="C390" s="47"/>
      <c r="D390" s="47"/>
      <c r="E390" s="47"/>
      <c r="F390" s="47"/>
      <c r="K390" s="47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47"/>
      <c r="B391" s="47"/>
      <c r="C391" s="47"/>
      <c r="D391" s="47"/>
      <c r="E391" s="47"/>
      <c r="F391" s="47"/>
      <c r="K391" s="47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47"/>
      <c r="B392" s="47"/>
      <c r="C392" s="47"/>
      <c r="D392" s="47"/>
      <c r="E392" s="47"/>
      <c r="F392" s="47"/>
      <c r="K392" s="47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47"/>
      <c r="B393" s="47"/>
      <c r="C393" s="47"/>
      <c r="D393" s="47"/>
      <c r="E393" s="47"/>
      <c r="F393" s="47"/>
      <c r="K393" s="47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47"/>
      <c r="B394" s="47"/>
      <c r="C394" s="47"/>
      <c r="D394" s="47"/>
      <c r="E394" s="47"/>
      <c r="F394" s="47"/>
      <c r="K394" s="47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47"/>
      <c r="B395" s="47"/>
      <c r="C395" s="47"/>
      <c r="D395" s="47"/>
      <c r="E395" s="47"/>
      <c r="F395" s="47"/>
      <c r="K395" s="47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47"/>
      <c r="B396" s="47"/>
      <c r="C396" s="47"/>
      <c r="D396" s="47"/>
      <c r="E396" s="47"/>
      <c r="F396" s="47"/>
      <c r="K396" s="47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47"/>
      <c r="B397" s="47"/>
      <c r="C397" s="47"/>
      <c r="D397" s="47"/>
      <c r="E397" s="47"/>
      <c r="F397" s="47"/>
      <c r="K397" s="47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47"/>
      <c r="B398" s="47"/>
      <c r="C398" s="47"/>
      <c r="D398" s="47"/>
      <c r="E398" s="47"/>
      <c r="F398" s="47"/>
      <c r="K398" s="47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47"/>
      <c r="B399" s="47"/>
      <c r="C399" s="47"/>
      <c r="D399" s="47"/>
      <c r="E399" s="47"/>
      <c r="F399" s="47"/>
      <c r="K399" s="47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47"/>
      <c r="B400" s="47"/>
      <c r="C400" s="47"/>
      <c r="D400" s="47"/>
      <c r="E400" s="47"/>
      <c r="F400" s="47"/>
      <c r="K400" s="47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47"/>
      <c r="B401" s="47"/>
      <c r="C401" s="47"/>
      <c r="D401" s="47"/>
      <c r="E401" s="47"/>
      <c r="F401" s="47"/>
      <c r="K401" s="47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47"/>
      <c r="B402" s="47"/>
      <c r="C402" s="47"/>
      <c r="D402" s="47"/>
      <c r="E402" s="47"/>
      <c r="F402" s="47"/>
      <c r="K402" s="47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47"/>
      <c r="B403" s="47"/>
      <c r="C403" s="47"/>
      <c r="D403" s="47"/>
      <c r="E403" s="47"/>
      <c r="F403" s="47"/>
      <c r="K403" s="47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47"/>
      <c r="B404" s="47"/>
      <c r="C404" s="47"/>
      <c r="D404" s="47"/>
      <c r="E404" s="47"/>
      <c r="F404" s="47"/>
      <c r="K404" s="47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47"/>
      <c r="B405" s="47"/>
      <c r="C405" s="47"/>
      <c r="D405" s="47"/>
      <c r="E405" s="47"/>
      <c r="F405" s="47"/>
      <c r="K405" s="47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47"/>
      <c r="B406" s="47"/>
      <c r="C406" s="47"/>
      <c r="D406" s="47"/>
      <c r="E406" s="47"/>
      <c r="F406" s="47"/>
      <c r="K406" s="47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47"/>
      <c r="B407" s="47"/>
      <c r="C407" s="47"/>
      <c r="D407" s="47"/>
      <c r="E407" s="47"/>
      <c r="F407" s="47"/>
      <c r="K407" s="47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47"/>
      <c r="B408" s="47"/>
      <c r="C408" s="47"/>
      <c r="D408" s="47"/>
      <c r="E408" s="47"/>
      <c r="F408" s="47"/>
      <c r="K408" s="47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47"/>
      <c r="B409" s="47"/>
      <c r="C409" s="47"/>
      <c r="D409" s="47"/>
      <c r="E409" s="47"/>
      <c r="F409" s="47"/>
      <c r="K409" s="47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47"/>
      <c r="B410" s="47"/>
      <c r="C410" s="47"/>
      <c r="D410" s="47"/>
      <c r="E410" s="47"/>
      <c r="F410" s="47"/>
      <c r="K410" s="47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47"/>
      <c r="B411" s="47"/>
      <c r="C411" s="47"/>
      <c r="D411" s="47"/>
      <c r="E411" s="47"/>
      <c r="F411" s="47"/>
      <c r="K411" s="47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47"/>
      <c r="B412" s="47"/>
      <c r="C412" s="47"/>
      <c r="D412" s="47"/>
      <c r="E412" s="47"/>
      <c r="F412" s="47"/>
      <c r="K412" s="47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47"/>
      <c r="B413" s="47"/>
      <c r="C413" s="47"/>
      <c r="D413" s="47"/>
      <c r="E413" s="47"/>
      <c r="F413" s="47"/>
      <c r="K413" s="47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47"/>
      <c r="B414" s="47"/>
      <c r="C414" s="47"/>
      <c r="D414" s="47"/>
      <c r="E414" s="47"/>
      <c r="F414" s="47"/>
      <c r="K414" s="47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47"/>
      <c r="B415" s="47"/>
      <c r="C415" s="47"/>
      <c r="D415" s="47"/>
      <c r="E415" s="47"/>
      <c r="F415" s="47"/>
      <c r="K415" s="47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47"/>
      <c r="B416" s="47"/>
      <c r="C416" s="47"/>
      <c r="D416" s="47"/>
      <c r="E416" s="47"/>
      <c r="F416" s="47"/>
      <c r="K416" s="47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47"/>
      <c r="B417" s="47"/>
      <c r="C417" s="47"/>
      <c r="D417" s="47"/>
      <c r="E417" s="47"/>
      <c r="F417" s="47"/>
      <c r="K417" s="47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47"/>
      <c r="B418" s="47"/>
      <c r="C418" s="47"/>
      <c r="D418" s="47"/>
      <c r="E418" s="47"/>
      <c r="F418" s="47"/>
      <c r="K418" s="47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47"/>
      <c r="B419" s="47"/>
      <c r="C419" s="47"/>
      <c r="D419" s="47"/>
      <c r="E419" s="47"/>
      <c r="F419" s="47"/>
      <c r="K419" s="47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47"/>
      <c r="B420" s="47"/>
      <c r="C420" s="47"/>
      <c r="D420" s="47"/>
      <c r="E420" s="47"/>
      <c r="F420" s="47"/>
      <c r="K420" s="47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47"/>
      <c r="B421" s="47"/>
      <c r="C421" s="47"/>
      <c r="D421" s="47"/>
      <c r="E421" s="47"/>
      <c r="F421" s="47"/>
      <c r="K421" s="47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47"/>
      <c r="B422" s="47"/>
      <c r="C422" s="47"/>
      <c r="D422" s="47"/>
      <c r="E422" s="47"/>
      <c r="F422" s="47"/>
      <c r="K422" s="47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47"/>
      <c r="B423" s="47"/>
      <c r="C423" s="47"/>
      <c r="D423" s="47"/>
      <c r="E423" s="47"/>
      <c r="F423" s="47"/>
      <c r="K423" s="47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47"/>
      <c r="B424" s="47"/>
      <c r="C424" s="47"/>
      <c r="D424" s="47"/>
      <c r="E424" s="47"/>
      <c r="F424" s="47"/>
      <c r="K424" s="47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47"/>
      <c r="B425" s="47"/>
      <c r="C425" s="47"/>
      <c r="D425" s="47"/>
      <c r="E425" s="47"/>
      <c r="F425" s="47"/>
      <c r="K425" s="47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47"/>
      <c r="B426" s="47"/>
      <c r="C426" s="47"/>
      <c r="D426" s="47"/>
      <c r="E426" s="47"/>
      <c r="F426" s="47"/>
      <c r="K426" s="47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47"/>
      <c r="B427" s="47"/>
      <c r="C427" s="47"/>
      <c r="D427" s="47"/>
      <c r="E427" s="47"/>
      <c r="F427" s="47"/>
      <c r="K427" s="47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47"/>
      <c r="B428" s="47"/>
      <c r="C428" s="47"/>
      <c r="D428" s="47"/>
      <c r="E428" s="47"/>
      <c r="F428" s="47"/>
      <c r="K428" s="47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47"/>
      <c r="B429" s="47"/>
      <c r="C429" s="47"/>
      <c r="D429" s="47"/>
      <c r="E429" s="47"/>
      <c r="F429" s="47"/>
      <c r="K429" s="47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47"/>
      <c r="B430" s="47"/>
      <c r="C430" s="47"/>
      <c r="D430" s="47"/>
      <c r="E430" s="47"/>
      <c r="F430" s="47"/>
      <c r="K430" s="47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47"/>
      <c r="B431" s="47"/>
      <c r="C431" s="47"/>
      <c r="D431" s="47"/>
      <c r="E431" s="47"/>
      <c r="F431" s="47"/>
      <c r="K431" s="47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47"/>
      <c r="B432" s="47"/>
      <c r="C432" s="47"/>
      <c r="D432" s="47"/>
      <c r="E432" s="47"/>
      <c r="F432" s="47"/>
      <c r="K432" s="47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47"/>
      <c r="B433" s="47"/>
      <c r="C433" s="47"/>
      <c r="D433" s="47"/>
      <c r="E433" s="47"/>
      <c r="F433" s="47"/>
      <c r="K433" s="47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47"/>
      <c r="B434" s="47"/>
      <c r="C434" s="47"/>
      <c r="D434" s="47"/>
      <c r="E434" s="47"/>
      <c r="F434" s="47"/>
      <c r="K434" s="47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47"/>
      <c r="B435" s="47"/>
      <c r="C435" s="47"/>
      <c r="D435" s="47"/>
      <c r="E435" s="47"/>
      <c r="F435" s="47"/>
      <c r="K435" s="47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47"/>
      <c r="B436" s="47"/>
      <c r="C436" s="47"/>
      <c r="D436" s="47"/>
      <c r="E436" s="47"/>
      <c r="F436" s="47"/>
      <c r="K436" s="47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47"/>
      <c r="B437" s="47"/>
      <c r="C437" s="47"/>
      <c r="D437" s="47"/>
      <c r="E437" s="47"/>
      <c r="F437" s="47"/>
      <c r="K437" s="47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47"/>
      <c r="B438" s="47"/>
      <c r="C438" s="47"/>
      <c r="D438" s="47"/>
      <c r="E438" s="47"/>
      <c r="F438" s="47"/>
      <c r="K438" s="47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47"/>
      <c r="B439" s="47"/>
      <c r="C439" s="47"/>
      <c r="D439" s="47"/>
      <c r="E439" s="47"/>
      <c r="F439" s="47"/>
      <c r="K439" s="47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47"/>
      <c r="B440" s="47"/>
      <c r="C440" s="47"/>
      <c r="D440" s="47"/>
      <c r="E440" s="47"/>
      <c r="F440" s="47"/>
      <c r="K440" s="47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47"/>
      <c r="B441" s="47"/>
      <c r="C441" s="47"/>
      <c r="D441" s="47"/>
      <c r="E441" s="47"/>
      <c r="F441" s="47"/>
      <c r="K441" s="47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47"/>
      <c r="B442" s="47"/>
      <c r="C442" s="47"/>
      <c r="D442" s="47"/>
      <c r="E442" s="47"/>
      <c r="F442" s="47"/>
      <c r="K442" s="47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47"/>
      <c r="B443" s="47"/>
      <c r="C443" s="47"/>
      <c r="D443" s="47"/>
      <c r="E443" s="47"/>
      <c r="F443" s="47"/>
      <c r="K443" s="47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47"/>
      <c r="B444" s="47"/>
      <c r="C444" s="47"/>
      <c r="D444" s="47"/>
      <c r="E444" s="47"/>
      <c r="F444" s="47"/>
      <c r="K444" s="47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47"/>
      <c r="B445" s="47"/>
      <c r="C445" s="47"/>
      <c r="D445" s="47"/>
      <c r="E445" s="47"/>
      <c r="F445" s="47"/>
      <c r="K445" s="47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47"/>
      <c r="B446" s="47"/>
      <c r="C446" s="47"/>
      <c r="D446" s="47"/>
      <c r="E446" s="47"/>
      <c r="F446" s="47"/>
      <c r="K446" s="47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47"/>
      <c r="B447" s="47"/>
      <c r="C447" s="47"/>
      <c r="D447" s="47"/>
      <c r="E447" s="47"/>
      <c r="F447" s="47"/>
      <c r="K447" s="47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47"/>
      <c r="B448" s="47"/>
      <c r="C448" s="47"/>
      <c r="D448" s="47"/>
      <c r="E448" s="47"/>
      <c r="F448" s="47"/>
      <c r="K448" s="47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47"/>
      <c r="B449" s="47"/>
      <c r="C449" s="47"/>
      <c r="D449" s="47"/>
      <c r="E449" s="47"/>
      <c r="F449" s="47"/>
      <c r="K449" s="47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47"/>
      <c r="B450" s="47"/>
      <c r="C450" s="47"/>
      <c r="D450" s="47"/>
      <c r="E450" s="47"/>
      <c r="F450" s="47"/>
      <c r="K450" s="47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47"/>
      <c r="B451" s="47"/>
      <c r="C451" s="47"/>
      <c r="D451" s="47"/>
      <c r="E451" s="47"/>
      <c r="F451" s="47"/>
      <c r="K451" s="47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47"/>
      <c r="B452" s="47"/>
      <c r="C452" s="47"/>
      <c r="D452" s="47"/>
      <c r="E452" s="47"/>
      <c r="F452" s="47"/>
      <c r="K452" s="47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47"/>
      <c r="B453" s="47"/>
      <c r="C453" s="47"/>
      <c r="D453" s="47"/>
      <c r="E453" s="47"/>
      <c r="F453" s="47"/>
      <c r="K453" s="47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47"/>
      <c r="B454" s="47"/>
      <c r="C454" s="47"/>
      <c r="D454" s="47"/>
      <c r="E454" s="47"/>
      <c r="F454" s="47"/>
      <c r="K454" s="47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47"/>
      <c r="B455" s="47"/>
      <c r="C455" s="47"/>
      <c r="D455" s="47"/>
      <c r="E455" s="47"/>
      <c r="F455" s="47"/>
      <c r="K455" s="47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47"/>
      <c r="B456" s="47"/>
      <c r="C456" s="47"/>
      <c r="D456" s="47"/>
      <c r="E456" s="47"/>
      <c r="F456" s="47"/>
      <c r="K456" s="47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47"/>
      <c r="B457" s="47"/>
      <c r="C457" s="47"/>
      <c r="D457" s="47"/>
      <c r="E457" s="47"/>
      <c r="F457" s="47"/>
      <c r="K457" s="47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47"/>
      <c r="B458" s="47"/>
      <c r="C458" s="47"/>
      <c r="D458" s="47"/>
      <c r="E458" s="47"/>
      <c r="F458" s="47"/>
      <c r="K458" s="47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47"/>
      <c r="B459" s="47"/>
      <c r="C459" s="47"/>
      <c r="D459" s="47"/>
      <c r="E459" s="47"/>
      <c r="F459" s="47"/>
      <c r="K459" s="47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47"/>
      <c r="B460" s="47"/>
      <c r="C460" s="47"/>
      <c r="D460" s="47"/>
      <c r="E460" s="47"/>
      <c r="F460" s="47"/>
      <c r="K460" s="47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47"/>
      <c r="B461" s="47"/>
      <c r="C461" s="47"/>
      <c r="D461" s="47"/>
      <c r="E461" s="47"/>
      <c r="F461" s="47"/>
      <c r="K461" s="47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47"/>
      <c r="B462" s="47"/>
      <c r="C462" s="47"/>
      <c r="D462" s="47"/>
      <c r="E462" s="47"/>
      <c r="F462" s="47"/>
      <c r="K462" s="47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47"/>
      <c r="B463" s="47"/>
      <c r="C463" s="47"/>
      <c r="D463" s="47"/>
      <c r="E463" s="47"/>
      <c r="F463" s="47"/>
      <c r="K463" s="47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47"/>
      <c r="B464" s="47"/>
      <c r="C464" s="47"/>
      <c r="D464" s="47"/>
      <c r="E464" s="47"/>
      <c r="F464" s="47"/>
      <c r="K464" s="47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47"/>
      <c r="B465" s="47"/>
      <c r="C465" s="47"/>
      <c r="D465" s="47"/>
      <c r="E465" s="47"/>
      <c r="F465" s="47"/>
      <c r="K465" s="47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47"/>
      <c r="B466" s="47"/>
      <c r="C466" s="47"/>
      <c r="D466" s="47"/>
      <c r="E466" s="47"/>
      <c r="F466" s="47"/>
      <c r="K466" s="47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47"/>
      <c r="B467" s="47"/>
      <c r="C467" s="47"/>
      <c r="D467" s="47"/>
      <c r="E467" s="47"/>
      <c r="F467" s="47"/>
      <c r="K467" s="47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47"/>
      <c r="B468" s="47"/>
      <c r="C468" s="47"/>
      <c r="D468" s="47"/>
      <c r="E468" s="47"/>
      <c r="F468" s="47"/>
      <c r="K468" s="47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47"/>
      <c r="B469" s="47"/>
      <c r="C469" s="47"/>
      <c r="D469" s="47"/>
      <c r="E469" s="47"/>
      <c r="F469" s="47"/>
      <c r="K469" s="47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47"/>
      <c r="B470" s="47"/>
      <c r="C470" s="47"/>
      <c r="D470" s="47"/>
      <c r="E470" s="47"/>
      <c r="F470" s="47"/>
      <c r="K470" s="47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47"/>
      <c r="B471" s="47"/>
      <c r="C471" s="47"/>
      <c r="D471" s="47"/>
      <c r="E471" s="47"/>
      <c r="F471" s="47"/>
      <c r="K471" s="47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47"/>
      <c r="B472" s="47"/>
      <c r="C472" s="47"/>
      <c r="D472" s="47"/>
      <c r="E472" s="47"/>
      <c r="F472" s="47"/>
      <c r="K472" s="47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47"/>
      <c r="B473" s="47"/>
      <c r="C473" s="47"/>
      <c r="D473" s="47"/>
      <c r="E473" s="47"/>
      <c r="F473" s="47"/>
      <c r="K473" s="47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47"/>
      <c r="B474" s="47"/>
      <c r="C474" s="47"/>
      <c r="D474" s="47"/>
      <c r="E474" s="47"/>
      <c r="F474" s="47"/>
      <c r="K474" s="47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47"/>
      <c r="B475" s="47"/>
      <c r="C475" s="47"/>
      <c r="D475" s="47"/>
      <c r="E475" s="47"/>
      <c r="F475" s="47"/>
      <c r="K475" s="47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47"/>
      <c r="B476" s="47"/>
      <c r="C476" s="47"/>
      <c r="D476" s="47"/>
      <c r="E476" s="47"/>
      <c r="F476" s="47"/>
      <c r="K476" s="47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47"/>
      <c r="B477" s="47"/>
      <c r="C477" s="47"/>
      <c r="D477" s="47"/>
      <c r="E477" s="47"/>
      <c r="F477" s="47"/>
      <c r="K477" s="47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47"/>
      <c r="B478" s="47"/>
      <c r="C478" s="47"/>
      <c r="D478" s="47"/>
      <c r="E478" s="47"/>
      <c r="F478" s="47"/>
      <c r="K478" s="47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47"/>
      <c r="B479" s="47"/>
      <c r="C479" s="47"/>
      <c r="D479" s="47"/>
      <c r="E479" s="47"/>
      <c r="F479" s="47"/>
      <c r="K479" s="47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47"/>
      <c r="B480" s="47"/>
      <c r="C480" s="47"/>
      <c r="D480" s="47"/>
      <c r="E480" s="47"/>
      <c r="F480" s="47"/>
      <c r="K480" s="47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47"/>
      <c r="B481" s="47"/>
      <c r="C481" s="47"/>
      <c r="D481" s="47"/>
      <c r="E481" s="47"/>
      <c r="F481" s="47"/>
      <c r="K481" s="47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47"/>
      <c r="B482" s="47"/>
      <c r="C482" s="47"/>
      <c r="D482" s="47"/>
      <c r="E482" s="47"/>
      <c r="F482" s="47"/>
      <c r="K482" s="47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47"/>
      <c r="B483" s="47"/>
      <c r="C483" s="47"/>
      <c r="D483" s="47"/>
      <c r="E483" s="47"/>
      <c r="F483" s="47"/>
      <c r="K483" s="47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47"/>
      <c r="B484" s="47"/>
      <c r="C484" s="47"/>
      <c r="D484" s="47"/>
      <c r="E484" s="47"/>
      <c r="F484" s="47"/>
      <c r="K484" s="47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47"/>
      <c r="B485" s="47"/>
      <c r="C485" s="47"/>
      <c r="D485" s="47"/>
      <c r="E485" s="47"/>
      <c r="F485" s="47"/>
      <c r="K485" s="47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47"/>
      <c r="B486" s="47"/>
      <c r="C486" s="47"/>
      <c r="D486" s="47"/>
      <c r="E486" s="47"/>
      <c r="F486" s="47"/>
      <c r="K486" s="47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47"/>
      <c r="B487" s="47"/>
      <c r="C487" s="47"/>
      <c r="D487" s="47"/>
      <c r="E487" s="47"/>
      <c r="F487" s="47"/>
      <c r="K487" s="47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47"/>
      <c r="B488" s="47"/>
      <c r="C488" s="47"/>
      <c r="D488" s="47"/>
      <c r="E488" s="47"/>
      <c r="F488" s="47"/>
      <c r="K488" s="47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47"/>
      <c r="B489" s="47"/>
      <c r="C489" s="47"/>
      <c r="D489" s="47"/>
      <c r="E489" s="47"/>
      <c r="F489" s="47"/>
      <c r="K489" s="47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47"/>
      <c r="B490" s="47"/>
      <c r="C490" s="47"/>
      <c r="D490" s="47"/>
      <c r="E490" s="47"/>
      <c r="F490" s="47"/>
      <c r="K490" s="47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47"/>
      <c r="B491" s="47"/>
      <c r="C491" s="47"/>
      <c r="D491" s="47"/>
      <c r="E491" s="47"/>
      <c r="F491" s="47"/>
      <c r="K491" s="47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47"/>
      <c r="B492" s="47"/>
      <c r="C492" s="47"/>
      <c r="D492" s="47"/>
      <c r="E492" s="47"/>
      <c r="F492" s="47"/>
      <c r="K492" s="47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47"/>
      <c r="B493" s="47"/>
      <c r="C493" s="47"/>
      <c r="D493" s="47"/>
      <c r="E493" s="47"/>
      <c r="F493" s="47"/>
      <c r="K493" s="47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47"/>
      <c r="B494" s="47"/>
      <c r="C494" s="47"/>
      <c r="D494" s="47"/>
      <c r="E494" s="47"/>
      <c r="F494" s="47"/>
      <c r="K494" s="47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47"/>
      <c r="B495" s="47"/>
      <c r="C495" s="47"/>
      <c r="D495" s="47"/>
      <c r="E495" s="47"/>
      <c r="F495" s="47"/>
      <c r="K495" s="47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47"/>
      <c r="B496" s="47"/>
      <c r="C496" s="47"/>
      <c r="D496" s="47"/>
      <c r="E496" s="47"/>
      <c r="F496" s="47"/>
      <c r="K496" s="47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47"/>
      <c r="B497" s="47"/>
      <c r="C497" s="47"/>
      <c r="D497" s="47"/>
      <c r="E497" s="47"/>
      <c r="F497" s="47"/>
      <c r="K497" s="47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47"/>
      <c r="B498" s="47"/>
      <c r="C498" s="47"/>
      <c r="D498" s="47"/>
      <c r="E498" s="47"/>
      <c r="F498" s="47"/>
      <c r="K498" s="47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47"/>
      <c r="B499" s="47"/>
      <c r="C499" s="47"/>
      <c r="D499" s="47"/>
      <c r="E499" s="47"/>
      <c r="F499" s="47"/>
      <c r="K499" s="47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47"/>
      <c r="B500" s="47"/>
      <c r="C500" s="47"/>
      <c r="D500" s="47"/>
      <c r="E500" s="47"/>
      <c r="F500" s="47"/>
      <c r="K500" s="47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47"/>
      <c r="B501" s="47"/>
      <c r="C501" s="47"/>
      <c r="D501" s="47"/>
      <c r="E501" s="47"/>
      <c r="F501" s="47"/>
      <c r="K501" s="47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47"/>
      <c r="B502" s="47"/>
      <c r="C502" s="47"/>
      <c r="D502" s="47"/>
      <c r="E502" s="47"/>
      <c r="F502" s="47"/>
      <c r="K502" s="47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47"/>
      <c r="B503" s="47"/>
      <c r="C503" s="47"/>
      <c r="D503" s="47"/>
      <c r="E503" s="47"/>
      <c r="F503" s="47"/>
      <c r="K503" s="47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47"/>
      <c r="B504" s="47"/>
      <c r="C504" s="47"/>
      <c r="D504" s="47"/>
      <c r="E504" s="47"/>
      <c r="F504" s="47"/>
      <c r="K504" s="47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47"/>
      <c r="B505" s="47"/>
      <c r="C505" s="47"/>
      <c r="D505" s="47"/>
      <c r="E505" s="47"/>
      <c r="F505" s="47"/>
      <c r="K505" s="47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47"/>
      <c r="B506" s="47"/>
      <c r="C506" s="47"/>
      <c r="D506" s="47"/>
      <c r="E506" s="47"/>
      <c r="F506" s="47"/>
      <c r="K506" s="47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47"/>
      <c r="B507" s="47"/>
      <c r="C507" s="47"/>
      <c r="D507" s="47"/>
      <c r="E507" s="47"/>
      <c r="F507" s="47"/>
      <c r="K507" s="47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47"/>
      <c r="B508" s="47"/>
      <c r="C508" s="47"/>
      <c r="D508" s="47"/>
      <c r="E508" s="47"/>
      <c r="F508" s="47"/>
      <c r="K508" s="47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47"/>
      <c r="B509" s="47"/>
      <c r="C509" s="47"/>
      <c r="D509" s="47"/>
      <c r="E509" s="47"/>
      <c r="F509" s="47"/>
      <c r="K509" s="47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47"/>
      <c r="B510" s="47"/>
      <c r="C510" s="47"/>
      <c r="D510" s="47"/>
      <c r="E510" s="47"/>
      <c r="F510" s="47"/>
      <c r="K510" s="47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47"/>
      <c r="B511" s="47"/>
      <c r="C511" s="47"/>
      <c r="D511" s="47"/>
      <c r="E511" s="47"/>
      <c r="F511" s="47"/>
      <c r="K511" s="47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47"/>
      <c r="B512" s="47"/>
      <c r="C512" s="47"/>
      <c r="D512" s="47"/>
      <c r="E512" s="47"/>
      <c r="F512" s="47"/>
      <c r="K512" s="47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47"/>
      <c r="B513" s="47"/>
      <c r="C513" s="47"/>
      <c r="D513" s="47"/>
      <c r="E513" s="47"/>
      <c r="F513" s="47"/>
      <c r="K513" s="47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47"/>
      <c r="B514" s="47"/>
      <c r="C514" s="47"/>
      <c r="D514" s="47"/>
      <c r="E514" s="47"/>
      <c r="F514" s="47"/>
      <c r="K514" s="47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47"/>
      <c r="B515" s="47"/>
      <c r="C515" s="47"/>
      <c r="D515" s="47"/>
      <c r="E515" s="47"/>
      <c r="F515" s="47"/>
      <c r="K515" s="47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47"/>
      <c r="B516" s="47"/>
      <c r="C516" s="47"/>
      <c r="D516" s="47"/>
      <c r="E516" s="47"/>
      <c r="F516" s="47"/>
      <c r="K516" s="47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47"/>
      <c r="B517" s="47"/>
      <c r="C517" s="47"/>
      <c r="D517" s="47"/>
      <c r="E517" s="47"/>
      <c r="F517" s="47"/>
      <c r="K517" s="47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47"/>
      <c r="B518" s="47"/>
      <c r="C518" s="47"/>
      <c r="D518" s="47"/>
      <c r="E518" s="47"/>
      <c r="F518" s="47"/>
      <c r="K518" s="47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47"/>
      <c r="B519" s="47"/>
      <c r="C519" s="47"/>
      <c r="D519" s="47"/>
      <c r="E519" s="47"/>
      <c r="F519" s="47"/>
      <c r="K519" s="47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47"/>
      <c r="B520" s="47"/>
      <c r="C520" s="47"/>
      <c r="D520" s="47"/>
      <c r="E520" s="47"/>
      <c r="F520" s="47"/>
      <c r="K520" s="47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47"/>
      <c r="B521" s="47"/>
      <c r="C521" s="47"/>
      <c r="D521" s="47"/>
      <c r="E521" s="47"/>
      <c r="F521" s="47"/>
      <c r="K521" s="47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47"/>
      <c r="B522" s="47"/>
      <c r="C522" s="47"/>
      <c r="D522" s="47"/>
      <c r="E522" s="47"/>
      <c r="F522" s="47"/>
      <c r="K522" s="47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47"/>
      <c r="B523" s="47"/>
      <c r="C523" s="47"/>
      <c r="D523" s="47"/>
      <c r="E523" s="47"/>
      <c r="F523" s="47"/>
      <c r="K523" s="47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47"/>
      <c r="B524" s="47"/>
      <c r="C524" s="47"/>
      <c r="D524" s="47"/>
      <c r="E524" s="47"/>
      <c r="F524" s="47"/>
      <c r="K524" s="47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47"/>
      <c r="B525" s="47"/>
      <c r="C525" s="47"/>
      <c r="D525" s="47"/>
      <c r="E525" s="47"/>
      <c r="F525" s="47"/>
      <c r="K525" s="47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47"/>
      <c r="B526" s="47"/>
      <c r="C526" s="47"/>
      <c r="D526" s="47"/>
      <c r="E526" s="47"/>
      <c r="F526" s="47"/>
      <c r="K526" s="47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47"/>
      <c r="B527" s="47"/>
      <c r="C527" s="47"/>
      <c r="D527" s="47"/>
      <c r="E527" s="47"/>
      <c r="F527" s="47"/>
      <c r="K527" s="47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47"/>
      <c r="B528" s="47"/>
      <c r="C528" s="47"/>
      <c r="D528" s="47"/>
      <c r="E528" s="47"/>
      <c r="F528" s="47"/>
      <c r="K528" s="47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47"/>
      <c r="B529" s="47"/>
      <c r="C529" s="47"/>
      <c r="D529" s="47"/>
      <c r="E529" s="47"/>
      <c r="F529" s="47"/>
      <c r="K529" s="47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47"/>
      <c r="B530" s="47"/>
      <c r="C530" s="47"/>
      <c r="D530" s="47"/>
      <c r="E530" s="47"/>
      <c r="F530" s="47"/>
      <c r="K530" s="47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47"/>
      <c r="B531" s="47"/>
      <c r="C531" s="47"/>
      <c r="D531" s="47"/>
      <c r="E531" s="47"/>
      <c r="F531" s="47"/>
      <c r="K531" s="47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47"/>
      <c r="B532" s="47"/>
      <c r="C532" s="47"/>
      <c r="D532" s="47"/>
      <c r="E532" s="47"/>
      <c r="F532" s="47"/>
      <c r="K532" s="47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47"/>
      <c r="B533" s="47"/>
      <c r="C533" s="47"/>
      <c r="D533" s="47"/>
      <c r="E533" s="47"/>
      <c r="F533" s="47"/>
      <c r="K533" s="47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47"/>
      <c r="B534" s="47"/>
      <c r="C534" s="47"/>
      <c r="D534" s="47"/>
      <c r="E534" s="47"/>
      <c r="F534" s="47"/>
      <c r="K534" s="47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47"/>
      <c r="B535" s="47"/>
      <c r="C535" s="47"/>
      <c r="D535" s="47"/>
      <c r="E535" s="47"/>
      <c r="F535" s="47"/>
      <c r="K535" s="47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47"/>
      <c r="B536" s="47"/>
      <c r="C536" s="47"/>
      <c r="D536" s="47"/>
      <c r="E536" s="47"/>
      <c r="F536" s="47"/>
      <c r="K536" s="47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47"/>
      <c r="B537" s="47"/>
      <c r="C537" s="47"/>
      <c r="D537" s="47"/>
      <c r="E537" s="47"/>
      <c r="F537" s="47"/>
      <c r="K537" s="47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47"/>
      <c r="B538" s="47"/>
      <c r="C538" s="47"/>
      <c r="D538" s="47"/>
      <c r="E538" s="47"/>
      <c r="F538" s="47"/>
      <c r="K538" s="47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47"/>
      <c r="B539" s="47"/>
      <c r="C539" s="47"/>
      <c r="D539" s="47"/>
      <c r="E539" s="47"/>
      <c r="F539" s="47"/>
      <c r="K539" s="47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47"/>
      <c r="B540" s="47"/>
      <c r="C540" s="47"/>
      <c r="D540" s="47"/>
      <c r="E540" s="47"/>
      <c r="F540" s="47"/>
      <c r="K540" s="47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47"/>
      <c r="B541" s="47"/>
      <c r="C541" s="47"/>
      <c r="D541" s="47"/>
      <c r="E541" s="47"/>
      <c r="F541" s="47"/>
      <c r="K541" s="47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47"/>
      <c r="B542" s="47"/>
      <c r="C542" s="47"/>
      <c r="D542" s="47"/>
      <c r="E542" s="47"/>
      <c r="F542" s="47"/>
      <c r="K542" s="47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47"/>
      <c r="B543" s="47"/>
      <c r="C543" s="47"/>
      <c r="D543" s="47"/>
      <c r="E543" s="47"/>
      <c r="F543" s="47"/>
      <c r="K543" s="47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47"/>
      <c r="B544" s="47"/>
      <c r="C544" s="47"/>
      <c r="D544" s="47"/>
      <c r="E544" s="47"/>
      <c r="F544" s="47"/>
      <c r="K544" s="47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F$344"/>
  <conditionalFormatting sqref="D1 D2:F1000 F1">
    <cfRule type="cellIs" dxfId="0" priority="1" operator="equal">
      <formula>"Verde"</formula>
    </cfRule>
  </conditionalFormatting>
  <conditionalFormatting sqref="D1 D2:F1000 F1">
    <cfRule type="cellIs" dxfId="1" priority="2" operator="equal">
      <formula>"Amarillo"</formula>
    </cfRule>
  </conditionalFormatting>
  <conditionalFormatting sqref="D1 D2:F1000 F1">
    <cfRule type="cellIs" dxfId="2" priority="3" operator="equal">
      <formula>"Naranja"</formula>
    </cfRule>
  </conditionalFormatting>
  <conditionalFormatting sqref="D1 D2:F1000 F1">
    <cfRule type="cellIs" dxfId="3" priority="4" operator="equal">
      <formula>"Rojo"</formula>
    </cfRule>
  </conditionalFormatting>
  <conditionalFormatting sqref="K2:K1000">
    <cfRule type="cellIs" dxfId="0" priority="5" operator="equal">
      <formula>"Verde"</formula>
    </cfRule>
  </conditionalFormatting>
  <conditionalFormatting sqref="K2:K1000">
    <cfRule type="cellIs" dxfId="1" priority="6" operator="equal">
      <formula>"Amarillo"</formula>
    </cfRule>
  </conditionalFormatting>
  <conditionalFormatting sqref="K2:K1000">
    <cfRule type="cellIs" dxfId="2" priority="7" operator="equal">
      <formula>"Naranja"</formula>
    </cfRule>
  </conditionalFormatting>
  <conditionalFormatting sqref="K2:K1000">
    <cfRule type="cellIs" dxfId="3" priority="8" operator="equal">
      <formula>"Rojo"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2018-12-14T20:30:43Z</dcterms:created>
  <dc:creator>Daniel Bustillo</dc:creator>
</cp:coreProperties>
</file>