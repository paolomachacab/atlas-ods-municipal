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Originales" sheetId="1" r:id="rId4"/>
    <sheet state="visible" name="Datos procesados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extLst>
    <ext uri="GoogleSheetsCustomDataVersion2">
      <go:sheetsCustomData xmlns:go="http://customooxmlschemas.google.com/" r:id="rId12" roundtripDataChecksum="WXuUKXGdWKlr32fGa1zhgRbx1Hu/5Y7VhoAe2sBi6d0="/>
    </ext>
  </extLst>
</workbook>
</file>

<file path=xl/sharedStrings.xml><?xml version="1.0" encoding="utf-8"?>
<sst xmlns="http://schemas.openxmlformats.org/spreadsheetml/2006/main" count="3480" uniqueCount="609">
  <si>
    <t>NUMERO DE CASOS NOTIFICADOS DE VIH/SIDA, POR DEPARTAMENTO Y MUNICIPIO, AÑOS 2020 - 2024</t>
  </si>
  <si>
    <t>Depart</t>
  </si>
  <si>
    <t>Provincia</t>
  </si>
  <si>
    <t>Municipio</t>
  </si>
  <si>
    <t>CodigoINE</t>
  </si>
  <si>
    <t>MUN 2011</t>
  </si>
  <si>
    <t>MUN 2012</t>
  </si>
  <si>
    <t>MUN 2013</t>
  </si>
  <si>
    <t>MUN 2022</t>
  </si>
  <si>
    <t>MUN 2023</t>
  </si>
  <si>
    <t>MUN 2024</t>
  </si>
  <si>
    <r>
      <rPr>
        <rFont val="Calibri"/>
        <b/>
        <color theme="1"/>
        <sz val="9.0"/>
      </rPr>
      <t>DEPARTAMENTO /</t>
    </r>
    <r>
      <rPr>
        <rFont val="Calibri"/>
        <b val="0"/>
        <color theme="1"/>
        <sz val="9.0"/>
      </rPr>
      <t xml:space="preserve"> Municipio</t>
    </r>
  </si>
  <si>
    <t>2020</t>
  </si>
  <si>
    <t>2021</t>
  </si>
  <si>
    <t>2022</t>
  </si>
  <si>
    <t>2023</t>
  </si>
  <si>
    <t>2024</t>
  </si>
  <si>
    <t>Chuquisaca</t>
  </si>
  <si>
    <t>Oropeza</t>
  </si>
  <si>
    <t>Sucre</t>
  </si>
  <si>
    <t>BENI</t>
  </si>
  <si>
    <t>Yotala</t>
  </si>
  <si>
    <t>Baures</t>
  </si>
  <si>
    <t>Poroma</t>
  </si>
  <si>
    <t>Exaltacion</t>
  </si>
  <si>
    <t>Azurduy</t>
  </si>
  <si>
    <t>Villa Azurduy</t>
  </si>
  <si>
    <t>Huacaraje</t>
  </si>
  <si>
    <t>Tarvita</t>
  </si>
  <si>
    <t>Loreto</t>
  </si>
  <si>
    <t>Zudáñez</t>
  </si>
  <si>
    <t>Zudañez</t>
  </si>
  <si>
    <t>Magdalena</t>
  </si>
  <si>
    <t>Presto</t>
  </si>
  <si>
    <t>Puerto Guayaramerín</t>
  </si>
  <si>
    <t>Villa Mojocoya</t>
  </si>
  <si>
    <t>Puerto Rurrenabaque</t>
  </si>
  <si>
    <t>Icla</t>
  </si>
  <si>
    <t>Reyes</t>
  </si>
  <si>
    <t>Tomina</t>
  </si>
  <si>
    <t>Padilla</t>
  </si>
  <si>
    <t>Riberalta</t>
  </si>
  <si>
    <t>San Andres</t>
  </si>
  <si>
    <t>Sopachuy</t>
  </si>
  <si>
    <t>San Borja</t>
  </si>
  <si>
    <t>Villa Alcalá</t>
  </si>
  <si>
    <t>San Ignacio</t>
  </si>
  <si>
    <t>El Villar</t>
  </si>
  <si>
    <t>San Javier</t>
  </si>
  <si>
    <t>Hernando Siles</t>
  </si>
  <si>
    <t>Monteagudo</t>
  </si>
  <si>
    <t>San Joaquín</t>
  </si>
  <si>
    <t>San Pablo de Huacareta</t>
  </si>
  <si>
    <t>San Ramon</t>
  </si>
  <si>
    <t>Yamparáez</t>
  </si>
  <si>
    <t>Tarabuco</t>
  </si>
  <si>
    <t>Santa Ana del Yacuma</t>
  </si>
  <si>
    <t>Santa Rosa</t>
  </si>
  <si>
    <t>Nor Cinti</t>
  </si>
  <si>
    <t>Camargo</t>
  </si>
  <si>
    <t>Trinidad</t>
  </si>
  <si>
    <t>San Lucas</t>
  </si>
  <si>
    <t>CHUQUISACA</t>
  </si>
  <si>
    <t>Incahuasi</t>
  </si>
  <si>
    <t>Villa Charcas</t>
  </si>
  <si>
    <t>Camataqui (Villa Abecia)</t>
  </si>
  <si>
    <t>Belisario Boeto</t>
  </si>
  <si>
    <t>Villa Serrano</t>
  </si>
  <si>
    <t>Culpina</t>
  </si>
  <si>
    <t>Sur Cinti</t>
  </si>
  <si>
    <t>Villa Abecia</t>
  </si>
  <si>
    <t>Huacareta</t>
  </si>
  <si>
    <t>Las Carreras</t>
  </si>
  <si>
    <t>Luis Calvo</t>
  </si>
  <si>
    <t>Villa Vaca Guzmán</t>
  </si>
  <si>
    <t>Huacaya</t>
  </si>
  <si>
    <t>Macharetí</t>
  </si>
  <si>
    <t>Mojocoya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</si>
  <si>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</si>
  <si>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</si>
  <si>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</si>
  <si>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</si>
  <si>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</si>
  <si>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</si>
  <si>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</si>
  <si>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</si>
  <si>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</si>
  <si>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</si>
  <si>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Chua Cocani</t>
  </si>
  <si>
    <t>Huarina</t>
  </si>
  <si>
    <t>Tarvita (Villa Orías)</t>
  </si>
  <si>
    <t>Santiago de Huata</t>
  </si>
  <si>
    <t>Huatajata</t>
  </si>
  <si>
    <t>Villa Alcal </t>
  </si>
  <si>
    <t>Pacajes</t>
  </si>
  <si>
    <t>Coro Coro</t>
  </si>
  <si>
    <t>Caquiaviri</t>
  </si>
  <si>
    <t>Villa de Huacaya</t>
  </si>
  <si>
    <t>Calacoto</t>
  </si>
  <si>
    <t>Comanche</t>
  </si>
  <si>
    <t>Villa Vaca Guzman (Muyupampa)</t>
  </si>
  <si>
    <t>Charaña</t>
  </si>
  <si>
    <t>Villa Zudañez (Tacopaya)</t>
  </si>
  <si>
    <t>Waldo Ballivian</t>
  </si>
  <si>
    <t>Nazacara de Pacajes</t>
  </si>
  <si>
    <t>Santiago de Callapa</t>
  </si>
  <si>
    <t>COCHABAMBA</t>
  </si>
  <si>
    <t>Camacho</t>
  </si>
  <si>
    <t>Puerto Acosta</t>
  </si>
  <si>
    <t>Aiquile</t>
  </si>
  <si>
    <t>Mocomoco</t>
  </si>
  <si>
    <t>Alalay</t>
  </si>
  <si>
    <t>Puerto Mayor de Carabuco</t>
  </si>
  <si>
    <t>Anzaldo</t>
  </si>
  <si>
    <t>Humanata</t>
  </si>
  <si>
    <t>Arani</t>
  </si>
  <si>
    <t>Escoma</t>
  </si>
  <si>
    <t>Arbieto</t>
  </si>
  <si>
    <t>Muñecas</t>
  </si>
  <si>
    <t>Chuma</t>
  </si>
  <si>
    <t>Arque</t>
  </si>
  <si>
    <t>Ayata</t>
  </si>
  <si>
    <t>Ayopaya (Villa de Independencia)</t>
  </si>
  <si>
    <t>Aucapata</t>
  </si>
  <si>
    <t>BolIvar</t>
  </si>
  <si>
    <t>Larecaja</t>
  </si>
  <si>
    <t>Sorata</t>
  </si>
  <si>
    <t>Capinota</t>
  </si>
  <si>
    <t>Guanay</t>
  </si>
  <si>
    <t>Chimoré</t>
  </si>
  <si>
    <t>Tacacoma</t>
  </si>
  <si>
    <t>Cliza</t>
  </si>
  <si>
    <t>Quiabaya</t>
  </si>
  <si>
    <t>Cochabamba</t>
  </si>
  <si>
    <t>Combaya</t>
  </si>
  <si>
    <t>Colcapirhua</t>
  </si>
  <si>
    <t>Tipuani</t>
  </si>
  <si>
    <t>Colomi</t>
  </si>
  <si>
    <t>Mapiri</t>
  </si>
  <si>
    <t>Mizque</t>
  </si>
  <si>
    <t>Teoponte</t>
  </si>
  <si>
    <t>Morochata</t>
  </si>
  <si>
    <t>Franz Tamayo</t>
  </si>
  <si>
    <t>Apolo</t>
  </si>
  <si>
    <t>Omereque</t>
  </si>
  <si>
    <t>Pelechuco</t>
  </si>
  <si>
    <t>Pasorapa</t>
  </si>
  <si>
    <t>Ingavi</t>
  </si>
  <si>
    <t>Viacha</t>
  </si>
  <si>
    <t>Pocona</t>
  </si>
  <si>
    <t>Puerto Mayor de Guaqui</t>
  </si>
  <si>
    <t>Pojo</t>
  </si>
  <si>
    <t>Tiahuanacu</t>
  </si>
  <si>
    <t>Puerto Villarroel</t>
  </si>
  <si>
    <t>Desaguadero</t>
  </si>
  <si>
    <t>Punata (Villa de Punata)</t>
  </si>
  <si>
    <t>San Andrés de Machaca</t>
  </si>
  <si>
    <t>Quillacollo</t>
  </si>
  <si>
    <t>Jesús de Machaca</t>
  </si>
  <si>
    <t>Sacaba</t>
  </si>
  <si>
    <t>Taraco</t>
  </si>
  <si>
    <t>Sacabamba</t>
  </si>
  <si>
    <t>Loayza</t>
  </si>
  <si>
    <t>Luribay</t>
  </si>
  <si>
    <t>San Benito (Villa Jose Quint¡n Mendoza)</t>
  </si>
  <si>
    <t>Sapahaqui</t>
  </si>
  <si>
    <t>Santivañez</t>
  </si>
  <si>
    <t>Yaco</t>
  </si>
  <si>
    <t>Sicaya</t>
  </si>
  <si>
    <t>Malla</t>
  </si>
  <si>
    <t>Sin Municipio</t>
  </si>
  <si>
    <t>Cairoma</t>
  </si>
  <si>
    <t>Sipe Sipe</t>
  </si>
  <si>
    <t>Inquisivi</t>
  </si>
  <si>
    <t>Tacopaya</t>
  </si>
  <si>
    <t>Quime</t>
  </si>
  <si>
    <t>Tapacarí</t>
  </si>
  <si>
    <t>Cajuata</t>
  </si>
  <si>
    <t>Tarata</t>
  </si>
  <si>
    <t>Colquiri</t>
  </si>
  <si>
    <t>Tiquipaya</t>
  </si>
  <si>
    <t>Ichoca</t>
  </si>
  <si>
    <t>Tiraque</t>
  </si>
  <si>
    <t>Villa Libertad Licoma</t>
  </si>
  <si>
    <t>Toko</t>
  </si>
  <si>
    <t>Sud Yungas</t>
  </si>
  <si>
    <t>Chulumani</t>
  </si>
  <si>
    <t>Tolata</t>
  </si>
  <si>
    <t>Irupana</t>
  </si>
  <si>
    <t>Totora</t>
  </si>
  <si>
    <t>Yanacachi</t>
  </si>
  <si>
    <t>Vacas</t>
  </si>
  <si>
    <t>Palos Blancos</t>
  </si>
  <si>
    <t>Vila Vila</t>
  </si>
  <si>
    <t>La Asunta</t>
  </si>
  <si>
    <t>Villa Rivero</t>
  </si>
  <si>
    <t>Los Andes</t>
  </si>
  <si>
    <t>Pucarani</t>
  </si>
  <si>
    <t>Villa Tunari</t>
  </si>
  <si>
    <t>Laja</t>
  </si>
  <si>
    <t>Vinto</t>
  </si>
  <si>
    <t>Batallas</t>
  </si>
  <si>
    <t>LA PAZ</t>
  </si>
  <si>
    <t>Puerto Pérez</t>
  </si>
  <si>
    <t>Aroma</t>
  </si>
  <si>
    <t>Sica 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</si>
  <si>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</si>
  <si>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</si>
  <si>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</si>
  <si>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</si>
  <si>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</si>
  <si>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</si>
  <si>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</si>
  <si>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</si>
  <si>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</si>
  <si>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</si>
  <si>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</si>
  <si>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</si>
  <si>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</si>
  <si>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</si>
  <si>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Curva</t>
  </si>
  <si>
    <t>Caranavi</t>
  </si>
  <si>
    <t>Manco Kapac</t>
  </si>
  <si>
    <t>Copacabana</t>
  </si>
  <si>
    <t>Chulumani (Villa de la Libertad)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</si>
  <si>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</si>
  <si>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</si>
  <si>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</si>
  <si>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</si>
  <si>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</si>
  <si>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</si>
  <si>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</si>
  <si>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</si>
  <si>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</si>
  <si>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</si>
  <si>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Alto Beni</t>
  </si>
  <si>
    <t>Cercado</t>
  </si>
  <si>
    <t>Campero</t>
  </si>
  <si>
    <t>Ayopaya</t>
  </si>
  <si>
    <t>Ayopaya (Independencia)</t>
  </si>
  <si>
    <t>Guaqui</t>
  </si>
  <si>
    <t>Cocapata</t>
  </si>
  <si>
    <t>Esteban Arze</t>
  </si>
  <si>
    <t>Irupana (Villa de Lanza)</t>
  </si>
  <si>
    <t>Juan Jose Perez (Charazani)</t>
  </si>
  <si>
    <t>Germán Jordán</t>
  </si>
  <si>
    <t>Toco</t>
  </si>
  <si>
    <t>Sipesipe</t>
  </si>
  <si>
    <t>Puerto Carabuco</t>
  </si>
  <si>
    <t>Chapare</t>
  </si>
  <si>
    <t>Puerto Perez</t>
  </si>
  <si>
    <t>Carrasco</t>
  </si>
  <si>
    <t>Sica Sica (Villa Aroma)</t>
  </si>
  <si>
    <t>Entre Ríos</t>
  </si>
  <si>
    <t>TIOC-Raqaypampa</t>
  </si>
  <si>
    <t>Punata</t>
  </si>
  <si>
    <t>San Benito</t>
  </si>
  <si>
    <t>Tacachi</t>
  </si>
  <si>
    <t>Cuchumuela (Villa Gualberto Villarroel)</t>
  </si>
  <si>
    <t>Bolivar</t>
  </si>
  <si>
    <t>ORURO</t>
  </si>
  <si>
    <t>Andamarca (Santiago de Andamarca)</t>
  </si>
  <si>
    <t>Shinahota</t>
  </si>
  <si>
    <t>Antequera</t>
  </si>
  <si>
    <t>Oruro</t>
  </si>
  <si>
    <t>Caracollo</t>
  </si>
  <si>
    <t>Challapata</t>
  </si>
  <si>
    <t>El Choro</t>
  </si>
  <si>
    <t>Corque</t>
  </si>
  <si>
    <t>Paria</t>
  </si>
  <si>
    <t>Curahuara de Carangas</t>
  </si>
  <si>
    <t>Abaroa</t>
  </si>
  <si>
    <t>Santuario de Quillacas</t>
  </si>
  <si>
    <t>Eucaliptus</t>
  </si>
  <si>
    <t>Carangas</t>
  </si>
  <si>
    <t>Huachacalla</t>
  </si>
  <si>
    <t>Choquecota</t>
  </si>
  <si>
    <t>Huanuni</t>
  </si>
  <si>
    <t>Sajama</t>
  </si>
  <si>
    <t>La Rivera</t>
  </si>
  <si>
    <t>Turco</t>
  </si>
  <si>
    <t>Machacamarca</t>
  </si>
  <si>
    <t>Litoral</t>
  </si>
  <si>
    <t>Escara</t>
  </si>
  <si>
    <t>Pazña</t>
  </si>
  <si>
    <t>Cruz de Machacamarca</t>
  </si>
  <si>
    <t>Poopo (Villa Poopo)</t>
  </si>
  <si>
    <t>Yunguyo del Litoral</t>
  </si>
  <si>
    <t>Sabaya</t>
  </si>
  <si>
    <t>Esmeralda</t>
  </si>
  <si>
    <t>Santiago de Huari</t>
  </si>
  <si>
    <t>Poopó</t>
  </si>
  <si>
    <t>Pantaleón Dalence</t>
  </si>
  <si>
    <t>PANDO</t>
  </si>
  <si>
    <t>Ladislao Cabrera</t>
  </si>
  <si>
    <t>Salinas de Garcí Mendoza</t>
  </si>
  <si>
    <t>Bella Flor</t>
  </si>
  <si>
    <t>Pampa Aullagas</t>
  </si>
  <si>
    <t>Bolpebra</t>
  </si>
  <si>
    <t>Cobija</t>
  </si>
  <si>
    <t>Coipasa</t>
  </si>
  <si>
    <t>Filadelfia</t>
  </si>
  <si>
    <t>Chipaya</t>
  </si>
  <si>
    <t>Ingavi (Humaita)</t>
  </si>
  <si>
    <t>Saucarí</t>
  </si>
  <si>
    <t>Toledo</t>
  </si>
  <si>
    <t>Porvenir</t>
  </si>
  <si>
    <t>Tomás Barrón</t>
  </si>
  <si>
    <t>Puerto Gonzalo Moreno</t>
  </si>
  <si>
    <t>Sur Carangas</t>
  </si>
  <si>
    <t>Andamarca</t>
  </si>
  <si>
    <t>Puerto Rico</t>
  </si>
  <si>
    <t>Belén de Andamarca</t>
  </si>
  <si>
    <t>San Lorenzo</t>
  </si>
  <si>
    <t>San Pedro de Totora</t>
  </si>
  <si>
    <t>Sena</t>
  </si>
  <si>
    <t>Sebastián Pagador</t>
  </si>
  <si>
    <t>Villa Nueva (Loma Alta)</t>
  </si>
  <si>
    <t>Mejillones</t>
  </si>
  <si>
    <t>POTOSI</t>
  </si>
  <si>
    <t>Todos Santos</t>
  </si>
  <si>
    <t>Acasio</t>
  </si>
  <si>
    <t>Arampampa</t>
  </si>
  <si>
    <t>Nor Carangas</t>
  </si>
  <si>
    <t>Huayllamarca</t>
  </si>
  <si>
    <t>Atocha</t>
  </si>
  <si>
    <t>Potosí</t>
  </si>
  <si>
    <t>Tomás Frías</t>
  </si>
  <si>
    <t>Betanzos</t>
  </si>
  <si>
    <t>Tinguipaya</t>
  </si>
  <si>
    <t>Caripuyo</t>
  </si>
  <si>
    <t>Yocalla</t>
  </si>
  <si>
    <t>Chaqu¡</t>
  </si>
  <si>
    <t>Urmiri</t>
  </si>
  <si>
    <t>Chayanta</t>
  </si>
  <si>
    <t>Rafael Bustillo</t>
  </si>
  <si>
    <t>Uncía</t>
  </si>
  <si>
    <t>Colcha "K" (Villa Mart¡n)</t>
  </si>
  <si>
    <t>Colquechaca</t>
  </si>
  <si>
    <t>Llallagua</t>
  </si>
  <si>
    <t>Cotagaita</t>
  </si>
  <si>
    <t>Chuquihuta Ayllu Jucumani</t>
  </si>
  <si>
    <t>Cornelio Saavedra</t>
  </si>
  <si>
    <t>Llica</t>
  </si>
  <si>
    <t>Chaquí</t>
  </si>
  <si>
    <t>Ocurí</t>
  </si>
  <si>
    <t>Tacobamba</t>
  </si>
  <si>
    <t>Pocoata</t>
  </si>
  <si>
    <t>Porco</t>
  </si>
  <si>
    <t>Ravelo</t>
  </si>
  <si>
    <t>Potos¡</t>
  </si>
  <si>
    <t>Puna (Villa Talavera)</t>
  </si>
  <si>
    <t>San Pedro de Macha</t>
  </si>
  <si>
    <t>Sacaca (Villa de Sacaca)</t>
  </si>
  <si>
    <t>Chárcas</t>
  </si>
  <si>
    <t>San Pedro</t>
  </si>
  <si>
    <t>San Pablo de Lípez</t>
  </si>
  <si>
    <t>Toro Toro</t>
  </si>
  <si>
    <t>San Pedro de Buena Vista</t>
  </si>
  <si>
    <t>Nor Chichas</t>
  </si>
  <si>
    <t>Vitiche</t>
  </si>
  <si>
    <t>Tahua</t>
  </si>
  <si>
    <t>Alonso de Ibáñez</t>
  </si>
  <si>
    <t>Sacaca</t>
  </si>
  <si>
    <t>Tomave</t>
  </si>
  <si>
    <t>Sur Chichas</t>
  </si>
  <si>
    <t>Tupiza</t>
  </si>
  <si>
    <t>Nor Lipez</t>
  </si>
  <si>
    <t>Colcha "K"</t>
  </si>
  <si>
    <t>San Pedro de Quemes</t>
  </si>
  <si>
    <t>Uyuni</t>
  </si>
  <si>
    <t>Sur Lipez</t>
  </si>
  <si>
    <t>San Pablo</t>
  </si>
  <si>
    <t>Villazon</t>
  </si>
  <si>
    <t>Mojinete</t>
  </si>
  <si>
    <t>Vitichi</t>
  </si>
  <si>
    <t>San Antonio de Esmoruco</t>
  </si>
  <si>
    <t>José María Linares</t>
  </si>
  <si>
    <t>Puna</t>
  </si>
  <si>
    <t>SANTA CRUZ</t>
  </si>
  <si>
    <t>Caiza "D"</t>
  </si>
  <si>
    <t>Agustín Saavedra</t>
  </si>
  <si>
    <t>Ckochas</t>
  </si>
  <si>
    <t>Ascensión de Guarayos</t>
  </si>
  <si>
    <t>Antonio Quijarro</t>
  </si>
  <si>
    <t>Ayacucho (Porongo)</t>
  </si>
  <si>
    <t>Boyuibe</t>
  </si>
  <si>
    <t>Buena Vista</t>
  </si>
  <si>
    <t>Jatun Ayllu Yura</t>
  </si>
  <si>
    <t>Cabezas</t>
  </si>
  <si>
    <t>General Bilbao</t>
  </si>
  <si>
    <t>Camiri</t>
  </si>
  <si>
    <t>Carmen Rivero</t>
  </si>
  <si>
    <t>Daniel Campos</t>
  </si>
  <si>
    <t>Charagua</t>
  </si>
  <si>
    <t>Comarapa</t>
  </si>
  <si>
    <t>Modesto Omiste</t>
  </si>
  <si>
    <t>Villazón</t>
  </si>
  <si>
    <t>Concepción</t>
  </si>
  <si>
    <t>Enrique Baldivieso</t>
  </si>
  <si>
    <t>San Agustín</t>
  </si>
  <si>
    <t>Cotoca</t>
  </si>
  <si>
    <t>Tarija</t>
  </si>
  <si>
    <t>Cuevo</t>
  </si>
  <si>
    <t>Arce</t>
  </si>
  <si>
    <t>Padcaya</t>
  </si>
  <si>
    <t>El Puente</t>
  </si>
  <si>
    <t>Bermejo</t>
  </si>
  <si>
    <t>El Torno</t>
  </si>
  <si>
    <t>Gran Chaco</t>
  </si>
  <si>
    <t>Yacuiba</t>
  </si>
  <si>
    <t>Gutierrez</t>
  </si>
  <si>
    <t>Caraparí</t>
  </si>
  <si>
    <t>La Guardia</t>
  </si>
  <si>
    <t>Villa Montes</t>
  </si>
  <si>
    <t>Lagunillas</t>
  </si>
  <si>
    <t>Avilés</t>
  </si>
  <si>
    <t>Uriondo</t>
  </si>
  <si>
    <t>Mairana</t>
  </si>
  <si>
    <t>Yunchará</t>
  </si>
  <si>
    <t>Mineros</t>
  </si>
  <si>
    <t>Méndez</t>
  </si>
  <si>
    <t>Montero</t>
  </si>
  <si>
    <t>Okinawa Uno</t>
  </si>
  <si>
    <t>O'Connor</t>
  </si>
  <si>
    <t>Pailon</t>
  </si>
  <si>
    <t>Santa Cruz</t>
  </si>
  <si>
    <t>Andrés Ibáñez</t>
  </si>
  <si>
    <t>Santa Cruz de la Sierra</t>
  </si>
  <si>
    <t>Pampa Grande</t>
  </si>
  <si>
    <t>Portachuelo</t>
  </si>
  <si>
    <t>Porongo</t>
  </si>
  <si>
    <t>Pucara</t>
  </si>
  <si>
    <t>Puerto Quijarro</t>
  </si>
  <si>
    <t>Puerto Suárez</t>
  </si>
  <si>
    <t>Warnes</t>
  </si>
  <si>
    <t>Quirusillas</t>
  </si>
  <si>
    <t>Robore</t>
  </si>
  <si>
    <t>Velasco</t>
  </si>
  <si>
    <t>San Ignacio de Velasco</t>
  </si>
  <si>
    <t>Saipina</t>
  </si>
  <si>
    <t>San Miguel de Velasco</t>
  </si>
  <si>
    <t>Samaipata</t>
  </si>
  <si>
    <t>San Rafael</t>
  </si>
  <si>
    <t>San Antonio de Lomerío</t>
  </si>
  <si>
    <t>Ichilo</t>
  </si>
  <si>
    <t>San Carlos</t>
  </si>
  <si>
    <t>Yapacaní</t>
  </si>
  <si>
    <t>San Juan</t>
  </si>
  <si>
    <t>San Jose de Chiquitos</t>
  </si>
  <si>
    <t>Chiquitos</t>
  </si>
  <si>
    <t>San José de Chiquitos</t>
  </si>
  <si>
    <t>San Julian</t>
  </si>
  <si>
    <t>Pailón</t>
  </si>
  <si>
    <t>San Matías</t>
  </si>
  <si>
    <t>Roboré</t>
  </si>
  <si>
    <t>Sara</t>
  </si>
  <si>
    <t>Santa Rosa del Sara</t>
  </si>
  <si>
    <t>Colpa Bélgica</t>
  </si>
  <si>
    <t>Cordillera</t>
  </si>
  <si>
    <t>Urubicha</t>
  </si>
  <si>
    <t>Vallegrande</t>
  </si>
  <si>
    <t>Gutiérrez</t>
  </si>
  <si>
    <t>TARIJA</t>
  </si>
  <si>
    <t>Trigal</t>
  </si>
  <si>
    <t>Carapari</t>
  </si>
  <si>
    <t>Moro Moro</t>
  </si>
  <si>
    <t>Postrervalle</t>
  </si>
  <si>
    <t>Pucará</t>
  </si>
  <si>
    <t>Florida</t>
  </si>
  <si>
    <t>Uriondo (Concepción)</t>
  </si>
  <si>
    <t>Villa San Lorenzo</t>
  </si>
  <si>
    <t>Villamontes</t>
  </si>
  <si>
    <t>Obispo Santistéban</t>
  </si>
  <si>
    <t>General Saavedra</t>
  </si>
  <si>
    <t>Yunchara</t>
  </si>
  <si>
    <t>SIN DATO DE DEPARTAMENTO DE RESIDENCIA</t>
  </si>
  <si>
    <t>Fernández Alonso</t>
  </si>
  <si>
    <t>Total BOLIVIA</t>
  </si>
  <si>
    <t>Ñuflo De Chávez</t>
  </si>
  <si>
    <t>San Ramón</t>
  </si>
  <si>
    <t>San Julián</t>
  </si>
  <si>
    <t>San Antonio de Lomerio</t>
  </si>
  <si>
    <t>Cuatro Cañadas</t>
  </si>
  <si>
    <t>Angel Sandoval</t>
  </si>
  <si>
    <t>Manuel María Caballero</t>
  </si>
  <si>
    <t>Germán Busch</t>
  </si>
  <si>
    <t>Puerto Suarez</t>
  </si>
  <si>
    <t>El Carmen Rivero Tórrez</t>
  </si>
  <si>
    <t>Guarayos</t>
  </si>
  <si>
    <t>Ascención de Guarayos</t>
  </si>
  <si>
    <t>Urubichá</t>
  </si>
  <si>
    <t>Beni</t>
  </si>
  <si>
    <t>Vaca Diez</t>
  </si>
  <si>
    <t>Guayaramerín</t>
  </si>
  <si>
    <t>General José Ballivián</t>
  </si>
  <si>
    <t>Puerto Menor de Rurrenabaque</t>
  </si>
  <si>
    <t>Yacuma</t>
  </si>
  <si>
    <t>Santa Ana</t>
  </si>
  <si>
    <t>Exaltación</t>
  </si>
  <si>
    <t>Moxos</t>
  </si>
  <si>
    <t>Marbán</t>
  </si>
  <si>
    <t>San Andrés</t>
  </si>
  <si>
    <t>Mamoré</t>
  </si>
  <si>
    <t>Puerto Siles</t>
  </si>
  <si>
    <t>Iténez</t>
  </si>
  <si>
    <t>Territorio Indigena Multiétnico</t>
  </si>
  <si>
    <t>Pando</t>
  </si>
  <si>
    <t>Nicolás Suárez</t>
  </si>
  <si>
    <t>Manuripi</t>
  </si>
  <si>
    <t>Madre de Dios</t>
  </si>
  <si>
    <t>Abuná</t>
  </si>
  <si>
    <t>Federico Román</t>
  </si>
  <si>
    <t>Nueva Esperanza</t>
  </si>
  <si>
    <t>Villa Nueva</t>
  </si>
  <si>
    <t>Santos Mercado</t>
  </si>
  <si>
    <t>Capital</t>
  </si>
  <si>
    <t>Poblacion 2011</t>
  </si>
  <si>
    <t>Poblacion 2012</t>
  </si>
  <si>
    <t>Poblacion 2013</t>
  </si>
  <si>
    <t>Poblacion 2022</t>
  </si>
  <si>
    <t>Poblacion 2023</t>
  </si>
  <si>
    <t>Poblacion 2024</t>
  </si>
  <si>
    <t>Casos VIH 2011</t>
  </si>
  <si>
    <t>Casos VIH 2012</t>
  </si>
  <si>
    <t>Casos VIH 2013</t>
  </si>
  <si>
    <t>Casos VIH 2022</t>
  </si>
  <si>
    <t>Casos VIH 2023</t>
  </si>
  <si>
    <t>Casos VIH 2024</t>
  </si>
  <si>
    <t>Incidencia VIH Millon hab. 2011</t>
  </si>
  <si>
    <t>Incidencia VIH Millon hab. 2012</t>
  </si>
  <si>
    <t>Incidencia VIH Millon hab. 2013</t>
  </si>
  <si>
    <t>Promedio incidencia VIH 2011-2013</t>
  </si>
  <si>
    <t>Incidencia VIH Millon hab. 2022</t>
  </si>
  <si>
    <t>Incidencia VIH Millon hab. 2023</t>
  </si>
  <si>
    <t>Incidencia VIH Millon hab. 2024</t>
  </si>
  <si>
    <t>Promedio incidencia VIH 2022-2024</t>
  </si>
  <si>
    <t>Villa Orías</t>
  </si>
  <si>
    <t>Villa Zudáñez</t>
  </si>
  <si>
    <t>Villa de Mojocoya</t>
  </si>
  <si>
    <t>Villa de Tomina</t>
  </si>
  <si>
    <t>Villa de Sopachui</t>
  </si>
  <si>
    <t>Alcalá</t>
  </si>
  <si>
    <t>Villa de Macharetí</t>
  </si>
  <si>
    <t>Villa Ancoraimes</t>
  </si>
  <si>
    <t>Corocoro</t>
  </si>
  <si>
    <t>Carabuco</t>
  </si>
  <si>
    <t>La (Marka) San Andrés de Machaca</t>
  </si>
  <si>
    <t>Jesús de Machaka</t>
  </si>
  <si>
    <t>Villa de la Libertad</t>
  </si>
  <si>
    <t>Villa de Lanza</t>
  </si>
  <si>
    <t>Villa Aroma</t>
  </si>
  <si>
    <t>Villa General Juan José Pérez</t>
  </si>
  <si>
    <t>Villa de Independencia</t>
  </si>
  <si>
    <t>Villa de Anzaldo</t>
  </si>
  <si>
    <t>Villa de Arque</t>
  </si>
  <si>
    <t>Villa Santivañez</t>
  </si>
  <si>
    <t>Raqaypampa</t>
  </si>
  <si>
    <t>Villa Punata</t>
  </si>
  <si>
    <t>Villa José Quintín Mendoza</t>
  </si>
  <si>
    <t>Villa Gualberto Villarroel</t>
  </si>
  <si>
    <t>Soracachi</t>
  </si>
  <si>
    <t>Villa de Poopó</t>
  </si>
  <si>
    <t>Villa de Huanuni</t>
  </si>
  <si>
    <t>Santiago de Andamarca</t>
  </si>
  <si>
    <t>Santiago de Huayllamarca</t>
  </si>
  <si>
    <t>Villa de Yocalla</t>
  </si>
  <si>
    <t>Belén de Urmiri</t>
  </si>
  <si>
    <t>Villa de Betanzos</t>
  </si>
  <si>
    <t>Villa de Sacaca</t>
  </si>
  <si>
    <t>Villa Martín</t>
  </si>
  <si>
    <t>Villa San Pedro de Quemes</t>
  </si>
  <si>
    <t>Villa Talavera</t>
  </si>
  <si>
    <t>Porongo (Ayacucho)</t>
  </si>
  <si>
    <t>San Miguel</t>
  </si>
  <si>
    <t>San José</t>
  </si>
  <si>
    <t>Moromoro</t>
  </si>
  <si>
    <t>Rurrenabaque</t>
  </si>
  <si>
    <t>Santa Ana de Yacuma</t>
  </si>
  <si>
    <t>Loma Alta</t>
  </si>
  <si>
    <t>Prom</t>
  </si>
  <si>
    <t>Desv. Estandar</t>
  </si>
  <si>
    <t>Suma prom y desv Estandar</t>
  </si>
  <si>
    <t>Resta Desv-Prom</t>
  </si>
  <si>
    <t>Promedio nacional</t>
  </si>
  <si>
    <t>10% prom nacional</t>
  </si>
  <si>
    <t>25% prom nacional</t>
  </si>
  <si>
    <t>50% prom nacional</t>
  </si>
  <si>
    <t>Id</t>
  </si>
  <si>
    <t>Promedio anual incidencia VIH por millon de hab. 2011-2013</t>
  </si>
  <si>
    <t>Promedio anual incidencia VIH por millon de hab. 2022-2024</t>
  </si>
  <si>
    <t>Promedio anual del total de casos notificados VIH 2011-2013</t>
  </si>
  <si>
    <t>Promedio anual del total de casos notificados VIH 2022-2024</t>
  </si>
  <si>
    <t>id_departamento</t>
  </si>
  <si>
    <t>Departamento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</si>
  <si>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</si>
  <si>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</si>
  <si>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</si>
  <si>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</si>
  <si>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</si>
  <si>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</si>
  <si>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</si>
  <si>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</si>
  <si>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</si>
  <si>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</si>
  <si>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</si>
  <si>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</si>
  <si>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Incidencia de VIH por 1.000.000 habitantes en el periodo 2011-2013 y 2022-2024</t>
  </si>
  <si>
    <t>10% del promedio nacional del 2012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</si>
</sst>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9.0"/>
      <color theme="1"/>
      <name val="Calibri"/>
    </font>
    <font>
      <color theme="1"/>
      <name val="Calibri"/>
      <scheme val="minor"/>
    </font>
    <font>
      <sz val="9.0"/>
      <color theme="1"/>
      <name val="Calibri"/>
    </font>
    <font>
      <b/>
      <sz val="9.0"/>
      <color theme="1"/>
      <name val="Play"/>
    </font>
  </fonts>
  <fills count="10">
    <fill>
      <patternFill patternType="none"/>
    </fill>
    <fill>
      <patternFill patternType="lightGray"/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thin">
        <color rgb="FF8EAADB"/>
      </bottom>
    </border>
    <border>
      <left/>
      <right/>
      <top/>
      <bottom/>
    </border>
    <border>
      <left/>
      <right/>
      <top style="thin">
        <color rgb="FF8EAADB"/>
      </top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2" fillId="2" fontId="3" numFmtId="0" xfId="0" applyBorder="1" applyFill="1" applyFont="1"/>
    <xf borderId="3" fillId="2" fontId="3" numFmtId="0" xfId="0" applyBorder="1" applyFont="1"/>
    <xf borderId="3" fillId="2" fontId="3" numFmtId="0" xfId="0" applyAlignment="1" applyBorder="1" applyFont="1">
      <alignment horizontal="center"/>
    </xf>
    <xf borderId="1" fillId="0" fontId="2" numFmtId="0" xfId="0" applyBorder="1" applyFont="1"/>
    <xf borderId="1" fillId="0" fontId="2" numFmtId="1" xfId="0" applyBorder="1" applyFont="1" applyNumberFormat="1"/>
    <xf borderId="0" fillId="0" fontId="4" numFmtId="0" xfId="0" applyFont="1"/>
    <xf borderId="2" fillId="3" fontId="3" numFmtId="0" xfId="0" applyAlignment="1" applyBorder="1" applyFill="1" applyFont="1">
      <alignment horizontal="left"/>
    </xf>
    <xf borderId="2" fillId="3" fontId="3" numFmtId="0" xfId="0" applyBorder="1" applyFont="1"/>
    <xf borderId="0" fillId="0" fontId="5" numFmtId="0" xfId="0" applyAlignment="1" applyFont="1">
      <alignment horizontal="left"/>
    </xf>
    <xf borderId="0" fillId="0" fontId="5" numFmtId="0" xfId="0" applyFont="1"/>
    <xf borderId="0" fillId="0" fontId="5" numFmtId="0" xfId="0" applyAlignment="1" applyFont="1">
      <alignment horizontal="right"/>
    </xf>
    <xf borderId="4" fillId="2" fontId="3" numFmtId="0" xfId="0" applyAlignment="1" applyBorder="1" applyFont="1">
      <alignment horizontal="left"/>
    </xf>
    <xf borderId="4" fillId="2" fontId="3" numFmtId="0" xfId="0" applyBorder="1" applyFont="1"/>
    <xf borderId="1" fillId="0" fontId="1" numFmtId="164" xfId="0" applyAlignment="1" applyBorder="1" applyFont="1" applyNumberFormat="1">
      <alignment horizontal="center" shrinkToFit="0" vertical="center" wrapText="1"/>
    </xf>
    <xf borderId="1" fillId="0" fontId="2" numFmtId="164" xfId="0" applyBorder="1" applyFont="1" applyNumberFormat="1"/>
    <xf borderId="0" fillId="0" fontId="2" numFmtId="164" xfId="0" applyFont="1" applyNumberFormat="1"/>
    <xf borderId="0" fillId="0" fontId="2" numFmtId="1" xfId="0" applyFont="1" applyNumberFormat="1"/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1" fillId="0" fontId="2" numFmtId="2" xfId="0" applyBorder="1" applyFont="1" applyNumberFormat="1"/>
    <xf borderId="0" fillId="0" fontId="1" numFmtId="0" xfId="0" applyAlignment="1" applyFont="1">
      <alignment horizontal="center" shrinkToFit="0" vertical="center" wrapText="1"/>
    </xf>
    <xf borderId="1" fillId="4" fontId="1" numFmtId="0" xfId="0" applyBorder="1" applyFill="1" applyFont="1"/>
    <xf borderId="1" fillId="5" fontId="6" numFmtId="0" xfId="0" applyAlignment="1" applyBorder="1" applyFill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shrinkToFit="0" vertical="center" wrapText="1"/>
    </xf>
    <xf borderId="1" fillId="7" fontId="6" numFmtId="0" xfId="0" applyAlignment="1" applyBorder="1" applyFill="1" applyFont="1">
      <alignment horizontal="center" shrinkToFit="0" vertical="center" wrapText="1"/>
    </xf>
    <xf borderId="1" fillId="8" fontId="6" numFmtId="0" xfId="0" applyAlignment="1" applyBorder="1" applyFill="1" applyFont="1">
      <alignment horizontal="center" shrinkToFit="0" vertical="center" wrapText="1"/>
    </xf>
    <xf borderId="1" fillId="9" fontId="1" numFmtId="0" xfId="0" applyAlignment="1" applyBorder="1" applyFill="1" applyFont="1">
      <alignment horizontal="center" vertical="bottom"/>
    </xf>
    <xf borderId="1" fillId="0" fontId="2" numFmtId="1" xfId="0" applyAlignment="1" applyBorder="1" applyFont="1" applyNumberForma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shrinkToFit="0" vertical="bottom" wrapText="1"/>
    </xf>
    <xf borderId="0" fillId="0" fontId="2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496050" cy="4448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35.0"/>
    <col customWidth="1" min="2" max="4" width="11.43"/>
    <col customWidth="1" min="5" max="13" width="10.71"/>
    <col customWidth="1" min="14" max="14" width="12.29"/>
    <col customWidth="1" min="15" max="15" width="10.71"/>
    <col customWidth="1" min="16" max="16" width="20.43"/>
    <col customWidth="1" min="17" max="26" width="10.71"/>
  </cols>
  <sheetData>
    <row r="1" ht="14.25" customHeight="1">
      <c r="A1" s="1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3" t="s">
        <v>5</v>
      </c>
      <c r="S1" s="3" t="s">
        <v>6</v>
      </c>
      <c r="T1" s="3" t="s">
        <v>7</v>
      </c>
      <c r="U1" s="3" t="s">
        <v>8</v>
      </c>
      <c r="V1" s="3" t="s">
        <v>9</v>
      </c>
      <c r="W1" s="3" t="s">
        <v>10</v>
      </c>
    </row>
    <row r="2" ht="14.25" customHeight="1">
      <c r="A2" s="4" t="s">
        <v>11</v>
      </c>
      <c r="B2" s="5">
        <v>2011.0</v>
      </c>
      <c r="C2" s="5">
        <v>2012.0</v>
      </c>
      <c r="D2" s="5">
        <v>2013.0</v>
      </c>
      <c r="E2" s="6" t="s">
        <v>12</v>
      </c>
      <c r="F2" s="6" t="s">
        <v>13</v>
      </c>
      <c r="G2" s="6" t="s">
        <v>14</v>
      </c>
      <c r="H2" s="6" t="s">
        <v>15</v>
      </c>
      <c r="I2" s="6" t="s">
        <v>16</v>
      </c>
      <c r="N2" s="7" t="s">
        <v>17</v>
      </c>
      <c r="O2" s="7" t="s">
        <v>18</v>
      </c>
      <c r="P2" s="7" t="s">
        <v>19</v>
      </c>
      <c r="Q2" s="8">
        <v>10101.0</v>
      </c>
      <c r="R2" s="9">
        <v>11.0</v>
      </c>
      <c r="S2" s="9">
        <v>28.0</v>
      </c>
      <c r="T2" s="9">
        <v>29.0</v>
      </c>
      <c r="U2" s="9">
        <v>78.0</v>
      </c>
      <c r="V2" s="9">
        <v>72.0</v>
      </c>
      <c r="W2" s="9">
        <v>76.0</v>
      </c>
    </row>
    <row r="3" ht="14.25" customHeight="1">
      <c r="A3" s="10" t="s">
        <v>20</v>
      </c>
      <c r="B3" s="11">
        <v>18.0</v>
      </c>
      <c r="C3" s="11">
        <v>51.0</v>
      </c>
      <c r="D3" s="11">
        <v>50.0</v>
      </c>
      <c r="E3" s="11">
        <v>134.0</v>
      </c>
      <c r="F3" s="11">
        <v>190.0</v>
      </c>
      <c r="G3" s="11">
        <v>218.0</v>
      </c>
      <c r="H3" s="11">
        <v>276.0</v>
      </c>
      <c r="I3" s="11">
        <v>241.0</v>
      </c>
      <c r="N3" s="7" t="s">
        <v>17</v>
      </c>
      <c r="O3" s="7" t="s">
        <v>18</v>
      </c>
      <c r="P3" s="7" t="s">
        <v>21</v>
      </c>
      <c r="Q3" s="8">
        <v>10102.0</v>
      </c>
      <c r="R3" s="9">
        <v>0.0</v>
      </c>
      <c r="S3" s="9">
        <v>0.0</v>
      </c>
      <c r="T3" s="9">
        <v>0.0</v>
      </c>
      <c r="U3" s="9">
        <v>0.0</v>
      </c>
      <c r="V3" s="9">
        <v>0.0</v>
      </c>
      <c r="W3" s="9">
        <v>2.0</v>
      </c>
    </row>
    <row r="4" ht="14.25" customHeight="1">
      <c r="A4" s="12" t="s">
        <v>22</v>
      </c>
      <c r="B4" s="13">
        <v>2.0</v>
      </c>
      <c r="C4" s="13">
        <v>7.0</v>
      </c>
      <c r="D4" s="13">
        <v>7.0</v>
      </c>
      <c r="E4" s="14">
        <v>10.0</v>
      </c>
      <c r="F4" s="14">
        <v>19.0</v>
      </c>
      <c r="G4" s="14">
        <v>20.0</v>
      </c>
      <c r="H4" s="14">
        <v>33.0</v>
      </c>
      <c r="I4" s="14">
        <v>28.0</v>
      </c>
      <c r="N4" s="7" t="s">
        <v>17</v>
      </c>
      <c r="O4" s="7" t="s">
        <v>18</v>
      </c>
      <c r="P4" s="7" t="s">
        <v>23</v>
      </c>
      <c r="Q4" s="8">
        <v>10103.0</v>
      </c>
      <c r="R4" s="9">
        <v>0.0</v>
      </c>
      <c r="S4" s="9">
        <v>0.0</v>
      </c>
      <c r="T4" s="9">
        <v>0.0</v>
      </c>
      <c r="U4" s="9">
        <v>3.0</v>
      </c>
      <c r="V4" s="9">
        <v>1.0</v>
      </c>
      <c r="W4" s="9">
        <v>3.0</v>
      </c>
    </row>
    <row r="5" ht="14.25" customHeight="1">
      <c r="A5" s="12" t="s">
        <v>24</v>
      </c>
      <c r="B5" s="13">
        <v>0.0</v>
      </c>
      <c r="C5" s="13">
        <v>0.0</v>
      </c>
      <c r="D5" s="13">
        <v>0.0</v>
      </c>
      <c r="E5" s="14">
        <v>0.0</v>
      </c>
      <c r="F5" s="14">
        <v>0.0</v>
      </c>
      <c r="G5" s="14">
        <v>0.0</v>
      </c>
      <c r="H5" s="14">
        <v>0.0</v>
      </c>
      <c r="I5" s="14">
        <v>0.0</v>
      </c>
      <c r="N5" s="7" t="s">
        <v>17</v>
      </c>
      <c r="O5" s="7" t="s">
        <v>25</v>
      </c>
      <c r="P5" s="7" t="s">
        <v>26</v>
      </c>
      <c r="Q5" s="8">
        <v>10201.0</v>
      </c>
      <c r="R5" s="9">
        <v>0.0</v>
      </c>
      <c r="S5" s="9">
        <v>0.0</v>
      </c>
      <c r="T5" s="9">
        <v>2.0</v>
      </c>
      <c r="U5" s="9">
        <v>1.0</v>
      </c>
      <c r="V5" s="9">
        <v>1.0</v>
      </c>
      <c r="W5" s="9">
        <v>4.0</v>
      </c>
    </row>
    <row r="6" ht="14.25" customHeight="1">
      <c r="A6" s="12" t="s">
        <v>27</v>
      </c>
      <c r="B6" s="13">
        <v>0.0</v>
      </c>
      <c r="C6" s="13">
        <v>0.0</v>
      </c>
      <c r="D6" s="13">
        <v>0.0</v>
      </c>
      <c r="E6" s="14">
        <v>0.0</v>
      </c>
      <c r="F6" s="14">
        <v>0.0</v>
      </c>
      <c r="G6" s="14">
        <v>0.0</v>
      </c>
      <c r="H6" s="14">
        <v>0.0</v>
      </c>
      <c r="I6" s="14">
        <v>0.0</v>
      </c>
      <c r="N6" s="7" t="s">
        <v>17</v>
      </c>
      <c r="O6" s="7" t="s">
        <v>25</v>
      </c>
      <c r="P6" s="7" t="s">
        <v>28</v>
      </c>
      <c r="Q6" s="8">
        <v>10202.0</v>
      </c>
      <c r="R6" s="9">
        <v>0.0</v>
      </c>
      <c r="S6" s="9">
        <v>0.0</v>
      </c>
      <c r="T6" s="9">
        <v>2.0</v>
      </c>
      <c r="U6" s="9">
        <v>5.0</v>
      </c>
      <c r="V6" s="9">
        <v>1.0</v>
      </c>
      <c r="W6" s="9">
        <v>1.0</v>
      </c>
    </row>
    <row r="7" ht="14.25" customHeight="1">
      <c r="A7" s="12" t="s">
        <v>29</v>
      </c>
      <c r="B7" s="13">
        <v>0.0</v>
      </c>
      <c r="C7" s="13">
        <v>0.0</v>
      </c>
      <c r="D7" s="13">
        <v>0.0</v>
      </c>
      <c r="E7" s="14">
        <v>0.0</v>
      </c>
      <c r="F7" s="14">
        <v>0.0</v>
      </c>
      <c r="G7" s="14">
        <v>1.0</v>
      </c>
      <c r="H7" s="14">
        <v>1.0</v>
      </c>
      <c r="I7" s="14">
        <v>0.0</v>
      </c>
      <c r="N7" s="7" t="s">
        <v>17</v>
      </c>
      <c r="O7" s="7" t="s">
        <v>30</v>
      </c>
      <c r="P7" s="7" t="s">
        <v>31</v>
      </c>
      <c r="Q7" s="8">
        <v>10301.0</v>
      </c>
      <c r="R7" s="9">
        <v>0.0</v>
      </c>
      <c r="S7" s="9">
        <v>1.0</v>
      </c>
      <c r="T7" s="9">
        <v>1.0</v>
      </c>
      <c r="U7" s="9">
        <v>1.0</v>
      </c>
      <c r="V7" s="9">
        <v>2.0</v>
      </c>
      <c r="W7" s="9">
        <v>1.0</v>
      </c>
    </row>
    <row r="8" ht="14.25" customHeight="1">
      <c r="A8" s="12" t="s">
        <v>32</v>
      </c>
      <c r="B8" s="13">
        <v>1.0</v>
      </c>
      <c r="C8" s="13">
        <v>0.0</v>
      </c>
      <c r="D8" s="13">
        <v>1.0</v>
      </c>
      <c r="E8" s="14">
        <v>0.0</v>
      </c>
      <c r="F8" s="14">
        <v>0.0</v>
      </c>
      <c r="G8" s="14">
        <v>1.0</v>
      </c>
      <c r="H8" s="14">
        <v>2.0</v>
      </c>
      <c r="I8" s="14">
        <v>0.0</v>
      </c>
      <c r="N8" s="7" t="s">
        <v>17</v>
      </c>
      <c r="O8" s="7" t="s">
        <v>30</v>
      </c>
      <c r="P8" s="7" t="s">
        <v>33</v>
      </c>
      <c r="Q8" s="8">
        <v>10302.0</v>
      </c>
      <c r="R8" s="9">
        <v>0.0</v>
      </c>
      <c r="S8" s="9">
        <v>0.0</v>
      </c>
      <c r="T8" s="9">
        <v>0.0</v>
      </c>
      <c r="U8" s="9">
        <v>2.0</v>
      </c>
      <c r="V8" s="9">
        <v>2.0</v>
      </c>
      <c r="W8" s="9">
        <v>1.0</v>
      </c>
    </row>
    <row r="9" ht="14.25" customHeight="1">
      <c r="A9" s="12" t="s">
        <v>34</v>
      </c>
      <c r="B9" s="13">
        <v>2.0</v>
      </c>
      <c r="C9" s="13">
        <v>3.0</v>
      </c>
      <c r="D9" s="13">
        <v>3.0</v>
      </c>
      <c r="E9" s="14">
        <v>17.0</v>
      </c>
      <c r="F9" s="14">
        <v>8.0</v>
      </c>
      <c r="G9" s="14">
        <v>6.0</v>
      </c>
      <c r="H9" s="14">
        <v>18.0</v>
      </c>
      <c r="I9" s="14">
        <v>15.0</v>
      </c>
      <c r="N9" s="7" t="s">
        <v>17</v>
      </c>
      <c r="O9" s="7" t="s">
        <v>30</v>
      </c>
      <c r="P9" s="7" t="s">
        <v>35</v>
      </c>
      <c r="Q9" s="8">
        <v>10303.0</v>
      </c>
      <c r="R9" s="9">
        <v>0.0</v>
      </c>
      <c r="S9" s="9">
        <v>1.0</v>
      </c>
      <c r="T9" s="9">
        <v>0.0</v>
      </c>
      <c r="U9" s="9">
        <v>0.0</v>
      </c>
      <c r="V9" s="9">
        <v>0.0</v>
      </c>
      <c r="W9" s="9">
        <v>0.0</v>
      </c>
    </row>
    <row r="10" ht="14.25" customHeight="1">
      <c r="A10" s="12" t="s">
        <v>36</v>
      </c>
      <c r="B10" s="13">
        <v>0.0</v>
      </c>
      <c r="C10" s="13">
        <v>2.0</v>
      </c>
      <c r="D10" s="13">
        <v>1.0</v>
      </c>
      <c r="E10" s="14">
        <v>3.0</v>
      </c>
      <c r="F10" s="14">
        <v>8.0</v>
      </c>
      <c r="G10" s="14">
        <v>2.0</v>
      </c>
      <c r="H10" s="14">
        <v>10.0</v>
      </c>
      <c r="I10" s="14">
        <v>6.0</v>
      </c>
      <c r="N10" s="7" t="s">
        <v>17</v>
      </c>
      <c r="O10" s="7" t="s">
        <v>30</v>
      </c>
      <c r="P10" s="7" t="s">
        <v>37</v>
      </c>
      <c r="Q10" s="8">
        <v>10304.0</v>
      </c>
      <c r="R10" s="9">
        <v>0.0</v>
      </c>
      <c r="S10" s="9">
        <v>1.0</v>
      </c>
      <c r="T10" s="9">
        <v>0.0</v>
      </c>
      <c r="U10" s="9">
        <v>0.0</v>
      </c>
      <c r="V10" s="9">
        <v>0.0</v>
      </c>
      <c r="W10" s="9">
        <v>0.0</v>
      </c>
    </row>
    <row r="11" ht="14.25" customHeight="1">
      <c r="A11" s="12" t="s">
        <v>38</v>
      </c>
      <c r="B11" s="13">
        <v>0.0</v>
      </c>
      <c r="C11" s="13">
        <v>0.0</v>
      </c>
      <c r="D11" s="13">
        <v>0.0</v>
      </c>
      <c r="E11" s="14">
        <v>3.0</v>
      </c>
      <c r="F11" s="14">
        <v>1.0</v>
      </c>
      <c r="G11" s="14">
        <v>3.0</v>
      </c>
      <c r="H11" s="14">
        <v>3.0</v>
      </c>
      <c r="I11" s="14">
        <v>1.0</v>
      </c>
      <c r="N11" s="7" t="s">
        <v>17</v>
      </c>
      <c r="O11" s="7" t="s">
        <v>39</v>
      </c>
      <c r="P11" s="7" t="s">
        <v>40</v>
      </c>
      <c r="Q11" s="8">
        <v>10401.0</v>
      </c>
      <c r="R11" s="9">
        <v>0.0</v>
      </c>
      <c r="S11" s="9">
        <v>0.0</v>
      </c>
      <c r="T11" s="9">
        <v>0.0</v>
      </c>
      <c r="U11" s="9">
        <v>0.0</v>
      </c>
      <c r="V11" s="9">
        <v>0.0</v>
      </c>
      <c r="W11" s="9">
        <v>1.0</v>
      </c>
    </row>
    <row r="12" ht="14.25" customHeight="1">
      <c r="A12" s="12" t="s">
        <v>41</v>
      </c>
      <c r="B12" s="13">
        <v>1.0</v>
      </c>
      <c r="C12" s="13">
        <v>7.0</v>
      </c>
      <c r="D12" s="13">
        <v>2.0</v>
      </c>
      <c r="E12" s="14">
        <v>42.0</v>
      </c>
      <c r="F12" s="14">
        <v>57.0</v>
      </c>
      <c r="G12" s="14">
        <v>70.0</v>
      </c>
      <c r="H12" s="14">
        <v>79.0</v>
      </c>
      <c r="I12" s="14">
        <v>74.0</v>
      </c>
      <c r="N12" s="7" t="s">
        <v>17</v>
      </c>
      <c r="O12" s="7" t="s">
        <v>39</v>
      </c>
      <c r="P12" s="7" t="s">
        <v>39</v>
      </c>
      <c r="Q12" s="8">
        <v>10402.0</v>
      </c>
      <c r="R12" s="9">
        <v>1.0</v>
      </c>
      <c r="S12" s="9">
        <v>0.0</v>
      </c>
      <c r="T12" s="9">
        <v>0.0</v>
      </c>
      <c r="U12" s="9">
        <v>1.0</v>
      </c>
      <c r="V12" s="9">
        <v>2.0</v>
      </c>
      <c r="W12" s="9">
        <v>2.0</v>
      </c>
    </row>
    <row r="13" ht="14.25" customHeight="1">
      <c r="A13" s="12" t="s">
        <v>42</v>
      </c>
      <c r="B13" s="13">
        <v>0.0</v>
      </c>
      <c r="C13" s="13">
        <v>0.0</v>
      </c>
      <c r="D13" s="13">
        <v>0.0</v>
      </c>
      <c r="E13" s="14">
        <v>1.0</v>
      </c>
      <c r="F13" s="14">
        <v>3.0</v>
      </c>
      <c r="G13" s="14">
        <v>2.0</v>
      </c>
      <c r="H13" s="14">
        <v>2.0</v>
      </c>
      <c r="I13" s="14">
        <v>2.0</v>
      </c>
      <c r="N13" s="7" t="s">
        <v>17</v>
      </c>
      <c r="O13" s="7" t="s">
        <v>39</v>
      </c>
      <c r="P13" s="7" t="s">
        <v>43</v>
      </c>
      <c r="Q13" s="8">
        <v>10403.0</v>
      </c>
      <c r="R13" s="9">
        <v>0.0</v>
      </c>
      <c r="S13" s="9">
        <v>3.0</v>
      </c>
      <c r="T13" s="9">
        <v>6.0</v>
      </c>
      <c r="U13" s="9">
        <v>0.0</v>
      </c>
      <c r="V13" s="9">
        <v>1.0</v>
      </c>
      <c r="W13" s="9">
        <v>0.0</v>
      </c>
    </row>
    <row r="14" ht="14.25" customHeight="1">
      <c r="A14" s="12" t="s">
        <v>44</v>
      </c>
      <c r="B14" s="13">
        <v>0.0</v>
      </c>
      <c r="C14" s="13">
        <v>0.0</v>
      </c>
      <c r="D14" s="13">
        <v>3.0</v>
      </c>
      <c r="E14" s="14">
        <v>5.0</v>
      </c>
      <c r="F14" s="14">
        <v>10.0</v>
      </c>
      <c r="G14" s="14">
        <v>6.0</v>
      </c>
      <c r="H14" s="14">
        <v>6.0</v>
      </c>
      <c r="I14" s="14">
        <v>6.0</v>
      </c>
      <c r="N14" s="7" t="s">
        <v>17</v>
      </c>
      <c r="O14" s="7" t="s">
        <v>39</v>
      </c>
      <c r="P14" s="7" t="s">
        <v>45</v>
      </c>
      <c r="Q14" s="8">
        <v>10404.0</v>
      </c>
      <c r="R14" s="9">
        <v>0.0</v>
      </c>
      <c r="S14" s="9">
        <v>0.0</v>
      </c>
      <c r="T14" s="9">
        <v>0.0</v>
      </c>
      <c r="U14" s="9">
        <v>1.0</v>
      </c>
      <c r="V14" s="9">
        <v>0.0</v>
      </c>
      <c r="W14" s="9">
        <v>0.0</v>
      </c>
    </row>
    <row r="15" ht="14.25" customHeight="1">
      <c r="A15" s="12" t="s">
        <v>46</v>
      </c>
      <c r="B15" s="13">
        <v>1.0</v>
      </c>
      <c r="C15" s="13">
        <v>2.0</v>
      </c>
      <c r="D15" s="13">
        <v>0.0</v>
      </c>
      <c r="E15" s="14">
        <v>4.0</v>
      </c>
      <c r="F15" s="14">
        <v>5.0</v>
      </c>
      <c r="G15" s="14">
        <v>8.0</v>
      </c>
      <c r="H15" s="14">
        <v>5.0</v>
      </c>
      <c r="I15" s="14">
        <v>7.0</v>
      </c>
      <c r="N15" s="7" t="s">
        <v>17</v>
      </c>
      <c r="O15" s="7" t="s">
        <v>39</v>
      </c>
      <c r="P15" s="7" t="s">
        <v>47</v>
      </c>
      <c r="Q15" s="8">
        <v>10405.0</v>
      </c>
      <c r="R15" s="9">
        <v>0.0</v>
      </c>
      <c r="S15" s="9">
        <v>0.0</v>
      </c>
      <c r="T15" s="9">
        <v>0.0</v>
      </c>
      <c r="U15" s="9">
        <v>0.0</v>
      </c>
      <c r="V15" s="9">
        <v>0.0</v>
      </c>
      <c r="W15" s="9">
        <v>0.0</v>
      </c>
    </row>
    <row r="16" ht="14.25" customHeight="1">
      <c r="A16" s="12" t="s">
        <v>48</v>
      </c>
      <c r="B16" s="13">
        <v>0.0</v>
      </c>
      <c r="C16" s="13">
        <v>0.0</v>
      </c>
      <c r="D16" s="13">
        <v>0.0</v>
      </c>
      <c r="E16" s="14">
        <v>0.0</v>
      </c>
      <c r="F16" s="14">
        <v>0.0</v>
      </c>
      <c r="G16" s="14">
        <v>1.0</v>
      </c>
      <c r="H16" s="14">
        <v>0.0</v>
      </c>
      <c r="I16" s="14">
        <v>0.0</v>
      </c>
      <c r="N16" s="7" t="s">
        <v>17</v>
      </c>
      <c r="O16" s="7" t="s">
        <v>49</v>
      </c>
      <c r="P16" s="7" t="s">
        <v>50</v>
      </c>
      <c r="Q16" s="8">
        <v>10501.0</v>
      </c>
      <c r="R16" s="9">
        <v>0.0</v>
      </c>
      <c r="S16" s="9">
        <v>0.0</v>
      </c>
      <c r="T16" s="9">
        <v>0.0</v>
      </c>
      <c r="U16" s="9">
        <v>4.0</v>
      </c>
      <c r="V16" s="9">
        <v>3.0</v>
      </c>
      <c r="W16" s="9">
        <v>1.0</v>
      </c>
    </row>
    <row r="17" ht="14.25" customHeight="1">
      <c r="A17" s="12" t="s">
        <v>51</v>
      </c>
      <c r="B17" s="13">
        <v>0.0</v>
      </c>
      <c r="C17" s="13">
        <v>0.0</v>
      </c>
      <c r="D17" s="13">
        <v>0.0</v>
      </c>
      <c r="E17" s="14">
        <v>0.0</v>
      </c>
      <c r="F17" s="14">
        <v>0.0</v>
      </c>
      <c r="G17" s="14">
        <v>0.0</v>
      </c>
      <c r="H17" s="14">
        <v>1.0</v>
      </c>
      <c r="I17" s="14">
        <v>1.0</v>
      </c>
      <c r="N17" s="7" t="s">
        <v>17</v>
      </c>
      <c r="O17" s="7" t="s">
        <v>49</v>
      </c>
      <c r="P17" s="7" t="s">
        <v>52</v>
      </c>
      <c r="Q17" s="8">
        <v>10502.0</v>
      </c>
      <c r="R17" s="9">
        <v>0.0</v>
      </c>
      <c r="S17" s="9">
        <v>0.0</v>
      </c>
      <c r="T17" s="9">
        <v>0.0</v>
      </c>
      <c r="U17" s="9">
        <v>0.0</v>
      </c>
      <c r="V17" s="9">
        <v>0.0</v>
      </c>
      <c r="W17" s="9">
        <v>0.0</v>
      </c>
    </row>
    <row r="18" ht="14.25" customHeight="1">
      <c r="A18" s="12" t="s">
        <v>53</v>
      </c>
      <c r="B18" s="13">
        <v>0.0</v>
      </c>
      <c r="C18" s="13">
        <v>1.0</v>
      </c>
      <c r="D18" s="13">
        <v>0.0</v>
      </c>
      <c r="E18" s="14">
        <v>0.0</v>
      </c>
      <c r="F18" s="14">
        <v>2.0</v>
      </c>
      <c r="G18" s="14">
        <v>2.0</v>
      </c>
      <c r="H18" s="14">
        <v>0.0</v>
      </c>
      <c r="I18" s="14">
        <v>1.0</v>
      </c>
      <c r="N18" s="7" t="s">
        <v>17</v>
      </c>
      <c r="O18" s="7" t="s">
        <v>54</v>
      </c>
      <c r="P18" s="7" t="s">
        <v>55</v>
      </c>
      <c r="Q18" s="8">
        <v>10601.0</v>
      </c>
      <c r="R18" s="9">
        <v>1.0</v>
      </c>
      <c r="S18" s="9">
        <v>2.0</v>
      </c>
      <c r="T18" s="9">
        <v>3.0</v>
      </c>
      <c r="U18" s="9">
        <v>4.0</v>
      </c>
      <c r="V18" s="9">
        <v>3.0</v>
      </c>
      <c r="W18" s="9">
        <v>2.0</v>
      </c>
    </row>
    <row r="19" ht="14.25" customHeight="1">
      <c r="A19" s="12" t="s">
        <v>56</v>
      </c>
      <c r="B19" s="13">
        <v>0.0</v>
      </c>
      <c r="C19" s="13">
        <v>1.0</v>
      </c>
      <c r="D19" s="13">
        <v>2.0</v>
      </c>
      <c r="E19" s="14">
        <v>6.0</v>
      </c>
      <c r="F19" s="14">
        <v>6.0</v>
      </c>
      <c r="G19" s="14">
        <v>7.0</v>
      </c>
      <c r="H19" s="14">
        <v>18.0</v>
      </c>
      <c r="I19" s="14">
        <v>14.0</v>
      </c>
      <c r="N19" s="7" t="s">
        <v>17</v>
      </c>
      <c r="O19" s="7" t="s">
        <v>54</v>
      </c>
      <c r="P19" s="7" t="s">
        <v>54</v>
      </c>
      <c r="Q19" s="8">
        <v>10602.0</v>
      </c>
      <c r="R19" s="9">
        <v>0.0</v>
      </c>
      <c r="S19" s="9">
        <v>2.0</v>
      </c>
      <c r="T19" s="9">
        <v>2.0</v>
      </c>
      <c r="U19" s="9">
        <v>1.0</v>
      </c>
      <c r="V19" s="9">
        <v>0.0</v>
      </c>
      <c r="W19" s="9">
        <v>1.0</v>
      </c>
    </row>
    <row r="20" ht="14.25" customHeight="1">
      <c r="A20" s="12" t="s">
        <v>57</v>
      </c>
      <c r="B20" s="13">
        <v>0.0</v>
      </c>
      <c r="C20" s="13">
        <v>1.0</v>
      </c>
      <c r="D20" s="13">
        <v>0.0</v>
      </c>
      <c r="E20" s="14">
        <v>0.0</v>
      </c>
      <c r="F20" s="14">
        <v>2.0</v>
      </c>
      <c r="G20" s="14">
        <v>1.0</v>
      </c>
      <c r="H20" s="14">
        <v>3.0</v>
      </c>
      <c r="I20" s="14">
        <v>3.0</v>
      </c>
      <c r="N20" s="7" t="s">
        <v>17</v>
      </c>
      <c r="O20" s="7" t="s">
        <v>58</v>
      </c>
      <c r="P20" s="7" t="s">
        <v>59</v>
      </c>
      <c r="Q20" s="8">
        <v>10701.0</v>
      </c>
      <c r="R20" s="9">
        <v>1.0</v>
      </c>
      <c r="S20" s="9">
        <v>7.0</v>
      </c>
      <c r="T20" s="9">
        <v>1.0</v>
      </c>
      <c r="U20" s="9">
        <v>0.0</v>
      </c>
      <c r="V20" s="9">
        <v>2.0</v>
      </c>
      <c r="W20" s="9">
        <v>1.0</v>
      </c>
    </row>
    <row r="21" ht="14.25" customHeight="1">
      <c r="A21" s="12" t="s">
        <v>60</v>
      </c>
      <c r="B21" s="13">
        <v>11.0</v>
      </c>
      <c r="C21" s="13">
        <v>27.0</v>
      </c>
      <c r="D21" s="13">
        <v>31.0</v>
      </c>
      <c r="E21" s="14">
        <v>43.0</v>
      </c>
      <c r="F21" s="14">
        <v>69.0</v>
      </c>
      <c r="G21" s="14">
        <v>88.0</v>
      </c>
      <c r="H21" s="14">
        <v>95.0</v>
      </c>
      <c r="I21" s="14">
        <v>83.0</v>
      </c>
      <c r="N21" s="7" t="s">
        <v>17</v>
      </c>
      <c r="O21" s="7" t="s">
        <v>58</v>
      </c>
      <c r="P21" s="7" t="s">
        <v>61</v>
      </c>
      <c r="Q21" s="8">
        <v>10702.0</v>
      </c>
      <c r="R21" s="9">
        <v>0.0</v>
      </c>
      <c r="S21" s="9">
        <v>0.0</v>
      </c>
      <c r="T21" s="9">
        <v>0.0</v>
      </c>
      <c r="U21" s="9">
        <v>2.0</v>
      </c>
      <c r="V21" s="9">
        <v>7.0</v>
      </c>
      <c r="W21" s="9">
        <v>9.0</v>
      </c>
    </row>
    <row r="22" ht="14.25" customHeight="1">
      <c r="A22" s="10" t="s">
        <v>62</v>
      </c>
      <c r="B22" s="11">
        <v>14.0</v>
      </c>
      <c r="C22" s="11">
        <v>47.0</v>
      </c>
      <c r="D22" s="11">
        <v>47.0</v>
      </c>
      <c r="E22" s="11">
        <v>64.0</v>
      </c>
      <c r="F22" s="11">
        <v>74.0</v>
      </c>
      <c r="G22" s="11">
        <v>106.0</v>
      </c>
      <c r="H22" s="11">
        <v>107.0</v>
      </c>
      <c r="I22" s="11">
        <v>113.0</v>
      </c>
      <c r="N22" s="7" t="s">
        <v>17</v>
      </c>
      <c r="O22" s="7" t="s">
        <v>58</v>
      </c>
      <c r="P22" s="7" t="s">
        <v>63</v>
      </c>
      <c r="Q22" s="8">
        <v>10703.0</v>
      </c>
      <c r="R22" s="9">
        <v>0.0</v>
      </c>
      <c r="S22" s="9">
        <v>0.0</v>
      </c>
      <c r="T22" s="9">
        <v>0.0</v>
      </c>
      <c r="U22" s="9">
        <v>0.0</v>
      </c>
      <c r="V22" s="9">
        <v>6.0</v>
      </c>
      <c r="W22" s="9">
        <v>4.0</v>
      </c>
    </row>
    <row r="23" ht="14.25" customHeight="1">
      <c r="A23" s="12" t="s">
        <v>59</v>
      </c>
      <c r="B23" s="13">
        <v>1.0</v>
      </c>
      <c r="C23" s="13">
        <v>7.0</v>
      </c>
      <c r="D23" s="13">
        <v>1.0</v>
      </c>
      <c r="E23" s="14">
        <v>3.0</v>
      </c>
      <c r="F23" s="14">
        <v>1.0</v>
      </c>
      <c r="G23" s="14">
        <v>0.0</v>
      </c>
      <c r="H23" s="14">
        <v>2.0</v>
      </c>
      <c r="I23" s="14">
        <v>1.0</v>
      </c>
      <c r="N23" s="7" t="s">
        <v>17</v>
      </c>
      <c r="O23" s="7" t="s">
        <v>58</v>
      </c>
      <c r="P23" s="7" t="s">
        <v>64</v>
      </c>
      <c r="Q23" s="8">
        <v>10704.0</v>
      </c>
      <c r="R23" s="9">
        <v>0.0</v>
      </c>
      <c r="S23" s="9">
        <v>0.0</v>
      </c>
      <c r="T23" s="9">
        <v>0.0</v>
      </c>
      <c r="U23" s="9">
        <v>0.0</v>
      </c>
      <c r="V23" s="9">
        <v>0.0</v>
      </c>
      <c r="W23" s="9">
        <v>0.0</v>
      </c>
    </row>
    <row r="24" ht="14.25" customHeight="1">
      <c r="A24" s="12" t="s">
        <v>65</v>
      </c>
      <c r="B24" s="13">
        <v>0.0</v>
      </c>
      <c r="C24" s="13">
        <v>0.0</v>
      </c>
      <c r="D24" s="13">
        <v>0.0</v>
      </c>
      <c r="E24" s="14">
        <v>0.0</v>
      </c>
      <c r="F24" s="14">
        <v>0.0</v>
      </c>
      <c r="G24" s="14">
        <v>0.0</v>
      </c>
      <c r="H24" s="14">
        <v>0.0</v>
      </c>
      <c r="I24" s="14">
        <v>0.0</v>
      </c>
      <c r="N24" s="7" t="s">
        <v>17</v>
      </c>
      <c r="O24" s="7" t="s">
        <v>66</v>
      </c>
      <c r="P24" s="7" t="s">
        <v>67</v>
      </c>
      <c r="Q24" s="8">
        <v>10801.0</v>
      </c>
      <c r="R24" s="9">
        <v>0.0</v>
      </c>
      <c r="S24" s="9">
        <v>1.0</v>
      </c>
      <c r="T24" s="9">
        <v>0.0</v>
      </c>
      <c r="U24" s="9">
        <v>1.0</v>
      </c>
      <c r="V24" s="9">
        <v>2.0</v>
      </c>
      <c r="W24" s="9">
        <v>1.0</v>
      </c>
    </row>
    <row r="25" ht="14.25" customHeight="1">
      <c r="A25" s="12" t="s">
        <v>68</v>
      </c>
      <c r="B25" s="13">
        <v>0.0</v>
      </c>
      <c r="C25" s="13">
        <v>0.0</v>
      </c>
      <c r="D25" s="13">
        <v>0.0</v>
      </c>
      <c r="E25" s="14">
        <v>0.0</v>
      </c>
      <c r="F25" s="14">
        <v>0.0</v>
      </c>
      <c r="G25" s="14">
        <v>0.0</v>
      </c>
      <c r="H25" s="14">
        <v>0.0</v>
      </c>
      <c r="I25" s="14">
        <v>0.0</v>
      </c>
      <c r="N25" s="7" t="s">
        <v>17</v>
      </c>
      <c r="O25" s="7" t="s">
        <v>69</v>
      </c>
      <c r="P25" s="7" t="s">
        <v>70</v>
      </c>
      <c r="Q25" s="8">
        <v>10901.0</v>
      </c>
      <c r="R25" s="9">
        <v>0.0</v>
      </c>
      <c r="S25" s="9">
        <v>0.0</v>
      </c>
      <c r="T25" s="9">
        <v>0.0</v>
      </c>
      <c r="U25" s="9">
        <v>0.0</v>
      </c>
      <c r="V25" s="9">
        <v>0.0</v>
      </c>
      <c r="W25" s="9">
        <v>0.0</v>
      </c>
    </row>
    <row r="26" ht="14.25" customHeight="1">
      <c r="A26" s="12" t="s">
        <v>71</v>
      </c>
      <c r="B26" s="13">
        <v>0.0</v>
      </c>
      <c r="C26" s="13">
        <v>0.0</v>
      </c>
      <c r="D26" s="13">
        <v>0.0</v>
      </c>
      <c r="E26" s="14">
        <v>0.0</v>
      </c>
      <c r="F26" s="14">
        <v>0.0</v>
      </c>
      <c r="G26" s="14">
        <v>0.0</v>
      </c>
      <c r="H26" s="14">
        <v>0.0</v>
      </c>
      <c r="I26" s="14">
        <v>0.0</v>
      </c>
      <c r="N26" s="7" t="s">
        <v>17</v>
      </c>
      <c r="O26" s="7" t="s">
        <v>69</v>
      </c>
      <c r="P26" s="7" t="s">
        <v>68</v>
      </c>
      <c r="Q26" s="8">
        <v>10902.0</v>
      </c>
      <c r="R26" s="9">
        <v>0.0</v>
      </c>
      <c r="S26" s="9">
        <v>0.0</v>
      </c>
      <c r="T26" s="9">
        <v>0.0</v>
      </c>
      <c r="U26" s="9">
        <v>0.0</v>
      </c>
      <c r="V26" s="9">
        <v>0.0</v>
      </c>
      <c r="W26" s="9">
        <v>0.0</v>
      </c>
    </row>
    <row r="27" ht="14.25" customHeight="1">
      <c r="A27" s="12" t="s">
        <v>37</v>
      </c>
      <c r="B27" s="13">
        <v>0.0</v>
      </c>
      <c r="C27" s="13">
        <v>1.0</v>
      </c>
      <c r="D27" s="13">
        <v>0.0</v>
      </c>
      <c r="E27" s="14">
        <v>1.0</v>
      </c>
      <c r="F27" s="14">
        <v>0.0</v>
      </c>
      <c r="G27" s="14">
        <v>0.0</v>
      </c>
      <c r="H27" s="14">
        <v>0.0</v>
      </c>
      <c r="I27" s="14">
        <v>0.0</v>
      </c>
      <c r="N27" s="7" t="s">
        <v>17</v>
      </c>
      <c r="O27" s="7" t="s">
        <v>69</v>
      </c>
      <c r="P27" s="7" t="s">
        <v>72</v>
      </c>
      <c r="Q27" s="8">
        <v>10903.0</v>
      </c>
      <c r="R27" s="9">
        <v>0.0</v>
      </c>
      <c r="S27" s="9">
        <v>0.0</v>
      </c>
      <c r="T27" s="9">
        <v>0.0</v>
      </c>
      <c r="U27" s="9">
        <v>0.0</v>
      </c>
      <c r="V27" s="9">
        <v>0.0</v>
      </c>
      <c r="W27" s="9">
        <v>1.0</v>
      </c>
    </row>
    <row r="28" ht="14.25" customHeight="1">
      <c r="A28" s="12" t="s">
        <v>63</v>
      </c>
      <c r="B28" s="13">
        <v>0.0</v>
      </c>
      <c r="C28" s="13">
        <v>0.0</v>
      </c>
      <c r="D28" s="13">
        <v>0.0</v>
      </c>
      <c r="E28" s="14">
        <v>2.0</v>
      </c>
      <c r="F28" s="14">
        <v>0.0</v>
      </c>
      <c r="G28" s="14">
        <v>0.0</v>
      </c>
      <c r="H28" s="14">
        <v>6.0</v>
      </c>
      <c r="I28" s="14">
        <v>4.0</v>
      </c>
      <c r="N28" s="7" t="s">
        <v>17</v>
      </c>
      <c r="O28" s="7" t="s">
        <v>73</v>
      </c>
      <c r="P28" s="7" t="s">
        <v>74</v>
      </c>
      <c r="Q28" s="8">
        <v>11001.0</v>
      </c>
      <c r="R28" s="9">
        <v>0.0</v>
      </c>
      <c r="S28" s="9">
        <v>0.0</v>
      </c>
      <c r="T28" s="9">
        <v>1.0</v>
      </c>
      <c r="U28" s="9">
        <v>1.0</v>
      </c>
      <c r="V28" s="9">
        <v>1.0</v>
      </c>
      <c r="W28" s="9">
        <v>2.0</v>
      </c>
    </row>
    <row r="29" ht="14.25" customHeight="1">
      <c r="A29" s="12" t="s">
        <v>72</v>
      </c>
      <c r="B29" s="13">
        <v>0.0</v>
      </c>
      <c r="C29" s="13">
        <v>0.0</v>
      </c>
      <c r="D29" s="13">
        <v>0.0</v>
      </c>
      <c r="E29" s="14">
        <v>0.0</v>
      </c>
      <c r="F29" s="14">
        <v>0.0</v>
      </c>
      <c r="G29" s="14">
        <v>0.0</v>
      </c>
      <c r="H29" s="14">
        <v>0.0</v>
      </c>
      <c r="I29" s="14">
        <v>1.0</v>
      </c>
      <c r="N29" s="7" t="s">
        <v>17</v>
      </c>
      <c r="O29" s="7" t="s">
        <v>73</v>
      </c>
      <c r="P29" s="7" t="s">
        <v>75</v>
      </c>
      <c r="Q29" s="8">
        <v>11002.0</v>
      </c>
      <c r="R29" s="9">
        <v>0.0</v>
      </c>
      <c r="S29" s="9">
        <v>0.0</v>
      </c>
      <c r="T29" s="9">
        <v>0.0</v>
      </c>
      <c r="U29" s="9">
        <v>0.0</v>
      </c>
      <c r="V29" s="9">
        <v>0.0</v>
      </c>
      <c r="W29" s="9">
        <v>0.0</v>
      </c>
    </row>
    <row r="30" ht="14.25" customHeight="1">
      <c r="A30" s="12" t="s">
        <v>76</v>
      </c>
      <c r="B30" s="13">
        <v>0.0</v>
      </c>
      <c r="C30" s="13">
        <v>1.0</v>
      </c>
      <c r="D30" s="13">
        <v>0.0</v>
      </c>
      <c r="E30" s="14">
        <v>1.0</v>
      </c>
      <c r="F30" s="14">
        <v>0.0</v>
      </c>
      <c r="G30" s="14">
        <v>1.0</v>
      </c>
      <c r="H30" s="14">
        <v>1.0</v>
      </c>
      <c r="I30" s="14">
        <v>0.0</v>
      </c>
      <c r="N30" s="7" t="s">
        <v>17</v>
      </c>
      <c r="O30" s="7" t="s">
        <v>73</v>
      </c>
      <c r="P30" s="7" t="s">
        <v>76</v>
      </c>
      <c r="Q30" s="8">
        <v>11003.0</v>
      </c>
      <c r="R30" s="9">
        <v>0.0</v>
      </c>
      <c r="S30" s="9">
        <v>1.0</v>
      </c>
      <c r="T30" s="9">
        <v>0.0</v>
      </c>
      <c r="U30" s="9">
        <v>1.0</v>
      </c>
      <c r="V30" s="9">
        <v>1.0</v>
      </c>
      <c r="W30" s="9">
        <v>0.0</v>
      </c>
    </row>
    <row r="31" ht="14.25" customHeight="1">
      <c r="A31" s="12" t="s">
        <v>77</v>
      </c>
      <c r="B31" s="13">
        <v>0.0</v>
      </c>
      <c r="C31" s="13">
        <v>1.0</v>
      </c>
      <c r="D31" s="13">
        <v>0.0</v>
      </c>
      <c r="E31" s="14">
        <v>1.0</v>
      </c>
      <c r="F31" s="14">
        <v>1.0</v>
      </c>
      <c r="G31" s="14">
        <v>0.0</v>
      </c>
      <c r="H31" s="14">
        <v>0.0</v>
      </c>
      <c r="I31" s="14">
        <v>0.0</v>
      </c>
      <c r="N31" s="7" t="s">
        <v>78</v>
      </c>
      <c r="O31" s="7" t="s">
        <v>79</v>
      </c>
      <c r="P31" s="7" t="s">
        <v>80</v>
      </c>
      <c r="Q31" s="8">
        <v>20101.0</v>
      </c>
      <c r="R31" s="9">
        <v>139.0</v>
      </c>
      <c r="S31" s="9">
        <v>157.0</v>
      </c>
      <c r="T31" s="9">
        <v>182.0</v>
      </c>
      <c r="U31" s="9">
        <v>299.0</v>
      </c>
      <c r="V31" s="9">
        <v>298.0</v>
      </c>
      <c r="W31" s="9">
        <v>298.0</v>
      </c>
    </row>
    <row r="32" ht="14.25" customHeight="1">
      <c r="A32" s="12" t="s">
        <v>50</v>
      </c>
      <c r="B32" s="13">
        <v>0.0</v>
      </c>
      <c r="C32" s="13">
        <v>0.0</v>
      </c>
      <c r="D32" s="13">
        <v>0.0</v>
      </c>
      <c r="E32" s="14">
        <v>0.0</v>
      </c>
      <c r="F32" s="14">
        <v>2.0</v>
      </c>
      <c r="G32" s="14">
        <v>4.0</v>
      </c>
      <c r="H32" s="14">
        <v>3.0</v>
      </c>
      <c r="I32" s="14">
        <v>1.0</v>
      </c>
      <c r="N32" s="7" t="s">
        <v>78</v>
      </c>
      <c r="O32" s="7" t="s">
        <v>79</v>
      </c>
      <c r="P32" s="7" t="s">
        <v>81</v>
      </c>
      <c r="Q32" s="8">
        <v>20102.0</v>
      </c>
      <c r="R32" s="9">
        <v>0.0</v>
      </c>
      <c r="S32" s="9">
        <v>0.0</v>
      </c>
      <c r="T32" s="9">
        <v>0.0</v>
      </c>
      <c r="U32" s="9">
        <v>1.0</v>
      </c>
      <c r="V32" s="9">
        <v>5.0</v>
      </c>
      <c r="W32" s="9">
        <v>5.0</v>
      </c>
    </row>
    <row r="33" ht="14.25" customHeight="1">
      <c r="A33" s="12" t="s">
        <v>40</v>
      </c>
      <c r="B33" s="13">
        <v>0.0</v>
      </c>
      <c r="C33" s="13">
        <v>0.0</v>
      </c>
      <c r="D33" s="13">
        <v>0.0</v>
      </c>
      <c r="E33" s="14">
        <v>0.0</v>
      </c>
      <c r="F33" s="14">
        <v>1.0</v>
      </c>
      <c r="G33" s="14">
        <v>0.0</v>
      </c>
      <c r="H33" s="14">
        <v>0.0</v>
      </c>
      <c r="I33" s="14">
        <v>1.0</v>
      </c>
      <c r="N33" s="7" t="s">
        <v>78</v>
      </c>
      <c r="O33" s="7" t="s">
        <v>79</v>
      </c>
      <c r="P33" s="7" t="s">
        <v>82</v>
      </c>
      <c r="Q33" s="8">
        <v>20103.0</v>
      </c>
      <c r="R33" s="9">
        <v>0.0</v>
      </c>
      <c r="S33" s="9">
        <v>0.0</v>
      </c>
      <c r="T33" s="9">
        <v>0.0</v>
      </c>
      <c r="U33" s="9">
        <v>1.0</v>
      </c>
      <c r="V33" s="9">
        <v>4.0</v>
      </c>
      <c r="W33" s="9">
        <v>0.0</v>
      </c>
    </row>
    <row r="34" ht="14.25" customHeight="1">
      <c r="A34" s="12" t="s">
        <v>23</v>
      </c>
      <c r="B34" s="13">
        <v>0.0</v>
      </c>
      <c r="C34" s="13">
        <v>0.0</v>
      </c>
      <c r="D34" s="13">
        <v>0.0</v>
      </c>
      <c r="E34" s="14">
        <v>1.0</v>
      </c>
      <c r="F34" s="14">
        <v>1.0</v>
      </c>
      <c r="G34" s="14">
        <v>3.0</v>
      </c>
      <c r="H34" s="14">
        <v>1.0</v>
      </c>
      <c r="I34" s="14">
        <v>3.0</v>
      </c>
      <c r="N34" s="7" t="s">
        <v>78</v>
      </c>
      <c r="O34" s="7" t="s">
        <v>79</v>
      </c>
      <c r="P34" s="7" t="s">
        <v>83</v>
      </c>
      <c r="Q34" s="8">
        <v>20104.0</v>
      </c>
      <c r="R34" s="9">
        <v>0.0</v>
      </c>
      <c r="S34" s="9">
        <v>0.0</v>
      </c>
      <c r="T34" s="9">
        <v>0.0</v>
      </c>
      <c r="U34" s="9">
        <v>4.0</v>
      </c>
      <c r="V34" s="9">
        <v>1.0</v>
      </c>
      <c r="W34" s="9">
        <v>8.0</v>
      </c>
    </row>
    <row r="35" ht="14.25" customHeight="1">
      <c r="A35" s="12" t="s">
        <v>33</v>
      </c>
      <c r="B35" s="13">
        <v>0.0</v>
      </c>
      <c r="C35" s="13">
        <v>0.0</v>
      </c>
      <c r="D35" s="13">
        <v>0.0</v>
      </c>
      <c r="E35" s="14">
        <v>0.0</v>
      </c>
      <c r="F35" s="14">
        <v>2.0</v>
      </c>
      <c r="G35" s="14">
        <v>2.0</v>
      </c>
      <c r="H35" s="14">
        <v>2.0</v>
      </c>
      <c r="I35" s="14">
        <v>1.0</v>
      </c>
      <c r="N35" s="7" t="s">
        <v>78</v>
      </c>
      <c r="O35" s="7" t="s">
        <v>79</v>
      </c>
      <c r="P35" s="7" t="s">
        <v>84</v>
      </c>
      <c r="Q35" s="8">
        <v>20105.0</v>
      </c>
      <c r="R35" s="9">
        <v>77.0</v>
      </c>
      <c r="S35" s="9">
        <v>115.0</v>
      </c>
      <c r="T35" s="9">
        <v>153.0</v>
      </c>
      <c r="U35" s="9">
        <v>391.0</v>
      </c>
      <c r="V35" s="9">
        <v>391.0</v>
      </c>
      <c r="W35" s="9">
        <v>388.0</v>
      </c>
    </row>
    <row r="36" ht="14.25" customHeight="1">
      <c r="A36" s="12" t="s">
        <v>61</v>
      </c>
      <c r="B36" s="13">
        <v>0.0</v>
      </c>
      <c r="C36" s="13">
        <v>0.0</v>
      </c>
      <c r="D36" s="13">
        <v>0.0</v>
      </c>
      <c r="E36" s="14">
        <v>5.0</v>
      </c>
      <c r="F36" s="14">
        <v>1.0</v>
      </c>
      <c r="G36" s="14">
        <v>2.0</v>
      </c>
      <c r="H36" s="14">
        <v>7.0</v>
      </c>
      <c r="I36" s="14">
        <v>9.0</v>
      </c>
      <c r="N36" s="7" t="s">
        <v>78</v>
      </c>
      <c r="O36" s="7" t="s">
        <v>85</v>
      </c>
      <c r="P36" s="7" t="s">
        <v>86</v>
      </c>
      <c r="Q36" s="8">
        <v>20201.0</v>
      </c>
      <c r="R36" s="9">
        <v>13.0</v>
      </c>
      <c r="S36" s="9">
        <v>12.0</v>
      </c>
      <c r="T36" s="9">
        <v>41.0</v>
      </c>
      <c r="U36" s="9">
        <v>8.0</v>
      </c>
      <c r="V36" s="9">
        <v>6.0</v>
      </c>
      <c r="W36" s="9">
        <v>8.0</v>
      </c>
    </row>
    <row r="37" ht="14.25" customHeight="1">
      <c r="A37" s="12" t="s">
        <v>43</v>
      </c>
      <c r="B37" s="13">
        <v>0.0</v>
      </c>
      <c r="C37" s="13">
        <v>3.0</v>
      </c>
      <c r="D37" s="13">
        <v>6.0</v>
      </c>
      <c r="E37" s="14">
        <v>1.0</v>
      </c>
      <c r="F37" s="14">
        <v>2.0</v>
      </c>
      <c r="G37" s="14">
        <v>0.0</v>
      </c>
      <c r="H37" s="14">
        <v>1.0</v>
      </c>
      <c r="I37" s="14">
        <v>0.0</v>
      </c>
      <c r="N37" s="7" t="s">
        <v>78</v>
      </c>
      <c r="O37" s="7" t="s">
        <v>85</v>
      </c>
      <c r="P37" s="7" t="s">
        <v>87</v>
      </c>
      <c r="Q37" s="8">
        <v>20202.0</v>
      </c>
      <c r="R37" s="9">
        <v>0.0</v>
      </c>
      <c r="S37" s="9">
        <v>0.0</v>
      </c>
      <c r="T37" s="9">
        <v>0.0</v>
      </c>
      <c r="U37" s="9">
        <v>0.0</v>
      </c>
      <c r="V37" s="9">
        <v>2.0</v>
      </c>
      <c r="W37" s="9">
        <v>0.0</v>
      </c>
    </row>
    <row r="38" ht="14.25" customHeight="1">
      <c r="A38" s="12" t="s">
        <v>19</v>
      </c>
      <c r="B38" s="13">
        <v>11.0</v>
      </c>
      <c r="C38" s="13">
        <v>28.0</v>
      </c>
      <c r="D38" s="13">
        <v>29.0</v>
      </c>
      <c r="E38" s="14">
        <v>41.0</v>
      </c>
      <c r="F38" s="14">
        <v>54.0</v>
      </c>
      <c r="G38" s="14">
        <v>78.0</v>
      </c>
      <c r="H38" s="14">
        <v>72.0</v>
      </c>
      <c r="I38" s="14">
        <v>76.0</v>
      </c>
      <c r="N38" s="7" t="s">
        <v>78</v>
      </c>
      <c r="O38" s="7" t="s">
        <v>85</v>
      </c>
      <c r="P38" s="7" t="s">
        <v>88</v>
      </c>
      <c r="Q38" s="8">
        <v>20203.0</v>
      </c>
      <c r="R38" s="9">
        <v>0.0</v>
      </c>
      <c r="S38" s="9">
        <v>0.0</v>
      </c>
      <c r="T38" s="9">
        <v>0.0</v>
      </c>
      <c r="U38" s="9">
        <v>0.0</v>
      </c>
      <c r="V38" s="9">
        <v>0.0</v>
      </c>
      <c r="W38" s="9">
        <v>0.0</v>
      </c>
    </row>
    <row r="39" ht="14.25" customHeight="1">
      <c r="A39" s="12" t="s">
        <v>55</v>
      </c>
      <c r="B39" s="13">
        <v>1.0</v>
      </c>
      <c r="C39" s="13">
        <v>2.0</v>
      </c>
      <c r="D39" s="13">
        <v>3.0</v>
      </c>
      <c r="E39" s="14">
        <v>1.0</v>
      </c>
      <c r="F39" s="14">
        <v>1.0</v>
      </c>
      <c r="G39" s="14">
        <v>4.0</v>
      </c>
      <c r="H39" s="14">
        <v>3.0</v>
      </c>
      <c r="I39" s="14">
        <v>2.0</v>
      </c>
      <c r="N39" s="7" t="s">
        <v>78</v>
      </c>
      <c r="O39" s="7" t="s">
        <v>85</v>
      </c>
      <c r="P39" s="7" t="s">
        <v>89</v>
      </c>
      <c r="Q39" s="8">
        <v>20204.0</v>
      </c>
      <c r="R39" s="9">
        <v>0.0</v>
      </c>
      <c r="S39" s="9">
        <v>0.0</v>
      </c>
      <c r="T39" s="9">
        <v>0.0</v>
      </c>
      <c r="U39" s="9">
        <v>0.0</v>
      </c>
      <c r="V39" s="9">
        <v>0.0</v>
      </c>
      <c r="W39" s="9">
        <v>0.0</v>
      </c>
    </row>
    <row r="40" ht="14.25" customHeight="1">
      <c r="A40" s="12" t="s">
        <v>90</v>
      </c>
      <c r="B40" s="13">
        <v>0.0</v>
      </c>
      <c r="C40" s="13">
        <v>0.0</v>
      </c>
      <c r="D40" s="13">
        <v>2.0</v>
      </c>
      <c r="E40" s="14">
        <v>1.0</v>
      </c>
      <c r="F40" s="14">
        <v>1.0</v>
      </c>
      <c r="G40" s="14">
        <v>5.0</v>
      </c>
      <c r="H40" s="14">
        <v>1.0</v>
      </c>
      <c r="I40" s="14">
        <v>1.0</v>
      </c>
      <c r="N40" s="7" t="s">
        <v>78</v>
      </c>
      <c r="O40" s="7" t="s">
        <v>85</v>
      </c>
      <c r="P40" s="7" t="s">
        <v>91</v>
      </c>
      <c r="Q40" s="8">
        <v>20205.0</v>
      </c>
      <c r="R40" s="9">
        <v>0.0</v>
      </c>
      <c r="S40" s="9">
        <v>0.0</v>
      </c>
      <c r="T40" s="9">
        <v>0.0</v>
      </c>
      <c r="U40" s="9">
        <v>0.0</v>
      </c>
      <c r="V40" s="9">
        <v>0.0</v>
      </c>
      <c r="W40" s="9">
        <v>0.0</v>
      </c>
    </row>
    <row r="41" ht="14.25" customHeight="1">
      <c r="A41" s="12" t="s">
        <v>39</v>
      </c>
      <c r="B41" s="13">
        <v>1.0</v>
      </c>
      <c r="C41" s="13">
        <v>0.0</v>
      </c>
      <c r="D41" s="13">
        <v>0.0</v>
      </c>
      <c r="E41" s="14">
        <v>2.0</v>
      </c>
      <c r="F41" s="14">
        <v>1.0</v>
      </c>
      <c r="G41" s="14">
        <v>1.0</v>
      </c>
      <c r="H41" s="14">
        <v>2.0</v>
      </c>
      <c r="I41" s="14">
        <v>2.0</v>
      </c>
      <c r="N41" s="7" t="s">
        <v>78</v>
      </c>
      <c r="O41" s="7" t="s">
        <v>85</v>
      </c>
      <c r="P41" s="7" t="s">
        <v>92</v>
      </c>
      <c r="Q41" s="8">
        <v>20206.0</v>
      </c>
      <c r="R41" s="9">
        <v>0.0</v>
      </c>
      <c r="S41" s="9">
        <v>0.0</v>
      </c>
      <c r="T41" s="9">
        <v>0.0</v>
      </c>
      <c r="U41" s="9">
        <v>0.0</v>
      </c>
      <c r="V41" s="9">
        <v>0.0</v>
      </c>
      <c r="W41" s="9">
        <v>0.0</v>
      </c>
    </row>
    <row r="42" ht="14.25" customHeight="1">
      <c r="A42" s="12" t="s">
        <v>93</v>
      </c>
      <c r="B42" s="13">
        <v>0.0</v>
      </c>
      <c r="C42" s="13">
        <v>0.0</v>
      </c>
      <c r="D42" s="13">
        <v>0.0</v>
      </c>
      <c r="E42" s="14">
        <v>0.0</v>
      </c>
      <c r="F42" s="14">
        <v>1.0</v>
      </c>
      <c r="G42" s="14">
        <v>1.0</v>
      </c>
      <c r="H42" s="14">
        <v>0.0</v>
      </c>
      <c r="I42" s="14">
        <v>0.0</v>
      </c>
      <c r="N42" s="7" t="s">
        <v>78</v>
      </c>
      <c r="O42" s="7" t="s">
        <v>94</v>
      </c>
      <c r="P42" s="7" t="s">
        <v>95</v>
      </c>
      <c r="Q42" s="8">
        <v>20301.0</v>
      </c>
      <c r="R42" s="9">
        <v>0.0</v>
      </c>
      <c r="S42" s="9">
        <v>0.0</v>
      </c>
      <c r="T42" s="9">
        <v>0.0</v>
      </c>
      <c r="U42" s="9">
        <v>1.0</v>
      </c>
      <c r="V42" s="9">
        <v>0.0</v>
      </c>
      <c r="W42" s="9">
        <v>1.0</v>
      </c>
    </row>
    <row r="43" ht="14.25" customHeight="1">
      <c r="A43" s="12" t="s">
        <v>26</v>
      </c>
      <c r="B43" s="13">
        <v>0.0</v>
      </c>
      <c r="C43" s="13">
        <v>0.0</v>
      </c>
      <c r="D43" s="13">
        <v>2.0</v>
      </c>
      <c r="E43" s="14">
        <v>0.0</v>
      </c>
      <c r="F43" s="14">
        <v>1.0</v>
      </c>
      <c r="G43" s="14">
        <v>1.0</v>
      </c>
      <c r="H43" s="14">
        <v>1.0</v>
      </c>
      <c r="I43" s="14">
        <v>4.0</v>
      </c>
      <c r="N43" s="7" t="s">
        <v>78</v>
      </c>
      <c r="O43" s="7" t="s">
        <v>94</v>
      </c>
      <c r="P43" s="7" t="s">
        <v>96</v>
      </c>
      <c r="Q43" s="8">
        <v>20302.0</v>
      </c>
      <c r="R43" s="9">
        <v>0.0</v>
      </c>
      <c r="S43" s="9">
        <v>0.0</v>
      </c>
      <c r="T43" s="9">
        <v>0.0</v>
      </c>
      <c r="U43" s="9">
        <v>0.0</v>
      </c>
      <c r="V43" s="9">
        <v>0.0</v>
      </c>
      <c r="W43" s="9">
        <v>0.0</v>
      </c>
    </row>
    <row r="44" ht="14.25" customHeight="1">
      <c r="A44" s="12" t="s">
        <v>97</v>
      </c>
      <c r="B44" s="13">
        <v>0.0</v>
      </c>
      <c r="C44" s="13">
        <v>0.0</v>
      </c>
      <c r="D44" s="13">
        <v>0.0</v>
      </c>
      <c r="E44" s="14">
        <v>0.0</v>
      </c>
      <c r="F44" s="14">
        <v>0.0</v>
      </c>
      <c r="G44" s="14">
        <v>0.0</v>
      </c>
      <c r="H44" s="14">
        <v>0.0</v>
      </c>
      <c r="I44" s="14">
        <v>0.0</v>
      </c>
      <c r="N44" s="7" t="s">
        <v>78</v>
      </c>
      <c r="O44" s="7" t="s">
        <v>94</v>
      </c>
      <c r="P44" s="7" t="s">
        <v>98</v>
      </c>
      <c r="Q44" s="8">
        <v>20303.0</v>
      </c>
      <c r="R44" s="9">
        <v>0.0</v>
      </c>
      <c r="S44" s="9">
        <v>0.0</v>
      </c>
      <c r="T44" s="9">
        <v>0.0</v>
      </c>
      <c r="U44" s="9">
        <v>1.0</v>
      </c>
      <c r="V44" s="9">
        <v>0.0</v>
      </c>
      <c r="W44" s="9">
        <v>0.0</v>
      </c>
    </row>
    <row r="45" ht="14.25" customHeight="1">
      <c r="A45" s="12" t="s">
        <v>67</v>
      </c>
      <c r="B45" s="13">
        <v>0.0</v>
      </c>
      <c r="C45" s="13">
        <v>1.0</v>
      </c>
      <c r="D45" s="13">
        <v>0.0</v>
      </c>
      <c r="E45" s="14">
        <v>0.0</v>
      </c>
      <c r="F45" s="14">
        <v>2.0</v>
      </c>
      <c r="G45" s="14">
        <v>1.0</v>
      </c>
      <c r="H45" s="14">
        <v>2.0</v>
      </c>
      <c r="I45" s="14">
        <v>1.0</v>
      </c>
      <c r="N45" s="7" t="s">
        <v>78</v>
      </c>
      <c r="O45" s="7" t="s">
        <v>94</v>
      </c>
      <c r="P45" s="7" t="s">
        <v>99</v>
      </c>
      <c r="Q45" s="8">
        <v>20304.0</v>
      </c>
      <c r="R45" s="9">
        <v>0.0</v>
      </c>
      <c r="S45" s="9">
        <v>0.0</v>
      </c>
      <c r="T45" s="9">
        <v>0.0</v>
      </c>
      <c r="U45" s="9">
        <v>1.0</v>
      </c>
      <c r="V45" s="9">
        <v>0.0</v>
      </c>
      <c r="W45" s="9">
        <v>1.0</v>
      </c>
    </row>
    <row r="46" ht="14.25" customHeight="1">
      <c r="A46" s="12" t="s">
        <v>100</v>
      </c>
      <c r="B46" s="13">
        <v>0.0</v>
      </c>
      <c r="C46" s="13">
        <v>0.0</v>
      </c>
      <c r="D46" s="13">
        <v>1.0</v>
      </c>
      <c r="E46" s="14">
        <v>0.0</v>
      </c>
      <c r="F46" s="14">
        <v>0.0</v>
      </c>
      <c r="G46" s="14">
        <v>1.0</v>
      </c>
      <c r="H46" s="14">
        <v>1.0</v>
      </c>
      <c r="I46" s="14">
        <v>2.0</v>
      </c>
      <c r="N46" s="7" t="s">
        <v>78</v>
      </c>
      <c r="O46" s="7" t="s">
        <v>94</v>
      </c>
      <c r="P46" s="7" t="s">
        <v>101</v>
      </c>
      <c r="Q46" s="8">
        <v>20305.0</v>
      </c>
      <c r="R46" s="9">
        <v>0.0</v>
      </c>
      <c r="S46" s="9">
        <v>0.0</v>
      </c>
      <c r="T46" s="9">
        <v>0.0</v>
      </c>
      <c r="U46" s="9">
        <v>0.0</v>
      </c>
      <c r="V46" s="9">
        <v>0.0</v>
      </c>
      <c r="W46" s="9">
        <v>0.0</v>
      </c>
    </row>
    <row r="47" ht="14.25" customHeight="1">
      <c r="A47" s="12" t="s">
        <v>102</v>
      </c>
      <c r="B47" s="13">
        <v>0.0</v>
      </c>
      <c r="C47" s="13">
        <v>1.0</v>
      </c>
      <c r="D47" s="13">
        <v>1.0</v>
      </c>
      <c r="E47" s="14">
        <v>1.0</v>
      </c>
      <c r="F47" s="14">
        <v>1.0</v>
      </c>
      <c r="G47" s="14">
        <v>1.0</v>
      </c>
      <c r="H47" s="14">
        <v>2.0</v>
      </c>
      <c r="I47" s="14">
        <v>1.0</v>
      </c>
      <c r="N47" s="7" t="s">
        <v>78</v>
      </c>
      <c r="O47" s="7" t="s">
        <v>94</v>
      </c>
      <c r="P47" s="7" t="s">
        <v>103</v>
      </c>
      <c r="Q47" s="8">
        <v>20306.0</v>
      </c>
      <c r="R47" s="9">
        <v>0.0</v>
      </c>
      <c r="S47" s="9">
        <v>0.0</v>
      </c>
      <c r="T47" s="9">
        <v>0.0</v>
      </c>
      <c r="U47" s="9">
        <v>0.0</v>
      </c>
      <c r="V47" s="9">
        <v>0.0</v>
      </c>
      <c r="W47" s="9">
        <v>0.0</v>
      </c>
    </row>
    <row r="48" ht="14.25" customHeight="1">
      <c r="A48" s="12" t="s">
        <v>54</v>
      </c>
      <c r="B48" s="13">
        <v>0.0</v>
      </c>
      <c r="C48" s="13">
        <v>2.0</v>
      </c>
      <c r="D48" s="13">
        <v>2.0</v>
      </c>
      <c r="E48" s="14">
        <v>0.0</v>
      </c>
      <c r="F48" s="14">
        <v>0.0</v>
      </c>
      <c r="G48" s="14">
        <v>1.0</v>
      </c>
      <c r="H48" s="14">
        <v>0.0</v>
      </c>
      <c r="I48" s="14">
        <v>1.0</v>
      </c>
      <c r="N48" s="7" t="s">
        <v>78</v>
      </c>
      <c r="O48" s="7" t="s">
        <v>94</v>
      </c>
      <c r="P48" s="7" t="s">
        <v>104</v>
      </c>
      <c r="Q48" s="8">
        <v>20307.0</v>
      </c>
      <c r="R48" s="9">
        <v>0.0</v>
      </c>
      <c r="S48" s="9">
        <v>0.0</v>
      </c>
      <c r="T48" s="9">
        <v>0.0</v>
      </c>
      <c r="U48" s="9">
        <v>0.0</v>
      </c>
      <c r="V48" s="9">
        <v>0.0</v>
      </c>
      <c r="W48" s="9">
        <v>1.0</v>
      </c>
    </row>
    <row r="49" ht="14.25" customHeight="1">
      <c r="A49" s="12" t="s">
        <v>21</v>
      </c>
      <c r="B49" s="13">
        <v>0.0</v>
      </c>
      <c r="C49" s="13">
        <v>0.0</v>
      </c>
      <c r="D49" s="13">
        <v>0.0</v>
      </c>
      <c r="E49" s="14">
        <v>3.0</v>
      </c>
      <c r="F49" s="14">
        <v>1.0</v>
      </c>
      <c r="G49" s="14">
        <v>0.0</v>
      </c>
      <c r="H49" s="14">
        <v>0.0</v>
      </c>
      <c r="I49" s="14">
        <v>2.0</v>
      </c>
      <c r="N49" s="7" t="s">
        <v>78</v>
      </c>
      <c r="O49" s="7" t="s">
        <v>94</v>
      </c>
      <c r="P49" s="7" t="s">
        <v>105</v>
      </c>
      <c r="Q49" s="8">
        <v>20308.0</v>
      </c>
      <c r="R49" s="9">
        <v>0.0</v>
      </c>
      <c r="S49" s="9">
        <v>0.0</v>
      </c>
      <c r="T49" s="9">
        <v>0.0</v>
      </c>
      <c r="U49" s="9">
        <v>1.0</v>
      </c>
      <c r="V49" s="9">
        <v>0.0</v>
      </c>
      <c r="W49" s="9">
        <v>1.0</v>
      </c>
    </row>
    <row r="50" ht="14.25" customHeight="1">
      <c r="A50" s="10" t="s">
        <v>106</v>
      </c>
      <c r="B50" s="11">
        <v>279.0</v>
      </c>
      <c r="C50" s="11">
        <v>303.0</v>
      </c>
      <c r="D50" s="11">
        <v>364.0</v>
      </c>
      <c r="E50" s="11">
        <v>454.0</v>
      </c>
      <c r="F50" s="11">
        <v>589.0</v>
      </c>
      <c r="G50" s="11">
        <v>620.0</v>
      </c>
      <c r="H50" s="11">
        <v>698.0</v>
      </c>
      <c r="I50" s="11">
        <v>651.0</v>
      </c>
      <c r="N50" s="7" t="s">
        <v>78</v>
      </c>
      <c r="O50" s="7" t="s">
        <v>107</v>
      </c>
      <c r="P50" s="7" t="s">
        <v>108</v>
      </c>
      <c r="Q50" s="8">
        <v>20401.0</v>
      </c>
      <c r="R50" s="9">
        <v>0.0</v>
      </c>
      <c r="S50" s="9">
        <v>0.0</v>
      </c>
      <c r="T50" s="9">
        <v>0.0</v>
      </c>
      <c r="U50" s="9">
        <v>4.0</v>
      </c>
      <c r="V50" s="9">
        <v>0.0</v>
      </c>
      <c r="W50" s="9">
        <v>1.0</v>
      </c>
    </row>
    <row r="51" ht="14.25" customHeight="1">
      <c r="A51" s="12" t="s">
        <v>109</v>
      </c>
      <c r="B51" s="13">
        <v>10.0</v>
      </c>
      <c r="C51" s="13">
        <v>19.0</v>
      </c>
      <c r="D51" s="13">
        <v>10.0</v>
      </c>
      <c r="E51" s="13">
        <v>3.0</v>
      </c>
      <c r="F51" s="13">
        <v>8.0</v>
      </c>
      <c r="G51" s="13">
        <v>7.0</v>
      </c>
      <c r="H51" s="13">
        <v>5.0</v>
      </c>
      <c r="I51" s="13">
        <v>2.0</v>
      </c>
      <c r="N51" s="7" t="s">
        <v>78</v>
      </c>
      <c r="O51" s="7" t="s">
        <v>107</v>
      </c>
      <c r="P51" s="7" t="s">
        <v>110</v>
      </c>
      <c r="Q51" s="8">
        <v>20402.0</v>
      </c>
      <c r="R51" s="9">
        <v>0.0</v>
      </c>
      <c r="S51" s="9">
        <v>0.0</v>
      </c>
      <c r="T51" s="9">
        <v>0.0</v>
      </c>
      <c r="U51" s="9">
        <v>0.0</v>
      </c>
      <c r="V51" s="9">
        <v>2.0</v>
      </c>
      <c r="W51" s="9">
        <v>0.0</v>
      </c>
    </row>
    <row r="52" ht="14.25" customHeight="1">
      <c r="A52" s="12" t="s">
        <v>111</v>
      </c>
      <c r="B52" s="13">
        <v>0.0</v>
      </c>
      <c r="C52" s="13">
        <v>0.0</v>
      </c>
      <c r="D52" s="13">
        <v>0.0</v>
      </c>
      <c r="E52" s="13">
        <v>0.0</v>
      </c>
      <c r="F52" s="13">
        <v>0.0</v>
      </c>
      <c r="G52" s="13">
        <v>0.0</v>
      </c>
      <c r="H52" s="13">
        <v>0.0</v>
      </c>
      <c r="I52" s="13">
        <v>0.0</v>
      </c>
      <c r="N52" s="7" t="s">
        <v>78</v>
      </c>
      <c r="O52" s="7" t="s">
        <v>107</v>
      </c>
      <c r="P52" s="7" t="s">
        <v>112</v>
      </c>
      <c r="Q52" s="8">
        <v>20403.0</v>
      </c>
      <c r="R52" s="9">
        <v>0.0</v>
      </c>
      <c r="S52" s="9">
        <v>0.0</v>
      </c>
      <c r="T52" s="9">
        <v>0.0</v>
      </c>
      <c r="U52" s="9">
        <v>0.0</v>
      </c>
      <c r="V52" s="9">
        <v>1.0</v>
      </c>
      <c r="W52" s="9">
        <v>1.0</v>
      </c>
    </row>
    <row r="53" ht="14.25" customHeight="1">
      <c r="A53" s="12" t="s">
        <v>113</v>
      </c>
      <c r="B53" s="13">
        <v>1.0</v>
      </c>
      <c r="C53" s="13">
        <v>0.0</v>
      </c>
      <c r="D53" s="13">
        <v>0.0</v>
      </c>
      <c r="E53" s="13">
        <v>1.0</v>
      </c>
      <c r="F53" s="13">
        <v>0.0</v>
      </c>
      <c r="G53" s="13">
        <v>0.0</v>
      </c>
      <c r="H53" s="13">
        <v>1.0</v>
      </c>
      <c r="I53" s="13">
        <v>0.0</v>
      </c>
      <c r="N53" s="7" t="s">
        <v>78</v>
      </c>
      <c r="O53" s="7" t="s">
        <v>107</v>
      </c>
      <c r="P53" s="7" t="s">
        <v>114</v>
      </c>
      <c r="Q53" s="8">
        <v>20404.0</v>
      </c>
      <c r="R53" s="9">
        <v>0.0</v>
      </c>
      <c r="S53" s="9">
        <v>0.0</v>
      </c>
      <c r="T53" s="9">
        <v>0.0</v>
      </c>
      <c r="U53" s="9">
        <v>0.0</v>
      </c>
      <c r="V53" s="9">
        <v>0.0</v>
      </c>
      <c r="W53" s="9">
        <v>0.0</v>
      </c>
    </row>
    <row r="54" ht="14.25" customHeight="1">
      <c r="A54" s="12" t="s">
        <v>115</v>
      </c>
      <c r="B54" s="13">
        <v>0.0</v>
      </c>
      <c r="C54" s="13">
        <v>0.0</v>
      </c>
      <c r="D54" s="13">
        <v>0.0</v>
      </c>
      <c r="E54" s="13">
        <v>0.0</v>
      </c>
      <c r="F54" s="13">
        <v>1.0</v>
      </c>
      <c r="G54" s="13">
        <v>2.0</v>
      </c>
      <c r="H54" s="13">
        <v>0.0</v>
      </c>
      <c r="I54" s="13">
        <v>1.0</v>
      </c>
      <c r="N54" s="7" t="s">
        <v>78</v>
      </c>
      <c r="O54" s="7" t="s">
        <v>107</v>
      </c>
      <c r="P54" s="7" t="s">
        <v>116</v>
      </c>
      <c r="Q54" s="8">
        <v>20405.0</v>
      </c>
      <c r="R54" s="9">
        <v>0.0</v>
      </c>
      <c r="S54" s="9">
        <v>0.0</v>
      </c>
      <c r="T54" s="9">
        <v>0.0</v>
      </c>
      <c r="U54" s="9">
        <v>0.0</v>
      </c>
      <c r="V54" s="9">
        <v>0.0</v>
      </c>
      <c r="W54" s="9">
        <v>0.0</v>
      </c>
    </row>
    <row r="55" ht="14.25" customHeight="1">
      <c r="A55" s="12" t="s">
        <v>117</v>
      </c>
      <c r="B55" s="13">
        <v>0.0</v>
      </c>
      <c r="C55" s="13">
        <v>0.0</v>
      </c>
      <c r="D55" s="13">
        <v>0.0</v>
      </c>
      <c r="E55" s="13">
        <v>0.0</v>
      </c>
      <c r="F55" s="13">
        <v>0.0</v>
      </c>
      <c r="G55" s="13">
        <v>4.0</v>
      </c>
      <c r="H55" s="13">
        <v>1.0</v>
      </c>
      <c r="I55" s="13">
        <v>0.0</v>
      </c>
      <c r="N55" s="7" t="s">
        <v>78</v>
      </c>
      <c r="O55" s="7" t="s">
        <v>118</v>
      </c>
      <c r="P55" s="7" t="s">
        <v>119</v>
      </c>
      <c r="Q55" s="8">
        <v>20501.0</v>
      </c>
      <c r="R55" s="9">
        <v>0.0</v>
      </c>
      <c r="S55" s="9">
        <v>0.0</v>
      </c>
      <c r="T55" s="9">
        <v>0.0</v>
      </c>
      <c r="U55" s="9">
        <v>1.0</v>
      </c>
      <c r="V55" s="9">
        <v>0.0</v>
      </c>
      <c r="W55" s="9">
        <v>1.0</v>
      </c>
    </row>
    <row r="56" ht="14.25" customHeight="1">
      <c r="A56" s="12" t="s">
        <v>120</v>
      </c>
      <c r="B56" s="13">
        <v>0.0</v>
      </c>
      <c r="C56" s="13">
        <v>0.0</v>
      </c>
      <c r="D56" s="13">
        <v>0.0</v>
      </c>
      <c r="E56" s="13">
        <v>0.0</v>
      </c>
      <c r="F56" s="13">
        <v>1.0</v>
      </c>
      <c r="G56" s="13">
        <v>2.0</v>
      </c>
      <c r="H56" s="13">
        <v>2.0</v>
      </c>
      <c r="I56" s="13">
        <v>1.0</v>
      </c>
      <c r="N56" s="7" t="s">
        <v>78</v>
      </c>
      <c r="O56" s="7" t="s">
        <v>118</v>
      </c>
      <c r="P56" s="7" t="s">
        <v>121</v>
      </c>
      <c r="Q56" s="8">
        <v>20502.0</v>
      </c>
      <c r="R56" s="9">
        <v>0.0</v>
      </c>
      <c r="S56" s="9">
        <v>0.0</v>
      </c>
      <c r="T56" s="9">
        <v>0.0</v>
      </c>
      <c r="U56" s="9">
        <v>1.0</v>
      </c>
      <c r="V56" s="9">
        <v>0.0</v>
      </c>
      <c r="W56" s="9">
        <v>0.0</v>
      </c>
    </row>
    <row r="57" ht="14.25" customHeight="1">
      <c r="A57" s="12" t="s">
        <v>122</v>
      </c>
      <c r="B57" s="13">
        <v>0.0</v>
      </c>
      <c r="C57" s="13">
        <v>0.0</v>
      </c>
      <c r="D57" s="13">
        <v>0.0</v>
      </c>
      <c r="E57" s="13">
        <v>1.0</v>
      </c>
      <c r="F57" s="13">
        <v>2.0</v>
      </c>
      <c r="G57" s="13">
        <v>2.0</v>
      </c>
      <c r="H57" s="13">
        <v>1.0</v>
      </c>
      <c r="I57" s="13">
        <v>4.0</v>
      </c>
      <c r="N57" s="7" t="s">
        <v>78</v>
      </c>
      <c r="O57" s="7" t="s">
        <v>118</v>
      </c>
      <c r="P57" s="7" t="s">
        <v>123</v>
      </c>
      <c r="Q57" s="8">
        <v>20503.0</v>
      </c>
      <c r="R57" s="9">
        <v>0.0</v>
      </c>
      <c r="S57" s="9">
        <v>1.0</v>
      </c>
      <c r="T57" s="9">
        <v>0.0</v>
      </c>
      <c r="U57" s="9">
        <v>0.0</v>
      </c>
      <c r="V57" s="9">
        <v>0.0</v>
      </c>
      <c r="W57" s="9">
        <v>2.0</v>
      </c>
    </row>
    <row r="58" ht="14.25" customHeight="1">
      <c r="A58" s="12" t="s">
        <v>124</v>
      </c>
      <c r="B58" s="13">
        <v>0.0</v>
      </c>
      <c r="C58" s="13">
        <v>0.0</v>
      </c>
      <c r="D58" s="13">
        <v>0.0</v>
      </c>
      <c r="E58" s="13">
        <v>1.0</v>
      </c>
      <c r="F58" s="13">
        <v>0.0</v>
      </c>
      <c r="G58" s="13">
        <v>0.0</v>
      </c>
      <c r="H58" s="13">
        <v>0.0</v>
      </c>
      <c r="I58" s="13">
        <v>1.0</v>
      </c>
      <c r="N58" s="7" t="s">
        <v>78</v>
      </c>
      <c r="O58" s="7" t="s">
        <v>125</v>
      </c>
      <c r="P58" s="7" t="s">
        <v>126</v>
      </c>
      <c r="Q58" s="8">
        <v>20601.0</v>
      </c>
      <c r="R58" s="9">
        <v>0.0</v>
      </c>
      <c r="S58" s="9">
        <v>0.0</v>
      </c>
      <c r="T58" s="9">
        <v>0.0</v>
      </c>
      <c r="U58" s="9">
        <v>1.0</v>
      </c>
      <c r="V58" s="9">
        <v>4.0</v>
      </c>
      <c r="W58" s="9">
        <v>2.0</v>
      </c>
    </row>
    <row r="59" ht="14.25" customHeight="1">
      <c r="A59" s="12" t="s">
        <v>127</v>
      </c>
      <c r="B59" s="13">
        <v>0.0</v>
      </c>
      <c r="C59" s="13">
        <v>2.0</v>
      </c>
      <c r="D59" s="13">
        <v>1.0</v>
      </c>
      <c r="E59" s="13">
        <v>1.0</v>
      </c>
      <c r="F59" s="13">
        <v>2.0</v>
      </c>
      <c r="G59" s="13">
        <v>0.0</v>
      </c>
      <c r="H59" s="13">
        <v>0.0</v>
      </c>
      <c r="I59" s="13">
        <v>3.0</v>
      </c>
      <c r="N59" s="7" t="s">
        <v>78</v>
      </c>
      <c r="O59" s="7" t="s">
        <v>125</v>
      </c>
      <c r="P59" s="7" t="s">
        <v>128</v>
      </c>
      <c r="Q59" s="8">
        <v>20602.0</v>
      </c>
      <c r="R59" s="9">
        <v>1.0</v>
      </c>
      <c r="S59" s="9">
        <v>3.0</v>
      </c>
      <c r="T59" s="9">
        <v>1.0</v>
      </c>
      <c r="U59" s="9">
        <v>8.0</v>
      </c>
      <c r="V59" s="9">
        <v>9.0</v>
      </c>
      <c r="W59" s="9">
        <v>10.0</v>
      </c>
    </row>
    <row r="60" ht="14.25" customHeight="1">
      <c r="A60" s="12" t="s">
        <v>129</v>
      </c>
      <c r="B60" s="13">
        <v>7.0</v>
      </c>
      <c r="C60" s="13">
        <v>2.0</v>
      </c>
      <c r="D60" s="13">
        <v>2.0</v>
      </c>
      <c r="E60" s="13">
        <v>2.0</v>
      </c>
      <c r="F60" s="13">
        <v>12.0</v>
      </c>
      <c r="G60" s="13">
        <v>20.0</v>
      </c>
      <c r="H60" s="13">
        <v>9.0</v>
      </c>
      <c r="I60" s="13">
        <v>18.0</v>
      </c>
      <c r="N60" s="7" t="s">
        <v>78</v>
      </c>
      <c r="O60" s="7" t="s">
        <v>125</v>
      </c>
      <c r="P60" s="7" t="s">
        <v>130</v>
      </c>
      <c r="Q60" s="8">
        <v>20603.0</v>
      </c>
      <c r="R60" s="9">
        <v>0.0</v>
      </c>
      <c r="S60" s="9">
        <v>0.0</v>
      </c>
      <c r="T60" s="9">
        <v>0.0</v>
      </c>
      <c r="U60" s="9">
        <v>2.0</v>
      </c>
      <c r="V60" s="9">
        <v>2.0</v>
      </c>
      <c r="W60" s="9">
        <v>3.0</v>
      </c>
    </row>
    <row r="61" ht="14.25" customHeight="1">
      <c r="A61" s="12" t="s">
        <v>131</v>
      </c>
      <c r="B61" s="13">
        <v>1.0</v>
      </c>
      <c r="C61" s="13">
        <v>1.0</v>
      </c>
      <c r="D61" s="13">
        <v>3.0</v>
      </c>
      <c r="E61" s="13">
        <v>2.0</v>
      </c>
      <c r="F61" s="13">
        <v>4.0</v>
      </c>
      <c r="G61" s="13">
        <v>5.0</v>
      </c>
      <c r="H61" s="13">
        <v>5.0</v>
      </c>
      <c r="I61" s="13">
        <v>3.0</v>
      </c>
      <c r="N61" s="7" t="s">
        <v>78</v>
      </c>
      <c r="O61" s="7" t="s">
        <v>125</v>
      </c>
      <c r="P61" s="7" t="s">
        <v>132</v>
      </c>
      <c r="Q61" s="8">
        <v>20604.0</v>
      </c>
      <c r="R61" s="9">
        <v>0.0</v>
      </c>
      <c r="S61" s="9">
        <v>0.0</v>
      </c>
      <c r="T61" s="9">
        <v>0.0</v>
      </c>
      <c r="U61" s="9">
        <v>0.0</v>
      </c>
      <c r="V61" s="9">
        <v>1.0</v>
      </c>
      <c r="W61" s="9">
        <v>0.0</v>
      </c>
    </row>
    <row r="62" ht="14.25" customHeight="1">
      <c r="A62" s="12" t="s">
        <v>133</v>
      </c>
      <c r="B62" s="13">
        <v>196.0</v>
      </c>
      <c r="C62" s="13">
        <v>213.0</v>
      </c>
      <c r="D62" s="13">
        <v>286.0</v>
      </c>
      <c r="E62" s="13">
        <v>259.0</v>
      </c>
      <c r="F62" s="13">
        <v>290.0</v>
      </c>
      <c r="G62" s="13">
        <v>321.0</v>
      </c>
      <c r="H62" s="13">
        <v>350.0</v>
      </c>
      <c r="I62" s="13">
        <v>319.0</v>
      </c>
      <c r="N62" s="7" t="s">
        <v>78</v>
      </c>
      <c r="O62" s="7" t="s">
        <v>125</v>
      </c>
      <c r="P62" s="7" t="s">
        <v>134</v>
      </c>
      <c r="Q62" s="8">
        <v>20605.0</v>
      </c>
      <c r="R62" s="9">
        <v>0.0</v>
      </c>
      <c r="S62" s="9">
        <v>0.0</v>
      </c>
      <c r="T62" s="9">
        <v>0.0</v>
      </c>
      <c r="U62" s="9">
        <v>0.0</v>
      </c>
      <c r="V62" s="9">
        <v>0.0</v>
      </c>
      <c r="W62" s="9">
        <v>0.0</v>
      </c>
    </row>
    <row r="63" ht="14.25" customHeight="1">
      <c r="A63" s="12" t="s">
        <v>135</v>
      </c>
      <c r="B63" s="13">
        <v>4.0</v>
      </c>
      <c r="C63" s="13">
        <v>6.0</v>
      </c>
      <c r="D63" s="13">
        <v>5.0</v>
      </c>
      <c r="E63" s="13">
        <v>21.0</v>
      </c>
      <c r="F63" s="13">
        <v>8.0</v>
      </c>
      <c r="G63" s="13">
        <v>12.0</v>
      </c>
      <c r="H63" s="13">
        <v>17.0</v>
      </c>
      <c r="I63" s="13">
        <v>20.0</v>
      </c>
      <c r="N63" s="7" t="s">
        <v>78</v>
      </c>
      <c r="O63" s="7" t="s">
        <v>125</v>
      </c>
      <c r="P63" s="7" t="s">
        <v>136</v>
      </c>
      <c r="Q63" s="8">
        <v>20606.0</v>
      </c>
      <c r="R63" s="9">
        <v>0.0</v>
      </c>
      <c r="S63" s="9">
        <v>1.0</v>
      </c>
      <c r="T63" s="9">
        <v>1.0</v>
      </c>
      <c r="U63" s="9">
        <v>4.0</v>
      </c>
      <c r="V63" s="9">
        <v>1.0</v>
      </c>
      <c r="W63" s="9">
        <v>2.0</v>
      </c>
    </row>
    <row r="64" ht="14.25" customHeight="1">
      <c r="A64" s="12" t="s">
        <v>137</v>
      </c>
      <c r="B64" s="13">
        <v>0.0</v>
      </c>
      <c r="C64" s="13">
        <v>1.0</v>
      </c>
      <c r="D64" s="13">
        <v>0.0</v>
      </c>
      <c r="E64" s="13">
        <v>0.0</v>
      </c>
      <c r="F64" s="13">
        <v>0.0</v>
      </c>
      <c r="G64" s="13">
        <v>2.0</v>
      </c>
      <c r="H64" s="13">
        <v>5.0</v>
      </c>
      <c r="I64" s="13">
        <v>3.0</v>
      </c>
      <c r="N64" s="7" t="s">
        <v>78</v>
      </c>
      <c r="O64" s="7" t="s">
        <v>125</v>
      </c>
      <c r="P64" s="7" t="s">
        <v>138</v>
      </c>
      <c r="Q64" s="8">
        <v>20607.0</v>
      </c>
      <c r="R64" s="9">
        <v>0.0</v>
      </c>
      <c r="S64" s="9">
        <v>0.0</v>
      </c>
      <c r="T64" s="9">
        <v>0.0</v>
      </c>
      <c r="U64" s="9">
        <v>0.0</v>
      </c>
      <c r="V64" s="9">
        <v>0.0</v>
      </c>
      <c r="W64" s="9">
        <v>0.0</v>
      </c>
    </row>
    <row r="65" ht="14.25" customHeight="1">
      <c r="A65" s="12" t="s">
        <v>139</v>
      </c>
      <c r="B65" s="13">
        <v>1.0</v>
      </c>
      <c r="C65" s="13">
        <v>1.0</v>
      </c>
      <c r="D65" s="13">
        <v>1.0</v>
      </c>
      <c r="E65" s="13">
        <v>5.0</v>
      </c>
      <c r="F65" s="13">
        <v>5.0</v>
      </c>
      <c r="G65" s="13">
        <v>6.0</v>
      </c>
      <c r="H65" s="13">
        <v>2.0</v>
      </c>
      <c r="I65" s="13">
        <v>1.0</v>
      </c>
      <c r="N65" s="7" t="s">
        <v>78</v>
      </c>
      <c r="O65" s="7" t="s">
        <v>125</v>
      </c>
      <c r="P65" s="7" t="s">
        <v>140</v>
      </c>
      <c r="Q65" s="8">
        <v>20608.0</v>
      </c>
      <c r="R65" s="9">
        <v>0.0</v>
      </c>
      <c r="S65" s="9">
        <v>0.0</v>
      </c>
      <c r="T65" s="9">
        <v>0.0</v>
      </c>
      <c r="U65" s="9">
        <v>0.0</v>
      </c>
      <c r="V65" s="9">
        <v>0.0</v>
      </c>
      <c r="W65" s="9">
        <v>0.0</v>
      </c>
    </row>
    <row r="66" ht="14.25" customHeight="1">
      <c r="A66" s="12" t="s">
        <v>141</v>
      </c>
      <c r="B66" s="13">
        <v>0.0</v>
      </c>
      <c r="C66" s="13">
        <v>0.0</v>
      </c>
      <c r="D66" s="13">
        <v>0.0</v>
      </c>
      <c r="E66" s="13">
        <v>0.0</v>
      </c>
      <c r="F66" s="13">
        <v>0.0</v>
      </c>
      <c r="G66" s="13">
        <v>0.0</v>
      </c>
      <c r="H66" s="13">
        <v>1.0</v>
      </c>
      <c r="I66" s="13">
        <v>1.0</v>
      </c>
      <c r="N66" s="7" t="s">
        <v>78</v>
      </c>
      <c r="O66" s="7" t="s">
        <v>142</v>
      </c>
      <c r="P66" s="7" t="s">
        <v>143</v>
      </c>
      <c r="Q66" s="8">
        <v>20701.0</v>
      </c>
      <c r="R66" s="9">
        <v>0.0</v>
      </c>
      <c r="S66" s="9">
        <v>0.0</v>
      </c>
      <c r="T66" s="9">
        <v>0.0</v>
      </c>
      <c r="U66" s="9">
        <v>2.0</v>
      </c>
      <c r="V66" s="9">
        <v>4.0</v>
      </c>
      <c r="W66" s="9">
        <v>1.0</v>
      </c>
    </row>
    <row r="67" ht="14.25" customHeight="1">
      <c r="A67" s="12" t="s">
        <v>144</v>
      </c>
      <c r="B67" s="13">
        <v>0.0</v>
      </c>
      <c r="C67" s="13">
        <v>0.0</v>
      </c>
      <c r="D67" s="13">
        <v>0.0</v>
      </c>
      <c r="E67" s="13">
        <v>0.0</v>
      </c>
      <c r="F67" s="13">
        <v>0.0</v>
      </c>
      <c r="G67" s="13">
        <v>0.0</v>
      </c>
      <c r="H67" s="13">
        <v>1.0</v>
      </c>
      <c r="I67" s="13">
        <v>1.0</v>
      </c>
      <c r="N67" s="7" t="s">
        <v>78</v>
      </c>
      <c r="O67" s="7" t="s">
        <v>142</v>
      </c>
      <c r="P67" s="7" t="s">
        <v>145</v>
      </c>
      <c r="Q67" s="8">
        <v>20702.0</v>
      </c>
      <c r="R67" s="9">
        <v>0.0</v>
      </c>
      <c r="S67" s="9">
        <v>0.0</v>
      </c>
      <c r="T67" s="9">
        <v>0.0</v>
      </c>
      <c r="U67" s="9">
        <v>0.0</v>
      </c>
      <c r="V67" s="9">
        <v>0.0</v>
      </c>
      <c r="W67" s="9">
        <v>1.0</v>
      </c>
    </row>
    <row r="68" ht="14.25" customHeight="1">
      <c r="A68" s="12" t="s">
        <v>146</v>
      </c>
      <c r="B68" s="13">
        <v>0.0</v>
      </c>
      <c r="C68" s="13">
        <v>0.0</v>
      </c>
      <c r="D68" s="13">
        <v>0.0</v>
      </c>
      <c r="E68" s="13">
        <v>0.0</v>
      </c>
      <c r="F68" s="13">
        <v>0.0</v>
      </c>
      <c r="G68" s="13">
        <v>0.0</v>
      </c>
      <c r="H68" s="13">
        <v>2.0</v>
      </c>
      <c r="I68" s="13">
        <v>1.0</v>
      </c>
      <c r="N68" s="7" t="s">
        <v>78</v>
      </c>
      <c r="O68" s="7" t="s">
        <v>147</v>
      </c>
      <c r="P68" s="7" t="s">
        <v>148</v>
      </c>
      <c r="Q68" s="8">
        <v>20801.0</v>
      </c>
      <c r="R68" s="9">
        <v>2.0</v>
      </c>
      <c r="S68" s="9">
        <v>0.0</v>
      </c>
      <c r="T68" s="9">
        <v>6.0</v>
      </c>
      <c r="U68" s="9">
        <v>9.0</v>
      </c>
      <c r="V68" s="9">
        <v>12.0</v>
      </c>
      <c r="W68" s="9">
        <v>25.0</v>
      </c>
    </row>
    <row r="69" ht="14.25" customHeight="1">
      <c r="A69" s="12" t="s">
        <v>149</v>
      </c>
      <c r="B69" s="13">
        <v>0.0</v>
      </c>
      <c r="C69" s="13">
        <v>0.0</v>
      </c>
      <c r="D69" s="13">
        <v>0.0</v>
      </c>
      <c r="E69" s="13">
        <v>0.0</v>
      </c>
      <c r="F69" s="13">
        <v>0.0</v>
      </c>
      <c r="G69" s="13">
        <v>2.0</v>
      </c>
      <c r="H69" s="13">
        <v>0.0</v>
      </c>
      <c r="I69" s="13">
        <v>4.0</v>
      </c>
      <c r="N69" s="7" t="s">
        <v>78</v>
      </c>
      <c r="O69" s="7" t="s">
        <v>147</v>
      </c>
      <c r="P69" s="7" t="s">
        <v>150</v>
      </c>
      <c r="Q69" s="8">
        <v>20802.0</v>
      </c>
      <c r="R69" s="9">
        <v>1.0</v>
      </c>
      <c r="S69" s="9">
        <v>0.0</v>
      </c>
      <c r="T69" s="9">
        <v>0.0</v>
      </c>
      <c r="U69" s="9">
        <v>0.0</v>
      </c>
      <c r="V69" s="9">
        <v>0.0</v>
      </c>
      <c r="W69" s="9">
        <v>0.0</v>
      </c>
    </row>
    <row r="70" ht="14.25" customHeight="1">
      <c r="A70" s="12" t="s">
        <v>151</v>
      </c>
      <c r="B70" s="13">
        <v>0.0</v>
      </c>
      <c r="C70" s="13">
        <v>0.0</v>
      </c>
      <c r="D70" s="13">
        <v>0.0</v>
      </c>
      <c r="E70" s="13">
        <v>15.0</v>
      </c>
      <c r="F70" s="13">
        <v>37.0</v>
      </c>
      <c r="G70" s="13">
        <v>28.0</v>
      </c>
      <c r="H70" s="13">
        <v>20.0</v>
      </c>
      <c r="I70" s="13">
        <v>18.0</v>
      </c>
      <c r="N70" s="7" t="s">
        <v>78</v>
      </c>
      <c r="O70" s="7" t="s">
        <v>147</v>
      </c>
      <c r="P70" s="7" t="s">
        <v>152</v>
      </c>
      <c r="Q70" s="8">
        <v>20803.0</v>
      </c>
      <c r="R70" s="9">
        <v>0.0</v>
      </c>
      <c r="S70" s="9">
        <v>0.0</v>
      </c>
      <c r="T70" s="9">
        <v>0.0</v>
      </c>
      <c r="U70" s="9">
        <v>2.0</v>
      </c>
      <c r="V70" s="9">
        <v>3.0</v>
      </c>
      <c r="W70" s="9">
        <v>1.0</v>
      </c>
    </row>
    <row r="71" ht="14.25" customHeight="1">
      <c r="A71" s="12" t="s">
        <v>153</v>
      </c>
      <c r="B71" s="13">
        <v>1.0</v>
      </c>
      <c r="C71" s="13">
        <v>6.0</v>
      </c>
      <c r="D71" s="13">
        <v>4.0</v>
      </c>
      <c r="E71" s="13">
        <v>43.0</v>
      </c>
      <c r="F71" s="13">
        <v>85.0</v>
      </c>
      <c r="G71" s="13">
        <v>53.0</v>
      </c>
      <c r="H71" s="13">
        <v>77.0</v>
      </c>
      <c r="I71" s="13">
        <v>66.0</v>
      </c>
      <c r="N71" s="7" t="s">
        <v>78</v>
      </c>
      <c r="O71" s="7" t="s">
        <v>147</v>
      </c>
      <c r="P71" s="7" t="s">
        <v>154</v>
      </c>
      <c r="Q71" s="8">
        <v>20804.0</v>
      </c>
      <c r="R71" s="9">
        <v>0.0</v>
      </c>
      <c r="S71" s="9">
        <v>0.0</v>
      </c>
      <c r="T71" s="9">
        <v>0.0</v>
      </c>
      <c r="U71" s="9">
        <v>1.0</v>
      </c>
      <c r="V71" s="9">
        <v>0.0</v>
      </c>
      <c r="W71" s="9">
        <v>0.0</v>
      </c>
    </row>
    <row r="72" ht="14.25" customHeight="1">
      <c r="A72" s="12" t="s">
        <v>155</v>
      </c>
      <c r="B72" s="13">
        <v>3.0</v>
      </c>
      <c r="C72" s="13">
        <v>6.0</v>
      </c>
      <c r="D72" s="13">
        <v>1.0</v>
      </c>
      <c r="E72" s="13">
        <v>6.0</v>
      </c>
      <c r="F72" s="13">
        <v>7.0</v>
      </c>
      <c r="G72" s="13">
        <v>8.0</v>
      </c>
      <c r="H72" s="13">
        <v>6.0</v>
      </c>
      <c r="I72" s="13">
        <v>7.0</v>
      </c>
      <c r="N72" s="7" t="s">
        <v>78</v>
      </c>
      <c r="O72" s="7" t="s">
        <v>147</v>
      </c>
      <c r="P72" s="7" t="s">
        <v>156</v>
      </c>
      <c r="Q72" s="8">
        <v>20805.0</v>
      </c>
      <c r="R72" s="9">
        <v>0.0</v>
      </c>
      <c r="S72" s="9">
        <v>0.0</v>
      </c>
      <c r="T72" s="9">
        <v>0.0</v>
      </c>
      <c r="U72" s="9">
        <v>0.0</v>
      </c>
      <c r="V72" s="9">
        <v>0.0</v>
      </c>
      <c r="W72" s="9">
        <v>0.0</v>
      </c>
    </row>
    <row r="73" ht="14.25" customHeight="1">
      <c r="A73" s="12" t="s">
        <v>157</v>
      </c>
      <c r="B73" s="13">
        <v>23.0</v>
      </c>
      <c r="C73" s="13">
        <v>14.0</v>
      </c>
      <c r="D73" s="13">
        <v>16.0</v>
      </c>
      <c r="E73" s="13">
        <v>20.0</v>
      </c>
      <c r="F73" s="13">
        <v>27.0</v>
      </c>
      <c r="G73" s="13">
        <v>40.0</v>
      </c>
      <c r="H73" s="13">
        <v>63.0</v>
      </c>
      <c r="I73" s="13">
        <v>31.0</v>
      </c>
      <c r="N73" s="7" t="s">
        <v>78</v>
      </c>
      <c r="O73" s="7" t="s">
        <v>147</v>
      </c>
      <c r="P73" s="7" t="s">
        <v>158</v>
      </c>
      <c r="Q73" s="8">
        <v>20806.0</v>
      </c>
      <c r="R73" s="9">
        <v>0.0</v>
      </c>
      <c r="S73" s="9">
        <v>0.0</v>
      </c>
      <c r="T73" s="9">
        <v>0.0</v>
      </c>
      <c r="U73" s="9">
        <v>0.0</v>
      </c>
      <c r="V73" s="9">
        <v>0.0</v>
      </c>
      <c r="W73" s="9">
        <v>0.0</v>
      </c>
    </row>
    <row r="74" ht="14.25" customHeight="1">
      <c r="A74" s="12" t="s">
        <v>159</v>
      </c>
      <c r="B74" s="13">
        <v>13.0</v>
      </c>
      <c r="C74" s="13">
        <v>15.0</v>
      </c>
      <c r="D74" s="13">
        <v>12.0</v>
      </c>
      <c r="E74" s="13">
        <v>32.0</v>
      </c>
      <c r="F74" s="13">
        <v>28.0</v>
      </c>
      <c r="G74" s="13">
        <v>26.0</v>
      </c>
      <c r="H74" s="13">
        <v>53.0</v>
      </c>
      <c r="I74" s="13">
        <v>65.0</v>
      </c>
      <c r="N74" s="7" t="s">
        <v>78</v>
      </c>
      <c r="O74" s="7" t="s">
        <v>147</v>
      </c>
      <c r="P74" s="7" t="s">
        <v>160</v>
      </c>
      <c r="Q74" s="8">
        <v>20807.0</v>
      </c>
      <c r="R74" s="9">
        <v>0.0</v>
      </c>
      <c r="S74" s="9">
        <v>0.0</v>
      </c>
      <c r="T74" s="9">
        <v>0.0</v>
      </c>
      <c r="U74" s="9">
        <v>0.0</v>
      </c>
      <c r="V74" s="9">
        <v>0.0</v>
      </c>
      <c r="W74" s="9">
        <v>0.0</v>
      </c>
    </row>
    <row r="75" ht="14.25" customHeight="1">
      <c r="A75" s="12" t="s">
        <v>161</v>
      </c>
      <c r="B75" s="13">
        <v>0.0</v>
      </c>
      <c r="C75" s="13">
        <v>0.0</v>
      </c>
      <c r="D75" s="13">
        <v>0.0</v>
      </c>
      <c r="E75" s="13">
        <v>0.0</v>
      </c>
      <c r="F75" s="13">
        <v>0.0</v>
      </c>
      <c r="G75" s="13">
        <v>1.0</v>
      </c>
      <c r="H75" s="13">
        <v>0.0</v>
      </c>
      <c r="I75" s="13">
        <v>0.0</v>
      </c>
      <c r="N75" s="7" t="s">
        <v>78</v>
      </c>
      <c r="O75" s="7" t="s">
        <v>162</v>
      </c>
      <c r="P75" s="7" t="s">
        <v>163</v>
      </c>
      <c r="Q75" s="8">
        <v>20901.0</v>
      </c>
      <c r="R75" s="9">
        <v>0.0</v>
      </c>
      <c r="S75" s="9">
        <v>0.0</v>
      </c>
      <c r="T75" s="9">
        <v>0.0</v>
      </c>
      <c r="U75" s="9">
        <v>0.0</v>
      </c>
      <c r="V75" s="9">
        <v>2.0</v>
      </c>
      <c r="W75" s="9">
        <v>1.0</v>
      </c>
    </row>
    <row r="76" ht="14.25" customHeight="1">
      <c r="A76" s="12" t="s">
        <v>164</v>
      </c>
      <c r="B76" s="13">
        <v>0.0</v>
      </c>
      <c r="C76" s="13">
        <v>0.0</v>
      </c>
      <c r="D76" s="13">
        <v>0.0</v>
      </c>
      <c r="E76" s="13">
        <v>0.0</v>
      </c>
      <c r="F76" s="13">
        <v>0.0</v>
      </c>
      <c r="G76" s="13">
        <v>0.0</v>
      </c>
      <c r="H76" s="13">
        <v>0.0</v>
      </c>
      <c r="I76" s="13">
        <v>2.0</v>
      </c>
      <c r="N76" s="7" t="s">
        <v>78</v>
      </c>
      <c r="O76" s="7" t="s">
        <v>162</v>
      </c>
      <c r="P76" s="7" t="s">
        <v>165</v>
      </c>
      <c r="Q76" s="8">
        <v>20902.0</v>
      </c>
      <c r="R76" s="9">
        <v>0.0</v>
      </c>
      <c r="S76" s="9">
        <v>0.0</v>
      </c>
      <c r="T76" s="9">
        <v>0.0</v>
      </c>
      <c r="U76" s="9">
        <v>1.0</v>
      </c>
      <c r="V76" s="9">
        <v>1.0</v>
      </c>
      <c r="W76" s="9">
        <v>2.0</v>
      </c>
    </row>
    <row r="77" ht="14.25" customHeight="1">
      <c r="A77" s="12" t="s">
        <v>166</v>
      </c>
      <c r="B77" s="13">
        <v>0.0</v>
      </c>
      <c r="C77" s="13">
        <v>0.0</v>
      </c>
      <c r="D77" s="13">
        <v>0.0</v>
      </c>
      <c r="E77" s="13">
        <v>2.0</v>
      </c>
      <c r="F77" s="13">
        <v>0.0</v>
      </c>
      <c r="G77" s="13">
        <v>2.0</v>
      </c>
      <c r="H77" s="13">
        <v>0.0</v>
      </c>
      <c r="I77" s="13">
        <v>1.0</v>
      </c>
      <c r="N77" s="7" t="s">
        <v>78</v>
      </c>
      <c r="O77" s="7" t="s">
        <v>162</v>
      </c>
      <c r="P77" s="7" t="s">
        <v>167</v>
      </c>
      <c r="Q77" s="8">
        <v>20903.0</v>
      </c>
      <c r="R77" s="9">
        <v>0.0</v>
      </c>
      <c r="S77" s="9">
        <v>0.0</v>
      </c>
      <c r="T77" s="9">
        <v>0.0</v>
      </c>
      <c r="U77" s="9">
        <v>0.0</v>
      </c>
      <c r="V77" s="9">
        <v>0.0</v>
      </c>
      <c r="W77" s="9">
        <v>0.0</v>
      </c>
    </row>
    <row r="78" ht="14.25" customHeight="1">
      <c r="A78" s="12" t="s">
        <v>168</v>
      </c>
      <c r="B78" s="13">
        <v>0.0</v>
      </c>
      <c r="C78" s="13">
        <v>1.0</v>
      </c>
      <c r="D78" s="13">
        <v>0.0</v>
      </c>
      <c r="E78" s="13">
        <v>0.0</v>
      </c>
      <c r="F78" s="13">
        <v>0.0</v>
      </c>
      <c r="G78" s="13">
        <v>1.0</v>
      </c>
      <c r="H78" s="13">
        <v>2.0</v>
      </c>
      <c r="I78" s="13">
        <v>2.0</v>
      </c>
      <c r="N78" s="7" t="s">
        <v>78</v>
      </c>
      <c r="O78" s="7" t="s">
        <v>162</v>
      </c>
      <c r="P78" s="7" t="s">
        <v>169</v>
      </c>
      <c r="Q78" s="8">
        <v>20904.0</v>
      </c>
      <c r="R78" s="9">
        <v>0.0</v>
      </c>
      <c r="S78" s="9">
        <v>0.0</v>
      </c>
      <c r="T78" s="9">
        <v>0.0</v>
      </c>
      <c r="U78" s="9">
        <v>2.0</v>
      </c>
      <c r="V78" s="9">
        <v>0.0</v>
      </c>
      <c r="W78" s="9">
        <v>0.0</v>
      </c>
    </row>
    <row r="79" ht="14.25" customHeight="1">
      <c r="A79" s="12" t="s">
        <v>170</v>
      </c>
      <c r="B79" s="13">
        <v>0.0</v>
      </c>
      <c r="C79" s="13">
        <v>0.0</v>
      </c>
      <c r="D79" s="13">
        <v>0.0</v>
      </c>
      <c r="E79" s="13">
        <v>0.0</v>
      </c>
      <c r="F79" s="13">
        <v>0.0</v>
      </c>
      <c r="G79" s="13">
        <v>0.0</v>
      </c>
      <c r="H79" s="13">
        <v>1.0</v>
      </c>
      <c r="I79" s="13">
        <v>0.0</v>
      </c>
      <c r="N79" s="7" t="s">
        <v>78</v>
      </c>
      <c r="O79" s="7" t="s">
        <v>162</v>
      </c>
      <c r="P79" s="7" t="s">
        <v>171</v>
      </c>
      <c r="Q79" s="8">
        <v>20905.0</v>
      </c>
      <c r="R79" s="9">
        <v>0.0</v>
      </c>
      <c r="S79" s="9">
        <v>0.0</v>
      </c>
      <c r="T79" s="9">
        <v>0.0</v>
      </c>
      <c r="U79" s="9">
        <v>0.0</v>
      </c>
      <c r="V79" s="9">
        <v>0.0</v>
      </c>
      <c r="W79" s="9">
        <v>0.0</v>
      </c>
    </row>
    <row r="80" ht="14.25" customHeight="1">
      <c r="A80" s="12" t="s">
        <v>172</v>
      </c>
      <c r="B80" s="13">
        <v>2.0</v>
      </c>
      <c r="C80" s="13">
        <v>0.0</v>
      </c>
      <c r="D80" s="13">
        <v>0.0</v>
      </c>
      <c r="E80" s="13">
        <v>2.0</v>
      </c>
      <c r="F80" s="13">
        <v>4.0</v>
      </c>
      <c r="G80" s="13">
        <v>2.0</v>
      </c>
      <c r="H80" s="13">
        <v>7.0</v>
      </c>
      <c r="I80" s="13">
        <v>9.0</v>
      </c>
      <c r="N80" s="7" t="s">
        <v>78</v>
      </c>
      <c r="O80" s="7" t="s">
        <v>173</v>
      </c>
      <c r="P80" s="7" t="s">
        <v>173</v>
      </c>
      <c r="Q80" s="8">
        <v>21001.0</v>
      </c>
      <c r="R80" s="9">
        <v>1.0</v>
      </c>
      <c r="S80" s="9">
        <v>2.0</v>
      </c>
      <c r="T80" s="9">
        <v>0.0</v>
      </c>
      <c r="U80" s="9">
        <v>0.0</v>
      </c>
      <c r="V80" s="9">
        <v>0.0</v>
      </c>
      <c r="W80" s="9">
        <v>1.0</v>
      </c>
    </row>
    <row r="81" ht="14.25" customHeight="1">
      <c r="A81" s="12" t="s">
        <v>174</v>
      </c>
      <c r="B81" s="13">
        <v>0.0</v>
      </c>
      <c r="C81" s="13">
        <v>0.0</v>
      </c>
      <c r="D81" s="13">
        <v>0.0</v>
      </c>
      <c r="E81" s="13">
        <v>0.0</v>
      </c>
      <c r="F81" s="13">
        <v>2.0</v>
      </c>
      <c r="G81" s="13">
        <v>1.0</v>
      </c>
      <c r="H81" s="13">
        <v>1.0</v>
      </c>
      <c r="I81" s="13">
        <v>1.0</v>
      </c>
      <c r="N81" s="7" t="s">
        <v>78</v>
      </c>
      <c r="O81" s="7" t="s">
        <v>173</v>
      </c>
      <c r="P81" s="7" t="s">
        <v>175</v>
      </c>
      <c r="Q81" s="8">
        <v>21002.0</v>
      </c>
      <c r="R81" s="9">
        <v>0.0</v>
      </c>
      <c r="S81" s="9">
        <v>2.0</v>
      </c>
      <c r="T81" s="9">
        <v>0.0</v>
      </c>
      <c r="U81" s="9">
        <v>2.0</v>
      </c>
      <c r="V81" s="9">
        <v>1.0</v>
      </c>
      <c r="W81" s="9">
        <v>0.0</v>
      </c>
    </row>
    <row r="82" ht="14.25" customHeight="1">
      <c r="A82" s="12" t="s">
        <v>176</v>
      </c>
      <c r="B82" s="13">
        <v>0.0</v>
      </c>
      <c r="C82" s="13">
        <v>0.0</v>
      </c>
      <c r="D82" s="13">
        <v>0.0</v>
      </c>
      <c r="E82" s="13">
        <v>0.0</v>
      </c>
      <c r="F82" s="13">
        <v>3.0</v>
      </c>
      <c r="G82" s="13">
        <v>0.0</v>
      </c>
      <c r="H82" s="13">
        <v>1.0</v>
      </c>
      <c r="I82" s="13">
        <v>2.0</v>
      </c>
      <c r="N82" s="7" t="s">
        <v>78</v>
      </c>
      <c r="O82" s="7" t="s">
        <v>173</v>
      </c>
      <c r="P82" s="7" t="s">
        <v>177</v>
      </c>
      <c r="Q82" s="8">
        <v>21003.0</v>
      </c>
      <c r="R82" s="9">
        <v>0.0</v>
      </c>
      <c r="S82" s="9">
        <v>0.0</v>
      </c>
      <c r="T82" s="9">
        <v>0.0</v>
      </c>
      <c r="U82" s="9">
        <v>0.0</v>
      </c>
      <c r="V82" s="9">
        <v>2.0</v>
      </c>
      <c r="W82" s="9">
        <v>0.0</v>
      </c>
    </row>
    <row r="83" ht="14.25" customHeight="1">
      <c r="A83" s="12" t="s">
        <v>178</v>
      </c>
      <c r="B83" s="13">
        <v>1.0</v>
      </c>
      <c r="C83" s="13">
        <v>2.0</v>
      </c>
      <c r="D83" s="13">
        <v>1.0</v>
      </c>
      <c r="E83" s="13">
        <v>1.0</v>
      </c>
      <c r="F83" s="13">
        <v>1.0</v>
      </c>
      <c r="G83" s="13">
        <v>0.0</v>
      </c>
      <c r="H83" s="13">
        <v>3.0</v>
      </c>
      <c r="I83" s="13">
        <v>2.0</v>
      </c>
      <c r="N83" s="7" t="s">
        <v>78</v>
      </c>
      <c r="O83" s="7" t="s">
        <v>173</v>
      </c>
      <c r="P83" s="7" t="s">
        <v>179</v>
      </c>
      <c r="Q83" s="8">
        <v>21004.0</v>
      </c>
      <c r="R83" s="9">
        <v>0.0</v>
      </c>
      <c r="S83" s="9">
        <v>1.0</v>
      </c>
      <c r="T83" s="9">
        <v>0.0</v>
      </c>
      <c r="U83" s="9">
        <v>2.0</v>
      </c>
      <c r="V83" s="9">
        <v>4.0</v>
      </c>
      <c r="W83" s="9">
        <v>1.0</v>
      </c>
    </row>
    <row r="84" ht="14.25" customHeight="1">
      <c r="A84" s="12" t="s">
        <v>180</v>
      </c>
      <c r="B84" s="13">
        <v>6.0</v>
      </c>
      <c r="C84" s="13">
        <v>6.0</v>
      </c>
      <c r="D84" s="13">
        <v>6.0</v>
      </c>
      <c r="E84" s="13">
        <v>5.0</v>
      </c>
      <c r="F84" s="13">
        <v>12.0</v>
      </c>
      <c r="G84" s="13">
        <v>20.0</v>
      </c>
      <c r="H84" s="13">
        <v>10.0</v>
      </c>
      <c r="I84" s="13">
        <v>11.0</v>
      </c>
      <c r="N84" s="7" t="s">
        <v>78</v>
      </c>
      <c r="O84" s="7" t="s">
        <v>173</v>
      </c>
      <c r="P84" s="7" t="s">
        <v>181</v>
      </c>
      <c r="Q84" s="8">
        <v>21005.0</v>
      </c>
      <c r="R84" s="9">
        <v>0.0</v>
      </c>
      <c r="S84" s="9">
        <v>0.0</v>
      </c>
      <c r="T84" s="9">
        <v>0.0</v>
      </c>
      <c r="U84" s="9">
        <v>0.0</v>
      </c>
      <c r="V84" s="9">
        <v>0.0</v>
      </c>
      <c r="W84" s="9">
        <v>0.0</v>
      </c>
    </row>
    <row r="85" ht="14.25" customHeight="1">
      <c r="A85" s="12" t="s">
        <v>182</v>
      </c>
      <c r="B85" s="13">
        <v>0.0</v>
      </c>
      <c r="C85" s="13">
        <v>0.0</v>
      </c>
      <c r="D85" s="13">
        <v>1.0</v>
      </c>
      <c r="E85" s="13">
        <v>12.0</v>
      </c>
      <c r="F85" s="13">
        <v>18.0</v>
      </c>
      <c r="G85" s="13">
        <v>15.0</v>
      </c>
      <c r="H85" s="13">
        <v>11.0</v>
      </c>
      <c r="I85" s="13">
        <v>9.0</v>
      </c>
      <c r="N85" s="7" t="s">
        <v>78</v>
      </c>
      <c r="O85" s="7" t="s">
        <v>173</v>
      </c>
      <c r="P85" s="7" t="s">
        <v>183</v>
      </c>
      <c r="Q85" s="8">
        <v>21006.0</v>
      </c>
      <c r="R85" s="9">
        <v>0.0</v>
      </c>
      <c r="S85" s="9">
        <v>0.0</v>
      </c>
      <c r="T85" s="9">
        <v>0.0</v>
      </c>
      <c r="U85" s="9">
        <v>0.0</v>
      </c>
      <c r="V85" s="9">
        <v>0.0</v>
      </c>
      <c r="W85" s="9">
        <v>0.0</v>
      </c>
    </row>
    <row r="86" ht="14.25" customHeight="1">
      <c r="A86" s="12" t="s">
        <v>184</v>
      </c>
      <c r="B86" s="13">
        <v>0.0</v>
      </c>
      <c r="C86" s="13">
        <v>0.0</v>
      </c>
      <c r="D86" s="13">
        <v>0.0</v>
      </c>
      <c r="E86" s="13">
        <v>0.0</v>
      </c>
      <c r="F86" s="13">
        <v>0.0</v>
      </c>
      <c r="G86" s="13">
        <v>0.0</v>
      </c>
      <c r="H86" s="13">
        <v>1.0</v>
      </c>
      <c r="I86" s="13">
        <v>0.0</v>
      </c>
      <c r="N86" s="7" t="s">
        <v>78</v>
      </c>
      <c r="O86" s="7" t="s">
        <v>185</v>
      </c>
      <c r="P86" s="7" t="s">
        <v>186</v>
      </c>
      <c r="Q86" s="8">
        <v>21101.0</v>
      </c>
      <c r="R86" s="9">
        <v>0.0</v>
      </c>
      <c r="S86" s="9">
        <v>3.0</v>
      </c>
      <c r="T86" s="9">
        <v>2.0</v>
      </c>
      <c r="U86" s="9">
        <v>4.0</v>
      </c>
      <c r="V86" s="9">
        <v>1.0</v>
      </c>
      <c r="W86" s="9">
        <v>2.0</v>
      </c>
    </row>
    <row r="87" ht="14.25" customHeight="1">
      <c r="A87" s="12" t="s">
        <v>187</v>
      </c>
      <c r="B87" s="13">
        <v>1.0</v>
      </c>
      <c r="C87" s="13">
        <v>0.0</v>
      </c>
      <c r="D87" s="13">
        <v>0.0</v>
      </c>
      <c r="E87" s="13">
        <v>4.0</v>
      </c>
      <c r="F87" s="13">
        <v>0.0</v>
      </c>
      <c r="G87" s="13">
        <v>1.0</v>
      </c>
      <c r="H87" s="13">
        <v>0.0</v>
      </c>
      <c r="I87" s="13">
        <v>2.0</v>
      </c>
      <c r="N87" s="7" t="s">
        <v>78</v>
      </c>
      <c r="O87" s="7" t="s">
        <v>185</v>
      </c>
      <c r="P87" s="7" t="s">
        <v>188</v>
      </c>
      <c r="Q87" s="8">
        <v>21102.0</v>
      </c>
      <c r="R87" s="9">
        <v>0.0</v>
      </c>
      <c r="S87" s="9">
        <v>0.0</v>
      </c>
      <c r="T87" s="9">
        <v>0.0</v>
      </c>
      <c r="U87" s="9">
        <v>1.0</v>
      </c>
      <c r="V87" s="9">
        <v>3.0</v>
      </c>
      <c r="W87" s="9">
        <v>2.0</v>
      </c>
    </row>
    <row r="88" ht="14.25" customHeight="1">
      <c r="A88" s="12" t="s">
        <v>189</v>
      </c>
      <c r="B88" s="13">
        <v>0.0</v>
      </c>
      <c r="C88" s="13">
        <v>0.0</v>
      </c>
      <c r="D88" s="13">
        <v>0.0</v>
      </c>
      <c r="E88" s="13">
        <v>2.0</v>
      </c>
      <c r="F88" s="13">
        <v>0.0</v>
      </c>
      <c r="G88" s="13">
        <v>0.0</v>
      </c>
      <c r="H88" s="13">
        <v>2.0</v>
      </c>
      <c r="I88" s="13">
        <v>1.0</v>
      </c>
      <c r="N88" s="7" t="s">
        <v>78</v>
      </c>
      <c r="O88" s="7" t="s">
        <v>185</v>
      </c>
      <c r="P88" s="7" t="s">
        <v>190</v>
      </c>
      <c r="Q88" s="8">
        <v>21103.0</v>
      </c>
      <c r="R88" s="9">
        <v>0.0</v>
      </c>
      <c r="S88" s="9">
        <v>0.0</v>
      </c>
      <c r="T88" s="9">
        <v>0.0</v>
      </c>
      <c r="U88" s="9">
        <v>0.0</v>
      </c>
      <c r="V88" s="9">
        <v>0.0</v>
      </c>
      <c r="W88" s="9">
        <v>0.0</v>
      </c>
    </row>
    <row r="89" ht="14.25" customHeight="1">
      <c r="A89" s="12" t="s">
        <v>191</v>
      </c>
      <c r="B89" s="13">
        <v>0.0</v>
      </c>
      <c r="C89" s="13">
        <v>0.0</v>
      </c>
      <c r="D89" s="13">
        <v>0.0</v>
      </c>
      <c r="E89" s="13">
        <v>0.0</v>
      </c>
      <c r="F89" s="13">
        <v>0.0</v>
      </c>
      <c r="G89" s="13">
        <v>0.0</v>
      </c>
      <c r="H89" s="13">
        <v>2.0</v>
      </c>
      <c r="I89" s="13">
        <v>0.0</v>
      </c>
      <c r="N89" s="7" t="s">
        <v>78</v>
      </c>
      <c r="O89" s="7" t="s">
        <v>185</v>
      </c>
      <c r="P89" s="7" t="s">
        <v>192</v>
      </c>
      <c r="Q89" s="8">
        <v>21104.0</v>
      </c>
      <c r="R89" s="9">
        <v>0.0</v>
      </c>
      <c r="S89" s="9">
        <v>0.0</v>
      </c>
      <c r="T89" s="9">
        <v>0.0</v>
      </c>
      <c r="U89" s="9">
        <v>5.0</v>
      </c>
      <c r="V89" s="9">
        <v>4.0</v>
      </c>
      <c r="W89" s="9">
        <v>4.0</v>
      </c>
    </row>
    <row r="90" ht="14.25" customHeight="1">
      <c r="A90" s="12" t="s">
        <v>193</v>
      </c>
      <c r="B90" s="13">
        <v>0.0</v>
      </c>
      <c r="C90" s="13">
        <v>0.0</v>
      </c>
      <c r="D90" s="13">
        <v>0.0</v>
      </c>
      <c r="E90" s="13">
        <v>0.0</v>
      </c>
      <c r="F90" s="13">
        <v>0.0</v>
      </c>
      <c r="G90" s="13">
        <v>0.0</v>
      </c>
      <c r="H90" s="13">
        <v>0.0</v>
      </c>
      <c r="I90" s="13">
        <v>0.0</v>
      </c>
      <c r="N90" s="7" t="s">
        <v>78</v>
      </c>
      <c r="O90" s="7" t="s">
        <v>185</v>
      </c>
      <c r="P90" s="7" t="s">
        <v>194</v>
      </c>
      <c r="Q90" s="8">
        <v>21105.0</v>
      </c>
      <c r="R90" s="9">
        <v>1.0</v>
      </c>
      <c r="S90" s="9">
        <v>0.0</v>
      </c>
      <c r="T90" s="9">
        <v>0.0</v>
      </c>
      <c r="U90" s="9">
        <v>3.0</v>
      </c>
      <c r="V90" s="9">
        <v>2.0</v>
      </c>
      <c r="W90" s="9">
        <v>5.0</v>
      </c>
    </row>
    <row r="91" ht="14.25" customHeight="1">
      <c r="A91" s="12" t="s">
        <v>195</v>
      </c>
      <c r="B91" s="13">
        <v>0.0</v>
      </c>
      <c r="C91" s="13">
        <v>1.0</v>
      </c>
      <c r="D91" s="13">
        <v>0.0</v>
      </c>
      <c r="E91" s="13">
        <v>0.0</v>
      </c>
      <c r="F91" s="13">
        <v>1.0</v>
      </c>
      <c r="G91" s="13">
        <v>1.0</v>
      </c>
      <c r="H91" s="13">
        <v>1.0</v>
      </c>
      <c r="I91" s="13">
        <v>1.0</v>
      </c>
      <c r="N91" s="7" t="s">
        <v>78</v>
      </c>
      <c r="O91" s="7" t="s">
        <v>196</v>
      </c>
      <c r="P91" s="7" t="s">
        <v>197</v>
      </c>
      <c r="Q91" s="8">
        <v>21201.0</v>
      </c>
      <c r="R91" s="9">
        <v>0.0</v>
      </c>
      <c r="S91" s="9">
        <v>0.0</v>
      </c>
      <c r="T91" s="9">
        <v>0.0</v>
      </c>
      <c r="U91" s="9">
        <v>1.0</v>
      </c>
      <c r="V91" s="9">
        <v>3.0</v>
      </c>
      <c r="W91" s="9">
        <v>0.0</v>
      </c>
    </row>
    <row r="92" ht="14.25" customHeight="1">
      <c r="A92" s="12" t="s">
        <v>198</v>
      </c>
      <c r="B92" s="13">
        <v>6.0</v>
      </c>
      <c r="C92" s="13">
        <v>5.0</v>
      </c>
      <c r="D92" s="13">
        <v>9.0</v>
      </c>
      <c r="E92" s="13">
        <v>10.0</v>
      </c>
      <c r="F92" s="13">
        <v>17.0</v>
      </c>
      <c r="G92" s="13">
        <v>19.0</v>
      </c>
      <c r="H92" s="13">
        <v>21.0</v>
      </c>
      <c r="I92" s="13">
        <v>18.0</v>
      </c>
      <c r="N92" s="7" t="s">
        <v>78</v>
      </c>
      <c r="O92" s="7" t="s">
        <v>196</v>
      </c>
      <c r="P92" s="7" t="s">
        <v>199</v>
      </c>
      <c r="Q92" s="8">
        <v>21202.0</v>
      </c>
      <c r="R92" s="9">
        <v>0.0</v>
      </c>
      <c r="S92" s="9">
        <v>0.0</v>
      </c>
      <c r="T92" s="9">
        <v>0.0</v>
      </c>
      <c r="U92" s="9">
        <v>0.0</v>
      </c>
      <c r="V92" s="9">
        <v>1.0</v>
      </c>
      <c r="W92" s="9">
        <v>0.0</v>
      </c>
    </row>
    <row r="93" ht="14.25" customHeight="1">
      <c r="A93" s="12" t="s">
        <v>200</v>
      </c>
      <c r="B93" s="13">
        <v>3.0</v>
      </c>
      <c r="C93" s="13">
        <v>2.0</v>
      </c>
      <c r="D93" s="13">
        <v>6.0</v>
      </c>
      <c r="E93" s="13">
        <v>4.0</v>
      </c>
      <c r="F93" s="13">
        <v>14.0</v>
      </c>
      <c r="G93" s="13">
        <v>17.0</v>
      </c>
      <c r="H93" s="13">
        <v>14.0</v>
      </c>
      <c r="I93" s="13">
        <v>20.0</v>
      </c>
      <c r="N93" s="7" t="s">
        <v>78</v>
      </c>
      <c r="O93" s="7" t="s">
        <v>196</v>
      </c>
      <c r="P93" s="7" t="s">
        <v>201</v>
      </c>
      <c r="Q93" s="8">
        <v>21203.0</v>
      </c>
      <c r="R93" s="9">
        <v>0.0</v>
      </c>
      <c r="S93" s="9">
        <v>0.0</v>
      </c>
      <c r="T93" s="9">
        <v>0.0</v>
      </c>
      <c r="U93" s="9">
        <v>0.0</v>
      </c>
      <c r="V93" s="9">
        <v>3.0</v>
      </c>
      <c r="W93" s="9">
        <v>0.0</v>
      </c>
    </row>
    <row r="94" ht="14.25" customHeight="1">
      <c r="A94" s="10" t="s">
        <v>202</v>
      </c>
      <c r="B94" s="11">
        <v>238.0</v>
      </c>
      <c r="C94" s="11">
        <v>304.0</v>
      </c>
      <c r="D94" s="11">
        <v>397.0</v>
      </c>
      <c r="E94" s="11">
        <v>550.0</v>
      </c>
      <c r="F94" s="11">
        <v>674.0</v>
      </c>
      <c r="G94" s="11">
        <v>800.0</v>
      </c>
      <c r="H94" s="11">
        <v>812.0</v>
      </c>
      <c r="I94" s="11">
        <v>810.0</v>
      </c>
      <c r="N94" s="7" t="s">
        <v>78</v>
      </c>
      <c r="O94" s="7" t="s">
        <v>196</v>
      </c>
      <c r="P94" s="7" t="s">
        <v>203</v>
      </c>
      <c r="Q94" s="8">
        <v>21204.0</v>
      </c>
      <c r="R94" s="9">
        <v>0.0</v>
      </c>
      <c r="S94" s="9">
        <v>0.0</v>
      </c>
      <c r="T94" s="9">
        <v>0.0</v>
      </c>
      <c r="U94" s="9">
        <v>1.0</v>
      </c>
      <c r="V94" s="9">
        <v>0.0</v>
      </c>
      <c r="W94" s="9">
        <v>0.0</v>
      </c>
    </row>
    <row r="95" ht="14.25" customHeight="1">
      <c r="A95" s="12" t="s">
        <v>86</v>
      </c>
      <c r="B95" s="13">
        <v>13.0</v>
      </c>
      <c r="C95" s="13">
        <v>12.0</v>
      </c>
      <c r="D95" s="13">
        <v>41.0</v>
      </c>
      <c r="E95" s="13">
        <v>36.0</v>
      </c>
      <c r="F95" s="13">
        <v>19.0</v>
      </c>
      <c r="G95" s="13">
        <v>8.0</v>
      </c>
      <c r="H95" s="13">
        <v>6.0</v>
      </c>
      <c r="I95" s="13">
        <v>8.0</v>
      </c>
      <c r="N95" s="7" t="s">
        <v>78</v>
      </c>
      <c r="O95" s="7" t="s">
        <v>204</v>
      </c>
      <c r="P95" s="7" t="s">
        <v>205</v>
      </c>
      <c r="Q95" s="8">
        <v>21301.0</v>
      </c>
      <c r="R95" s="9">
        <v>0.0</v>
      </c>
      <c r="S95" s="9">
        <v>0.0</v>
      </c>
      <c r="T95" s="9">
        <v>0.0</v>
      </c>
      <c r="U95" s="9">
        <v>1.0</v>
      </c>
      <c r="V95" s="9">
        <v>0.0</v>
      </c>
      <c r="W95" s="9">
        <v>1.0</v>
      </c>
    </row>
    <row r="96" ht="14.25" customHeight="1">
      <c r="A96" s="12" t="s">
        <v>83</v>
      </c>
      <c r="B96" s="13">
        <v>0.0</v>
      </c>
      <c r="C96" s="13">
        <v>0.0</v>
      </c>
      <c r="D96" s="13">
        <v>0.0</v>
      </c>
      <c r="E96" s="13">
        <v>2.0</v>
      </c>
      <c r="F96" s="13">
        <v>9.0</v>
      </c>
      <c r="G96" s="13">
        <v>4.0</v>
      </c>
      <c r="H96" s="13">
        <v>1.0</v>
      </c>
      <c r="I96" s="13">
        <v>8.0</v>
      </c>
      <c r="N96" s="7" t="s">
        <v>78</v>
      </c>
      <c r="O96" s="7" t="s">
        <v>204</v>
      </c>
      <c r="P96" s="7" t="s">
        <v>206</v>
      </c>
      <c r="Q96" s="8">
        <v>21302.0</v>
      </c>
      <c r="R96" s="9">
        <v>0.0</v>
      </c>
      <c r="S96" s="9">
        <v>0.0</v>
      </c>
      <c r="T96" s="9">
        <v>0.0</v>
      </c>
      <c r="U96" s="9">
        <v>0.0</v>
      </c>
      <c r="V96" s="9">
        <v>0.0</v>
      </c>
      <c r="W96" s="9">
        <v>0.0</v>
      </c>
    </row>
    <row r="97" ht="14.25" customHeight="1">
      <c r="A97" s="12" t="s">
        <v>87</v>
      </c>
      <c r="B97" s="13">
        <v>0.0</v>
      </c>
      <c r="C97" s="13">
        <v>0.0</v>
      </c>
      <c r="D97" s="13">
        <v>0.0</v>
      </c>
      <c r="E97" s="13">
        <v>1.0</v>
      </c>
      <c r="F97" s="13">
        <v>0.0</v>
      </c>
      <c r="G97" s="13">
        <v>0.0</v>
      </c>
      <c r="H97" s="13">
        <v>2.0</v>
      </c>
      <c r="I97" s="13">
        <v>0.0</v>
      </c>
      <c r="N97" s="7" t="s">
        <v>78</v>
      </c>
      <c r="O97" s="7" t="s">
        <v>204</v>
      </c>
      <c r="P97" s="7" t="s">
        <v>207</v>
      </c>
      <c r="Q97" s="8">
        <v>21303.0</v>
      </c>
      <c r="R97" s="9">
        <v>0.0</v>
      </c>
      <c r="S97" s="9">
        <v>0.0</v>
      </c>
      <c r="T97" s="9">
        <v>0.0</v>
      </c>
      <c r="U97" s="9">
        <v>0.0</v>
      </c>
      <c r="V97" s="9">
        <v>0.0</v>
      </c>
      <c r="W97" s="9">
        <v>1.0</v>
      </c>
    </row>
    <row r="98" ht="14.25" customHeight="1">
      <c r="A98" s="12" t="s">
        <v>143</v>
      </c>
      <c r="B98" s="13">
        <v>0.0</v>
      </c>
      <c r="C98" s="13">
        <v>0.0</v>
      </c>
      <c r="D98" s="13">
        <v>0.0</v>
      </c>
      <c r="E98" s="13">
        <v>0.0</v>
      </c>
      <c r="F98" s="13">
        <v>0.0</v>
      </c>
      <c r="G98" s="13">
        <v>2.0</v>
      </c>
      <c r="H98" s="13">
        <v>4.0</v>
      </c>
      <c r="I98" s="13">
        <v>1.0</v>
      </c>
      <c r="N98" s="7" t="s">
        <v>78</v>
      </c>
      <c r="O98" s="7" t="s">
        <v>204</v>
      </c>
      <c r="P98" s="7" t="s">
        <v>208</v>
      </c>
      <c r="Q98" s="8">
        <v>21304.0</v>
      </c>
      <c r="R98" s="9">
        <v>0.0</v>
      </c>
      <c r="S98" s="9">
        <v>0.0</v>
      </c>
      <c r="T98" s="9">
        <v>0.0</v>
      </c>
      <c r="U98" s="9">
        <v>2.0</v>
      </c>
      <c r="V98" s="9">
        <v>2.0</v>
      </c>
      <c r="W98" s="9">
        <v>2.0</v>
      </c>
    </row>
    <row r="99" ht="14.25" customHeight="1">
      <c r="A99" s="12" t="s">
        <v>123</v>
      </c>
      <c r="B99" s="13">
        <v>0.0</v>
      </c>
      <c r="C99" s="13">
        <v>1.0</v>
      </c>
      <c r="D99" s="13">
        <v>0.0</v>
      </c>
      <c r="E99" s="13">
        <v>0.0</v>
      </c>
      <c r="F99" s="13">
        <v>0.0</v>
      </c>
      <c r="G99" s="13">
        <v>0.0</v>
      </c>
      <c r="H99" s="13">
        <v>0.0</v>
      </c>
      <c r="I99" s="13">
        <v>2.0</v>
      </c>
      <c r="N99" s="7" t="s">
        <v>78</v>
      </c>
      <c r="O99" s="7" t="s">
        <v>204</v>
      </c>
      <c r="P99" s="7" t="s">
        <v>209</v>
      </c>
      <c r="Q99" s="8">
        <v>21305.0</v>
      </c>
      <c r="R99" s="9">
        <v>1.0</v>
      </c>
      <c r="S99" s="9">
        <v>2.0</v>
      </c>
      <c r="T99" s="9">
        <v>6.0</v>
      </c>
      <c r="U99" s="9">
        <v>1.0</v>
      </c>
      <c r="V99" s="9">
        <v>2.0</v>
      </c>
      <c r="W99" s="9">
        <v>1.0</v>
      </c>
    </row>
    <row r="100" ht="14.25" customHeight="1">
      <c r="A100" s="12" t="s">
        <v>121</v>
      </c>
      <c r="B100" s="13">
        <v>0.0</v>
      </c>
      <c r="C100" s="13">
        <v>0.0</v>
      </c>
      <c r="D100" s="13">
        <v>0.0</v>
      </c>
      <c r="E100" s="13">
        <v>2.0</v>
      </c>
      <c r="F100" s="13">
        <v>2.0</v>
      </c>
      <c r="G100" s="13">
        <v>1.0</v>
      </c>
      <c r="H100" s="13">
        <v>0.0</v>
      </c>
      <c r="I100" s="13">
        <v>0.0</v>
      </c>
      <c r="N100" s="7" t="s">
        <v>78</v>
      </c>
      <c r="O100" s="7" t="s">
        <v>204</v>
      </c>
      <c r="P100" s="7" t="s">
        <v>210</v>
      </c>
      <c r="Q100" s="8">
        <v>21306.0</v>
      </c>
      <c r="R100" s="9">
        <v>0.0</v>
      </c>
      <c r="S100" s="9">
        <v>0.0</v>
      </c>
      <c r="T100" s="9">
        <v>0.0</v>
      </c>
      <c r="U100" s="9">
        <v>0.0</v>
      </c>
      <c r="V100" s="9">
        <v>0.0</v>
      </c>
      <c r="W100" s="9">
        <v>0.0</v>
      </c>
    </row>
    <row r="101" ht="14.25" customHeight="1">
      <c r="A101" s="12" t="s">
        <v>207</v>
      </c>
      <c r="B101" s="13">
        <v>0.0</v>
      </c>
      <c r="C101" s="13">
        <v>0.0</v>
      </c>
      <c r="D101" s="13">
        <v>0.0</v>
      </c>
      <c r="E101" s="13">
        <v>0.0</v>
      </c>
      <c r="F101" s="13">
        <v>0.0</v>
      </c>
      <c r="G101" s="13">
        <v>0.0</v>
      </c>
      <c r="H101" s="13">
        <v>0.0</v>
      </c>
      <c r="I101" s="13">
        <v>1.0</v>
      </c>
      <c r="N101" s="7" t="s">
        <v>78</v>
      </c>
      <c r="O101" s="7" t="s">
        <v>204</v>
      </c>
      <c r="P101" s="7" t="s">
        <v>211</v>
      </c>
      <c r="Q101" s="8">
        <v>21307.0</v>
      </c>
      <c r="R101" s="9">
        <v>0.0</v>
      </c>
      <c r="S101" s="9">
        <v>0.0</v>
      </c>
      <c r="T101" s="9">
        <v>0.0</v>
      </c>
      <c r="U101" s="9">
        <v>1.0</v>
      </c>
      <c r="V101" s="9">
        <v>0.0</v>
      </c>
      <c r="W101" s="9">
        <v>0.0</v>
      </c>
    </row>
    <row r="102" ht="14.25" customHeight="1">
      <c r="A102" s="12" t="s">
        <v>201</v>
      </c>
      <c r="B102" s="13">
        <v>0.0</v>
      </c>
      <c r="C102" s="13">
        <v>0.0</v>
      </c>
      <c r="D102" s="13">
        <v>0.0</v>
      </c>
      <c r="E102" s="13">
        <v>0.0</v>
      </c>
      <c r="F102" s="13">
        <v>0.0</v>
      </c>
      <c r="G102" s="13">
        <v>0.0</v>
      </c>
      <c r="H102" s="13">
        <v>3.0</v>
      </c>
      <c r="I102" s="13">
        <v>0.0</v>
      </c>
      <c r="N102" s="7" t="s">
        <v>78</v>
      </c>
      <c r="O102" s="7" t="s">
        <v>212</v>
      </c>
      <c r="P102" s="7" t="s">
        <v>213</v>
      </c>
      <c r="Q102" s="8">
        <v>21401.0</v>
      </c>
      <c r="R102" s="9">
        <v>0.0</v>
      </c>
      <c r="S102" s="9">
        <v>0.0</v>
      </c>
      <c r="T102" s="9">
        <v>0.0</v>
      </c>
      <c r="U102" s="9">
        <v>5.0</v>
      </c>
      <c r="V102" s="9">
        <v>2.0</v>
      </c>
      <c r="W102" s="9">
        <v>3.0</v>
      </c>
    </row>
    <row r="103" ht="14.25" customHeight="1">
      <c r="A103" s="12" t="s">
        <v>171</v>
      </c>
      <c r="B103" s="13">
        <v>0.0</v>
      </c>
      <c r="C103" s="13">
        <v>0.0</v>
      </c>
      <c r="D103" s="13">
        <v>0.0</v>
      </c>
      <c r="E103" s="13">
        <v>0.0</v>
      </c>
      <c r="F103" s="13">
        <v>0.0</v>
      </c>
      <c r="G103" s="13">
        <v>0.0</v>
      </c>
      <c r="H103" s="13">
        <v>0.0</v>
      </c>
      <c r="I103" s="13">
        <v>0.0</v>
      </c>
      <c r="N103" s="7" t="s">
        <v>78</v>
      </c>
      <c r="O103" s="7" t="s">
        <v>212</v>
      </c>
      <c r="P103" s="7" t="s">
        <v>214</v>
      </c>
      <c r="Q103" s="8">
        <v>21402.0</v>
      </c>
      <c r="R103" s="9">
        <v>0.0</v>
      </c>
      <c r="S103" s="9">
        <v>0.0</v>
      </c>
      <c r="T103" s="9">
        <v>0.0</v>
      </c>
      <c r="U103" s="9">
        <v>1.0</v>
      </c>
      <c r="V103" s="9">
        <v>3.0</v>
      </c>
      <c r="W103" s="9">
        <v>1.0</v>
      </c>
    </row>
    <row r="104" ht="14.25" customHeight="1">
      <c r="A104" s="12" t="s">
        <v>177</v>
      </c>
      <c r="B104" s="13">
        <v>0.0</v>
      </c>
      <c r="C104" s="13">
        <v>0.0</v>
      </c>
      <c r="D104" s="13">
        <v>0.0</v>
      </c>
      <c r="E104" s="13">
        <v>0.0</v>
      </c>
      <c r="F104" s="13">
        <v>0.0</v>
      </c>
      <c r="G104" s="13">
        <v>0.0</v>
      </c>
      <c r="H104" s="13">
        <v>2.0</v>
      </c>
      <c r="I104" s="13">
        <v>0.0</v>
      </c>
      <c r="N104" s="7" t="s">
        <v>78</v>
      </c>
      <c r="O104" s="7" t="s">
        <v>215</v>
      </c>
      <c r="P104" s="7" t="s">
        <v>216</v>
      </c>
      <c r="Q104" s="8">
        <v>21501.0</v>
      </c>
      <c r="R104" s="9">
        <v>1.0</v>
      </c>
      <c r="S104" s="9">
        <v>0.0</v>
      </c>
      <c r="T104" s="9">
        <v>0.0</v>
      </c>
      <c r="U104" s="9">
        <v>0.0</v>
      </c>
      <c r="V104" s="9">
        <v>0.0</v>
      </c>
      <c r="W104" s="9">
        <v>1.0</v>
      </c>
    </row>
    <row r="105" ht="14.25" customHeight="1">
      <c r="A105" s="12" t="s">
        <v>98</v>
      </c>
      <c r="B105" s="13">
        <v>0.0</v>
      </c>
      <c r="C105" s="13">
        <v>0.0</v>
      </c>
      <c r="D105" s="13">
        <v>0.0</v>
      </c>
      <c r="E105" s="13">
        <v>0.0</v>
      </c>
      <c r="F105" s="13">
        <v>1.0</v>
      </c>
      <c r="G105" s="13">
        <v>1.0</v>
      </c>
      <c r="H105" s="13">
        <v>0.0</v>
      </c>
      <c r="I105" s="13">
        <v>0.0</v>
      </c>
      <c r="N105" s="7" t="s">
        <v>78</v>
      </c>
      <c r="O105" s="7" t="s">
        <v>215</v>
      </c>
      <c r="P105" s="7" t="s">
        <v>217</v>
      </c>
      <c r="Q105" s="8">
        <v>21502.0</v>
      </c>
      <c r="R105" s="9">
        <v>0.0</v>
      </c>
      <c r="S105" s="9">
        <v>0.0</v>
      </c>
      <c r="T105" s="9">
        <v>0.0</v>
      </c>
      <c r="U105" s="9">
        <v>1.0</v>
      </c>
      <c r="V105" s="9">
        <v>2.0</v>
      </c>
      <c r="W105" s="9">
        <v>4.0</v>
      </c>
    </row>
    <row r="106" ht="14.25" customHeight="1">
      <c r="A106" s="12" t="s">
        <v>208</v>
      </c>
      <c r="B106" s="13">
        <v>0.0</v>
      </c>
      <c r="C106" s="13">
        <v>0.0</v>
      </c>
      <c r="D106" s="13">
        <v>0.0</v>
      </c>
      <c r="E106" s="13">
        <v>0.0</v>
      </c>
      <c r="F106" s="13">
        <v>0.0</v>
      </c>
      <c r="G106" s="13">
        <v>2.0</v>
      </c>
      <c r="H106" s="13">
        <v>2.0</v>
      </c>
      <c r="I106" s="13">
        <v>2.0</v>
      </c>
      <c r="N106" s="7" t="s">
        <v>78</v>
      </c>
      <c r="O106" s="7" t="s">
        <v>218</v>
      </c>
      <c r="P106" s="7" t="s">
        <v>219</v>
      </c>
      <c r="Q106" s="8">
        <v>21601.0</v>
      </c>
      <c r="R106" s="9">
        <v>0.0</v>
      </c>
      <c r="S106" s="9">
        <v>0.0</v>
      </c>
      <c r="T106" s="9">
        <v>1.0</v>
      </c>
      <c r="U106" s="9">
        <v>1.0</v>
      </c>
      <c r="V106" s="9">
        <v>1.0</v>
      </c>
      <c r="W106" s="9">
        <v>1.0</v>
      </c>
    </row>
    <row r="107" ht="14.25" customHeight="1">
      <c r="A107" s="12" t="s">
        <v>96</v>
      </c>
      <c r="B107" s="13">
        <v>0.0</v>
      </c>
      <c r="C107" s="13">
        <v>0.0</v>
      </c>
      <c r="D107" s="13">
        <v>0.0</v>
      </c>
      <c r="E107" s="13">
        <v>0.0</v>
      </c>
      <c r="F107" s="13">
        <v>0.0</v>
      </c>
      <c r="G107" s="13">
        <v>0.0</v>
      </c>
      <c r="H107" s="13">
        <v>0.0</v>
      </c>
      <c r="I107" s="13">
        <v>0.0</v>
      </c>
      <c r="N107" s="7" t="s">
        <v>78</v>
      </c>
      <c r="O107" s="7" t="s">
        <v>218</v>
      </c>
      <c r="P107" s="7" t="s">
        <v>220</v>
      </c>
      <c r="Q107" s="8">
        <v>21602.0</v>
      </c>
      <c r="R107" s="9">
        <v>0.0</v>
      </c>
      <c r="S107" s="9">
        <v>0.0</v>
      </c>
      <c r="T107" s="9">
        <v>0.0</v>
      </c>
      <c r="U107" s="9">
        <v>0.0</v>
      </c>
      <c r="V107" s="9">
        <v>0.0</v>
      </c>
      <c r="W107" s="9">
        <v>0.0</v>
      </c>
    </row>
    <row r="108" ht="14.25" customHeight="1">
      <c r="A108" s="12" t="s">
        <v>221</v>
      </c>
      <c r="B108" s="13">
        <v>1.0</v>
      </c>
      <c r="C108" s="13">
        <v>5.0</v>
      </c>
      <c r="D108" s="13">
        <v>4.0</v>
      </c>
      <c r="E108" s="13">
        <v>15.0</v>
      </c>
      <c r="F108" s="13">
        <v>20.0</v>
      </c>
      <c r="G108" s="13">
        <v>16.0</v>
      </c>
      <c r="H108" s="13">
        <v>25.0</v>
      </c>
      <c r="I108" s="13">
        <v>15.0</v>
      </c>
      <c r="N108" s="7" t="s">
        <v>78</v>
      </c>
      <c r="O108" s="7" t="s">
        <v>222</v>
      </c>
      <c r="P108" s="7" t="s">
        <v>223</v>
      </c>
      <c r="Q108" s="8">
        <v>21701.0</v>
      </c>
      <c r="R108" s="9">
        <v>0.0</v>
      </c>
      <c r="S108" s="9">
        <v>0.0</v>
      </c>
      <c r="T108" s="9">
        <v>0.0</v>
      </c>
      <c r="U108" s="9">
        <v>2.0</v>
      </c>
      <c r="V108" s="9">
        <v>0.0</v>
      </c>
      <c r="W108" s="9">
        <v>0.0</v>
      </c>
    </row>
    <row r="109" ht="14.25" customHeight="1">
      <c r="A109" s="12" t="s">
        <v>224</v>
      </c>
      <c r="B109" s="13">
        <v>0.0</v>
      </c>
      <c r="C109" s="13">
        <v>3.0</v>
      </c>
      <c r="D109" s="13">
        <v>2.0</v>
      </c>
      <c r="E109" s="13">
        <v>1.0</v>
      </c>
      <c r="F109" s="13">
        <v>4.0</v>
      </c>
      <c r="G109" s="13">
        <v>4.0</v>
      </c>
      <c r="H109" s="13">
        <v>1.0</v>
      </c>
      <c r="I109" s="13">
        <v>2.0</v>
      </c>
      <c r="N109" s="7" t="s">
        <v>78</v>
      </c>
      <c r="O109" s="7" t="s">
        <v>222</v>
      </c>
      <c r="P109" s="7" t="s">
        <v>225</v>
      </c>
      <c r="Q109" s="8">
        <v>21702.0</v>
      </c>
      <c r="R109" s="9">
        <v>0.0</v>
      </c>
      <c r="S109" s="9">
        <v>0.0</v>
      </c>
      <c r="T109" s="9">
        <v>0.0</v>
      </c>
      <c r="U109" s="9">
        <v>1.0</v>
      </c>
      <c r="V109" s="9">
        <v>1.0</v>
      </c>
      <c r="W109" s="9">
        <v>0.0</v>
      </c>
    </row>
    <row r="110" ht="14.25" customHeight="1">
      <c r="A110" s="12" t="s">
        <v>119</v>
      </c>
      <c r="B110" s="13">
        <v>0.0</v>
      </c>
      <c r="C110" s="13">
        <v>0.0</v>
      </c>
      <c r="D110" s="13">
        <v>0.0</v>
      </c>
      <c r="E110" s="13">
        <v>1.0</v>
      </c>
      <c r="F110" s="13">
        <v>0.0</v>
      </c>
      <c r="G110" s="13">
        <v>1.0</v>
      </c>
      <c r="H110" s="13">
        <v>0.0</v>
      </c>
      <c r="I110" s="13">
        <v>1.0</v>
      </c>
      <c r="N110" s="7" t="s">
        <v>78</v>
      </c>
      <c r="O110" s="7" t="s">
        <v>222</v>
      </c>
      <c r="P110" s="7" t="s">
        <v>226</v>
      </c>
      <c r="Q110" s="8">
        <v>21703.0</v>
      </c>
      <c r="R110" s="9">
        <v>0.0</v>
      </c>
      <c r="S110" s="9">
        <v>0.0</v>
      </c>
      <c r="T110" s="9">
        <v>0.0</v>
      </c>
      <c r="U110" s="9">
        <v>0.0</v>
      </c>
      <c r="V110" s="9">
        <v>0.0</v>
      </c>
      <c r="W110" s="9">
        <v>1.0</v>
      </c>
    </row>
    <row r="111" ht="14.25" customHeight="1">
      <c r="A111" s="12" t="s">
        <v>211</v>
      </c>
      <c r="B111" s="13">
        <v>0.0</v>
      </c>
      <c r="C111" s="13">
        <v>0.0</v>
      </c>
      <c r="D111" s="13">
        <v>0.0</v>
      </c>
      <c r="E111" s="13">
        <v>0.0</v>
      </c>
      <c r="F111" s="13">
        <v>0.0</v>
      </c>
      <c r="G111" s="13">
        <v>1.0</v>
      </c>
      <c r="H111" s="13">
        <v>0.0</v>
      </c>
      <c r="I111" s="13">
        <v>0.0</v>
      </c>
      <c r="N111" s="7" t="s">
        <v>78</v>
      </c>
      <c r="O111" s="7" t="s">
        <v>227</v>
      </c>
      <c r="P111" s="7" t="s">
        <v>228</v>
      </c>
      <c r="Q111" s="8">
        <v>21801.0</v>
      </c>
      <c r="R111" s="9">
        <v>0.0</v>
      </c>
      <c r="S111" s="9">
        <v>0.0</v>
      </c>
      <c r="T111" s="9">
        <v>0.0</v>
      </c>
      <c r="U111" s="9">
        <v>0.0</v>
      </c>
      <c r="V111" s="9">
        <v>0.0</v>
      </c>
      <c r="W111" s="9">
        <v>0.0</v>
      </c>
    </row>
    <row r="112" ht="14.25" customHeight="1">
      <c r="A112" s="12" t="s">
        <v>210</v>
      </c>
      <c r="B112" s="13">
        <v>0.0</v>
      </c>
      <c r="C112" s="13">
        <v>0.0</v>
      </c>
      <c r="D112" s="13">
        <v>0.0</v>
      </c>
      <c r="E112" s="13">
        <v>0.0</v>
      </c>
      <c r="F112" s="13">
        <v>0.0</v>
      </c>
      <c r="G112" s="13">
        <v>0.0</v>
      </c>
      <c r="H112" s="13">
        <v>0.0</v>
      </c>
      <c r="I112" s="13">
        <v>0.0</v>
      </c>
      <c r="N112" s="7" t="s">
        <v>78</v>
      </c>
      <c r="O112" s="7" t="s">
        <v>229</v>
      </c>
      <c r="P112" s="7" t="s">
        <v>230</v>
      </c>
      <c r="Q112" s="8">
        <v>21802.0</v>
      </c>
      <c r="R112" s="9">
        <v>0.0</v>
      </c>
      <c r="S112" s="9">
        <v>0.0</v>
      </c>
      <c r="T112" s="9">
        <v>0.0</v>
      </c>
      <c r="U112" s="9">
        <v>1.0</v>
      </c>
      <c r="V112" s="9">
        <v>0.0</v>
      </c>
      <c r="W112" s="9">
        <v>0.0</v>
      </c>
    </row>
    <row r="113" ht="14.25" customHeight="1">
      <c r="A113" s="12" t="s">
        <v>179</v>
      </c>
      <c r="B113" s="13">
        <v>0.0</v>
      </c>
      <c r="C113" s="13">
        <v>1.0</v>
      </c>
      <c r="D113" s="13">
        <v>0.0</v>
      </c>
      <c r="E113" s="13">
        <v>0.0</v>
      </c>
      <c r="F113" s="13">
        <v>1.0</v>
      </c>
      <c r="G113" s="13">
        <v>2.0</v>
      </c>
      <c r="H113" s="13">
        <v>4.0</v>
      </c>
      <c r="I113" s="13">
        <v>1.0</v>
      </c>
      <c r="N113" s="7" t="s">
        <v>78</v>
      </c>
      <c r="O113" s="7" t="s">
        <v>229</v>
      </c>
      <c r="P113" s="7" t="s">
        <v>231</v>
      </c>
      <c r="Q113" s="8">
        <v>21803.0</v>
      </c>
      <c r="R113" s="9">
        <v>0.0</v>
      </c>
      <c r="S113" s="9">
        <v>0.0</v>
      </c>
      <c r="T113" s="9">
        <v>0.0</v>
      </c>
      <c r="U113" s="9">
        <v>0.0</v>
      </c>
      <c r="V113" s="9">
        <v>0.0</v>
      </c>
      <c r="W113" s="9">
        <v>0.0</v>
      </c>
    </row>
    <row r="114" ht="14.25" customHeight="1">
      <c r="A114" s="12" t="s">
        <v>99</v>
      </c>
      <c r="B114" s="13">
        <v>0.0</v>
      </c>
      <c r="C114" s="13">
        <v>0.0</v>
      </c>
      <c r="D114" s="13">
        <v>0.0</v>
      </c>
      <c r="E114" s="13">
        <v>0.0</v>
      </c>
      <c r="F114" s="13">
        <v>0.0</v>
      </c>
      <c r="G114" s="13">
        <v>1.0</v>
      </c>
      <c r="H114" s="13">
        <v>0.0</v>
      </c>
      <c r="I114" s="13">
        <v>1.0</v>
      </c>
      <c r="N114" s="7" t="s">
        <v>78</v>
      </c>
      <c r="O114" s="7" t="s">
        <v>232</v>
      </c>
      <c r="P114" s="7" t="s">
        <v>233</v>
      </c>
      <c r="Q114" s="8">
        <v>21901.0</v>
      </c>
      <c r="R114" s="9">
        <v>0.0</v>
      </c>
      <c r="S114" s="9">
        <v>0.0</v>
      </c>
      <c r="T114" s="9">
        <v>0.0</v>
      </c>
      <c r="U114" s="9">
        <v>2.0</v>
      </c>
      <c r="V114" s="9">
        <v>1.0</v>
      </c>
      <c r="W114" s="9">
        <v>0.0</v>
      </c>
    </row>
    <row r="115" ht="14.25" customHeight="1">
      <c r="A115" s="12" t="s">
        <v>223</v>
      </c>
      <c r="B115" s="13">
        <v>0.0</v>
      </c>
      <c r="C115" s="13">
        <v>0.0</v>
      </c>
      <c r="D115" s="13">
        <v>0.0</v>
      </c>
      <c r="E115" s="13">
        <v>0.0</v>
      </c>
      <c r="F115" s="13">
        <v>1.0</v>
      </c>
      <c r="G115" s="13">
        <v>2.0</v>
      </c>
      <c r="H115" s="13">
        <v>0.0</v>
      </c>
      <c r="I115" s="13">
        <v>0.0</v>
      </c>
      <c r="N115" s="7" t="s">
        <v>78</v>
      </c>
      <c r="O115" s="7" t="s">
        <v>232</v>
      </c>
      <c r="P115" s="7" t="s">
        <v>234</v>
      </c>
      <c r="Q115" s="8">
        <v>21902.0</v>
      </c>
      <c r="R115" s="9">
        <v>0.0</v>
      </c>
      <c r="S115" s="9">
        <v>0.0</v>
      </c>
      <c r="T115" s="9">
        <v>0.0</v>
      </c>
      <c r="U115" s="9">
        <v>0.0</v>
      </c>
      <c r="V115" s="9">
        <v>0.0</v>
      </c>
      <c r="W115" s="9">
        <v>0.0</v>
      </c>
    </row>
    <row r="116" ht="14.25" customHeight="1">
      <c r="A116" s="12" t="s">
        <v>214</v>
      </c>
      <c r="B116" s="13">
        <v>0.0</v>
      </c>
      <c r="C116" s="13">
        <v>0.0</v>
      </c>
      <c r="D116" s="13">
        <v>0.0</v>
      </c>
      <c r="E116" s="13">
        <v>3.0</v>
      </c>
      <c r="F116" s="13">
        <v>2.0</v>
      </c>
      <c r="G116" s="13">
        <v>1.0</v>
      </c>
      <c r="H116" s="13">
        <v>3.0</v>
      </c>
      <c r="I116" s="13">
        <v>1.0</v>
      </c>
      <c r="N116" s="7" t="s">
        <v>78</v>
      </c>
      <c r="O116" s="7" t="s">
        <v>221</v>
      </c>
      <c r="P116" s="7" t="s">
        <v>221</v>
      </c>
      <c r="Q116" s="8">
        <v>22001.0</v>
      </c>
      <c r="R116" s="9">
        <v>1.0</v>
      </c>
      <c r="S116" s="9">
        <v>5.0</v>
      </c>
      <c r="T116" s="9">
        <v>4.0</v>
      </c>
      <c r="U116" s="9">
        <v>16.0</v>
      </c>
      <c r="V116" s="9">
        <v>25.0</v>
      </c>
      <c r="W116" s="9">
        <v>15.0</v>
      </c>
    </row>
    <row r="117" ht="14.25" customHeight="1">
      <c r="A117" s="12" t="s">
        <v>95</v>
      </c>
      <c r="B117" s="13">
        <v>0.0</v>
      </c>
      <c r="C117" s="13">
        <v>0.0</v>
      </c>
      <c r="D117" s="13">
        <v>0.0</v>
      </c>
      <c r="E117" s="13">
        <v>0.0</v>
      </c>
      <c r="F117" s="13">
        <v>0.0</v>
      </c>
      <c r="G117" s="13">
        <v>1.0</v>
      </c>
      <c r="H117" s="13">
        <v>0.0</v>
      </c>
      <c r="I117" s="13">
        <v>1.0</v>
      </c>
      <c r="N117" s="7" t="s">
        <v>78</v>
      </c>
      <c r="O117" s="7" t="s">
        <v>221</v>
      </c>
      <c r="P117" s="7" t="s">
        <v>235</v>
      </c>
      <c r="Q117" s="8">
        <v>22002.0</v>
      </c>
      <c r="R117" s="9">
        <v>0.0</v>
      </c>
      <c r="S117" s="9">
        <v>0.0</v>
      </c>
      <c r="T117" s="9">
        <v>0.0</v>
      </c>
      <c r="U117" s="9">
        <v>0.0</v>
      </c>
      <c r="V117" s="9">
        <v>0.0</v>
      </c>
      <c r="W117" s="9">
        <v>0.0</v>
      </c>
    </row>
    <row r="118" ht="14.25" customHeight="1">
      <c r="A118" s="12" t="s">
        <v>213</v>
      </c>
      <c r="B118" s="13">
        <v>0.0</v>
      </c>
      <c r="C118" s="13">
        <v>0.0</v>
      </c>
      <c r="D118" s="13">
        <v>0.0</v>
      </c>
      <c r="E118" s="13">
        <v>5.0</v>
      </c>
      <c r="F118" s="13">
        <v>5.0</v>
      </c>
      <c r="G118" s="13">
        <v>5.0</v>
      </c>
      <c r="H118" s="13">
        <v>2.0</v>
      </c>
      <c r="I118" s="13">
        <v>3.0</v>
      </c>
      <c r="N118" s="7" t="s">
        <v>133</v>
      </c>
      <c r="O118" s="7" t="s">
        <v>236</v>
      </c>
      <c r="P118" s="7" t="s">
        <v>133</v>
      </c>
      <c r="Q118" s="8">
        <v>30101.0</v>
      </c>
      <c r="R118" s="9">
        <v>196.0</v>
      </c>
      <c r="S118" s="9">
        <v>213.0</v>
      </c>
      <c r="T118" s="9">
        <v>286.0</v>
      </c>
      <c r="U118" s="9">
        <v>321.0</v>
      </c>
      <c r="V118" s="9">
        <v>350.0</v>
      </c>
      <c r="W118" s="9">
        <v>319.0</v>
      </c>
    </row>
    <row r="119" ht="14.25" customHeight="1">
      <c r="A119" s="12" t="s">
        <v>220</v>
      </c>
      <c r="B119" s="13">
        <v>0.0</v>
      </c>
      <c r="C119" s="13">
        <v>0.0</v>
      </c>
      <c r="D119" s="13">
        <v>0.0</v>
      </c>
      <c r="E119" s="13">
        <v>0.0</v>
      </c>
      <c r="F119" s="13">
        <v>0.0</v>
      </c>
      <c r="G119" s="13">
        <v>0.0</v>
      </c>
      <c r="H119" s="13">
        <v>0.0</v>
      </c>
      <c r="I119" s="13">
        <v>0.0</v>
      </c>
      <c r="N119" s="7" t="s">
        <v>133</v>
      </c>
      <c r="O119" s="7" t="s">
        <v>237</v>
      </c>
      <c r="P119" s="7" t="s">
        <v>109</v>
      </c>
      <c r="Q119" s="8">
        <v>30201.0</v>
      </c>
      <c r="R119" s="9">
        <v>10.0</v>
      </c>
      <c r="S119" s="9">
        <v>19.0</v>
      </c>
      <c r="T119" s="9">
        <v>10.0</v>
      </c>
      <c r="U119" s="9">
        <v>7.0</v>
      </c>
      <c r="V119" s="9">
        <v>5.0</v>
      </c>
      <c r="W119" s="9">
        <v>2.0</v>
      </c>
    </row>
    <row r="120" ht="14.25" customHeight="1">
      <c r="A120" s="12" t="s">
        <v>154</v>
      </c>
      <c r="B120" s="13">
        <v>0.0</v>
      </c>
      <c r="C120" s="13">
        <v>0.0</v>
      </c>
      <c r="D120" s="13">
        <v>0.0</v>
      </c>
      <c r="E120" s="13">
        <v>1.0</v>
      </c>
      <c r="F120" s="13">
        <v>0.0</v>
      </c>
      <c r="G120" s="13">
        <v>1.0</v>
      </c>
      <c r="H120" s="13">
        <v>0.0</v>
      </c>
      <c r="I120" s="13">
        <v>0.0</v>
      </c>
      <c r="N120" s="7" t="s">
        <v>133</v>
      </c>
      <c r="O120" s="7" t="s">
        <v>237</v>
      </c>
      <c r="P120" s="7" t="s">
        <v>146</v>
      </c>
      <c r="Q120" s="8">
        <v>30202.0</v>
      </c>
      <c r="R120" s="9">
        <v>0.0</v>
      </c>
      <c r="S120" s="9">
        <v>0.0</v>
      </c>
      <c r="T120" s="9">
        <v>0.0</v>
      </c>
      <c r="U120" s="9">
        <v>0.0</v>
      </c>
      <c r="V120" s="9">
        <v>2.0</v>
      </c>
      <c r="W120" s="9">
        <v>1.0</v>
      </c>
    </row>
    <row r="121" ht="14.25" customHeight="1">
      <c r="A121" s="12" t="s">
        <v>84</v>
      </c>
      <c r="B121" s="13">
        <v>77.0</v>
      </c>
      <c r="C121" s="13">
        <v>115.0</v>
      </c>
      <c r="D121" s="13">
        <v>153.0</v>
      </c>
      <c r="E121" s="13">
        <v>223.0</v>
      </c>
      <c r="F121" s="13">
        <v>285.0</v>
      </c>
      <c r="G121" s="13">
        <v>391.0</v>
      </c>
      <c r="H121" s="13">
        <v>391.0</v>
      </c>
      <c r="I121" s="13">
        <v>388.0</v>
      </c>
      <c r="N121" s="7" t="s">
        <v>133</v>
      </c>
      <c r="O121" s="7" t="s">
        <v>237</v>
      </c>
      <c r="P121" s="7" t="s">
        <v>144</v>
      </c>
      <c r="Q121" s="8">
        <v>30203.0</v>
      </c>
      <c r="R121" s="9">
        <v>0.0</v>
      </c>
      <c r="S121" s="9">
        <v>0.0</v>
      </c>
      <c r="T121" s="9">
        <v>0.0</v>
      </c>
      <c r="U121" s="9">
        <v>0.0</v>
      </c>
      <c r="V121" s="9">
        <v>1.0</v>
      </c>
      <c r="W121" s="9">
        <v>1.0</v>
      </c>
    </row>
    <row r="122" ht="14.25" customHeight="1">
      <c r="A122" s="12" t="s">
        <v>128</v>
      </c>
      <c r="B122" s="13">
        <v>1.0</v>
      </c>
      <c r="C122" s="13">
        <v>3.0</v>
      </c>
      <c r="D122" s="13">
        <v>1.0</v>
      </c>
      <c r="E122" s="13">
        <v>4.0</v>
      </c>
      <c r="F122" s="13">
        <v>6.0</v>
      </c>
      <c r="G122" s="13">
        <v>8.0</v>
      </c>
      <c r="H122" s="13">
        <v>9.0</v>
      </c>
      <c r="I122" s="13">
        <v>10.0</v>
      </c>
      <c r="N122" s="7" t="s">
        <v>133</v>
      </c>
      <c r="O122" s="7" t="s">
        <v>238</v>
      </c>
      <c r="P122" s="7" t="s">
        <v>239</v>
      </c>
      <c r="Q122" s="8">
        <v>30301.0</v>
      </c>
      <c r="R122" s="9">
        <v>0.0</v>
      </c>
      <c r="S122" s="9">
        <v>0.0</v>
      </c>
      <c r="T122" s="9">
        <v>0.0</v>
      </c>
      <c r="U122" s="9">
        <v>2.0</v>
      </c>
      <c r="V122" s="9">
        <v>1.0</v>
      </c>
      <c r="W122" s="9">
        <v>4.0</v>
      </c>
    </row>
    <row r="123" ht="14.25" customHeight="1">
      <c r="A123" s="12" t="s">
        <v>240</v>
      </c>
      <c r="B123" s="13">
        <v>1.0</v>
      </c>
      <c r="C123" s="13">
        <v>0.0</v>
      </c>
      <c r="D123" s="13">
        <v>0.0</v>
      </c>
      <c r="E123" s="13">
        <v>0.0</v>
      </c>
      <c r="F123" s="13">
        <v>1.0</v>
      </c>
      <c r="G123" s="13">
        <v>0.0</v>
      </c>
      <c r="H123" s="13">
        <v>0.0</v>
      </c>
      <c r="I123" s="13">
        <v>0.0</v>
      </c>
      <c r="N123" s="7" t="s">
        <v>133</v>
      </c>
      <c r="O123" s="7" t="s">
        <v>238</v>
      </c>
      <c r="P123" s="7" t="s">
        <v>141</v>
      </c>
      <c r="Q123" s="8">
        <v>30302.0</v>
      </c>
      <c r="R123" s="9">
        <v>0.0</v>
      </c>
      <c r="S123" s="9">
        <v>0.0</v>
      </c>
      <c r="T123" s="9">
        <v>0.0</v>
      </c>
      <c r="U123" s="9">
        <v>0.0</v>
      </c>
      <c r="V123" s="9">
        <v>1.0</v>
      </c>
      <c r="W123" s="9">
        <v>1.0</v>
      </c>
    </row>
    <row r="124" ht="14.25" customHeight="1">
      <c r="A124" s="12" t="s">
        <v>181</v>
      </c>
      <c r="B124" s="13">
        <v>0.0</v>
      </c>
      <c r="C124" s="13">
        <v>0.0</v>
      </c>
      <c r="D124" s="13">
        <v>0.0</v>
      </c>
      <c r="E124" s="13">
        <v>0.0</v>
      </c>
      <c r="F124" s="13">
        <v>0.0</v>
      </c>
      <c r="G124" s="13">
        <v>0.0</v>
      </c>
      <c r="H124" s="13">
        <v>0.0</v>
      </c>
      <c r="I124" s="13">
        <v>0.0</v>
      </c>
      <c r="N124" s="7" t="s">
        <v>133</v>
      </c>
      <c r="O124" s="7" t="s">
        <v>238</v>
      </c>
      <c r="P124" s="7" t="s">
        <v>241</v>
      </c>
      <c r="Q124" s="8">
        <v>30303.0</v>
      </c>
      <c r="R124" s="9">
        <v>0.0</v>
      </c>
      <c r="S124" s="9">
        <v>0.0</v>
      </c>
      <c r="T124" s="9">
        <v>0.0</v>
      </c>
      <c r="U124" s="9">
        <v>0.0</v>
      </c>
      <c r="V124" s="9">
        <v>0.0</v>
      </c>
      <c r="W124" s="9">
        <v>0.0</v>
      </c>
    </row>
    <row r="125" ht="14.25" customHeight="1">
      <c r="A125" s="12" t="s">
        <v>173</v>
      </c>
      <c r="B125" s="13">
        <v>1.0</v>
      </c>
      <c r="C125" s="13">
        <v>2.0</v>
      </c>
      <c r="D125" s="13">
        <v>0.0</v>
      </c>
      <c r="E125" s="13">
        <v>1.0</v>
      </c>
      <c r="F125" s="13">
        <v>2.0</v>
      </c>
      <c r="G125" s="13">
        <v>0.0</v>
      </c>
      <c r="H125" s="13">
        <v>0.0</v>
      </c>
      <c r="I125" s="13">
        <v>1.0</v>
      </c>
      <c r="N125" s="7" t="s">
        <v>133</v>
      </c>
      <c r="O125" s="7" t="s">
        <v>242</v>
      </c>
      <c r="P125" s="7" t="s">
        <v>178</v>
      </c>
      <c r="Q125" s="8">
        <v>30401.0</v>
      </c>
      <c r="R125" s="9">
        <v>1.0</v>
      </c>
      <c r="S125" s="9">
        <v>2.0</v>
      </c>
      <c r="T125" s="9">
        <v>1.0</v>
      </c>
      <c r="U125" s="9">
        <v>0.0</v>
      </c>
      <c r="V125" s="9">
        <v>3.0</v>
      </c>
      <c r="W125" s="9">
        <v>2.0</v>
      </c>
    </row>
    <row r="126" ht="14.25" customHeight="1">
      <c r="A126" s="12" t="s">
        <v>243</v>
      </c>
      <c r="B126" s="13">
        <v>0.0</v>
      </c>
      <c r="C126" s="13">
        <v>0.0</v>
      </c>
      <c r="D126" s="13">
        <v>0.0</v>
      </c>
      <c r="E126" s="13">
        <v>0.0</v>
      </c>
      <c r="F126" s="13">
        <v>1.0</v>
      </c>
      <c r="G126" s="13">
        <v>1.0</v>
      </c>
      <c r="H126" s="13">
        <v>3.0</v>
      </c>
      <c r="I126" s="13">
        <v>2.0</v>
      </c>
      <c r="N126" s="7" t="s">
        <v>133</v>
      </c>
      <c r="O126" s="7" t="s">
        <v>242</v>
      </c>
      <c r="P126" s="7" t="s">
        <v>113</v>
      </c>
      <c r="Q126" s="8">
        <v>30402.0</v>
      </c>
      <c r="R126" s="9">
        <v>1.0</v>
      </c>
      <c r="S126" s="9">
        <v>0.0</v>
      </c>
      <c r="T126" s="9">
        <v>0.0</v>
      </c>
      <c r="U126" s="9">
        <v>0.0</v>
      </c>
      <c r="V126" s="9">
        <v>1.0</v>
      </c>
      <c r="W126" s="9">
        <v>0.0</v>
      </c>
    </row>
    <row r="127" ht="14.25" customHeight="1">
      <c r="A127" s="12" t="s">
        <v>216</v>
      </c>
      <c r="B127" s="13">
        <v>1.0</v>
      </c>
      <c r="C127" s="13">
        <v>0.0</v>
      </c>
      <c r="D127" s="13">
        <v>0.0</v>
      </c>
      <c r="E127" s="13">
        <v>0.0</v>
      </c>
      <c r="F127" s="13">
        <v>0.0</v>
      </c>
      <c r="G127" s="13">
        <v>0.0</v>
      </c>
      <c r="H127" s="13">
        <v>0.0</v>
      </c>
      <c r="I127" s="13">
        <v>1.0</v>
      </c>
      <c r="N127" s="7" t="s">
        <v>133</v>
      </c>
      <c r="O127" s="7" t="s">
        <v>242</v>
      </c>
      <c r="P127" s="7" t="s">
        <v>117</v>
      </c>
      <c r="Q127" s="8">
        <v>30403.0</v>
      </c>
      <c r="R127" s="9">
        <v>0.0</v>
      </c>
      <c r="S127" s="9">
        <v>0.0</v>
      </c>
      <c r="T127" s="9">
        <v>0.0</v>
      </c>
      <c r="U127" s="9">
        <v>4.0</v>
      </c>
      <c r="V127" s="9">
        <v>1.0</v>
      </c>
      <c r="W127" s="9">
        <v>0.0</v>
      </c>
    </row>
    <row r="128" ht="14.25" customHeight="1">
      <c r="A128" s="12" t="s">
        <v>244</v>
      </c>
      <c r="B128" s="13">
        <v>0.0</v>
      </c>
      <c r="C128" s="13">
        <v>0.0</v>
      </c>
      <c r="D128" s="13">
        <v>1.0</v>
      </c>
      <c r="E128" s="13">
        <v>0.0</v>
      </c>
      <c r="F128" s="13">
        <v>0.0</v>
      </c>
      <c r="G128" s="13">
        <v>1.0</v>
      </c>
      <c r="H128" s="13">
        <v>1.0</v>
      </c>
      <c r="I128" s="13">
        <v>1.0</v>
      </c>
      <c r="N128" s="7" t="s">
        <v>133</v>
      </c>
      <c r="O128" s="7" t="s">
        <v>242</v>
      </c>
      <c r="P128" s="7" t="s">
        <v>161</v>
      </c>
      <c r="Q128" s="8">
        <v>30404.0</v>
      </c>
      <c r="R128" s="9">
        <v>0.0</v>
      </c>
      <c r="S128" s="9">
        <v>0.0</v>
      </c>
      <c r="T128" s="9">
        <v>0.0</v>
      </c>
      <c r="U128" s="9">
        <v>1.0</v>
      </c>
      <c r="V128" s="9">
        <v>0.0</v>
      </c>
      <c r="W128" s="9">
        <v>0.0</v>
      </c>
    </row>
    <row r="129" ht="14.25" customHeight="1">
      <c r="A129" s="12" t="s">
        <v>194</v>
      </c>
      <c r="B129" s="13">
        <v>1.0</v>
      </c>
      <c r="C129" s="13">
        <v>0.0</v>
      </c>
      <c r="D129" s="13">
        <v>0.0</v>
      </c>
      <c r="E129" s="13">
        <v>4.0</v>
      </c>
      <c r="F129" s="13">
        <v>7.0</v>
      </c>
      <c r="G129" s="13">
        <v>3.0</v>
      </c>
      <c r="H129" s="13">
        <v>2.0</v>
      </c>
      <c r="I129" s="13">
        <v>5.0</v>
      </c>
      <c r="N129" s="7" t="s">
        <v>133</v>
      </c>
      <c r="O129" s="7" t="s">
        <v>115</v>
      </c>
      <c r="P129" s="7" t="s">
        <v>115</v>
      </c>
      <c r="Q129" s="8">
        <v>30501.0</v>
      </c>
      <c r="R129" s="9">
        <v>0.0</v>
      </c>
      <c r="S129" s="9">
        <v>0.0</v>
      </c>
      <c r="T129" s="9">
        <v>0.0</v>
      </c>
      <c r="U129" s="9">
        <v>2.0</v>
      </c>
      <c r="V129" s="9">
        <v>0.0</v>
      </c>
      <c r="W129" s="9">
        <v>1.0</v>
      </c>
    </row>
    <row r="130" ht="14.25" customHeight="1">
      <c r="A130" s="12" t="s">
        <v>78</v>
      </c>
      <c r="B130" s="13">
        <v>139.0</v>
      </c>
      <c r="C130" s="13">
        <v>157.0</v>
      </c>
      <c r="D130" s="13">
        <v>182.0</v>
      </c>
      <c r="E130" s="13">
        <v>224.0</v>
      </c>
      <c r="F130" s="13">
        <v>270.0</v>
      </c>
      <c r="G130" s="13">
        <v>299.0</v>
      </c>
      <c r="H130" s="13">
        <v>298.0</v>
      </c>
      <c r="I130" s="13">
        <v>298.0</v>
      </c>
      <c r="N130" s="7" t="s">
        <v>133</v>
      </c>
      <c r="O130" s="7" t="s">
        <v>115</v>
      </c>
      <c r="P130" s="7" t="s">
        <v>191</v>
      </c>
      <c r="Q130" s="8">
        <v>30502.0</v>
      </c>
      <c r="R130" s="9">
        <v>0.0</v>
      </c>
      <c r="S130" s="9">
        <v>0.0</v>
      </c>
      <c r="T130" s="9">
        <v>0.0</v>
      </c>
      <c r="U130" s="9">
        <v>0.0</v>
      </c>
      <c r="V130" s="9">
        <v>2.0</v>
      </c>
      <c r="W130" s="9">
        <v>0.0</v>
      </c>
    </row>
    <row r="131" ht="14.25" customHeight="1">
      <c r="A131" s="12" t="s">
        <v>199</v>
      </c>
      <c r="B131" s="13">
        <v>0.0</v>
      </c>
      <c r="C131" s="13">
        <v>0.0</v>
      </c>
      <c r="D131" s="13">
        <v>0.0</v>
      </c>
      <c r="E131" s="13">
        <v>1.0</v>
      </c>
      <c r="F131" s="13">
        <v>2.0</v>
      </c>
      <c r="G131" s="13">
        <v>0.0</v>
      </c>
      <c r="H131" s="13">
        <v>1.0</v>
      </c>
      <c r="I131" s="13">
        <v>0.0</v>
      </c>
      <c r="N131" s="7" t="s">
        <v>133</v>
      </c>
      <c r="O131" s="7" t="s">
        <v>120</v>
      </c>
      <c r="P131" s="7" t="s">
        <v>120</v>
      </c>
      <c r="Q131" s="8">
        <v>30601.0</v>
      </c>
      <c r="R131" s="9">
        <v>0.0</v>
      </c>
      <c r="S131" s="9">
        <v>0.0</v>
      </c>
      <c r="T131" s="9">
        <v>0.0</v>
      </c>
      <c r="U131" s="9">
        <v>2.0</v>
      </c>
      <c r="V131" s="9">
        <v>2.0</v>
      </c>
      <c r="W131" s="9">
        <v>1.0</v>
      </c>
    </row>
    <row r="132" ht="14.25" customHeight="1">
      <c r="A132" s="12" t="s">
        <v>163</v>
      </c>
      <c r="B132" s="13">
        <v>0.0</v>
      </c>
      <c r="C132" s="13">
        <v>0.0</v>
      </c>
      <c r="D132" s="13">
        <v>0.0</v>
      </c>
      <c r="E132" s="13">
        <v>0.0</v>
      </c>
      <c r="F132" s="13">
        <v>1.0</v>
      </c>
      <c r="G132" s="13">
        <v>0.0</v>
      </c>
      <c r="H132" s="13">
        <v>2.0</v>
      </c>
      <c r="I132" s="13">
        <v>1.0</v>
      </c>
      <c r="N132" s="7" t="s">
        <v>133</v>
      </c>
      <c r="O132" s="7" t="s">
        <v>120</v>
      </c>
      <c r="P132" s="7" t="s">
        <v>174</v>
      </c>
      <c r="Q132" s="8">
        <v>30602.0</v>
      </c>
      <c r="R132" s="9">
        <v>0.0</v>
      </c>
      <c r="S132" s="9">
        <v>0.0</v>
      </c>
      <c r="T132" s="9">
        <v>0.0</v>
      </c>
      <c r="U132" s="9">
        <v>1.0</v>
      </c>
      <c r="V132" s="9">
        <v>1.0</v>
      </c>
      <c r="W132" s="9">
        <v>1.0</v>
      </c>
    </row>
    <row r="133" ht="14.25" customHeight="1">
      <c r="A133" s="12" t="s">
        <v>169</v>
      </c>
      <c r="B133" s="13">
        <v>0.0</v>
      </c>
      <c r="C133" s="13">
        <v>0.0</v>
      </c>
      <c r="D133" s="13">
        <v>0.0</v>
      </c>
      <c r="E133" s="13">
        <v>0.0</v>
      </c>
      <c r="F133" s="13">
        <v>0.0</v>
      </c>
      <c r="G133" s="13">
        <v>2.0</v>
      </c>
      <c r="H133" s="13">
        <v>0.0</v>
      </c>
      <c r="I133" s="13">
        <v>0.0</v>
      </c>
      <c r="N133" s="7" t="s">
        <v>133</v>
      </c>
      <c r="O133" s="7" t="s">
        <v>127</v>
      </c>
      <c r="P133" s="7" t="s">
        <v>127</v>
      </c>
      <c r="Q133" s="8">
        <v>30701.0</v>
      </c>
      <c r="R133" s="9">
        <v>0.0</v>
      </c>
      <c r="S133" s="9">
        <v>2.0</v>
      </c>
      <c r="T133" s="9">
        <v>1.0</v>
      </c>
      <c r="U133" s="9">
        <v>0.0</v>
      </c>
      <c r="V133" s="9">
        <v>0.0</v>
      </c>
      <c r="W133" s="9">
        <v>3.0</v>
      </c>
    </row>
    <row r="134" ht="14.25" customHeight="1">
      <c r="A134" s="12" t="s">
        <v>82</v>
      </c>
      <c r="B134" s="13">
        <v>0.0</v>
      </c>
      <c r="C134" s="13">
        <v>0.0</v>
      </c>
      <c r="D134" s="13">
        <v>0.0</v>
      </c>
      <c r="E134" s="13">
        <v>0.0</v>
      </c>
      <c r="F134" s="13">
        <v>2.0</v>
      </c>
      <c r="G134" s="13">
        <v>1.0</v>
      </c>
      <c r="H134" s="13">
        <v>4.0</v>
      </c>
      <c r="I134" s="13">
        <v>0.0</v>
      </c>
      <c r="N134" s="7" t="s">
        <v>133</v>
      </c>
      <c r="O134" s="7" t="s">
        <v>127</v>
      </c>
      <c r="P134" s="7" t="s">
        <v>166</v>
      </c>
      <c r="Q134" s="8">
        <v>30702.0</v>
      </c>
      <c r="R134" s="9">
        <v>0.0</v>
      </c>
      <c r="S134" s="9">
        <v>0.0</v>
      </c>
      <c r="T134" s="9">
        <v>0.0</v>
      </c>
      <c r="U134" s="9">
        <v>2.0</v>
      </c>
      <c r="V134" s="9">
        <v>0.0</v>
      </c>
      <c r="W134" s="9">
        <v>1.0</v>
      </c>
    </row>
    <row r="135" ht="14.25" customHeight="1">
      <c r="A135" s="12" t="s">
        <v>110</v>
      </c>
      <c r="B135" s="13">
        <v>0.0</v>
      </c>
      <c r="C135" s="13">
        <v>0.0</v>
      </c>
      <c r="D135" s="13">
        <v>0.0</v>
      </c>
      <c r="E135" s="13">
        <v>0.0</v>
      </c>
      <c r="F135" s="13">
        <v>1.0</v>
      </c>
      <c r="G135" s="13">
        <v>0.0</v>
      </c>
      <c r="H135" s="13">
        <v>2.0</v>
      </c>
      <c r="I135" s="13">
        <v>0.0</v>
      </c>
      <c r="N135" s="7" t="s">
        <v>133</v>
      </c>
      <c r="O135" s="7" t="s">
        <v>127</v>
      </c>
      <c r="P135" s="7" t="s">
        <v>168</v>
      </c>
      <c r="Q135" s="8">
        <v>30703.0</v>
      </c>
      <c r="R135" s="9">
        <v>0.0</v>
      </c>
      <c r="S135" s="9">
        <v>1.0</v>
      </c>
      <c r="T135" s="9">
        <v>0.0</v>
      </c>
      <c r="U135" s="9">
        <v>1.0</v>
      </c>
      <c r="V135" s="9">
        <v>2.0</v>
      </c>
      <c r="W135" s="9">
        <v>2.0</v>
      </c>
    </row>
    <row r="136" ht="14.25" customHeight="1">
      <c r="A136" s="12" t="s">
        <v>104</v>
      </c>
      <c r="B136" s="13">
        <v>0.0</v>
      </c>
      <c r="C136" s="13">
        <v>0.0</v>
      </c>
      <c r="D136" s="13">
        <v>0.0</v>
      </c>
      <c r="E136" s="13">
        <v>0.0</v>
      </c>
      <c r="F136" s="13">
        <v>0.0</v>
      </c>
      <c r="G136" s="13">
        <v>0.0</v>
      </c>
      <c r="H136" s="13">
        <v>0.0</v>
      </c>
      <c r="I136" s="13">
        <v>1.0</v>
      </c>
      <c r="N136" s="7" t="s">
        <v>133</v>
      </c>
      <c r="O136" s="7" t="s">
        <v>245</v>
      </c>
      <c r="P136" s="7" t="s">
        <v>131</v>
      </c>
      <c r="Q136" s="8">
        <v>30801.0</v>
      </c>
      <c r="R136" s="9">
        <v>1.0</v>
      </c>
      <c r="S136" s="9">
        <v>1.0</v>
      </c>
      <c r="T136" s="9">
        <v>3.0</v>
      </c>
      <c r="U136" s="9">
        <v>5.0</v>
      </c>
      <c r="V136" s="9">
        <v>5.0</v>
      </c>
      <c r="W136" s="9">
        <v>3.0</v>
      </c>
    </row>
    <row r="137" ht="14.25" customHeight="1">
      <c r="A137" s="12" t="s">
        <v>81</v>
      </c>
      <c r="B137" s="13">
        <v>0.0</v>
      </c>
      <c r="C137" s="13">
        <v>0.0</v>
      </c>
      <c r="D137" s="13">
        <v>0.0</v>
      </c>
      <c r="E137" s="13">
        <v>0.0</v>
      </c>
      <c r="F137" s="13">
        <v>1.0</v>
      </c>
      <c r="G137" s="13">
        <v>1.0</v>
      </c>
      <c r="H137" s="13">
        <v>5.0</v>
      </c>
      <c r="I137" s="13">
        <v>5.0</v>
      </c>
      <c r="N137" s="7" t="s">
        <v>133</v>
      </c>
      <c r="O137" s="7" t="s">
        <v>245</v>
      </c>
      <c r="P137" s="7" t="s">
        <v>246</v>
      </c>
      <c r="Q137" s="8">
        <v>30802.0</v>
      </c>
      <c r="R137" s="9">
        <v>0.0</v>
      </c>
      <c r="S137" s="9">
        <v>0.0</v>
      </c>
      <c r="T137" s="9">
        <v>0.0</v>
      </c>
      <c r="U137" s="9">
        <v>0.0</v>
      </c>
      <c r="V137" s="9">
        <v>1.0</v>
      </c>
      <c r="W137" s="9">
        <v>0.0</v>
      </c>
    </row>
    <row r="138" ht="14.25" customHeight="1">
      <c r="A138" s="12" t="s">
        <v>192</v>
      </c>
      <c r="B138" s="13">
        <v>0.0</v>
      </c>
      <c r="C138" s="13">
        <v>0.0</v>
      </c>
      <c r="D138" s="13">
        <v>0.0</v>
      </c>
      <c r="E138" s="13">
        <v>4.0</v>
      </c>
      <c r="F138" s="13">
        <v>2.0</v>
      </c>
      <c r="G138" s="13">
        <v>5.0</v>
      </c>
      <c r="H138" s="13">
        <v>4.0</v>
      </c>
      <c r="I138" s="13">
        <v>4.0</v>
      </c>
      <c r="N138" s="7" t="s">
        <v>133</v>
      </c>
      <c r="O138" s="7" t="s">
        <v>245</v>
      </c>
      <c r="P138" s="7" t="s">
        <v>187</v>
      </c>
      <c r="Q138" s="8">
        <v>30803.0</v>
      </c>
      <c r="R138" s="9">
        <v>1.0</v>
      </c>
      <c r="S138" s="9">
        <v>0.0</v>
      </c>
      <c r="T138" s="9">
        <v>0.0</v>
      </c>
      <c r="U138" s="9">
        <v>1.0</v>
      </c>
      <c r="V138" s="9">
        <v>0.0</v>
      </c>
      <c r="W138" s="9">
        <v>2.0</v>
      </c>
    </row>
    <row r="139" ht="14.25" customHeight="1">
      <c r="A139" s="12" t="s">
        <v>230</v>
      </c>
      <c r="B139" s="13">
        <v>0.0</v>
      </c>
      <c r="C139" s="13">
        <v>0.0</v>
      </c>
      <c r="D139" s="13">
        <v>0.0</v>
      </c>
      <c r="E139" s="13">
        <v>0.0</v>
      </c>
      <c r="F139" s="13">
        <v>0.0</v>
      </c>
      <c r="G139" s="13">
        <v>1.0</v>
      </c>
      <c r="H139" s="13">
        <v>0.0</v>
      </c>
      <c r="I139" s="13">
        <v>0.0</v>
      </c>
      <c r="N139" s="7" t="s">
        <v>133</v>
      </c>
      <c r="O139" s="7" t="s">
        <v>157</v>
      </c>
      <c r="P139" s="7" t="s">
        <v>157</v>
      </c>
      <c r="Q139" s="8">
        <v>30901.0</v>
      </c>
      <c r="R139" s="9">
        <v>23.0</v>
      </c>
      <c r="S139" s="9">
        <v>14.0</v>
      </c>
      <c r="T139" s="9">
        <v>16.0</v>
      </c>
      <c r="U139" s="9">
        <v>40.0</v>
      </c>
      <c r="V139" s="9">
        <v>63.0</v>
      </c>
      <c r="W139" s="9">
        <v>31.0</v>
      </c>
    </row>
    <row r="140" ht="14.25" customHeight="1">
      <c r="A140" s="12" t="s">
        <v>209</v>
      </c>
      <c r="B140" s="13">
        <v>1.0</v>
      </c>
      <c r="C140" s="13">
        <v>2.0</v>
      </c>
      <c r="D140" s="13">
        <v>6.0</v>
      </c>
      <c r="E140" s="13">
        <v>4.0</v>
      </c>
      <c r="F140" s="13">
        <v>1.0</v>
      </c>
      <c r="G140" s="13">
        <v>1.0</v>
      </c>
      <c r="H140" s="13">
        <v>2.0</v>
      </c>
      <c r="I140" s="13">
        <v>1.0</v>
      </c>
      <c r="N140" s="7" t="s">
        <v>133</v>
      </c>
      <c r="O140" s="7" t="s">
        <v>157</v>
      </c>
      <c r="P140" s="7" t="s">
        <v>247</v>
      </c>
      <c r="Q140" s="8">
        <v>30902.0</v>
      </c>
      <c r="R140" s="9">
        <v>2.0</v>
      </c>
      <c r="S140" s="9">
        <v>0.0</v>
      </c>
      <c r="T140" s="9">
        <v>0.0</v>
      </c>
      <c r="U140" s="9">
        <v>2.0</v>
      </c>
      <c r="V140" s="9">
        <v>7.0</v>
      </c>
      <c r="W140" s="9">
        <v>9.0</v>
      </c>
    </row>
    <row r="141" ht="14.25" customHeight="1">
      <c r="A141" s="12" t="s">
        <v>145</v>
      </c>
      <c r="B141" s="13">
        <v>0.0</v>
      </c>
      <c r="C141" s="13">
        <v>0.0</v>
      </c>
      <c r="D141" s="13">
        <v>0.0</v>
      </c>
      <c r="E141" s="13">
        <v>1.0</v>
      </c>
      <c r="F141" s="13">
        <v>5.0</v>
      </c>
      <c r="G141" s="13">
        <v>0.0</v>
      </c>
      <c r="H141" s="13">
        <v>0.0</v>
      </c>
      <c r="I141" s="13">
        <v>1.0</v>
      </c>
      <c r="N141" s="7" t="s">
        <v>133</v>
      </c>
      <c r="O141" s="7" t="s">
        <v>157</v>
      </c>
      <c r="P141" s="7" t="s">
        <v>180</v>
      </c>
      <c r="Q141" s="8">
        <v>30903.0</v>
      </c>
      <c r="R141" s="9">
        <v>6.0</v>
      </c>
      <c r="S141" s="9">
        <v>6.0</v>
      </c>
      <c r="T141" s="9">
        <v>6.0</v>
      </c>
      <c r="U141" s="9">
        <v>20.0</v>
      </c>
      <c r="V141" s="9">
        <v>10.0</v>
      </c>
      <c r="W141" s="9">
        <v>11.0</v>
      </c>
    </row>
    <row r="142" ht="14.25" customHeight="1">
      <c r="A142" s="12" t="s">
        <v>197</v>
      </c>
      <c r="B142" s="13">
        <v>0.0</v>
      </c>
      <c r="C142" s="13">
        <v>0.0</v>
      </c>
      <c r="D142" s="13">
        <v>0.0</v>
      </c>
      <c r="E142" s="13">
        <v>0.0</v>
      </c>
      <c r="F142" s="13">
        <v>0.0</v>
      </c>
      <c r="G142" s="13">
        <v>1.0</v>
      </c>
      <c r="H142" s="13">
        <v>3.0</v>
      </c>
      <c r="I142" s="13">
        <v>0.0</v>
      </c>
      <c r="N142" s="7" t="s">
        <v>133</v>
      </c>
      <c r="O142" s="7" t="s">
        <v>157</v>
      </c>
      <c r="P142" s="7" t="s">
        <v>200</v>
      </c>
      <c r="Q142" s="8">
        <v>30904.0</v>
      </c>
      <c r="R142" s="9">
        <v>3.0</v>
      </c>
      <c r="S142" s="9">
        <v>2.0</v>
      </c>
      <c r="T142" s="9">
        <v>6.0</v>
      </c>
      <c r="U142" s="9">
        <v>17.0</v>
      </c>
      <c r="V142" s="9">
        <v>14.0</v>
      </c>
      <c r="W142" s="9">
        <v>20.0</v>
      </c>
    </row>
    <row r="143" ht="14.25" customHeight="1">
      <c r="A143" s="12" t="s">
        <v>108</v>
      </c>
      <c r="B143" s="13">
        <v>0.0</v>
      </c>
      <c r="C143" s="13">
        <v>0.0</v>
      </c>
      <c r="D143" s="13">
        <v>0.0</v>
      </c>
      <c r="E143" s="13">
        <v>0.0</v>
      </c>
      <c r="F143" s="13">
        <v>0.0</v>
      </c>
      <c r="G143" s="13">
        <v>4.0</v>
      </c>
      <c r="H143" s="13">
        <v>0.0</v>
      </c>
      <c r="I143" s="13">
        <v>1.0</v>
      </c>
      <c r="N143" s="7" t="s">
        <v>133</v>
      </c>
      <c r="O143" s="7" t="s">
        <v>157</v>
      </c>
      <c r="P143" s="7" t="s">
        <v>135</v>
      </c>
      <c r="Q143" s="8">
        <v>30905.0</v>
      </c>
      <c r="R143" s="9">
        <v>4.0</v>
      </c>
      <c r="S143" s="9">
        <v>6.0</v>
      </c>
      <c r="T143" s="9">
        <v>5.0</v>
      </c>
      <c r="U143" s="9">
        <v>12.0</v>
      </c>
      <c r="V143" s="9">
        <v>17.0</v>
      </c>
      <c r="W143" s="9">
        <v>20.0</v>
      </c>
    </row>
    <row r="144" ht="14.25" customHeight="1">
      <c r="A144" s="12" t="s">
        <v>248</v>
      </c>
      <c r="B144" s="13">
        <v>0.0</v>
      </c>
      <c r="C144" s="13">
        <v>0.0</v>
      </c>
      <c r="D144" s="13">
        <v>0.0</v>
      </c>
      <c r="E144" s="13">
        <v>1.0</v>
      </c>
      <c r="F144" s="13">
        <v>0.0</v>
      </c>
      <c r="G144" s="13">
        <v>0.0</v>
      </c>
      <c r="H144" s="13">
        <v>1.0</v>
      </c>
      <c r="I144" s="13">
        <v>1.0</v>
      </c>
      <c r="N144" s="7" t="s">
        <v>133</v>
      </c>
      <c r="O144" s="7" t="s">
        <v>249</v>
      </c>
      <c r="P144" s="7" t="s">
        <v>159</v>
      </c>
      <c r="Q144" s="8">
        <v>31001.0</v>
      </c>
      <c r="R144" s="9">
        <v>13.0</v>
      </c>
      <c r="S144" s="9">
        <v>15.0</v>
      </c>
      <c r="T144" s="9">
        <v>12.0</v>
      </c>
      <c r="U144" s="9">
        <v>26.0</v>
      </c>
      <c r="V144" s="9">
        <v>53.0</v>
      </c>
      <c r="W144" s="9">
        <v>65.0</v>
      </c>
    </row>
    <row r="145" ht="14.25" customHeight="1">
      <c r="A145" s="12" t="s">
        <v>250</v>
      </c>
      <c r="B145" s="13">
        <v>0.0</v>
      </c>
      <c r="C145" s="13">
        <v>0.0</v>
      </c>
      <c r="D145" s="13">
        <v>0.0</v>
      </c>
      <c r="E145" s="13">
        <v>0.0</v>
      </c>
      <c r="F145" s="13">
        <v>0.0</v>
      </c>
      <c r="G145" s="13">
        <v>1.0</v>
      </c>
      <c r="H145" s="13">
        <v>0.0</v>
      </c>
      <c r="I145" s="13">
        <v>0.0</v>
      </c>
      <c r="N145" s="7" t="s">
        <v>133</v>
      </c>
      <c r="O145" s="7" t="s">
        <v>249</v>
      </c>
      <c r="P145" s="7" t="s">
        <v>137</v>
      </c>
      <c r="Q145" s="8">
        <v>31002.0</v>
      </c>
      <c r="R145" s="9">
        <v>0.0</v>
      </c>
      <c r="S145" s="9">
        <v>1.0</v>
      </c>
      <c r="T145" s="9">
        <v>0.0</v>
      </c>
      <c r="U145" s="9">
        <v>2.0</v>
      </c>
      <c r="V145" s="9">
        <v>5.0</v>
      </c>
      <c r="W145" s="9">
        <v>3.0</v>
      </c>
    </row>
    <row r="146" ht="14.25" customHeight="1">
      <c r="A146" s="12" t="s">
        <v>132</v>
      </c>
      <c r="B146" s="13">
        <v>0.0</v>
      </c>
      <c r="C146" s="13">
        <v>0.0</v>
      </c>
      <c r="D146" s="13">
        <v>0.0</v>
      </c>
      <c r="E146" s="13">
        <v>0.0</v>
      </c>
      <c r="F146" s="13">
        <v>0.0</v>
      </c>
      <c r="G146" s="13">
        <v>0.0</v>
      </c>
      <c r="H146" s="13">
        <v>1.0</v>
      </c>
      <c r="I146" s="13">
        <v>0.0</v>
      </c>
      <c r="N146" s="7" t="s">
        <v>133</v>
      </c>
      <c r="O146" s="7" t="s">
        <v>249</v>
      </c>
      <c r="P146" s="7" t="s">
        <v>198</v>
      </c>
      <c r="Q146" s="8">
        <v>31003.0</v>
      </c>
      <c r="R146" s="9">
        <v>6.0</v>
      </c>
      <c r="S146" s="9">
        <v>5.0</v>
      </c>
      <c r="T146" s="9">
        <v>9.0</v>
      </c>
      <c r="U146" s="9">
        <v>19.0</v>
      </c>
      <c r="V146" s="9">
        <v>21.0</v>
      </c>
      <c r="W146" s="9">
        <v>18.0</v>
      </c>
    </row>
    <row r="147" ht="14.25" customHeight="1">
      <c r="A147" s="12" t="s">
        <v>175</v>
      </c>
      <c r="B147" s="13">
        <v>0.0</v>
      </c>
      <c r="C147" s="13">
        <v>2.0</v>
      </c>
      <c r="D147" s="13">
        <v>0.0</v>
      </c>
      <c r="E147" s="13">
        <v>0.0</v>
      </c>
      <c r="F147" s="13">
        <v>0.0</v>
      </c>
      <c r="G147" s="13">
        <v>2.0</v>
      </c>
      <c r="H147" s="13">
        <v>1.0</v>
      </c>
      <c r="I147" s="13">
        <v>0.0</v>
      </c>
      <c r="N147" s="7" t="s">
        <v>133</v>
      </c>
      <c r="O147" s="7" t="s">
        <v>176</v>
      </c>
      <c r="P147" s="7" t="s">
        <v>176</v>
      </c>
      <c r="Q147" s="8">
        <v>31101.0</v>
      </c>
      <c r="R147" s="9">
        <v>0.0</v>
      </c>
      <c r="S147" s="9">
        <v>0.0</v>
      </c>
      <c r="T147" s="9">
        <v>0.0</v>
      </c>
      <c r="U147" s="9">
        <v>0.0</v>
      </c>
      <c r="V147" s="9">
        <v>1.0</v>
      </c>
      <c r="W147" s="9">
        <v>2.0</v>
      </c>
    </row>
    <row r="148" ht="14.25" customHeight="1">
      <c r="A148" s="12" t="s">
        <v>217</v>
      </c>
      <c r="B148" s="13">
        <v>0.0</v>
      </c>
      <c r="C148" s="13">
        <v>0.0</v>
      </c>
      <c r="D148" s="13">
        <v>0.0</v>
      </c>
      <c r="E148" s="13">
        <v>3.0</v>
      </c>
      <c r="F148" s="13">
        <v>1.0</v>
      </c>
      <c r="G148" s="13">
        <v>1.0</v>
      </c>
      <c r="H148" s="13">
        <v>2.0</v>
      </c>
      <c r="I148" s="13">
        <v>4.0</v>
      </c>
      <c r="N148" s="7" t="s">
        <v>133</v>
      </c>
      <c r="O148" s="7" t="s">
        <v>251</v>
      </c>
      <c r="P148" s="7" t="s">
        <v>189</v>
      </c>
      <c r="Q148" s="8">
        <v>31201.0</v>
      </c>
      <c r="R148" s="9">
        <v>0.0</v>
      </c>
      <c r="S148" s="9">
        <v>0.0</v>
      </c>
      <c r="T148" s="9">
        <v>0.0</v>
      </c>
      <c r="U148" s="9">
        <v>0.0</v>
      </c>
      <c r="V148" s="9">
        <v>2.0</v>
      </c>
      <c r="W148" s="9">
        <v>1.0</v>
      </c>
    </row>
    <row r="149" ht="14.25" customHeight="1">
      <c r="A149" s="12" t="s">
        <v>225</v>
      </c>
      <c r="B149" s="13">
        <v>0.0</v>
      </c>
      <c r="C149" s="13">
        <v>0.0</v>
      </c>
      <c r="D149" s="13">
        <v>0.0</v>
      </c>
      <c r="E149" s="13">
        <v>0.0</v>
      </c>
      <c r="F149" s="13">
        <v>2.0</v>
      </c>
      <c r="G149" s="13">
        <v>1.0</v>
      </c>
      <c r="H149" s="13">
        <v>1.0</v>
      </c>
      <c r="I149" s="13">
        <v>0.0</v>
      </c>
      <c r="N149" s="7" t="s">
        <v>133</v>
      </c>
      <c r="O149" s="7" t="s">
        <v>251</v>
      </c>
      <c r="P149" s="7" t="s">
        <v>151</v>
      </c>
      <c r="Q149" s="8">
        <v>31202.0</v>
      </c>
      <c r="R149" s="9">
        <v>0.0</v>
      </c>
      <c r="S149" s="9">
        <v>0.0</v>
      </c>
      <c r="T149" s="9">
        <v>0.0</v>
      </c>
      <c r="U149" s="9">
        <v>28.0</v>
      </c>
      <c r="V149" s="9">
        <v>20.0</v>
      </c>
      <c r="W149" s="9">
        <v>18.0</v>
      </c>
    </row>
    <row r="150" ht="14.25" customHeight="1">
      <c r="A150" s="12" t="s">
        <v>105</v>
      </c>
      <c r="B150" s="13">
        <v>0.0</v>
      </c>
      <c r="C150" s="13">
        <v>0.0</v>
      </c>
      <c r="D150" s="13">
        <v>0.0</v>
      </c>
      <c r="E150" s="13">
        <v>0.0</v>
      </c>
      <c r="F150" s="13">
        <v>0.0</v>
      </c>
      <c r="G150" s="13">
        <v>1.0</v>
      </c>
      <c r="H150" s="13">
        <v>0.0</v>
      </c>
      <c r="I150" s="13">
        <v>1.0</v>
      </c>
      <c r="N150" s="7" t="s">
        <v>133</v>
      </c>
      <c r="O150" s="7" t="s">
        <v>251</v>
      </c>
      <c r="P150" s="7" t="s">
        <v>149</v>
      </c>
      <c r="Q150" s="8">
        <v>31203.0</v>
      </c>
      <c r="R150" s="9">
        <v>0.0</v>
      </c>
      <c r="S150" s="9">
        <v>0.0</v>
      </c>
      <c r="T150" s="9">
        <v>0.0</v>
      </c>
      <c r="U150" s="9">
        <v>2.0</v>
      </c>
      <c r="V150" s="9">
        <v>0.0</v>
      </c>
      <c r="W150" s="9">
        <v>4.0</v>
      </c>
    </row>
    <row r="151" ht="14.25" customHeight="1">
      <c r="A151" s="12" t="s">
        <v>233</v>
      </c>
      <c r="B151" s="13">
        <v>0.0</v>
      </c>
      <c r="C151" s="13">
        <v>0.0</v>
      </c>
      <c r="D151" s="13">
        <v>0.0</v>
      </c>
      <c r="E151" s="13">
        <v>0.0</v>
      </c>
      <c r="F151" s="13">
        <v>0.0</v>
      </c>
      <c r="G151" s="13">
        <v>2.0</v>
      </c>
      <c r="H151" s="13">
        <v>1.0</v>
      </c>
      <c r="I151" s="13">
        <v>0.0</v>
      </c>
      <c r="N151" s="7" t="s">
        <v>133</v>
      </c>
      <c r="O151" s="7" t="s">
        <v>251</v>
      </c>
      <c r="P151" s="7" t="s">
        <v>129</v>
      </c>
      <c r="Q151" s="8">
        <v>31204.0</v>
      </c>
      <c r="R151" s="9">
        <v>7.0</v>
      </c>
      <c r="S151" s="9">
        <v>2.0</v>
      </c>
      <c r="T151" s="9">
        <v>2.0</v>
      </c>
      <c r="U151" s="9">
        <v>20.0</v>
      </c>
      <c r="V151" s="9">
        <v>9.0</v>
      </c>
      <c r="W151" s="9">
        <v>18.0</v>
      </c>
    </row>
    <row r="152" ht="14.25" customHeight="1">
      <c r="A152" s="12" t="s">
        <v>165</v>
      </c>
      <c r="B152" s="13">
        <v>0.0</v>
      </c>
      <c r="C152" s="13">
        <v>0.0</v>
      </c>
      <c r="D152" s="13">
        <v>0.0</v>
      </c>
      <c r="E152" s="13">
        <v>2.0</v>
      </c>
      <c r="F152" s="13">
        <v>0.0</v>
      </c>
      <c r="G152" s="13">
        <v>1.0</v>
      </c>
      <c r="H152" s="13">
        <v>1.0</v>
      </c>
      <c r="I152" s="13">
        <v>2.0</v>
      </c>
      <c r="N152" s="7" t="s">
        <v>133</v>
      </c>
      <c r="O152" s="7" t="s">
        <v>251</v>
      </c>
      <c r="P152" s="7" t="s">
        <v>153</v>
      </c>
      <c r="Q152" s="8">
        <v>31205.0</v>
      </c>
      <c r="R152" s="9">
        <v>1.0</v>
      </c>
      <c r="S152" s="9">
        <v>6.0</v>
      </c>
      <c r="T152" s="9">
        <v>4.0</v>
      </c>
      <c r="U152" s="9">
        <v>53.0</v>
      </c>
      <c r="V152" s="9">
        <v>77.0</v>
      </c>
      <c r="W152" s="9">
        <v>66.0</v>
      </c>
    </row>
    <row r="153" ht="14.25" customHeight="1">
      <c r="A153" s="12" t="s">
        <v>252</v>
      </c>
      <c r="B153" s="13">
        <v>0.0</v>
      </c>
      <c r="C153" s="13">
        <v>0.0</v>
      </c>
      <c r="D153" s="13">
        <v>0.0</v>
      </c>
      <c r="E153" s="13">
        <v>0.0</v>
      </c>
      <c r="F153" s="13">
        <v>0.0</v>
      </c>
      <c r="G153" s="13">
        <v>1.0</v>
      </c>
      <c r="H153" s="13">
        <v>0.0</v>
      </c>
      <c r="I153" s="13">
        <v>1.0</v>
      </c>
      <c r="N153" s="7" t="s">
        <v>133</v>
      </c>
      <c r="O153" s="7" t="s">
        <v>251</v>
      </c>
      <c r="P153" s="7" t="s">
        <v>253</v>
      </c>
      <c r="Q153" s="8">
        <v>31206.0</v>
      </c>
      <c r="R153" s="9">
        <v>0.0</v>
      </c>
      <c r="S153" s="9">
        <v>0.0</v>
      </c>
      <c r="T153" s="9">
        <v>0.0</v>
      </c>
      <c r="U153" s="9">
        <v>0.0</v>
      </c>
      <c r="V153" s="9">
        <v>0.0</v>
      </c>
      <c r="W153" s="9">
        <v>0.0</v>
      </c>
    </row>
    <row r="154" ht="14.25" customHeight="1">
      <c r="A154" s="12" t="s">
        <v>170</v>
      </c>
      <c r="B154" s="13">
        <v>0.0</v>
      </c>
      <c r="C154" s="13">
        <v>0.0</v>
      </c>
      <c r="D154" s="13">
        <v>0.0</v>
      </c>
      <c r="E154" s="13">
        <v>0.0</v>
      </c>
      <c r="F154" s="13">
        <v>0.0</v>
      </c>
      <c r="G154" s="13">
        <v>0.0</v>
      </c>
      <c r="H154" s="13">
        <v>0.0</v>
      </c>
      <c r="I154" s="13">
        <v>0.0</v>
      </c>
      <c r="N154" s="7" t="s">
        <v>133</v>
      </c>
      <c r="O154" s="7" t="s">
        <v>139</v>
      </c>
      <c r="P154" s="7" t="s">
        <v>139</v>
      </c>
      <c r="Q154" s="8">
        <v>31301.0</v>
      </c>
      <c r="R154" s="9">
        <v>1.0</v>
      </c>
      <c r="S154" s="9">
        <v>1.0</v>
      </c>
      <c r="T154" s="9">
        <v>1.0</v>
      </c>
      <c r="U154" s="9">
        <v>6.0</v>
      </c>
      <c r="V154" s="9">
        <v>2.0</v>
      </c>
      <c r="W154" s="9">
        <v>1.0</v>
      </c>
    </row>
    <row r="155" ht="14.25" customHeight="1">
      <c r="A155" s="12" t="s">
        <v>126</v>
      </c>
      <c r="B155" s="13">
        <v>0.0</v>
      </c>
      <c r="C155" s="13">
        <v>0.0</v>
      </c>
      <c r="D155" s="13">
        <v>0.0</v>
      </c>
      <c r="E155" s="13">
        <v>3.0</v>
      </c>
      <c r="F155" s="13">
        <v>1.0</v>
      </c>
      <c r="G155" s="13">
        <v>1.0</v>
      </c>
      <c r="H155" s="13">
        <v>4.0</v>
      </c>
      <c r="I155" s="13">
        <v>2.0</v>
      </c>
      <c r="N155" s="7" t="s">
        <v>133</v>
      </c>
      <c r="O155" s="7" t="s">
        <v>139</v>
      </c>
      <c r="P155" s="7" t="s">
        <v>193</v>
      </c>
      <c r="Q155" s="8">
        <v>31302.0</v>
      </c>
      <c r="R155" s="9">
        <v>0.0</v>
      </c>
      <c r="S155" s="9">
        <v>0.0</v>
      </c>
      <c r="T155" s="9">
        <v>0.0</v>
      </c>
      <c r="U155" s="9">
        <v>0.0</v>
      </c>
      <c r="V155" s="9">
        <v>0.0</v>
      </c>
      <c r="W155" s="9">
        <v>0.0</v>
      </c>
    </row>
    <row r="156" ht="14.25" customHeight="1">
      <c r="A156" s="12" t="s">
        <v>130</v>
      </c>
      <c r="B156" s="13">
        <v>0.0</v>
      </c>
      <c r="C156" s="13">
        <v>0.0</v>
      </c>
      <c r="D156" s="13">
        <v>0.0</v>
      </c>
      <c r="E156" s="13">
        <v>0.0</v>
      </c>
      <c r="F156" s="13">
        <v>0.0</v>
      </c>
      <c r="G156" s="13">
        <v>2.0</v>
      </c>
      <c r="H156" s="13">
        <v>2.0</v>
      </c>
      <c r="I156" s="13">
        <v>3.0</v>
      </c>
      <c r="N156" s="7" t="s">
        <v>133</v>
      </c>
      <c r="O156" s="7" t="s">
        <v>139</v>
      </c>
      <c r="P156" s="7" t="s">
        <v>111</v>
      </c>
      <c r="Q156" s="8">
        <v>31303.0</v>
      </c>
      <c r="R156" s="9">
        <v>0.0</v>
      </c>
      <c r="S156" s="9">
        <v>0.0</v>
      </c>
      <c r="T156" s="9">
        <v>0.0</v>
      </c>
      <c r="U156" s="9">
        <v>0.0</v>
      </c>
      <c r="V156" s="9">
        <v>0.0</v>
      </c>
      <c r="W156" s="9">
        <v>0.0</v>
      </c>
    </row>
    <row r="157" ht="14.25" customHeight="1">
      <c r="A157" s="12" t="s">
        <v>152</v>
      </c>
      <c r="B157" s="13">
        <v>0.0</v>
      </c>
      <c r="C157" s="13">
        <v>0.0</v>
      </c>
      <c r="D157" s="13">
        <v>0.0</v>
      </c>
      <c r="E157" s="13">
        <v>0.0</v>
      </c>
      <c r="F157" s="13">
        <v>1.0</v>
      </c>
      <c r="G157" s="13">
        <v>2.0</v>
      </c>
      <c r="H157" s="13">
        <v>3.0</v>
      </c>
      <c r="I157" s="13">
        <v>1.0</v>
      </c>
      <c r="N157" s="7" t="s">
        <v>133</v>
      </c>
      <c r="O157" s="7" t="s">
        <v>139</v>
      </c>
      <c r="P157" s="7" t="s">
        <v>254</v>
      </c>
      <c r="Q157" s="8">
        <v>31304.0</v>
      </c>
      <c r="R157" s="9">
        <v>0.0</v>
      </c>
      <c r="S157" s="9">
        <v>0.0</v>
      </c>
      <c r="T157" s="9">
        <v>0.0</v>
      </c>
      <c r="U157" s="9">
        <v>0.0</v>
      </c>
      <c r="V157" s="9">
        <v>0.0</v>
      </c>
      <c r="W157" s="9">
        <v>0.0</v>
      </c>
    </row>
    <row r="158" ht="14.25" customHeight="1">
      <c r="A158" s="12" t="s">
        <v>136</v>
      </c>
      <c r="B158" s="13">
        <v>0.0</v>
      </c>
      <c r="C158" s="13">
        <v>1.0</v>
      </c>
      <c r="D158" s="13">
        <v>1.0</v>
      </c>
      <c r="E158" s="13">
        <v>3.0</v>
      </c>
      <c r="F158" s="13">
        <v>4.0</v>
      </c>
      <c r="G158" s="13">
        <v>4.0</v>
      </c>
      <c r="H158" s="13">
        <v>1.0</v>
      </c>
      <c r="I158" s="13">
        <v>2.0</v>
      </c>
      <c r="N158" s="7" t="s">
        <v>133</v>
      </c>
      <c r="O158" s="7" t="s">
        <v>255</v>
      </c>
      <c r="P158" s="7" t="s">
        <v>255</v>
      </c>
      <c r="Q158" s="8">
        <v>31401.0</v>
      </c>
      <c r="R158" s="9">
        <v>3.0</v>
      </c>
      <c r="S158" s="9">
        <v>6.0</v>
      </c>
      <c r="T158" s="9">
        <v>1.0</v>
      </c>
      <c r="U158" s="9">
        <v>8.0</v>
      </c>
      <c r="V158" s="9">
        <v>6.0</v>
      </c>
      <c r="W158" s="9">
        <v>7.0</v>
      </c>
    </row>
    <row r="159" ht="14.25" customHeight="1">
      <c r="A159" s="12" t="s">
        <v>226</v>
      </c>
      <c r="B159" s="13">
        <v>0.0</v>
      </c>
      <c r="C159" s="13">
        <v>0.0</v>
      </c>
      <c r="D159" s="13">
        <v>0.0</v>
      </c>
      <c r="E159" s="13">
        <v>0.0</v>
      </c>
      <c r="F159" s="13">
        <v>0.0</v>
      </c>
      <c r="G159" s="13">
        <v>0.0</v>
      </c>
      <c r="H159" s="13">
        <v>0.0</v>
      </c>
      <c r="I159" s="13">
        <v>1.0</v>
      </c>
      <c r="N159" s="7" t="s">
        <v>133</v>
      </c>
      <c r="O159" s="7" t="s">
        <v>255</v>
      </c>
      <c r="P159" s="7" t="s">
        <v>195</v>
      </c>
      <c r="Q159" s="8">
        <v>31402.0</v>
      </c>
      <c r="R159" s="9">
        <v>0.0</v>
      </c>
      <c r="S159" s="9">
        <v>1.0</v>
      </c>
      <c r="T159" s="9">
        <v>0.0</v>
      </c>
      <c r="U159" s="9">
        <v>1.0</v>
      </c>
      <c r="V159" s="9">
        <v>1.0</v>
      </c>
      <c r="W159" s="9">
        <v>1.0</v>
      </c>
    </row>
    <row r="160" ht="14.25" customHeight="1">
      <c r="A160" s="12" t="s">
        <v>148</v>
      </c>
      <c r="B160" s="13">
        <v>2.0</v>
      </c>
      <c r="C160" s="13">
        <v>0.0</v>
      </c>
      <c r="D160" s="13">
        <v>6.0</v>
      </c>
      <c r="E160" s="13">
        <v>4.0</v>
      </c>
      <c r="F160" s="13">
        <v>11.0</v>
      </c>
      <c r="G160" s="13">
        <v>9.0</v>
      </c>
      <c r="H160" s="13">
        <v>12.0</v>
      </c>
      <c r="I160" s="13">
        <v>25.0</v>
      </c>
      <c r="N160" s="7" t="s">
        <v>133</v>
      </c>
      <c r="O160" s="7" t="s">
        <v>255</v>
      </c>
      <c r="P160" s="7" t="s">
        <v>256</v>
      </c>
      <c r="Q160" s="8">
        <v>31403.0</v>
      </c>
      <c r="R160" s="9">
        <v>0.0</v>
      </c>
      <c r="S160" s="9">
        <v>0.0</v>
      </c>
      <c r="T160" s="9">
        <v>0.0</v>
      </c>
      <c r="U160" s="9">
        <v>0.0</v>
      </c>
      <c r="V160" s="9">
        <v>0.0</v>
      </c>
      <c r="W160" s="9">
        <v>2.0</v>
      </c>
    </row>
    <row r="161" ht="14.25" customHeight="1">
      <c r="A161" s="12" t="s">
        <v>183</v>
      </c>
      <c r="B161" s="13">
        <v>0.0</v>
      </c>
      <c r="C161" s="13">
        <v>0.0</v>
      </c>
      <c r="D161" s="13">
        <v>0.0</v>
      </c>
      <c r="E161" s="13">
        <v>0.0</v>
      </c>
      <c r="F161" s="13">
        <v>1.0</v>
      </c>
      <c r="G161" s="13">
        <v>0.0</v>
      </c>
      <c r="H161" s="13">
        <v>0.0</v>
      </c>
      <c r="I161" s="13">
        <v>0.0</v>
      </c>
      <c r="N161" s="7" t="s">
        <v>133</v>
      </c>
      <c r="O161" s="7" t="s">
        <v>255</v>
      </c>
      <c r="P161" s="7" t="s">
        <v>257</v>
      </c>
      <c r="Q161" s="8">
        <v>31404.0</v>
      </c>
      <c r="R161" s="9">
        <v>0.0</v>
      </c>
      <c r="S161" s="9">
        <v>0.0</v>
      </c>
      <c r="T161" s="9">
        <v>0.0</v>
      </c>
      <c r="U161" s="9">
        <v>0.0</v>
      </c>
      <c r="V161" s="9">
        <v>0.0</v>
      </c>
      <c r="W161" s="9">
        <v>0.0</v>
      </c>
    </row>
    <row r="162" ht="14.25" customHeight="1">
      <c r="A162" s="12" t="s">
        <v>167</v>
      </c>
      <c r="B162" s="13">
        <v>0.0</v>
      </c>
      <c r="C162" s="13">
        <v>0.0</v>
      </c>
      <c r="D162" s="13">
        <v>0.0</v>
      </c>
      <c r="E162" s="13">
        <v>1.0</v>
      </c>
      <c r="F162" s="13">
        <v>0.0</v>
      </c>
      <c r="G162" s="13">
        <v>0.0</v>
      </c>
      <c r="H162" s="13">
        <v>0.0</v>
      </c>
      <c r="I162" s="13">
        <v>0.0</v>
      </c>
      <c r="N162" s="7" t="s">
        <v>133</v>
      </c>
      <c r="O162" s="7" t="s">
        <v>255</v>
      </c>
      <c r="P162" s="7" t="s">
        <v>258</v>
      </c>
      <c r="Q162" s="8">
        <v>31405.0</v>
      </c>
      <c r="R162" s="9">
        <v>0.0</v>
      </c>
      <c r="S162" s="9">
        <v>0.0</v>
      </c>
      <c r="T162" s="9">
        <v>0.0</v>
      </c>
      <c r="U162" s="9">
        <v>0.0</v>
      </c>
      <c r="V162" s="9">
        <v>0.0</v>
      </c>
      <c r="W162" s="9">
        <v>0.0</v>
      </c>
    </row>
    <row r="163" ht="14.25" customHeight="1">
      <c r="A163" s="12" t="s">
        <v>190</v>
      </c>
      <c r="B163" s="13">
        <v>0.0</v>
      </c>
      <c r="C163" s="13">
        <v>0.0</v>
      </c>
      <c r="D163" s="13">
        <v>0.0</v>
      </c>
      <c r="E163" s="13">
        <v>0.0</v>
      </c>
      <c r="F163" s="13">
        <v>2.0</v>
      </c>
      <c r="G163" s="13">
        <v>0.0</v>
      </c>
      <c r="H163" s="13">
        <v>0.0</v>
      </c>
      <c r="I163" s="13">
        <v>0.0</v>
      </c>
      <c r="N163" s="7" t="s">
        <v>133</v>
      </c>
      <c r="O163" s="7" t="s">
        <v>259</v>
      </c>
      <c r="P163" s="7" t="s">
        <v>259</v>
      </c>
      <c r="Q163" s="8">
        <v>31501.0</v>
      </c>
      <c r="R163" s="9">
        <v>0.0</v>
      </c>
      <c r="S163" s="9">
        <v>0.0</v>
      </c>
      <c r="T163" s="9">
        <v>0.0</v>
      </c>
      <c r="U163" s="9">
        <v>0.0</v>
      </c>
      <c r="V163" s="9">
        <v>0.0</v>
      </c>
      <c r="W163" s="9">
        <v>1.0</v>
      </c>
    </row>
    <row r="164" ht="14.25" customHeight="1">
      <c r="A164" s="10" t="s">
        <v>260</v>
      </c>
      <c r="B164" s="11">
        <v>34.0</v>
      </c>
      <c r="C164" s="11">
        <v>45.0</v>
      </c>
      <c r="D164" s="11">
        <v>57.0</v>
      </c>
      <c r="E164" s="11">
        <v>81.0</v>
      </c>
      <c r="F164" s="11">
        <v>87.0</v>
      </c>
      <c r="G164" s="11">
        <v>122.0</v>
      </c>
      <c r="H164" s="11">
        <v>129.0</v>
      </c>
      <c r="I164" s="11">
        <v>132.0</v>
      </c>
      <c r="N164" s="7" t="s">
        <v>133</v>
      </c>
      <c r="O164" s="7" t="s">
        <v>182</v>
      </c>
      <c r="P164" s="7" t="s">
        <v>182</v>
      </c>
      <c r="Q164" s="8">
        <v>31601.0</v>
      </c>
      <c r="R164" s="9">
        <v>0.0</v>
      </c>
      <c r="S164" s="9">
        <v>0.0</v>
      </c>
      <c r="T164" s="9">
        <v>1.0</v>
      </c>
      <c r="U164" s="9">
        <v>15.0</v>
      </c>
      <c r="V164" s="9">
        <v>11.0</v>
      </c>
      <c r="W164" s="9">
        <v>9.0</v>
      </c>
    </row>
    <row r="165" ht="14.25" customHeight="1">
      <c r="A165" s="12" t="s">
        <v>261</v>
      </c>
      <c r="B165" s="13">
        <v>1.0</v>
      </c>
      <c r="C165" s="13">
        <v>2.0</v>
      </c>
      <c r="D165" s="13">
        <v>5.0</v>
      </c>
      <c r="E165" s="13">
        <v>2.0</v>
      </c>
      <c r="F165" s="13">
        <v>3.0</v>
      </c>
      <c r="G165" s="13">
        <v>0.0</v>
      </c>
      <c r="H165" s="13">
        <v>0.0</v>
      </c>
      <c r="I165" s="13">
        <v>0.0</v>
      </c>
      <c r="N165" s="7" t="s">
        <v>133</v>
      </c>
      <c r="O165" s="7" t="s">
        <v>182</v>
      </c>
      <c r="P165" s="7" t="s">
        <v>262</v>
      </c>
      <c r="Q165" s="8">
        <v>31602.0</v>
      </c>
      <c r="R165" s="9">
        <v>0.0</v>
      </c>
      <c r="S165" s="9">
        <v>0.0</v>
      </c>
      <c r="T165" s="9">
        <v>0.0</v>
      </c>
      <c r="U165" s="9">
        <v>0.0</v>
      </c>
      <c r="V165" s="9">
        <v>0.0</v>
      </c>
      <c r="W165" s="9">
        <v>0.0</v>
      </c>
    </row>
    <row r="166" ht="14.25" customHeight="1">
      <c r="A166" s="12" t="s">
        <v>263</v>
      </c>
      <c r="B166" s="13">
        <v>0.0</v>
      </c>
      <c r="C166" s="13">
        <v>0.0</v>
      </c>
      <c r="D166" s="13">
        <v>0.0</v>
      </c>
      <c r="E166" s="13">
        <v>0.0</v>
      </c>
      <c r="F166" s="13">
        <v>0.0</v>
      </c>
      <c r="G166" s="13">
        <v>0.0</v>
      </c>
      <c r="H166" s="13">
        <v>0.0</v>
      </c>
      <c r="I166" s="13">
        <v>0.0</v>
      </c>
      <c r="N166" s="7" t="s">
        <v>264</v>
      </c>
      <c r="O166" s="7" t="s">
        <v>236</v>
      </c>
      <c r="P166" s="7" t="s">
        <v>264</v>
      </c>
      <c r="Q166" s="8">
        <v>40101.0</v>
      </c>
      <c r="R166" s="9">
        <v>31.0</v>
      </c>
      <c r="S166" s="9">
        <v>41.0</v>
      </c>
      <c r="T166" s="9">
        <v>44.0</v>
      </c>
      <c r="U166" s="9">
        <v>102.0</v>
      </c>
      <c r="V166" s="9">
        <v>114.0</v>
      </c>
      <c r="W166" s="9">
        <v>116.0</v>
      </c>
    </row>
    <row r="167" ht="14.25" customHeight="1">
      <c r="A167" s="12" t="s">
        <v>265</v>
      </c>
      <c r="B167" s="13">
        <v>0.0</v>
      </c>
      <c r="C167" s="13">
        <v>0.0</v>
      </c>
      <c r="D167" s="13">
        <v>1.0</v>
      </c>
      <c r="E167" s="13">
        <v>1.0</v>
      </c>
      <c r="F167" s="13">
        <v>1.0</v>
      </c>
      <c r="G167" s="13">
        <v>1.0</v>
      </c>
      <c r="H167" s="13">
        <v>1.0</v>
      </c>
      <c r="I167" s="13">
        <v>2.0</v>
      </c>
      <c r="N167" s="7" t="s">
        <v>264</v>
      </c>
      <c r="O167" s="7" t="s">
        <v>236</v>
      </c>
      <c r="P167" s="7" t="s">
        <v>265</v>
      </c>
      <c r="Q167" s="8">
        <v>40102.0</v>
      </c>
      <c r="R167" s="9">
        <v>0.0</v>
      </c>
      <c r="S167" s="9">
        <v>0.0</v>
      </c>
      <c r="T167" s="9">
        <v>1.0</v>
      </c>
      <c r="U167" s="9">
        <v>1.0</v>
      </c>
      <c r="V167" s="9">
        <v>1.0</v>
      </c>
      <c r="W167" s="9">
        <v>2.0</v>
      </c>
    </row>
    <row r="168" ht="14.25" customHeight="1">
      <c r="A168" s="12" t="s">
        <v>266</v>
      </c>
      <c r="B168" s="13">
        <v>0.0</v>
      </c>
      <c r="C168" s="13">
        <v>0.0</v>
      </c>
      <c r="D168" s="13">
        <v>2.0</v>
      </c>
      <c r="E168" s="13">
        <v>1.0</v>
      </c>
      <c r="F168" s="13">
        <v>0.0</v>
      </c>
      <c r="G168" s="13">
        <v>2.0</v>
      </c>
      <c r="H168" s="13">
        <v>7.0</v>
      </c>
      <c r="I168" s="13">
        <v>5.0</v>
      </c>
      <c r="N168" s="7" t="s">
        <v>264</v>
      </c>
      <c r="O168" s="7" t="s">
        <v>236</v>
      </c>
      <c r="P168" s="7" t="s">
        <v>267</v>
      </c>
      <c r="Q168" s="8">
        <v>40103.0</v>
      </c>
      <c r="R168" s="9">
        <v>0.0</v>
      </c>
      <c r="S168" s="9">
        <v>0.0</v>
      </c>
      <c r="T168" s="9">
        <v>0.0</v>
      </c>
      <c r="U168" s="9">
        <v>1.0</v>
      </c>
      <c r="V168" s="9">
        <v>0.0</v>
      </c>
      <c r="W168" s="9">
        <v>0.0</v>
      </c>
    </row>
    <row r="169" ht="14.25" customHeight="1">
      <c r="A169" s="12" t="s">
        <v>268</v>
      </c>
      <c r="B169" s="13">
        <v>0.0</v>
      </c>
      <c r="C169" s="13">
        <v>0.0</v>
      </c>
      <c r="D169" s="13">
        <v>0.0</v>
      </c>
      <c r="E169" s="13">
        <v>0.0</v>
      </c>
      <c r="F169" s="13">
        <v>0.0</v>
      </c>
      <c r="G169" s="13">
        <v>0.0</v>
      </c>
      <c r="H169" s="13">
        <v>0.0</v>
      </c>
      <c r="I169" s="13">
        <v>2.0</v>
      </c>
      <c r="N169" s="7" t="s">
        <v>264</v>
      </c>
      <c r="O169" s="7" t="s">
        <v>236</v>
      </c>
      <c r="P169" s="7" t="s">
        <v>269</v>
      </c>
      <c r="Q169" s="8">
        <v>40104.0</v>
      </c>
      <c r="R169" s="9">
        <v>0.0</v>
      </c>
      <c r="S169" s="9">
        <v>0.0</v>
      </c>
      <c r="T169" s="9">
        <v>0.0</v>
      </c>
      <c r="U169" s="9">
        <v>0.0</v>
      </c>
      <c r="V169" s="9">
        <v>0.0</v>
      </c>
      <c r="W169" s="9">
        <v>0.0</v>
      </c>
    </row>
    <row r="170" ht="14.25" customHeight="1">
      <c r="A170" s="12" t="s">
        <v>270</v>
      </c>
      <c r="B170" s="13">
        <v>0.0</v>
      </c>
      <c r="C170" s="13">
        <v>0.0</v>
      </c>
      <c r="D170" s="13">
        <v>0.0</v>
      </c>
      <c r="E170" s="13">
        <v>0.0</v>
      </c>
      <c r="F170" s="13">
        <v>0.0</v>
      </c>
      <c r="G170" s="13">
        <v>0.0</v>
      </c>
      <c r="H170" s="13">
        <v>0.0</v>
      </c>
      <c r="I170" s="13">
        <v>1.0</v>
      </c>
      <c r="N170" s="7" t="s">
        <v>264</v>
      </c>
      <c r="O170" s="7" t="s">
        <v>271</v>
      </c>
      <c r="P170" s="7" t="s">
        <v>266</v>
      </c>
      <c r="Q170" s="8">
        <v>40201.0</v>
      </c>
      <c r="R170" s="9">
        <v>0.0</v>
      </c>
      <c r="S170" s="9">
        <v>0.0</v>
      </c>
      <c r="T170" s="9">
        <v>2.0</v>
      </c>
      <c r="U170" s="9">
        <v>2.0</v>
      </c>
      <c r="V170" s="9">
        <v>7.0</v>
      </c>
      <c r="W170" s="9">
        <v>5.0</v>
      </c>
    </row>
    <row r="171" ht="14.25" customHeight="1">
      <c r="A171" s="12" t="s">
        <v>267</v>
      </c>
      <c r="B171" s="13">
        <v>0.0</v>
      </c>
      <c r="C171" s="13">
        <v>0.0</v>
      </c>
      <c r="D171" s="13">
        <v>0.0</v>
      </c>
      <c r="E171" s="13">
        <v>1.0</v>
      </c>
      <c r="F171" s="13">
        <v>0.0</v>
      </c>
      <c r="G171" s="13">
        <v>1.0</v>
      </c>
      <c r="H171" s="13">
        <v>0.0</v>
      </c>
      <c r="I171" s="13">
        <v>0.0</v>
      </c>
      <c r="N171" s="7" t="s">
        <v>264</v>
      </c>
      <c r="O171" s="7" t="s">
        <v>271</v>
      </c>
      <c r="P171" s="7" t="s">
        <v>272</v>
      </c>
      <c r="Q171" s="8">
        <v>40202.0</v>
      </c>
      <c r="R171" s="9">
        <v>0.0</v>
      </c>
      <c r="S171" s="9">
        <v>0.0</v>
      </c>
      <c r="T171" s="9">
        <v>0.0</v>
      </c>
      <c r="U171" s="9">
        <v>0.0</v>
      </c>
      <c r="V171" s="9">
        <v>0.0</v>
      </c>
      <c r="W171" s="9">
        <v>0.0</v>
      </c>
    </row>
    <row r="172" ht="14.25" customHeight="1">
      <c r="A172" s="12" t="s">
        <v>273</v>
      </c>
      <c r="B172" s="13">
        <v>0.0</v>
      </c>
      <c r="C172" s="13">
        <v>0.0</v>
      </c>
      <c r="D172" s="13">
        <v>0.0</v>
      </c>
      <c r="E172" s="13">
        <v>0.0</v>
      </c>
      <c r="F172" s="13">
        <v>0.0</v>
      </c>
      <c r="G172" s="13">
        <v>0.0</v>
      </c>
      <c r="H172" s="13">
        <v>0.0</v>
      </c>
      <c r="I172" s="13">
        <v>0.0</v>
      </c>
      <c r="N172" s="7" t="s">
        <v>264</v>
      </c>
      <c r="O172" s="7" t="s">
        <v>274</v>
      </c>
      <c r="P172" s="7" t="s">
        <v>268</v>
      </c>
      <c r="Q172" s="8">
        <v>40301.0</v>
      </c>
      <c r="R172" s="9">
        <v>0.0</v>
      </c>
      <c r="S172" s="9">
        <v>0.0</v>
      </c>
      <c r="T172" s="9">
        <v>0.0</v>
      </c>
      <c r="U172" s="9">
        <v>0.0</v>
      </c>
      <c r="V172" s="9">
        <v>0.0</v>
      </c>
      <c r="W172" s="9">
        <v>2.0</v>
      </c>
    </row>
    <row r="173" ht="14.25" customHeight="1">
      <c r="A173" s="12" t="s">
        <v>275</v>
      </c>
      <c r="B173" s="13">
        <v>0.0</v>
      </c>
      <c r="C173" s="13">
        <v>0.0</v>
      </c>
      <c r="D173" s="13">
        <v>0.0</v>
      </c>
      <c r="E173" s="13">
        <v>0.0</v>
      </c>
      <c r="F173" s="13">
        <v>0.0</v>
      </c>
      <c r="G173" s="13">
        <v>0.0</v>
      </c>
      <c r="H173" s="13">
        <v>0.0</v>
      </c>
      <c r="I173" s="13">
        <v>1.0</v>
      </c>
      <c r="N173" s="7" t="s">
        <v>264</v>
      </c>
      <c r="O173" s="7" t="s">
        <v>274</v>
      </c>
      <c r="P173" s="7" t="s">
        <v>276</v>
      </c>
      <c r="Q173" s="8">
        <v>40302.0</v>
      </c>
      <c r="R173" s="9">
        <v>0.0</v>
      </c>
      <c r="S173" s="9">
        <v>0.0</v>
      </c>
      <c r="T173" s="9">
        <v>0.0</v>
      </c>
      <c r="U173" s="9">
        <v>0.0</v>
      </c>
      <c r="V173" s="9">
        <v>0.0</v>
      </c>
      <c r="W173" s="9">
        <v>0.0</v>
      </c>
    </row>
    <row r="174" ht="14.25" customHeight="1">
      <c r="A174" s="12" t="s">
        <v>277</v>
      </c>
      <c r="B174" s="13">
        <v>0.0</v>
      </c>
      <c r="C174" s="13">
        <v>1.0</v>
      </c>
      <c r="D174" s="13">
        <v>3.0</v>
      </c>
      <c r="E174" s="13">
        <v>10.0</v>
      </c>
      <c r="F174" s="13">
        <v>2.0</v>
      </c>
      <c r="G174" s="13">
        <v>12.0</v>
      </c>
      <c r="H174" s="13">
        <v>4.0</v>
      </c>
      <c r="I174" s="13">
        <v>4.0</v>
      </c>
      <c r="N174" s="7" t="s">
        <v>264</v>
      </c>
      <c r="O174" s="7" t="s">
        <v>278</v>
      </c>
      <c r="P174" s="7" t="s">
        <v>270</v>
      </c>
      <c r="Q174" s="8">
        <v>40401.0</v>
      </c>
      <c r="R174" s="9">
        <v>0.0</v>
      </c>
      <c r="S174" s="9">
        <v>0.0</v>
      </c>
      <c r="T174" s="9">
        <v>0.0</v>
      </c>
      <c r="U174" s="9">
        <v>0.0</v>
      </c>
      <c r="V174" s="9">
        <v>0.0</v>
      </c>
      <c r="W174" s="9">
        <v>1.0</v>
      </c>
    </row>
    <row r="175" ht="14.25" customHeight="1">
      <c r="A175" s="12" t="s">
        <v>279</v>
      </c>
      <c r="B175" s="13">
        <v>0.0</v>
      </c>
      <c r="C175" s="13">
        <v>0.0</v>
      </c>
      <c r="D175" s="13">
        <v>0.0</v>
      </c>
      <c r="E175" s="13">
        <v>0.0</v>
      </c>
      <c r="F175" s="13">
        <v>0.0</v>
      </c>
      <c r="G175" s="13">
        <v>2.0</v>
      </c>
      <c r="H175" s="13">
        <v>1.0</v>
      </c>
      <c r="I175" s="13">
        <v>0.0</v>
      </c>
      <c r="N175" s="7" t="s">
        <v>264</v>
      </c>
      <c r="O175" s="7" t="s">
        <v>278</v>
      </c>
      <c r="P175" s="7" t="s">
        <v>280</v>
      </c>
      <c r="Q175" s="8">
        <v>40402.0</v>
      </c>
      <c r="R175" s="9">
        <v>0.0</v>
      </c>
      <c r="S175" s="9">
        <v>0.0</v>
      </c>
      <c r="T175" s="9">
        <v>0.0</v>
      </c>
      <c r="U175" s="9">
        <v>0.0</v>
      </c>
      <c r="V175" s="9">
        <v>0.0</v>
      </c>
      <c r="W175" s="9">
        <v>0.0</v>
      </c>
    </row>
    <row r="176" ht="14.25" customHeight="1">
      <c r="A176" s="12" t="s">
        <v>281</v>
      </c>
      <c r="B176" s="13">
        <v>1.0</v>
      </c>
      <c r="C176" s="13">
        <v>1.0</v>
      </c>
      <c r="D176" s="13">
        <v>1.0</v>
      </c>
      <c r="E176" s="13">
        <v>0.0</v>
      </c>
      <c r="F176" s="13">
        <v>1.0</v>
      </c>
      <c r="G176" s="13">
        <v>1.0</v>
      </c>
      <c r="H176" s="13">
        <v>1.0</v>
      </c>
      <c r="I176" s="13">
        <v>0.0</v>
      </c>
      <c r="N176" s="7" t="s">
        <v>264</v>
      </c>
      <c r="O176" s="7" t="s">
        <v>282</v>
      </c>
      <c r="P176" s="7" t="s">
        <v>275</v>
      </c>
      <c r="Q176" s="8">
        <v>40501.0</v>
      </c>
      <c r="R176" s="9">
        <v>0.0</v>
      </c>
      <c r="S176" s="9">
        <v>0.0</v>
      </c>
      <c r="T176" s="9">
        <v>0.0</v>
      </c>
      <c r="U176" s="9">
        <v>0.0</v>
      </c>
      <c r="V176" s="9">
        <v>0.0</v>
      </c>
      <c r="W176" s="9">
        <v>1.0</v>
      </c>
    </row>
    <row r="177" ht="14.25" customHeight="1">
      <c r="A177" s="12" t="s">
        <v>264</v>
      </c>
      <c r="B177" s="13">
        <v>31.0</v>
      </c>
      <c r="C177" s="13">
        <v>41.0</v>
      </c>
      <c r="D177" s="13">
        <v>44.0</v>
      </c>
      <c r="E177" s="13">
        <v>64.0</v>
      </c>
      <c r="F177" s="13">
        <v>78.0</v>
      </c>
      <c r="G177" s="13">
        <v>102.0</v>
      </c>
      <c r="H177" s="13">
        <v>114.0</v>
      </c>
      <c r="I177" s="13">
        <v>116.0</v>
      </c>
      <c r="N177" s="7" t="s">
        <v>264</v>
      </c>
      <c r="O177" s="7" t="s">
        <v>282</v>
      </c>
      <c r="P177" s="7" t="s">
        <v>283</v>
      </c>
      <c r="Q177" s="8">
        <v>40502.0</v>
      </c>
      <c r="R177" s="9">
        <v>0.0</v>
      </c>
      <c r="S177" s="9">
        <v>0.0</v>
      </c>
      <c r="T177" s="9">
        <v>0.0</v>
      </c>
      <c r="U177" s="9">
        <v>0.0</v>
      </c>
      <c r="V177" s="9">
        <v>0.0</v>
      </c>
      <c r="W177" s="9">
        <v>0.0</v>
      </c>
    </row>
    <row r="178" ht="14.25" customHeight="1">
      <c r="A178" s="12" t="s">
        <v>284</v>
      </c>
      <c r="B178" s="13">
        <v>0.0</v>
      </c>
      <c r="C178" s="13">
        <v>0.0</v>
      </c>
      <c r="D178" s="13">
        <v>0.0</v>
      </c>
      <c r="E178" s="13">
        <v>0.0</v>
      </c>
      <c r="F178" s="13">
        <v>0.0</v>
      </c>
      <c r="G178" s="13">
        <v>0.0</v>
      </c>
      <c r="H178" s="13">
        <v>1.0</v>
      </c>
      <c r="I178" s="13">
        <v>0.0</v>
      </c>
      <c r="N178" s="7" t="s">
        <v>264</v>
      </c>
      <c r="O178" s="7" t="s">
        <v>282</v>
      </c>
      <c r="P178" s="7" t="s">
        <v>285</v>
      </c>
      <c r="Q178" s="8">
        <v>40503.0</v>
      </c>
      <c r="R178" s="9">
        <v>0.0</v>
      </c>
      <c r="S178" s="9">
        <v>0.0</v>
      </c>
      <c r="T178" s="9">
        <v>0.0</v>
      </c>
      <c r="U178" s="9">
        <v>0.0</v>
      </c>
      <c r="V178" s="9">
        <v>0.0</v>
      </c>
      <c r="W178" s="9">
        <v>0.0</v>
      </c>
    </row>
    <row r="179" ht="14.25" customHeight="1">
      <c r="A179" s="12" t="s">
        <v>286</v>
      </c>
      <c r="B179" s="13">
        <v>0.0</v>
      </c>
      <c r="C179" s="13">
        <v>0.0</v>
      </c>
      <c r="D179" s="13">
        <v>1.0</v>
      </c>
      <c r="E179" s="13">
        <v>1.0</v>
      </c>
      <c r="F179" s="13">
        <v>1.0</v>
      </c>
      <c r="G179" s="13">
        <v>0.0</v>
      </c>
      <c r="H179" s="13">
        <v>0.0</v>
      </c>
      <c r="I179" s="13">
        <v>1.0</v>
      </c>
      <c r="N179" s="7" t="s">
        <v>264</v>
      </c>
      <c r="O179" s="7" t="s">
        <v>282</v>
      </c>
      <c r="P179" s="7" t="s">
        <v>287</v>
      </c>
      <c r="Q179" s="8">
        <v>40504.0</v>
      </c>
      <c r="R179" s="9">
        <v>0.0</v>
      </c>
      <c r="S179" s="9">
        <v>0.0</v>
      </c>
      <c r="T179" s="9">
        <v>0.0</v>
      </c>
      <c r="U179" s="9">
        <v>0.0</v>
      </c>
      <c r="V179" s="9">
        <v>0.0</v>
      </c>
      <c r="W179" s="9">
        <v>0.0</v>
      </c>
    </row>
    <row r="180" ht="14.25" customHeight="1">
      <c r="A180" s="12" t="s">
        <v>288</v>
      </c>
      <c r="B180" s="13">
        <v>0.0</v>
      </c>
      <c r="C180" s="13">
        <v>0.0</v>
      </c>
      <c r="D180" s="13">
        <v>0.0</v>
      </c>
      <c r="E180" s="13">
        <v>0.0</v>
      </c>
      <c r="F180" s="13">
        <v>0.0</v>
      </c>
      <c r="G180" s="13">
        <v>1.0</v>
      </c>
      <c r="H180" s="13">
        <v>0.0</v>
      </c>
      <c r="I180" s="13">
        <v>0.0</v>
      </c>
      <c r="N180" s="7" t="s">
        <v>264</v>
      </c>
      <c r="O180" s="7" t="s">
        <v>282</v>
      </c>
      <c r="P180" s="7" t="s">
        <v>289</v>
      </c>
      <c r="Q180" s="8">
        <v>40505.0</v>
      </c>
      <c r="R180" s="9">
        <v>0.0</v>
      </c>
      <c r="S180" s="9">
        <v>0.0</v>
      </c>
      <c r="T180" s="9">
        <v>0.0</v>
      </c>
      <c r="U180" s="9">
        <v>0.0</v>
      </c>
      <c r="V180" s="9">
        <v>0.0</v>
      </c>
      <c r="W180" s="9">
        <v>0.0</v>
      </c>
    </row>
    <row r="181" ht="14.25" customHeight="1">
      <c r="A181" s="12" t="s">
        <v>290</v>
      </c>
      <c r="B181" s="13">
        <v>1.0</v>
      </c>
      <c r="C181" s="13">
        <v>0.0</v>
      </c>
      <c r="D181" s="13">
        <v>0.0</v>
      </c>
      <c r="E181" s="13">
        <v>0.0</v>
      </c>
      <c r="F181" s="13">
        <v>1.0</v>
      </c>
      <c r="G181" s="13">
        <v>0.0</v>
      </c>
      <c r="H181" s="13">
        <v>0.0</v>
      </c>
      <c r="I181" s="13">
        <v>0.0</v>
      </c>
      <c r="N181" s="7" t="s">
        <v>264</v>
      </c>
      <c r="O181" s="7" t="s">
        <v>291</v>
      </c>
      <c r="P181" s="7" t="s">
        <v>291</v>
      </c>
      <c r="Q181" s="8">
        <v>40601.0</v>
      </c>
      <c r="R181" s="9">
        <v>0.0</v>
      </c>
      <c r="S181" s="9">
        <v>0.0</v>
      </c>
      <c r="T181" s="9">
        <v>1.0</v>
      </c>
      <c r="U181" s="9">
        <v>0.0</v>
      </c>
      <c r="V181" s="9">
        <v>0.0</v>
      </c>
      <c r="W181" s="9">
        <v>1.0</v>
      </c>
    </row>
    <row r="182" ht="14.25" customHeight="1">
      <c r="A182" s="12" t="s">
        <v>272</v>
      </c>
      <c r="B182" s="13">
        <v>0.0</v>
      </c>
      <c r="C182" s="13">
        <v>0.0</v>
      </c>
      <c r="D182" s="13">
        <v>0.0</v>
      </c>
      <c r="E182" s="13">
        <v>1.0</v>
      </c>
      <c r="F182" s="13">
        <v>0.0</v>
      </c>
      <c r="G182" s="13">
        <v>0.0</v>
      </c>
      <c r="H182" s="13">
        <v>0.0</v>
      </c>
      <c r="I182" s="13">
        <v>0.0</v>
      </c>
      <c r="N182" s="7" t="s">
        <v>264</v>
      </c>
      <c r="O182" s="7" t="s">
        <v>291</v>
      </c>
      <c r="P182" s="7" t="s">
        <v>284</v>
      </c>
      <c r="Q182" s="8">
        <v>40602.0</v>
      </c>
      <c r="R182" s="9">
        <v>0.0</v>
      </c>
      <c r="S182" s="9">
        <v>0.0</v>
      </c>
      <c r="T182" s="9">
        <v>0.0</v>
      </c>
      <c r="U182" s="9">
        <v>0.0</v>
      </c>
      <c r="V182" s="9">
        <v>1.0</v>
      </c>
      <c r="W182" s="9">
        <v>0.0</v>
      </c>
    </row>
    <row r="183" ht="14.25" customHeight="1">
      <c r="A183" s="12" t="s">
        <v>170</v>
      </c>
      <c r="B183" s="13">
        <v>0.0</v>
      </c>
      <c r="C183" s="13">
        <v>0.0</v>
      </c>
      <c r="D183" s="13">
        <v>0.0</v>
      </c>
      <c r="E183" s="13">
        <v>0.0</v>
      </c>
      <c r="F183" s="13">
        <v>0.0</v>
      </c>
      <c r="G183" s="13">
        <v>0.0</v>
      </c>
      <c r="H183" s="13">
        <v>0.0</v>
      </c>
      <c r="I183" s="13">
        <v>0.0</v>
      </c>
      <c r="N183" s="7" t="s">
        <v>264</v>
      </c>
      <c r="O183" s="7" t="s">
        <v>291</v>
      </c>
      <c r="P183" s="7" t="s">
        <v>263</v>
      </c>
      <c r="Q183" s="8">
        <v>40603.0</v>
      </c>
      <c r="R183" s="9">
        <v>0.0</v>
      </c>
      <c r="S183" s="9">
        <v>0.0</v>
      </c>
      <c r="T183" s="9">
        <v>0.0</v>
      </c>
      <c r="U183" s="9">
        <v>0.0</v>
      </c>
      <c r="V183" s="9">
        <v>0.0</v>
      </c>
      <c r="W183" s="9">
        <v>0.0</v>
      </c>
    </row>
    <row r="184" ht="14.25" customHeight="1">
      <c r="A184" s="12" t="s">
        <v>189</v>
      </c>
      <c r="B184" s="13">
        <v>0.0</v>
      </c>
      <c r="C184" s="13">
        <v>0.0</v>
      </c>
      <c r="D184" s="13">
        <v>0.0</v>
      </c>
      <c r="E184" s="13">
        <v>0.0</v>
      </c>
      <c r="F184" s="13">
        <v>0.0</v>
      </c>
      <c r="G184" s="13">
        <v>0.0</v>
      </c>
      <c r="H184" s="13">
        <v>0.0</v>
      </c>
      <c r="I184" s="13">
        <v>0.0</v>
      </c>
      <c r="N184" s="7" t="s">
        <v>264</v>
      </c>
      <c r="O184" s="7" t="s">
        <v>292</v>
      </c>
      <c r="P184" s="7" t="s">
        <v>277</v>
      </c>
      <c r="Q184" s="8">
        <v>40701.0</v>
      </c>
      <c r="R184" s="9">
        <v>0.0</v>
      </c>
      <c r="S184" s="9">
        <v>1.0</v>
      </c>
      <c r="T184" s="9">
        <v>3.0</v>
      </c>
      <c r="U184" s="9">
        <v>12.0</v>
      </c>
      <c r="V184" s="9">
        <v>4.0</v>
      </c>
      <c r="W184" s="9">
        <v>4.0</v>
      </c>
    </row>
    <row r="185" ht="14.25" customHeight="1">
      <c r="A185" s="12" t="s">
        <v>280</v>
      </c>
      <c r="B185" s="13">
        <v>0.0</v>
      </c>
      <c r="C185" s="13">
        <v>0.0</v>
      </c>
      <c r="D185" s="13">
        <v>0.0</v>
      </c>
      <c r="E185" s="13">
        <v>0.0</v>
      </c>
      <c r="F185" s="13">
        <v>0.0</v>
      </c>
      <c r="G185" s="13">
        <v>0.0</v>
      </c>
      <c r="H185" s="13">
        <v>0.0</v>
      </c>
      <c r="I185" s="13">
        <v>0.0</v>
      </c>
      <c r="N185" s="7" t="s">
        <v>264</v>
      </c>
      <c r="O185" s="7" t="s">
        <v>292</v>
      </c>
      <c r="P185" s="7" t="s">
        <v>281</v>
      </c>
      <c r="Q185" s="8">
        <v>40702.0</v>
      </c>
      <c r="R185" s="9">
        <v>1.0</v>
      </c>
      <c r="S185" s="9">
        <v>1.0</v>
      </c>
      <c r="T185" s="9">
        <v>1.0</v>
      </c>
      <c r="U185" s="9">
        <v>1.0</v>
      </c>
      <c r="V185" s="9">
        <v>1.0</v>
      </c>
      <c r="W185" s="9">
        <v>0.0</v>
      </c>
    </row>
    <row r="186" ht="14.25" customHeight="1">
      <c r="A186" s="10" t="s">
        <v>293</v>
      </c>
      <c r="B186" s="11">
        <v>6.0</v>
      </c>
      <c r="C186" s="11">
        <v>4.0</v>
      </c>
      <c r="D186" s="11">
        <v>6.0</v>
      </c>
      <c r="E186" s="11">
        <v>15.0</v>
      </c>
      <c r="F186" s="11">
        <v>28.0</v>
      </c>
      <c r="G186" s="11">
        <v>42.0</v>
      </c>
      <c r="H186" s="11">
        <v>55.0</v>
      </c>
      <c r="I186" s="11">
        <v>35.0</v>
      </c>
      <c r="N186" s="7" t="s">
        <v>264</v>
      </c>
      <c r="O186" s="7" t="s">
        <v>294</v>
      </c>
      <c r="P186" s="7" t="s">
        <v>295</v>
      </c>
      <c r="Q186" s="8">
        <v>40801.0</v>
      </c>
      <c r="R186" s="9">
        <v>0.0</v>
      </c>
      <c r="S186" s="9">
        <v>0.0</v>
      </c>
      <c r="T186" s="9">
        <v>0.0</v>
      </c>
      <c r="U186" s="9">
        <v>0.0</v>
      </c>
      <c r="V186" s="9">
        <v>0.0</v>
      </c>
      <c r="W186" s="9">
        <v>0.0</v>
      </c>
    </row>
    <row r="187" ht="14.25" customHeight="1">
      <c r="A187" s="12" t="s">
        <v>296</v>
      </c>
      <c r="B187" s="13">
        <v>1.0</v>
      </c>
      <c r="C187" s="13">
        <v>1.0</v>
      </c>
      <c r="D187" s="13">
        <v>0.0</v>
      </c>
      <c r="E187" s="13">
        <v>0.0</v>
      </c>
      <c r="F187" s="13">
        <v>0.0</v>
      </c>
      <c r="G187" s="13">
        <v>0.0</v>
      </c>
      <c r="H187" s="13">
        <v>0.0</v>
      </c>
      <c r="I187" s="13">
        <v>0.0</v>
      </c>
      <c r="N187" s="7" t="s">
        <v>264</v>
      </c>
      <c r="O187" s="7" t="s">
        <v>294</v>
      </c>
      <c r="P187" s="7" t="s">
        <v>297</v>
      </c>
      <c r="Q187" s="8">
        <v>40802.0</v>
      </c>
      <c r="R187" s="9">
        <v>0.0</v>
      </c>
      <c r="S187" s="9">
        <v>0.0</v>
      </c>
      <c r="T187" s="9">
        <v>0.0</v>
      </c>
      <c r="U187" s="9">
        <v>0.0</v>
      </c>
      <c r="V187" s="9">
        <v>0.0</v>
      </c>
      <c r="W187" s="9">
        <v>0.0</v>
      </c>
    </row>
    <row r="188" ht="14.25" customHeight="1">
      <c r="A188" s="12" t="s">
        <v>298</v>
      </c>
      <c r="B188" s="13">
        <v>0.0</v>
      </c>
      <c r="C188" s="13">
        <v>0.0</v>
      </c>
      <c r="D188" s="13">
        <v>0.0</v>
      </c>
      <c r="E188" s="13">
        <v>0.0</v>
      </c>
      <c r="F188" s="13">
        <v>0.0</v>
      </c>
      <c r="G188" s="13">
        <v>0.0</v>
      </c>
      <c r="H188" s="13">
        <v>0.0</v>
      </c>
      <c r="I188" s="13">
        <v>0.0</v>
      </c>
      <c r="N188" s="7" t="s">
        <v>264</v>
      </c>
      <c r="O188" s="7" t="s">
        <v>288</v>
      </c>
      <c r="P188" s="7" t="s">
        <v>288</v>
      </c>
      <c r="Q188" s="8">
        <v>40901.0</v>
      </c>
      <c r="R188" s="9">
        <v>0.0</v>
      </c>
      <c r="S188" s="9">
        <v>0.0</v>
      </c>
      <c r="T188" s="9">
        <v>0.0</v>
      </c>
      <c r="U188" s="9">
        <v>1.0</v>
      </c>
      <c r="V188" s="9">
        <v>0.0</v>
      </c>
      <c r="W188" s="9">
        <v>0.0</v>
      </c>
    </row>
    <row r="189" ht="14.25" customHeight="1">
      <c r="A189" s="12" t="s">
        <v>299</v>
      </c>
      <c r="B189" s="13">
        <v>3.0</v>
      </c>
      <c r="C189" s="13">
        <v>3.0</v>
      </c>
      <c r="D189" s="13">
        <v>6.0</v>
      </c>
      <c r="E189" s="13">
        <v>14.0</v>
      </c>
      <c r="F189" s="13">
        <v>23.0</v>
      </c>
      <c r="G189" s="13">
        <v>30.0</v>
      </c>
      <c r="H189" s="13">
        <v>49.0</v>
      </c>
      <c r="I189" s="13">
        <v>30.0</v>
      </c>
      <c r="N189" s="7" t="s">
        <v>264</v>
      </c>
      <c r="O189" s="7" t="s">
        <v>288</v>
      </c>
      <c r="P189" s="7" t="s">
        <v>300</v>
      </c>
      <c r="Q189" s="8">
        <v>40902.0</v>
      </c>
      <c r="R189" s="9">
        <v>0.0</v>
      </c>
      <c r="S189" s="9">
        <v>0.0</v>
      </c>
      <c r="T189" s="9">
        <v>0.0</v>
      </c>
      <c r="U189" s="9">
        <v>0.0</v>
      </c>
      <c r="V189" s="9">
        <v>0.0</v>
      </c>
      <c r="W189" s="9">
        <v>0.0</v>
      </c>
    </row>
    <row r="190" ht="14.25" customHeight="1">
      <c r="A190" s="12" t="s">
        <v>301</v>
      </c>
      <c r="B190" s="13">
        <v>2.0</v>
      </c>
      <c r="C190" s="13">
        <v>0.0</v>
      </c>
      <c r="D190" s="13">
        <v>0.0</v>
      </c>
      <c r="E190" s="13">
        <v>0.0</v>
      </c>
      <c r="F190" s="13">
        <v>0.0</v>
      </c>
      <c r="G190" s="13">
        <v>2.0</v>
      </c>
      <c r="H190" s="13">
        <v>1.0</v>
      </c>
      <c r="I190" s="13">
        <v>1.0</v>
      </c>
      <c r="N190" s="7" t="s">
        <v>264</v>
      </c>
      <c r="O190" s="7" t="s">
        <v>288</v>
      </c>
      <c r="P190" s="7" t="s">
        <v>302</v>
      </c>
      <c r="Q190" s="8">
        <v>40903.0</v>
      </c>
      <c r="R190" s="9">
        <v>0.0</v>
      </c>
      <c r="S190" s="9">
        <v>0.0</v>
      </c>
      <c r="T190" s="9">
        <v>0.0</v>
      </c>
      <c r="U190" s="9">
        <v>0.0</v>
      </c>
      <c r="V190" s="9">
        <v>0.0</v>
      </c>
      <c r="W190" s="9">
        <v>0.0</v>
      </c>
    </row>
    <row r="191" ht="14.25" customHeight="1">
      <c r="A191" s="12" t="s">
        <v>303</v>
      </c>
      <c r="B191" s="13">
        <v>0.0</v>
      </c>
      <c r="C191" s="13">
        <v>0.0</v>
      </c>
      <c r="D191" s="13">
        <v>0.0</v>
      </c>
      <c r="E191" s="13">
        <v>0.0</v>
      </c>
      <c r="F191" s="13">
        <v>2.0</v>
      </c>
      <c r="G191" s="13">
        <v>0.0</v>
      </c>
      <c r="H191" s="13">
        <v>0.0</v>
      </c>
      <c r="I191" s="13">
        <v>0.0</v>
      </c>
      <c r="N191" s="7" t="s">
        <v>264</v>
      </c>
      <c r="O191" s="7" t="s">
        <v>304</v>
      </c>
      <c r="P191" s="7" t="s">
        <v>305</v>
      </c>
      <c r="Q191" s="8">
        <v>41001.0</v>
      </c>
      <c r="R191" s="9">
        <v>0.0</v>
      </c>
      <c r="S191" s="9">
        <v>0.0</v>
      </c>
      <c r="T191" s="9">
        <v>0.0</v>
      </c>
      <c r="U191" s="9">
        <v>0.0</v>
      </c>
      <c r="V191" s="9">
        <v>0.0</v>
      </c>
      <c r="W191" s="9">
        <v>0.0</v>
      </c>
    </row>
    <row r="192" ht="14.25" customHeight="1">
      <c r="A192" s="12" t="s">
        <v>306</v>
      </c>
      <c r="B192" s="13">
        <v>0.0</v>
      </c>
      <c r="C192" s="13">
        <v>0.0</v>
      </c>
      <c r="D192" s="13">
        <v>0.0</v>
      </c>
      <c r="E192" s="13">
        <v>0.0</v>
      </c>
      <c r="F192" s="13">
        <v>2.0</v>
      </c>
      <c r="G192" s="13">
        <v>2.0</v>
      </c>
      <c r="H192" s="13">
        <v>1.0</v>
      </c>
      <c r="I192" s="13">
        <v>4.0</v>
      </c>
      <c r="N192" s="7" t="s">
        <v>264</v>
      </c>
      <c r="O192" s="7" t="s">
        <v>307</v>
      </c>
      <c r="P192" s="7" t="s">
        <v>273</v>
      </c>
      <c r="Q192" s="8">
        <v>41101.0</v>
      </c>
      <c r="R192" s="9">
        <v>0.0</v>
      </c>
      <c r="S192" s="9">
        <v>0.0</v>
      </c>
      <c r="T192" s="9">
        <v>0.0</v>
      </c>
      <c r="U192" s="9">
        <v>0.0</v>
      </c>
      <c r="V192" s="9">
        <v>0.0</v>
      </c>
      <c r="W192" s="9">
        <v>0.0</v>
      </c>
    </row>
    <row r="193" ht="14.25" customHeight="1">
      <c r="A193" s="12" t="s">
        <v>308</v>
      </c>
      <c r="B193" s="13">
        <v>0.0</v>
      </c>
      <c r="C193" s="13">
        <v>0.0</v>
      </c>
      <c r="D193" s="13">
        <v>0.0</v>
      </c>
      <c r="E193" s="13">
        <v>0.0</v>
      </c>
      <c r="F193" s="13">
        <v>0.0</v>
      </c>
      <c r="G193" s="13">
        <v>3.0</v>
      </c>
      <c r="H193" s="13">
        <v>2.0</v>
      </c>
      <c r="I193" s="13">
        <v>0.0</v>
      </c>
      <c r="N193" s="7" t="s">
        <v>264</v>
      </c>
      <c r="O193" s="7" t="s">
        <v>309</v>
      </c>
      <c r="P193" s="7" t="s">
        <v>310</v>
      </c>
      <c r="Q193" s="8">
        <v>41201.0</v>
      </c>
      <c r="R193" s="9">
        <v>1.0</v>
      </c>
      <c r="S193" s="9">
        <v>2.0</v>
      </c>
      <c r="T193" s="9">
        <v>5.0</v>
      </c>
      <c r="U193" s="9">
        <v>0.0</v>
      </c>
      <c r="V193" s="9">
        <v>0.0</v>
      </c>
      <c r="W193" s="9">
        <v>0.0</v>
      </c>
    </row>
    <row r="194" ht="14.25" customHeight="1">
      <c r="A194" s="12" t="s">
        <v>311</v>
      </c>
      <c r="B194" s="13">
        <v>0.0</v>
      </c>
      <c r="C194" s="13">
        <v>0.0</v>
      </c>
      <c r="D194" s="13">
        <v>0.0</v>
      </c>
      <c r="E194" s="13">
        <v>1.0</v>
      </c>
      <c r="F194" s="13">
        <v>0.0</v>
      </c>
      <c r="G194" s="13">
        <v>0.0</v>
      </c>
      <c r="H194" s="13">
        <v>1.0</v>
      </c>
      <c r="I194" s="13">
        <v>0.0</v>
      </c>
      <c r="N194" s="7" t="s">
        <v>264</v>
      </c>
      <c r="O194" s="7" t="s">
        <v>309</v>
      </c>
      <c r="P194" s="7" t="s">
        <v>312</v>
      </c>
      <c r="Q194" s="8">
        <v>41202.0</v>
      </c>
      <c r="R194" s="9">
        <v>0.0</v>
      </c>
      <c r="S194" s="9">
        <v>0.0</v>
      </c>
      <c r="T194" s="9">
        <v>0.0</v>
      </c>
      <c r="U194" s="9">
        <v>0.0</v>
      </c>
      <c r="V194" s="9">
        <v>0.0</v>
      </c>
      <c r="W194" s="9">
        <v>0.0</v>
      </c>
    </row>
    <row r="195" ht="14.25" customHeight="1">
      <c r="A195" s="12" t="s">
        <v>313</v>
      </c>
      <c r="B195" s="13">
        <v>0.0</v>
      </c>
      <c r="C195" s="13">
        <v>0.0</v>
      </c>
      <c r="D195" s="13">
        <v>0.0</v>
      </c>
      <c r="E195" s="13">
        <v>0.0</v>
      </c>
      <c r="F195" s="13">
        <v>1.0</v>
      </c>
      <c r="G195" s="13">
        <v>1.0</v>
      </c>
      <c r="H195" s="13">
        <v>0.0</v>
      </c>
      <c r="I195" s="13">
        <v>0.0</v>
      </c>
      <c r="N195" s="7" t="s">
        <v>264</v>
      </c>
      <c r="O195" s="7" t="s">
        <v>314</v>
      </c>
      <c r="P195" s="7" t="s">
        <v>189</v>
      </c>
      <c r="Q195" s="8">
        <v>41301.0</v>
      </c>
      <c r="R195" s="9">
        <v>0.0</v>
      </c>
      <c r="S195" s="9">
        <v>0.0</v>
      </c>
      <c r="T195" s="9">
        <v>0.0</v>
      </c>
      <c r="U195" s="9">
        <v>0.0</v>
      </c>
      <c r="V195" s="9">
        <v>0.0</v>
      </c>
      <c r="W195" s="9">
        <v>0.0</v>
      </c>
    </row>
    <row r="196" ht="14.25" customHeight="1">
      <c r="A196" s="12" t="s">
        <v>315</v>
      </c>
      <c r="B196" s="13">
        <v>0.0</v>
      </c>
      <c r="C196" s="13">
        <v>0.0</v>
      </c>
      <c r="D196" s="13">
        <v>0.0</v>
      </c>
      <c r="E196" s="13">
        <v>0.0</v>
      </c>
      <c r="F196" s="13">
        <v>0.0</v>
      </c>
      <c r="G196" s="13">
        <v>4.0</v>
      </c>
      <c r="H196" s="13">
        <v>0.0</v>
      </c>
      <c r="I196" s="13">
        <v>0.0</v>
      </c>
      <c r="N196" s="7" t="s">
        <v>264</v>
      </c>
      <c r="O196" s="7" t="s">
        <v>316</v>
      </c>
      <c r="P196" s="7" t="s">
        <v>290</v>
      </c>
      <c r="Q196" s="8">
        <v>41401.0</v>
      </c>
      <c r="R196" s="9">
        <v>1.0</v>
      </c>
      <c r="S196" s="9">
        <v>0.0</v>
      </c>
      <c r="T196" s="9">
        <v>0.0</v>
      </c>
      <c r="U196" s="9">
        <v>0.0</v>
      </c>
      <c r="V196" s="9">
        <v>0.0</v>
      </c>
      <c r="W196" s="9">
        <v>0.0</v>
      </c>
    </row>
    <row r="197" ht="14.25" customHeight="1">
      <c r="A197" s="12" t="s">
        <v>317</v>
      </c>
      <c r="B197" s="13">
        <v>0.0</v>
      </c>
      <c r="C197" s="13">
        <v>0.0</v>
      </c>
      <c r="D197" s="13">
        <v>0.0</v>
      </c>
      <c r="E197" s="13">
        <v>0.0</v>
      </c>
      <c r="F197" s="13">
        <v>0.0</v>
      </c>
      <c r="G197" s="13">
        <v>0.0</v>
      </c>
      <c r="H197" s="13">
        <v>1.0</v>
      </c>
      <c r="I197" s="13">
        <v>0.0</v>
      </c>
      <c r="N197" s="7" t="s">
        <v>264</v>
      </c>
      <c r="O197" s="7" t="s">
        <v>318</v>
      </c>
      <c r="P197" s="7" t="s">
        <v>279</v>
      </c>
      <c r="Q197" s="8">
        <v>41501.0</v>
      </c>
      <c r="R197" s="9">
        <v>0.0</v>
      </c>
      <c r="S197" s="9">
        <v>0.0</v>
      </c>
      <c r="T197" s="9">
        <v>0.0</v>
      </c>
      <c r="U197" s="9">
        <v>2.0</v>
      </c>
      <c r="V197" s="9">
        <v>1.0</v>
      </c>
      <c r="W197" s="9">
        <v>0.0</v>
      </c>
    </row>
    <row r="198" ht="14.25" customHeight="1">
      <c r="A198" s="10" t="s">
        <v>319</v>
      </c>
      <c r="B198" s="11">
        <v>24.0</v>
      </c>
      <c r="C198" s="11">
        <v>23.0</v>
      </c>
      <c r="D198" s="11">
        <v>30.0</v>
      </c>
      <c r="E198" s="11">
        <v>78.0</v>
      </c>
      <c r="F198" s="11">
        <v>98.0</v>
      </c>
      <c r="G198" s="11">
        <v>123.0</v>
      </c>
      <c r="H198" s="11">
        <v>171.0</v>
      </c>
      <c r="I198" s="11">
        <v>158.0</v>
      </c>
      <c r="N198" s="7" t="s">
        <v>264</v>
      </c>
      <c r="O198" s="7" t="s">
        <v>318</v>
      </c>
      <c r="P198" s="7" t="s">
        <v>320</v>
      </c>
      <c r="Q198" s="8">
        <v>41502.0</v>
      </c>
      <c r="R198" s="9">
        <v>0.0</v>
      </c>
      <c r="S198" s="9">
        <v>0.0</v>
      </c>
      <c r="T198" s="9">
        <v>0.0</v>
      </c>
      <c r="U198" s="9">
        <v>0.0</v>
      </c>
      <c r="V198" s="9">
        <v>0.0</v>
      </c>
      <c r="W198" s="9">
        <v>0.0</v>
      </c>
    </row>
    <row r="199" ht="14.25" customHeight="1">
      <c r="A199" s="12" t="s">
        <v>321</v>
      </c>
      <c r="B199" s="13">
        <v>8.0</v>
      </c>
      <c r="C199" s="13">
        <v>5.0</v>
      </c>
      <c r="D199" s="13">
        <v>6.0</v>
      </c>
      <c r="E199" s="13">
        <v>3.0</v>
      </c>
      <c r="F199" s="13">
        <v>0.0</v>
      </c>
      <c r="G199" s="13">
        <v>0.0</v>
      </c>
      <c r="H199" s="13">
        <v>0.0</v>
      </c>
      <c r="I199" s="13">
        <v>2.0</v>
      </c>
      <c r="N199" s="7" t="s">
        <v>264</v>
      </c>
      <c r="O199" s="7" t="s">
        <v>318</v>
      </c>
      <c r="P199" s="7" t="s">
        <v>274</v>
      </c>
      <c r="Q199" s="8">
        <v>41503.0</v>
      </c>
      <c r="R199" s="9">
        <v>0.0</v>
      </c>
      <c r="S199" s="9">
        <v>0.0</v>
      </c>
      <c r="T199" s="9">
        <v>0.0</v>
      </c>
      <c r="U199" s="9">
        <v>0.0</v>
      </c>
      <c r="V199" s="9">
        <v>0.0</v>
      </c>
      <c r="W199" s="9">
        <v>0.0</v>
      </c>
    </row>
    <row r="200" ht="14.25" customHeight="1">
      <c r="A200" s="12" t="s">
        <v>322</v>
      </c>
      <c r="B200" s="13">
        <v>0.0</v>
      </c>
      <c r="C200" s="13">
        <v>0.0</v>
      </c>
      <c r="D200" s="13">
        <v>0.0</v>
      </c>
      <c r="E200" s="13">
        <v>0.0</v>
      </c>
      <c r="F200" s="13">
        <v>0.0</v>
      </c>
      <c r="G200" s="13">
        <v>0.0</v>
      </c>
      <c r="H200" s="13">
        <v>0.0</v>
      </c>
      <c r="I200" s="13">
        <v>0.0</v>
      </c>
      <c r="N200" s="7" t="s">
        <v>264</v>
      </c>
      <c r="O200" s="7" t="s">
        <v>323</v>
      </c>
      <c r="P200" s="7" t="s">
        <v>324</v>
      </c>
      <c r="Q200" s="8">
        <v>41601.0</v>
      </c>
      <c r="R200" s="9">
        <v>0.0</v>
      </c>
      <c r="S200" s="9">
        <v>0.0</v>
      </c>
      <c r="T200" s="9">
        <v>0.0</v>
      </c>
      <c r="U200" s="9">
        <v>0.0</v>
      </c>
      <c r="V200" s="9">
        <v>0.0</v>
      </c>
      <c r="W200" s="9">
        <v>0.0</v>
      </c>
    </row>
    <row r="201" ht="14.25" customHeight="1">
      <c r="A201" s="12" t="s">
        <v>325</v>
      </c>
      <c r="B201" s="13">
        <v>0.0</v>
      </c>
      <c r="C201" s="13">
        <v>0.0</v>
      </c>
      <c r="D201" s="13">
        <v>0.0</v>
      </c>
      <c r="E201" s="13">
        <v>0.0</v>
      </c>
      <c r="F201" s="13">
        <v>1.0</v>
      </c>
      <c r="G201" s="13">
        <v>0.0</v>
      </c>
      <c r="H201" s="13">
        <v>0.0</v>
      </c>
      <c r="I201" s="13">
        <v>1.0</v>
      </c>
      <c r="N201" s="7" t="s">
        <v>326</v>
      </c>
      <c r="O201" s="7" t="s">
        <v>327</v>
      </c>
      <c r="P201" s="7" t="s">
        <v>326</v>
      </c>
      <c r="Q201" s="8">
        <v>50101.0</v>
      </c>
      <c r="R201" s="9">
        <v>7.0</v>
      </c>
      <c r="S201" s="9">
        <v>6.0</v>
      </c>
      <c r="T201" s="9">
        <v>12.0</v>
      </c>
      <c r="U201" s="9">
        <v>66.0</v>
      </c>
      <c r="V201" s="9">
        <v>101.0</v>
      </c>
      <c r="W201" s="9">
        <v>73.0</v>
      </c>
    </row>
    <row r="202" ht="14.25" customHeight="1">
      <c r="A202" s="12" t="s">
        <v>328</v>
      </c>
      <c r="B202" s="13">
        <v>0.0</v>
      </c>
      <c r="C202" s="13">
        <v>0.0</v>
      </c>
      <c r="D202" s="13">
        <v>0.0</v>
      </c>
      <c r="E202" s="13">
        <v>3.0</v>
      </c>
      <c r="F202" s="13">
        <v>1.0</v>
      </c>
      <c r="G202" s="13">
        <v>3.0</v>
      </c>
      <c r="H202" s="13">
        <v>4.0</v>
      </c>
      <c r="I202" s="13">
        <v>2.0</v>
      </c>
      <c r="N202" s="7" t="s">
        <v>326</v>
      </c>
      <c r="O202" s="7" t="s">
        <v>327</v>
      </c>
      <c r="P202" s="7" t="s">
        <v>329</v>
      </c>
      <c r="Q202" s="8">
        <v>50102.0</v>
      </c>
      <c r="R202" s="9">
        <v>0.0</v>
      </c>
      <c r="S202" s="9">
        <v>0.0</v>
      </c>
      <c r="T202" s="9">
        <v>0.0</v>
      </c>
      <c r="U202" s="9">
        <v>2.0</v>
      </c>
      <c r="V202" s="9">
        <v>3.0</v>
      </c>
      <c r="W202" s="9">
        <v>2.0</v>
      </c>
    </row>
    <row r="203" ht="14.25" customHeight="1">
      <c r="A203" s="12" t="s">
        <v>330</v>
      </c>
      <c r="B203" s="13">
        <v>0.0</v>
      </c>
      <c r="C203" s="13">
        <v>0.0</v>
      </c>
      <c r="D203" s="13">
        <v>0.0</v>
      </c>
      <c r="E203" s="13">
        <v>2.0</v>
      </c>
      <c r="F203" s="13">
        <v>0.0</v>
      </c>
      <c r="G203" s="13">
        <v>2.0</v>
      </c>
      <c r="H203" s="13">
        <v>0.0</v>
      </c>
      <c r="I203" s="13">
        <v>0.0</v>
      </c>
      <c r="N203" s="7" t="s">
        <v>326</v>
      </c>
      <c r="O203" s="7" t="s">
        <v>327</v>
      </c>
      <c r="P203" s="7" t="s">
        <v>331</v>
      </c>
      <c r="Q203" s="8">
        <v>50103.0</v>
      </c>
      <c r="R203" s="9">
        <v>0.0</v>
      </c>
      <c r="S203" s="9">
        <v>0.0</v>
      </c>
      <c r="T203" s="9">
        <v>0.0</v>
      </c>
      <c r="U203" s="9">
        <v>0.0</v>
      </c>
      <c r="V203" s="9">
        <v>0.0</v>
      </c>
      <c r="W203" s="9">
        <v>1.0</v>
      </c>
    </row>
    <row r="204" ht="14.25" customHeight="1">
      <c r="A204" s="12" t="s">
        <v>332</v>
      </c>
      <c r="B204" s="13">
        <v>0.0</v>
      </c>
      <c r="C204" s="13">
        <v>0.0</v>
      </c>
      <c r="D204" s="13">
        <v>0.0</v>
      </c>
      <c r="E204" s="13">
        <v>0.0</v>
      </c>
      <c r="F204" s="13">
        <v>0.0</v>
      </c>
      <c r="G204" s="13">
        <v>0.0</v>
      </c>
      <c r="H204" s="13">
        <v>2.0</v>
      </c>
      <c r="I204" s="13">
        <v>1.0</v>
      </c>
      <c r="N204" s="7" t="s">
        <v>326</v>
      </c>
      <c r="O204" s="7" t="s">
        <v>327</v>
      </c>
      <c r="P204" s="7" t="s">
        <v>333</v>
      </c>
      <c r="Q204" s="8">
        <v>50104.0</v>
      </c>
      <c r="R204" s="9">
        <v>0.0</v>
      </c>
      <c r="S204" s="9">
        <v>0.0</v>
      </c>
      <c r="T204" s="9">
        <v>0.0</v>
      </c>
      <c r="U204" s="9">
        <v>0.0</v>
      </c>
      <c r="V204" s="9">
        <v>0.0</v>
      </c>
      <c r="W204" s="9">
        <v>0.0</v>
      </c>
    </row>
    <row r="205" ht="14.25" customHeight="1">
      <c r="A205" s="12" t="s">
        <v>334</v>
      </c>
      <c r="B205" s="13">
        <v>0.0</v>
      </c>
      <c r="C205" s="13">
        <v>0.0</v>
      </c>
      <c r="D205" s="13">
        <v>0.0</v>
      </c>
      <c r="E205" s="13">
        <v>1.0</v>
      </c>
      <c r="F205" s="13">
        <v>1.0</v>
      </c>
      <c r="G205" s="13">
        <v>2.0</v>
      </c>
      <c r="H205" s="13">
        <v>2.0</v>
      </c>
      <c r="I205" s="13">
        <v>1.0</v>
      </c>
      <c r="N205" s="7" t="s">
        <v>326</v>
      </c>
      <c r="O205" s="7" t="s">
        <v>335</v>
      </c>
      <c r="P205" s="7" t="s">
        <v>336</v>
      </c>
      <c r="Q205" s="8">
        <v>50201.0</v>
      </c>
      <c r="R205" s="9">
        <v>0.0</v>
      </c>
      <c r="S205" s="9">
        <v>1.0</v>
      </c>
      <c r="T205" s="9">
        <v>0.0</v>
      </c>
      <c r="U205" s="9">
        <v>1.0</v>
      </c>
      <c r="V205" s="9">
        <v>4.0</v>
      </c>
      <c r="W205" s="9">
        <v>6.0</v>
      </c>
    </row>
    <row r="206" ht="14.25" customHeight="1">
      <c r="A206" s="12" t="s">
        <v>337</v>
      </c>
      <c r="B206" s="13">
        <v>0.0</v>
      </c>
      <c r="C206" s="13">
        <v>0.0</v>
      </c>
      <c r="D206" s="13">
        <v>0.0</v>
      </c>
      <c r="E206" s="13">
        <v>1.0</v>
      </c>
      <c r="F206" s="13">
        <v>0.0</v>
      </c>
      <c r="G206" s="13">
        <v>2.0</v>
      </c>
      <c r="H206" s="13">
        <v>0.0</v>
      </c>
      <c r="I206" s="13">
        <v>0.0</v>
      </c>
      <c r="N206" s="7" t="s">
        <v>326</v>
      </c>
      <c r="O206" s="7" t="s">
        <v>335</v>
      </c>
      <c r="P206" s="7" t="s">
        <v>334</v>
      </c>
      <c r="Q206" s="8">
        <v>50202.0</v>
      </c>
      <c r="R206" s="9">
        <v>0.0</v>
      </c>
      <c r="S206" s="9">
        <v>0.0</v>
      </c>
      <c r="T206" s="9">
        <v>0.0</v>
      </c>
      <c r="U206" s="9">
        <v>2.0</v>
      </c>
      <c r="V206" s="9">
        <v>2.0</v>
      </c>
      <c r="W206" s="9">
        <v>1.0</v>
      </c>
    </row>
    <row r="207" ht="14.25" customHeight="1">
      <c r="A207" s="12" t="s">
        <v>338</v>
      </c>
      <c r="B207" s="13">
        <v>0.0</v>
      </c>
      <c r="C207" s="13">
        <v>0.0</v>
      </c>
      <c r="D207" s="13">
        <v>1.0</v>
      </c>
      <c r="E207" s="13">
        <v>0.0</v>
      </c>
      <c r="F207" s="13">
        <v>1.0</v>
      </c>
      <c r="G207" s="13">
        <v>3.0</v>
      </c>
      <c r="H207" s="13">
        <v>2.0</v>
      </c>
      <c r="I207" s="13">
        <v>4.0</v>
      </c>
      <c r="N207" s="7" t="s">
        <v>326</v>
      </c>
      <c r="O207" s="7" t="s">
        <v>335</v>
      </c>
      <c r="P207" s="7" t="s">
        <v>339</v>
      </c>
      <c r="Q207" s="8">
        <v>50203.0</v>
      </c>
      <c r="R207" s="9">
        <v>3.0</v>
      </c>
      <c r="S207" s="9">
        <v>5.0</v>
      </c>
      <c r="T207" s="9">
        <v>2.0</v>
      </c>
      <c r="U207" s="9">
        <v>4.0</v>
      </c>
      <c r="V207" s="9">
        <v>11.0</v>
      </c>
      <c r="W207" s="9">
        <v>12.0</v>
      </c>
    </row>
    <row r="208" ht="14.25" customHeight="1">
      <c r="A208" s="12" t="s">
        <v>340</v>
      </c>
      <c r="B208" s="13">
        <v>1.0</v>
      </c>
      <c r="C208" s="13">
        <v>0.0</v>
      </c>
      <c r="D208" s="13">
        <v>0.0</v>
      </c>
      <c r="E208" s="13">
        <v>2.0</v>
      </c>
      <c r="F208" s="13">
        <v>0.0</v>
      </c>
      <c r="G208" s="13">
        <v>0.0</v>
      </c>
      <c r="H208" s="13">
        <v>1.0</v>
      </c>
      <c r="I208" s="13">
        <v>1.0</v>
      </c>
      <c r="N208" s="7" t="s">
        <v>326</v>
      </c>
      <c r="O208" s="7" t="s">
        <v>335</v>
      </c>
      <c r="P208" s="7" t="s">
        <v>341</v>
      </c>
      <c r="Q208" s="8">
        <v>50204.0</v>
      </c>
      <c r="R208" s="9">
        <v>0.0</v>
      </c>
      <c r="S208" s="9">
        <v>0.0</v>
      </c>
      <c r="T208" s="9">
        <v>0.0</v>
      </c>
      <c r="U208" s="9">
        <v>0.0</v>
      </c>
      <c r="V208" s="9">
        <v>0.0</v>
      </c>
      <c r="W208" s="9">
        <v>0.0</v>
      </c>
    </row>
    <row r="209" ht="14.25" customHeight="1">
      <c r="A209" s="12" t="s">
        <v>339</v>
      </c>
      <c r="B209" s="13">
        <v>3.0</v>
      </c>
      <c r="C209" s="13">
        <v>5.0</v>
      </c>
      <c r="D209" s="13">
        <v>2.0</v>
      </c>
      <c r="E209" s="13">
        <v>6.0</v>
      </c>
      <c r="F209" s="13">
        <v>8.0</v>
      </c>
      <c r="G209" s="13">
        <v>4.0</v>
      </c>
      <c r="H209" s="13">
        <v>11.0</v>
      </c>
      <c r="I209" s="13">
        <v>12.0</v>
      </c>
      <c r="N209" s="7" t="s">
        <v>326</v>
      </c>
      <c r="O209" s="7" t="s">
        <v>342</v>
      </c>
      <c r="P209" s="7" t="s">
        <v>328</v>
      </c>
      <c r="Q209" s="8">
        <v>50301.0</v>
      </c>
      <c r="R209" s="9">
        <v>0.0</v>
      </c>
      <c r="S209" s="9">
        <v>0.0</v>
      </c>
      <c r="T209" s="9">
        <v>0.0</v>
      </c>
      <c r="U209" s="9">
        <v>3.0</v>
      </c>
      <c r="V209" s="9">
        <v>4.0</v>
      </c>
      <c r="W209" s="9">
        <v>2.0</v>
      </c>
    </row>
    <row r="210" ht="14.25" customHeight="1">
      <c r="A210" s="12" t="s">
        <v>343</v>
      </c>
      <c r="B210" s="13">
        <v>0.0</v>
      </c>
      <c r="C210" s="13">
        <v>0.0</v>
      </c>
      <c r="D210" s="13">
        <v>0.0</v>
      </c>
      <c r="E210" s="13">
        <v>0.0</v>
      </c>
      <c r="F210" s="13">
        <v>0.0</v>
      </c>
      <c r="G210" s="13">
        <v>1.0</v>
      </c>
      <c r="H210" s="13">
        <v>0.0</v>
      </c>
      <c r="I210" s="13">
        <v>0.0</v>
      </c>
      <c r="N210" s="7" t="s">
        <v>326</v>
      </c>
      <c r="O210" s="7" t="s">
        <v>342</v>
      </c>
      <c r="P210" s="7" t="s">
        <v>344</v>
      </c>
      <c r="Q210" s="8">
        <v>50302.0</v>
      </c>
      <c r="R210" s="9">
        <v>0.0</v>
      </c>
      <c r="S210" s="9">
        <v>0.0</v>
      </c>
      <c r="T210" s="9">
        <v>0.0</v>
      </c>
      <c r="U210" s="9">
        <v>0.0</v>
      </c>
      <c r="V210" s="9">
        <v>2.0</v>
      </c>
      <c r="W210" s="9">
        <v>1.0</v>
      </c>
    </row>
    <row r="211" ht="14.25" customHeight="1">
      <c r="A211" s="12" t="s">
        <v>345</v>
      </c>
      <c r="B211" s="13">
        <v>0.0</v>
      </c>
      <c r="C211" s="13">
        <v>0.0</v>
      </c>
      <c r="D211" s="13">
        <v>1.0</v>
      </c>
      <c r="E211" s="13">
        <v>1.0</v>
      </c>
      <c r="F211" s="13">
        <v>2.0</v>
      </c>
      <c r="G211" s="13">
        <v>4.0</v>
      </c>
      <c r="H211" s="13">
        <v>1.0</v>
      </c>
      <c r="I211" s="13">
        <v>0.0</v>
      </c>
      <c r="N211" s="7" t="s">
        <v>326</v>
      </c>
      <c r="O211" s="7" t="s">
        <v>342</v>
      </c>
      <c r="P211" s="7" t="s">
        <v>346</v>
      </c>
      <c r="Q211" s="8">
        <v>50303.0</v>
      </c>
      <c r="R211" s="9">
        <v>1.0</v>
      </c>
      <c r="S211" s="9">
        <v>0.0</v>
      </c>
      <c r="T211" s="9">
        <v>0.0</v>
      </c>
      <c r="U211" s="9">
        <v>2.0</v>
      </c>
      <c r="V211" s="9">
        <v>0.0</v>
      </c>
      <c r="W211" s="9">
        <v>0.0</v>
      </c>
    </row>
    <row r="212" ht="14.25" customHeight="1">
      <c r="A212" s="12" t="s">
        <v>347</v>
      </c>
      <c r="B212" s="13">
        <v>0.0</v>
      </c>
      <c r="C212" s="13">
        <v>0.0</v>
      </c>
      <c r="D212" s="13">
        <v>0.0</v>
      </c>
      <c r="E212" s="13">
        <v>0.0</v>
      </c>
      <c r="F212" s="13">
        <v>0.0</v>
      </c>
      <c r="G212" s="13">
        <v>5.0</v>
      </c>
      <c r="H212" s="13">
        <v>3.0</v>
      </c>
      <c r="I212" s="13">
        <v>4.0</v>
      </c>
      <c r="N212" s="7" t="s">
        <v>326</v>
      </c>
      <c r="O212" s="7" t="s">
        <v>334</v>
      </c>
      <c r="P212" s="7" t="s">
        <v>338</v>
      </c>
      <c r="Q212" s="8">
        <v>50401.0</v>
      </c>
      <c r="R212" s="9">
        <v>0.0</v>
      </c>
      <c r="S212" s="9">
        <v>0.0</v>
      </c>
      <c r="T212" s="9">
        <v>1.0</v>
      </c>
      <c r="U212" s="9">
        <v>3.0</v>
      </c>
      <c r="V212" s="9">
        <v>2.0</v>
      </c>
      <c r="W212" s="9">
        <v>4.0</v>
      </c>
    </row>
    <row r="213" ht="14.25" customHeight="1">
      <c r="A213" s="12" t="s">
        <v>348</v>
      </c>
      <c r="B213" s="13">
        <v>0.0</v>
      </c>
      <c r="C213" s="13">
        <v>0.0</v>
      </c>
      <c r="D213" s="13">
        <v>2.0</v>
      </c>
      <c r="E213" s="13">
        <v>1.0</v>
      </c>
      <c r="F213" s="13">
        <v>0.0</v>
      </c>
      <c r="G213" s="13">
        <v>0.0</v>
      </c>
      <c r="H213" s="13">
        <v>2.0</v>
      </c>
      <c r="I213" s="13">
        <v>3.0</v>
      </c>
      <c r="N213" s="7" t="s">
        <v>326</v>
      </c>
      <c r="O213" s="7" t="s">
        <v>334</v>
      </c>
      <c r="P213" s="7" t="s">
        <v>349</v>
      </c>
      <c r="Q213" s="8">
        <v>50402.0</v>
      </c>
      <c r="R213" s="9">
        <v>0.0</v>
      </c>
      <c r="S213" s="9">
        <v>0.0</v>
      </c>
      <c r="T213" s="9">
        <v>0.0</v>
      </c>
      <c r="U213" s="9">
        <v>2.0</v>
      </c>
      <c r="V213" s="9">
        <v>3.0</v>
      </c>
      <c r="W213" s="9">
        <v>7.0</v>
      </c>
    </row>
    <row r="214" ht="14.25" customHeight="1">
      <c r="A214" s="12" t="s">
        <v>350</v>
      </c>
      <c r="B214" s="13">
        <v>7.0</v>
      </c>
      <c r="C214" s="13">
        <v>6.0</v>
      </c>
      <c r="D214" s="13">
        <v>12.0</v>
      </c>
      <c r="E214" s="13">
        <v>34.0</v>
      </c>
      <c r="F214" s="13">
        <v>51.0</v>
      </c>
      <c r="G214" s="13">
        <v>66.0</v>
      </c>
      <c r="H214" s="13">
        <v>101.0</v>
      </c>
      <c r="I214" s="13">
        <v>73.0</v>
      </c>
      <c r="N214" s="7" t="s">
        <v>326</v>
      </c>
      <c r="O214" s="7" t="s">
        <v>334</v>
      </c>
      <c r="P214" s="7" t="s">
        <v>347</v>
      </c>
      <c r="Q214" s="8">
        <v>50403.0</v>
      </c>
      <c r="R214" s="9">
        <v>0.0</v>
      </c>
      <c r="S214" s="9">
        <v>0.0</v>
      </c>
      <c r="T214" s="9">
        <v>0.0</v>
      </c>
      <c r="U214" s="9">
        <v>5.0</v>
      </c>
      <c r="V214" s="9">
        <v>3.0</v>
      </c>
      <c r="W214" s="9">
        <v>4.0</v>
      </c>
    </row>
    <row r="215" ht="14.25" customHeight="1">
      <c r="A215" s="12" t="s">
        <v>351</v>
      </c>
      <c r="B215" s="13">
        <v>0.0</v>
      </c>
      <c r="C215" s="13">
        <v>0.0</v>
      </c>
      <c r="D215" s="13">
        <v>0.0</v>
      </c>
      <c r="E215" s="13">
        <v>4.0</v>
      </c>
      <c r="F215" s="13">
        <v>1.0</v>
      </c>
      <c r="G215" s="13">
        <v>0.0</v>
      </c>
      <c r="H215" s="13">
        <v>0.0</v>
      </c>
      <c r="I215" s="13">
        <v>2.0</v>
      </c>
      <c r="N215" s="7" t="s">
        <v>326</v>
      </c>
      <c r="O215" s="7" t="s">
        <v>334</v>
      </c>
      <c r="P215" s="7" t="s">
        <v>345</v>
      </c>
      <c r="Q215" s="8">
        <v>50404.0</v>
      </c>
      <c r="R215" s="9">
        <v>0.0</v>
      </c>
      <c r="S215" s="9">
        <v>0.0</v>
      </c>
      <c r="T215" s="9">
        <v>1.0</v>
      </c>
      <c r="U215" s="9">
        <v>4.0</v>
      </c>
      <c r="V215" s="9">
        <v>1.0</v>
      </c>
      <c r="W215" s="9">
        <v>0.0</v>
      </c>
    </row>
    <row r="216" ht="14.25" customHeight="1">
      <c r="A216" s="12" t="s">
        <v>349</v>
      </c>
      <c r="B216" s="13">
        <v>0.0</v>
      </c>
      <c r="C216" s="13">
        <v>0.0</v>
      </c>
      <c r="D216" s="13">
        <v>0.0</v>
      </c>
      <c r="E216" s="13">
        <v>0.0</v>
      </c>
      <c r="F216" s="13">
        <v>2.0</v>
      </c>
      <c r="G216" s="13">
        <v>2.0</v>
      </c>
      <c r="H216" s="13">
        <v>3.0</v>
      </c>
      <c r="I216" s="13">
        <v>7.0</v>
      </c>
      <c r="N216" s="7" t="s">
        <v>326</v>
      </c>
      <c r="O216" s="7" t="s">
        <v>334</v>
      </c>
      <c r="P216" s="7" t="s">
        <v>352</v>
      </c>
      <c r="Q216" s="8">
        <v>50405.0</v>
      </c>
      <c r="R216" s="9">
        <v>0.0</v>
      </c>
      <c r="S216" s="9">
        <v>0.0</v>
      </c>
      <c r="T216" s="9">
        <v>0.0</v>
      </c>
      <c r="U216" s="9">
        <v>0.0</v>
      </c>
      <c r="V216" s="9">
        <v>0.0</v>
      </c>
      <c r="W216" s="9">
        <v>0.0</v>
      </c>
    </row>
    <row r="217" ht="14.25" customHeight="1">
      <c r="A217" s="12" t="s">
        <v>353</v>
      </c>
      <c r="B217" s="13">
        <v>0.0</v>
      </c>
      <c r="C217" s="13">
        <v>0.0</v>
      </c>
      <c r="D217" s="13">
        <v>1.0</v>
      </c>
      <c r="E217" s="13">
        <v>0.0</v>
      </c>
      <c r="F217" s="13">
        <v>1.0</v>
      </c>
      <c r="G217" s="13">
        <v>0.0</v>
      </c>
      <c r="H217" s="13">
        <v>0.0</v>
      </c>
      <c r="I217" s="13">
        <v>3.0</v>
      </c>
      <c r="N217" s="7" t="s">
        <v>326</v>
      </c>
      <c r="O217" s="7" t="s">
        <v>354</v>
      </c>
      <c r="P217" s="7" t="s">
        <v>355</v>
      </c>
      <c r="Q217" s="8">
        <v>50501.0</v>
      </c>
      <c r="R217" s="9">
        <v>0.0</v>
      </c>
      <c r="S217" s="9">
        <v>0.0</v>
      </c>
      <c r="T217" s="9">
        <v>1.0</v>
      </c>
      <c r="U217" s="9">
        <v>11.0</v>
      </c>
      <c r="V217" s="9">
        <v>2.0</v>
      </c>
      <c r="W217" s="9">
        <v>10.0</v>
      </c>
    </row>
    <row r="218" ht="14.25" customHeight="1">
      <c r="A218" s="12" t="s">
        <v>356</v>
      </c>
      <c r="B218" s="13">
        <v>0.0</v>
      </c>
      <c r="C218" s="13">
        <v>0.0</v>
      </c>
      <c r="D218" s="13">
        <v>0.0</v>
      </c>
      <c r="E218" s="13">
        <v>0.0</v>
      </c>
      <c r="F218" s="13">
        <v>1.0</v>
      </c>
      <c r="G218" s="13">
        <v>0.0</v>
      </c>
      <c r="H218" s="13">
        <v>0.0</v>
      </c>
      <c r="I218" s="13">
        <v>0.0</v>
      </c>
      <c r="N218" s="7" t="s">
        <v>326</v>
      </c>
      <c r="O218" s="7" t="s">
        <v>354</v>
      </c>
      <c r="P218" s="7" t="s">
        <v>357</v>
      </c>
      <c r="Q218" s="8">
        <v>50502.0</v>
      </c>
      <c r="R218" s="9">
        <v>0.0</v>
      </c>
      <c r="S218" s="9">
        <v>0.0</v>
      </c>
      <c r="T218" s="9">
        <v>0.0</v>
      </c>
      <c r="U218" s="9">
        <v>5.0</v>
      </c>
      <c r="V218" s="9">
        <v>10.0</v>
      </c>
      <c r="W218" s="9">
        <v>2.0</v>
      </c>
    </row>
    <row r="219" ht="14.25" customHeight="1">
      <c r="A219" s="12" t="s">
        <v>358</v>
      </c>
      <c r="B219" s="13">
        <v>0.0</v>
      </c>
      <c r="C219" s="13">
        <v>0.0</v>
      </c>
      <c r="D219" s="13">
        <v>1.0</v>
      </c>
      <c r="E219" s="13">
        <v>1.0</v>
      </c>
      <c r="F219" s="13">
        <v>16.0</v>
      </c>
      <c r="G219" s="13">
        <v>11.0</v>
      </c>
      <c r="H219" s="13">
        <v>2.0</v>
      </c>
      <c r="I219" s="13">
        <v>10.0</v>
      </c>
      <c r="N219" s="7" t="s">
        <v>326</v>
      </c>
      <c r="O219" s="7" t="s">
        <v>359</v>
      </c>
      <c r="P219" s="7" t="s">
        <v>340</v>
      </c>
      <c r="Q219" s="8">
        <v>50601.0</v>
      </c>
      <c r="R219" s="9">
        <v>1.0</v>
      </c>
      <c r="S219" s="9">
        <v>0.0</v>
      </c>
      <c r="T219" s="9">
        <v>0.0</v>
      </c>
      <c r="U219" s="9">
        <v>0.0</v>
      </c>
      <c r="V219" s="9">
        <v>1.0</v>
      </c>
      <c r="W219" s="9">
        <v>1.0</v>
      </c>
    </row>
    <row r="220" ht="14.25" customHeight="1">
      <c r="A220" s="12" t="s">
        <v>346</v>
      </c>
      <c r="B220" s="13">
        <v>1.0</v>
      </c>
      <c r="C220" s="13">
        <v>0.0</v>
      </c>
      <c r="D220" s="13">
        <v>0.0</v>
      </c>
      <c r="E220" s="13">
        <v>0.0</v>
      </c>
      <c r="F220" s="13">
        <v>0.0</v>
      </c>
      <c r="G220" s="13">
        <v>2.0</v>
      </c>
      <c r="H220" s="13">
        <v>0.0</v>
      </c>
      <c r="I220" s="13">
        <v>0.0</v>
      </c>
      <c r="N220" s="7" t="s">
        <v>326</v>
      </c>
      <c r="O220" s="7" t="s">
        <v>359</v>
      </c>
      <c r="P220" s="7" t="s">
        <v>360</v>
      </c>
      <c r="Q220" s="8">
        <v>50602.0</v>
      </c>
      <c r="R220" s="9">
        <v>0.0</v>
      </c>
      <c r="S220" s="9">
        <v>1.0</v>
      </c>
      <c r="T220" s="9">
        <v>0.0</v>
      </c>
      <c r="U220" s="9">
        <v>0.0</v>
      </c>
      <c r="V220" s="9">
        <v>0.0</v>
      </c>
      <c r="W220" s="9">
        <v>1.0</v>
      </c>
    </row>
    <row r="221" ht="14.25" customHeight="1">
      <c r="A221" s="12" t="s">
        <v>361</v>
      </c>
      <c r="B221" s="13">
        <v>0.0</v>
      </c>
      <c r="C221" s="13">
        <v>0.0</v>
      </c>
      <c r="D221" s="13">
        <v>0.0</v>
      </c>
      <c r="E221" s="13">
        <v>2.0</v>
      </c>
      <c r="F221" s="13">
        <v>0.0</v>
      </c>
      <c r="G221" s="13">
        <v>0.0</v>
      </c>
      <c r="H221" s="13">
        <v>0.0</v>
      </c>
      <c r="I221" s="13">
        <v>0.0</v>
      </c>
      <c r="N221" s="7" t="s">
        <v>326</v>
      </c>
      <c r="O221" s="7" t="s">
        <v>362</v>
      </c>
      <c r="P221" s="7" t="s">
        <v>363</v>
      </c>
      <c r="Q221" s="8">
        <v>50701.0</v>
      </c>
      <c r="R221" s="9">
        <v>0.0</v>
      </c>
      <c r="S221" s="9">
        <v>0.0</v>
      </c>
      <c r="T221" s="9">
        <v>1.0</v>
      </c>
      <c r="U221" s="9">
        <v>0.0</v>
      </c>
      <c r="V221" s="9">
        <v>0.0</v>
      </c>
      <c r="W221" s="9">
        <v>3.0</v>
      </c>
    </row>
    <row r="222" ht="14.25" customHeight="1">
      <c r="A222" s="12" t="s">
        <v>329</v>
      </c>
      <c r="B222" s="13">
        <v>0.0</v>
      </c>
      <c r="C222" s="13">
        <v>0.0</v>
      </c>
      <c r="D222" s="13">
        <v>0.0</v>
      </c>
      <c r="E222" s="13">
        <v>0.0</v>
      </c>
      <c r="F222" s="13">
        <v>0.0</v>
      </c>
      <c r="G222" s="13">
        <v>2.0</v>
      </c>
      <c r="H222" s="13">
        <v>3.0</v>
      </c>
      <c r="I222" s="13">
        <v>2.0</v>
      </c>
      <c r="N222" s="7" t="s">
        <v>326</v>
      </c>
      <c r="O222" s="7" t="s">
        <v>362</v>
      </c>
      <c r="P222" s="7" t="s">
        <v>330</v>
      </c>
      <c r="Q222" s="8">
        <v>50702.0</v>
      </c>
      <c r="R222" s="9">
        <v>0.0</v>
      </c>
      <c r="S222" s="9">
        <v>0.0</v>
      </c>
      <c r="T222" s="9">
        <v>0.0</v>
      </c>
      <c r="U222" s="9">
        <v>2.0</v>
      </c>
      <c r="V222" s="9">
        <v>0.0</v>
      </c>
      <c r="W222" s="9">
        <v>0.0</v>
      </c>
    </row>
    <row r="223" ht="14.25" customHeight="1">
      <c r="A223" s="12" t="s">
        <v>364</v>
      </c>
      <c r="B223" s="13">
        <v>0.0</v>
      </c>
      <c r="C223" s="13">
        <v>0.0</v>
      </c>
      <c r="D223" s="13">
        <v>0.0</v>
      </c>
      <c r="E223" s="13">
        <v>0.0</v>
      </c>
      <c r="F223" s="13">
        <v>1.0</v>
      </c>
      <c r="G223" s="13">
        <v>0.0</v>
      </c>
      <c r="H223" s="13">
        <v>0.0</v>
      </c>
      <c r="I223" s="13">
        <v>0.0</v>
      </c>
      <c r="N223" s="7" t="s">
        <v>326</v>
      </c>
      <c r="O223" s="7" t="s">
        <v>365</v>
      </c>
      <c r="P223" s="7" t="s">
        <v>366</v>
      </c>
      <c r="Q223" s="8">
        <v>50801.0</v>
      </c>
      <c r="R223" s="9">
        <v>1.0</v>
      </c>
      <c r="S223" s="9">
        <v>1.0</v>
      </c>
      <c r="T223" s="9">
        <v>2.0</v>
      </c>
      <c r="U223" s="9">
        <v>3.0</v>
      </c>
      <c r="V223" s="9">
        <v>6.0</v>
      </c>
      <c r="W223" s="9">
        <v>6.0</v>
      </c>
    </row>
    <row r="224" ht="14.25" customHeight="1">
      <c r="A224" s="12" t="s">
        <v>357</v>
      </c>
      <c r="B224" s="13">
        <v>0.0</v>
      </c>
      <c r="C224" s="13">
        <v>0.0</v>
      </c>
      <c r="D224" s="13">
        <v>0.0</v>
      </c>
      <c r="E224" s="13">
        <v>0.0</v>
      </c>
      <c r="F224" s="13">
        <v>1.0</v>
      </c>
      <c r="G224" s="13">
        <v>5.0</v>
      </c>
      <c r="H224" s="13">
        <v>10.0</v>
      </c>
      <c r="I224" s="13">
        <v>2.0</v>
      </c>
      <c r="N224" s="7" t="s">
        <v>326</v>
      </c>
      <c r="O224" s="7" t="s">
        <v>365</v>
      </c>
      <c r="P224" s="7" t="s">
        <v>325</v>
      </c>
      <c r="Q224" s="8">
        <v>50802.0</v>
      </c>
      <c r="R224" s="9">
        <v>0.0</v>
      </c>
      <c r="S224" s="9">
        <v>0.0</v>
      </c>
      <c r="T224" s="9">
        <v>0.0</v>
      </c>
      <c r="U224" s="9">
        <v>0.0</v>
      </c>
      <c r="V224" s="9">
        <v>0.0</v>
      </c>
      <c r="W224" s="9">
        <v>1.0</v>
      </c>
    </row>
    <row r="225" ht="14.25" customHeight="1">
      <c r="A225" s="12" t="s">
        <v>366</v>
      </c>
      <c r="B225" s="13">
        <v>1.0</v>
      </c>
      <c r="C225" s="13">
        <v>1.0</v>
      </c>
      <c r="D225" s="13">
        <v>2.0</v>
      </c>
      <c r="E225" s="13">
        <v>6.0</v>
      </c>
      <c r="F225" s="13">
        <v>3.0</v>
      </c>
      <c r="G225" s="13">
        <v>3.0</v>
      </c>
      <c r="H225" s="13">
        <v>6.0</v>
      </c>
      <c r="I225" s="13">
        <v>6.0</v>
      </c>
      <c r="N225" s="7" t="s">
        <v>326</v>
      </c>
      <c r="O225" s="7" t="s">
        <v>367</v>
      </c>
      <c r="P225" s="7" t="s">
        <v>368</v>
      </c>
      <c r="Q225" s="8">
        <v>50901.0</v>
      </c>
      <c r="R225" s="9">
        <v>0.0</v>
      </c>
      <c r="S225" s="9">
        <v>0.0</v>
      </c>
      <c r="T225" s="9">
        <v>0.0</v>
      </c>
      <c r="U225" s="9">
        <v>2.0</v>
      </c>
      <c r="V225" s="9">
        <v>0.0</v>
      </c>
      <c r="W225" s="9">
        <v>0.0</v>
      </c>
    </row>
    <row r="226" ht="14.25" customHeight="1">
      <c r="A226" s="12" t="s">
        <v>336</v>
      </c>
      <c r="B226" s="13">
        <v>0.0</v>
      </c>
      <c r="C226" s="13">
        <v>1.0</v>
      </c>
      <c r="D226" s="13">
        <v>0.0</v>
      </c>
      <c r="E226" s="13">
        <v>3.0</v>
      </c>
      <c r="F226" s="13">
        <v>1.0</v>
      </c>
      <c r="G226" s="13">
        <v>1.0</v>
      </c>
      <c r="H226" s="13">
        <v>4.0</v>
      </c>
      <c r="I226" s="13">
        <v>6.0</v>
      </c>
      <c r="N226" s="7" t="s">
        <v>326</v>
      </c>
      <c r="O226" s="7" t="s">
        <v>367</v>
      </c>
      <c r="P226" s="7" t="s">
        <v>369</v>
      </c>
      <c r="Q226" s="8">
        <v>50902.0</v>
      </c>
      <c r="R226" s="9">
        <v>0.0</v>
      </c>
      <c r="S226" s="9">
        <v>0.0</v>
      </c>
      <c r="T226" s="9">
        <v>0.0</v>
      </c>
      <c r="U226" s="9">
        <v>0.0</v>
      </c>
      <c r="V226" s="9">
        <v>0.0</v>
      </c>
      <c r="W226" s="9">
        <v>0.0</v>
      </c>
    </row>
    <row r="227" ht="14.25" customHeight="1">
      <c r="A227" s="12" t="s">
        <v>370</v>
      </c>
      <c r="B227" s="13">
        <v>0.0</v>
      </c>
      <c r="C227" s="13">
        <v>1.0</v>
      </c>
      <c r="D227" s="13">
        <v>0.0</v>
      </c>
      <c r="E227" s="13">
        <v>4.0</v>
      </c>
      <c r="F227" s="13">
        <v>2.0</v>
      </c>
      <c r="G227" s="13">
        <v>4.0</v>
      </c>
      <c r="H227" s="13">
        <v>6.0</v>
      </c>
      <c r="I227" s="13">
        <v>7.0</v>
      </c>
      <c r="N227" s="7" t="s">
        <v>326</v>
      </c>
      <c r="O227" s="7" t="s">
        <v>371</v>
      </c>
      <c r="P227" s="7" t="s">
        <v>372</v>
      </c>
      <c r="Q227" s="8">
        <v>51001.0</v>
      </c>
      <c r="R227" s="9">
        <v>0.0</v>
      </c>
      <c r="S227" s="9">
        <v>0.0</v>
      </c>
      <c r="T227" s="9">
        <v>0.0</v>
      </c>
      <c r="U227" s="9">
        <v>0.0</v>
      </c>
      <c r="V227" s="9">
        <v>0.0</v>
      </c>
      <c r="W227" s="9">
        <v>0.0</v>
      </c>
    </row>
    <row r="228" ht="14.25" customHeight="1">
      <c r="A228" s="12" t="s">
        <v>373</v>
      </c>
      <c r="B228" s="13">
        <v>3.0</v>
      </c>
      <c r="C228" s="13">
        <v>3.0</v>
      </c>
      <c r="D228" s="13">
        <v>2.0</v>
      </c>
      <c r="E228" s="13">
        <v>4.0</v>
      </c>
      <c r="F228" s="13">
        <v>3.0</v>
      </c>
      <c r="G228" s="13">
        <v>1.0</v>
      </c>
      <c r="H228" s="13">
        <v>8.0</v>
      </c>
      <c r="I228" s="13">
        <v>7.0</v>
      </c>
      <c r="N228" s="7" t="s">
        <v>326</v>
      </c>
      <c r="O228" s="7" t="s">
        <v>371</v>
      </c>
      <c r="P228" s="7" t="s">
        <v>374</v>
      </c>
      <c r="Q228" s="8">
        <v>51002.0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</row>
    <row r="229" ht="14.25" customHeight="1">
      <c r="A229" s="12" t="s">
        <v>375</v>
      </c>
      <c r="B229" s="13">
        <v>0.0</v>
      </c>
      <c r="C229" s="13">
        <v>1.0</v>
      </c>
      <c r="D229" s="13">
        <v>0.0</v>
      </c>
      <c r="E229" s="13">
        <v>0.0</v>
      </c>
      <c r="F229" s="13">
        <v>1.0</v>
      </c>
      <c r="G229" s="13">
        <v>0.0</v>
      </c>
      <c r="H229" s="13">
        <v>0.0</v>
      </c>
      <c r="I229" s="13">
        <v>1.0</v>
      </c>
      <c r="N229" s="7" t="s">
        <v>326</v>
      </c>
      <c r="O229" s="7" t="s">
        <v>371</v>
      </c>
      <c r="P229" s="7" t="s">
        <v>376</v>
      </c>
      <c r="Q229" s="8">
        <v>51003.0</v>
      </c>
      <c r="R229" s="9">
        <v>0.0</v>
      </c>
      <c r="S229" s="9">
        <v>0.0</v>
      </c>
      <c r="T229" s="9">
        <v>0.0</v>
      </c>
      <c r="U229" s="9">
        <v>0.0</v>
      </c>
      <c r="V229" s="9">
        <v>0.0</v>
      </c>
      <c r="W229" s="9">
        <v>0.0</v>
      </c>
    </row>
    <row r="230" ht="14.25" customHeight="1">
      <c r="A230" s="12" t="s">
        <v>331</v>
      </c>
      <c r="B230" s="13">
        <v>0.0</v>
      </c>
      <c r="C230" s="13">
        <v>0.0</v>
      </c>
      <c r="D230" s="13">
        <v>0.0</v>
      </c>
      <c r="E230" s="13">
        <v>0.0</v>
      </c>
      <c r="F230" s="13">
        <v>0.0</v>
      </c>
      <c r="G230" s="13">
        <v>0.0</v>
      </c>
      <c r="H230" s="13">
        <v>0.0</v>
      </c>
      <c r="I230" s="13">
        <v>1.0</v>
      </c>
      <c r="N230" s="7" t="s">
        <v>326</v>
      </c>
      <c r="O230" s="7" t="s">
        <v>377</v>
      </c>
      <c r="P230" s="7" t="s">
        <v>378</v>
      </c>
      <c r="Q230" s="8">
        <v>51101.0</v>
      </c>
      <c r="R230" s="9">
        <v>0.0</v>
      </c>
      <c r="S230" s="9">
        <v>0.0</v>
      </c>
      <c r="T230" s="9">
        <v>0.0</v>
      </c>
      <c r="U230" s="9">
        <v>0.0</v>
      </c>
      <c r="V230" s="9">
        <v>0.0</v>
      </c>
      <c r="W230" s="9">
        <v>2.0</v>
      </c>
    </row>
    <row r="231" ht="14.25" customHeight="1">
      <c r="A231" s="10" t="s">
        <v>379</v>
      </c>
      <c r="B231" s="11">
        <v>746.0</v>
      </c>
      <c r="C231" s="11">
        <v>734.0</v>
      </c>
      <c r="D231" s="11">
        <v>765.0</v>
      </c>
      <c r="E231" s="11">
        <v>993.0</v>
      </c>
      <c r="F231" s="11">
        <v>1139.0</v>
      </c>
      <c r="G231" s="11">
        <v>1277.0</v>
      </c>
      <c r="H231" s="11">
        <v>1410.0</v>
      </c>
      <c r="I231" s="11">
        <v>1256.0</v>
      </c>
      <c r="N231" s="7" t="s">
        <v>326</v>
      </c>
      <c r="O231" s="7" t="s">
        <v>377</v>
      </c>
      <c r="P231" s="7" t="s">
        <v>380</v>
      </c>
      <c r="Q231" s="8">
        <v>51102.0</v>
      </c>
      <c r="R231" s="9">
        <v>0.0</v>
      </c>
      <c r="S231" s="9">
        <v>0.0</v>
      </c>
      <c r="T231" s="9">
        <v>0.0</v>
      </c>
      <c r="U231" s="9">
        <v>0.0</v>
      </c>
      <c r="V231" s="9">
        <v>0.0</v>
      </c>
      <c r="W231" s="9">
        <v>0.0</v>
      </c>
    </row>
    <row r="232" ht="14.25" customHeight="1">
      <c r="A232" s="12" t="s">
        <v>381</v>
      </c>
      <c r="B232" s="13">
        <v>98.0</v>
      </c>
      <c r="C232" s="13">
        <v>279.0</v>
      </c>
      <c r="D232" s="13">
        <v>117.0</v>
      </c>
      <c r="E232" s="13">
        <v>25.0</v>
      </c>
      <c r="F232" s="13">
        <v>31.0</v>
      </c>
      <c r="G232" s="13">
        <v>23.0</v>
      </c>
      <c r="H232" s="13">
        <v>5.0</v>
      </c>
      <c r="I232" s="13">
        <v>19.0</v>
      </c>
      <c r="N232" s="7" t="s">
        <v>326</v>
      </c>
      <c r="O232" s="7" t="s">
        <v>377</v>
      </c>
      <c r="P232" s="7" t="s">
        <v>382</v>
      </c>
      <c r="Q232" s="8">
        <v>51103.0</v>
      </c>
      <c r="R232" s="9">
        <v>0.0</v>
      </c>
      <c r="S232" s="9">
        <v>0.0</v>
      </c>
      <c r="T232" s="9">
        <v>0.0</v>
      </c>
      <c r="U232" s="9">
        <v>0.0</v>
      </c>
      <c r="V232" s="9">
        <v>0.0</v>
      </c>
      <c r="W232" s="9">
        <v>0.0</v>
      </c>
    </row>
    <row r="233" ht="14.25" customHeight="1">
      <c r="A233" s="12" t="s">
        <v>383</v>
      </c>
      <c r="B233" s="13">
        <v>5.0</v>
      </c>
      <c r="C233" s="13">
        <v>4.0</v>
      </c>
      <c r="D233" s="13">
        <v>7.0</v>
      </c>
      <c r="E233" s="13">
        <v>2.0</v>
      </c>
      <c r="F233" s="13">
        <v>2.0</v>
      </c>
      <c r="G233" s="13">
        <v>5.0</v>
      </c>
      <c r="H233" s="13">
        <v>14.0</v>
      </c>
      <c r="I233" s="13">
        <v>8.0</v>
      </c>
      <c r="N233" s="7" t="s">
        <v>326</v>
      </c>
      <c r="O233" s="7" t="s">
        <v>384</v>
      </c>
      <c r="P233" s="7" t="s">
        <v>370</v>
      </c>
      <c r="Q233" s="8">
        <v>51201.0</v>
      </c>
      <c r="R233" s="9">
        <v>0.0</v>
      </c>
      <c r="S233" s="9">
        <v>1.0</v>
      </c>
      <c r="T233" s="9">
        <v>0.0</v>
      </c>
      <c r="U233" s="9">
        <v>4.0</v>
      </c>
      <c r="V233" s="9">
        <v>6.0</v>
      </c>
      <c r="W233" s="9">
        <v>7.0</v>
      </c>
    </row>
    <row r="234" ht="14.25" customHeight="1">
      <c r="A234" s="12" t="s">
        <v>385</v>
      </c>
      <c r="B234" s="13">
        <v>0.0</v>
      </c>
      <c r="C234" s="13">
        <v>0.0</v>
      </c>
      <c r="D234" s="13">
        <v>0.0</v>
      </c>
      <c r="E234" s="13">
        <v>2.0</v>
      </c>
      <c r="F234" s="13">
        <v>3.0</v>
      </c>
      <c r="G234" s="13">
        <v>2.0</v>
      </c>
      <c r="H234" s="13">
        <v>4.0</v>
      </c>
      <c r="I234" s="13">
        <v>0.0</v>
      </c>
      <c r="N234" s="7" t="s">
        <v>326</v>
      </c>
      <c r="O234" s="7" t="s">
        <v>384</v>
      </c>
      <c r="P234" s="7" t="s">
        <v>364</v>
      </c>
      <c r="Q234" s="8">
        <v>51202.0</v>
      </c>
      <c r="R234" s="9">
        <v>0.0</v>
      </c>
      <c r="S234" s="9">
        <v>0.0</v>
      </c>
      <c r="T234" s="9">
        <v>0.0</v>
      </c>
      <c r="U234" s="9">
        <v>0.0</v>
      </c>
      <c r="V234" s="9">
        <v>0.0</v>
      </c>
      <c r="W234" s="9">
        <v>0.0</v>
      </c>
    </row>
    <row r="235" ht="14.25" customHeight="1">
      <c r="A235" s="12" t="s">
        <v>386</v>
      </c>
      <c r="B235" s="13">
        <v>0.0</v>
      </c>
      <c r="C235" s="13">
        <v>0.0</v>
      </c>
      <c r="D235" s="13">
        <v>0.0</v>
      </c>
      <c r="E235" s="13">
        <v>0.0</v>
      </c>
      <c r="F235" s="13">
        <v>0.0</v>
      </c>
      <c r="G235" s="13">
        <v>0.0</v>
      </c>
      <c r="H235" s="13">
        <v>1.0</v>
      </c>
      <c r="I235" s="13">
        <v>1.0</v>
      </c>
      <c r="N235" s="7" t="s">
        <v>326</v>
      </c>
      <c r="O235" s="7" t="s">
        <v>384</v>
      </c>
      <c r="P235" s="7" t="s">
        <v>348</v>
      </c>
      <c r="Q235" s="8">
        <v>51203.0</v>
      </c>
      <c r="R235" s="9">
        <v>0.0</v>
      </c>
      <c r="S235" s="9">
        <v>0.0</v>
      </c>
      <c r="T235" s="9">
        <v>2.0</v>
      </c>
      <c r="U235" s="9">
        <v>0.0</v>
      </c>
      <c r="V235" s="9">
        <v>2.0</v>
      </c>
      <c r="W235" s="9">
        <v>3.0</v>
      </c>
    </row>
    <row r="236" ht="14.25" customHeight="1">
      <c r="A236" s="12" t="s">
        <v>387</v>
      </c>
      <c r="B236" s="13">
        <v>3.0</v>
      </c>
      <c r="C236" s="13">
        <v>0.0</v>
      </c>
      <c r="D236" s="13">
        <v>0.0</v>
      </c>
      <c r="E236" s="13">
        <v>3.0</v>
      </c>
      <c r="F236" s="13">
        <v>0.0</v>
      </c>
      <c r="G236" s="13">
        <v>1.0</v>
      </c>
      <c r="H236" s="13">
        <v>2.0</v>
      </c>
      <c r="I236" s="13">
        <v>1.0</v>
      </c>
      <c r="N236" s="7" t="s">
        <v>326</v>
      </c>
      <c r="O236" s="7" t="s">
        <v>364</v>
      </c>
      <c r="P236" s="7" t="s">
        <v>388</v>
      </c>
      <c r="Q236" s="8">
        <v>51204.0</v>
      </c>
      <c r="R236" s="9">
        <v>0.0</v>
      </c>
      <c r="S236" s="9">
        <v>0.0</v>
      </c>
      <c r="T236" s="9">
        <v>0.0</v>
      </c>
      <c r="U236" s="9">
        <v>0.0</v>
      </c>
      <c r="V236" s="9">
        <v>0.0</v>
      </c>
      <c r="W236" s="9">
        <v>0.0</v>
      </c>
    </row>
    <row r="237" ht="14.25" customHeight="1">
      <c r="A237" s="12" t="s">
        <v>389</v>
      </c>
      <c r="B237" s="13">
        <v>0.0</v>
      </c>
      <c r="C237" s="13">
        <v>0.0</v>
      </c>
      <c r="D237" s="13">
        <v>0.0</v>
      </c>
      <c r="E237" s="13">
        <v>2.0</v>
      </c>
      <c r="F237" s="13">
        <v>2.0</v>
      </c>
      <c r="G237" s="13">
        <v>1.0</v>
      </c>
      <c r="H237" s="13">
        <v>2.0</v>
      </c>
      <c r="I237" s="13">
        <v>5.0</v>
      </c>
      <c r="N237" s="7" t="s">
        <v>326</v>
      </c>
      <c r="O237" s="7" t="s">
        <v>390</v>
      </c>
      <c r="P237" s="7" t="s">
        <v>322</v>
      </c>
      <c r="Q237" s="8">
        <v>51301.0</v>
      </c>
      <c r="R237" s="9">
        <v>0.0</v>
      </c>
      <c r="S237" s="9">
        <v>0.0</v>
      </c>
      <c r="T237" s="9">
        <v>0.0</v>
      </c>
      <c r="U237" s="9">
        <v>0.0</v>
      </c>
      <c r="V237" s="9">
        <v>0.0</v>
      </c>
      <c r="W237" s="9">
        <v>0.0</v>
      </c>
    </row>
    <row r="238" ht="14.25" customHeight="1">
      <c r="A238" s="12" t="s">
        <v>391</v>
      </c>
      <c r="B238" s="13">
        <v>2.0</v>
      </c>
      <c r="C238" s="13">
        <v>1.0</v>
      </c>
      <c r="D238" s="13">
        <v>2.0</v>
      </c>
      <c r="E238" s="13">
        <v>4.0</v>
      </c>
      <c r="F238" s="13">
        <v>3.0</v>
      </c>
      <c r="G238" s="13">
        <v>8.0</v>
      </c>
      <c r="H238" s="13">
        <v>4.0</v>
      </c>
      <c r="I238" s="13">
        <v>7.0</v>
      </c>
      <c r="N238" s="7" t="s">
        <v>326</v>
      </c>
      <c r="O238" s="7" t="s">
        <v>390</v>
      </c>
      <c r="P238" s="7" t="s">
        <v>321</v>
      </c>
      <c r="Q238" s="8">
        <v>51302.0</v>
      </c>
      <c r="R238" s="9">
        <v>8.0</v>
      </c>
      <c r="S238" s="9">
        <v>5.0</v>
      </c>
      <c r="T238" s="9">
        <v>6.0</v>
      </c>
      <c r="U238" s="9">
        <v>0.0</v>
      </c>
      <c r="V238" s="9">
        <v>0.0</v>
      </c>
      <c r="W238" s="9">
        <v>2.0</v>
      </c>
    </row>
    <row r="239" ht="14.25" customHeight="1">
      <c r="A239" s="12" t="s">
        <v>392</v>
      </c>
      <c r="B239" s="13">
        <v>1.0</v>
      </c>
      <c r="C239" s="13">
        <v>0.0</v>
      </c>
      <c r="D239" s="13">
        <v>0.0</v>
      </c>
      <c r="E239" s="13">
        <v>0.0</v>
      </c>
      <c r="F239" s="13">
        <v>3.0</v>
      </c>
      <c r="G239" s="13">
        <v>0.0</v>
      </c>
      <c r="H239" s="13">
        <v>4.0</v>
      </c>
      <c r="I239" s="13">
        <v>3.0</v>
      </c>
      <c r="N239" s="7" t="s">
        <v>326</v>
      </c>
      <c r="O239" s="7" t="s">
        <v>393</v>
      </c>
      <c r="P239" s="7" t="s">
        <v>343</v>
      </c>
      <c r="Q239" s="8">
        <v>51401.0</v>
      </c>
      <c r="R239" s="9">
        <v>0.0</v>
      </c>
      <c r="S239" s="9">
        <v>0.0</v>
      </c>
      <c r="T239" s="9">
        <v>0.0</v>
      </c>
      <c r="U239" s="9">
        <v>1.0</v>
      </c>
      <c r="V239" s="9">
        <v>0.0</v>
      </c>
      <c r="W239" s="9">
        <v>0.0</v>
      </c>
    </row>
    <row r="240" ht="14.25" customHeight="1">
      <c r="A240" s="12" t="s">
        <v>394</v>
      </c>
      <c r="B240" s="13">
        <v>0.0</v>
      </c>
      <c r="C240" s="13">
        <v>0.0</v>
      </c>
      <c r="D240" s="13">
        <v>1.0</v>
      </c>
      <c r="E240" s="13">
        <v>2.0</v>
      </c>
      <c r="F240" s="13">
        <v>0.0</v>
      </c>
      <c r="G240" s="13">
        <v>3.0</v>
      </c>
      <c r="H240" s="13">
        <v>1.0</v>
      </c>
      <c r="I240" s="13">
        <v>0.0</v>
      </c>
      <c r="N240" s="7" t="s">
        <v>326</v>
      </c>
      <c r="O240" s="7" t="s">
        <v>393</v>
      </c>
      <c r="P240" s="7" t="s">
        <v>361</v>
      </c>
      <c r="Q240" s="8">
        <v>51402.0</v>
      </c>
      <c r="R240" s="9">
        <v>0.0</v>
      </c>
      <c r="S240" s="9">
        <v>0.0</v>
      </c>
      <c r="T240" s="9">
        <v>0.0</v>
      </c>
      <c r="U240" s="9">
        <v>0.0</v>
      </c>
      <c r="V240" s="9">
        <v>0.0</v>
      </c>
      <c r="W240" s="9">
        <v>0.0</v>
      </c>
    </row>
    <row r="241" ht="14.25" customHeight="1">
      <c r="A241" s="12" t="s">
        <v>395</v>
      </c>
      <c r="B241" s="13">
        <v>0.0</v>
      </c>
      <c r="C241" s="13">
        <v>1.0</v>
      </c>
      <c r="D241" s="13">
        <v>1.0</v>
      </c>
      <c r="E241" s="13">
        <v>0.0</v>
      </c>
      <c r="F241" s="13">
        <v>2.0</v>
      </c>
      <c r="G241" s="13">
        <v>0.0</v>
      </c>
      <c r="H241" s="13">
        <v>2.0</v>
      </c>
      <c r="I241" s="13">
        <v>2.0</v>
      </c>
      <c r="N241" s="7" t="s">
        <v>326</v>
      </c>
      <c r="O241" s="7" t="s">
        <v>396</v>
      </c>
      <c r="P241" s="7" t="s">
        <v>397</v>
      </c>
      <c r="Q241" s="8">
        <v>51501.0</v>
      </c>
      <c r="R241" s="9">
        <v>3.0</v>
      </c>
      <c r="S241" s="9">
        <v>3.0</v>
      </c>
      <c r="T241" s="9">
        <v>2.0</v>
      </c>
      <c r="U241" s="9">
        <v>1.0</v>
      </c>
      <c r="V241" s="9">
        <v>8.0</v>
      </c>
      <c r="W241" s="9">
        <v>7.0</v>
      </c>
    </row>
    <row r="242" ht="14.25" customHeight="1">
      <c r="A242" s="12" t="s">
        <v>398</v>
      </c>
      <c r="B242" s="13">
        <v>0.0</v>
      </c>
      <c r="C242" s="13">
        <v>2.0</v>
      </c>
      <c r="D242" s="13">
        <v>0.0</v>
      </c>
      <c r="E242" s="13">
        <v>5.0</v>
      </c>
      <c r="F242" s="13">
        <v>2.0</v>
      </c>
      <c r="G242" s="13">
        <v>5.0</v>
      </c>
      <c r="H242" s="13">
        <v>4.0</v>
      </c>
      <c r="I242" s="13">
        <v>4.0</v>
      </c>
      <c r="N242" s="7" t="s">
        <v>326</v>
      </c>
      <c r="O242" s="7" t="s">
        <v>399</v>
      </c>
      <c r="P242" s="7" t="s">
        <v>400</v>
      </c>
      <c r="Q242" s="8">
        <v>51601.0</v>
      </c>
      <c r="R242" s="9">
        <v>0.0</v>
      </c>
      <c r="S242" s="9">
        <v>0.0</v>
      </c>
      <c r="T242" s="9">
        <v>0.0</v>
      </c>
      <c r="U242" s="9">
        <v>0.0</v>
      </c>
      <c r="V242" s="9">
        <v>0.0</v>
      </c>
      <c r="W242" s="9">
        <v>0.0</v>
      </c>
    </row>
    <row r="243" ht="14.25" customHeight="1">
      <c r="A243" s="12" t="s">
        <v>401</v>
      </c>
      <c r="B243" s="13">
        <v>1.0</v>
      </c>
      <c r="C243" s="13">
        <v>4.0</v>
      </c>
      <c r="D243" s="13">
        <v>6.0</v>
      </c>
      <c r="E243" s="13">
        <v>17.0</v>
      </c>
      <c r="F243" s="13">
        <v>18.0</v>
      </c>
      <c r="G243" s="13">
        <v>26.0</v>
      </c>
      <c r="H243" s="13">
        <v>34.0</v>
      </c>
      <c r="I243" s="13">
        <v>30.0</v>
      </c>
      <c r="N243" s="7" t="s">
        <v>402</v>
      </c>
      <c r="O243" s="7" t="s">
        <v>236</v>
      </c>
      <c r="P243" s="7" t="s">
        <v>402</v>
      </c>
      <c r="Q243" s="8">
        <v>60101.0</v>
      </c>
      <c r="R243" s="9">
        <v>10.0</v>
      </c>
      <c r="S243" s="9">
        <v>10.0</v>
      </c>
      <c r="T243" s="9">
        <v>15.0</v>
      </c>
      <c r="U243" s="9">
        <v>48.0</v>
      </c>
      <c r="V243" s="9">
        <v>68.0</v>
      </c>
      <c r="W243" s="9">
        <v>65.0</v>
      </c>
    </row>
    <row r="244" ht="14.25" customHeight="1">
      <c r="A244" s="12" t="s">
        <v>403</v>
      </c>
      <c r="B244" s="13">
        <v>0.0</v>
      </c>
      <c r="C244" s="13">
        <v>0.0</v>
      </c>
      <c r="D244" s="13">
        <v>0.0</v>
      </c>
      <c r="E244" s="13">
        <v>0.0</v>
      </c>
      <c r="F244" s="13">
        <v>0.0</v>
      </c>
      <c r="G244" s="13">
        <v>0.0</v>
      </c>
      <c r="H244" s="13">
        <v>0.0</v>
      </c>
      <c r="I244" s="13">
        <v>1.0</v>
      </c>
      <c r="N244" s="7" t="s">
        <v>402</v>
      </c>
      <c r="O244" s="7" t="s">
        <v>404</v>
      </c>
      <c r="P244" s="7" t="s">
        <v>405</v>
      </c>
      <c r="Q244" s="8">
        <v>60201.0</v>
      </c>
      <c r="R244" s="9">
        <v>0.0</v>
      </c>
      <c r="S244" s="9">
        <v>0.0</v>
      </c>
      <c r="T244" s="9">
        <v>0.0</v>
      </c>
      <c r="U244" s="9">
        <v>1.0</v>
      </c>
      <c r="V244" s="9">
        <v>1.0</v>
      </c>
      <c r="W244" s="9">
        <v>0.0</v>
      </c>
    </row>
    <row r="245" ht="14.25" customHeight="1">
      <c r="A245" s="12" t="s">
        <v>406</v>
      </c>
      <c r="B245" s="13">
        <v>0.0</v>
      </c>
      <c r="C245" s="13">
        <v>1.0</v>
      </c>
      <c r="D245" s="13">
        <v>2.0</v>
      </c>
      <c r="E245" s="13">
        <v>0.0</v>
      </c>
      <c r="F245" s="13">
        <v>1.0</v>
      </c>
      <c r="G245" s="13">
        <v>1.0</v>
      </c>
      <c r="H245" s="13">
        <v>3.0</v>
      </c>
      <c r="I245" s="13">
        <v>2.0</v>
      </c>
      <c r="N245" s="7" t="s">
        <v>402</v>
      </c>
      <c r="O245" s="7" t="s">
        <v>404</v>
      </c>
      <c r="P245" s="7" t="s">
        <v>407</v>
      </c>
      <c r="Q245" s="8">
        <v>60202.0</v>
      </c>
      <c r="R245" s="9">
        <v>8.0</v>
      </c>
      <c r="S245" s="9">
        <v>2.0</v>
      </c>
      <c r="T245" s="9">
        <v>2.0</v>
      </c>
      <c r="U245" s="9">
        <v>6.0</v>
      </c>
      <c r="V245" s="9">
        <v>9.0</v>
      </c>
      <c r="W245" s="9">
        <v>6.0</v>
      </c>
    </row>
    <row r="246" ht="14.25" customHeight="1">
      <c r="A246" s="12" t="s">
        <v>408</v>
      </c>
      <c r="B246" s="13">
        <v>4.0</v>
      </c>
      <c r="C246" s="13">
        <v>7.0</v>
      </c>
      <c r="D246" s="13">
        <v>7.0</v>
      </c>
      <c r="E246" s="13">
        <v>9.0</v>
      </c>
      <c r="F246" s="13">
        <v>12.0</v>
      </c>
      <c r="G246" s="13">
        <v>25.0</v>
      </c>
      <c r="H246" s="13">
        <v>18.0</v>
      </c>
      <c r="I246" s="13">
        <v>13.0</v>
      </c>
      <c r="N246" s="7" t="s">
        <v>402</v>
      </c>
      <c r="O246" s="7" t="s">
        <v>409</v>
      </c>
      <c r="P246" s="7" t="s">
        <v>410</v>
      </c>
      <c r="Q246" s="8">
        <v>60301.0</v>
      </c>
      <c r="R246" s="9">
        <v>2.0</v>
      </c>
      <c r="S246" s="9">
        <v>22.0</v>
      </c>
      <c r="T246" s="9">
        <v>10.0</v>
      </c>
      <c r="U246" s="9">
        <v>26.0</v>
      </c>
      <c r="V246" s="9">
        <v>17.0</v>
      </c>
      <c r="W246" s="9">
        <v>21.0</v>
      </c>
    </row>
    <row r="247" ht="14.25" customHeight="1">
      <c r="A247" s="12" t="s">
        <v>411</v>
      </c>
      <c r="B247" s="13">
        <v>1.0</v>
      </c>
      <c r="C247" s="13">
        <v>1.0</v>
      </c>
      <c r="D247" s="13">
        <v>0.0</v>
      </c>
      <c r="E247" s="13">
        <v>0.0</v>
      </c>
      <c r="F247" s="13">
        <v>0.0</v>
      </c>
      <c r="G247" s="13">
        <v>0.0</v>
      </c>
      <c r="H247" s="13">
        <v>0.0</v>
      </c>
      <c r="I247" s="13">
        <v>3.0</v>
      </c>
      <c r="N247" s="7" t="s">
        <v>402</v>
      </c>
      <c r="O247" s="7" t="s">
        <v>409</v>
      </c>
      <c r="P247" s="7" t="s">
        <v>412</v>
      </c>
      <c r="Q247" s="8">
        <v>60302.0</v>
      </c>
      <c r="R247" s="9">
        <v>0.0</v>
      </c>
      <c r="S247" s="9">
        <v>0.0</v>
      </c>
      <c r="T247" s="9">
        <v>0.0</v>
      </c>
      <c r="U247" s="9">
        <v>1.0</v>
      </c>
      <c r="V247" s="9">
        <v>0.0</v>
      </c>
      <c r="W247" s="9">
        <v>1.0</v>
      </c>
    </row>
    <row r="248" ht="14.25" customHeight="1">
      <c r="A248" s="12" t="s">
        <v>413</v>
      </c>
      <c r="B248" s="13">
        <v>2.0</v>
      </c>
      <c r="C248" s="13">
        <v>0.0</v>
      </c>
      <c r="D248" s="13">
        <v>6.0</v>
      </c>
      <c r="E248" s="13">
        <v>19.0</v>
      </c>
      <c r="F248" s="13">
        <v>18.0</v>
      </c>
      <c r="G248" s="13">
        <v>35.0</v>
      </c>
      <c r="H248" s="13">
        <v>32.0</v>
      </c>
      <c r="I248" s="13">
        <v>37.0</v>
      </c>
      <c r="N248" s="7" t="s">
        <v>402</v>
      </c>
      <c r="O248" s="7" t="s">
        <v>409</v>
      </c>
      <c r="P248" s="7" t="s">
        <v>414</v>
      </c>
      <c r="Q248" s="8">
        <v>60303.0</v>
      </c>
      <c r="R248" s="9">
        <v>5.0</v>
      </c>
      <c r="S248" s="9">
        <v>3.0</v>
      </c>
      <c r="T248" s="9">
        <v>3.0</v>
      </c>
      <c r="U248" s="9">
        <v>8.0</v>
      </c>
      <c r="V248" s="9">
        <v>10.0</v>
      </c>
      <c r="W248" s="9">
        <v>5.0</v>
      </c>
    </row>
    <row r="249" ht="14.25" customHeight="1">
      <c r="A249" s="12" t="s">
        <v>415</v>
      </c>
      <c r="B249" s="13">
        <v>0.0</v>
      </c>
      <c r="C249" s="13">
        <v>0.0</v>
      </c>
      <c r="D249" s="13">
        <v>0.0</v>
      </c>
      <c r="E249" s="13">
        <v>0.0</v>
      </c>
      <c r="F249" s="13">
        <v>0.0</v>
      </c>
      <c r="G249" s="13">
        <v>0.0</v>
      </c>
      <c r="H249" s="13">
        <v>0.0</v>
      </c>
      <c r="I249" s="13">
        <v>1.0</v>
      </c>
      <c r="N249" s="7" t="s">
        <v>402</v>
      </c>
      <c r="O249" s="7" t="s">
        <v>416</v>
      </c>
      <c r="P249" s="7" t="s">
        <v>417</v>
      </c>
      <c r="Q249" s="8">
        <v>60401.0</v>
      </c>
      <c r="R249" s="9">
        <v>0.0</v>
      </c>
      <c r="S249" s="9">
        <v>1.0</v>
      </c>
      <c r="T249" s="9">
        <v>0.0</v>
      </c>
      <c r="U249" s="9">
        <v>0.0</v>
      </c>
      <c r="V249" s="9">
        <v>0.0</v>
      </c>
      <c r="W249" s="9">
        <v>1.0</v>
      </c>
    </row>
    <row r="250" ht="14.25" customHeight="1">
      <c r="A250" s="12" t="s">
        <v>418</v>
      </c>
      <c r="B250" s="13">
        <v>0.0</v>
      </c>
      <c r="C250" s="13">
        <v>2.0</v>
      </c>
      <c r="D250" s="13">
        <v>2.0</v>
      </c>
      <c r="E250" s="13">
        <v>2.0</v>
      </c>
      <c r="F250" s="13">
        <v>1.0</v>
      </c>
      <c r="G250" s="13">
        <v>1.0</v>
      </c>
      <c r="H250" s="13">
        <v>6.0</v>
      </c>
      <c r="I250" s="13">
        <v>1.0</v>
      </c>
      <c r="N250" s="7" t="s">
        <v>402</v>
      </c>
      <c r="O250" s="7" t="s">
        <v>416</v>
      </c>
      <c r="P250" s="7" t="s">
        <v>419</v>
      </c>
      <c r="Q250" s="8">
        <v>60402.0</v>
      </c>
      <c r="R250" s="9">
        <v>0.0</v>
      </c>
      <c r="S250" s="9">
        <v>0.0</v>
      </c>
      <c r="T250" s="9">
        <v>0.0</v>
      </c>
      <c r="U250" s="9">
        <v>0.0</v>
      </c>
      <c r="V250" s="9">
        <v>0.0</v>
      </c>
      <c r="W250" s="9">
        <v>0.0</v>
      </c>
    </row>
    <row r="251" ht="14.25" customHeight="1">
      <c r="A251" s="12" t="s">
        <v>420</v>
      </c>
      <c r="B251" s="13">
        <v>11.0</v>
      </c>
      <c r="C251" s="13">
        <v>3.0</v>
      </c>
      <c r="D251" s="13">
        <v>3.0</v>
      </c>
      <c r="E251" s="13">
        <v>11.0</v>
      </c>
      <c r="F251" s="13">
        <v>7.0</v>
      </c>
      <c r="G251" s="13">
        <v>11.0</v>
      </c>
      <c r="H251" s="13">
        <v>13.0</v>
      </c>
      <c r="I251" s="13">
        <v>10.0</v>
      </c>
      <c r="N251" s="7" t="s">
        <v>402</v>
      </c>
      <c r="O251" s="7" t="s">
        <v>421</v>
      </c>
      <c r="P251" s="7" t="s">
        <v>313</v>
      </c>
      <c r="Q251" s="8">
        <v>60501.0</v>
      </c>
      <c r="R251" s="9">
        <v>1.0</v>
      </c>
      <c r="S251" s="9">
        <v>0.0</v>
      </c>
      <c r="T251" s="9">
        <v>0.0</v>
      </c>
      <c r="U251" s="9">
        <v>2.0</v>
      </c>
      <c r="V251" s="9">
        <v>0.0</v>
      </c>
      <c r="W251" s="9">
        <v>1.0</v>
      </c>
    </row>
    <row r="252" ht="14.25" customHeight="1">
      <c r="A252" s="12" t="s">
        <v>422</v>
      </c>
      <c r="B252" s="13">
        <v>31.0</v>
      </c>
      <c r="C252" s="13">
        <v>21.0</v>
      </c>
      <c r="D252" s="13">
        <v>42.0</v>
      </c>
      <c r="E252" s="13">
        <v>32.0</v>
      </c>
      <c r="F252" s="13">
        <v>51.0</v>
      </c>
      <c r="G252" s="13">
        <v>56.0</v>
      </c>
      <c r="H252" s="13">
        <v>40.0</v>
      </c>
      <c r="I252" s="13">
        <v>52.0</v>
      </c>
      <c r="N252" s="7" t="s">
        <v>402</v>
      </c>
      <c r="O252" s="7" t="s">
        <v>421</v>
      </c>
      <c r="P252" s="7" t="s">
        <v>406</v>
      </c>
      <c r="Q252" s="8">
        <v>60502.0</v>
      </c>
      <c r="R252" s="9">
        <v>1.0</v>
      </c>
      <c r="S252" s="9">
        <v>0.0</v>
      </c>
      <c r="T252" s="9">
        <v>0.0</v>
      </c>
      <c r="U252" s="9">
        <v>1.0</v>
      </c>
      <c r="V252" s="9">
        <v>0.0</v>
      </c>
      <c r="W252" s="9">
        <v>0.0</v>
      </c>
    </row>
    <row r="253" ht="14.25" customHeight="1">
      <c r="A253" s="12" t="s">
        <v>423</v>
      </c>
      <c r="B253" s="13">
        <v>1.0</v>
      </c>
      <c r="C253" s="13">
        <v>0.0</v>
      </c>
      <c r="D253" s="13">
        <v>0.0</v>
      </c>
      <c r="E253" s="13">
        <v>0.0</v>
      </c>
      <c r="F253" s="13">
        <v>0.0</v>
      </c>
      <c r="G253" s="13">
        <v>0.0</v>
      </c>
      <c r="H253" s="13">
        <v>3.0</v>
      </c>
      <c r="I253" s="13">
        <v>2.0</v>
      </c>
      <c r="N253" s="7" t="s">
        <v>402</v>
      </c>
      <c r="O253" s="7" t="s">
        <v>424</v>
      </c>
      <c r="P253" s="7" t="s">
        <v>253</v>
      </c>
      <c r="Q253" s="8">
        <v>60601.0</v>
      </c>
      <c r="R253" s="9">
        <v>0.0</v>
      </c>
      <c r="S253" s="9">
        <v>1.0</v>
      </c>
      <c r="T253" s="9">
        <v>0.0</v>
      </c>
      <c r="U253" s="9">
        <v>4.0</v>
      </c>
      <c r="V253" s="9">
        <v>2.0</v>
      </c>
      <c r="W253" s="9">
        <v>1.0</v>
      </c>
    </row>
    <row r="254" ht="14.25" customHeight="1">
      <c r="A254" s="12" t="s">
        <v>425</v>
      </c>
      <c r="B254" s="13">
        <v>4.0</v>
      </c>
      <c r="C254" s="13">
        <v>4.0</v>
      </c>
      <c r="D254" s="13">
        <v>5.0</v>
      </c>
      <c r="E254" s="13">
        <v>8.0</v>
      </c>
      <c r="F254" s="13">
        <v>3.0</v>
      </c>
      <c r="G254" s="13">
        <v>5.0</v>
      </c>
      <c r="H254" s="13">
        <v>7.0</v>
      </c>
      <c r="I254" s="13">
        <v>10.0</v>
      </c>
      <c r="N254" s="7" t="s">
        <v>426</v>
      </c>
      <c r="O254" s="7" t="s">
        <v>427</v>
      </c>
      <c r="P254" s="7" t="s">
        <v>428</v>
      </c>
      <c r="Q254" s="8">
        <v>70101.0</v>
      </c>
      <c r="R254" s="9">
        <v>526.0</v>
      </c>
      <c r="S254" s="9">
        <v>355.0</v>
      </c>
      <c r="T254" s="9">
        <v>494.0</v>
      </c>
      <c r="U254" s="9">
        <v>913.0</v>
      </c>
      <c r="V254" s="9">
        <v>1034.0</v>
      </c>
      <c r="W254" s="9">
        <v>907.0</v>
      </c>
    </row>
    <row r="255" ht="14.25" customHeight="1">
      <c r="A255" s="12" t="s">
        <v>429</v>
      </c>
      <c r="B255" s="13">
        <v>0.0</v>
      </c>
      <c r="C255" s="13">
        <v>0.0</v>
      </c>
      <c r="D255" s="13">
        <v>0.0</v>
      </c>
      <c r="E255" s="13">
        <v>1.0</v>
      </c>
      <c r="F255" s="13">
        <v>1.0</v>
      </c>
      <c r="G255" s="13">
        <v>0.0</v>
      </c>
      <c r="H255" s="13">
        <v>0.0</v>
      </c>
      <c r="I255" s="13">
        <v>0.0</v>
      </c>
      <c r="N255" s="7" t="s">
        <v>426</v>
      </c>
      <c r="O255" s="7" t="s">
        <v>427</v>
      </c>
      <c r="P255" s="7" t="s">
        <v>401</v>
      </c>
      <c r="Q255" s="8">
        <v>70102.0</v>
      </c>
      <c r="R255" s="9">
        <v>1.0</v>
      </c>
      <c r="S255" s="9">
        <v>4.0</v>
      </c>
      <c r="T255" s="9">
        <v>6.0</v>
      </c>
      <c r="U255" s="9">
        <v>26.0</v>
      </c>
      <c r="V255" s="9">
        <v>34.0</v>
      </c>
      <c r="W255" s="9">
        <v>30.0</v>
      </c>
    </row>
    <row r="256" ht="14.25" customHeight="1">
      <c r="A256" s="12" t="s">
        <v>430</v>
      </c>
      <c r="B256" s="13">
        <v>3.0</v>
      </c>
      <c r="C256" s="13">
        <v>3.0</v>
      </c>
      <c r="D256" s="13">
        <v>4.0</v>
      </c>
      <c r="E256" s="13">
        <v>2.0</v>
      </c>
      <c r="F256" s="13">
        <v>1.0</v>
      </c>
      <c r="G256" s="13">
        <v>9.0</v>
      </c>
      <c r="H256" s="13">
        <v>8.0</v>
      </c>
      <c r="I256" s="13">
        <v>6.0</v>
      </c>
      <c r="N256" s="7" t="s">
        <v>426</v>
      </c>
      <c r="O256" s="7" t="s">
        <v>427</v>
      </c>
      <c r="P256" s="7" t="s">
        <v>431</v>
      </c>
      <c r="Q256" s="8">
        <v>70103.0</v>
      </c>
      <c r="R256" s="9">
        <v>0.0</v>
      </c>
      <c r="S256" s="9">
        <v>0.0</v>
      </c>
      <c r="T256" s="9">
        <v>0.0</v>
      </c>
      <c r="U256" s="9">
        <v>2.0</v>
      </c>
      <c r="V256" s="9">
        <v>4.0</v>
      </c>
      <c r="W256" s="9">
        <v>0.0</v>
      </c>
    </row>
    <row r="257" ht="14.25" customHeight="1">
      <c r="A257" s="12" t="s">
        <v>432</v>
      </c>
      <c r="B257" s="13">
        <v>0.0</v>
      </c>
      <c r="C257" s="13">
        <v>0.0</v>
      </c>
      <c r="D257" s="13">
        <v>0.0</v>
      </c>
      <c r="E257" s="13">
        <v>1.0</v>
      </c>
      <c r="F257" s="13">
        <v>0.0</v>
      </c>
      <c r="G257" s="13">
        <v>0.0</v>
      </c>
      <c r="H257" s="13">
        <v>0.0</v>
      </c>
      <c r="I257" s="13">
        <v>0.0</v>
      </c>
      <c r="N257" s="7" t="s">
        <v>426</v>
      </c>
      <c r="O257" s="7" t="s">
        <v>427</v>
      </c>
      <c r="P257" s="7" t="s">
        <v>413</v>
      </c>
      <c r="Q257" s="8">
        <v>70104.0</v>
      </c>
      <c r="R257" s="9">
        <v>2.0</v>
      </c>
      <c r="S257" s="9">
        <v>0.0</v>
      </c>
      <c r="T257" s="9">
        <v>6.0</v>
      </c>
      <c r="U257" s="9">
        <v>35.0</v>
      </c>
      <c r="V257" s="9">
        <v>32.0</v>
      </c>
      <c r="W257" s="9">
        <v>37.0</v>
      </c>
    </row>
    <row r="258" ht="14.25" customHeight="1">
      <c r="A258" s="12" t="s">
        <v>433</v>
      </c>
      <c r="B258" s="13">
        <v>2.0</v>
      </c>
      <c r="C258" s="13">
        <v>0.0</v>
      </c>
      <c r="D258" s="13">
        <v>5.0</v>
      </c>
      <c r="E258" s="13">
        <v>5.0</v>
      </c>
      <c r="F258" s="13">
        <v>1.0</v>
      </c>
      <c r="G258" s="13">
        <v>5.0</v>
      </c>
      <c r="H258" s="13">
        <v>15.0</v>
      </c>
      <c r="I258" s="13">
        <v>5.0</v>
      </c>
      <c r="N258" s="7" t="s">
        <v>426</v>
      </c>
      <c r="O258" s="7" t="s">
        <v>427</v>
      </c>
      <c r="P258" s="7" t="s">
        <v>408</v>
      </c>
      <c r="Q258" s="8">
        <v>70105.0</v>
      </c>
      <c r="R258" s="9">
        <v>4.0</v>
      </c>
      <c r="S258" s="9">
        <v>7.0</v>
      </c>
      <c r="T258" s="9">
        <v>7.0</v>
      </c>
      <c r="U258" s="9">
        <v>25.0</v>
      </c>
      <c r="V258" s="9">
        <v>18.0</v>
      </c>
      <c r="W258" s="9">
        <v>13.0</v>
      </c>
    </row>
    <row r="259" ht="14.25" customHeight="1">
      <c r="A259" s="12" t="s">
        <v>434</v>
      </c>
      <c r="B259" s="13">
        <v>4.0</v>
      </c>
      <c r="C259" s="13">
        <v>1.0</v>
      </c>
      <c r="D259" s="13">
        <v>5.0</v>
      </c>
      <c r="E259" s="13">
        <v>5.0</v>
      </c>
      <c r="F259" s="13">
        <v>10.0</v>
      </c>
      <c r="G259" s="13">
        <v>6.0</v>
      </c>
      <c r="H259" s="13">
        <v>12.0</v>
      </c>
      <c r="I259" s="13">
        <v>6.0</v>
      </c>
      <c r="N259" s="7" t="s">
        <v>426</v>
      </c>
      <c r="O259" s="7" t="s">
        <v>435</v>
      </c>
      <c r="P259" s="7" t="s">
        <v>435</v>
      </c>
      <c r="Q259" s="8">
        <v>70201.0</v>
      </c>
      <c r="R259" s="9">
        <v>11.0</v>
      </c>
      <c r="S259" s="9">
        <v>13.0</v>
      </c>
      <c r="T259" s="9">
        <v>27.0</v>
      </c>
      <c r="U259" s="9">
        <v>58.0</v>
      </c>
      <c r="V259" s="9">
        <v>69.0</v>
      </c>
      <c r="W259" s="9">
        <v>50.0</v>
      </c>
    </row>
    <row r="260" ht="14.25" customHeight="1">
      <c r="A260" s="12" t="s">
        <v>436</v>
      </c>
      <c r="B260" s="13">
        <v>0.0</v>
      </c>
      <c r="C260" s="13">
        <v>0.0</v>
      </c>
      <c r="D260" s="13">
        <v>0.0</v>
      </c>
      <c r="E260" s="13">
        <v>0.0</v>
      </c>
      <c r="F260" s="13">
        <v>0.0</v>
      </c>
      <c r="G260" s="13">
        <v>0.0</v>
      </c>
      <c r="H260" s="13">
        <v>0.0</v>
      </c>
      <c r="I260" s="13">
        <v>0.0</v>
      </c>
      <c r="N260" s="7" t="s">
        <v>426</v>
      </c>
      <c r="O260" s="7" t="s">
        <v>435</v>
      </c>
      <c r="P260" s="7" t="s">
        <v>423</v>
      </c>
      <c r="Q260" s="8">
        <v>70202.0</v>
      </c>
      <c r="R260" s="9">
        <v>1.0</v>
      </c>
      <c r="S260" s="9">
        <v>0.0</v>
      </c>
      <c r="T260" s="9">
        <v>0.0</v>
      </c>
      <c r="U260" s="9">
        <v>0.0</v>
      </c>
      <c r="V260" s="9">
        <v>3.0</v>
      </c>
      <c r="W260" s="9">
        <v>2.0</v>
      </c>
    </row>
    <row r="261" ht="14.25" customHeight="1">
      <c r="A261" s="12" t="s">
        <v>437</v>
      </c>
      <c r="B261" s="13">
        <v>0.0</v>
      </c>
      <c r="C261" s="13">
        <v>0.0</v>
      </c>
      <c r="D261" s="13">
        <v>0.0</v>
      </c>
      <c r="E261" s="13">
        <v>1.0</v>
      </c>
      <c r="F261" s="13">
        <v>1.0</v>
      </c>
      <c r="G261" s="13">
        <v>3.0</v>
      </c>
      <c r="H261" s="13">
        <v>2.0</v>
      </c>
      <c r="I261" s="13">
        <v>4.0</v>
      </c>
      <c r="N261" s="7" t="s">
        <v>426</v>
      </c>
      <c r="O261" s="7" t="s">
        <v>438</v>
      </c>
      <c r="P261" s="7" t="s">
        <v>439</v>
      </c>
      <c r="Q261" s="8">
        <v>70301.0</v>
      </c>
      <c r="R261" s="9">
        <v>9.0</v>
      </c>
      <c r="S261" s="9">
        <v>5.0</v>
      </c>
      <c r="T261" s="9">
        <v>0.0</v>
      </c>
      <c r="U261" s="9">
        <v>8.0</v>
      </c>
      <c r="V261" s="9">
        <v>10.0</v>
      </c>
      <c r="W261" s="9">
        <v>10.0</v>
      </c>
    </row>
    <row r="262" ht="14.25" customHeight="1">
      <c r="A262" s="12" t="s">
        <v>440</v>
      </c>
      <c r="B262" s="13">
        <v>0.0</v>
      </c>
      <c r="C262" s="13">
        <v>1.0</v>
      </c>
      <c r="D262" s="13">
        <v>0.0</v>
      </c>
      <c r="E262" s="13">
        <v>0.0</v>
      </c>
      <c r="F262" s="13">
        <v>1.0</v>
      </c>
      <c r="G262" s="13">
        <v>0.0</v>
      </c>
      <c r="H262" s="13">
        <v>1.0</v>
      </c>
      <c r="I262" s="13">
        <v>0.0</v>
      </c>
      <c r="N262" s="7" t="s">
        <v>426</v>
      </c>
      <c r="O262" s="7" t="s">
        <v>438</v>
      </c>
      <c r="P262" s="7" t="s">
        <v>441</v>
      </c>
      <c r="Q262" s="8">
        <v>70302.0</v>
      </c>
      <c r="R262" s="9">
        <v>0.0</v>
      </c>
      <c r="S262" s="9">
        <v>0.0</v>
      </c>
      <c r="T262" s="9">
        <v>0.0</v>
      </c>
      <c r="U262" s="9">
        <v>2.0</v>
      </c>
      <c r="V262" s="9">
        <v>0.0</v>
      </c>
      <c r="W262" s="9">
        <v>0.0</v>
      </c>
    </row>
    <row r="263" ht="14.25" customHeight="1">
      <c r="A263" s="12" t="s">
        <v>442</v>
      </c>
      <c r="B263" s="13">
        <v>0.0</v>
      </c>
      <c r="C263" s="13">
        <v>0.0</v>
      </c>
      <c r="D263" s="13">
        <v>0.0</v>
      </c>
      <c r="E263" s="13">
        <v>1.0</v>
      </c>
      <c r="F263" s="13">
        <v>2.0</v>
      </c>
      <c r="G263" s="13">
        <v>4.0</v>
      </c>
      <c r="H263" s="13">
        <v>0.0</v>
      </c>
      <c r="I263" s="13">
        <v>0.0</v>
      </c>
      <c r="N263" s="7" t="s">
        <v>426</v>
      </c>
      <c r="O263" s="7" t="s">
        <v>438</v>
      </c>
      <c r="P263" s="7" t="s">
        <v>443</v>
      </c>
      <c r="Q263" s="8">
        <v>70303.0</v>
      </c>
      <c r="R263" s="9">
        <v>0.0</v>
      </c>
      <c r="S263" s="9">
        <v>1.0</v>
      </c>
      <c r="T263" s="9">
        <v>0.0</v>
      </c>
      <c r="U263" s="9">
        <v>1.0</v>
      </c>
      <c r="V263" s="9">
        <v>0.0</v>
      </c>
      <c r="W263" s="9">
        <v>1.0</v>
      </c>
    </row>
    <row r="264" ht="14.25" customHeight="1">
      <c r="A264" s="12" t="s">
        <v>444</v>
      </c>
      <c r="B264" s="13">
        <v>0.0</v>
      </c>
      <c r="C264" s="13">
        <v>1.0</v>
      </c>
      <c r="D264" s="13">
        <v>0.0</v>
      </c>
      <c r="E264" s="13">
        <v>0.0</v>
      </c>
      <c r="F264" s="13">
        <v>0.0</v>
      </c>
      <c r="G264" s="13">
        <v>0.0</v>
      </c>
      <c r="H264" s="13">
        <v>0.0</v>
      </c>
      <c r="I264" s="13">
        <v>1.0</v>
      </c>
      <c r="N264" s="7" t="s">
        <v>426</v>
      </c>
      <c r="O264" s="7" t="s">
        <v>445</v>
      </c>
      <c r="P264" s="7" t="s">
        <v>387</v>
      </c>
      <c r="Q264" s="8">
        <v>70401.0</v>
      </c>
      <c r="R264" s="9">
        <v>3.0</v>
      </c>
      <c r="S264" s="9">
        <v>0.0</v>
      </c>
      <c r="T264" s="9">
        <v>0.0</v>
      </c>
      <c r="U264" s="9">
        <v>1.0</v>
      </c>
      <c r="V264" s="9">
        <v>2.0</v>
      </c>
      <c r="W264" s="9">
        <v>1.0</v>
      </c>
    </row>
    <row r="265" ht="14.25" customHeight="1">
      <c r="A265" s="12" t="s">
        <v>446</v>
      </c>
      <c r="B265" s="13">
        <v>5.0</v>
      </c>
      <c r="C265" s="13">
        <v>1.0</v>
      </c>
      <c r="D265" s="13">
        <v>1.0</v>
      </c>
      <c r="E265" s="13">
        <v>7.0</v>
      </c>
      <c r="F265" s="13">
        <v>8.0</v>
      </c>
      <c r="G265" s="13">
        <v>11.0</v>
      </c>
      <c r="H265" s="13">
        <v>10.0</v>
      </c>
      <c r="I265" s="13">
        <v>3.0</v>
      </c>
      <c r="N265" s="7" t="s">
        <v>426</v>
      </c>
      <c r="O265" s="7" t="s">
        <v>445</v>
      </c>
      <c r="P265" s="7" t="s">
        <v>446</v>
      </c>
      <c r="Q265" s="8">
        <v>70402.0</v>
      </c>
      <c r="R265" s="9">
        <v>5.0</v>
      </c>
      <c r="S265" s="9">
        <v>1.0</v>
      </c>
      <c r="T265" s="9">
        <v>1.0</v>
      </c>
      <c r="U265" s="9">
        <v>11.0</v>
      </c>
      <c r="V265" s="9">
        <v>10.0</v>
      </c>
      <c r="W265" s="9">
        <v>3.0</v>
      </c>
    </row>
    <row r="266" ht="14.25" customHeight="1">
      <c r="A266" s="12" t="s">
        <v>439</v>
      </c>
      <c r="B266" s="13">
        <v>9.0</v>
      </c>
      <c r="C266" s="13">
        <v>5.0</v>
      </c>
      <c r="D266" s="13">
        <v>0.0</v>
      </c>
      <c r="E266" s="13">
        <v>5.0</v>
      </c>
      <c r="F266" s="13">
        <v>8.0</v>
      </c>
      <c r="G266" s="13">
        <v>8.0</v>
      </c>
      <c r="H266" s="13">
        <v>10.0</v>
      </c>
      <c r="I266" s="13">
        <v>10.0</v>
      </c>
      <c r="N266" s="7" t="s">
        <v>426</v>
      </c>
      <c r="O266" s="7" t="s">
        <v>445</v>
      </c>
      <c r="P266" s="7" t="s">
        <v>447</v>
      </c>
      <c r="Q266" s="8">
        <v>70403.0</v>
      </c>
      <c r="R266" s="9">
        <v>6.0</v>
      </c>
      <c r="S266" s="9">
        <v>7.0</v>
      </c>
      <c r="T266" s="9">
        <v>8.0</v>
      </c>
      <c r="U266" s="9">
        <v>26.0</v>
      </c>
      <c r="V266" s="9">
        <v>25.0</v>
      </c>
      <c r="W266" s="9">
        <v>24.0</v>
      </c>
    </row>
    <row r="267" ht="14.25" customHeight="1">
      <c r="A267" s="12" t="s">
        <v>48</v>
      </c>
      <c r="B267" s="13">
        <v>2.0</v>
      </c>
      <c r="C267" s="13">
        <v>0.0</v>
      </c>
      <c r="D267" s="13">
        <v>0.0</v>
      </c>
      <c r="E267" s="13">
        <v>2.0</v>
      </c>
      <c r="F267" s="13">
        <v>2.0</v>
      </c>
      <c r="G267" s="13">
        <v>2.0</v>
      </c>
      <c r="H267" s="13">
        <v>0.0</v>
      </c>
      <c r="I267" s="13">
        <v>0.0</v>
      </c>
      <c r="N267" s="7" t="s">
        <v>426</v>
      </c>
      <c r="O267" s="7" t="s">
        <v>445</v>
      </c>
      <c r="P267" s="7" t="s">
        <v>448</v>
      </c>
      <c r="Q267" s="8">
        <v>70404.0</v>
      </c>
      <c r="R267" s="9">
        <v>0.0</v>
      </c>
      <c r="S267" s="9">
        <v>0.0</v>
      </c>
      <c r="T267" s="9">
        <v>0.0</v>
      </c>
      <c r="U267" s="9">
        <v>0.0</v>
      </c>
      <c r="V267" s="9">
        <v>0.0</v>
      </c>
      <c r="W267" s="9">
        <v>0.0</v>
      </c>
    </row>
    <row r="268" ht="14.25" customHeight="1">
      <c r="A268" s="12" t="s">
        <v>449</v>
      </c>
      <c r="B268" s="13">
        <v>1.0</v>
      </c>
      <c r="C268" s="13">
        <v>0.0</v>
      </c>
      <c r="D268" s="13">
        <v>2.0</v>
      </c>
      <c r="E268" s="13">
        <v>3.0</v>
      </c>
      <c r="F268" s="13">
        <v>1.0</v>
      </c>
      <c r="G268" s="13">
        <v>4.0</v>
      </c>
      <c r="H268" s="13">
        <v>5.0</v>
      </c>
      <c r="I268" s="13">
        <v>2.0</v>
      </c>
      <c r="N268" s="7" t="s">
        <v>426</v>
      </c>
      <c r="O268" s="7" t="s">
        <v>450</v>
      </c>
      <c r="P268" s="7" t="s">
        <v>451</v>
      </c>
      <c r="Q268" s="8">
        <v>70501.0</v>
      </c>
      <c r="R268" s="9">
        <v>1.0</v>
      </c>
      <c r="S268" s="9">
        <v>0.0</v>
      </c>
      <c r="T268" s="9">
        <v>2.0</v>
      </c>
      <c r="U268" s="9">
        <v>4.0</v>
      </c>
      <c r="V268" s="9">
        <v>5.0</v>
      </c>
      <c r="W268" s="9">
        <v>2.0</v>
      </c>
    </row>
    <row r="269" ht="14.25" customHeight="1">
      <c r="A269" s="12" t="s">
        <v>452</v>
      </c>
      <c r="B269" s="13">
        <v>5.0</v>
      </c>
      <c r="C269" s="13">
        <v>5.0</v>
      </c>
      <c r="D269" s="13">
        <v>6.0</v>
      </c>
      <c r="E269" s="13">
        <v>10.0</v>
      </c>
      <c r="F269" s="13">
        <v>12.0</v>
      </c>
      <c r="G269" s="13">
        <v>14.0</v>
      </c>
      <c r="H269" s="13">
        <v>12.0</v>
      </c>
      <c r="I269" s="13">
        <v>20.0</v>
      </c>
      <c r="N269" s="7" t="s">
        <v>426</v>
      </c>
      <c r="O269" s="7" t="s">
        <v>450</v>
      </c>
      <c r="P269" s="7" t="s">
        <v>453</v>
      </c>
      <c r="Q269" s="8">
        <v>70502.0</v>
      </c>
      <c r="R269" s="9">
        <v>4.0</v>
      </c>
      <c r="S269" s="9">
        <v>4.0</v>
      </c>
      <c r="T269" s="9">
        <v>5.0</v>
      </c>
      <c r="U269" s="9">
        <v>5.0</v>
      </c>
      <c r="V269" s="9">
        <v>7.0</v>
      </c>
      <c r="W269" s="9">
        <v>10.0</v>
      </c>
    </row>
    <row r="270" ht="14.25" customHeight="1">
      <c r="A270" s="12" t="s">
        <v>454</v>
      </c>
      <c r="B270" s="13">
        <v>4.0</v>
      </c>
      <c r="C270" s="13">
        <v>0.0</v>
      </c>
      <c r="D270" s="13">
        <v>1.0</v>
      </c>
      <c r="E270" s="13">
        <v>0.0</v>
      </c>
      <c r="F270" s="13">
        <v>1.0</v>
      </c>
      <c r="G270" s="13">
        <v>1.0</v>
      </c>
      <c r="H270" s="13">
        <v>2.0</v>
      </c>
      <c r="I270" s="13">
        <v>2.0</v>
      </c>
      <c r="N270" s="7" t="s">
        <v>426</v>
      </c>
      <c r="O270" s="7" t="s">
        <v>450</v>
      </c>
      <c r="P270" s="7" t="s">
        <v>455</v>
      </c>
      <c r="Q270" s="8">
        <v>70503.0</v>
      </c>
      <c r="R270" s="9">
        <v>0.0</v>
      </c>
      <c r="S270" s="9">
        <v>0.0</v>
      </c>
      <c r="T270" s="9">
        <v>0.0</v>
      </c>
      <c r="U270" s="9">
        <v>3.0</v>
      </c>
      <c r="V270" s="9">
        <v>2.0</v>
      </c>
      <c r="W270" s="9">
        <v>4.0</v>
      </c>
    </row>
    <row r="271" ht="14.25" customHeight="1">
      <c r="A271" s="12" t="s">
        <v>441</v>
      </c>
      <c r="B271" s="13">
        <v>0.0</v>
      </c>
      <c r="C271" s="13">
        <v>0.0</v>
      </c>
      <c r="D271" s="13">
        <v>0.0</v>
      </c>
      <c r="E271" s="13">
        <v>1.0</v>
      </c>
      <c r="F271" s="13">
        <v>1.0</v>
      </c>
      <c r="G271" s="13">
        <v>2.0</v>
      </c>
      <c r="H271" s="13">
        <v>0.0</v>
      </c>
      <c r="I271" s="13">
        <v>0.0</v>
      </c>
      <c r="N271" s="7" t="s">
        <v>426</v>
      </c>
      <c r="O271" s="7" t="s">
        <v>456</v>
      </c>
      <c r="P271" s="7" t="s">
        <v>430</v>
      </c>
      <c r="Q271" s="8">
        <v>70601.0</v>
      </c>
      <c r="R271" s="9">
        <v>3.0</v>
      </c>
      <c r="S271" s="9">
        <v>3.0</v>
      </c>
      <c r="T271" s="9">
        <v>4.0</v>
      </c>
      <c r="U271" s="9">
        <v>9.0</v>
      </c>
      <c r="V271" s="9">
        <v>8.0</v>
      </c>
      <c r="W271" s="9">
        <v>6.0</v>
      </c>
    </row>
    <row r="272" ht="14.25" customHeight="1">
      <c r="A272" s="12" t="s">
        <v>443</v>
      </c>
      <c r="B272" s="13">
        <v>0.0</v>
      </c>
      <c r="C272" s="13">
        <v>1.0</v>
      </c>
      <c r="D272" s="13">
        <v>0.0</v>
      </c>
      <c r="E272" s="13">
        <v>0.0</v>
      </c>
      <c r="F272" s="13">
        <v>1.0</v>
      </c>
      <c r="G272" s="13">
        <v>1.0</v>
      </c>
      <c r="H272" s="13">
        <v>0.0</v>
      </c>
      <c r="I272" s="13">
        <v>1.0</v>
      </c>
      <c r="N272" s="7" t="s">
        <v>426</v>
      </c>
      <c r="O272" s="7" t="s">
        <v>456</v>
      </c>
      <c r="P272" s="7" t="s">
        <v>457</v>
      </c>
      <c r="Q272" s="8">
        <v>70602.0</v>
      </c>
      <c r="R272" s="9">
        <v>2.0</v>
      </c>
      <c r="S272" s="9">
        <v>1.0</v>
      </c>
      <c r="T272" s="9">
        <v>0.0</v>
      </c>
      <c r="U272" s="9">
        <v>0.0</v>
      </c>
      <c r="V272" s="9">
        <v>1.0</v>
      </c>
      <c r="W272" s="9">
        <v>0.0</v>
      </c>
    </row>
    <row r="273" ht="14.25" customHeight="1">
      <c r="A273" s="12" t="s">
        <v>53</v>
      </c>
      <c r="B273" s="13">
        <v>0.0</v>
      </c>
      <c r="C273" s="13">
        <v>0.0</v>
      </c>
      <c r="D273" s="13">
        <v>0.0</v>
      </c>
      <c r="E273" s="13">
        <v>4.0</v>
      </c>
      <c r="F273" s="13">
        <v>2.0</v>
      </c>
      <c r="G273" s="13">
        <v>0.0</v>
      </c>
      <c r="H273" s="13">
        <v>3.0</v>
      </c>
      <c r="I273" s="13">
        <v>1.0</v>
      </c>
      <c r="N273" s="7" t="s">
        <v>426</v>
      </c>
      <c r="O273" s="7" t="s">
        <v>456</v>
      </c>
      <c r="P273" s="7" t="s">
        <v>458</v>
      </c>
      <c r="Q273" s="8">
        <v>70603.0</v>
      </c>
      <c r="R273" s="9">
        <v>0.0</v>
      </c>
      <c r="S273" s="9">
        <v>0.0</v>
      </c>
      <c r="T273" s="9">
        <v>0.0</v>
      </c>
      <c r="U273" s="9">
        <v>0.0</v>
      </c>
      <c r="V273" s="9">
        <v>0.0</v>
      </c>
      <c r="W273" s="9">
        <v>0.0</v>
      </c>
    </row>
    <row r="274" ht="14.25" customHeight="1">
      <c r="A274" s="12" t="s">
        <v>428</v>
      </c>
      <c r="B274" s="13">
        <v>526.0</v>
      </c>
      <c r="C274" s="13">
        <v>355.0</v>
      </c>
      <c r="D274" s="13">
        <v>494.0</v>
      </c>
      <c r="E274" s="13">
        <v>743.0</v>
      </c>
      <c r="F274" s="13">
        <v>869.0</v>
      </c>
      <c r="G274" s="13">
        <v>913.0</v>
      </c>
      <c r="H274" s="13">
        <v>1034.0</v>
      </c>
      <c r="I274" s="13">
        <v>907.0</v>
      </c>
      <c r="N274" s="7" t="s">
        <v>426</v>
      </c>
      <c r="O274" s="7" t="s">
        <v>459</v>
      </c>
      <c r="P274" s="7" t="s">
        <v>415</v>
      </c>
      <c r="Q274" s="8">
        <v>70701.0</v>
      </c>
      <c r="R274" s="9">
        <v>0.0</v>
      </c>
      <c r="S274" s="9">
        <v>0.0</v>
      </c>
      <c r="T274" s="9">
        <v>0.0</v>
      </c>
      <c r="U274" s="9">
        <v>0.0</v>
      </c>
      <c r="V274" s="9">
        <v>0.0</v>
      </c>
      <c r="W274" s="9">
        <v>1.0</v>
      </c>
    </row>
    <row r="275" ht="14.25" customHeight="1">
      <c r="A275" s="12" t="s">
        <v>457</v>
      </c>
      <c r="B275" s="13">
        <v>2.0</v>
      </c>
      <c r="C275" s="13">
        <v>1.0</v>
      </c>
      <c r="D275" s="13">
        <v>0.0</v>
      </c>
      <c r="E275" s="13">
        <v>1.0</v>
      </c>
      <c r="F275" s="13">
        <v>2.0</v>
      </c>
      <c r="G275" s="13">
        <v>0.0</v>
      </c>
      <c r="H275" s="13">
        <v>1.0</v>
      </c>
      <c r="I275" s="13">
        <v>0.0</v>
      </c>
      <c r="N275" s="7" t="s">
        <v>426</v>
      </c>
      <c r="O275" s="7" t="s">
        <v>459</v>
      </c>
      <c r="P275" s="7" t="s">
        <v>394</v>
      </c>
      <c r="Q275" s="8">
        <v>70702.0</v>
      </c>
      <c r="R275" s="9">
        <v>0.0</v>
      </c>
      <c r="S275" s="9">
        <v>0.0</v>
      </c>
      <c r="T275" s="9">
        <v>1.0</v>
      </c>
      <c r="U275" s="9">
        <v>3.0</v>
      </c>
      <c r="V275" s="9">
        <v>1.0</v>
      </c>
      <c r="W275" s="9">
        <v>0.0</v>
      </c>
    </row>
    <row r="276" ht="14.25" customHeight="1">
      <c r="A276" s="12" t="s">
        <v>170</v>
      </c>
      <c r="B276" s="13">
        <v>0.0</v>
      </c>
      <c r="C276" s="13">
        <v>0.0</v>
      </c>
      <c r="D276" s="13">
        <v>0.0</v>
      </c>
      <c r="E276" s="13">
        <v>0.0</v>
      </c>
      <c r="F276" s="13">
        <v>0.0</v>
      </c>
      <c r="G276" s="13">
        <v>0.0</v>
      </c>
      <c r="H276" s="13">
        <v>0.0</v>
      </c>
      <c r="I276" s="13">
        <v>0.0</v>
      </c>
      <c r="N276" s="7" t="s">
        <v>426</v>
      </c>
      <c r="O276" s="7" t="s">
        <v>459</v>
      </c>
      <c r="P276" s="7" t="s">
        <v>389</v>
      </c>
      <c r="Q276" s="8">
        <v>70703.0</v>
      </c>
      <c r="R276" s="9">
        <v>0.0</v>
      </c>
      <c r="S276" s="9">
        <v>0.0</v>
      </c>
      <c r="T276" s="9">
        <v>0.0</v>
      </c>
      <c r="U276" s="9">
        <v>1.0</v>
      </c>
      <c r="V276" s="9">
        <v>2.0</v>
      </c>
      <c r="W276" s="9">
        <v>5.0</v>
      </c>
    </row>
    <row r="277" ht="14.25" customHeight="1">
      <c r="A277" s="12" t="s">
        <v>460</v>
      </c>
      <c r="B277" s="13">
        <v>2.0</v>
      </c>
      <c r="C277" s="13">
        <v>10.0</v>
      </c>
      <c r="D277" s="13">
        <v>10.0</v>
      </c>
      <c r="E277" s="13">
        <v>1.0</v>
      </c>
      <c r="F277" s="13">
        <v>2.0</v>
      </c>
      <c r="G277" s="13">
        <v>1.0</v>
      </c>
      <c r="H277" s="13">
        <v>2.0</v>
      </c>
      <c r="I277" s="13">
        <v>0.0</v>
      </c>
      <c r="N277" s="7" t="s">
        <v>426</v>
      </c>
      <c r="O277" s="7" t="s">
        <v>459</v>
      </c>
      <c r="P277" s="7" t="s">
        <v>403</v>
      </c>
      <c r="Q277" s="8">
        <v>70704.0</v>
      </c>
      <c r="R277" s="9">
        <v>0.0</v>
      </c>
      <c r="S277" s="9">
        <v>0.0</v>
      </c>
      <c r="T277" s="9">
        <v>0.0</v>
      </c>
      <c r="U277" s="9">
        <v>0.0</v>
      </c>
      <c r="V277" s="9">
        <v>0.0</v>
      </c>
      <c r="W277" s="9">
        <v>1.0</v>
      </c>
    </row>
    <row r="278" ht="14.25" customHeight="1">
      <c r="A278" s="12" t="s">
        <v>461</v>
      </c>
      <c r="B278" s="13">
        <v>0.0</v>
      </c>
      <c r="C278" s="13">
        <v>0.0</v>
      </c>
      <c r="D278" s="13">
        <v>1.0</v>
      </c>
      <c r="E278" s="13">
        <v>1.0</v>
      </c>
      <c r="F278" s="13">
        <v>0.0</v>
      </c>
      <c r="G278" s="13">
        <v>1.0</v>
      </c>
      <c r="H278" s="13">
        <v>0.0</v>
      </c>
      <c r="I278" s="13">
        <v>2.0</v>
      </c>
      <c r="N278" s="7" t="s">
        <v>426</v>
      </c>
      <c r="O278" s="7" t="s">
        <v>459</v>
      </c>
      <c r="P278" s="7" t="s">
        <v>462</v>
      </c>
      <c r="Q278" s="8">
        <v>70705.0</v>
      </c>
      <c r="R278" s="9">
        <v>1.0</v>
      </c>
      <c r="S278" s="9">
        <v>1.0</v>
      </c>
      <c r="T278" s="9">
        <v>0.0</v>
      </c>
      <c r="U278" s="9">
        <v>0.0</v>
      </c>
      <c r="V278" s="9">
        <v>0.0</v>
      </c>
      <c r="W278" s="9">
        <v>3.0</v>
      </c>
    </row>
    <row r="279" ht="14.25" customHeight="1">
      <c r="A279" s="12" t="s">
        <v>435</v>
      </c>
      <c r="B279" s="13">
        <v>11.0</v>
      </c>
      <c r="C279" s="13">
        <v>13.0</v>
      </c>
      <c r="D279" s="13">
        <v>27.0</v>
      </c>
      <c r="E279" s="13">
        <v>31.0</v>
      </c>
      <c r="F279" s="13">
        <v>28.0</v>
      </c>
      <c r="G279" s="13">
        <v>58.0</v>
      </c>
      <c r="H279" s="13">
        <v>69.0</v>
      </c>
      <c r="I279" s="13">
        <v>50.0</v>
      </c>
      <c r="N279" s="7" t="s">
        <v>426</v>
      </c>
      <c r="O279" s="7" t="s">
        <v>459</v>
      </c>
      <c r="P279" s="7" t="s">
        <v>391</v>
      </c>
      <c r="Q279" s="8">
        <v>70706.0</v>
      </c>
      <c r="R279" s="9">
        <v>2.0</v>
      </c>
      <c r="S279" s="9">
        <v>1.0</v>
      </c>
      <c r="T279" s="9">
        <v>2.0</v>
      </c>
      <c r="U279" s="9">
        <v>8.0</v>
      </c>
      <c r="V279" s="9">
        <v>4.0</v>
      </c>
      <c r="W279" s="9">
        <v>7.0</v>
      </c>
    </row>
    <row r="280" ht="14.25" customHeight="1">
      <c r="A280" s="12" t="s">
        <v>447</v>
      </c>
      <c r="B280" s="13">
        <v>6.0</v>
      </c>
      <c r="C280" s="13">
        <v>7.0</v>
      </c>
      <c r="D280" s="13">
        <v>8.0</v>
      </c>
      <c r="E280" s="13">
        <v>25.0</v>
      </c>
      <c r="F280" s="13">
        <v>26.0</v>
      </c>
      <c r="G280" s="13">
        <v>26.0</v>
      </c>
      <c r="H280" s="13">
        <v>25.0</v>
      </c>
      <c r="I280" s="13">
        <v>24.0</v>
      </c>
      <c r="N280" s="7" t="s">
        <v>426</v>
      </c>
      <c r="O280" s="7" t="s">
        <v>459</v>
      </c>
      <c r="P280" s="7" t="s">
        <v>386</v>
      </c>
      <c r="Q280" s="8">
        <v>70707.0</v>
      </c>
      <c r="R280" s="9">
        <v>0.0</v>
      </c>
      <c r="S280" s="9">
        <v>0.0</v>
      </c>
      <c r="T280" s="9">
        <v>0.0</v>
      </c>
      <c r="U280" s="9">
        <v>0.0</v>
      </c>
      <c r="V280" s="9">
        <v>1.0</v>
      </c>
      <c r="W280" s="9">
        <v>1.0</v>
      </c>
    </row>
    <row r="281" ht="14.25" customHeight="1">
      <c r="A281" s="10" t="s">
        <v>463</v>
      </c>
      <c r="B281" s="11">
        <v>27.0</v>
      </c>
      <c r="C281" s="11">
        <v>39.0</v>
      </c>
      <c r="D281" s="11">
        <v>30.0</v>
      </c>
      <c r="E281" s="11">
        <v>86.0</v>
      </c>
      <c r="F281" s="11">
        <v>96.0</v>
      </c>
      <c r="G281" s="11">
        <v>97.0</v>
      </c>
      <c r="H281" s="11">
        <v>107.0</v>
      </c>
      <c r="I281" s="11">
        <v>101.0</v>
      </c>
      <c r="N281" s="7" t="s">
        <v>426</v>
      </c>
      <c r="O281" s="7" t="s">
        <v>461</v>
      </c>
      <c r="P281" s="7" t="s">
        <v>461</v>
      </c>
      <c r="Q281" s="8">
        <v>70801.0</v>
      </c>
      <c r="R281" s="9">
        <v>0.0</v>
      </c>
      <c r="S281" s="9">
        <v>0.0</v>
      </c>
      <c r="T281" s="9">
        <v>1.0</v>
      </c>
      <c r="U281" s="9">
        <v>1.0</v>
      </c>
      <c r="V281" s="9">
        <v>0.0</v>
      </c>
      <c r="W281" s="9">
        <v>2.0</v>
      </c>
    </row>
    <row r="282" ht="14.25" customHeight="1">
      <c r="A282" s="12" t="s">
        <v>407</v>
      </c>
      <c r="B282" s="13">
        <v>8.0</v>
      </c>
      <c r="C282" s="13">
        <v>2.0</v>
      </c>
      <c r="D282" s="13">
        <v>2.0</v>
      </c>
      <c r="E282" s="13">
        <v>2.0</v>
      </c>
      <c r="F282" s="13">
        <v>30.0</v>
      </c>
      <c r="G282" s="13">
        <v>6.0</v>
      </c>
      <c r="H282" s="13">
        <v>9.0</v>
      </c>
      <c r="I282" s="13">
        <v>6.0</v>
      </c>
      <c r="N282" s="7" t="s">
        <v>426</v>
      </c>
      <c r="O282" s="7" t="s">
        <v>461</v>
      </c>
      <c r="P282" s="7" t="s">
        <v>464</v>
      </c>
      <c r="Q282" s="8">
        <v>70802.0</v>
      </c>
      <c r="R282" s="9">
        <v>0.0</v>
      </c>
      <c r="S282" s="9">
        <v>0.0</v>
      </c>
      <c r="T282" s="9">
        <v>0.0</v>
      </c>
      <c r="U282" s="9">
        <v>0.0</v>
      </c>
      <c r="V282" s="9">
        <v>0.0</v>
      </c>
      <c r="W282" s="9">
        <v>0.0</v>
      </c>
    </row>
    <row r="283" ht="14.25" customHeight="1">
      <c r="A283" s="12" t="s">
        <v>465</v>
      </c>
      <c r="B283" s="13">
        <v>0.0</v>
      </c>
      <c r="C283" s="13">
        <v>0.0</v>
      </c>
      <c r="D283" s="13">
        <v>0.0</v>
      </c>
      <c r="E283" s="13">
        <v>2.0</v>
      </c>
      <c r="F283" s="13">
        <v>0.0</v>
      </c>
      <c r="G283" s="13">
        <v>1.0</v>
      </c>
      <c r="H283" s="13">
        <v>0.0</v>
      </c>
      <c r="I283" s="13">
        <v>1.0</v>
      </c>
      <c r="N283" s="7" t="s">
        <v>426</v>
      </c>
      <c r="O283" s="7" t="s">
        <v>461</v>
      </c>
      <c r="P283" s="7" t="s">
        <v>466</v>
      </c>
      <c r="Q283" s="8">
        <v>70803.0</v>
      </c>
      <c r="R283" s="9">
        <v>0.0</v>
      </c>
      <c r="S283" s="9">
        <v>0.0</v>
      </c>
      <c r="T283" s="9">
        <v>0.0</v>
      </c>
      <c r="U283" s="9">
        <v>0.0</v>
      </c>
      <c r="V283" s="9">
        <v>0.0</v>
      </c>
      <c r="W283" s="9">
        <v>0.0</v>
      </c>
    </row>
    <row r="284" ht="14.25" customHeight="1">
      <c r="A284" s="12" t="s">
        <v>406</v>
      </c>
      <c r="B284" s="13">
        <v>1.0</v>
      </c>
      <c r="C284" s="13">
        <v>0.0</v>
      </c>
      <c r="D284" s="13">
        <v>0.0</v>
      </c>
      <c r="E284" s="13">
        <v>0.0</v>
      </c>
      <c r="F284" s="13">
        <v>0.0</v>
      </c>
      <c r="G284" s="13">
        <v>1.0</v>
      </c>
      <c r="H284" s="13">
        <v>0.0</v>
      </c>
      <c r="I284" s="13">
        <v>0.0</v>
      </c>
      <c r="N284" s="7" t="s">
        <v>426</v>
      </c>
      <c r="O284" s="7" t="s">
        <v>461</v>
      </c>
      <c r="P284" s="7" t="s">
        <v>467</v>
      </c>
      <c r="Q284" s="8">
        <v>70804.0</v>
      </c>
      <c r="R284" s="9">
        <v>0.0</v>
      </c>
      <c r="S284" s="9">
        <v>0.0</v>
      </c>
      <c r="T284" s="9">
        <v>0.0</v>
      </c>
      <c r="U284" s="9">
        <v>0.0</v>
      </c>
      <c r="V284" s="9">
        <v>0.0</v>
      </c>
      <c r="W284" s="9">
        <v>0.0</v>
      </c>
    </row>
    <row r="285" ht="14.25" customHeight="1">
      <c r="A285" s="12" t="s">
        <v>253</v>
      </c>
      <c r="B285" s="13">
        <v>0.0</v>
      </c>
      <c r="C285" s="13">
        <v>1.0</v>
      </c>
      <c r="D285" s="13">
        <v>0.0</v>
      </c>
      <c r="E285" s="13">
        <v>1.0</v>
      </c>
      <c r="F285" s="13">
        <v>0.0</v>
      </c>
      <c r="G285" s="13">
        <v>4.0</v>
      </c>
      <c r="H285" s="13">
        <v>2.0</v>
      </c>
      <c r="I285" s="13">
        <v>1.0</v>
      </c>
      <c r="N285" s="7" t="s">
        <v>426</v>
      </c>
      <c r="O285" s="7" t="s">
        <v>461</v>
      </c>
      <c r="P285" s="7" t="s">
        <v>468</v>
      </c>
      <c r="Q285" s="8">
        <v>70805.0</v>
      </c>
      <c r="R285" s="9">
        <v>0.0</v>
      </c>
      <c r="S285" s="9">
        <v>0.0</v>
      </c>
      <c r="T285" s="9">
        <v>0.0</v>
      </c>
      <c r="U285" s="9">
        <v>0.0</v>
      </c>
      <c r="V285" s="9">
        <v>0.0</v>
      </c>
      <c r="W285" s="9">
        <v>0.0</v>
      </c>
    </row>
    <row r="286" ht="14.25" customHeight="1">
      <c r="A286" s="12" t="s">
        <v>405</v>
      </c>
      <c r="B286" s="13">
        <v>0.0</v>
      </c>
      <c r="C286" s="13">
        <v>0.0</v>
      </c>
      <c r="D286" s="13">
        <v>0.0</v>
      </c>
      <c r="E286" s="13">
        <v>0.0</v>
      </c>
      <c r="F286" s="13">
        <v>0.0</v>
      </c>
      <c r="G286" s="13">
        <v>1.0</v>
      </c>
      <c r="H286" s="13">
        <v>1.0</v>
      </c>
      <c r="I286" s="13">
        <v>0.0</v>
      </c>
      <c r="N286" s="7" t="s">
        <v>426</v>
      </c>
      <c r="O286" s="7" t="s">
        <v>469</v>
      </c>
      <c r="P286" s="7" t="s">
        <v>442</v>
      </c>
      <c r="Q286" s="8">
        <v>70901.0</v>
      </c>
      <c r="R286" s="9">
        <v>0.0</v>
      </c>
      <c r="S286" s="9">
        <v>0.0</v>
      </c>
      <c r="T286" s="9">
        <v>0.0</v>
      </c>
      <c r="U286" s="9">
        <v>4.0</v>
      </c>
      <c r="V286" s="9">
        <v>0.0</v>
      </c>
      <c r="W286" s="9">
        <v>0.0</v>
      </c>
    </row>
    <row r="287" ht="14.25" customHeight="1">
      <c r="A287" s="12" t="s">
        <v>402</v>
      </c>
      <c r="B287" s="13">
        <v>10.0</v>
      </c>
      <c r="C287" s="13">
        <v>10.0</v>
      </c>
      <c r="D287" s="13">
        <v>15.0</v>
      </c>
      <c r="E287" s="13">
        <v>43.0</v>
      </c>
      <c r="F287" s="13">
        <v>40.0</v>
      </c>
      <c r="G287" s="13">
        <v>48.0</v>
      </c>
      <c r="H287" s="13">
        <v>68.0</v>
      </c>
      <c r="I287" s="13">
        <v>65.0</v>
      </c>
      <c r="N287" s="7" t="s">
        <v>426</v>
      </c>
      <c r="O287" s="7" t="s">
        <v>469</v>
      </c>
      <c r="P287" s="7" t="s">
        <v>429</v>
      </c>
      <c r="Q287" s="8">
        <v>70902.0</v>
      </c>
      <c r="R287" s="9">
        <v>0.0</v>
      </c>
      <c r="S287" s="9">
        <v>0.0</v>
      </c>
      <c r="T287" s="9">
        <v>0.0</v>
      </c>
      <c r="U287" s="9">
        <v>0.0</v>
      </c>
      <c r="V287" s="9">
        <v>0.0</v>
      </c>
      <c r="W287" s="9">
        <v>0.0</v>
      </c>
    </row>
    <row r="288" ht="14.25" customHeight="1">
      <c r="A288" s="12" t="s">
        <v>470</v>
      </c>
      <c r="B288" s="13">
        <v>0.0</v>
      </c>
      <c r="C288" s="13">
        <v>1.0</v>
      </c>
      <c r="D288" s="13">
        <v>0.0</v>
      </c>
      <c r="E288" s="13">
        <v>1.0</v>
      </c>
      <c r="F288" s="13">
        <v>0.0</v>
      </c>
      <c r="G288" s="13">
        <v>0.0</v>
      </c>
      <c r="H288" s="13">
        <v>0.0</v>
      </c>
      <c r="I288" s="13">
        <v>1.0</v>
      </c>
      <c r="N288" s="7" t="s">
        <v>426</v>
      </c>
      <c r="O288" s="7" t="s">
        <v>469</v>
      </c>
      <c r="P288" s="7" t="s">
        <v>418</v>
      </c>
      <c r="Q288" s="8">
        <v>70903.0</v>
      </c>
      <c r="R288" s="9">
        <v>0.0</v>
      </c>
      <c r="S288" s="9">
        <v>2.0</v>
      </c>
      <c r="T288" s="9">
        <v>2.0</v>
      </c>
      <c r="U288" s="9">
        <v>1.0</v>
      </c>
      <c r="V288" s="9">
        <v>6.0</v>
      </c>
      <c r="W288" s="9">
        <v>1.0</v>
      </c>
    </row>
    <row r="289" ht="14.25" customHeight="1">
      <c r="A289" s="12" t="s">
        <v>471</v>
      </c>
      <c r="B289" s="13">
        <v>1.0</v>
      </c>
      <c r="C289" s="13">
        <v>0.0</v>
      </c>
      <c r="D289" s="13">
        <v>0.0</v>
      </c>
      <c r="E289" s="13">
        <v>2.0</v>
      </c>
      <c r="F289" s="13">
        <v>1.0</v>
      </c>
      <c r="G289" s="13">
        <v>2.0</v>
      </c>
      <c r="H289" s="13">
        <v>0.0</v>
      </c>
      <c r="I289" s="13">
        <v>1.0</v>
      </c>
      <c r="N289" s="7" t="s">
        <v>426</v>
      </c>
      <c r="O289" s="7" t="s">
        <v>469</v>
      </c>
      <c r="P289" s="7" t="s">
        <v>436</v>
      </c>
      <c r="Q289" s="8">
        <v>70904.0</v>
      </c>
      <c r="R289" s="9">
        <v>0.0</v>
      </c>
      <c r="S289" s="9">
        <v>0.0</v>
      </c>
      <c r="T289" s="9">
        <v>0.0</v>
      </c>
      <c r="U289" s="9">
        <v>0.0</v>
      </c>
      <c r="V289" s="9">
        <v>0.0</v>
      </c>
      <c r="W289" s="9">
        <v>0.0</v>
      </c>
    </row>
    <row r="290" ht="14.25" customHeight="1">
      <c r="A290" s="12" t="s">
        <v>472</v>
      </c>
      <c r="B290" s="13">
        <v>5.0</v>
      </c>
      <c r="C290" s="13">
        <v>3.0</v>
      </c>
      <c r="D290" s="13">
        <v>3.0</v>
      </c>
      <c r="E290" s="13">
        <v>7.0</v>
      </c>
      <c r="F290" s="13">
        <v>8.0</v>
      </c>
      <c r="G290" s="13">
        <v>8.0</v>
      </c>
      <c r="H290" s="13">
        <v>10.0</v>
      </c>
      <c r="I290" s="13">
        <v>5.0</v>
      </c>
      <c r="N290" s="7" t="s">
        <v>426</v>
      </c>
      <c r="O290" s="7" t="s">
        <v>473</v>
      </c>
      <c r="P290" s="7" t="s">
        <v>422</v>
      </c>
      <c r="Q290" s="8">
        <v>71001.0</v>
      </c>
      <c r="R290" s="9">
        <v>31.0</v>
      </c>
      <c r="S290" s="9">
        <v>21.0</v>
      </c>
      <c r="T290" s="9">
        <v>42.0</v>
      </c>
      <c r="U290" s="9">
        <v>56.0</v>
      </c>
      <c r="V290" s="9">
        <v>40.0</v>
      </c>
      <c r="W290" s="9">
        <v>52.0</v>
      </c>
    </row>
    <row r="291" ht="14.25" customHeight="1">
      <c r="A291" s="12" t="s">
        <v>410</v>
      </c>
      <c r="B291" s="13">
        <v>2.0</v>
      </c>
      <c r="C291" s="13">
        <v>22.0</v>
      </c>
      <c r="D291" s="13">
        <v>10.0</v>
      </c>
      <c r="E291" s="13">
        <v>28.0</v>
      </c>
      <c r="F291" s="13">
        <v>17.0</v>
      </c>
      <c r="G291" s="13">
        <v>26.0</v>
      </c>
      <c r="H291" s="13">
        <v>17.0</v>
      </c>
      <c r="I291" s="13">
        <v>21.0</v>
      </c>
      <c r="N291" s="7" t="s">
        <v>426</v>
      </c>
      <c r="O291" s="7" t="s">
        <v>473</v>
      </c>
      <c r="P291" s="7" t="s">
        <v>474</v>
      </c>
      <c r="Q291" s="8">
        <v>71002.0</v>
      </c>
      <c r="R291" s="9">
        <v>98.0</v>
      </c>
      <c r="S291" s="9">
        <v>279.0</v>
      </c>
      <c r="T291" s="9">
        <v>117.0</v>
      </c>
      <c r="U291" s="9">
        <v>23.0</v>
      </c>
      <c r="V291" s="9">
        <v>5.0</v>
      </c>
      <c r="W291" s="9">
        <v>19.0</v>
      </c>
    </row>
    <row r="292" ht="14.25" customHeight="1">
      <c r="A292" s="12" t="s">
        <v>475</v>
      </c>
      <c r="B292" s="13">
        <v>0.0</v>
      </c>
      <c r="C292" s="13">
        <v>0.0</v>
      </c>
      <c r="D292" s="13">
        <v>0.0</v>
      </c>
      <c r="E292" s="13">
        <v>0.0</v>
      </c>
      <c r="F292" s="13">
        <v>0.0</v>
      </c>
      <c r="G292" s="13">
        <v>0.0</v>
      </c>
      <c r="H292" s="13">
        <v>0.0</v>
      </c>
      <c r="I292" s="13">
        <v>0.0</v>
      </c>
      <c r="N292" s="7" t="s">
        <v>426</v>
      </c>
      <c r="O292" s="7" t="s">
        <v>473</v>
      </c>
      <c r="P292" s="7" t="s">
        <v>420</v>
      </c>
      <c r="Q292" s="8">
        <v>71003.0</v>
      </c>
      <c r="R292" s="9">
        <v>11.0</v>
      </c>
      <c r="S292" s="9">
        <v>3.0</v>
      </c>
      <c r="T292" s="9">
        <v>3.0</v>
      </c>
      <c r="U292" s="9">
        <v>11.0</v>
      </c>
      <c r="V292" s="9">
        <v>13.0</v>
      </c>
      <c r="W292" s="9">
        <v>10.0</v>
      </c>
    </row>
    <row r="293" ht="14.25" customHeight="1">
      <c r="A293" s="10" t="s">
        <v>476</v>
      </c>
      <c r="B293" s="11">
        <v>46.0</v>
      </c>
      <c r="C293" s="11">
        <v>23.0</v>
      </c>
      <c r="D293" s="11">
        <v>17.0</v>
      </c>
      <c r="E293" s="11">
        <v>14.0</v>
      </c>
      <c r="F293" s="11">
        <v>5.0</v>
      </c>
      <c r="G293" s="11">
        <v>23.0</v>
      </c>
      <c r="H293" s="11">
        <v>13.0</v>
      </c>
      <c r="I293" s="11">
        <v>11.0</v>
      </c>
      <c r="N293" s="7" t="s">
        <v>426</v>
      </c>
      <c r="O293" s="7" t="s">
        <v>473</v>
      </c>
      <c r="P293" s="7" t="s">
        <v>477</v>
      </c>
      <c r="Q293" s="8">
        <v>71004.0</v>
      </c>
      <c r="R293" s="9">
        <v>0.0</v>
      </c>
      <c r="S293" s="9">
        <v>0.0</v>
      </c>
      <c r="T293" s="9">
        <v>0.0</v>
      </c>
      <c r="U293" s="9">
        <v>0.0</v>
      </c>
      <c r="V293" s="9">
        <v>0.0</v>
      </c>
      <c r="W293" s="9">
        <v>0.0</v>
      </c>
    </row>
    <row r="294" ht="14.25" customHeight="1">
      <c r="A294" s="15" t="s">
        <v>478</v>
      </c>
      <c r="B294" s="16">
        <v>1432.0</v>
      </c>
      <c r="C294" s="16">
        <v>1573.0</v>
      </c>
      <c r="D294" s="16">
        <v>1763.0</v>
      </c>
      <c r="E294" s="16">
        <v>2469.0</v>
      </c>
      <c r="F294" s="16">
        <v>2980.0</v>
      </c>
      <c r="G294" s="16">
        <v>3428.0</v>
      </c>
      <c r="H294" s="16">
        <v>3778.0</v>
      </c>
      <c r="I294" s="16">
        <v>3508.0</v>
      </c>
      <c r="N294" s="7" t="s">
        <v>426</v>
      </c>
      <c r="O294" s="7" t="s">
        <v>473</v>
      </c>
      <c r="P294" s="7" t="s">
        <v>355</v>
      </c>
      <c r="Q294" s="8">
        <v>71005.0</v>
      </c>
      <c r="R294" s="9">
        <v>0.0</v>
      </c>
      <c r="S294" s="9">
        <v>0.0</v>
      </c>
      <c r="T294" s="9">
        <v>0.0</v>
      </c>
      <c r="U294" s="9">
        <v>0.0</v>
      </c>
      <c r="V294" s="9">
        <v>0.0</v>
      </c>
      <c r="W294" s="9">
        <v>0.0</v>
      </c>
    </row>
    <row r="295" ht="14.25" customHeight="1">
      <c r="N295" s="7" t="s">
        <v>426</v>
      </c>
      <c r="O295" s="7" t="s">
        <v>479</v>
      </c>
      <c r="P295" s="7" t="s">
        <v>398</v>
      </c>
      <c r="Q295" s="8">
        <v>71101.0</v>
      </c>
      <c r="R295" s="9">
        <v>0.0</v>
      </c>
      <c r="S295" s="9">
        <v>2.0</v>
      </c>
      <c r="T295" s="9">
        <v>0.0</v>
      </c>
      <c r="U295" s="9">
        <v>5.0</v>
      </c>
      <c r="V295" s="9">
        <v>4.0</v>
      </c>
      <c r="W295" s="9">
        <v>4.0</v>
      </c>
    </row>
    <row r="296" ht="14.25" customHeight="1">
      <c r="N296" s="7" t="s">
        <v>426</v>
      </c>
      <c r="O296" s="7" t="s">
        <v>479</v>
      </c>
      <c r="P296" s="7" t="s">
        <v>48</v>
      </c>
      <c r="Q296" s="8">
        <v>71102.0</v>
      </c>
      <c r="R296" s="9">
        <v>2.0</v>
      </c>
      <c r="S296" s="9">
        <v>0.0</v>
      </c>
      <c r="T296" s="9">
        <v>0.0</v>
      </c>
      <c r="U296" s="9">
        <v>2.0</v>
      </c>
      <c r="V296" s="9">
        <v>0.0</v>
      </c>
      <c r="W296" s="9">
        <v>0.0</v>
      </c>
    </row>
    <row r="297" ht="14.25" customHeight="1">
      <c r="N297" s="7" t="s">
        <v>426</v>
      </c>
      <c r="O297" s="7" t="s">
        <v>479</v>
      </c>
      <c r="P297" s="7" t="s">
        <v>480</v>
      </c>
      <c r="Q297" s="8">
        <v>71103.0</v>
      </c>
      <c r="R297" s="9">
        <v>0.0</v>
      </c>
      <c r="S297" s="9">
        <v>0.0</v>
      </c>
      <c r="T297" s="9">
        <v>0.0</v>
      </c>
      <c r="U297" s="9">
        <v>0.0</v>
      </c>
      <c r="V297" s="9">
        <v>3.0</v>
      </c>
      <c r="W297" s="9">
        <v>1.0</v>
      </c>
    </row>
    <row r="298" ht="14.25" customHeight="1">
      <c r="N298" s="7" t="s">
        <v>426</v>
      </c>
      <c r="O298" s="7" t="s">
        <v>479</v>
      </c>
      <c r="P298" s="7" t="s">
        <v>481</v>
      </c>
      <c r="Q298" s="8">
        <v>71104.0</v>
      </c>
      <c r="R298" s="9">
        <v>5.0</v>
      </c>
      <c r="S298" s="9">
        <v>5.0</v>
      </c>
      <c r="T298" s="9">
        <v>6.0</v>
      </c>
      <c r="U298" s="9">
        <v>14.0</v>
      </c>
      <c r="V298" s="9">
        <v>12.0</v>
      </c>
      <c r="W298" s="9">
        <v>20.0</v>
      </c>
    </row>
    <row r="299" ht="14.25" customHeight="1">
      <c r="N299" s="7" t="s">
        <v>426</v>
      </c>
      <c r="O299" s="7" t="s">
        <v>479</v>
      </c>
      <c r="P299" s="7" t="s">
        <v>482</v>
      </c>
      <c r="Q299" s="8">
        <v>71105.0</v>
      </c>
      <c r="R299" s="9">
        <v>0.0</v>
      </c>
      <c r="S299" s="9">
        <v>1.0</v>
      </c>
      <c r="T299" s="9">
        <v>0.0</v>
      </c>
      <c r="U299" s="9">
        <v>0.0</v>
      </c>
      <c r="V299" s="9">
        <v>0.0</v>
      </c>
      <c r="W299" s="9">
        <v>1.0</v>
      </c>
    </row>
    <row r="300" ht="14.25" customHeight="1">
      <c r="N300" s="7" t="s">
        <v>426</v>
      </c>
      <c r="O300" s="7" t="s">
        <v>479</v>
      </c>
      <c r="P300" s="7" t="s">
        <v>483</v>
      </c>
      <c r="Q300" s="8">
        <v>71106.0</v>
      </c>
      <c r="R300" s="9">
        <v>0.0</v>
      </c>
      <c r="S300" s="9">
        <v>0.0</v>
      </c>
      <c r="T300" s="9">
        <v>0.0</v>
      </c>
      <c r="U300" s="9">
        <v>0.0</v>
      </c>
      <c r="V300" s="9">
        <v>0.0</v>
      </c>
      <c r="W300" s="9">
        <v>0.0</v>
      </c>
    </row>
    <row r="301" ht="14.25" customHeight="1">
      <c r="N301" s="7" t="s">
        <v>426</v>
      </c>
      <c r="O301" s="7" t="s">
        <v>484</v>
      </c>
      <c r="P301" s="7" t="s">
        <v>454</v>
      </c>
      <c r="Q301" s="8">
        <v>71201.0</v>
      </c>
      <c r="R301" s="9">
        <v>4.0</v>
      </c>
      <c r="S301" s="9">
        <v>0.0</v>
      </c>
      <c r="T301" s="9">
        <v>1.0</v>
      </c>
      <c r="U301" s="9">
        <v>1.0</v>
      </c>
      <c r="V301" s="9">
        <v>2.0</v>
      </c>
      <c r="W301" s="9">
        <v>2.0</v>
      </c>
    </row>
    <row r="302" ht="14.25" customHeight="1">
      <c r="N302" s="7" t="s">
        <v>426</v>
      </c>
      <c r="O302" s="7" t="s">
        <v>485</v>
      </c>
      <c r="P302" s="7" t="s">
        <v>395</v>
      </c>
      <c r="Q302" s="8">
        <v>71301.0</v>
      </c>
      <c r="R302" s="9">
        <v>0.0</v>
      </c>
      <c r="S302" s="9">
        <v>1.0</v>
      </c>
      <c r="T302" s="9">
        <v>1.0</v>
      </c>
      <c r="U302" s="9">
        <v>0.0</v>
      </c>
      <c r="V302" s="9">
        <v>2.0</v>
      </c>
      <c r="W302" s="9">
        <v>2.0</v>
      </c>
    </row>
    <row r="303" ht="14.25" customHeight="1">
      <c r="N303" s="7" t="s">
        <v>426</v>
      </c>
      <c r="O303" s="7" t="s">
        <v>485</v>
      </c>
      <c r="P303" s="7" t="s">
        <v>440</v>
      </c>
      <c r="Q303" s="8">
        <v>71302.0</v>
      </c>
      <c r="R303" s="9">
        <v>0.0</v>
      </c>
      <c r="S303" s="9">
        <v>1.0</v>
      </c>
      <c r="T303" s="9">
        <v>0.0</v>
      </c>
      <c r="U303" s="9">
        <v>0.0</v>
      </c>
      <c r="V303" s="9">
        <v>1.0</v>
      </c>
      <c r="W303" s="9">
        <v>0.0</v>
      </c>
    </row>
    <row r="304" ht="14.25" customHeight="1">
      <c r="N304" s="7" t="s">
        <v>426</v>
      </c>
      <c r="O304" s="7" t="s">
        <v>486</v>
      </c>
      <c r="P304" s="7" t="s">
        <v>487</v>
      </c>
      <c r="Q304" s="8">
        <v>71401.0</v>
      </c>
      <c r="R304" s="9">
        <v>4.0</v>
      </c>
      <c r="S304" s="9">
        <v>1.0</v>
      </c>
      <c r="T304" s="9">
        <v>5.0</v>
      </c>
      <c r="U304" s="9">
        <v>6.0</v>
      </c>
      <c r="V304" s="9">
        <v>12.0</v>
      </c>
      <c r="W304" s="9">
        <v>6.0</v>
      </c>
    </row>
    <row r="305" ht="14.25" customHeight="1">
      <c r="N305" s="7" t="s">
        <v>426</v>
      </c>
      <c r="O305" s="7" t="s">
        <v>486</v>
      </c>
      <c r="P305" s="7" t="s">
        <v>433</v>
      </c>
      <c r="Q305" s="8">
        <v>71402.0</v>
      </c>
      <c r="R305" s="9">
        <v>2.0</v>
      </c>
      <c r="S305" s="9">
        <v>0.0</v>
      </c>
      <c r="T305" s="9">
        <v>5.0</v>
      </c>
      <c r="U305" s="9">
        <v>5.0</v>
      </c>
      <c r="V305" s="9">
        <v>15.0</v>
      </c>
      <c r="W305" s="9">
        <v>5.0</v>
      </c>
    </row>
    <row r="306" ht="14.25" customHeight="1">
      <c r="N306" s="7" t="s">
        <v>426</v>
      </c>
      <c r="O306" s="7" t="s">
        <v>486</v>
      </c>
      <c r="P306" s="7" t="s">
        <v>488</v>
      </c>
      <c r="Q306" s="8">
        <v>71403.0</v>
      </c>
      <c r="R306" s="9">
        <v>1.0</v>
      </c>
      <c r="S306" s="9">
        <v>0.0</v>
      </c>
      <c r="T306" s="9">
        <v>0.0</v>
      </c>
      <c r="U306" s="9">
        <v>0.0</v>
      </c>
      <c r="V306" s="9">
        <v>4.0</v>
      </c>
      <c r="W306" s="9">
        <v>3.0</v>
      </c>
    </row>
    <row r="307" ht="14.25" customHeight="1">
      <c r="N307" s="7" t="s">
        <v>426</v>
      </c>
      <c r="O307" s="7" t="s">
        <v>489</v>
      </c>
      <c r="P307" s="7" t="s">
        <v>490</v>
      </c>
      <c r="Q307" s="8">
        <v>71501.0</v>
      </c>
      <c r="R307" s="9">
        <v>5.0</v>
      </c>
      <c r="S307" s="9">
        <v>4.0</v>
      </c>
      <c r="T307" s="9">
        <v>7.0</v>
      </c>
      <c r="U307" s="9">
        <v>5.0</v>
      </c>
      <c r="V307" s="9">
        <v>14.0</v>
      </c>
      <c r="W307" s="9">
        <v>8.0</v>
      </c>
    </row>
    <row r="308" ht="14.25" customHeight="1">
      <c r="N308" s="7" t="s">
        <v>426</v>
      </c>
      <c r="O308" s="7" t="s">
        <v>489</v>
      </c>
      <c r="P308" s="7" t="s">
        <v>491</v>
      </c>
      <c r="Q308" s="8">
        <v>71502.0</v>
      </c>
      <c r="R308" s="9">
        <v>2.0</v>
      </c>
      <c r="S308" s="9">
        <v>10.0</v>
      </c>
      <c r="T308" s="9">
        <v>10.0</v>
      </c>
      <c r="U308" s="9">
        <v>1.0</v>
      </c>
      <c r="V308" s="9">
        <v>2.0</v>
      </c>
      <c r="W308" s="9">
        <v>0.0</v>
      </c>
    </row>
    <row r="309" ht="14.25" customHeight="1">
      <c r="N309" s="7" t="s">
        <v>426</v>
      </c>
      <c r="O309" s="7" t="s">
        <v>489</v>
      </c>
      <c r="P309" s="7" t="s">
        <v>406</v>
      </c>
      <c r="Q309" s="8">
        <v>71503.0</v>
      </c>
      <c r="R309" s="9">
        <v>0.0</v>
      </c>
      <c r="S309" s="9">
        <v>1.0</v>
      </c>
      <c r="T309" s="9">
        <v>2.0</v>
      </c>
      <c r="U309" s="9">
        <v>1.0</v>
      </c>
      <c r="V309" s="9">
        <v>3.0</v>
      </c>
      <c r="W309" s="9">
        <v>2.0</v>
      </c>
    </row>
    <row r="310" ht="14.25" customHeight="1">
      <c r="N310" s="7" t="s">
        <v>492</v>
      </c>
      <c r="O310" s="7" t="s">
        <v>236</v>
      </c>
      <c r="P310" s="7" t="s">
        <v>60</v>
      </c>
      <c r="Q310" s="8">
        <v>80101.0</v>
      </c>
      <c r="R310" s="9">
        <v>11.0</v>
      </c>
      <c r="S310" s="9">
        <v>27.0</v>
      </c>
      <c r="T310" s="9">
        <v>31.0</v>
      </c>
      <c r="U310" s="9">
        <v>88.0</v>
      </c>
      <c r="V310" s="9">
        <v>95.0</v>
      </c>
      <c r="W310" s="9">
        <v>83.0</v>
      </c>
    </row>
    <row r="311" ht="14.25" customHeight="1">
      <c r="N311" s="7" t="s">
        <v>492</v>
      </c>
      <c r="O311" s="7" t="s">
        <v>236</v>
      </c>
      <c r="P311" s="7" t="s">
        <v>48</v>
      </c>
      <c r="Q311" s="8">
        <v>80102.0</v>
      </c>
      <c r="R311" s="9">
        <v>0.0</v>
      </c>
      <c r="S311" s="9">
        <v>0.0</v>
      </c>
      <c r="T311" s="9">
        <v>0.0</v>
      </c>
      <c r="U311" s="9">
        <v>1.0</v>
      </c>
      <c r="V311" s="9">
        <v>0.0</v>
      </c>
      <c r="W311" s="9">
        <v>0.0</v>
      </c>
    </row>
    <row r="312" ht="14.25" customHeight="1">
      <c r="N312" s="7" t="s">
        <v>492</v>
      </c>
      <c r="O312" s="7" t="s">
        <v>493</v>
      </c>
      <c r="P312" s="7" t="s">
        <v>41</v>
      </c>
      <c r="Q312" s="8">
        <v>80201.0</v>
      </c>
      <c r="R312" s="9">
        <v>1.0</v>
      </c>
      <c r="S312" s="9">
        <v>7.0</v>
      </c>
      <c r="T312" s="9">
        <v>2.0</v>
      </c>
      <c r="U312" s="9">
        <v>70.0</v>
      </c>
      <c r="V312" s="9">
        <v>79.0</v>
      </c>
      <c r="W312" s="9">
        <v>74.0</v>
      </c>
    </row>
    <row r="313" ht="14.25" customHeight="1">
      <c r="N313" s="7" t="s">
        <v>492</v>
      </c>
      <c r="O313" s="7" t="s">
        <v>493</v>
      </c>
      <c r="P313" s="7" t="s">
        <v>494</v>
      </c>
      <c r="Q313" s="8">
        <v>80202.0</v>
      </c>
      <c r="R313" s="9">
        <v>2.0</v>
      </c>
      <c r="S313" s="9">
        <v>3.0</v>
      </c>
      <c r="T313" s="9">
        <v>3.0</v>
      </c>
      <c r="U313" s="9">
        <v>6.0</v>
      </c>
      <c r="V313" s="9">
        <v>18.0</v>
      </c>
      <c r="W313" s="9">
        <v>15.0</v>
      </c>
    </row>
    <row r="314" ht="14.25" customHeight="1">
      <c r="N314" s="7" t="s">
        <v>492</v>
      </c>
      <c r="O314" s="7" t="s">
        <v>495</v>
      </c>
      <c r="P314" s="7" t="s">
        <v>38</v>
      </c>
      <c r="Q314" s="8">
        <v>80301.0</v>
      </c>
      <c r="R314" s="9">
        <v>0.0</v>
      </c>
      <c r="S314" s="9">
        <v>0.0</v>
      </c>
      <c r="T314" s="9">
        <v>0.0</v>
      </c>
      <c r="U314" s="9">
        <v>3.0</v>
      </c>
      <c r="V314" s="9">
        <v>3.0</v>
      </c>
      <c r="W314" s="9">
        <v>1.0</v>
      </c>
    </row>
    <row r="315" ht="14.25" customHeight="1">
      <c r="N315" s="7" t="s">
        <v>492</v>
      </c>
      <c r="O315" s="7" t="s">
        <v>495</v>
      </c>
      <c r="P315" s="7" t="s">
        <v>44</v>
      </c>
      <c r="Q315" s="8">
        <v>80302.0</v>
      </c>
      <c r="R315" s="9">
        <v>0.0</v>
      </c>
      <c r="S315" s="9">
        <v>0.0</v>
      </c>
      <c r="T315" s="9">
        <v>3.0</v>
      </c>
      <c r="U315" s="9">
        <v>6.0</v>
      </c>
      <c r="V315" s="9">
        <v>6.0</v>
      </c>
      <c r="W315" s="9">
        <v>6.0</v>
      </c>
    </row>
    <row r="316" ht="14.25" customHeight="1">
      <c r="N316" s="7" t="s">
        <v>492</v>
      </c>
      <c r="O316" s="7" t="s">
        <v>495</v>
      </c>
      <c r="P316" s="7" t="s">
        <v>57</v>
      </c>
      <c r="Q316" s="8">
        <v>80303.0</v>
      </c>
      <c r="R316" s="9">
        <v>0.0</v>
      </c>
      <c r="S316" s="9">
        <v>1.0</v>
      </c>
      <c r="T316" s="9">
        <v>0.0</v>
      </c>
      <c r="U316" s="9">
        <v>1.0</v>
      </c>
      <c r="V316" s="9">
        <v>3.0</v>
      </c>
      <c r="W316" s="9">
        <v>3.0</v>
      </c>
    </row>
    <row r="317" ht="14.25" customHeight="1">
      <c r="N317" s="7" t="s">
        <v>492</v>
      </c>
      <c r="O317" s="7" t="s">
        <v>495</v>
      </c>
      <c r="P317" s="7" t="s">
        <v>496</v>
      </c>
      <c r="Q317" s="8">
        <v>80304.0</v>
      </c>
      <c r="R317" s="9">
        <v>0.0</v>
      </c>
      <c r="S317" s="9">
        <v>2.0</v>
      </c>
      <c r="T317" s="9">
        <v>1.0</v>
      </c>
      <c r="U317" s="9">
        <v>2.0</v>
      </c>
      <c r="V317" s="9">
        <v>10.0</v>
      </c>
      <c r="W317" s="9">
        <v>6.0</v>
      </c>
    </row>
    <row r="318" ht="14.25" customHeight="1">
      <c r="N318" s="7" t="s">
        <v>492</v>
      </c>
      <c r="O318" s="7" t="s">
        <v>497</v>
      </c>
      <c r="P318" s="7" t="s">
        <v>498</v>
      </c>
      <c r="Q318" s="8">
        <v>80401.0</v>
      </c>
      <c r="R318" s="9">
        <v>0.0</v>
      </c>
      <c r="S318" s="9">
        <v>1.0</v>
      </c>
      <c r="T318" s="9">
        <v>2.0</v>
      </c>
      <c r="U318" s="9">
        <v>7.0</v>
      </c>
      <c r="V318" s="9">
        <v>18.0</v>
      </c>
      <c r="W318" s="9">
        <v>14.0</v>
      </c>
    </row>
    <row r="319" ht="14.25" customHeight="1">
      <c r="N319" s="7" t="s">
        <v>492</v>
      </c>
      <c r="O319" s="7" t="s">
        <v>497</v>
      </c>
      <c r="P319" s="7" t="s">
        <v>499</v>
      </c>
      <c r="Q319" s="8">
        <v>80402.0</v>
      </c>
      <c r="R319" s="9">
        <v>0.0</v>
      </c>
      <c r="S319" s="9">
        <v>0.0</v>
      </c>
      <c r="T319" s="9">
        <v>0.0</v>
      </c>
      <c r="U319" s="9">
        <v>0.0</v>
      </c>
      <c r="V319" s="9">
        <v>0.0</v>
      </c>
      <c r="W319" s="9">
        <v>0.0</v>
      </c>
    </row>
    <row r="320" ht="14.25" customHeight="1">
      <c r="N320" s="7" t="s">
        <v>492</v>
      </c>
      <c r="O320" s="7" t="s">
        <v>500</v>
      </c>
      <c r="P320" s="7" t="s">
        <v>46</v>
      </c>
      <c r="Q320" s="8">
        <v>80501.0</v>
      </c>
      <c r="R320" s="9">
        <v>1.0</v>
      </c>
      <c r="S320" s="9">
        <v>2.0</v>
      </c>
      <c r="T320" s="9">
        <v>0.0</v>
      </c>
      <c r="U320" s="9">
        <v>8.0</v>
      </c>
      <c r="V320" s="9">
        <v>5.0</v>
      </c>
      <c r="W320" s="9">
        <v>7.0</v>
      </c>
    </row>
    <row r="321" ht="14.25" customHeight="1">
      <c r="N321" s="7" t="s">
        <v>492</v>
      </c>
      <c r="O321" s="7" t="s">
        <v>501</v>
      </c>
      <c r="P321" s="7" t="s">
        <v>29</v>
      </c>
      <c r="Q321" s="8">
        <v>80601.0</v>
      </c>
      <c r="R321" s="9">
        <v>0.0</v>
      </c>
      <c r="S321" s="9">
        <v>0.0</v>
      </c>
      <c r="T321" s="9">
        <v>0.0</v>
      </c>
      <c r="U321" s="9">
        <v>1.0</v>
      </c>
      <c r="V321" s="9">
        <v>1.0</v>
      </c>
      <c r="W321" s="9">
        <v>0.0</v>
      </c>
    </row>
    <row r="322" ht="14.25" customHeight="1">
      <c r="N322" s="7" t="s">
        <v>492</v>
      </c>
      <c r="O322" s="7" t="s">
        <v>501</v>
      </c>
      <c r="P322" s="7" t="s">
        <v>502</v>
      </c>
      <c r="Q322" s="8">
        <v>80602.0</v>
      </c>
      <c r="R322" s="9">
        <v>0.0</v>
      </c>
      <c r="S322" s="9">
        <v>0.0</v>
      </c>
      <c r="T322" s="9">
        <v>0.0</v>
      </c>
      <c r="U322" s="9">
        <v>2.0</v>
      </c>
      <c r="V322" s="9">
        <v>2.0</v>
      </c>
      <c r="W322" s="9">
        <v>2.0</v>
      </c>
    </row>
    <row r="323" ht="14.25" customHeight="1">
      <c r="N323" s="7" t="s">
        <v>492</v>
      </c>
      <c r="O323" s="7" t="s">
        <v>503</v>
      </c>
      <c r="P323" s="7" t="s">
        <v>51</v>
      </c>
      <c r="Q323" s="8">
        <v>80701.0</v>
      </c>
      <c r="R323" s="9">
        <v>0.0</v>
      </c>
      <c r="S323" s="9">
        <v>0.0</v>
      </c>
      <c r="T323" s="9">
        <v>0.0</v>
      </c>
      <c r="U323" s="9">
        <v>0.0</v>
      </c>
      <c r="V323" s="9">
        <v>1.0</v>
      </c>
      <c r="W323" s="9">
        <v>1.0</v>
      </c>
    </row>
    <row r="324" ht="14.25" customHeight="1">
      <c r="N324" s="7" t="s">
        <v>492</v>
      </c>
      <c r="O324" s="7" t="s">
        <v>503</v>
      </c>
      <c r="P324" s="7" t="s">
        <v>480</v>
      </c>
      <c r="Q324" s="8">
        <v>80702.0</v>
      </c>
      <c r="R324" s="9">
        <v>0.0</v>
      </c>
      <c r="S324" s="9">
        <v>1.0</v>
      </c>
      <c r="T324" s="9">
        <v>0.0</v>
      </c>
      <c r="U324" s="9">
        <v>2.0</v>
      </c>
      <c r="V324" s="9">
        <v>0.0</v>
      </c>
      <c r="W324" s="9">
        <v>1.0</v>
      </c>
    </row>
    <row r="325" ht="14.25" customHeight="1">
      <c r="N325" s="7" t="s">
        <v>492</v>
      </c>
      <c r="O325" s="7" t="s">
        <v>503</v>
      </c>
      <c r="P325" s="7" t="s">
        <v>504</v>
      </c>
      <c r="Q325" s="8">
        <v>80703.0</v>
      </c>
      <c r="R325" s="9">
        <v>0.0</v>
      </c>
      <c r="S325" s="9">
        <v>0.0</v>
      </c>
      <c r="T325" s="9">
        <v>0.0</v>
      </c>
      <c r="U325" s="9">
        <v>0.0</v>
      </c>
      <c r="V325" s="9">
        <v>0.0</v>
      </c>
      <c r="W325" s="9">
        <v>0.0</v>
      </c>
    </row>
    <row r="326" ht="14.25" customHeight="1">
      <c r="N326" s="7" t="s">
        <v>492</v>
      </c>
      <c r="O326" s="7" t="s">
        <v>505</v>
      </c>
      <c r="P326" s="7" t="s">
        <v>32</v>
      </c>
      <c r="Q326" s="8">
        <v>80801.0</v>
      </c>
      <c r="R326" s="9">
        <v>1.0</v>
      </c>
      <c r="S326" s="9">
        <v>0.0</v>
      </c>
      <c r="T326" s="9">
        <v>1.0</v>
      </c>
      <c r="U326" s="9">
        <v>1.0</v>
      </c>
      <c r="V326" s="9">
        <v>2.0</v>
      </c>
      <c r="W326" s="9">
        <v>0.0</v>
      </c>
    </row>
    <row r="327" ht="14.25" customHeight="1">
      <c r="N327" s="7" t="s">
        <v>492</v>
      </c>
      <c r="O327" s="7" t="s">
        <v>505</v>
      </c>
      <c r="P327" s="7" t="s">
        <v>22</v>
      </c>
      <c r="Q327" s="8">
        <v>80802.0</v>
      </c>
      <c r="R327" s="9">
        <v>2.0</v>
      </c>
      <c r="S327" s="9">
        <v>7.0</v>
      </c>
      <c r="T327" s="9">
        <v>7.0</v>
      </c>
      <c r="U327" s="9">
        <v>20.0</v>
      </c>
      <c r="V327" s="9">
        <v>33.0</v>
      </c>
      <c r="W327" s="9">
        <v>28.0</v>
      </c>
    </row>
    <row r="328" ht="14.25" customHeight="1">
      <c r="N328" s="7" t="s">
        <v>492</v>
      </c>
      <c r="O328" s="7" t="s">
        <v>505</v>
      </c>
      <c r="P328" s="7" t="s">
        <v>27</v>
      </c>
      <c r="Q328" s="8">
        <v>80803.0</v>
      </c>
      <c r="R328" s="9">
        <v>0.0</v>
      </c>
      <c r="S328" s="9">
        <v>0.0</v>
      </c>
      <c r="T328" s="9">
        <v>0.0</v>
      </c>
      <c r="U328" s="9">
        <v>0.0</v>
      </c>
      <c r="V328" s="9">
        <v>0.0</v>
      </c>
      <c r="W328" s="9">
        <v>0.0</v>
      </c>
    </row>
    <row r="329" ht="14.25" customHeight="1">
      <c r="N329" s="7" t="s">
        <v>492</v>
      </c>
      <c r="O329" s="7" t="s">
        <v>500</v>
      </c>
      <c r="P329" s="7" t="s">
        <v>506</v>
      </c>
      <c r="Q329" s="8">
        <v>80901.0</v>
      </c>
      <c r="R329" s="9">
        <v>0.0</v>
      </c>
      <c r="S329" s="9">
        <v>0.0</v>
      </c>
      <c r="T329" s="9">
        <v>0.0</v>
      </c>
      <c r="U329" s="9">
        <v>0.0</v>
      </c>
      <c r="V329" s="9">
        <v>0.0</v>
      </c>
      <c r="W329" s="9">
        <v>0.0</v>
      </c>
    </row>
    <row r="330" ht="14.25" customHeight="1">
      <c r="N330" s="7" t="s">
        <v>507</v>
      </c>
      <c r="O330" s="7" t="s">
        <v>508</v>
      </c>
      <c r="P330" s="7" t="s">
        <v>299</v>
      </c>
      <c r="Q330" s="8">
        <v>90101.0</v>
      </c>
      <c r="R330" s="9">
        <v>3.0</v>
      </c>
      <c r="S330" s="9">
        <v>3.0</v>
      </c>
      <c r="T330" s="9">
        <v>6.0</v>
      </c>
      <c r="U330" s="9">
        <v>30.0</v>
      </c>
      <c r="V330" s="9">
        <v>49.0</v>
      </c>
      <c r="W330" s="9">
        <v>30.0</v>
      </c>
    </row>
    <row r="331" ht="14.25" customHeight="1">
      <c r="N331" s="7" t="s">
        <v>507</v>
      </c>
      <c r="O331" s="7" t="s">
        <v>508</v>
      </c>
      <c r="P331" s="7" t="s">
        <v>306</v>
      </c>
      <c r="Q331" s="8">
        <v>90102.0</v>
      </c>
      <c r="R331" s="9">
        <v>0.0</v>
      </c>
      <c r="S331" s="9">
        <v>0.0</v>
      </c>
      <c r="T331" s="9">
        <v>0.0</v>
      </c>
      <c r="U331" s="9">
        <v>2.0</v>
      </c>
      <c r="V331" s="9">
        <v>1.0</v>
      </c>
      <c r="W331" s="9">
        <v>4.0</v>
      </c>
    </row>
    <row r="332" ht="14.25" customHeight="1">
      <c r="N332" s="7" t="s">
        <v>507</v>
      </c>
      <c r="O332" s="7" t="s">
        <v>508</v>
      </c>
      <c r="P332" s="7" t="s">
        <v>298</v>
      </c>
      <c r="Q332" s="8">
        <v>90103.0</v>
      </c>
      <c r="R332" s="9">
        <v>0.0</v>
      </c>
      <c r="S332" s="9">
        <v>0.0</v>
      </c>
      <c r="T332" s="9">
        <v>0.0</v>
      </c>
      <c r="U332" s="9">
        <v>0.0</v>
      </c>
      <c r="V332" s="9">
        <v>0.0</v>
      </c>
      <c r="W332" s="9">
        <v>0.0</v>
      </c>
    </row>
    <row r="333" ht="14.25" customHeight="1">
      <c r="N333" s="7" t="s">
        <v>507</v>
      </c>
      <c r="O333" s="7" t="s">
        <v>508</v>
      </c>
      <c r="P333" s="7" t="s">
        <v>296</v>
      </c>
      <c r="Q333" s="8">
        <v>90104.0</v>
      </c>
      <c r="R333" s="9">
        <v>1.0</v>
      </c>
      <c r="S333" s="9">
        <v>1.0</v>
      </c>
      <c r="T333" s="9">
        <v>0.0</v>
      </c>
      <c r="U333" s="9">
        <v>0.0</v>
      </c>
      <c r="V333" s="9">
        <v>0.0</v>
      </c>
      <c r="W333" s="9">
        <v>0.0</v>
      </c>
    </row>
    <row r="334" ht="14.25" customHeight="1">
      <c r="N334" s="7" t="s">
        <v>507</v>
      </c>
      <c r="O334" s="7" t="s">
        <v>509</v>
      </c>
      <c r="P334" s="7" t="s">
        <v>311</v>
      </c>
      <c r="Q334" s="8">
        <v>90201.0</v>
      </c>
      <c r="R334" s="9">
        <v>0.0</v>
      </c>
      <c r="S334" s="9">
        <v>0.0</v>
      </c>
      <c r="T334" s="9">
        <v>0.0</v>
      </c>
      <c r="U334" s="9">
        <v>0.0</v>
      </c>
      <c r="V334" s="9">
        <v>1.0</v>
      </c>
      <c r="W334" s="9">
        <v>0.0</v>
      </c>
    </row>
    <row r="335" ht="14.25" customHeight="1">
      <c r="N335" s="7" t="s">
        <v>507</v>
      </c>
      <c r="O335" s="7" t="s">
        <v>509</v>
      </c>
      <c r="P335" s="7" t="s">
        <v>355</v>
      </c>
      <c r="Q335" s="8">
        <v>90202.0</v>
      </c>
      <c r="R335" s="9">
        <v>0.0</v>
      </c>
      <c r="S335" s="9">
        <v>0.0</v>
      </c>
      <c r="T335" s="9">
        <v>0.0</v>
      </c>
      <c r="U335" s="9">
        <v>0.0</v>
      </c>
      <c r="V335" s="9">
        <v>0.0</v>
      </c>
      <c r="W335" s="9">
        <v>0.0</v>
      </c>
    </row>
    <row r="336" ht="14.25" customHeight="1">
      <c r="N336" s="7" t="s">
        <v>507</v>
      </c>
      <c r="O336" s="7" t="s">
        <v>509</v>
      </c>
      <c r="P336" s="7" t="s">
        <v>301</v>
      </c>
      <c r="Q336" s="8">
        <v>90203.0</v>
      </c>
      <c r="R336" s="9">
        <v>2.0</v>
      </c>
      <c r="S336" s="9">
        <v>0.0</v>
      </c>
      <c r="T336" s="9">
        <v>0.0</v>
      </c>
      <c r="U336" s="9">
        <v>2.0</v>
      </c>
      <c r="V336" s="9">
        <v>1.0</v>
      </c>
      <c r="W336" s="9">
        <v>1.0</v>
      </c>
    </row>
    <row r="337" ht="14.25" customHeight="1">
      <c r="N337" s="7" t="s">
        <v>507</v>
      </c>
      <c r="O337" s="7" t="s">
        <v>510</v>
      </c>
      <c r="P337" s="7" t="s">
        <v>308</v>
      </c>
      <c r="Q337" s="8">
        <v>90301.0</v>
      </c>
      <c r="R337" s="9">
        <v>0.0</v>
      </c>
      <c r="S337" s="9">
        <v>0.0</v>
      </c>
      <c r="T337" s="9">
        <v>0.0</v>
      </c>
      <c r="U337" s="9">
        <v>3.0</v>
      </c>
      <c r="V337" s="9">
        <v>2.0</v>
      </c>
      <c r="W337" s="9">
        <v>0.0</v>
      </c>
    </row>
    <row r="338" ht="14.25" customHeight="1">
      <c r="N338" s="7" t="s">
        <v>507</v>
      </c>
      <c r="O338" s="7" t="s">
        <v>510</v>
      </c>
      <c r="P338" s="7" t="s">
        <v>313</v>
      </c>
      <c r="Q338" s="8">
        <v>90302.0</v>
      </c>
      <c r="R338" s="9">
        <v>0.0</v>
      </c>
      <c r="S338" s="9">
        <v>0.0</v>
      </c>
      <c r="T338" s="9">
        <v>0.0</v>
      </c>
      <c r="U338" s="9">
        <v>1.0</v>
      </c>
      <c r="V338" s="9">
        <v>0.0</v>
      </c>
      <c r="W338" s="9">
        <v>0.0</v>
      </c>
    </row>
    <row r="339" ht="14.25" customHeight="1">
      <c r="N339" s="7" t="s">
        <v>507</v>
      </c>
      <c r="O339" s="7" t="s">
        <v>510</v>
      </c>
      <c r="P339" s="7" t="s">
        <v>315</v>
      </c>
      <c r="Q339" s="8">
        <v>90303.0</v>
      </c>
      <c r="R339" s="9">
        <v>0.0</v>
      </c>
      <c r="S339" s="9">
        <v>0.0</v>
      </c>
      <c r="T339" s="9">
        <v>0.0</v>
      </c>
      <c r="U339" s="9">
        <v>4.0</v>
      </c>
      <c r="V339" s="9">
        <v>0.0</v>
      </c>
      <c r="W339" s="9">
        <v>0.0</v>
      </c>
    </row>
    <row r="340" ht="14.25" customHeight="1">
      <c r="N340" s="7" t="s">
        <v>507</v>
      </c>
      <c r="O340" s="7" t="s">
        <v>511</v>
      </c>
      <c r="P340" s="7" t="s">
        <v>57</v>
      </c>
      <c r="Q340" s="8">
        <v>90401.0</v>
      </c>
      <c r="R340" s="9">
        <v>0.0</v>
      </c>
      <c r="S340" s="9">
        <v>0.0</v>
      </c>
      <c r="T340" s="9">
        <v>0.0</v>
      </c>
      <c r="U340" s="9">
        <v>0.0</v>
      </c>
      <c r="V340" s="9">
        <v>0.0</v>
      </c>
      <c r="W340" s="9">
        <v>0.0</v>
      </c>
    </row>
    <row r="341" ht="14.25" customHeight="1">
      <c r="N341" s="7" t="s">
        <v>507</v>
      </c>
      <c r="O341" s="7" t="s">
        <v>511</v>
      </c>
      <c r="P341" s="7" t="s">
        <v>147</v>
      </c>
      <c r="Q341" s="8">
        <v>90402.0</v>
      </c>
      <c r="R341" s="9">
        <v>0.0</v>
      </c>
      <c r="S341" s="9">
        <v>0.0</v>
      </c>
      <c r="T341" s="9">
        <v>0.0</v>
      </c>
      <c r="U341" s="9">
        <v>0.0</v>
      </c>
      <c r="V341" s="9">
        <v>0.0</v>
      </c>
      <c r="W341" s="9">
        <v>0.0</v>
      </c>
    </row>
    <row r="342" ht="14.25" customHeight="1">
      <c r="N342" s="7" t="s">
        <v>507</v>
      </c>
      <c r="O342" s="7" t="s">
        <v>512</v>
      </c>
      <c r="P342" s="7" t="s">
        <v>513</v>
      </c>
      <c r="Q342" s="8">
        <v>90501.0</v>
      </c>
      <c r="R342" s="9">
        <v>0.0</v>
      </c>
      <c r="S342" s="9">
        <v>0.0</v>
      </c>
      <c r="T342" s="9">
        <v>0.0</v>
      </c>
      <c r="U342" s="9">
        <v>0.0</v>
      </c>
      <c r="V342" s="9">
        <v>0.0</v>
      </c>
      <c r="W342" s="9">
        <v>0.0</v>
      </c>
    </row>
    <row r="343" ht="14.25" customHeight="1">
      <c r="N343" s="7" t="s">
        <v>507</v>
      </c>
      <c r="O343" s="7" t="s">
        <v>512</v>
      </c>
      <c r="P343" s="7" t="s">
        <v>514</v>
      </c>
      <c r="Q343" s="8">
        <v>90502.0</v>
      </c>
      <c r="R343" s="9">
        <v>0.0</v>
      </c>
      <c r="S343" s="9">
        <v>0.0</v>
      </c>
      <c r="T343" s="9">
        <v>0.0</v>
      </c>
      <c r="U343" s="9">
        <v>0.0</v>
      </c>
      <c r="V343" s="9">
        <v>1.0</v>
      </c>
      <c r="W343" s="9">
        <v>0.0</v>
      </c>
    </row>
    <row r="344" ht="14.25" customHeight="1">
      <c r="N344" s="7" t="s">
        <v>507</v>
      </c>
      <c r="O344" s="7" t="s">
        <v>512</v>
      </c>
      <c r="P344" s="7" t="s">
        <v>515</v>
      </c>
      <c r="Q344" s="8">
        <v>90503.0</v>
      </c>
      <c r="R344" s="9">
        <v>0.0</v>
      </c>
      <c r="S344" s="9">
        <v>0.0</v>
      </c>
      <c r="T344" s="9">
        <v>0.0</v>
      </c>
      <c r="U344" s="9">
        <v>0.0</v>
      </c>
      <c r="V344" s="9">
        <v>0.0</v>
      </c>
      <c r="W344" s="9">
        <v>0.0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2.29"/>
    <col customWidth="1" min="2" max="2" width="10.71"/>
    <col customWidth="1" min="3" max="3" width="20.43"/>
    <col customWidth="1" min="4" max="4" width="18.29"/>
    <col customWidth="1" min="5" max="5" width="10.71"/>
    <col customWidth="1" min="6" max="14" width="14.14"/>
    <col customWidth="1" min="15" max="17" width="14.0"/>
    <col customWidth="1" min="18" max="20" width="18.14"/>
    <col customWidth="1" min="21" max="21" width="18.86"/>
    <col customWidth="1" min="22" max="24" width="18.14"/>
    <col customWidth="1" min="25" max="25" width="19.0"/>
    <col customWidth="1" min="26" max="26" width="10.71"/>
  </cols>
  <sheetData>
    <row r="1" ht="30.0" customHeight="1">
      <c r="A1" s="2" t="s">
        <v>1</v>
      </c>
      <c r="B1" s="2" t="s">
        <v>2</v>
      </c>
      <c r="C1" s="2" t="s">
        <v>3</v>
      </c>
      <c r="D1" s="2" t="s">
        <v>516</v>
      </c>
      <c r="E1" s="2" t="s">
        <v>4</v>
      </c>
      <c r="F1" s="2" t="s">
        <v>517</v>
      </c>
      <c r="G1" s="2" t="s">
        <v>518</v>
      </c>
      <c r="H1" s="2" t="s">
        <v>519</v>
      </c>
      <c r="I1" s="2" t="s">
        <v>520</v>
      </c>
      <c r="J1" s="2" t="s">
        <v>521</v>
      </c>
      <c r="K1" s="2" t="s">
        <v>522</v>
      </c>
      <c r="L1" s="2" t="s">
        <v>523</v>
      </c>
      <c r="M1" s="2" t="s">
        <v>524</v>
      </c>
      <c r="N1" s="2" t="s">
        <v>525</v>
      </c>
      <c r="O1" s="2" t="s">
        <v>526</v>
      </c>
      <c r="P1" s="2" t="s">
        <v>527</v>
      </c>
      <c r="Q1" s="2" t="s">
        <v>528</v>
      </c>
      <c r="R1" s="17" t="s">
        <v>529</v>
      </c>
      <c r="S1" s="17" t="s">
        <v>530</v>
      </c>
      <c r="T1" s="17" t="s">
        <v>531</v>
      </c>
      <c r="U1" s="17" t="s">
        <v>532</v>
      </c>
      <c r="V1" s="17" t="s">
        <v>533</v>
      </c>
      <c r="W1" s="17" t="s">
        <v>534</v>
      </c>
      <c r="X1" s="17" t="s">
        <v>535</v>
      </c>
      <c r="Y1" s="17" t="s">
        <v>536</v>
      </c>
      <c r="Z1" s="3"/>
    </row>
    <row r="2" ht="14.25" customHeight="1">
      <c r="A2" s="7" t="s">
        <v>17</v>
      </c>
      <c r="B2" s="7" t="s">
        <v>18</v>
      </c>
      <c r="C2" s="7" t="s">
        <v>19</v>
      </c>
      <c r="D2" s="7" t="s">
        <v>19</v>
      </c>
      <c r="E2" s="8">
        <v>10101.0</v>
      </c>
      <c r="F2" s="8">
        <v>257376.0</v>
      </c>
      <c r="G2" s="8">
        <v>261622.0</v>
      </c>
      <c r="H2" s="8">
        <v>264549.0</v>
      </c>
      <c r="I2" s="8">
        <v>290892.0</v>
      </c>
      <c r="J2" s="8">
        <v>293819.0</v>
      </c>
      <c r="K2" s="8">
        <v>296746.0</v>
      </c>
      <c r="L2" s="8">
        <v>11.0</v>
      </c>
      <c r="M2" s="8">
        <v>28.0</v>
      </c>
      <c r="N2" s="8">
        <v>29.0</v>
      </c>
      <c r="O2" s="8">
        <v>78.0</v>
      </c>
      <c r="P2" s="8">
        <v>72.0</v>
      </c>
      <c r="Q2" s="8">
        <v>76.0</v>
      </c>
      <c r="R2" s="18">
        <f t="shared" ref="R2:T2" si="1">(L2/F2)*1000000</f>
        <v>42.73902773</v>
      </c>
      <c r="S2" s="18">
        <f t="shared" si="1"/>
        <v>107.0246386</v>
      </c>
      <c r="T2" s="18">
        <f t="shared" si="1"/>
        <v>109.620524</v>
      </c>
      <c r="U2" s="18">
        <f t="shared" ref="U2:U344" si="4">AVERAGE(R2:T2)</f>
        <v>86.46139677</v>
      </c>
      <c r="V2" s="18">
        <f t="shared" ref="V2:X2" si="2">(O2/I2)*1000000</f>
        <v>268.1407533</v>
      </c>
      <c r="W2" s="18">
        <f t="shared" si="2"/>
        <v>245.0488226</v>
      </c>
      <c r="X2" s="18">
        <f t="shared" si="2"/>
        <v>256.1112871</v>
      </c>
      <c r="Y2" s="18">
        <f t="shared" ref="Y2:Y344" si="6">AVERAGE(V2:X2)</f>
        <v>256.433621</v>
      </c>
    </row>
    <row r="3" ht="14.25" customHeight="1">
      <c r="A3" s="7" t="s">
        <v>17</v>
      </c>
      <c r="B3" s="7" t="s">
        <v>18</v>
      </c>
      <c r="C3" s="7" t="s">
        <v>21</v>
      </c>
      <c r="D3" s="7" t="s">
        <v>21</v>
      </c>
      <c r="E3" s="8">
        <v>10102.0</v>
      </c>
      <c r="F3" s="8">
        <v>9464.0</v>
      </c>
      <c r="G3" s="8">
        <v>9461.0</v>
      </c>
      <c r="H3" s="8">
        <v>9444.0</v>
      </c>
      <c r="I3" s="8">
        <v>9290.0</v>
      </c>
      <c r="J3" s="8">
        <v>9273.0</v>
      </c>
      <c r="K3" s="8">
        <v>9256.0</v>
      </c>
      <c r="L3" s="8">
        <v>0.0</v>
      </c>
      <c r="M3" s="8">
        <v>0.0</v>
      </c>
      <c r="N3" s="8">
        <v>0.0</v>
      </c>
      <c r="O3" s="8">
        <v>0.0</v>
      </c>
      <c r="P3" s="8">
        <v>0.0</v>
      </c>
      <c r="Q3" s="8">
        <v>2.0</v>
      </c>
      <c r="R3" s="18">
        <f t="shared" ref="R3:T3" si="3">(L3/F3)*1000000</f>
        <v>0</v>
      </c>
      <c r="S3" s="18">
        <f t="shared" si="3"/>
        <v>0</v>
      </c>
      <c r="T3" s="18">
        <f t="shared" si="3"/>
        <v>0</v>
      </c>
      <c r="U3" s="18">
        <f t="shared" si="4"/>
        <v>0</v>
      </c>
      <c r="V3" s="18">
        <f t="shared" ref="V3:X3" si="5">(O3/I3)*1000000</f>
        <v>0</v>
      </c>
      <c r="W3" s="18">
        <f t="shared" si="5"/>
        <v>0</v>
      </c>
      <c r="X3" s="18">
        <f t="shared" si="5"/>
        <v>216.0760588</v>
      </c>
      <c r="Y3" s="18">
        <f t="shared" si="6"/>
        <v>72.02535292</v>
      </c>
    </row>
    <row r="4" ht="14.25" customHeight="1">
      <c r="A4" s="7" t="s">
        <v>17</v>
      </c>
      <c r="B4" s="7" t="s">
        <v>18</v>
      </c>
      <c r="C4" s="7" t="s">
        <v>23</v>
      </c>
      <c r="D4" s="7" t="s">
        <v>23</v>
      </c>
      <c r="E4" s="8">
        <v>10103.0</v>
      </c>
      <c r="F4" s="8">
        <v>16571.0</v>
      </c>
      <c r="G4" s="8">
        <v>16532.0</v>
      </c>
      <c r="H4" s="8">
        <v>16292.0</v>
      </c>
      <c r="I4" s="8">
        <v>14130.0</v>
      </c>
      <c r="J4" s="8">
        <v>13889.0</v>
      </c>
      <c r="K4" s="8">
        <v>13649.0</v>
      </c>
      <c r="L4" s="8">
        <v>0.0</v>
      </c>
      <c r="M4" s="8">
        <v>0.0</v>
      </c>
      <c r="N4" s="8">
        <v>0.0</v>
      </c>
      <c r="O4" s="8">
        <v>3.0</v>
      </c>
      <c r="P4" s="8">
        <v>1.0</v>
      </c>
      <c r="Q4" s="8">
        <v>3.0</v>
      </c>
      <c r="R4" s="18">
        <f t="shared" ref="R4:T4" si="7">(L4/F4)*1000000</f>
        <v>0</v>
      </c>
      <c r="S4" s="18">
        <f t="shared" si="7"/>
        <v>0</v>
      </c>
      <c r="T4" s="18">
        <f t="shared" si="7"/>
        <v>0</v>
      </c>
      <c r="U4" s="18">
        <f t="shared" si="4"/>
        <v>0</v>
      </c>
      <c r="V4" s="18">
        <f t="shared" ref="V4:X4" si="8">(O4/I4)*1000000</f>
        <v>212.3142251</v>
      </c>
      <c r="W4" s="18">
        <f t="shared" si="8"/>
        <v>71.999424</v>
      </c>
      <c r="X4" s="18">
        <f t="shared" si="8"/>
        <v>219.7963221</v>
      </c>
      <c r="Y4" s="18">
        <f t="shared" si="6"/>
        <v>168.036657</v>
      </c>
    </row>
    <row r="5" ht="14.25" customHeight="1">
      <c r="A5" s="7" t="s">
        <v>17</v>
      </c>
      <c r="B5" s="7" t="s">
        <v>25</v>
      </c>
      <c r="C5" s="7" t="s">
        <v>26</v>
      </c>
      <c r="D5" s="7" t="s">
        <v>26</v>
      </c>
      <c r="E5" s="8">
        <v>10201.0</v>
      </c>
      <c r="F5" s="8">
        <v>10715.0</v>
      </c>
      <c r="G5" s="8">
        <v>10652.0</v>
      </c>
      <c r="H5" s="8">
        <v>10423.0</v>
      </c>
      <c r="I5" s="8">
        <v>8361.0</v>
      </c>
      <c r="J5" s="8">
        <v>8132.0</v>
      </c>
      <c r="K5" s="8">
        <v>7903.0</v>
      </c>
      <c r="L5" s="8">
        <v>0.0</v>
      </c>
      <c r="M5" s="8">
        <v>0.0</v>
      </c>
      <c r="N5" s="8">
        <v>2.0</v>
      </c>
      <c r="O5" s="8">
        <v>1.0</v>
      </c>
      <c r="P5" s="8">
        <v>1.0</v>
      </c>
      <c r="Q5" s="8">
        <v>4.0</v>
      </c>
      <c r="R5" s="18">
        <f t="shared" ref="R5:T5" si="9">(L5/F5)*1000000</f>
        <v>0</v>
      </c>
      <c r="S5" s="18">
        <f t="shared" si="9"/>
        <v>0</v>
      </c>
      <c r="T5" s="18">
        <f t="shared" si="9"/>
        <v>191.8833349</v>
      </c>
      <c r="U5" s="18">
        <f t="shared" si="4"/>
        <v>63.96111164</v>
      </c>
      <c r="V5" s="18">
        <f t="shared" ref="V5:X5" si="10">(O5/I5)*1000000</f>
        <v>119.6029183</v>
      </c>
      <c r="W5" s="18">
        <f t="shared" si="10"/>
        <v>122.9709788</v>
      </c>
      <c r="X5" s="18">
        <f t="shared" si="10"/>
        <v>506.13691</v>
      </c>
      <c r="Y5" s="18">
        <f t="shared" si="6"/>
        <v>249.5702691</v>
      </c>
    </row>
    <row r="6" ht="14.25" customHeight="1">
      <c r="A6" s="7" t="s">
        <v>17</v>
      </c>
      <c r="B6" s="7" t="s">
        <v>25</v>
      </c>
      <c r="C6" s="7" t="s">
        <v>28</v>
      </c>
      <c r="D6" s="7" t="s">
        <v>537</v>
      </c>
      <c r="E6" s="8">
        <v>10202.0</v>
      </c>
      <c r="F6" s="8">
        <v>14440.0</v>
      </c>
      <c r="G6" s="8">
        <v>14261.0</v>
      </c>
      <c r="H6" s="8">
        <v>14474.0</v>
      </c>
      <c r="I6" s="8">
        <v>16387.0</v>
      </c>
      <c r="J6" s="8">
        <v>16599.0</v>
      </c>
      <c r="K6" s="8">
        <v>16812.0</v>
      </c>
      <c r="L6" s="8">
        <v>0.0</v>
      </c>
      <c r="M6" s="8">
        <v>0.0</v>
      </c>
      <c r="N6" s="8">
        <v>2.0</v>
      </c>
      <c r="O6" s="8">
        <v>5.0</v>
      </c>
      <c r="P6" s="8">
        <v>1.0</v>
      </c>
      <c r="Q6" s="8">
        <v>1.0</v>
      </c>
      <c r="R6" s="18">
        <f t="shared" ref="R6:T6" si="11">(L6/F6)*1000000</f>
        <v>0</v>
      </c>
      <c r="S6" s="18">
        <f t="shared" si="11"/>
        <v>0</v>
      </c>
      <c r="T6" s="18">
        <f t="shared" si="11"/>
        <v>138.1788034</v>
      </c>
      <c r="U6" s="18">
        <f t="shared" si="4"/>
        <v>46.05960112</v>
      </c>
      <c r="V6" s="18">
        <f t="shared" ref="V6:X6" si="12">(O6/I6)*1000000</f>
        <v>305.1199121</v>
      </c>
      <c r="W6" s="18">
        <f t="shared" si="12"/>
        <v>60.24459305</v>
      </c>
      <c r="X6" s="18">
        <f t="shared" si="12"/>
        <v>59.48132286</v>
      </c>
      <c r="Y6" s="18">
        <f t="shared" si="6"/>
        <v>141.615276</v>
      </c>
    </row>
    <row r="7" ht="14.25" customHeight="1">
      <c r="A7" s="7" t="s">
        <v>17</v>
      </c>
      <c r="B7" s="7" t="s">
        <v>30</v>
      </c>
      <c r="C7" s="7" t="s">
        <v>31</v>
      </c>
      <c r="D7" s="7" t="s">
        <v>538</v>
      </c>
      <c r="E7" s="8">
        <v>10301.0</v>
      </c>
      <c r="F7" s="8">
        <v>11004.0</v>
      </c>
      <c r="G7" s="8">
        <v>11362.0</v>
      </c>
      <c r="H7" s="8">
        <v>11556.0</v>
      </c>
      <c r="I7" s="8">
        <v>13305.0</v>
      </c>
      <c r="J7" s="8">
        <v>13500.0</v>
      </c>
      <c r="K7" s="8">
        <v>13694.0</v>
      </c>
      <c r="L7" s="8">
        <v>0.0</v>
      </c>
      <c r="M7" s="8">
        <v>1.0</v>
      </c>
      <c r="N7" s="8">
        <v>1.0</v>
      </c>
      <c r="O7" s="8">
        <v>1.0</v>
      </c>
      <c r="P7" s="8">
        <v>2.0</v>
      </c>
      <c r="Q7" s="8">
        <v>1.0</v>
      </c>
      <c r="R7" s="18">
        <f t="shared" ref="R7:T7" si="13">(L7/F7)*1000000</f>
        <v>0</v>
      </c>
      <c r="S7" s="18">
        <f t="shared" si="13"/>
        <v>88.01267383</v>
      </c>
      <c r="T7" s="18">
        <f t="shared" si="13"/>
        <v>86.53513326</v>
      </c>
      <c r="U7" s="18">
        <f t="shared" si="4"/>
        <v>58.18260236</v>
      </c>
      <c r="V7" s="18">
        <f t="shared" ref="V7:X7" si="14">(O7/I7)*1000000</f>
        <v>75.15971439</v>
      </c>
      <c r="W7" s="18">
        <f t="shared" si="14"/>
        <v>148.1481481</v>
      </c>
      <c r="X7" s="18">
        <f t="shared" si="14"/>
        <v>73.02468234</v>
      </c>
      <c r="Y7" s="18">
        <f t="shared" si="6"/>
        <v>98.77751496</v>
      </c>
    </row>
    <row r="8" ht="14.25" customHeight="1">
      <c r="A8" s="7" t="s">
        <v>17</v>
      </c>
      <c r="B8" s="7" t="s">
        <v>30</v>
      </c>
      <c r="C8" s="7" t="s">
        <v>33</v>
      </c>
      <c r="D8" s="7" t="s">
        <v>33</v>
      </c>
      <c r="E8" s="8">
        <v>10302.0</v>
      </c>
      <c r="F8" s="8">
        <v>12067.0</v>
      </c>
      <c r="G8" s="8">
        <v>12385.0</v>
      </c>
      <c r="H8" s="8">
        <v>12398.0</v>
      </c>
      <c r="I8" s="8">
        <v>12513.0</v>
      </c>
      <c r="J8" s="8">
        <v>12526.0</v>
      </c>
      <c r="K8" s="8">
        <v>12539.0</v>
      </c>
      <c r="L8" s="8">
        <v>0.0</v>
      </c>
      <c r="M8" s="8">
        <v>0.0</v>
      </c>
      <c r="N8" s="8">
        <v>0.0</v>
      </c>
      <c r="O8" s="8">
        <v>2.0</v>
      </c>
      <c r="P8" s="8">
        <v>2.0</v>
      </c>
      <c r="Q8" s="8">
        <v>1.0</v>
      </c>
      <c r="R8" s="18">
        <f t="shared" ref="R8:T8" si="15">(L8/F8)*1000000</f>
        <v>0</v>
      </c>
      <c r="S8" s="18">
        <f t="shared" si="15"/>
        <v>0</v>
      </c>
      <c r="T8" s="18">
        <f t="shared" si="15"/>
        <v>0</v>
      </c>
      <c r="U8" s="18">
        <f t="shared" si="4"/>
        <v>0</v>
      </c>
      <c r="V8" s="18">
        <f t="shared" ref="V8:X8" si="16">(O8/I8)*1000000</f>
        <v>159.8337729</v>
      </c>
      <c r="W8" s="18">
        <f t="shared" si="16"/>
        <v>159.6678908</v>
      </c>
      <c r="X8" s="18">
        <f t="shared" si="16"/>
        <v>79.75117633</v>
      </c>
      <c r="Y8" s="18">
        <f t="shared" si="6"/>
        <v>133.08428</v>
      </c>
    </row>
    <row r="9" ht="14.25" customHeight="1">
      <c r="A9" s="7" t="s">
        <v>17</v>
      </c>
      <c r="B9" s="7" t="s">
        <v>30</v>
      </c>
      <c r="C9" s="7" t="s">
        <v>35</v>
      </c>
      <c r="D9" s="7" t="s">
        <v>539</v>
      </c>
      <c r="E9" s="8">
        <v>10303.0</v>
      </c>
      <c r="F9" s="8">
        <v>8055.0</v>
      </c>
      <c r="G9" s="8">
        <v>8068.0</v>
      </c>
      <c r="H9" s="8">
        <v>8150.0</v>
      </c>
      <c r="I9" s="8">
        <v>8891.0</v>
      </c>
      <c r="J9" s="8">
        <v>8973.0</v>
      </c>
      <c r="K9" s="8">
        <v>9055.0</v>
      </c>
      <c r="L9" s="8">
        <v>0.0</v>
      </c>
      <c r="M9" s="8">
        <v>1.0</v>
      </c>
      <c r="N9" s="8">
        <v>0.0</v>
      </c>
      <c r="O9" s="8">
        <v>0.0</v>
      </c>
      <c r="P9" s="8">
        <v>0.0</v>
      </c>
      <c r="Q9" s="8">
        <v>0.0</v>
      </c>
      <c r="R9" s="18">
        <f t="shared" ref="R9:T9" si="17">(L9/F9)*1000000</f>
        <v>0</v>
      </c>
      <c r="S9" s="18">
        <f t="shared" si="17"/>
        <v>123.9464551</v>
      </c>
      <c r="T9" s="18">
        <f t="shared" si="17"/>
        <v>0</v>
      </c>
      <c r="U9" s="18">
        <f t="shared" si="4"/>
        <v>41.31548504</v>
      </c>
      <c r="V9" s="18">
        <f t="shared" ref="V9:X9" si="18">(O9/I9)*1000000</f>
        <v>0</v>
      </c>
      <c r="W9" s="18">
        <f t="shared" si="18"/>
        <v>0</v>
      </c>
      <c r="X9" s="18">
        <f t="shared" si="18"/>
        <v>0</v>
      </c>
      <c r="Y9" s="18">
        <f t="shared" si="6"/>
        <v>0</v>
      </c>
    </row>
    <row r="10" ht="14.25" customHeight="1">
      <c r="A10" s="7" t="s">
        <v>17</v>
      </c>
      <c r="B10" s="7" t="s">
        <v>30</v>
      </c>
      <c r="C10" s="7" t="s">
        <v>37</v>
      </c>
      <c r="D10" s="7" t="s">
        <v>37</v>
      </c>
      <c r="E10" s="8">
        <v>10304.0</v>
      </c>
      <c r="F10" s="8">
        <v>7811.0</v>
      </c>
      <c r="G10" s="8">
        <v>7774.0</v>
      </c>
      <c r="H10" s="8">
        <v>7889.0</v>
      </c>
      <c r="I10" s="8">
        <v>8925.0</v>
      </c>
      <c r="J10" s="8">
        <v>9040.0</v>
      </c>
      <c r="K10" s="8">
        <v>9155.0</v>
      </c>
      <c r="L10" s="8">
        <v>0.0</v>
      </c>
      <c r="M10" s="8">
        <v>1.0</v>
      </c>
      <c r="N10" s="8">
        <v>0.0</v>
      </c>
      <c r="O10" s="8">
        <v>0.0</v>
      </c>
      <c r="P10" s="8">
        <v>0.0</v>
      </c>
      <c r="Q10" s="8">
        <v>0.0</v>
      </c>
      <c r="R10" s="18">
        <f t="shared" ref="R10:T10" si="19">(L10/F10)*1000000</f>
        <v>0</v>
      </c>
      <c r="S10" s="18">
        <f t="shared" si="19"/>
        <v>128.6339079</v>
      </c>
      <c r="T10" s="18">
        <f t="shared" si="19"/>
        <v>0</v>
      </c>
      <c r="U10" s="18">
        <f t="shared" si="4"/>
        <v>42.8779693</v>
      </c>
      <c r="V10" s="18">
        <f t="shared" ref="V10:X10" si="20">(O10/I10)*1000000</f>
        <v>0</v>
      </c>
      <c r="W10" s="18">
        <f t="shared" si="20"/>
        <v>0</v>
      </c>
      <c r="X10" s="18">
        <f t="shared" si="20"/>
        <v>0</v>
      </c>
      <c r="Y10" s="18">
        <f t="shared" si="6"/>
        <v>0</v>
      </c>
    </row>
    <row r="11" ht="14.25" customHeight="1">
      <c r="A11" s="7" t="s">
        <v>17</v>
      </c>
      <c r="B11" s="7" t="s">
        <v>39</v>
      </c>
      <c r="C11" s="7" t="s">
        <v>40</v>
      </c>
      <c r="D11" s="7" t="s">
        <v>40</v>
      </c>
      <c r="E11" s="8">
        <v>10401.0</v>
      </c>
      <c r="F11" s="8">
        <v>10571.0</v>
      </c>
      <c r="G11" s="8">
        <v>10383.0</v>
      </c>
      <c r="H11" s="8">
        <v>10284.0</v>
      </c>
      <c r="I11" s="8">
        <v>9391.0</v>
      </c>
      <c r="J11" s="8">
        <v>9291.0</v>
      </c>
      <c r="K11" s="8">
        <v>9192.0</v>
      </c>
      <c r="L11" s="8">
        <v>0.0</v>
      </c>
      <c r="M11" s="8">
        <v>0.0</v>
      </c>
      <c r="N11" s="8">
        <v>0.0</v>
      </c>
      <c r="O11" s="8">
        <v>0.0</v>
      </c>
      <c r="P11" s="8">
        <v>0.0</v>
      </c>
      <c r="Q11" s="8">
        <v>1.0</v>
      </c>
      <c r="R11" s="18">
        <f t="shared" ref="R11:T11" si="21">(L11/F11)*1000000</f>
        <v>0</v>
      </c>
      <c r="S11" s="18">
        <f t="shared" si="21"/>
        <v>0</v>
      </c>
      <c r="T11" s="18">
        <f t="shared" si="21"/>
        <v>0</v>
      </c>
      <c r="U11" s="18">
        <f t="shared" si="4"/>
        <v>0</v>
      </c>
      <c r="V11" s="18">
        <f t="shared" ref="V11:X11" si="22">(O11/I11)*1000000</f>
        <v>0</v>
      </c>
      <c r="W11" s="18">
        <f t="shared" si="22"/>
        <v>0</v>
      </c>
      <c r="X11" s="18">
        <f t="shared" si="22"/>
        <v>108.7902524</v>
      </c>
      <c r="Y11" s="18">
        <f t="shared" si="6"/>
        <v>36.26341746</v>
      </c>
    </row>
    <row r="12" ht="14.25" customHeight="1">
      <c r="A12" s="7" t="s">
        <v>17</v>
      </c>
      <c r="B12" s="7" t="s">
        <v>39</v>
      </c>
      <c r="C12" s="7" t="s">
        <v>39</v>
      </c>
      <c r="D12" s="7" t="s">
        <v>540</v>
      </c>
      <c r="E12" s="8">
        <v>10402.0</v>
      </c>
      <c r="F12" s="8">
        <v>8545.0</v>
      </c>
      <c r="G12" s="8">
        <v>8494.0</v>
      </c>
      <c r="H12" s="8">
        <v>8495.0</v>
      </c>
      <c r="I12" s="8">
        <v>8507.0</v>
      </c>
      <c r="J12" s="8">
        <v>8508.0</v>
      </c>
      <c r="K12" s="8">
        <v>8509.0</v>
      </c>
      <c r="L12" s="8">
        <v>1.0</v>
      </c>
      <c r="M12" s="8">
        <v>0.0</v>
      </c>
      <c r="N12" s="8">
        <v>0.0</v>
      </c>
      <c r="O12" s="8">
        <v>1.0</v>
      </c>
      <c r="P12" s="8">
        <v>2.0</v>
      </c>
      <c r="Q12" s="8">
        <v>2.0</v>
      </c>
      <c r="R12" s="18">
        <f t="shared" ref="R12:T12" si="23">(L12/F12)*1000000</f>
        <v>117.0275015</v>
      </c>
      <c r="S12" s="18">
        <f t="shared" si="23"/>
        <v>0</v>
      </c>
      <c r="T12" s="18">
        <f t="shared" si="23"/>
        <v>0</v>
      </c>
      <c r="U12" s="18">
        <f t="shared" si="4"/>
        <v>39.00916715</v>
      </c>
      <c r="V12" s="18">
        <f t="shared" ref="V12:X12" si="24">(O12/I12)*1000000</f>
        <v>117.5502527</v>
      </c>
      <c r="W12" s="18">
        <f t="shared" si="24"/>
        <v>235.0728726</v>
      </c>
      <c r="X12" s="18">
        <f t="shared" si="24"/>
        <v>235.0452462</v>
      </c>
      <c r="Y12" s="18">
        <f t="shared" si="6"/>
        <v>195.8894572</v>
      </c>
    </row>
    <row r="13" ht="14.25" customHeight="1">
      <c r="A13" s="7" t="s">
        <v>17</v>
      </c>
      <c r="B13" s="7" t="s">
        <v>39</v>
      </c>
      <c r="C13" s="7" t="s">
        <v>43</v>
      </c>
      <c r="D13" s="7" t="s">
        <v>541</v>
      </c>
      <c r="E13" s="8">
        <v>10403.0</v>
      </c>
      <c r="F13" s="8">
        <v>7306.0</v>
      </c>
      <c r="G13" s="8">
        <v>7312.0</v>
      </c>
      <c r="H13" s="8">
        <v>7281.0</v>
      </c>
      <c r="I13" s="8">
        <v>7004.0</v>
      </c>
      <c r="J13" s="8">
        <v>6973.0</v>
      </c>
      <c r="K13" s="8">
        <v>6942.0</v>
      </c>
      <c r="L13" s="8">
        <v>0.0</v>
      </c>
      <c r="M13" s="8">
        <v>3.0</v>
      </c>
      <c r="N13" s="8">
        <v>6.0</v>
      </c>
      <c r="O13" s="8">
        <v>0.0</v>
      </c>
      <c r="P13" s="8">
        <v>1.0</v>
      </c>
      <c r="Q13" s="8">
        <v>0.0</v>
      </c>
      <c r="R13" s="18">
        <f t="shared" ref="R13:T13" si="25">(L13/F13)*1000000</f>
        <v>0</v>
      </c>
      <c r="S13" s="18">
        <f t="shared" si="25"/>
        <v>410.2844639</v>
      </c>
      <c r="T13" s="18">
        <f t="shared" si="25"/>
        <v>824.0626288</v>
      </c>
      <c r="U13" s="18">
        <f t="shared" si="4"/>
        <v>411.4490309</v>
      </c>
      <c r="V13" s="18">
        <f t="shared" ref="V13:X13" si="26">(O13/I13)*1000000</f>
        <v>0</v>
      </c>
      <c r="W13" s="18">
        <f t="shared" si="26"/>
        <v>143.4102969</v>
      </c>
      <c r="X13" s="18">
        <f t="shared" si="26"/>
        <v>0</v>
      </c>
      <c r="Y13" s="18">
        <f t="shared" si="6"/>
        <v>47.80343229</v>
      </c>
    </row>
    <row r="14" ht="14.25" customHeight="1">
      <c r="A14" s="7" t="s">
        <v>17</v>
      </c>
      <c r="B14" s="7" t="s">
        <v>39</v>
      </c>
      <c r="C14" s="7" t="s">
        <v>45</v>
      </c>
      <c r="D14" s="7" t="s">
        <v>542</v>
      </c>
      <c r="E14" s="8">
        <v>10404.0</v>
      </c>
      <c r="F14" s="8">
        <v>4823.0</v>
      </c>
      <c r="G14" s="8">
        <v>4902.0</v>
      </c>
      <c r="H14" s="8">
        <v>4808.0</v>
      </c>
      <c r="I14" s="8">
        <v>3957.0</v>
      </c>
      <c r="J14" s="8">
        <v>3863.0</v>
      </c>
      <c r="K14" s="8">
        <v>3768.0</v>
      </c>
      <c r="L14" s="8">
        <v>0.0</v>
      </c>
      <c r="M14" s="8">
        <v>0.0</v>
      </c>
      <c r="N14" s="8">
        <v>0.0</v>
      </c>
      <c r="O14" s="8">
        <v>1.0</v>
      </c>
      <c r="P14" s="8">
        <v>0.0</v>
      </c>
      <c r="Q14" s="8">
        <v>0.0</v>
      </c>
      <c r="R14" s="18">
        <f t="shared" ref="R14:T14" si="27">(L14/F14)*1000000</f>
        <v>0</v>
      </c>
      <c r="S14" s="18">
        <f t="shared" si="27"/>
        <v>0</v>
      </c>
      <c r="T14" s="18">
        <f t="shared" si="27"/>
        <v>0</v>
      </c>
      <c r="U14" s="18">
        <f t="shared" si="4"/>
        <v>0</v>
      </c>
      <c r="V14" s="18">
        <f t="shared" ref="V14:X14" si="28">(O14/I14)*1000000</f>
        <v>252.7167046</v>
      </c>
      <c r="W14" s="18">
        <f t="shared" si="28"/>
        <v>0</v>
      </c>
      <c r="X14" s="18">
        <f t="shared" si="28"/>
        <v>0</v>
      </c>
      <c r="Y14" s="18">
        <f t="shared" si="6"/>
        <v>84.23890152</v>
      </c>
    </row>
    <row r="15" ht="14.25" customHeight="1">
      <c r="A15" s="7" t="s">
        <v>17</v>
      </c>
      <c r="B15" s="7" t="s">
        <v>39</v>
      </c>
      <c r="C15" s="7" t="s">
        <v>47</v>
      </c>
      <c r="D15" s="7" t="s">
        <v>47</v>
      </c>
      <c r="E15" s="8">
        <v>10405.0</v>
      </c>
      <c r="F15" s="8">
        <v>4476.0</v>
      </c>
      <c r="G15" s="8">
        <v>4465.0</v>
      </c>
      <c r="H15" s="8">
        <v>4564.0</v>
      </c>
      <c r="I15" s="8">
        <v>5456.0</v>
      </c>
      <c r="J15" s="8">
        <v>5555.0</v>
      </c>
      <c r="K15" s="8">
        <v>5654.0</v>
      </c>
      <c r="L15" s="8">
        <v>0.0</v>
      </c>
      <c r="M15" s="8">
        <v>0.0</v>
      </c>
      <c r="N15" s="8">
        <v>0.0</v>
      </c>
      <c r="O15" s="8">
        <v>0.0</v>
      </c>
      <c r="P15" s="8">
        <v>0.0</v>
      </c>
      <c r="Q15" s="8">
        <v>0.0</v>
      </c>
      <c r="R15" s="18">
        <f t="shared" ref="R15:T15" si="29">(L15/F15)*1000000</f>
        <v>0</v>
      </c>
      <c r="S15" s="18">
        <f t="shared" si="29"/>
        <v>0</v>
      </c>
      <c r="T15" s="18">
        <f t="shared" si="29"/>
        <v>0</v>
      </c>
      <c r="U15" s="18">
        <f t="shared" si="4"/>
        <v>0</v>
      </c>
      <c r="V15" s="18">
        <f t="shared" ref="V15:X15" si="30">(O15/I15)*1000000</f>
        <v>0</v>
      </c>
      <c r="W15" s="18">
        <f t="shared" si="30"/>
        <v>0</v>
      </c>
      <c r="X15" s="18">
        <f t="shared" si="30"/>
        <v>0</v>
      </c>
      <c r="Y15" s="18">
        <f t="shared" si="6"/>
        <v>0</v>
      </c>
    </row>
    <row r="16" ht="14.25" customHeight="1">
      <c r="A16" s="7" t="s">
        <v>17</v>
      </c>
      <c r="B16" s="7" t="s">
        <v>49</v>
      </c>
      <c r="C16" s="7" t="s">
        <v>50</v>
      </c>
      <c r="D16" s="7" t="s">
        <v>50</v>
      </c>
      <c r="E16" s="8">
        <v>10501.0</v>
      </c>
      <c r="F16" s="8">
        <v>24503.0</v>
      </c>
      <c r="G16" s="8">
        <v>24303.0</v>
      </c>
      <c r="H16" s="8">
        <v>24323.0</v>
      </c>
      <c r="I16" s="8">
        <v>24506.0</v>
      </c>
      <c r="J16" s="8">
        <v>24526.0</v>
      </c>
      <c r="K16" s="8">
        <v>24546.0</v>
      </c>
      <c r="L16" s="8">
        <v>0.0</v>
      </c>
      <c r="M16" s="8">
        <v>0.0</v>
      </c>
      <c r="N16" s="8">
        <v>0.0</v>
      </c>
      <c r="O16" s="8">
        <v>4.0</v>
      </c>
      <c r="P16" s="8">
        <v>3.0</v>
      </c>
      <c r="Q16" s="8">
        <v>1.0</v>
      </c>
      <c r="R16" s="18">
        <f t="shared" ref="R16:T16" si="31">(L16/F16)*1000000</f>
        <v>0</v>
      </c>
      <c r="S16" s="18">
        <f t="shared" si="31"/>
        <v>0</v>
      </c>
      <c r="T16" s="18">
        <f t="shared" si="31"/>
        <v>0</v>
      </c>
      <c r="U16" s="18">
        <f t="shared" si="4"/>
        <v>0</v>
      </c>
      <c r="V16" s="18">
        <f t="shared" ref="V16:X16" si="32">(O16/I16)*1000000</f>
        <v>163.2253326</v>
      </c>
      <c r="W16" s="18">
        <f t="shared" si="32"/>
        <v>122.3191715</v>
      </c>
      <c r="X16" s="18">
        <f t="shared" si="32"/>
        <v>40.73983541</v>
      </c>
      <c r="Y16" s="18">
        <f t="shared" si="6"/>
        <v>108.7614465</v>
      </c>
    </row>
    <row r="17" ht="14.25" customHeight="1">
      <c r="A17" s="7" t="s">
        <v>17</v>
      </c>
      <c r="B17" s="7" t="s">
        <v>49</v>
      </c>
      <c r="C17" s="7" t="s">
        <v>52</v>
      </c>
      <c r="D17" s="7" t="s">
        <v>52</v>
      </c>
      <c r="E17" s="8">
        <v>10502.0</v>
      </c>
      <c r="F17" s="8">
        <v>8500.0</v>
      </c>
      <c r="G17" s="8">
        <v>8349.0</v>
      </c>
      <c r="H17" s="8">
        <v>8253.0</v>
      </c>
      <c r="I17" s="8">
        <v>7392.0</v>
      </c>
      <c r="J17" s="8">
        <v>7296.0</v>
      </c>
      <c r="K17" s="8">
        <v>7200.0</v>
      </c>
      <c r="L17" s="8">
        <v>0.0</v>
      </c>
      <c r="M17" s="8">
        <v>0.0</v>
      </c>
      <c r="N17" s="8">
        <v>0.0</v>
      </c>
      <c r="O17" s="8">
        <v>0.0</v>
      </c>
      <c r="P17" s="8">
        <v>0.0</v>
      </c>
      <c r="Q17" s="8">
        <v>0.0</v>
      </c>
      <c r="R17" s="18">
        <f t="shared" ref="R17:T17" si="33">(L17/F17)*1000000</f>
        <v>0</v>
      </c>
      <c r="S17" s="18">
        <f t="shared" si="33"/>
        <v>0</v>
      </c>
      <c r="T17" s="18">
        <f t="shared" si="33"/>
        <v>0</v>
      </c>
      <c r="U17" s="18">
        <f t="shared" si="4"/>
        <v>0</v>
      </c>
      <c r="V17" s="18">
        <f t="shared" ref="V17:X17" si="34">(O17/I17)*1000000</f>
        <v>0</v>
      </c>
      <c r="W17" s="18">
        <f t="shared" si="34"/>
        <v>0</v>
      </c>
      <c r="X17" s="18">
        <f t="shared" si="34"/>
        <v>0</v>
      </c>
      <c r="Y17" s="18">
        <f t="shared" si="6"/>
        <v>0</v>
      </c>
    </row>
    <row r="18" ht="14.25" customHeight="1">
      <c r="A18" s="7" t="s">
        <v>17</v>
      </c>
      <c r="B18" s="7" t="s">
        <v>54</v>
      </c>
      <c r="C18" s="7" t="s">
        <v>55</v>
      </c>
      <c r="D18" s="7" t="s">
        <v>55</v>
      </c>
      <c r="E18" s="8">
        <v>10601.0</v>
      </c>
      <c r="F18" s="8">
        <v>17181.0</v>
      </c>
      <c r="G18" s="8">
        <v>16944.0</v>
      </c>
      <c r="H18" s="8">
        <v>16642.0</v>
      </c>
      <c r="I18" s="8">
        <v>13927.0</v>
      </c>
      <c r="J18" s="8">
        <v>13625.0</v>
      </c>
      <c r="K18" s="8">
        <v>13323.0</v>
      </c>
      <c r="L18" s="8">
        <v>1.0</v>
      </c>
      <c r="M18" s="8">
        <v>2.0</v>
      </c>
      <c r="N18" s="8">
        <v>3.0</v>
      </c>
      <c r="O18" s="8">
        <v>4.0</v>
      </c>
      <c r="P18" s="8">
        <v>3.0</v>
      </c>
      <c r="Q18" s="8">
        <v>2.0</v>
      </c>
      <c r="R18" s="18">
        <f t="shared" ref="R18:T18" si="35">(L18/F18)*1000000</f>
        <v>58.20382981</v>
      </c>
      <c r="S18" s="18">
        <f t="shared" si="35"/>
        <v>118.0358829</v>
      </c>
      <c r="T18" s="18">
        <f t="shared" si="35"/>
        <v>180.2667949</v>
      </c>
      <c r="U18" s="18">
        <f t="shared" si="4"/>
        <v>118.8355025</v>
      </c>
      <c r="V18" s="18">
        <f t="shared" ref="V18:X18" si="36">(O18/I18)*1000000</f>
        <v>287.2118906</v>
      </c>
      <c r="W18" s="18">
        <f t="shared" si="36"/>
        <v>220.1834862</v>
      </c>
      <c r="X18" s="18">
        <f t="shared" si="36"/>
        <v>150.1163402</v>
      </c>
      <c r="Y18" s="18">
        <f t="shared" si="6"/>
        <v>219.1705723</v>
      </c>
    </row>
    <row r="19" ht="14.25" customHeight="1">
      <c r="A19" s="7" t="s">
        <v>17</v>
      </c>
      <c r="B19" s="7" t="s">
        <v>54</v>
      </c>
      <c r="C19" s="7" t="s">
        <v>54</v>
      </c>
      <c r="D19" s="7" t="s">
        <v>54</v>
      </c>
      <c r="E19" s="8">
        <v>10602.0</v>
      </c>
      <c r="F19" s="8">
        <v>10102.0</v>
      </c>
      <c r="G19" s="8">
        <v>10111.0</v>
      </c>
      <c r="H19" s="8">
        <v>9975.0</v>
      </c>
      <c r="I19" s="8">
        <v>8752.0</v>
      </c>
      <c r="J19" s="8">
        <v>8616.0</v>
      </c>
      <c r="K19" s="8">
        <v>8480.0</v>
      </c>
      <c r="L19" s="8">
        <v>0.0</v>
      </c>
      <c r="M19" s="8">
        <v>2.0</v>
      </c>
      <c r="N19" s="8">
        <v>2.0</v>
      </c>
      <c r="O19" s="8">
        <v>1.0</v>
      </c>
      <c r="P19" s="8">
        <v>0.0</v>
      </c>
      <c r="Q19" s="8">
        <v>1.0</v>
      </c>
      <c r="R19" s="18">
        <f t="shared" ref="R19:T19" si="37">(L19/F19)*1000000</f>
        <v>0</v>
      </c>
      <c r="S19" s="18">
        <f t="shared" si="37"/>
        <v>197.8043715</v>
      </c>
      <c r="T19" s="18">
        <f t="shared" si="37"/>
        <v>200.5012531</v>
      </c>
      <c r="U19" s="18">
        <f t="shared" si="4"/>
        <v>132.7685415</v>
      </c>
      <c r="V19" s="18">
        <f t="shared" ref="V19:X19" si="38">(O19/I19)*1000000</f>
        <v>114.2595978</v>
      </c>
      <c r="W19" s="18">
        <f t="shared" si="38"/>
        <v>0</v>
      </c>
      <c r="X19" s="18">
        <f t="shared" si="38"/>
        <v>117.9245283</v>
      </c>
      <c r="Y19" s="18">
        <f t="shared" si="6"/>
        <v>77.3947087</v>
      </c>
    </row>
    <row r="20" ht="14.25" customHeight="1">
      <c r="A20" s="7" t="s">
        <v>17</v>
      </c>
      <c r="B20" s="7" t="s">
        <v>58</v>
      </c>
      <c r="C20" s="7" t="s">
        <v>59</v>
      </c>
      <c r="D20" s="7" t="s">
        <v>59</v>
      </c>
      <c r="E20" s="8">
        <v>10701.0</v>
      </c>
      <c r="F20" s="8">
        <v>15530.0</v>
      </c>
      <c r="G20" s="8">
        <v>15644.0</v>
      </c>
      <c r="H20" s="8">
        <v>15566.0</v>
      </c>
      <c r="I20" s="8">
        <v>14868.0</v>
      </c>
      <c r="J20" s="8">
        <v>14791.0</v>
      </c>
      <c r="K20" s="8">
        <v>14713.0</v>
      </c>
      <c r="L20" s="8">
        <v>1.0</v>
      </c>
      <c r="M20" s="8">
        <v>7.0</v>
      </c>
      <c r="N20" s="8">
        <v>1.0</v>
      </c>
      <c r="O20" s="8">
        <v>0.0</v>
      </c>
      <c r="P20" s="8">
        <v>2.0</v>
      </c>
      <c r="Q20" s="8">
        <v>1.0</v>
      </c>
      <c r="R20" s="18">
        <f t="shared" ref="R20:T20" si="39">(L20/F20)*1000000</f>
        <v>64.39150032</v>
      </c>
      <c r="S20" s="18">
        <f t="shared" si="39"/>
        <v>447.4558936</v>
      </c>
      <c r="T20" s="18">
        <f t="shared" si="39"/>
        <v>64.24257998</v>
      </c>
      <c r="U20" s="18">
        <f t="shared" si="4"/>
        <v>192.0299913</v>
      </c>
      <c r="V20" s="18">
        <f t="shared" ref="V20:X20" si="40">(O20/I20)*1000000</f>
        <v>0</v>
      </c>
      <c r="W20" s="18">
        <f t="shared" si="40"/>
        <v>135.2173619</v>
      </c>
      <c r="X20" s="18">
        <f t="shared" si="40"/>
        <v>67.96710392</v>
      </c>
      <c r="Y20" s="18">
        <f t="shared" si="6"/>
        <v>67.72815528</v>
      </c>
    </row>
    <row r="21" ht="14.25" customHeight="1">
      <c r="A21" s="7" t="s">
        <v>17</v>
      </c>
      <c r="B21" s="7" t="s">
        <v>58</v>
      </c>
      <c r="C21" s="7" t="s">
        <v>61</v>
      </c>
      <c r="D21" s="7" t="s">
        <v>61</v>
      </c>
      <c r="E21" s="8">
        <v>10702.0</v>
      </c>
      <c r="F21" s="8">
        <v>32483.0</v>
      </c>
      <c r="G21" s="8">
        <v>32520.0</v>
      </c>
      <c r="H21" s="8">
        <v>32036.0</v>
      </c>
      <c r="I21" s="8">
        <v>27683.0</v>
      </c>
      <c r="J21" s="8">
        <v>27199.0</v>
      </c>
      <c r="K21" s="8">
        <v>26715.0</v>
      </c>
      <c r="L21" s="8">
        <v>0.0</v>
      </c>
      <c r="M21" s="8">
        <v>0.0</v>
      </c>
      <c r="N21" s="8">
        <v>0.0</v>
      </c>
      <c r="O21" s="8">
        <v>2.0</v>
      </c>
      <c r="P21" s="8">
        <v>7.0</v>
      </c>
      <c r="Q21" s="8">
        <v>9.0</v>
      </c>
      <c r="R21" s="18">
        <f t="shared" ref="R21:T21" si="41">(L21/F21)*1000000</f>
        <v>0</v>
      </c>
      <c r="S21" s="18">
        <f t="shared" si="41"/>
        <v>0</v>
      </c>
      <c r="T21" s="18">
        <f t="shared" si="41"/>
        <v>0</v>
      </c>
      <c r="U21" s="18">
        <f t="shared" si="4"/>
        <v>0</v>
      </c>
      <c r="V21" s="18">
        <f t="shared" ref="V21:X21" si="42">(O21/I21)*1000000</f>
        <v>72.24650508</v>
      </c>
      <c r="W21" s="18">
        <f t="shared" si="42"/>
        <v>257.362403</v>
      </c>
      <c r="X21" s="18">
        <f t="shared" si="42"/>
        <v>336.889388</v>
      </c>
      <c r="Y21" s="18">
        <f t="shared" si="6"/>
        <v>222.1660987</v>
      </c>
    </row>
    <row r="22" ht="14.25" customHeight="1">
      <c r="A22" s="7" t="s">
        <v>17</v>
      </c>
      <c r="B22" s="7" t="s">
        <v>58</v>
      </c>
      <c r="C22" s="7" t="s">
        <v>63</v>
      </c>
      <c r="D22" s="7" t="s">
        <v>63</v>
      </c>
      <c r="E22" s="8">
        <v>10703.0</v>
      </c>
      <c r="F22" s="8">
        <v>12843.0</v>
      </c>
      <c r="G22" s="8">
        <v>13056.0</v>
      </c>
      <c r="H22" s="8">
        <v>13342.0</v>
      </c>
      <c r="I22" s="8">
        <v>15913.0</v>
      </c>
      <c r="J22" s="8">
        <v>16198.0</v>
      </c>
      <c r="K22" s="8">
        <v>16484.0</v>
      </c>
      <c r="L22" s="8">
        <v>0.0</v>
      </c>
      <c r="M22" s="8">
        <v>0.0</v>
      </c>
      <c r="N22" s="8">
        <v>0.0</v>
      </c>
      <c r="O22" s="8">
        <v>0.0</v>
      </c>
      <c r="P22" s="8">
        <v>6.0</v>
      </c>
      <c r="Q22" s="8">
        <v>4.0</v>
      </c>
      <c r="R22" s="18">
        <f t="shared" ref="R22:T22" si="43">(L22/F22)*1000000</f>
        <v>0</v>
      </c>
      <c r="S22" s="18">
        <f t="shared" si="43"/>
        <v>0</v>
      </c>
      <c r="T22" s="18">
        <f t="shared" si="43"/>
        <v>0</v>
      </c>
      <c r="U22" s="18">
        <f t="shared" si="4"/>
        <v>0</v>
      </c>
      <c r="V22" s="18">
        <f t="shared" ref="V22:X22" si="44">(O22/I22)*1000000</f>
        <v>0</v>
      </c>
      <c r="W22" s="18">
        <f t="shared" si="44"/>
        <v>370.4161008</v>
      </c>
      <c r="X22" s="18">
        <f t="shared" si="44"/>
        <v>242.6595487</v>
      </c>
      <c r="Y22" s="18">
        <f t="shared" si="6"/>
        <v>204.3585498</v>
      </c>
    </row>
    <row r="23" ht="14.25" customHeight="1">
      <c r="A23" s="7" t="s">
        <v>17</v>
      </c>
      <c r="B23" s="7" t="s">
        <v>58</v>
      </c>
      <c r="C23" s="7" t="s">
        <v>64</v>
      </c>
      <c r="D23" s="7" t="s">
        <v>64</v>
      </c>
      <c r="E23" s="8">
        <v>10704.0</v>
      </c>
      <c r="F23" s="8">
        <v>15800.0</v>
      </c>
      <c r="G23" s="8">
        <v>16150.0</v>
      </c>
      <c r="H23" s="8">
        <v>15994.0</v>
      </c>
      <c r="I23" s="8">
        <v>14593.0</v>
      </c>
      <c r="J23" s="8">
        <v>14438.0</v>
      </c>
      <c r="K23" s="8">
        <v>14282.0</v>
      </c>
      <c r="L23" s="8">
        <v>0.0</v>
      </c>
      <c r="M23" s="8">
        <v>0.0</v>
      </c>
      <c r="N23" s="8">
        <v>0.0</v>
      </c>
      <c r="O23" s="8">
        <v>0.0</v>
      </c>
      <c r="P23" s="8">
        <v>0.0</v>
      </c>
      <c r="Q23" s="8">
        <v>0.0</v>
      </c>
      <c r="R23" s="18">
        <f t="shared" ref="R23:T23" si="45">(L23/F23)*1000000</f>
        <v>0</v>
      </c>
      <c r="S23" s="18">
        <f t="shared" si="45"/>
        <v>0</v>
      </c>
      <c r="T23" s="18">
        <f t="shared" si="45"/>
        <v>0</v>
      </c>
      <c r="U23" s="18">
        <f t="shared" si="4"/>
        <v>0</v>
      </c>
      <c r="V23" s="18">
        <f t="shared" ref="V23:X23" si="46">(O23/I23)*1000000</f>
        <v>0</v>
      </c>
      <c r="W23" s="18">
        <f t="shared" si="46"/>
        <v>0</v>
      </c>
      <c r="X23" s="18">
        <f t="shared" si="46"/>
        <v>0</v>
      </c>
      <c r="Y23" s="18">
        <f t="shared" si="6"/>
        <v>0</v>
      </c>
    </row>
    <row r="24" ht="14.25" customHeight="1">
      <c r="A24" s="7" t="s">
        <v>17</v>
      </c>
      <c r="B24" s="7" t="s">
        <v>66</v>
      </c>
      <c r="C24" s="7" t="s">
        <v>67</v>
      </c>
      <c r="D24" s="7" t="s">
        <v>67</v>
      </c>
      <c r="E24" s="8">
        <v>10801.0</v>
      </c>
      <c r="F24" s="8">
        <v>11272.0</v>
      </c>
      <c r="G24" s="8">
        <v>11161.0</v>
      </c>
      <c r="H24" s="8">
        <v>10990.0</v>
      </c>
      <c r="I24" s="8">
        <v>9449.0</v>
      </c>
      <c r="J24" s="8">
        <v>9278.0</v>
      </c>
      <c r="K24" s="8">
        <v>9107.0</v>
      </c>
      <c r="L24" s="8">
        <v>0.0</v>
      </c>
      <c r="M24" s="8">
        <v>1.0</v>
      </c>
      <c r="N24" s="8">
        <v>0.0</v>
      </c>
      <c r="O24" s="8">
        <v>1.0</v>
      </c>
      <c r="P24" s="8">
        <v>2.0</v>
      </c>
      <c r="Q24" s="8">
        <v>1.0</v>
      </c>
      <c r="R24" s="18">
        <f t="shared" ref="R24:T24" si="47">(L24/F24)*1000000</f>
        <v>0</v>
      </c>
      <c r="S24" s="18">
        <f t="shared" si="47"/>
        <v>89.5977063</v>
      </c>
      <c r="T24" s="18">
        <f t="shared" si="47"/>
        <v>0</v>
      </c>
      <c r="U24" s="18">
        <f t="shared" si="4"/>
        <v>29.8659021</v>
      </c>
      <c r="V24" s="18">
        <f t="shared" ref="V24:X24" si="48">(O24/I24)*1000000</f>
        <v>105.8313049</v>
      </c>
      <c r="W24" s="18">
        <f t="shared" si="48"/>
        <v>215.5636991</v>
      </c>
      <c r="X24" s="18">
        <f t="shared" si="48"/>
        <v>109.805644</v>
      </c>
      <c r="Y24" s="18">
        <f t="shared" si="6"/>
        <v>143.7335493</v>
      </c>
    </row>
    <row r="25" ht="14.25" customHeight="1">
      <c r="A25" s="7" t="s">
        <v>17</v>
      </c>
      <c r="B25" s="7" t="s">
        <v>69</v>
      </c>
      <c r="C25" s="7" t="s">
        <v>70</v>
      </c>
      <c r="D25" s="7" t="s">
        <v>70</v>
      </c>
      <c r="E25" s="8">
        <v>10901.0</v>
      </c>
      <c r="F25" s="8">
        <v>3485.0</v>
      </c>
      <c r="G25" s="8">
        <v>3514.0</v>
      </c>
      <c r="H25" s="8">
        <v>3669.0</v>
      </c>
      <c r="I25" s="8">
        <v>5065.0</v>
      </c>
      <c r="J25" s="8">
        <v>5220.0</v>
      </c>
      <c r="K25" s="8">
        <v>5375.0</v>
      </c>
      <c r="L25" s="8">
        <v>0.0</v>
      </c>
      <c r="M25" s="8">
        <v>0.0</v>
      </c>
      <c r="N25" s="8">
        <v>0.0</v>
      </c>
      <c r="O25" s="8">
        <v>0.0</v>
      </c>
      <c r="P25" s="8">
        <v>0.0</v>
      </c>
      <c r="Q25" s="8">
        <v>0.0</v>
      </c>
      <c r="R25" s="18">
        <f t="shared" ref="R25:T25" si="49">(L25/F25)*1000000</f>
        <v>0</v>
      </c>
      <c r="S25" s="18">
        <f t="shared" si="49"/>
        <v>0</v>
      </c>
      <c r="T25" s="18">
        <f t="shared" si="49"/>
        <v>0</v>
      </c>
      <c r="U25" s="18">
        <f t="shared" si="4"/>
        <v>0</v>
      </c>
      <c r="V25" s="18">
        <f t="shared" ref="V25:X25" si="50">(O25/I25)*1000000</f>
        <v>0</v>
      </c>
      <c r="W25" s="18">
        <f t="shared" si="50"/>
        <v>0</v>
      </c>
      <c r="X25" s="18">
        <f t="shared" si="50"/>
        <v>0</v>
      </c>
      <c r="Y25" s="18">
        <f t="shared" si="6"/>
        <v>0</v>
      </c>
    </row>
    <row r="26" ht="14.25" customHeight="1">
      <c r="A26" s="7" t="s">
        <v>17</v>
      </c>
      <c r="B26" s="7" t="s">
        <v>69</v>
      </c>
      <c r="C26" s="7" t="s">
        <v>68</v>
      </c>
      <c r="D26" s="7" t="s">
        <v>68</v>
      </c>
      <c r="E26" s="8">
        <v>10902.0</v>
      </c>
      <c r="F26" s="8">
        <v>17716.0</v>
      </c>
      <c r="G26" s="8">
        <v>17731.0</v>
      </c>
      <c r="H26" s="8">
        <v>17491.0</v>
      </c>
      <c r="I26" s="8">
        <v>15329.0</v>
      </c>
      <c r="J26" s="8">
        <v>15088.0</v>
      </c>
      <c r="K26" s="8">
        <v>14848.0</v>
      </c>
      <c r="L26" s="8">
        <v>0.0</v>
      </c>
      <c r="M26" s="8">
        <v>0.0</v>
      </c>
      <c r="N26" s="8">
        <v>0.0</v>
      </c>
      <c r="O26" s="8">
        <v>0.0</v>
      </c>
      <c r="P26" s="8">
        <v>0.0</v>
      </c>
      <c r="Q26" s="8">
        <v>0.0</v>
      </c>
      <c r="R26" s="18">
        <f t="shared" ref="R26:T26" si="51">(L26/F26)*1000000</f>
        <v>0</v>
      </c>
      <c r="S26" s="18">
        <f t="shared" si="51"/>
        <v>0</v>
      </c>
      <c r="T26" s="18">
        <f t="shared" si="51"/>
        <v>0</v>
      </c>
      <c r="U26" s="18">
        <f t="shared" si="4"/>
        <v>0</v>
      </c>
      <c r="V26" s="18">
        <f t="shared" ref="V26:X26" si="52">(O26/I26)*1000000</f>
        <v>0</v>
      </c>
      <c r="W26" s="18">
        <f t="shared" si="52"/>
        <v>0</v>
      </c>
      <c r="X26" s="18">
        <f t="shared" si="52"/>
        <v>0</v>
      </c>
      <c r="Y26" s="18">
        <f t="shared" si="6"/>
        <v>0</v>
      </c>
    </row>
    <row r="27" ht="14.25" customHeight="1">
      <c r="A27" s="7" t="s">
        <v>17</v>
      </c>
      <c r="B27" s="7" t="s">
        <v>69</v>
      </c>
      <c r="C27" s="7" t="s">
        <v>72</v>
      </c>
      <c r="D27" s="7" t="s">
        <v>72</v>
      </c>
      <c r="E27" s="8">
        <v>10903.0</v>
      </c>
      <c r="F27" s="8">
        <v>4040.0</v>
      </c>
      <c r="G27" s="8">
        <v>4088.0</v>
      </c>
      <c r="H27" s="8">
        <v>4165.0</v>
      </c>
      <c r="I27" s="8">
        <v>4861.0</v>
      </c>
      <c r="J27" s="8">
        <v>4939.0</v>
      </c>
      <c r="K27" s="8">
        <v>5016.0</v>
      </c>
      <c r="L27" s="8">
        <v>0.0</v>
      </c>
      <c r="M27" s="8">
        <v>0.0</v>
      </c>
      <c r="N27" s="8">
        <v>0.0</v>
      </c>
      <c r="O27" s="8">
        <v>0.0</v>
      </c>
      <c r="P27" s="8">
        <v>0.0</v>
      </c>
      <c r="Q27" s="8">
        <v>1.0</v>
      </c>
      <c r="R27" s="18">
        <f t="shared" ref="R27:T27" si="53">(L27/F27)*1000000</f>
        <v>0</v>
      </c>
      <c r="S27" s="18">
        <f t="shared" si="53"/>
        <v>0</v>
      </c>
      <c r="T27" s="18">
        <f t="shared" si="53"/>
        <v>0</v>
      </c>
      <c r="U27" s="18">
        <f t="shared" si="4"/>
        <v>0</v>
      </c>
      <c r="V27" s="18">
        <f t="shared" ref="V27:X27" si="54">(O27/I27)*1000000</f>
        <v>0</v>
      </c>
      <c r="W27" s="18">
        <f t="shared" si="54"/>
        <v>0</v>
      </c>
      <c r="X27" s="18">
        <f t="shared" si="54"/>
        <v>199.3620415</v>
      </c>
      <c r="Y27" s="18">
        <f t="shared" si="6"/>
        <v>66.45401382</v>
      </c>
    </row>
    <row r="28" ht="14.25" customHeight="1">
      <c r="A28" s="7" t="s">
        <v>17</v>
      </c>
      <c r="B28" s="7" t="s">
        <v>73</v>
      </c>
      <c r="C28" s="7" t="s">
        <v>74</v>
      </c>
      <c r="D28" s="7" t="s">
        <v>74</v>
      </c>
      <c r="E28" s="8">
        <v>11001.0</v>
      </c>
      <c r="F28" s="8">
        <v>9813.0</v>
      </c>
      <c r="G28" s="8">
        <v>9720.0</v>
      </c>
      <c r="H28" s="8">
        <v>10017.0</v>
      </c>
      <c r="I28" s="8">
        <v>12688.0</v>
      </c>
      <c r="J28" s="8">
        <v>12985.0</v>
      </c>
      <c r="K28" s="8">
        <v>13282.0</v>
      </c>
      <c r="L28" s="8">
        <v>0.0</v>
      </c>
      <c r="M28" s="8">
        <v>0.0</v>
      </c>
      <c r="N28" s="8">
        <v>1.0</v>
      </c>
      <c r="O28" s="8">
        <v>1.0</v>
      </c>
      <c r="P28" s="8">
        <v>1.0</v>
      </c>
      <c r="Q28" s="8">
        <v>2.0</v>
      </c>
      <c r="R28" s="18">
        <f t="shared" ref="R28:T28" si="55">(L28/F28)*1000000</f>
        <v>0</v>
      </c>
      <c r="S28" s="18">
        <f t="shared" si="55"/>
        <v>0</v>
      </c>
      <c r="T28" s="18">
        <f t="shared" si="55"/>
        <v>99.83028851</v>
      </c>
      <c r="U28" s="18">
        <f t="shared" si="4"/>
        <v>33.27676284</v>
      </c>
      <c r="V28" s="18">
        <f t="shared" ref="V28:X28" si="56">(O28/I28)*1000000</f>
        <v>78.81462799</v>
      </c>
      <c r="W28" s="18">
        <f t="shared" si="56"/>
        <v>77.01193685</v>
      </c>
      <c r="X28" s="18">
        <f t="shared" si="56"/>
        <v>150.579732</v>
      </c>
      <c r="Y28" s="18">
        <f t="shared" si="6"/>
        <v>102.1354323</v>
      </c>
    </row>
    <row r="29" ht="14.25" customHeight="1">
      <c r="A29" s="7" t="s">
        <v>17</v>
      </c>
      <c r="B29" s="7" t="s">
        <v>73</v>
      </c>
      <c r="C29" s="7" t="s">
        <v>75</v>
      </c>
      <c r="D29" s="7" t="s">
        <v>97</v>
      </c>
      <c r="E29" s="8">
        <v>11002.0</v>
      </c>
      <c r="F29" s="8">
        <v>2523.0</v>
      </c>
      <c r="G29" s="8">
        <v>2541.0</v>
      </c>
      <c r="H29" s="8">
        <v>2542.0</v>
      </c>
      <c r="I29" s="8">
        <v>2546.0</v>
      </c>
      <c r="J29" s="8">
        <v>2547.0</v>
      </c>
      <c r="K29" s="8">
        <v>2547.0</v>
      </c>
      <c r="L29" s="8">
        <v>0.0</v>
      </c>
      <c r="M29" s="8">
        <v>0.0</v>
      </c>
      <c r="N29" s="8">
        <v>0.0</v>
      </c>
      <c r="O29" s="8">
        <v>0.0</v>
      </c>
      <c r="P29" s="8">
        <v>0.0</v>
      </c>
      <c r="Q29" s="8">
        <v>0.0</v>
      </c>
      <c r="R29" s="18">
        <f t="shared" ref="R29:T29" si="57">(L29/F29)*1000000</f>
        <v>0</v>
      </c>
      <c r="S29" s="18">
        <f t="shared" si="57"/>
        <v>0</v>
      </c>
      <c r="T29" s="18">
        <f t="shared" si="57"/>
        <v>0</v>
      </c>
      <c r="U29" s="18">
        <f t="shared" si="4"/>
        <v>0</v>
      </c>
      <c r="V29" s="18">
        <f t="shared" ref="V29:X29" si="58">(O29/I29)*1000000</f>
        <v>0</v>
      </c>
      <c r="W29" s="18">
        <f t="shared" si="58"/>
        <v>0</v>
      </c>
      <c r="X29" s="18">
        <f t="shared" si="58"/>
        <v>0</v>
      </c>
      <c r="Y29" s="18">
        <f t="shared" si="6"/>
        <v>0</v>
      </c>
    </row>
    <row r="30" ht="14.25" customHeight="1">
      <c r="A30" s="7" t="s">
        <v>17</v>
      </c>
      <c r="B30" s="7" t="s">
        <v>73</v>
      </c>
      <c r="C30" s="7" t="s">
        <v>76</v>
      </c>
      <c r="D30" s="7" t="s">
        <v>543</v>
      </c>
      <c r="E30" s="8">
        <v>11003.0</v>
      </c>
      <c r="F30" s="8">
        <v>7415.0</v>
      </c>
      <c r="G30" s="8">
        <v>7418.0</v>
      </c>
      <c r="H30" s="8">
        <v>7403.0</v>
      </c>
      <c r="I30" s="8">
        <v>7266.0</v>
      </c>
      <c r="J30" s="8">
        <v>7250.0</v>
      </c>
      <c r="K30" s="8">
        <v>7235.0</v>
      </c>
      <c r="L30" s="8">
        <v>0.0</v>
      </c>
      <c r="M30" s="8">
        <v>1.0</v>
      </c>
      <c r="N30" s="8">
        <v>0.0</v>
      </c>
      <c r="O30" s="8">
        <v>1.0</v>
      </c>
      <c r="P30" s="8">
        <v>1.0</v>
      </c>
      <c r="Q30" s="8">
        <v>0.0</v>
      </c>
      <c r="R30" s="18">
        <f t="shared" ref="R30:T30" si="59">(L30/F30)*1000000</f>
        <v>0</v>
      </c>
      <c r="S30" s="18">
        <f t="shared" si="59"/>
        <v>134.8072257</v>
      </c>
      <c r="T30" s="18">
        <f t="shared" si="59"/>
        <v>0</v>
      </c>
      <c r="U30" s="18">
        <f t="shared" si="4"/>
        <v>44.93574189</v>
      </c>
      <c r="V30" s="18">
        <f t="shared" ref="V30:X30" si="60">(O30/I30)*1000000</f>
        <v>137.6273053</v>
      </c>
      <c r="W30" s="18">
        <f t="shared" si="60"/>
        <v>137.9310345</v>
      </c>
      <c r="X30" s="18">
        <f t="shared" si="60"/>
        <v>0</v>
      </c>
      <c r="Y30" s="18">
        <f t="shared" si="6"/>
        <v>91.85277991</v>
      </c>
    </row>
    <row r="31" ht="14.25" customHeight="1">
      <c r="A31" s="7" t="s">
        <v>78</v>
      </c>
      <c r="B31" s="7" t="s">
        <v>79</v>
      </c>
      <c r="C31" s="7" t="s">
        <v>80</v>
      </c>
      <c r="D31" s="7" t="s">
        <v>80</v>
      </c>
      <c r="E31" s="8">
        <v>20101.0</v>
      </c>
      <c r="F31" s="8">
        <v>768907.0</v>
      </c>
      <c r="G31" s="8">
        <v>766468.0</v>
      </c>
      <c r="H31" s="8">
        <v>765715.0</v>
      </c>
      <c r="I31" s="8">
        <v>758937.0</v>
      </c>
      <c r="J31" s="8">
        <v>758184.0</v>
      </c>
      <c r="K31" s="8">
        <v>757431.0</v>
      </c>
      <c r="L31" s="8">
        <v>139.0</v>
      </c>
      <c r="M31" s="8">
        <v>157.0</v>
      </c>
      <c r="N31" s="8">
        <v>182.0</v>
      </c>
      <c r="O31" s="8">
        <v>299.0</v>
      </c>
      <c r="P31" s="8">
        <v>298.0</v>
      </c>
      <c r="Q31" s="8">
        <v>298.0</v>
      </c>
      <c r="R31" s="18">
        <f t="shared" ref="R31:T31" si="61">(L31/F31)*1000000</f>
        <v>180.7760887</v>
      </c>
      <c r="S31" s="18">
        <f t="shared" si="61"/>
        <v>204.8356879</v>
      </c>
      <c r="T31" s="18">
        <f t="shared" si="61"/>
        <v>237.6863454</v>
      </c>
      <c r="U31" s="18">
        <f t="shared" si="4"/>
        <v>207.7660407</v>
      </c>
      <c r="V31" s="18">
        <f t="shared" ref="V31:X31" si="62">(O31/I31)*1000000</f>
        <v>393.9720952</v>
      </c>
      <c r="W31" s="18">
        <f t="shared" si="62"/>
        <v>393.0444325</v>
      </c>
      <c r="X31" s="18">
        <f t="shared" si="62"/>
        <v>393.4351776</v>
      </c>
      <c r="Y31" s="18">
        <f t="shared" si="6"/>
        <v>393.4839018</v>
      </c>
    </row>
    <row r="32" ht="14.25" customHeight="1">
      <c r="A32" s="7" t="s">
        <v>78</v>
      </c>
      <c r="B32" s="7" t="s">
        <v>79</v>
      </c>
      <c r="C32" s="7" t="s">
        <v>81</v>
      </c>
      <c r="D32" s="7" t="s">
        <v>81</v>
      </c>
      <c r="E32" s="8">
        <v>20102.0</v>
      </c>
      <c r="F32" s="8">
        <v>16400.0</v>
      </c>
      <c r="G32" s="8">
        <v>16622.0</v>
      </c>
      <c r="H32" s="8">
        <v>17048.0</v>
      </c>
      <c r="I32" s="8">
        <v>20878.0</v>
      </c>
      <c r="J32" s="8">
        <v>21303.0</v>
      </c>
      <c r="K32" s="8">
        <v>21729.0</v>
      </c>
      <c r="L32" s="8">
        <v>0.0</v>
      </c>
      <c r="M32" s="8">
        <v>0.0</v>
      </c>
      <c r="N32" s="8">
        <v>0.0</v>
      </c>
      <c r="O32" s="8">
        <v>1.0</v>
      </c>
      <c r="P32" s="8">
        <v>5.0</v>
      </c>
      <c r="Q32" s="8">
        <v>5.0</v>
      </c>
      <c r="R32" s="18">
        <f t="shared" ref="R32:T32" si="63">(L32/F32)*1000000</f>
        <v>0</v>
      </c>
      <c r="S32" s="18">
        <f t="shared" si="63"/>
        <v>0</v>
      </c>
      <c r="T32" s="18">
        <f t="shared" si="63"/>
        <v>0</v>
      </c>
      <c r="U32" s="18">
        <f t="shared" si="4"/>
        <v>0</v>
      </c>
      <c r="V32" s="18">
        <f t="shared" ref="V32:X32" si="64">(O32/I32)*1000000</f>
        <v>47.89730817</v>
      </c>
      <c r="W32" s="18">
        <f t="shared" si="64"/>
        <v>234.7087265</v>
      </c>
      <c r="X32" s="18">
        <f t="shared" si="64"/>
        <v>230.10723</v>
      </c>
      <c r="Y32" s="18">
        <f t="shared" si="6"/>
        <v>170.9044215</v>
      </c>
    </row>
    <row r="33" ht="14.25" customHeight="1">
      <c r="A33" s="7" t="s">
        <v>78</v>
      </c>
      <c r="B33" s="7" t="s">
        <v>79</v>
      </c>
      <c r="C33" s="7" t="s">
        <v>82</v>
      </c>
      <c r="D33" s="7" t="s">
        <v>82</v>
      </c>
      <c r="E33" s="8">
        <v>20103.0</v>
      </c>
      <c r="F33" s="8">
        <v>15466.0</v>
      </c>
      <c r="G33" s="8">
        <v>15834.0</v>
      </c>
      <c r="H33" s="8">
        <v>16218.0</v>
      </c>
      <c r="I33" s="8">
        <v>19677.0</v>
      </c>
      <c r="J33" s="8">
        <v>20062.0</v>
      </c>
      <c r="K33" s="8">
        <v>20446.0</v>
      </c>
      <c r="L33" s="8">
        <v>0.0</v>
      </c>
      <c r="M33" s="8">
        <v>0.0</v>
      </c>
      <c r="N33" s="8">
        <v>0.0</v>
      </c>
      <c r="O33" s="8">
        <v>1.0</v>
      </c>
      <c r="P33" s="8">
        <v>4.0</v>
      </c>
      <c r="Q33" s="8">
        <v>0.0</v>
      </c>
      <c r="R33" s="18">
        <f t="shared" ref="R33:T33" si="65">(L33/F33)*1000000</f>
        <v>0</v>
      </c>
      <c r="S33" s="18">
        <f t="shared" si="65"/>
        <v>0</v>
      </c>
      <c r="T33" s="18">
        <f t="shared" si="65"/>
        <v>0</v>
      </c>
      <c r="U33" s="18">
        <f t="shared" si="4"/>
        <v>0</v>
      </c>
      <c r="V33" s="18">
        <f t="shared" ref="V33:X33" si="66">(O33/I33)*1000000</f>
        <v>50.8207552</v>
      </c>
      <c r="W33" s="18">
        <f t="shared" si="66"/>
        <v>199.3819161</v>
      </c>
      <c r="X33" s="18">
        <f t="shared" si="66"/>
        <v>0</v>
      </c>
      <c r="Y33" s="18">
        <f t="shared" si="6"/>
        <v>83.40089042</v>
      </c>
    </row>
    <row r="34" ht="14.25" customHeight="1">
      <c r="A34" s="7" t="s">
        <v>78</v>
      </c>
      <c r="B34" s="7" t="s">
        <v>79</v>
      </c>
      <c r="C34" s="7" t="s">
        <v>83</v>
      </c>
      <c r="D34" s="7" t="s">
        <v>83</v>
      </c>
      <c r="E34" s="8">
        <v>20104.0</v>
      </c>
      <c r="F34" s="8">
        <v>21765.0</v>
      </c>
      <c r="G34" s="8">
        <v>22431.0</v>
      </c>
      <c r="H34" s="8">
        <v>24411.0</v>
      </c>
      <c r="I34" s="8">
        <v>42229.0</v>
      </c>
      <c r="J34" s="8">
        <v>44208.0</v>
      </c>
      <c r="K34" s="8">
        <v>46188.0</v>
      </c>
      <c r="L34" s="8">
        <v>0.0</v>
      </c>
      <c r="M34" s="8">
        <v>0.0</v>
      </c>
      <c r="N34" s="8">
        <v>0.0</v>
      </c>
      <c r="O34" s="8">
        <v>4.0</v>
      </c>
      <c r="P34" s="8">
        <v>1.0</v>
      </c>
      <c r="Q34" s="8">
        <v>8.0</v>
      </c>
      <c r="R34" s="18">
        <f t="shared" ref="R34:T34" si="67">(L34/F34)*1000000</f>
        <v>0</v>
      </c>
      <c r="S34" s="18">
        <f t="shared" si="67"/>
        <v>0</v>
      </c>
      <c r="T34" s="18">
        <f t="shared" si="67"/>
        <v>0</v>
      </c>
      <c r="U34" s="18">
        <f t="shared" si="4"/>
        <v>0</v>
      </c>
      <c r="V34" s="18">
        <f t="shared" ref="V34:X34" si="68">(O34/I34)*1000000</f>
        <v>94.72163679</v>
      </c>
      <c r="W34" s="18">
        <f t="shared" si="68"/>
        <v>22.62034021</v>
      </c>
      <c r="X34" s="18">
        <f t="shared" si="68"/>
        <v>173.2051615</v>
      </c>
      <c r="Y34" s="18">
        <f t="shared" si="6"/>
        <v>96.84904617</v>
      </c>
    </row>
    <row r="35" ht="14.25" customHeight="1">
      <c r="A35" s="7" t="s">
        <v>78</v>
      </c>
      <c r="B35" s="7" t="s">
        <v>79</v>
      </c>
      <c r="C35" s="7" t="s">
        <v>84</v>
      </c>
      <c r="D35" s="7" t="s">
        <v>84</v>
      </c>
      <c r="E35" s="8">
        <v>20105.0</v>
      </c>
      <c r="F35" s="8">
        <v>830407.0</v>
      </c>
      <c r="G35" s="8">
        <v>848452.0</v>
      </c>
      <c r="H35" s="8">
        <v>851566.0</v>
      </c>
      <c r="I35" s="8">
        <v>879596.0</v>
      </c>
      <c r="J35" s="8">
        <v>882711.0</v>
      </c>
      <c r="K35" s="8">
        <v>885825.0</v>
      </c>
      <c r="L35" s="8">
        <v>77.0</v>
      </c>
      <c r="M35" s="8">
        <v>115.0</v>
      </c>
      <c r="N35" s="8">
        <v>153.0</v>
      </c>
      <c r="O35" s="8">
        <v>391.0</v>
      </c>
      <c r="P35" s="8">
        <v>391.0</v>
      </c>
      <c r="Q35" s="8">
        <v>388.0</v>
      </c>
      <c r="R35" s="18">
        <f t="shared" ref="R35:T35" si="69">(L35/F35)*1000000</f>
        <v>92.72561527</v>
      </c>
      <c r="S35" s="18">
        <f t="shared" si="69"/>
        <v>135.5409617</v>
      </c>
      <c r="T35" s="18">
        <f t="shared" si="69"/>
        <v>179.6689863</v>
      </c>
      <c r="U35" s="18">
        <f t="shared" si="4"/>
        <v>135.9785211</v>
      </c>
      <c r="V35" s="18">
        <f t="shared" ref="V35:X35" si="70">(O35/I35)*1000000</f>
        <v>444.5222579</v>
      </c>
      <c r="W35" s="18">
        <f t="shared" si="70"/>
        <v>442.9535828</v>
      </c>
      <c r="X35" s="18">
        <f t="shared" si="70"/>
        <v>438.0097649</v>
      </c>
      <c r="Y35" s="18">
        <f t="shared" si="6"/>
        <v>441.8285352</v>
      </c>
    </row>
    <row r="36" ht="14.25" customHeight="1">
      <c r="A36" s="7" t="s">
        <v>78</v>
      </c>
      <c r="B36" s="7" t="s">
        <v>85</v>
      </c>
      <c r="C36" s="7" t="s">
        <v>86</v>
      </c>
      <c r="D36" s="7" t="s">
        <v>86</v>
      </c>
      <c r="E36" s="8">
        <v>20201.0</v>
      </c>
      <c r="F36" s="8">
        <v>46041.0</v>
      </c>
      <c r="G36" s="8">
        <v>46058.0</v>
      </c>
      <c r="H36" s="8">
        <v>46158.0</v>
      </c>
      <c r="I36" s="8">
        <v>47057.0</v>
      </c>
      <c r="J36" s="8">
        <v>47157.0</v>
      </c>
      <c r="K36" s="8">
        <v>47257.0</v>
      </c>
      <c r="L36" s="8">
        <v>13.0</v>
      </c>
      <c r="M36" s="8">
        <v>12.0</v>
      </c>
      <c r="N36" s="8">
        <v>41.0</v>
      </c>
      <c r="O36" s="8">
        <v>8.0</v>
      </c>
      <c r="P36" s="8">
        <v>6.0</v>
      </c>
      <c r="Q36" s="8">
        <v>8.0</v>
      </c>
      <c r="R36" s="18">
        <f t="shared" ref="R36:T36" si="71">(L36/F36)*1000000</f>
        <v>282.3570296</v>
      </c>
      <c r="S36" s="18">
        <f t="shared" si="71"/>
        <v>260.5410569</v>
      </c>
      <c r="T36" s="18">
        <f t="shared" si="71"/>
        <v>888.2533905</v>
      </c>
      <c r="U36" s="18">
        <f t="shared" si="4"/>
        <v>477.0504924</v>
      </c>
      <c r="V36" s="18">
        <f t="shared" ref="V36:X36" si="72">(O36/I36)*1000000</f>
        <v>170.0065878</v>
      </c>
      <c r="W36" s="18">
        <f t="shared" si="72"/>
        <v>127.2345569</v>
      </c>
      <c r="X36" s="18">
        <f t="shared" si="72"/>
        <v>169.2870897</v>
      </c>
      <c r="Y36" s="18">
        <f t="shared" si="6"/>
        <v>155.5094115</v>
      </c>
    </row>
    <row r="37" ht="14.25" customHeight="1">
      <c r="A37" s="7" t="s">
        <v>78</v>
      </c>
      <c r="B37" s="7" t="s">
        <v>85</v>
      </c>
      <c r="C37" s="7" t="s">
        <v>87</v>
      </c>
      <c r="D37" s="7" t="s">
        <v>544</v>
      </c>
      <c r="E37" s="8">
        <v>20202.0</v>
      </c>
      <c r="F37" s="8">
        <v>13324.0</v>
      </c>
      <c r="G37" s="8">
        <v>13136.0</v>
      </c>
      <c r="H37" s="8">
        <v>13454.0</v>
      </c>
      <c r="I37" s="8">
        <v>16317.0</v>
      </c>
      <c r="J37" s="8">
        <v>16635.0</v>
      </c>
      <c r="K37" s="8">
        <v>16953.0</v>
      </c>
      <c r="L37" s="8">
        <v>0.0</v>
      </c>
      <c r="M37" s="8">
        <v>0.0</v>
      </c>
      <c r="N37" s="8">
        <v>0.0</v>
      </c>
      <c r="O37" s="8">
        <v>0.0</v>
      </c>
      <c r="P37" s="8">
        <v>2.0</v>
      </c>
      <c r="Q37" s="8">
        <v>0.0</v>
      </c>
      <c r="R37" s="18">
        <f t="shared" ref="R37:T37" si="73">(L37/F37)*1000000</f>
        <v>0</v>
      </c>
      <c r="S37" s="18">
        <f t="shared" si="73"/>
        <v>0</v>
      </c>
      <c r="T37" s="18">
        <f t="shared" si="73"/>
        <v>0</v>
      </c>
      <c r="U37" s="18">
        <f t="shared" si="4"/>
        <v>0</v>
      </c>
      <c r="V37" s="18">
        <f t="shared" ref="V37:X37" si="74">(O37/I37)*1000000</f>
        <v>0</v>
      </c>
      <c r="W37" s="18">
        <f t="shared" si="74"/>
        <v>120.228434</v>
      </c>
      <c r="X37" s="18">
        <f t="shared" si="74"/>
        <v>0</v>
      </c>
      <c r="Y37" s="18">
        <f t="shared" si="6"/>
        <v>40.07614467</v>
      </c>
    </row>
    <row r="38" ht="14.25" customHeight="1">
      <c r="A38" s="7" t="s">
        <v>78</v>
      </c>
      <c r="B38" s="7" t="s">
        <v>85</v>
      </c>
      <c r="C38" s="7" t="s">
        <v>88</v>
      </c>
      <c r="D38" s="7" t="s">
        <v>88</v>
      </c>
      <c r="E38" s="8">
        <v>20203.0</v>
      </c>
      <c r="F38" s="8">
        <v>5052.0</v>
      </c>
      <c r="G38" s="8">
        <v>5003.0</v>
      </c>
      <c r="H38" s="8">
        <v>5188.0</v>
      </c>
      <c r="I38" s="8">
        <v>6856.0</v>
      </c>
      <c r="J38" s="8">
        <v>7041.0</v>
      </c>
      <c r="K38" s="8">
        <v>7226.0</v>
      </c>
      <c r="L38" s="8">
        <v>0.0</v>
      </c>
      <c r="M38" s="8">
        <v>0.0</v>
      </c>
      <c r="N38" s="8">
        <v>0.0</v>
      </c>
      <c r="O38" s="8">
        <v>0.0</v>
      </c>
      <c r="P38" s="8">
        <v>0.0</v>
      </c>
      <c r="Q38" s="8">
        <v>0.0</v>
      </c>
      <c r="R38" s="18">
        <f t="shared" ref="R38:T38" si="75">(L38/F38)*1000000</f>
        <v>0</v>
      </c>
      <c r="S38" s="18">
        <f t="shared" si="75"/>
        <v>0</v>
      </c>
      <c r="T38" s="18">
        <f t="shared" si="75"/>
        <v>0</v>
      </c>
      <c r="U38" s="18">
        <f t="shared" si="4"/>
        <v>0</v>
      </c>
      <c r="V38" s="18">
        <f t="shared" ref="V38:X38" si="76">(O38/I38)*1000000</f>
        <v>0</v>
      </c>
      <c r="W38" s="18">
        <f t="shared" si="76"/>
        <v>0</v>
      </c>
      <c r="X38" s="18">
        <f t="shared" si="76"/>
        <v>0</v>
      </c>
      <c r="Y38" s="18">
        <f t="shared" si="6"/>
        <v>0</v>
      </c>
    </row>
    <row r="39" ht="14.25" customHeight="1">
      <c r="A39" s="7" t="s">
        <v>78</v>
      </c>
      <c r="B39" s="7" t="s">
        <v>85</v>
      </c>
      <c r="C39" s="7" t="s">
        <v>89</v>
      </c>
      <c r="D39" s="7" t="s">
        <v>89</v>
      </c>
      <c r="E39" s="8">
        <v>20204.0</v>
      </c>
      <c r="F39" s="8">
        <v>7979.0</v>
      </c>
      <c r="G39" s="8">
        <v>7948.0</v>
      </c>
      <c r="H39" s="8">
        <v>8009.0</v>
      </c>
      <c r="I39" s="8">
        <v>8557.0</v>
      </c>
      <c r="J39" s="8">
        <v>8618.0</v>
      </c>
      <c r="K39" s="8">
        <v>8679.0</v>
      </c>
      <c r="L39" s="8">
        <v>0.0</v>
      </c>
      <c r="M39" s="8">
        <v>0.0</v>
      </c>
      <c r="N39" s="8">
        <v>0.0</v>
      </c>
      <c r="O39" s="8">
        <v>0.0</v>
      </c>
      <c r="P39" s="8">
        <v>0.0</v>
      </c>
      <c r="Q39" s="8">
        <v>0.0</v>
      </c>
      <c r="R39" s="18">
        <f t="shared" ref="R39:T39" si="77">(L39/F39)*1000000</f>
        <v>0</v>
      </c>
      <c r="S39" s="18">
        <f t="shared" si="77"/>
        <v>0</v>
      </c>
      <c r="T39" s="18">
        <f t="shared" si="77"/>
        <v>0</v>
      </c>
      <c r="U39" s="18">
        <f t="shared" si="4"/>
        <v>0</v>
      </c>
      <c r="V39" s="18">
        <f t="shared" ref="V39:X39" si="78">(O39/I39)*1000000</f>
        <v>0</v>
      </c>
      <c r="W39" s="18">
        <f t="shared" si="78"/>
        <v>0</v>
      </c>
      <c r="X39" s="18">
        <f t="shared" si="78"/>
        <v>0</v>
      </c>
      <c r="Y39" s="18">
        <f t="shared" si="6"/>
        <v>0</v>
      </c>
    </row>
    <row r="40" ht="14.25" customHeight="1">
      <c r="A40" s="7" t="s">
        <v>78</v>
      </c>
      <c r="B40" s="7" t="s">
        <v>85</v>
      </c>
      <c r="C40" s="7" t="s">
        <v>91</v>
      </c>
      <c r="D40" s="7" t="s">
        <v>91</v>
      </c>
      <c r="E40" s="8">
        <v>20205.0</v>
      </c>
      <c r="F40" s="8">
        <v>8498.0</v>
      </c>
      <c r="G40" s="8">
        <v>8562.0</v>
      </c>
      <c r="H40" s="8">
        <v>8622.0</v>
      </c>
      <c r="I40" s="8">
        <v>9166.0</v>
      </c>
      <c r="J40" s="8">
        <v>9227.0</v>
      </c>
      <c r="K40" s="8">
        <v>9287.0</v>
      </c>
      <c r="L40" s="8">
        <v>0.0</v>
      </c>
      <c r="M40" s="8">
        <v>0.0</v>
      </c>
      <c r="N40" s="8">
        <v>0.0</v>
      </c>
      <c r="O40" s="8">
        <v>0.0</v>
      </c>
      <c r="P40" s="8">
        <v>0.0</v>
      </c>
      <c r="Q40" s="8">
        <v>0.0</v>
      </c>
      <c r="R40" s="18">
        <f t="shared" ref="R40:T40" si="79">(L40/F40)*1000000</f>
        <v>0</v>
      </c>
      <c r="S40" s="18">
        <f t="shared" si="79"/>
        <v>0</v>
      </c>
      <c r="T40" s="18">
        <f t="shared" si="79"/>
        <v>0</v>
      </c>
      <c r="U40" s="18">
        <f t="shared" si="4"/>
        <v>0</v>
      </c>
      <c r="V40" s="18">
        <f t="shared" ref="V40:X40" si="80">(O40/I40)*1000000</f>
        <v>0</v>
      </c>
      <c r="W40" s="18">
        <f t="shared" si="80"/>
        <v>0</v>
      </c>
      <c r="X40" s="18">
        <f t="shared" si="80"/>
        <v>0</v>
      </c>
      <c r="Y40" s="18">
        <f t="shared" si="6"/>
        <v>0</v>
      </c>
    </row>
    <row r="41" ht="14.25" customHeight="1">
      <c r="A41" s="7" t="s">
        <v>78</v>
      </c>
      <c r="B41" s="7" t="s">
        <v>85</v>
      </c>
      <c r="C41" s="7" t="s">
        <v>92</v>
      </c>
      <c r="D41" s="7" t="s">
        <v>92</v>
      </c>
      <c r="E41" s="8">
        <v>20206.0</v>
      </c>
      <c r="F41" s="8">
        <v>3825.0</v>
      </c>
      <c r="G41" s="8">
        <v>3927.0</v>
      </c>
      <c r="H41" s="8">
        <v>4026.0</v>
      </c>
      <c r="I41" s="8">
        <v>4920.0</v>
      </c>
      <c r="J41" s="8">
        <v>5019.0</v>
      </c>
      <c r="K41" s="8">
        <v>5118.0</v>
      </c>
      <c r="L41" s="8">
        <v>0.0</v>
      </c>
      <c r="M41" s="8">
        <v>0.0</v>
      </c>
      <c r="N41" s="8">
        <v>0.0</v>
      </c>
      <c r="O41" s="8">
        <v>0.0</v>
      </c>
      <c r="P41" s="8">
        <v>0.0</v>
      </c>
      <c r="Q41" s="8">
        <v>0.0</v>
      </c>
      <c r="R41" s="18">
        <f t="shared" ref="R41:T41" si="81">(L41/F41)*1000000</f>
        <v>0</v>
      </c>
      <c r="S41" s="18">
        <f t="shared" si="81"/>
        <v>0</v>
      </c>
      <c r="T41" s="18">
        <f t="shared" si="81"/>
        <v>0</v>
      </c>
      <c r="U41" s="18">
        <f t="shared" si="4"/>
        <v>0</v>
      </c>
      <c r="V41" s="18">
        <f t="shared" ref="V41:X41" si="82">(O41/I41)*1000000</f>
        <v>0</v>
      </c>
      <c r="W41" s="18">
        <f t="shared" si="82"/>
        <v>0</v>
      </c>
      <c r="X41" s="18">
        <f t="shared" si="82"/>
        <v>0</v>
      </c>
      <c r="Y41" s="18">
        <f t="shared" si="6"/>
        <v>0</v>
      </c>
    </row>
    <row r="42" ht="14.25" customHeight="1">
      <c r="A42" s="7" t="s">
        <v>78</v>
      </c>
      <c r="B42" s="7" t="s">
        <v>94</v>
      </c>
      <c r="C42" s="7" t="s">
        <v>95</v>
      </c>
      <c r="D42" s="7" t="s">
        <v>545</v>
      </c>
      <c r="E42" s="8">
        <v>20301.0</v>
      </c>
      <c r="F42" s="8">
        <v>10753.0</v>
      </c>
      <c r="G42" s="8">
        <v>10647.0</v>
      </c>
      <c r="H42" s="8">
        <v>10889.0</v>
      </c>
      <c r="I42" s="8">
        <v>13067.0</v>
      </c>
      <c r="J42" s="8">
        <v>13309.0</v>
      </c>
      <c r="K42" s="8">
        <v>13551.0</v>
      </c>
      <c r="L42" s="8">
        <v>0.0</v>
      </c>
      <c r="M42" s="8">
        <v>0.0</v>
      </c>
      <c r="N42" s="8">
        <v>0.0</v>
      </c>
      <c r="O42" s="8">
        <v>1.0</v>
      </c>
      <c r="P42" s="8">
        <v>0.0</v>
      </c>
      <c r="Q42" s="8">
        <v>1.0</v>
      </c>
      <c r="R42" s="18">
        <f t="shared" ref="R42:T42" si="83">(L42/F42)*1000000</f>
        <v>0</v>
      </c>
      <c r="S42" s="18">
        <f t="shared" si="83"/>
        <v>0</v>
      </c>
      <c r="T42" s="18">
        <f t="shared" si="83"/>
        <v>0</v>
      </c>
      <c r="U42" s="18">
        <f t="shared" si="4"/>
        <v>0</v>
      </c>
      <c r="V42" s="18">
        <f t="shared" ref="V42:X42" si="84">(O42/I42)*1000000</f>
        <v>76.52865998</v>
      </c>
      <c r="W42" s="18">
        <f t="shared" si="84"/>
        <v>0</v>
      </c>
      <c r="X42" s="18">
        <f t="shared" si="84"/>
        <v>73.79529186</v>
      </c>
      <c r="Y42" s="18">
        <f t="shared" si="6"/>
        <v>50.10798395</v>
      </c>
    </row>
    <row r="43" ht="14.25" customHeight="1">
      <c r="A43" s="7" t="s">
        <v>78</v>
      </c>
      <c r="B43" s="7" t="s">
        <v>94</v>
      </c>
      <c r="C43" s="7" t="s">
        <v>96</v>
      </c>
      <c r="D43" s="7" t="s">
        <v>96</v>
      </c>
      <c r="E43" s="8">
        <v>20302.0</v>
      </c>
      <c r="F43" s="8">
        <v>14434.0</v>
      </c>
      <c r="G43" s="8">
        <v>14687.0</v>
      </c>
      <c r="H43" s="8">
        <v>14761.0</v>
      </c>
      <c r="I43" s="8">
        <v>15423.0</v>
      </c>
      <c r="J43" s="8">
        <v>15496.0</v>
      </c>
      <c r="K43" s="8">
        <v>15570.0</v>
      </c>
      <c r="L43" s="8">
        <v>0.0</v>
      </c>
      <c r="M43" s="8">
        <v>0.0</v>
      </c>
      <c r="N43" s="8">
        <v>0.0</v>
      </c>
      <c r="O43" s="8">
        <v>0.0</v>
      </c>
      <c r="P43" s="8">
        <v>0.0</v>
      </c>
      <c r="Q43" s="8">
        <v>0.0</v>
      </c>
      <c r="R43" s="18">
        <f t="shared" ref="R43:T43" si="85">(L43/F43)*1000000</f>
        <v>0</v>
      </c>
      <c r="S43" s="18">
        <f t="shared" si="85"/>
        <v>0</v>
      </c>
      <c r="T43" s="18">
        <f t="shared" si="85"/>
        <v>0</v>
      </c>
      <c r="U43" s="18">
        <f t="shared" si="4"/>
        <v>0</v>
      </c>
      <c r="V43" s="18">
        <f t="shared" ref="V43:X43" si="86">(O43/I43)*1000000</f>
        <v>0</v>
      </c>
      <c r="W43" s="18">
        <f t="shared" si="86"/>
        <v>0</v>
      </c>
      <c r="X43" s="18">
        <f t="shared" si="86"/>
        <v>0</v>
      </c>
      <c r="Y43" s="18">
        <f t="shared" si="6"/>
        <v>0</v>
      </c>
    </row>
    <row r="44" ht="14.25" customHeight="1">
      <c r="A44" s="7" t="s">
        <v>78</v>
      </c>
      <c r="B44" s="7" t="s">
        <v>94</v>
      </c>
      <c r="C44" s="7" t="s">
        <v>98</v>
      </c>
      <c r="D44" s="7" t="s">
        <v>98</v>
      </c>
      <c r="E44" s="8">
        <v>20303.0</v>
      </c>
      <c r="F44" s="8">
        <v>9783.0</v>
      </c>
      <c r="G44" s="8">
        <v>9879.0</v>
      </c>
      <c r="H44" s="8">
        <v>10074.0</v>
      </c>
      <c r="I44" s="8">
        <v>11829.0</v>
      </c>
      <c r="J44" s="8">
        <v>12024.0</v>
      </c>
      <c r="K44" s="8">
        <v>12219.0</v>
      </c>
      <c r="L44" s="8">
        <v>0.0</v>
      </c>
      <c r="M44" s="8">
        <v>0.0</v>
      </c>
      <c r="N44" s="8">
        <v>0.0</v>
      </c>
      <c r="O44" s="8">
        <v>1.0</v>
      </c>
      <c r="P44" s="8">
        <v>0.0</v>
      </c>
      <c r="Q44" s="8">
        <v>0.0</v>
      </c>
      <c r="R44" s="18">
        <f t="shared" ref="R44:T44" si="87">(L44/F44)*1000000</f>
        <v>0</v>
      </c>
      <c r="S44" s="18">
        <f t="shared" si="87"/>
        <v>0</v>
      </c>
      <c r="T44" s="18">
        <f t="shared" si="87"/>
        <v>0</v>
      </c>
      <c r="U44" s="18">
        <f t="shared" si="4"/>
        <v>0</v>
      </c>
      <c r="V44" s="18">
        <f t="shared" ref="V44:X44" si="88">(O44/I44)*1000000</f>
        <v>84.53799983</v>
      </c>
      <c r="W44" s="18">
        <f t="shared" si="88"/>
        <v>0</v>
      </c>
      <c r="X44" s="18">
        <f t="shared" si="88"/>
        <v>0</v>
      </c>
      <c r="Y44" s="18">
        <f t="shared" si="6"/>
        <v>28.17933328</v>
      </c>
    </row>
    <row r="45" ht="14.25" customHeight="1">
      <c r="A45" s="7" t="s">
        <v>78</v>
      </c>
      <c r="B45" s="7" t="s">
        <v>94</v>
      </c>
      <c r="C45" s="7" t="s">
        <v>99</v>
      </c>
      <c r="D45" s="7" t="s">
        <v>99</v>
      </c>
      <c r="E45" s="8">
        <v>20304.0</v>
      </c>
      <c r="F45" s="8">
        <v>3878.0</v>
      </c>
      <c r="G45" s="8">
        <v>3880.0</v>
      </c>
      <c r="H45" s="8">
        <v>3993.0</v>
      </c>
      <c r="I45" s="8">
        <v>5012.0</v>
      </c>
      <c r="J45" s="8">
        <v>5125.0</v>
      </c>
      <c r="K45" s="8">
        <v>5238.0</v>
      </c>
      <c r="L45" s="8">
        <v>0.0</v>
      </c>
      <c r="M45" s="8">
        <v>0.0</v>
      </c>
      <c r="N45" s="8">
        <v>0.0</v>
      </c>
      <c r="O45" s="8">
        <v>1.0</v>
      </c>
      <c r="P45" s="8">
        <v>0.0</v>
      </c>
      <c r="Q45" s="8">
        <v>1.0</v>
      </c>
      <c r="R45" s="18">
        <f t="shared" ref="R45:T45" si="89">(L45/F45)*1000000</f>
        <v>0</v>
      </c>
      <c r="S45" s="18">
        <f t="shared" si="89"/>
        <v>0</v>
      </c>
      <c r="T45" s="18">
        <f t="shared" si="89"/>
        <v>0</v>
      </c>
      <c r="U45" s="18">
        <f t="shared" si="4"/>
        <v>0</v>
      </c>
      <c r="V45" s="18">
        <f t="shared" ref="V45:X45" si="90">(O45/I45)*1000000</f>
        <v>199.5211492</v>
      </c>
      <c r="W45" s="18">
        <f t="shared" si="90"/>
        <v>0</v>
      </c>
      <c r="X45" s="18">
        <f t="shared" si="90"/>
        <v>190.912562</v>
      </c>
      <c r="Y45" s="18">
        <f t="shared" si="6"/>
        <v>130.1445704</v>
      </c>
    </row>
    <row r="46" ht="14.25" customHeight="1">
      <c r="A46" s="7" t="s">
        <v>78</v>
      </c>
      <c r="B46" s="7" t="s">
        <v>94</v>
      </c>
      <c r="C46" s="7" t="s">
        <v>101</v>
      </c>
      <c r="D46" s="7" t="s">
        <v>101</v>
      </c>
      <c r="E46" s="8">
        <v>20305.0</v>
      </c>
      <c r="F46" s="8">
        <v>3202.0</v>
      </c>
      <c r="G46" s="8">
        <v>3246.0</v>
      </c>
      <c r="H46" s="8">
        <v>3327.0</v>
      </c>
      <c r="I46" s="8">
        <v>4059.0</v>
      </c>
      <c r="J46" s="8">
        <v>4140.0</v>
      </c>
      <c r="K46" s="8">
        <v>4221.0</v>
      </c>
      <c r="L46" s="8">
        <v>0.0</v>
      </c>
      <c r="M46" s="8">
        <v>0.0</v>
      </c>
      <c r="N46" s="8">
        <v>0.0</v>
      </c>
      <c r="O46" s="8">
        <v>0.0</v>
      </c>
      <c r="P46" s="8">
        <v>0.0</v>
      </c>
      <c r="Q46" s="8">
        <v>0.0</v>
      </c>
      <c r="R46" s="18">
        <f t="shared" ref="R46:T46" si="91">(L46/F46)*1000000</f>
        <v>0</v>
      </c>
      <c r="S46" s="18">
        <f t="shared" si="91"/>
        <v>0</v>
      </c>
      <c r="T46" s="18">
        <f t="shared" si="91"/>
        <v>0</v>
      </c>
      <c r="U46" s="18">
        <f t="shared" si="4"/>
        <v>0</v>
      </c>
      <c r="V46" s="18">
        <f t="shared" ref="V46:X46" si="92">(O46/I46)*1000000</f>
        <v>0</v>
      </c>
      <c r="W46" s="18">
        <f t="shared" si="92"/>
        <v>0</v>
      </c>
      <c r="X46" s="18">
        <f t="shared" si="92"/>
        <v>0</v>
      </c>
      <c r="Y46" s="18">
        <f t="shared" si="6"/>
        <v>0</v>
      </c>
    </row>
    <row r="47" ht="14.25" customHeight="1">
      <c r="A47" s="7" t="s">
        <v>78</v>
      </c>
      <c r="B47" s="7" t="s">
        <v>94</v>
      </c>
      <c r="C47" s="7" t="s">
        <v>103</v>
      </c>
      <c r="D47" s="7" t="s">
        <v>103</v>
      </c>
      <c r="E47" s="8">
        <v>20306.0</v>
      </c>
      <c r="F47" s="8">
        <v>4759.0</v>
      </c>
      <c r="G47" s="8">
        <v>5069.0</v>
      </c>
      <c r="H47" s="8">
        <v>5183.0</v>
      </c>
      <c r="I47" s="8">
        <v>6213.0</v>
      </c>
      <c r="J47" s="8">
        <v>6328.0</v>
      </c>
      <c r="K47" s="8">
        <v>6442.0</v>
      </c>
      <c r="L47" s="8">
        <v>0.0</v>
      </c>
      <c r="M47" s="8">
        <v>0.0</v>
      </c>
      <c r="N47" s="8">
        <v>0.0</v>
      </c>
      <c r="O47" s="8">
        <v>0.0</v>
      </c>
      <c r="P47" s="8">
        <v>0.0</v>
      </c>
      <c r="Q47" s="8">
        <v>0.0</v>
      </c>
      <c r="R47" s="18">
        <f t="shared" ref="R47:T47" si="93">(L47/F47)*1000000</f>
        <v>0</v>
      </c>
      <c r="S47" s="18">
        <f t="shared" si="93"/>
        <v>0</v>
      </c>
      <c r="T47" s="18">
        <f t="shared" si="93"/>
        <v>0</v>
      </c>
      <c r="U47" s="18">
        <f t="shared" si="4"/>
        <v>0</v>
      </c>
      <c r="V47" s="18">
        <f t="shared" ref="V47:X47" si="94">(O47/I47)*1000000</f>
        <v>0</v>
      </c>
      <c r="W47" s="18">
        <f t="shared" si="94"/>
        <v>0</v>
      </c>
      <c r="X47" s="18">
        <f t="shared" si="94"/>
        <v>0</v>
      </c>
      <c r="Y47" s="18">
        <f t="shared" si="6"/>
        <v>0</v>
      </c>
    </row>
    <row r="48" ht="14.25" customHeight="1">
      <c r="A48" s="7" t="s">
        <v>78</v>
      </c>
      <c r="B48" s="7" t="s">
        <v>94</v>
      </c>
      <c r="C48" s="7" t="s">
        <v>104</v>
      </c>
      <c r="D48" s="7" t="s">
        <v>104</v>
      </c>
      <c r="E48" s="8">
        <v>20307.0</v>
      </c>
      <c r="F48" s="8">
        <v>587.0</v>
      </c>
      <c r="G48" s="8">
        <v>619.0</v>
      </c>
      <c r="H48" s="8">
        <v>903.0</v>
      </c>
      <c r="I48" s="8">
        <v>3455.0</v>
      </c>
      <c r="J48" s="8">
        <v>3738.0</v>
      </c>
      <c r="K48" s="8">
        <v>4022.0</v>
      </c>
      <c r="L48" s="8">
        <v>0.0</v>
      </c>
      <c r="M48" s="8">
        <v>0.0</v>
      </c>
      <c r="N48" s="8">
        <v>0.0</v>
      </c>
      <c r="O48" s="8">
        <v>0.0</v>
      </c>
      <c r="P48" s="8">
        <v>0.0</v>
      </c>
      <c r="Q48" s="8">
        <v>1.0</v>
      </c>
      <c r="R48" s="18">
        <f t="shared" ref="R48:T48" si="95">(L48/F48)*1000000</f>
        <v>0</v>
      </c>
      <c r="S48" s="18">
        <f t="shared" si="95"/>
        <v>0</v>
      </c>
      <c r="T48" s="18">
        <f t="shared" si="95"/>
        <v>0</v>
      </c>
      <c r="U48" s="18">
        <f t="shared" si="4"/>
        <v>0</v>
      </c>
      <c r="V48" s="18">
        <f t="shared" ref="V48:X48" si="96">(O48/I48)*1000000</f>
        <v>0</v>
      </c>
      <c r="W48" s="18">
        <f t="shared" si="96"/>
        <v>0</v>
      </c>
      <c r="X48" s="18">
        <f t="shared" si="96"/>
        <v>248.6325211</v>
      </c>
      <c r="Y48" s="18">
        <f t="shared" si="6"/>
        <v>82.87750704</v>
      </c>
    </row>
    <row r="49" ht="14.25" customHeight="1">
      <c r="A49" s="7" t="s">
        <v>78</v>
      </c>
      <c r="B49" s="7" t="s">
        <v>94</v>
      </c>
      <c r="C49" s="7" t="s">
        <v>105</v>
      </c>
      <c r="D49" s="7" t="s">
        <v>105</v>
      </c>
      <c r="E49" s="8">
        <v>20308.0</v>
      </c>
      <c r="F49" s="8">
        <v>7363.0</v>
      </c>
      <c r="G49" s="8">
        <v>7289.0</v>
      </c>
      <c r="H49" s="8">
        <v>7351.0</v>
      </c>
      <c r="I49" s="8">
        <v>7912.0</v>
      </c>
      <c r="J49" s="8">
        <v>7975.0</v>
      </c>
      <c r="K49" s="8">
        <v>8037.0</v>
      </c>
      <c r="L49" s="8">
        <v>0.0</v>
      </c>
      <c r="M49" s="8">
        <v>0.0</v>
      </c>
      <c r="N49" s="8">
        <v>0.0</v>
      </c>
      <c r="O49" s="8">
        <v>1.0</v>
      </c>
      <c r="P49" s="8">
        <v>0.0</v>
      </c>
      <c r="Q49" s="8">
        <v>1.0</v>
      </c>
      <c r="R49" s="18">
        <f t="shared" ref="R49:T49" si="97">(L49/F49)*1000000</f>
        <v>0</v>
      </c>
      <c r="S49" s="18">
        <f t="shared" si="97"/>
        <v>0</v>
      </c>
      <c r="T49" s="18">
        <f t="shared" si="97"/>
        <v>0</v>
      </c>
      <c r="U49" s="18">
        <f t="shared" si="4"/>
        <v>0</v>
      </c>
      <c r="V49" s="18">
        <f t="shared" ref="V49:X49" si="98">(O49/I49)*1000000</f>
        <v>126.3902932</v>
      </c>
      <c r="W49" s="18">
        <f t="shared" si="98"/>
        <v>0</v>
      </c>
      <c r="X49" s="18">
        <f t="shared" si="98"/>
        <v>124.4245365</v>
      </c>
      <c r="Y49" s="18">
        <f t="shared" si="6"/>
        <v>83.60494325</v>
      </c>
    </row>
    <row r="50" ht="14.25" customHeight="1">
      <c r="A50" s="7" t="s">
        <v>78</v>
      </c>
      <c r="B50" s="7" t="s">
        <v>107</v>
      </c>
      <c r="C50" s="7" t="s">
        <v>108</v>
      </c>
      <c r="D50" s="7" t="s">
        <v>108</v>
      </c>
      <c r="E50" s="8">
        <v>20401.0</v>
      </c>
      <c r="F50" s="8">
        <v>11453.0</v>
      </c>
      <c r="G50" s="8">
        <v>11290.0</v>
      </c>
      <c r="H50" s="8">
        <v>11517.0</v>
      </c>
      <c r="I50" s="8">
        <v>13558.0</v>
      </c>
      <c r="J50" s="8">
        <v>13785.0</v>
      </c>
      <c r="K50" s="8">
        <v>14012.0</v>
      </c>
      <c r="L50" s="8">
        <v>0.0</v>
      </c>
      <c r="M50" s="8">
        <v>0.0</v>
      </c>
      <c r="N50" s="8">
        <v>0.0</v>
      </c>
      <c r="O50" s="8">
        <v>4.0</v>
      </c>
      <c r="P50" s="8">
        <v>0.0</v>
      </c>
      <c r="Q50" s="8">
        <v>1.0</v>
      </c>
      <c r="R50" s="18">
        <f t="shared" ref="R50:T50" si="99">(L50/F50)*1000000</f>
        <v>0</v>
      </c>
      <c r="S50" s="18">
        <f t="shared" si="99"/>
        <v>0</v>
      </c>
      <c r="T50" s="18">
        <f t="shared" si="99"/>
        <v>0</v>
      </c>
      <c r="U50" s="18">
        <f t="shared" si="4"/>
        <v>0</v>
      </c>
      <c r="V50" s="18">
        <f t="shared" ref="V50:X50" si="100">(O50/I50)*1000000</f>
        <v>295.0287653</v>
      </c>
      <c r="W50" s="18">
        <f t="shared" si="100"/>
        <v>0</v>
      </c>
      <c r="X50" s="18">
        <f t="shared" si="100"/>
        <v>71.36739937</v>
      </c>
      <c r="Y50" s="18">
        <f t="shared" si="6"/>
        <v>122.1320549</v>
      </c>
    </row>
    <row r="51" ht="14.25" customHeight="1">
      <c r="A51" s="7" t="s">
        <v>78</v>
      </c>
      <c r="B51" s="7" t="s">
        <v>107</v>
      </c>
      <c r="C51" s="7" t="s">
        <v>110</v>
      </c>
      <c r="D51" s="7" t="s">
        <v>110</v>
      </c>
      <c r="E51" s="8">
        <v>20402.0</v>
      </c>
      <c r="F51" s="8">
        <v>15808.0</v>
      </c>
      <c r="G51" s="8">
        <v>15665.0</v>
      </c>
      <c r="H51" s="8">
        <v>15844.0</v>
      </c>
      <c r="I51" s="8">
        <v>17453.0</v>
      </c>
      <c r="J51" s="8">
        <v>17632.0</v>
      </c>
      <c r="K51" s="8">
        <v>17811.0</v>
      </c>
      <c r="L51" s="8">
        <v>0.0</v>
      </c>
      <c r="M51" s="8">
        <v>0.0</v>
      </c>
      <c r="N51" s="8">
        <v>0.0</v>
      </c>
      <c r="O51" s="8">
        <v>0.0</v>
      </c>
      <c r="P51" s="8">
        <v>2.0</v>
      </c>
      <c r="Q51" s="8">
        <v>0.0</v>
      </c>
      <c r="R51" s="18">
        <f t="shared" ref="R51:T51" si="101">(L51/F51)*1000000</f>
        <v>0</v>
      </c>
      <c r="S51" s="18">
        <f t="shared" si="101"/>
        <v>0</v>
      </c>
      <c r="T51" s="18">
        <f t="shared" si="101"/>
        <v>0</v>
      </c>
      <c r="U51" s="18">
        <f t="shared" si="4"/>
        <v>0</v>
      </c>
      <c r="V51" s="18">
        <f t="shared" ref="V51:X51" si="102">(O51/I51)*1000000</f>
        <v>0</v>
      </c>
      <c r="W51" s="18">
        <f t="shared" si="102"/>
        <v>113.430127</v>
      </c>
      <c r="X51" s="18">
        <f t="shared" si="102"/>
        <v>0</v>
      </c>
      <c r="Y51" s="18">
        <f t="shared" si="6"/>
        <v>37.81004235</v>
      </c>
    </row>
    <row r="52" ht="14.25" customHeight="1">
      <c r="A52" s="7" t="s">
        <v>78</v>
      </c>
      <c r="B52" s="7" t="s">
        <v>107</v>
      </c>
      <c r="C52" s="7" t="s">
        <v>112</v>
      </c>
      <c r="D52" s="7" t="s">
        <v>546</v>
      </c>
      <c r="E52" s="8">
        <v>20403.0</v>
      </c>
      <c r="F52" s="8">
        <v>14601.0</v>
      </c>
      <c r="G52" s="8">
        <v>14589.0</v>
      </c>
      <c r="H52" s="8">
        <v>14818.0</v>
      </c>
      <c r="I52" s="8">
        <v>16878.0</v>
      </c>
      <c r="J52" s="8">
        <v>17107.0</v>
      </c>
      <c r="K52" s="8">
        <v>17336.0</v>
      </c>
      <c r="L52" s="8">
        <v>0.0</v>
      </c>
      <c r="M52" s="8">
        <v>0.0</v>
      </c>
      <c r="N52" s="8">
        <v>0.0</v>
      </c>
      <c r="O52" s="8">
        <v>0.0</v>
      </c>
      <c r="P52" s="8">
        <v>1.0</v>
      </c>
      <c r="Q52" s="8">
        <v>1.0</v>
      </c>
      <c r="R52" s="18">
        <f t="shared" ref="R52:T52" si="103">(L52/F52)*1000000</f>
        <v>0</v>
      </c>
      <c r="S52" s="18">
        <f t="shared" si="103"/>
        <v>0</v>
      </c>
      <c r="T52" s="18">
        <f t="shared" si="103"/>
        <v>0</v>
      </c>
      <c r="U52" s="18">
        <f t="shared" si="4"/>
        <v>0</v>
      </c>
      <c r="V52" s="18">
        <f t="shared" ref="V52:X52" si="104">(O52/I52)*1000000</f>
        <v>0</v>
      </c>
      <c r="W52" s="18">
        <f t="shared" si="104"/>
        <v>58.45560297</v>
      </c>
      <c r="X52" s="18">
        <f t="shared" si="104"/>
        <v>57.68343332</v>
      </c>
      <c r="Y52" s="18">
        <f t="shared" si="6"/>
        <v>38.7130121</v>
      </c>
    </row>
    <row r="53" ht="14.25" customHeight="1">
      <c r="A53" s="7" t="s">
        <v>78</v>
      </c>
      <c r="B53" s="7" t="s">
        <v>107</v>
      </c>
      <c r="C53" s="7" t="s">
        <v>114</v>
      </c>
      <c r="D53" s="7" t="s">
        <v>114</v>
      </c>
      <c r="E53" s="8">
        <v>20404.0</v>
      </c>
      <c r="F53" s="8">
        <v>5365.0</v>
      </c>
      <c r="G53" s="8">
        <v>5342.0</v>
      </c>
      <c r="H53" s="8">
        <v>5368.0</v>
      </c>
      <c r="I53" s="8">
        <v>5605.0</v>
      </c>
      <c r="J53" s="8">
        <v>5632.0</v>
      </c>
      <c r="K53" s="8">
        <v>5658.0</v>
      </c>
      <c r="L53" s="8">
        <v>0.0</v>
      </c>
      <c r="M53" s="8">
        <v>0.0</v>
      </c>
      <c r="N53" s="8">
        <v>0.0</v>
      </c>
      <c r="O53" s="8">
        <v>0.0</v>
      </c>
      <c r="P53" s="8">
        <v>0.0</v>
      </c>
      <c r="Q53" s="8">
        <v>0.0</v>
      </c>
      <c r="R53" s="18">
        <f t="shared" ref="R53:T53" si="105">(L53/F53)*1000000</f>
        <v>0</v>
      </c>
      <c r="S53" s="18">
        <f t="shared" si="105"/>
        <v>0</v>
      </c>
      <c r="T53" s="18">
        <f t="shared" si="105"/>
        <v>0</v>
      </c>
      <c r="U53" s="18">
        <f t="shared" si="4"/>
        <v>0</v>
      </c>
      <c r="V53" s="18">
        <f t="shared" ref="V53:X53" si="106">(O53/I53)*1000000</f>
        <v>0</v>
      </c>
      <c r="W53" s="18">
        <f t="shared" si="106"/>
        <v>0</v>
      </c>
      <c r="X53" s="18">
        <f t="shared" si="106"/>
        <v>0</v>
      </c>
      <c r="Y53" s="18">
        <f t="shared" si="6"/>
        <v>0</v>
      </c>
    </row>
    <row r="54" ht="14.25" customHeight="1">
      <c r="A54" s="7" t="s">
        <v>78</v>
      </c>
      <c r="B54" s="7" t="s">
        <v>107</v>
      </c>
      <c r="C54" s="7" t="s">
        <v>116</v>
      </c>
      <c r="D54" s="7" t="s">
        <v>116</v>
      </c>
      <c r="E54" s="8">
        <v>20405.0</v>
      </c>
      <c r="F54" s="8">
        <v>7191.0</v>
      </c>
      <c r="G54" s="8">
        <v>7186.0</v>
      </c>
      <c r="H54" s="8">
        <v>7324.0</v>
      </c>
      <c r="I54" s="8">
        <v>8562.0</v>
      </c>
      <c r="J54" s="8">
        <v>8699.0</v>
      </c>
      <c r="K54" s="8">
        <v>8837.0</v>
      </c>
      <c r="L54" s="8">
        <v>0.0</v>
      </c>
      <c r="M54" s="8">
        <v>0.0</v>
      </c>
      <c r="N54" s="8">
        <v>0.0</v>
      </c>
      <c r="O54" s="8">
        <v>0.0</v>
      </c>
      <c r="P54" s="8">
        <v>0.0</v>
      </c>
      <c r="Q54" s="8">
        <v>0.0</v>
      </c>
      <c r="R54" s="18">
        <f t="shared" ref="R54:T54" si="107">(L54/F54)*1000000</f>
        <v>0</v>
      </c>
      <c r="S54" s="18">
        <f t="shared" si="107"/>
        <v>0</v>
      </c>
      <c r="T54" s="18">
        <f t="shared" si="107"/>
        <v>0</v>
      </c>
      <c r="U54" s="18">
        <f t="shared" si="4"/>
        <v>0</v>
      </c>
      <c r="V54" s="18">
        <f t="shared" ref="V54:X54" si="108">(O54/I54)*1000000</f>
        <v>0</v>
      </c>
      <c r="W54" s="18">
        <f t="shared" si="108"/>
        <v>0</v>
      </c>
      <c r="X54" s="18">
        <f t="shared" si="108"/>
        <v>0</v>
      </c>
      <c r="Y54" s="18">
        <f t="shared" si="6"/>
        <v>0</v>
      </c>
    </row>
    <row r="55" ht="14.25" customHeight="1">
      <c r="A55" s="7" t="s">
        <v>78</v>
      </c>
      <c r="B55" s="7" t="s">
        <v>118</v>
      </c>
      <c r="C55" s="7" t="s">
        <v>119</v>
      </c>
      <c r="D55" s="7" t="s">
        <v>119</v>
      </c>
      <c r="E55" s="8">
        <v>20501.0</v>
      </c>
      <c r="F55" s="8">
        <v>11598.0</v>
      </c>
      <c r="G55" s="8">
        <v>11473.0</v>
      </c>
      <c r="H55" s="8">
        <v>12003.0</v>
      </c>
      <c r="I55" s="8">
        <v>16771.0</v>
      </c>
      <c r="J55" s="8">
        <v>17300.0</v>
      </c>
      <c r="K55" s="8">
        <v>17830.0</v>
      </c>
      <c r="L55" s="8">
        <v>0.0</v>
      </c>
      <c r="M55" s="8">
        <v>0.0</v>
      </c>
      <c r="N55" s="8">
        <v>0.0</v>
      </c>
      <c r="O55" s="8">
        <v>1.0</v>
      </c>
      <c r="P55" s="8">
        <v>0.0</v>
      </c>
      <c r="Q55" s="8">
        <v>1.0</v>
      </c>
      <c r="R55" s="18">
        <f t="shared" ref="R55:T55" si="109">(L55/F55)*1000000</f>
        <v>0</v>
      </c>
      <c r="S55" s="18">
        <f t="shared" si="109"/>
        <v>0</v>
      </c>
      <c r="T55" s="18">
        <f t="shared" si="109"/>
        <v>0</v>
      </c>
      <c r="U55" s="18">
        <f t="shared" si="4"/>
        <v>0</v>
      </c>
      <c r="V55" s="18">
        <f t="shared" ref="V55:X55" si="110">(O55/I55)*1000000</f>
        <v>59.62673663</v>
      </c>
      <c r="W55" s="18">
        <f t="shared" si="110"/>
        <v>0</v>
      </c>
      <c r="X55" s="18">
        <f t="shared" si="110"/>
        <v>56.08524958</v>
      </c>
      <c r="Y55" s="18">
        <f t="shared" si="6"/>
        <v>38.57066207</v>
      </c>
    </row>
    <row r="56" ht="14.25" customHeight="1">
      <c r="A56" s="7" t="s">
        <v>78</v>
      </c>
      <c r="B56" s="7" t="s">
        <v>118</v>
      </c>
      <c r="C56" s="7" t="s">
        <v>121</v>
      </c>
      <c r="D56" s="7" t="s">
        <v>121</v>
      </c>
      <c r="E56" s="8">
        <v>20502.0</v>
      </c>
      <c r="F56" s="8">
        <v>8386.0</v>
      </c>
      <c r="G56" s="8">
        <v>8410.0</v>
      </c>
      <c r="H56" s="8">
        <v>8462.0</v>
      </c>
      <c r="I56" s="8">
        <v>8926.0</v>
      </c>
      <c r="J56" s="8">
        <v>8977.0</v>
      </c>
      <c r="K56" s="8">
        <v>9029.0</v>
      </c>
      <c r="L56" s="8">
        <v>0.0</v>
      </c>
      <c r="M56" s="8">
        <v>0.0</v>
      </c>
      <c r="N56" s="8">
        <v>0.0</v>
      </c>
      <c r="O56" s="8">
        <v>1.0</v>
      </c>
      <c r="P56" s="8">
        <v>0.0</v>
      </c>
      <c r="Q56" s="8">
        <v>0.0</v>
      </c>
      <c r="R56" s="18">
        <f t="shared" ref="R56:T56" si="111">(L56/F56)*1000000</f>
        <v>0</v>
      </c>
      <c r="S56" s="18">
        <f t="shared" si="111"/>
        <v>0</v>
      </c>
      <c r="T56" s="18">
        <f t="shared" si="111"/>
        <v>0</v>
      </c>
      <c r="U56" s="18">
        <f t="shared" si="4"/>
        <v>0</v>
      </c>
      <c r="V56" s="18">
        <f t="shared" ref="V56:X56" si="112">(O56/I56)*1000000</f>
        <v>112.0322653</v>
      </c>
      <c r="W56" s="18">
        <f t="shared" si="112"/>
        <v>0</v>
      </c>
      <c r="X56" s="18">
        <f t="shared" si="112"/>
        <v>0</v>
      </c>
      <c r="Y56" s="18">
        <f t="shared" si="6"/>
        <v>37.34408843</v>
      </c>
    </row>
    <row r="57" ht="14.25" customHeight="1">
      <c r="A57" s="7" t="s">
        <v>78</v>
      </c>
      <c r="B57" s="7" t="s">
        <v>118</v>
      </c>
      <c r="C57" s="7" t="s">
        <v>123</v>
      </c>
      <c r="D57" s="7" t="s">
        <v>123</v>
      </c>
      <c r="E57" s="8">
        <v>20503.0</v>
      </c>
      <c r="F57" s="8">
        <v>5372.0</v>
      </c>
      <c r="G57" s="8">
        <v>5495.0</v>
      </c>
      <c r="H57" s="8">
        <v>5597.0</v>
      </c>
      <c r="I57" s="8">
        <v>6517.0</v>
      </c>
      <c r="J57" s="8">
        <v>6619.0</v>
      </c>
      <c r="K57" s="8">
        <v>6721.0</v>
      </c>
      <c r="L57" s="8">
        <v>0.0</v>
      </c>
      <c r="M57" s="8">
        <v>1.0</v>
      </c>
      <c r="N57" s="8">
        <v>0.0</v>
      </c>
      <c r="O57" s="8">
        <v>0.0</v>
      </c>
      <c r="P57" s="8">
        <v>0.0</v>
      </c>
      <c r="Q57" s="8">
        <v>2.0</v>
      </c>
      <c r="R57" s="18">
        <f t="shared" ref="R57:T57" si="113">(L57/F57)*1000000</f>
        <v>0</v>
      </c>
      <c r="S57" s="18">
        <f t="shared" si="113"/>
        <v>181.9836215</v>
      </c>
      <c r="T57" s="18">
        <f t="shared" si="113"/>
        <v>0</v>
      </c>
      <c r="U57" s="18">
        <f t="shared" si="4"/>
        <v>60.66120716</v>
      </c>
      <c r="V57" s="18">
        <f t="shared" ref="V57:X57" si="114">(O57/I57)*1000000</f>
        <v>0</v>
      </c>
      <c r="W57" s="18">
        <f t="shared" si="114"/>
        <v>0</v>
      </c>
      <c r="X57" s="18">
        <f t="shared" si="114"/>
        <v>297.5747657</v>
      </c>
      <c r="Y57" s="18">
        <f t="shared" si="6"/>
        <v>99.19158855</v>
      </c>
    </row>
    <row r="58" ht="14.25" customHeight="1">
      <c r="A58" s="7" t="s">
        <v>78</v>
      </c>
      <c r="B58" s="7" t="s">
        <v>125</v>
      </c>
      <c r="C58" s="7" t="s">
        <v>126</v>
      </c>
      <c r="D58" s="7" t="s">
        <v>126</v>
      </c>
      <c r="E58" s="8">
        <v>20601.0</v>
      </c>
      <c r="F58" s="8">
        <v>23096.0</v>
      </c>
      <c r="G58" s="8">
        <v>23512.0</v>
      </c>
      <c r="H58" s="8">
        <v>24060.0</v>
      </c>
      <c r="I58" s="8">
        <v>28988.0</v>
      </c>
      <c r="J58" s="8">
        <v>29535.0</v>
      </c>
      <c r="K58" s="8">
        <v>30083.0</v>
      </c>
      <c r="L58" s="8">
        <v>0.0</v>
      </c>
      <c r="M58" s="8">
        <v>0.0</v>
      </c>
      <c r="N58" s="8">
        <v>0.0</v>
      </c>
      <c r="O58" s="8">
        <v>1.0</v>
      </c>
      <c r="P58" s="8">
        <v>4.0</v>
      </c>
      <c r="Q58" s="8">
        <v>2.0</v>
      </c>
      <c r="R58" s="18">
        <f t="shared" ref="R58:T58" si="115">(L58/F58)*1000000</f>
        <v>0</v>
      </c>
      <c r="S58" s="18">
        <f t="shared" si="115"/>
        <v>0</v>
      </c>
      <c r="T58" s="18">
        <f t="shared" si="115"/>
        <v>0</v>
      </c>
      <c r="U58" s="18">
        <f t="shared" si="4"/>
        <v>0</v>
      </c>
      <c r="V58" s="18">
        <f t="shared" ref="V58:X58" si="116">(O58/I58)*1000000</f>
        <v>34.49703326</v>
      </c>
      <c r="W58" s="18">
        <f t="shared" si="116"/>
        <v>135.4325377</v>
      </c>
      <c r="X58" s="18">
        <f t="shared" si="116"/>
        <v>66.48273111</v>
      </c>
      <c r="Y58" s="18">
        <f t="shared" si="6"/>
        <v>78.80410068</v>
      </c>
    </row>
    <row r="59" ht="14.25" customHeight="1">
      <c r="A59" s="7" t="s">
        <v>78</v>
      </c>
      <c r="B59" s="7" t="s">
        <v>125</v>
      </c>
      <c r="C59" s="7" t="s">
        <v>128</v>
      </c>
      <c r="D59" s="7" t="s">
        <v>128</v>
      </c>
      <c r="E59" s="8">
        <v>20602.0</v>
      </c>
      <c r="F59" s="8">
        <v>14492.0</v>
      </c>
      <c r="G59" s="8">
        <v>14788.0</v>
      </c>
      <c r="H59" s="8">
        <v>14921.0</v>
      </c>
      <c r="I59" s="8">
        <v>16120.0</v>
      </c>
      <c r="J59" s="8">
        <v>16253.0</v>
      </c>
      <c r="K59" s="8">
        <v>16386.0</v>
      </c>
      <c r="L59" s="8">
        <v>1.0</v>
      </c>
      <c r="M59" s="8">
        <v>3.0</v>
      </c>
      <c r="N59" s="8">
        <v>1.0</v>
      </c>
      <c r="O59" s="8">
        <v>8.0</v>
      </c>
      <c r="P59" s="8">
        <v>9.0</v>
      </c>
      <c r="Q59" s="8">
        <v>10.0</v>
      </c>
      <c r="R59" s="18">
        <f t="shared" ref="R59:T59" si="117">(L59/F59)*1000000</f>
        <v>69.00358819</v>
      </c>
      <c r="S59" s="18">
        <f t="shared" si="117"/>
        <v>202.8671896</v>
      </c>
      <c r="T59" s="18">
        <f t="shared" si="117"/>
        <v>67.01963675</v>
      </c>
      <c r="U59" s="18">
        <f t="shared" si="4"/>
        <v>112.9634715</v>
      </c>
      <c r="V59" s="18">
        <f t="shared" ref="V59:X59" si="118">(O59/I59)*1000000</f>
        <v>496.2779156</v>
      </c>
      <c r="W59" s="18">
        <f t="shared" si="118"/>
        <v>553.7439242</v>
      </c>
      <c r="X59" s="18">
        <f t="shared" si="118"/>
        <v>610.2770658</v>
      </c>
      <c r="Y59" s="18">
        <f t="shared" si="6"/>
        <v>553.4329685</v>
      </c>
    </row>
    <row r="60" ht="14.25" customHeight="1">
      <c r="A60" s="7" t="s">
        <v>78</v>
      </c>
      <c r="B60" s="7" t="s">
        <v>125</v>
      </c>
      <c r="C60" s="7" t="s">
        <v>130</v>
      </c>
      <c r="D60" s="7" t="s">
        <v>130</v>
      </c>
      <c r="E60" s="8">
        <v>20603.0</v>
      </c>
      <c r="F60" s="8">
        <v>8008.0</v>
      </c>
      <c r="G60" s="8">
        <v>8182.0</v>
      </c>
      <c r="H60" s="8">
        <v>8314.0</v>
      </c>
      <c r="I60" s="8">
        <v>9498.0</v>
      </c>
      <c r="J60" s="8">
        <v>9629.0</v>
      </c>
      <c r="K60" s="8">
        <v>9761.0</v>
      </c>
      <c r="L60" s="8">
        <v>0.0</v>
      </c>
      <c r="M60" s="8">
        <v>0.0</v>
      </c>
      <c r="N60" s="8">
        <v>0.0</v>
      </c>
      <c r="O60" s="8">
        <v>2.0</v>
      </c>
      <c r="P60" s="8">
        <v>2.0</v>
      </c>
      <c r="Q60" s="8">
        <v>3.0</v>
      </c>
      <c r="R60" s="18">
        <f t="shared" ref="R60:T60" si="119">(L60/F60)*1000000</f>
        <v>0</v>
      </c>
      <c r="S60" s="18">
        <f t="shared" si="119"/>
        <v>0</v>
      </c>
      <c r="T60" s="18">
        <f t="shared" si="119"/>
        <v>0</v>
      </c>
      <c r="U60" s="18">
        <f t="shared" si="4"/>
        <v>0</v>
      </c>
      <c r="V60" s="18">
        <f t="shared" ref="V60:X60" si="120">(O60/I60)*1000000</f>
        <v>210.5706465</v>
      </c>
      <c r="W60" s="18">
        <f t="shared" si="120"/>
        <v>207.7058885</v>
      </c>
      <c r="X60" s="18">
        <f t="shared" si="120"/>
        <v>307.3455589</v>
      </c>
      <c r="Y60" s="18">
        <f t="shared" si="6"/>
        <v>241.8740313</v>
      </c>
    </row>
    <row r="61" ht="14.25" customHeight="1">
      <c r="A61" s="7" t="s">
        <v>78</v>
      </c>
      <c r="B61" s="7" t="s">
        <v>125</v>
      </c>
      <c r="C61" s="7" t="s">
        <v>132</v>
      </c>
      <c r="D61" s="7" t="s">
        <v>132</v>
      </c>
      <c r="E61" s="8">
        <v>20604.0</v>
      </c>
      <c r="F61" s="8">
        <v>2675.0</v>
      </c>
      <c r="G61" s="8">
        <v>2684.0</v>
      </c>
      <c r="H61" s="8">
        <v>2812.0</v>
      </c>
      <c r="I61" s="8">
        <v>3967.0</v>
      </c>
      <c r="J61" s="8">
        <v>4096.0</v>
      </c>
      <c r="K61" s="8">
        <v>4224.0</v>
      </c>
      <c r="L61" s="8">
        <v>0.0</v>
      </c>
      <c r="M61" s="8">
        <v>0.0</v>
      </c>
      <c r="N61" s="8">
        <v>0.0</v>
      </c>
      <c r="O61" s="8">
        <v>0.0</v>
      </c>
      <c r="P61" s="8">
        <v>1.0</v>
      </c>
      <c r="Q61" s="8">
        <v>0.0</v>
      </c>
      <c r="R61" s="18">
        <f t="shared" ref="R61:T61" si="121">(L61/F61)*1000000</f>
        <v>0</v>
      </c>
      <c r="S61" s="18">
        <f t="shared" si="121"/>
        <v>0</v>
      </c>
      <c r="T61" s="18">
        <f t="shared" si="121"/>
        <v>0</v>
      </c>
      <c r="U61" s="18">
        <f t="shared" si="4"/>
        <v>0</v>
      </c>
      <c r="V61" s="18">
        <f t="shared" ref="V61:X61" si="122">(O61/I61)*1000000</f>
        <v>0</v>
      </c>
      <c r="W61" s="18">
        <f t="shared" si="122"/>
        <v>244.140625</v>
      </c>
      <c r="X61" s="18">
        <f t="shared" si="122"/>
        <v>0</v>
      </c>
      <c r="Y61" s="18">
        <f t="shared" si="6"/>
        <v>81.38020833</v>
      </c>
    </row>
    <row r="62" ht="14.25" customHeight="1">
      <c r="A62" s="7" t="s">
        <v>78</v>
      </c>
      <c r="B62" s="7" t="s">
        <v>125</v>
      </c>
      <c r="C62" s="7" t="s">
        <v>134</v>
      </c>
      <c r="D62" s="7" t="s">
        <v>134</v>
      </c>
      <c r="E62" s="8">
        <v>20605.0</v>
      </c>
      <c r="F62" s="8">
        <v>3636.0</v>
      </c>
      <c r="G62" s="8">
        <v>3731.0</v>
      </c>
      <c r="H62" s="8">
        <v>3714.0</v>
      </c>
      <c r="I62" s="8">
        <v>3563.0</v>
      </c>
      <c r="J62" s="8">
        <v>3546.0</v>
      </c>
      <c r="K62" s="8">
        <v>3529.0</v>
      </c>
      <c r="L62" s="8">
        <v>0.0</v>
      </c>
      <c r="M62" s="8">
        <v>0.0</v>
      </c>
      <c r="N62" s="8">
        <v>0.0</v>
      </c>
      <c r="O62" s="8">
        <v>0.0</v>
      </c>
      <c r="P62" s="8">
        <v>0.0</v>
      </c>
      <c r="Q62" s="8">
        <v>0.0</v>
      </c>
      <c r="R62" s="18">
        <f t="shared" ref="R62:T62" si="123">(L62/F62)*1000000</f>
        <v>0</v>
      </c>
      <c r="S62" s="18">
        <f t="shared" si="123"/>
        <v>0</v>
      </c>
      <c r="T62" s="18">
        <f t="shared" si="123"/>
        <v>0</v>
      </c>
      <c r="U62" s="18">
        <f t="shared" si="4"/>
        <v>0</v>
      </c>
      <c r="V62" s="18">
        <f t="shared" ref="V62:X62" si="124">(O62/I62)*1000000</f>
        <v>0</v>
      </c>
      <c r="W62" s="18">
        <f t="shared" si="124"/>
        <v>0</v>
      </c>
      <c r="X62" s="18">
        <f t="shared" si="124"/>
        <v>0</v>
      </c>
      <c r="Y62" s="18">
        <f t="shared" si="6"/>
        <v>0</v>
      </c>
    </row>
    <row r="63" ht="14.25" customHeight="1">
      <c r="A63" s="7" t="s">
        <v>78</v>
      </c>
      <c r="B63" s="7" t="s">
        <v>125</v>
      </c>
      <c r="C63" s="7" t="s">
        <v>136</v>
      </c>
      <c r="D63" s="7" t="s">
        <v>136</v>
      </c>
      <c r="E63" s="8">
        <v>20606.0</v>
      </c>
      <c r="F63" s="8">
        <v>9925.0</v>
      </c>
      <c r="G63" s="8">
        <v>9985.0</v>
      </c>
      <c r="H63" s="8">
        <v>9796.0</v>
      </c>
      <c r="I63" s="8">
        <v>8094.0</v>
      </c>
      <c r="J63" s="8">
        <v>7905.0</v>
      </c>
      <c r="K63" s="8">
        <v>7716.0</v>
      </c>
      <c r="L63" s="8">
        <v>0.0</v>
      </c>
      <c r="M63" s="8">
        <v>1.0</v>
      </c>
      <c r="N63" s="8">
        <v>1.0</v>
      </c>
      <c r="O63" s="8">
        <v>4.0</v>
      </c>
      <c r="P63" s="8">
        <v>1.0</v>
      </c>
      <c r="Q63" s="8">
        <v>2.0</v>
      </c>
      <c r="R63" s="18">
        <f t="shared" ref="R63:T63" si="125">(L63/F63)*1000000</f>
        <v>0</v>
      </c>
      <c r="S63" s="18">
        <f t="shared" si="125"/>
        <v>100.1502253</v>
      </c>
      <c r="T63" s="18">
        <f t="shared" si="125"/>
        <v>102.0824826</v>
      </c>
      <c r="U63" s="18">
        <f t="shared" si="4"/>
        <v>67.41090266</v>
      </c>
      <c r="V63" s="18">
        <f t="shared" ref="V63:X63" si="126">(O63/I63)*1000000</f>
        <v>494.1932296</v>
      </c>
      <c r="W63" s="18">
        <f t="shared" si="126"/>
        <v>126.5022138</v>
      </c>
      <c r="X63" s="18">
        <f t="shared" si="126"/>
        <v>259.2016589</v>
      </c>
      <c r="Y63" s="18">
        <f t="shared" si="6"/>
        <v>293.2990341</v>
      </c>
    </row>
    <row r="64" ht="14.25" customHeight="1">
      <c r="A64" s="7" t="s">
        <v>78</v>
      </c>
      <c r="B64" s="7" t="s">
        <v>125</v>
      </c>
      <c r="C64" s="7" t="s">
        <v>138</v>
      </c>
      <c r="D64" s="7" t="s">
        <v>138</v>
      </c>
      <c r="E64" s="8">
        <v>20607.0</v>
      </c>
      <c r="F64" s="8">
        <v>13504.0</v>
      </c>
      <c r="G64" s="8">
        <v>13891.0</v>
      </c>
      <c r="H64" s="8">
        <v>14554.0</v>
      </c>
      <c r="I64" s="8">
        <v>20518.0</v>
      </c>
      <c r="J64" s="8">
        <v>21180.0</v>
      </c>
      <c r="K64" s="8">
        <v>21843.0</v>
      </c>
      <c r="L64" s="8">
        <v>0.0</v>
      </c>
      <c r="M64" s="8">
        <v>0.0</v>
      </c>
      <c r="N64" s="8">
        <v>0.0</v>
      </c>
      <c r="O64" s="8">
        <v>0.0</v>
      </c>
      <c r="P64" s="8">
        <v>0.0</v>
      </c>
      <c r="Q64" s="8">
        <v>0.0</v>
      </c>
      <c r="R64" s="18">
        <f t="shared" ref="R64:T64" si="127">(L64/F64)*1000000</f>
        <v>0</v>
      </c>
      <c r="S64" s="18">
        <f t="shared" si="127"/>
        <v>0</v>
      </c>
      <c r="T64" s="18">
        <f t="shared" si="127"/>
        <v>0</v>
      </c>
      <c r="U64" s="18">
        <f t="shared" si="4"/>
        <v>0</v>
      </c>
      <c r="V64" s="18">
        <f t="shared" ref="V64:X64" si="128">(O64/I64)*1000000</f>
        <v>0</v>
      </c>
      <c r="W64" s="18">
        <f t="shared" si="128"/>
        <v>0</v>
      </c>
      <c r="X64" s="18">
        <f t="shared" si="128"/>
        <v>0</v>
      </c>
      <c r="Y64" s="18">
        <f t="shared" si="6"/>
        <v>0</v>
      </c>
    </row>
    <row r="65" ht="14.25" customHeight="1">
      <c r="A65" s="7" t="s">
        <v>78</v>
      </c>
      <c r="B65" s="7" t="s">
        <v>125</v>
      </c>
      <c r="C65" s="7" t="s">
        <v>140</v>
      </c>
      <c r="D65" s="7" t="s">
        <v>140</v>
      </c>
      <c r="E65" s="8">
        <v>20608.0</v>
      </c>
      <c r="F65" s="8">
        <v>9145.0</v>
      </c>
      <c r="G65" s="8">
        <v>9349.0</v>
      </c>
      <c r="H65" s="8">
        <v>9685.0</v>
      </c>
      <c r="I65" s="8">
        <v>12707.0</v>
      </c>
      <c r="J65" s="8">
        <v>13043.0</v>
      </c>
      <c r="K65" s="8">
        <v>13379.0</v>
      </c>
      <c r="L65" s="8">
        <v>0.0</v>
      </c>
      <c r="M65" s="8">
        <v>0.0</v>
      </c>
      <c r="N65" s="8">
        <v>0.0</v>
      </c>
      <c r="O65" s="8">
        <v>0.0</v>
      </c>
      <c r="P65" s="8">
        <v>0.0</v>
      </c>
      <c r="Q65" s="8">
        <v>0.0</v>
      </c>
      <c r="R65" s="18">
        <f t="shared" ref="R65:T65" si="129">(L65/F65)*1000000</f>
        <v>0</v>
      </c>
      <c r="S65" s="18">
        <f t="shared" si="129"/>
        <v>0</v>
      </c>
      <c r="T65" s="18">
        <f t="shared" si="129"/>
        <v>0</v>
      </c>
      <c r="U65" s="18">
        <f t="shared" si="4"/>
        <v>0</v>
      </c>
      <c r="V65" s="18">
        <f t="shared" ref="V65:X65" si="130">(O65/I65)*1000000</f>
        <v>0</v>
      </c>
      <c r="W65" s="18">
        <f t="shared" si="130"/>
        <v>0</v>
      </c>
      <c r="X65" s="18">
        <f t="shared" si="130"/>
        <v>0</v>
      </c>
      <c r="Y65" s="18">
        <f t="shared" si="6"/>
        <v>0</v>
      </c>
    </row>
    <row r="66" ht="14.25" customHeight="1">
      <c r="A66" s="7" t="s">
        <v>78</v>
      </c>
      <c r="B66" s="7" t="s">
        <v>142</v>
      </c>
      <c r="C66" s="7" t="s">
        <v>143</v>
      </c>
      <c r="D66" s="7" t="s">
        <v>143</v>
      </c>
      <c r="E66" s="8">
        <v>20701.0</v>
      </c>
      <c r="F66" s="8">
        <v>19668.0</v>
      </c>
      <c r="G66" s="8">
        <v>20308.0</v>
      </c>
      <c r="H66" s="8">
        <v>20212.0</v>
      </c>
      <c r="I66" s="8">
        <v>19348.0</v>
      </c>
      <c r="J66" s="8">
        <v>19252.0</v>
      </c>
      <c r="K66" s="8">
        <v>19156.0</v>
      </c>
      <c r="L66" s="8">
        <v>0.0</v>
      </c>
      <c r="M66" s="8">
        <v>0.0</v>
      </c>
      <c r="N66" s="8">
        <v>0.0</v>
      </c>
      <c r="O66" s="8">
        <v>2.0</v>
      </c>
      <c r="P66" s="8">
        <v>4.0</v>
      </c>
      <c r="Q66" s="8">
        <v>1.0</v>
      </c>
      <c r="R66" s="18">
        <f t="shared" ref="R66:T66" si="131">(L66/F66)*1000000</f>
        <v>0</v>
      </c>
      <c r="S66" s="18">
        <f t="shared" si="131"/>
        <v>0</v>
      </c>
      <c r="T66" s="18">
        <f t="shared" si="131"/>
        <v>0</v>
      </c>
      <c r="U66" s="18">
        <f t="shared" si="4"/>
        <v>0</v>
      </c>
      <c r="V66" s="18">
        <f t="shared" ref="V66:X66" si="132">(O66/I66)*1000000</f>
        <v>103.3698573</v>
      </c>
      <c r="W66" s="18">
        <f t="shared" si="132"/>
        <v>207.7706212</v>
      </c>
      <c r="X66" s="18">
        <f t="shared" si="132"/>
        <v>52.20296513</v>
      </c>
      <c r="Y66" s="18">
        <f t="shared" si="6"/>
        <v>121.1144812</v>
      </c>
    </row>
    <row r="67" ht="14.25" customHeight="1">
      <c r="A67" s="7" t="s">
        <v>78</v>
      </c>
      <c r="B67" s="7" t="s">
        <v>142</v>
      </c>
      <c r="C67" s="7" t="s">
        <v>145</v>
      </c>
      <c r="D67" s="7" t="s">
        <v>145</v>
      </c>
      <c r="E67" s="8">
        <v>20702.0</v>
      </c>
      <c r="F67" s="8">
        <v>6629.0</v>
      </c>
      <c r="G67" s="8">
        <v>6780.0</v>
      </c>
      <c r="H67" s="8">
        <v>6970.0</v>
      </c>
      <c r="I67" s="8">
        <v>8680.0</v>
      </c>
      <c r="J67" s="8">
        <v>8870.0</v>
      </c>
      <c r="K67" s="8">
        <v>9060.0</v>
      </c>
      <c r="L67" s="8">
        <v>0.0</v>
      </c>
      <c r="M67" s="8">
        <v>0.0</v>
      </c>
      <c r="N67" s="8">
        <v>0.0</v>
      </c>
      <c r="O67" s="8">
        <v>0.0</v>
      </c>
      <c r="P67" s="8">
        <v>0.0</v>
      </c>
      <c r="Q67" s="8">
        <v>1.0</v>
      </c>
      <c r="R67" s="18">
        <f t="shared" ref="R67:T67" si="133">(L67/F67)*1000000</f>
        <v>0</v>
      </c>
      <c r="S67" s="18">
        <f t="shared" si="133"/>
        <v>0</v>
      </c>
      <c r="T67" s="18">
        <f t="shared" si="133"/>
        <v>0</v>
      </c>
      <c r="U67" s="18">
        <f t="shared" si="4"/>
        <v>0</v>
      </c>
      <c r="V67" s="18">
        <f t="shared" ref="V67:X67" si="134">(O67/I67)*1000000</f>
        <v>0</v>
      </c>
      <c r="W67" s="18">
        <f t="shared" si="134"/>
        <v>0</v>
      </c>
      <c r="X67" s="18">
        <f t="shared" si="134"/>
        <v>110.3752759</v>
      </c>
      <c r="Y67" s="18">
        <f t="shared" si="6"/>
        <v>36.79175865</v>
      </c>
    </row>
    <row r="68" ht="14.25" customHeight="1">
      <c r="A68" s="7" t="s">
        <v>78</v>
      </c>
      <c r="B68" s="7" t="s">
        <v>147</v>
      </c>
      <c r="C68" s="7" t="s">
        <v>148</v>
      </c>
      <c r="D68" s="7" t="s">
        <v>148</v>
      </c>
      <c r="E68" s="8">
        <v>20801.0</v>
      </c>
      <c r="F68" s="8">
        <v>77621.0</v>
      </c>
      <c r="G68" s="8">
        <v>80724.0</v>
      </c>
      <c r="H68" s="8">
        <v>83460.0</v>
      </c>
      <c r="I68" s="8">
        <v>108082.0</v>
      </c>
      <c r="J68" s="8">
        <v>110818.0</v>
      </c>
      <c r="K68" s="8">
        <v>113554.0</v>
      </c>
      <c r="L68" s="8">
        <v>2.0</v>
      </c>
      <c r="M68" s="8">
        <v>0.0</v>
      </c>
      <c r="N68" s="8">
        <v>6.0</v>
      </c>
      <c r="O68" s="8">
        <v>9.0</v>
      </c>
      <c r="P68" s="8">
        <v>12.0</v>
      </c>
      <c r="Q68" s="8">
        <v>25.0</v>
      </c>
      <c r="R68" s="18">
        <f t="shared" ref="R68:T68" si="135">(L68/F68)*1000000</f>
        <v>25.76622306</v>
      </c>
      <c r="S68" s="18">
        <f t="shared" si="135"/>
        <v>0</v>
      </c>
      <c r="T68" s="18">
        <f t="shared" si="135"/>
        <v>71.8907261</v>
      </c>
      <c r="U68" s="18">
        <f t="shared" si="4"/>
        <v>32.55231638</v>
      </c>
      <c r="V68" s="18">
        <f t="shared" ref="V68:X68" si="136">(O68/I68)*1000000</f>
        <v>83.27010973</v>
      </c>
      <c r="W68" s="18">
        <f t="shared" si="136"/>
        <v>108.2856576</v>
      </c>
      <c r="X68" s="18">
        <f t="shared" si="136"/>
        <v>220.1595717</v>
      </c>
      <c r="Y68" s="18">
        <f t="shared" si="6"/>
        <v>137.2384463</v>
      </c>
    </row>
    <row r="69" ht="14.25" customHeight="1">
      <c r="A69" s="7" t="s">
        <v>78</v>
      </c>
      <c r="B69" s="7" t="s">
        <v>147</v>
      </c>
      <c r="C69" s="7" t="s">
        <v>150</v>
      </c>
      <c r="D69" s="7" t="s">
        <v>240</v>
      </c>
      <c r="E69" s="8">
        <v>20802.0</v>
      </c>
      <c r="F69" s="8">
        <v>7303.0</v>
      </c>
      <c r="G69" s="8">
        <v>7278.0</v>
      </c>
      <c r="H69" s="8">
        <v>7388.0</v>
      </c>
      <c r="I69" s="8">
        <v>8373.0</v>
      </c>
      <c r="J69" s="8">
        <v>8483.0</v>
      </c>
      <c r="K69" s="8">
        <v>8592.0</v>
      </c>
      <c r="L69" s="8">
        <v>1.0</v>
      </c>
      <c r="M69" s="8">
        <v>0.0</v>
      </c>
      <c r="N69" s="8">
        <v>0.0</v>
      </c>
      <c r="O69" s="8">
        <v>0.0</v>
      </c>
      <c r="P69" s="8">
        <v>0.0</v>
      </c>
      <c r="Q69" s="8">
        <v>0.0</v>
      </c>
      <c r="R69" s="18">
        <f t="shared" ref="R69:T69" si="137">(L69/F69)*1000000</f>
        <v>136.9300288</v>
      </c>
      <c r="S69" s="18">
        <f t="shared" si="137"/>
        <v>0</v>
      </c>
      <c r="T69" s="18">
        <f t="shared" si="137"/>
        <v>0</v>
      </c>
      <c r="U69" s="18">
        <f t="shared" si="4"/>
        <v>45.64334292</v>
      </c>
      <c r="V69" s="18">
        <f t="shared" ref="V69:X69" si="138">(O69/I69)*1000000</f>
        <v>0</v>
      </c>
      <c r="W69" s="18">
        <f t="shared" si="138"/>
        <v>0</v>
      </c>
      <c r="X69" s="18">
        <f t="shared" si="138"/>
        <v>0</v>
      </c>
      <c r="Y69" s="18">
        <f t="shared" si="6"/>
        <v>0</v>
      </c>
    </row>
    <row r="70" ht="14.25" customHeight="1">
      <c r="A70" s="7" t="s">
        <v>78</v>
      </c>
      <c r="B70" s="7" t="s">
        <v>147</v>
      </c>
      <c r="C70" s="7" t="s">
        <v>152</v>
      </c>
      <c r="D70" s="7" t="s">
        <v>152</v>
      </c>
      <c r="E70" s="8">
        <v>20803.0</v>
      </c>
      <c r="F70" s="8">
        <v>12109.0</v>
      </c>
      <c r="G70" s="8">
        <v>12189.0</v>
      </c>
      <c r="H70" s="8">
        <v>12311.0</v>
      </c>
      <c r="I70" s="8">
        <v>13405.0</v>
      </c>
      <c r="J70" s="8">
        <v>13526.0</v>
      </c>
      <c r="K70" s="8">
        <v>13648.0</v>
      </c>
      <c r="L70" s="8">
        <v>0.0</v>
      </c>
      <c r="M70" s="8">
        <v>0.0</v>
      </c>
      <c r="N70" s="8">
        <v>0.0</v>
      </c>
      <c r="O70" s="8">
        <v>2.0</v>
      </c>
      <c r="P70" s="8">
        <v>3.0</v>
      </c>
      <c r="Q70" s="8">
        <v>1.0</v>
      </c>
      <c r="R70" s="18">
        <f t="shared" ref="R70:T70" si="139">(L70/F70)*1000000</f>
        <v>0</v>
      </c>
      <c r="S70" s="18">
        <f t="shared" si="139"/>
        <v>0</v>
      </c>
      <c r="T70" s="18">
        <f t="shared" si="139"/>
        <v>0</v>
      </c>
      <c r="U70" s="18">
        <f t="shared" si="4"/>
        <v>0</v>
      </c>
      <c r="V70" s="18">
        <f t="shared" ref="V70:X70" si="140">(O70/I70)*1000000</f>
        <v>149.1980604</v>
      </c>
      <c r="W70" s="18">
        <f t="shared" si="140"/>
        <v>221.7950614</v>
      </c>
      <c r="X70" s="18">
        <f t="shared" si="140"/>
        <v>73.27080891</v>
      </c>
      <c r="Y70" s="18">
        <f t="shared" si="6"/>
        <v>148.0879769</v>
      </c>
    </row>
    <row r="71" ht="14.25" customHeight="1">
      <c r="A71" s="7" t="s">
        <v>78</v>
      </c>
      <c r="B71" s="7" t="s">
        <v>147</v>
      </c>
      <c r="C71" s="7" t="s">
        <v>154</v>
      </c>
      <c r="D71" s="7" t="s">
        <v>154</v>
      </c>
      <c r="E71" s="8">
        <v>20804.0</v>
      </c>
      <c r="F71" s="8">
        <v>6805.0</v>
      </c>
      <c r="G71" s="8">
        <v>6987.0</v>
      </c>
      <c r="H71" s="8">
        <v>7063.0</v>
      </c>
      <c r="I71" s="8">
        <v>7745.0</v>
      </c>
      <c r="J71" s="8">
        <v>7821.0</v>
      </c>
      <c r="K71" s="8">
        <v>7897.0</v>
      </c>
      <c r="L71" s="8">
        <v>0.0</v>
      </c>
      <c r="M71" s="8">
        <v>0.0</v>
      </c>
      <c r="N71" s="8">
        <v>0.0</v>
      </c>
      <c r="O71" s="8">
        <v>1.0</v>
      </c>
      <c r="P71" s="8">
        <v>0.0</v>
      </c>
      <c r="Q71" s="8">
        <v>0.0</v>
      </c>
      <c r="R71" s="18">
        <f t="shared" ref="R71:T71" si="141">(L71/F71)*1000000</f>
        <v>0</v>
      </c>
      <c r="S71" s="18">
        <f t="shared" si="141"/>
        <v>0</v>
      </c>
      <c r="T71" s="18">
        <f t="shared" si="141"/>
        <v>0</v>
      </c>
      <c r="U71" s="18">
        <f t="shared" si="4"/>
        <v>0</v>
      </c>
      <c r="V71" s="18">
        <f t="shared" ref="V71:X71" si="142">(O71/I71)*1000000</f>
        <v>129.1155584</v>
      </c>
      <c r="W71" s="18">
        <f t="shared" si="142"/>
        <v>0</v>
      </c>
      <c r="X71" s="18">
        <f t="shared" si="142"/>
        <v>0</v>
      </c>
      <c r="Y71" s="18">
        <f t="shared" si="6"/>
        <v>43.03851947</v>
      </c>
    </row>
    <row r="72" ht="14.25" customHeight="1">
      <c r="A72" s="7" t="s">
        <v>78</v>
      </c>
      <c r="B72" s="7" t="s">
        <v>147</v>
      </c>
      <c r="C72" s="7" t="s">
        <v>156</v>
      </c>
      <c r="D72" s="7" t="s">
        <v>547</v>
      </c>
      <c r="E72" s="8">
        <v>20805.0</v>
      </c>
      <c r="F72" s="8">
        <v>6159.0</v>
      </c>
      <c r="G72" s="8">
        <v>6145.0</v>
      </c>
      <c r="H72" s="8">
        <v>6294.0</v>
      </c>
      <c r="I72" s="8">
        <v>7638.0</v>
      </c>
      <c r="J72" s="8">
        <v>7787.0</v>
      </c>
      <c r="K72" s="8">
        <v>7936.0</v>
      </c>
      <c r="L72" s="8">
        <v>0.0</v>
      </c>
      <c r="M72" s="8">
        <v>0.0</v>
      </c>
      <c r="N72" s="8">
        <v>0.0</v>
      </c>
      <c r="O72" s="8">
        <v>0.0</v>
      </c>
      <c r="P72" s="8">
        <v>0.0</v>
      </c>
      <c r="Q72" s="8">
        <v>0.0</v>
      </c>
      <c r="R72" s="18">
        <f t="shared" ref="R72:T72" si="143">(L72/F72)*1000000</f>
        <v>0</v>
      </c>
      <c r="S72" s="18">
        <f t="shared" si="143"/>
        <v>0</v>
      </c>
      <c r="T72" s="18">
        <f t="shared" si="143"/>
        <v>0</v>
      </c>
      <c r="U72" s="18">
        <f t="shared" si="4"/>
        <v>0</v>
      </c>
      <c r="V72" s="18">
        <f t="shared" ref="V72:X72" si="144">(O72/I72)*1000000</f>
        <v>0</v>
      </c>
      <c r="W72" s="18">
        <f t="shared" si="144"/>
        <v>0</v>
      </c>
      <c r="X72" s="18">
        <f t="shared" si="144"/>
        <v>0</v>
      </c>
      <c r="Y72" s="18">
        <f t="shared" si="6"/>
        <v>0</v>
      </c>
    </row>
    <row r="73" ht="14.25" customHeight="1">
      <c r="A73" s="7" t="s">
        <v>78</v>
      </c>
      <c r="B73" s="7" t="s">
        <v>147</v>
      </c>
      <c r="C73" s="7" t="s">
        <v>158</v>
      </c>
      <c r="D73" s="7" t="s">
        <v>548</v>
      </c>
      <c r="E73" s="8">
        <v>20806.0</v>
      </c>
      <c r="F73" s="8">
        <v>14876.0</v>
      </c>
      <c r="G73" s="8">
        <v>15039.0</v>
      </c>
      <c r="H73" s="8">
        <v>15204.0</v>
      </c>
      <c r="I73" s="8">
        <v>16687.0</v>
      </c>
      <c r="J73" s="8">
        <v>16851.0</v>
      </c>
      <c r="K73" s="8">
        <v>17016.0</v>
      </c>
      <c r="L73" s="8">
        <v>0.0</v>
      </c>
      <c r="M73" s="8">
        <v>0.0</v>
      </c>
      <c r="N73" s="8">
        <v>0.0</v>
      </c>
      <c r="O73" s="8">
        <v>0.0</v>
      </c>
      <c r="P73" s="8">
        <v>0.0</v>
      </c>
      <c r="Q73" s="8">
        <v>0.0</v>
      </c>
      <c r="R73" s="18">
        <f t="shared" ref="R73:T73" si="145">(L73/F73)*1000000</f>
        <v>0</v>
      </c>
      <c r="S73" s="18">
        <f t="shared" si="145"/>
        <v>0</v>
      </c>
      <c r="T73" s="18">
        <f t="shared" si="145"/>
        <v>0</v>
      </c>
      <c r="U73" s="18">
        <f t="shared" si="4"/>
        <v>0</v>
      </c>
      <c r="V73" s="18">
        <f t="shared" ref="V73:X73" si="146">(O73/I73)*1000000</f>
        <v>0</v>
      </c>
      <c r="W73" s="18">
        <f t="shared" si="146"/>
        <v>0</v>
      </c>
      <c r="X73" s="18">
        <f t="shared" si="146"/>
        <v>0</v>
      </c>
      <c r="Y73" s="18">
        <f t="shared" si="6"/>
        <v>0</v>
      </c>
    </row>
    <row r="74" ht="14.25" customHeight="1">
      <c r="A74" s="7" t="s">
        <v>78</v>
      </c>
      <c r="B74" s="7" t="s">
        <v>147</v>
      </c>
      <c r="C74" s="7" t="s">
        <v>160</v>
      </c>
      <c r="D74" s="7" t="s">
        <v>160</v>
      </c>
      <c r="E74" s="8">
        <v>20807.0</v>
      </c>
      <c r="F74" s="8">
        <v>6541.0</v>
      </c>
      <c r="G74" s="8">
        <v>6603.0</v>
      </c>
      <c r="H74" s="8">
        <v>6681.0</v>
      </c>
      <c r="I74" s="8">
        <v>7384.0</v>
      </c>
      <c r="J74" s="8">
        <v>7462.0</v>
      </c>
      <c r="K74" s="8">
        <v>7540.0</v>
      </c>
      <c r="L74" s="8">
        <v>0.0</v>
      </c>
      <c r="M74" s="8">
        <v>0.0</v>
      </c>
      <c r="N74" s="8">
        <v>0.0</v>
      </c>
      <c r="O74" s="8">
        <v>0.0</v>
      </c>
      <c r="P74" s="8">
        <v>0.0</v>
      </c>
      <c r="Q74" s="8">
        <v>0.0</v>
      </c>
      <c r="R74" s="18">
        <f t="shared" ref="R74:T74" si="147">(L74/F74)*1000000</f>
        <v>0</v>
      </c>
      <c r="S74" s="18">
        <f t="shared" si="147"/>
        <v>0</v>
      </c>
      <c r="T74" s="18">
        <f t="shared" si="147"/>
        <v>0</v>
      </c>
      <c r="U74" s="18">
        <f t="shared" si="4"/>
        <v>0</v>
      </c>
      <c r="V74" s="18">
        <f t="shared" ref="V74:X74" si="148">(O74/I74)*1000000</f>
        <v>0</v>
      </c>
      <c r="W74" s="18">
        <f t="shared" si="148"/>
        <v>0</v>
      </c>
      <c r="X74" s="18">
        <f t="shared" si="148"/>
        <v>0</v>
      </c>
      <c r="Y74" s="18">
        <f t="shared" si="6"/>
        <v>0</v>
      </c>
    </row>
    <row r="75" ht="14.25" customHeight="1">
      <c r="A75" s="7" t="s">
        <v>78</v>
      </c>
      <c r="B75" s="7" t="s">
        <v>162</v>
      </c>
      <c r="C75" s="7" t="s">
        <v>163</v>
      </c>
      <c r="D75" s="7" t="s">
        <v>163</v>
      </c>
      <c r="E75" s="8">
        <v>20901.0</v>
      </c>
      <c r="F75" s="8">
        <v>10945.0</v>
      </c>
      <c r="G75" s="8">
        <v>11139.0</v>
      </c>
      <c r="H75" s="8">
        <v>11103.0</v>
      </c>
      <c r="I75" s="8">
        <v>10776.0</v>
      </c>
      <c r="J75" s="8">
        <v>10739.0</v>
      </c>
      <c r="K75" s="8">
        <v>10703.0</v>
      </c>
      <c r="L75" s="8">
        <v>0.0</v>
      </c>
      <c r="M75" s="8">
        <v>0.0</v>
      </c>
      <c r="N75" s="8">
        <v>0.0</v>
      </c>
      <c r="O75" s="8">
        <v>0.0</v>
      </c>
      <c r="P75" s="8">
        <v>2.0</v>
      </c>
      <c r="Q75" s="8">
        <v>1.0</v>
      </c>
      <c r="R75" s="18">
        <f t="shared" ref="R75:T75" si="149">(L75/F75)*1000000</f>
        <v>0</v>
      </c>
      <c r="S75" s="18">
        <f t="shared" si="149"/>
        <v>0</v>
      </c>
      <c r="T75" s="18">
        <f t="shared" si="149"/>
        <v>0</v>
      </c>
      <c r="U75" s="18">
        <f t="shared" si="4"/>
        <v>0</v>
      </c>
      <c r="V75" s="18">
        <f t="shared" ref="V75:X75" si="150">(O75/I75)*1000000</f>
        <v>0</v>
      </c>
      <c r="W75" s="18">
        <f t="shared" si="150"/>
        <v>186.2370798</v>
      </c>
      <c r="X75" s="18">
        <f t="shared" si="150"/>
        <v>93.43174811</v>
      </c>
      <c r="Y75" s="18">
        <f t="shared" si="6"/>
        <v>93.22294264</v>
      </c>
    </row>
    <row r="76" ht="14.25" customHeight="1">
      <c r="A76" s="7" t="s">
        <v>78</v>
      </c>
      <c r="B76" s="7" t="s">
        <v>162</v>
      </c>
      <c r="C76" s="7" t="s">
        <v>165</v>
      </c>
      <c r="D76" s="7" t="s">
        <v>165</v>
      </c>
      <c r="E76" s="8">
        <v>20902.0</v>
      </c>
      <c r="F76" s="8">
        <v>12421.0</v>
      </c>
      <c r="G76" s="8">
        <v>12484.0</v>
      </c>
      <c r="H76" s="8">
        <v>12818.0</v>
      </c>
      <c r="I76" s="8">
        <v>15828.0</v>
      </c>
      <c r="J76" s="8">
        <v>16163.0</v>
      </c>
      <c r="K76" s="8">
        <v>16497.0</v>
      </c>
      <c r="L76" s="8">
        <v>0.0</v>
      </c>
      <c r="M76" s="8">
        <v>0.0</v>
      </c>
      <c r="N76" s="8">
        <v>0.0</v>
      </c>
      <c r="O76" s="8">
        <v>1.0</v>
      </c>
      <c r="P76" s="8">
        <v>1.0</v>
      </c>
      <c r="Q76" s="8">
        <v>2.0</v>
      </c>
      <c r="R76" s="18">
        <f t="shared" ref="R76:T76" si="151">(L76/F76)*1000000</f>
        <v>0</v>
      </c>
      <c r="S76" s="18">
        <f t="shared" si="151"/>
        <v>0</v>
      </c>
      <c r="T76" s="18">
        <f t="shared" si="151"/>
        <v>0</v>
      </c>
      <c r="U76" s="18">
        <f t="shared" si="4"/>
        <v>0</v>
      </c>
      <c r="V76" s="18">
        <f t="shared" ref="V76:X76" si="152">(O76/I76)*1000000</f>
        <v>63.17917614</v>
      </c>
      <c r="W76" s="18">
        <f t="shared" si="152"/>
        <v>61.86970241</v>
      </c>
      <c r="X76" s="18">
        <f t="shared" si="152"/>
        <v>121.2341638</v>
      </c>
      <c r="Y76" s="18">
        <f t="shared" si="6"/>
        <v>82.09434745</v>
      </c>
    </row>
    <row r="77" ht="14.25" customHeight="1">
      <c r="A77" s="7" t="s">
        <v>78</v>
      </c>
      <c r="B77" s="7" t="s">
        <v>162</v>
      </c>
      <c r="C77" s="7" t="s">
        <v>167</v>
      </c>
      <c r="D77" s="7" t="s">
        <v>167</v>
      </c>
      <c r="E77" s="8">
        <v>20903.0</v>
      </c>
      <c r="F77" s="8">
        <v>7365.0</v>
      </c>
      <c r="G77" s="8">
        <v>7315.0</v>
      </c>
      <c r="H77" s="8">
        <v>7730.0</v>
      </c>
      <c r="I77" s="8">
        <v>11466.0</v>
      </c>
      <c r="J77" s="8">
        <v>11881.0</v>
      </c>
      <c r="K77" s="8">
        <v>12296.0</v>
      </c>
      <c r="L77" s="8">
        <v>0.0</v>
      </c>
      <c r="M77" s="8">
        <v>0.0</v>
      </c>
      <c r="N77" s="8">
        <v>0.0</v>
      </c>
      <c r="O77" s="8">
        <v>0.0</v>
      </c>
      <c r="P77" s="8">
        <v>0.0</v>
      </c>
      <c r="Q77" s="8">
        <v>0.0</v>
      </c>
      <c r="R77" s="18">
        <f t="shared" ref="R77:T77" si="153">(L77/F77)*1000000</f>
        <v>0</v>
      </c>
      <c r="S77" s="18">
        <f t="shared" si="153"/>
        <v>0</v>
      </c>
      <c r="T77" s="18">
        <f t="shared" si="153"/>
        <v>0</v>
      </c>
      <c r="U77" s="18">
        <f t="shared" si="4"/>
        <v>0</v>
      </c>
      <c r="V77" s="18">
        <f t="shared" ref="V77:X77" si="154">(O77/I77)*1000000</f>
        <v>0</v>
      </c>
      <c r="W77" s="18">
        <f t="shared" si="154"/>
        <v>0</v>
      </c>
      <c r="X77" s="18">
        <f t="shared" si="154"/>
        <v>0</v>
      </c>
      <c r="Y77" s="18">
        <f t="shared" si="6"/>
        <v>0</v>
      </c>
    </row>
    <row r="78" ht="14.25" customHeight="1">
      <c r="A78" s="7" t="s">
        <v>78</v>
      </c>
      <c r="B78" s="7" t="s">
        <v>162</v>
      </c>
      <c r="C78" s="7" t="s">
        <v>169</v>
      </c>
      <c r="D78" s="7" t="s">
        <v>169</v>
      </c>
      <c r="E78" s="8">
        <v>20904.0</v>
      </c>
      <c r="F78" s="8">
        <v>5048.0</v>
      </c>
      <c r="G78" s="8">
        <v>5180.0</v>
      </c>
      <c r="H78" s="8">
        <v>5190.0</v>
      </c>
      <c r="I78" s="8">
        <v>5278.0</v>
      </c>
      <c r="J78" s="8">
        <v>5287.0</v>
      </c>
      <c r="K78" s="8">
        <v>5297.0</v>
      </c>
      <c r="L78" s="8">
        <v>0.0</v>
      </c>
      <c r="M78" s="8">
        <v>0.0</v>
      </c>
      <c r="N78" s="8">
        <v>0.0</v>
      </c>
      <c r="O78" s="8">
        <v>2.0</v>
      </c>
      <c r="P78" s="8">
        <v>0.0</v>
      </c>
      <c r="Q78" s="8">
        <v>0.0</v>
      </c>
      <c r="R78" s="18">
        <f t="shared" ref="R78:T78" si="155">(L78/F78)*1000000</f>
        <v>0</v>
      </c>
      <c r="S78" s="18">
        <f t="shared" si="155"/>
        <v>0</v>
      </c>
      <c r="T78" s="18">
        <f t="shared" si="155"/>
        <v>0</v>
      </c>
      <c r="U78" s="18">
        <f t="shared" si="4"/>
        <v>0</v>
      </c>
      <c r="V78" s="18">
        <f t="shared" ref="V78:X78" si="156">(O78/I78)*1000000</f>
        <v>378.9314134</v>
      </c>
      <c r="W78" s="18">
        <f t="shared" si="156"/>
        <v>0</v>
      </c>
      <c r="X78" s="18">
        <f t="shared" si="156"/>
        <v>0</v>
      </c>
      <c r="Y78" s="18">
        <f t="shared" si="6"/>
        <v>126.3104711</v>
      </c>
    </row>
    <row r="79" ht="14.25" customHeight="1">
      <c r="A79" s="7" t="s">
        <v>78</v>
      </c>
      <c r="B79" s="7" t="s">
        <v>162</v>
      </c>
      <c r="C79" s="7" t="s">
        <v>171</v>
      </c>
      <c r="D79" s="7" t="s">
        <v>171</v>
      </c>
      <c r="E79" s="8">
        <v>20905.0</v>
      </c>
      <c r="F79" s="8">
        <v>11353.0</v>
      </c>
      <c r="G79" s="8">
        <v>11355.0</v>
      </c>
      <c r="H79" s="8">
        <v>11542.0</v>
      </c>
      <c r="I79" s="8">
        <v>13224.0</v>
      </c>
      <c r="J79" s="8">
        <v>13411.0</v>
      </c>
      <c r="K79" s="8">
        <v>13598.0</v>
      </c>
      <c r="L79" s="8">
        <v>0.0</v>
      </c>
      <c r="M79" s="8">
        <v>0.0</v>
      </c>
      <c r="N79" s="8">
        <v>0.0</v>
      </c>
      <c r="O79" s="8">
        <v>0.0</v>
      </c>
      <c r="P79" s="8">
        <v>0.0</v>
      </c>
      <c r="Q79" s="8">
        <v>0.0</v>
      </c>
      <c r="R79" s="18">
        <f t="shared" ref="R79:T79" si="157">(L79/F79)*1000000</f>
        <v>0</v>
      </c>
      <c r="S79" s="18">
        <f t="shared" si="157"/>
        <v>0</v>
      </c>
      <c r="T79" s="18">
        <f t="shared" si="157"/>
        <v>0</v>
      </c>
      <c r="U79" s="18">
        <f t="shared" si="4"/>
        <v>0</v>
      </c>
      <c r="V79" s="18">
        <f t="shared" ref="V79:X79" si="158">(O79/I79)*1000000</f>
        <v>0</v>
      </c>
      <c r="W79" s="18">
        <f t="shared" si="158"/>
        <v>0</v>
      </c>
      <c r="X79" s="18">
        <f t="shared" si="158"/>
        <v>0</v>
      </c>
      <c r="Y79" s="18">
        <f t="shared" si="6"/>
        <v>0</v>
      </c>
    </row>
    <row r="80" ht="14.25" customHeight="1">
      <c r="A80" s="7" t="s">
        <v>78</v>
      </c>
      <c r="B80" s="7" t="s">
        <v>173</v>
      </c>
      <c r="C80" s="7" t="s">
        <v>173</v>
      </c>
      <c r="D80" s="7" t="s">
        <v>173</v>
      </c>
      <c r="E80" s="8">
        <v>21001.0</v>
      </c>
      <c r="F80" s="8">
        <v>14847.0</v>
      </c>
      <c r="G80" s="8">
        <v>14717.0</v>
      </c>
      <c r="H80" s="8">
        <v>15047.0</v>
      </c>
      <c r="I80" s="8">
        <v>18019.0</v>
      </c>
      <c r="J80" s="8">
        <v>18349.0</v>
      </c>
      <c r="K80" s="8">
        <v>18679.0</v>
      </c>
      <c r="L80" s="8">
        <v>1.0</v>
      </c>
      <c r="M80" s="8">
        <v>2.0</v>
      </c>
      <c r="N80" s="8">
        <v>0.0</v>
      </c>
      <c r="O80" s="8">
        <v>0.0</v>
      </c>
      <c r="P80" s="8">
        <v>0.0</v>
      </c>
      <c r="Q80" s="8">
        <v>1.0</v>
      </c>
      <c r="R80" s="18">
        <f t="shared" ref="R80:T80" si="159">(L80/F80)*1000000</f>
        <v>67.35367414</v>
      </c>
      <c r="S80" s="18">
        <f t="shared" si="159"/>
        <v>135.8972617</v>
      </c>
      <c r="T80" s="18">
        <f t="shared" si="159"/>
        <v>0</v>
      </c>
      <c r="U80" s="18">
        <f t="shared" si="4"/>
        <v>67.75031194</v>
      </c>
      <c r="V80" s="18">
        <f t="shared" ref="V80:X80" si="160">(O80/I80)*1000000</f>
        <v>0</v>
      </c>
      <c r="W80" s="18">
        <f t="shared" si="160"/>
        <v>0</v>
      </c>
      <c r="X80" s="18">
        <f t="shared" si="160"/>
        <v>53.53605653</v>
      </c>
      <c r="Y80" s="18">
        <f t="shared" si="6"/>
        <v>17.84535218</v>
      </c>
    </row>
    <row r="81" ht="14.25" customHeight="1">
      <c r="A81" s="7" t="s">
        <v>78</v>
      </c>
      <c r="B81" s="7" t="s">
        <v>173</v>
      </c>
      <c r="C81" s="7" t="s">
        <v>175</v>
      </c>
      <c r="D81" s="7" t="s">
        <v>175</v>
      </c>
      <c r="E81" s="8">
        <v>21002.0</v>
      </c>
      <c r="F81" s="8">
        <v>8182.0</v>
      </c>
      <c r="G81" s="8">
        <v>8266.0</v>
      </c>
      <c r="H81" s="8">
        <v>8484.0</v>
      </c>
      <c r="I81" s="8">
        <v>10450.0</v>
      </c>
      <c r="J81" s="8">
        <v>10669.0</v>
      </c>
      <c r="K81" s="8">
        <v>10887.0</v>
      </c>
      <c r="L81" s="8">
        <v>0.0</v>
      </c>
      <c r="M81" s="8">
        <v>2.0</v>
      </c>
      <c r="N81" s="8">
        <v>0.0</v>
      </c>
      <c r="O81" s="8">
        <v>2.0</v>
      </c>
      <c r="P81" s="8">
        <v>1.0</v>
      </c>
      <c r="Q81" s="8">
        <v>0.0</v>
      </c>
      <c r="R81" s="18">
        <f t="shared" ref="R81:T81" si="161">(L81/F81)*1000000</f>
        <v>0</v>
      </c>
      <c r="S81" s="18">
        <f t="shared" si="161"/>
        <v>241.9549964</v>
      </c>
      <c r="T81" s="18">
        <f t="shared" si="161"/>
        <v>0</v>
      </c>
      <c r="U81" s="18">
        <f t="shared" si="4"/>
        <v>80.65166546</v>
      </c>
      <c r="V81" s="18">
        <f t="shared" ref="V81:X81" si="162">(O81/I81)*1000000</f>
        <v>191.3875598</v>
      </c>
      <c r="W81" s="18">
        <f t="shared" si="162"/>
        <v>93.72949667</v>
      </c>
      <c r="X81" s="18">
        <f t="shared" si="162"/>
        <v>0</v>
      </c>
      <c r="Y81" s="18">
        <f t="shared" si="6"/>
        <v>95.03901883</v>
      </c>
    </row>
    <row r="82" ht="14.25" customHeight="1">
      <c r="A82" s="7" t="s">
        <v>78</v>
      </c>
      <c r="B82" s="7" t="s">
        <v>173</v>
      </c>
      <c r="C82" s="7" t="s">
        <v>177</v>
      </c>
      <c r="D82" s="7" t="s">
        <v>177</v>
      </c>
      <c r="E82" s="8">
        <v>21003.0</v>
      </c>
      <c r="F82" s="8">
        <v>10212.0</v>
      </c>
      <c r="G82" s="8">
        <v>10458.0</v>
      </c>
      <c r="H82" s="8">
        <v>10884.0</v>
      </c>
      <c r="I82" s="8">
        <v>14714.0</v>
      </c>
      <c r="J82" s="8">
        <v>15139.0</v>
      </c>
      <c r="K82" s="8">
        <v>15565.0</v>
      </c>
      <c r="L82" s="8">
        <v>0.0</v>
      </c>
      <c r="M82" s="8">
        <v>0.0</v>
      </c>
      <c r="N82" s="8">
        <v>0.0</v>
      </c>
      <c r="O82" s="8">
        <v>0.0</v>
      </c>
      <c r="P82" s="8">
        <v>2.0</v>
      </c>
      <c r="Q82" s="8">
        <v>0.0</v>
      </c>
      <c r="R82" s="18">
        <f t="shared" ref="R82:T82" si="163">(L82/F82)*1000000</f>
        <v>0</v>
      </c>
      <c r="S82" s="18">
        <f t="shared" si="163"/>
        <v>0</v>
      </c>
      <c r="T82" s="18">
        <f t="shared" si="163"/>
        <v>0</v>
      </c>
      <c r="U82" s="18">
        <f t="shared" si="4"/>
        <v>0</v>
      </c>
      <c r="V82" s="18">
        <f t="shared" ref="V82:X82" si="164">(O82/I82)*1000000</f>
        <v>0</v>
      </c>
      <c r="W82" s="18">
        <f t="shared" si="164"/>
        <v>132.1091221</v>
      </c>
      <c r="X82" s="18">
        <f t="shared" si="164"/>
        <v>0</v>
      </c>
      <c r="Y82" s="18">
        <f t="shared" si="6"/>
        <v>44.03637404</v>
      </c>
    </row>
    <row r="83" ht="14.25" customHeight="1">
      <c r="A83" s="7" t="s">
        <v>78</v>
      </c>
      <c r="B83" s="7" t="s">
        <v>173</v>
      </c>
      <c r="C83" s="7" t="s">
        <v>179</v>
      </c>
      <c r="D83" s="7" t="s">
        <v>179</v>
      </c>
      <c r="E83" s="8">
        <v>21004.0</v>
      </c>
      <c r="F83" s="8">
        <v>19505.0</v>
      </c>
      <c r="G83" s="8">
        <v>19620.0</v>
      </c>
      <c r="H83" s="8">
        <v>19944.0</v>
      </c>
      <c r="I83" s="8">
        <v>22858.0</v>
      </c>
      <c r="J83" s="8">
        <v>23181.0</v>
      </c>
      <c r="K83" s="8">
        <v>23505.0</v>
      </c>
      <c r="L83" s="8">
        <v>0.0</v>
      </c>
      <c r="M83" s="8">
        <v>1.0</v>
      </c>
      <c r="N83" s="8">
        <v>0.0</v>
      </c>
      <c r="O83" s="8">
        <v>2.0</v>
      </c>
      <c r="P83" s="8">
        <v>4.0</v>
      </c>
      <c r="Q83" s="8">
        <v>1.0</v>
      </c>
      <c r="R83" s="18">
        <f t="shared" ref="R83:T83" si="165">(L83/F83)*1000000</f>
        <v>0</v>
      </c>
      <c r="S83" s="18">
        <f t="shared" si="165"/>
        <v>50.96839959</v>
      </c>
      <c r="T83" s="18">
        <f t="shared" si="165"/>
        <v>0</v>
      </c>
      <c r="U83" s="18">
        <f t="shared" si="4"/>
        <v>16.98946653</v>
      </c>
      <c r="V83" s="18">
        <f t="shared" ref="V83:X83" si="166">(O83/I83)*1000000</f>
        <v>87.49671887</v>
      </c>
      <c r="W83" s="18">
        <f t="shared" si="166"/>
        <v>172.5551098</v>
      </c>
      <c r="X83" s="18">
        <f t="shared" si="166"/>
        <v>42.54413954</v>
      </c>
      <c r="Y83" s="18">
        <f t="shared" si="6"/>
        <v>100.8653227</v>
      </c>
    </row>
    <row r="84" ht="14.25" customHeight="1">
      <c r="A84" s="7" t="s">
        <v>78</v>
      </c>
      <c r="B84" s="7" t="s">
        <v>173</v>
      </c>
      <c r="C84" s="7" t="s">
        <v>181</v>
      </c>
      <c r="D84" s="7" t="s">
        <v>181</v>
      </c>
      <c r="E84" s="8">
        <v>21005.0</v>
      </c>
      <c r="F84" s="8">
        <v>7815.0</v>
      </c>
      <c r="G84" s="8">
        <v>7913.0</v>
      </c>
      <c r="H84" s="8">
        <v>8050.0</v>
      </c>
      <c r="I84" s="8">
        <v>9279.0</v>
      </c>
      <c r="J84" s="8">
        <v>9415.0</v>
      </c>
      <c r="K84" s="8">
        <v>9552.0</v>
      </c>
      <c r="L84" s="8">
        <v>0.0</v>
      </c>
      <c r="M84" s="8">
        <v>0.0</v>
      </c>
      <c r="N84" s="8">
        <v>0.0</v>
      </c>
      <c r="O84" s="8">
        <v>0.0</v>
      </c>
      <c r="P84" s="8">
        <v>0.0</v>
      </c>
      <c r="Q84" s="8">
        <v>0.0</v>
      </c>
      <c r="R84" s="18">
        <f t="shared" ref="R84:T84" si="167">(L84/F84)*1000000</f>
        <v>0</v>
      </c>
      <c r="S84" s="18">
        <f t="shared" si="167"/>
        <v>0</v>
      </c>
      <c r="T84" s="18">
        <f t="shared" si="167"/>
        <v>0</v>
      </c>
      <c r="U84" s="18">
        <f t="shared" si="4"/>
        <v>0</v>
      </c>
      <c r="V84" s="18">
        <f t="shared" ref="V84:X84" si="168">(O84/I84)*1000000</f>
        <v>0</v>
      </c>
      <c r="W84" s="18">
        <f t="shared" si="168"/>
        <v>0</v>
      </c>
      <c r="X84" s="18">
        <f t="shared" si="168"/>
        <v>0</v>
      </c>
      <c r="Y84" s="18">
        <f t="shared" si="6"/>
        <v>0</v>
      </c>
    </row>
    <row r="85" ht="14.25" customHeight="1">
      <c r="A85" s="7" t="s">
        <v>78</v>
      </c>
      <c r="B85" s="7" t="s">
        <v>173</v>
      </c>
      <c r="C85" s="7" t="s">
        <v>183</v>
      </c>
      <c r="D85" s="7" t="s">
        <v>183</v>
      </c>
      <c r="E85" s="8">
        <v>21006.0</v>
      </c>
      <c r="F85" s="8">
        <v>5238.0</v>
      </c>
      <c r="G85" s="8">
        <v>5488.0</v>
      </c>
      <c r="H85" s="8">
        <v>5687.0</v>
      </c>
      <c r="I85" s="8">
        <v>7479.0</v>
      </c>
      <c r="J85" s="8">
        <v>7678.0</v>
      </c>
      <c r="K85" s="8">
        <v>7877.0</v>
      </c>
      <c r="L85" s="8">
        <v>0.0</v>
      </c>
      <c r="M85" s="8">
        <v>0.0</v>
      </c>
      <c r="N85" s="8">
        <v>0.0</v>
      </c>
      <c r="O85" s="8">
        <v>0.0</v>
      </c>
      <c r="P85" s="8">
        <v>0.0</v>
      </c>
      <c r="Q85" s="8">
        <v>0.0</v>
      </c>
      <c r="R85" s="18">
        <f t="shared" ref="R85:T85" si="169">(L85/F85)*1000000</f>
        <v>0</v>
      </c>
      <c r="S85" s="18">
        <f t="shared" si="169"/>
        <v>0</v>
      </c>
      <c r="T85" s="18">
        <f t="shared" si="169"/>
        <v>0</v>
      </c>
      <c r="U85" s="18">
        <f t="shared" si="4"/>
        <v>0</v>
      </c>
      <c r="V85" s="18">
        <f t="shared" ref="V85:X85" si="170">(O85/I85)*1000000</f>
        <v>0</v>
      </c>
      <c r="W85" s="18">
        <f t="shared" si="170"/>
        <v>0</v>
      </c>
      <c r="X85" s="18">
        <f t="shared" si="170"/>
        <v>0</v>
      </c>
      <c r="Y85" s="18">
        <f t="shared" si="6"/>
        <v>0</v>
      </c>
    </row>
    <row r="86" ht="14.25" customHeight="1">
      <c r="A86" s="7" t="s">
        <v>78</v>
      </c>
      <c r="B86" s="7" t="s">
        <v>185</v>
      </c>
      <c r="C86" s="7" t="s">
        <v>186</v>
      </c>
      <c r="D86" s="7" t="s">
        <v>549</v>
      </c>
      <c r="E86" s="8">
        <v>21101.0</v>
      </c>
      <c r="F86" s="8">
        <v>17403.0</v>
      </c>
      <c r="G86" s="8">
        <v>17823.0</v>
      </c>
      <c r="H86" s="8">
        <v>17863.0</v>
      </c>
      <c r="I86" s="8">
        <v>18223.0</v>
      </c>
      <c r="J86" s="8">
        <v>18263.0</v>
      </c>
      <c r="K86" s="8">
        <v>18303.0</v>
      </c>
      <c r="L86" s="8">
        <v>0.0</v>
      </c>
      <c r="M86" s="8">
        <v>3.0</v>
      </c>
      <c r="N86" s="8">
        <v>2.0</v>
      </c>
      <c r="O86" s="8">
        <v>4.0</v>
      </c>
      <c r="P86" s="8">
        <v>1.0</v>
      </c>
      <c r="Q86" s="8">
        <v>2.0</v>
      </c>
      <c r="R86" s="18">
        <f t="shared" ref="R86:T86" si="171">(L86/F86)*1000000</f>
        <v>0</v>
      </c>
      <c r="S86" s="18">
        <f t="shared" si="171"/>
        <v>168.3218313</v>
      </c>
      <c r="T86" s="18">
        <f t="shared" si="171"/>
        <v>111.963276</v>
      </c>
      <c r="U86" s="18">
        <f t="shared" si="4"/>
        <v>93.42836913</v>
      </c>
      <c r="V86" s="18">
        <f t="shared" ref="V86:X86" si="172">(O86/I86)*1000000</f>
        <v>219.5028261</v>
      </c>
      <c r="W86" s="18">
        <f t="shared" si="172"/>
        <v>54.75551662</v>
      </c>
      <c r="X86" s="18">
        <f t="shared" si="172"/>
        <v>109.2717041</v>
      </c>
      <c r="Y86" s="18">
        <f t="shared" si="6"/>
        <v>127.8433489</v>
      </c>
    </row>
    <row r="87" ht="14.25" customHeight="1">
      <c r="A87" s="7" t="s">
        <v>78</v>
      </c>
      <c r="B87" s="7" t="s">
        <v>185</v>
      </c>
      <c r="C87" s="7" t="s">
        <v>188</v>
      </c>
      <c r="D87" s="7" t="s">
        <v>550</v>
      </c>
      <c r="E87" s="8">
        <v>21102.0</v>
      </c>
      <c r="F87" s="8">
        <v>16740.0</v>
      </c>
      <c r="G87" s="8">
        <v>17276.0</v>
      </c>
      <c r="H87" s="8">
        <v>17776.0</v>
      </c>
      <c r="I87" s="8">
        <v>22279.0</v>
      </c>
      <c r="J87" s="8">
        <v>22779.0</v>
      </c>
      <c r="K87" s="8">
        <v>23279.0</v>
      </c>
      <c r="L87" s="8">
        <v>0.0</v>
      </c>
      <c r="M87" s="8">
        <v>0.0</v>
      </c>
      <c r="N87" s="8">
        <v>0.0</v>
      </c>
      <c r="O87" s="8">
        <v>1.0</v>
      </c>
      <c r="P87" s="8">
        <v>3.0</v>
      </c>
      <c r="Q87" s="8">
        <v>2.0</v>
      </c>
      <c r="R87" s="18">
        <f t="shared" ref="R87:T87" si="173">(L87/F87)*1000000</f>
        <v>0</v>
      </c>
      <c r="S87" s="18">
        <f t="shared" si="173"/>
        <v>0</v>
      </c>
      <c r="T87" s="18">
        <f t="shared" si="173"/>
        <v>0</v>
      </c>
      <c r="U87" s="18">
        <f t="shared" si="4"/>
        <v>0</v>
      </c>
      <c r="V87" s="18">
        <f t="shared" ref="V87:X87" si="174">(O87/I87)*1000000</f>
        <v>44.88531801</v>
      </c>
      <c r="W87" s="18">
        <f t="shared" si="174"/>
        <v>131.7002502</v>
      </c>
      <c r="X87" s="18">
        <f t="shared" si="174"/>
        <v>85.9143434</v>
      </c>
      <c r="Y87" s="18">
        <f t="shared" si="6"/>
        <v>87.49997055</v>
      </c>
    </row>
    <row r="88" ht="14.25" customHeight="1">
      <c r="A88" s="7" t="s">
        <v>78</v>
      </c>
      <c r="B88" s="7" t="s">
        <v>185</v>
      </c>
      <c r="C88" s="7" t="s">
        <v>190</v>
      </c>
      <c r="D88" s="7" t="s">
        <v>190</v>
      </c>
      <c r="E88" s="8">
        <v>21103.0</v>
      </c>
      <c r="F88" s="8">
        <v>6223.0</v>
      </c>
      <c r="G88" s="8">
        <v>6420.0</v>
      </c>
      <c r="H88" s="8">
        <v>6520.0</v>
      </c>
      <c r="I88" s="8">
        <v>7416.0</v>
      </c>
      <c r="J88" s="8">
        <v>7515.0</v>
      </c>
      <c r="K88" s="8">
        <v>7615.0</v>
      </c>
      <c r="L88" s="8">
        <v>0.0</v>
      </c>
      <c r="M88" s="8">
        <v>0.0</v>
      </c>
      <c r="N88" s="8">
        <v>0.0</v>
      </c>
      <c r="O88" s="8">
        <v>0.0</v>
      </c>
      <c r="P88" s="8">
        <v>0.0</v>
      </c>
      <c r="Q88" s="8">
        <v>0.0</v>
      </c>
      <c r="R88" s="18">
        <f t="shared" ref="R88:T88" si="175">(L88/F88)*1000000</f>
        <v>0</v>
      </c>
      <c r="S88" s="18">
        <f t="shared" si="175"/>
        <v>0</v>
      </c>
      <c r="T88" s="18">
        <f t="shared" si="175"/>
        <v>0</v>
      </c>
      <c r="U88" s="18">
        <f t="shared" si="4"/>
        <v>0</v>
      </c>
      <c r="V88" s="18">
        <f t="shared" ref="V88:X88" si="176">(O88/I88)*1000000</f>
        <v>0</v>
      </c>
      <c r="W88" s="18">
        <f t="shared" si="176"/>
        <v>0</v>
      </c>
      <c r="X88" s="18">
        <f t="shared" si="176"/>
        <v>0</v>
      </c>
      <c r="Y88" s="18">
        <f t="shared" si="6"/>
        <v>0</v>
      </c>
    </row>
    <row r="89" ht="14.25" customHeight="1">
      <c r="A89" s="7" t="s">
        <v>78</v>
      </c>
      <c r="B89" s="7" t="s">
        <v>185</v>
      </c>
      <c r="C89" s="7" t="s">
        <v>192</v>
      </c>
      <c r="D89" s="7" t="s">
        <v>192</v>
      </c>
      <c r="E89" s="8">
        <v>21104.0</v>
      </c>
      <c r="F89" s="8">
        <v>24009.0</v>
      </c>
      <c r="G89" s="8">
        <v>24731.0</v>
      </c>
      <c r="H89" s="8">
        <v>24932.0</v>
      </c>
      <c r="I89" s="8">
        <v>26736.0</v>
      </c>
      <c r="J89" s="8">
        <v>26937.0</v>
      </c>
      <c r="K89" s="8">
        <v>27137.0</v>
      </c>
      <c r="L89" s="8">
        <v>0.0</v>
      </c>
      <c r="M89" s="8">
        <v>0.0</v>
      </c>
      <c r="N89" s="8">
        <v>0.0</v>
      </c>
      <c r="O89" s="8">
        <v>5.0</v>
      </c>
      <c r="P89" s="8">
        <v>4.0</v>
      </c>
      <c r="Q89" s="8">
        <v>4.0</v>
      </c>
      <c r="R89" s="18">
        <f t="shared" ref="R89:T89" si="177">(L89/F89)*1000000</f>
        <v>0</v>
      </c>
      <c r="S89" s="18">
        <f t="shared" si="177"/>
        <v>0</v>
      </c>
      <c r="T89" s="18">
        <f t="shared" si="177"/>
        <v>0</v>
      </c>
      <c r="U89" s="18">
        <f t="shared" si="4"/>
        <v>0</v>
      </c>
      <c r="V89" s="18">
        <f t="shared" ref="V89:X89" si="178">(O89/I89)*1000000</f>
        <v>187.0137642</v>
      </c>
      <c r="W89" s="18">
        <f t="shared" si="178"/>
        <v>148.4946356</v>
      </c>
      <c r="X89" s="18">
        <f t="shared" si="178"/>
        <v>147.4002285</v>
      </c>
      <c r="Y89" s="18">
        <f t="shared" si="6"/>
        <v>160.9695428</v>
      </c>
    </row>
    <row r="90" ht="14.25" customHeight="1">
      <c r="A90" s="7" t="s">
        <v>78</v>
      </c>
      <c r="B90" s="7" t="s">
        <v>185</v>
      </c>
      <c r="C90" s="7" t="s">
        <v>194</v>
      </c>
      <c r="D90" s="7" t="s">
        <v>194</v>
      </c>
      <c r="E90" s="8">
        <v>21105.0</v>
      </c>
      <c r="F90" s="8">
        <v>38163.0</v>
      </c>
      <c r="G90" s="8">
        <v>40178.0</v>
      </c>
      <c r="H90" s="8">
        <v>40629.0</v>
      </c>
      <c r="I90" s="8">
        <v>44686.0</v>
      </c>
      <c r="J90" s="8">
        <v>45136.0</v>
      </c>
      <c r="K90" s="8">
        <v>45587.0</v>
      </c>
      <c r="L90" s="8">
        <v>1.0</v>
      </c>
      <c r="M90" s="8">
        <v>0.0</v>
      </c>
      <c r="N90" s="8">
        <v>0.0</v>
      </c>
      <c r="O90" s="8">
        <v>3.0</v>
      </c>
      <c r="P90" s="8">
        <v>2.0</v>
      </c>
      <c r="Q90" s="8">
        <v>5.0</v>
      </c>
      <c r="R90" s="18">
        <f t="shared" ref="R90:T90" si="179">(L90/F90)*1000000</f>
        <v>26.20339072</v>
      </c>
      <c r="S90" s="18">
        <f t="shared" si="179"/>
        <v>0</v>
      </c>
      <c r="T90" s="18">
        <f t="shared" si="179"/>
        <v>0</v>
      </c>
      <c r="U90" s="18">
        <f t="shared" si="4"/>
        <v>8.734463573</v>
      </c>
      <c r="V90" s="18">
        <f t="shared" ref="V90:X90" si="180">(O90/I90)*1000000</f>
        <v>67.13512062</v>
      </c>
      <c r="W90" s="18">
        <f t="shared" si="180"/>
        <v>44.31052818</v>
      </c>
      <c r="X90" s="18">
        <f t="shared" si="180"/>
        <v>109.6803913</v>
      </c>
      <c r="Y90" s="18">
        <f t="shared" si="6"/>
        <v>73.70868005</v>
      </c>
    </row>
    <row r="91" ht="14.25" customHeight="1">
      <c r="A91" s="7" t="s">
        <v>78</v>
      </c>
      <c r="B91" s="7" t="s">
        <v>196</v>
      </c>
      <c r="C91" s="7" t="s">
        <v>197</v>
      </c>
      <c r="D91" s="7" t="s">
        <v>197</v>
      </c>
      <c r="E91" s="8">
        <v>21201.0</v>
      </c>
      <c r="F91" s="8">
        <v>29619.0</v>
      </c>
      <c r="G91" s="8">
        <v>30124.0</v>
      </c>
      <c r="H91" s="8">
        <v>31768.0</v>
      </c>
      <c r="I91" s="8">
        <v>46562.0</v>
      </c>
      <c r="J91" s="8">
        <v>48206.0</v>
      </c>
      <c r="K91" s="8">
        <v>49850.0</v>
      </c>
      <c r="L91" s="8">
        <v>0.0</v>
      </c>
      <c r="M91" s="8">
        <v>0.0</v>
      </c>
      <c r="N91" s="8">
        <v>0.0</v>
      </c>
      <c r="O91" s="8">
        <v>1.0</v>
      </c>
      <c r="P91" s="8">
        <v>3.0</v>
      </c>
      <c r="Q91" s="8">
        <v>0.0</v>
      </c>
      <c r="R91" s="18">
        <f t="shared" ref="R91:T91" si="181">(L91/F91)*1000000</f>
        <v>0</v>
      </c>
      <c r="S91" s="18">
        <f t="shared" si="181"/>
        <v>0</v>
      </c>
      <c r="T91" s="18">
        <f t="shared" si="181"/>
        <v>0</v>
      </c>
      <c r="U91" s="18">
        <f t="shared" si="4"/>
        <v>0</v>
      </c>
      <c r="V91" s="18">
        <f t="shared" ref="V91:X91" si="182">(O91/I91)*1000000</f>
        <v>21.47674069</v>
      </c>
      <c r="W91" s="18">
        <f t="shared" si="182"/>
        <v>62.23291706</v>
      </c>
      <c r="X91" s="18">
        <f t="shared" si="182"/>
        <v>0</v>
      </c>
      <c r="Y91" s="18">
        <f t="shared" si="6"/>
        <v>27.90321925</v>
      </c>
    </row>
    <row r="92" ht="14.25" customHeight="1">
      <c r="A92" s="7" t="s">
        <v>78</v>
      </c>
      <c r="B92" s="7" t="s">
        <v>196</v>
      </c>
      <c r="C92" s="7" t="s">
        <v>199</v>
      </c>
      <c r="D92" s="7" t="s">
        <v>199</v>
      </c>
      <c r="E92" s="8">
        <v>21202.0</v>
      </c>
      <c r="F92" s="8">
        <v>23784.0</v>
      </c>
      <c r="G92" s="8">
        <v>24531.0</v>
      </c>
      <c r="H92" s="8">
        <v>25708.0</v>
      </c>
      <c r="I92" s="8">
        <v>36299.0</v>
      </c>
      <c r="J92" s="8">
        <v>37475.0</v>
      </c>
      <c r="K92" s="8">
        <v>38652.0</v>
      </c>
      <c r="L92" s="8">
        <v>0.0</v>
      </c>
      <c r="M92" s="8">
        <v>0.0</v>
      </c>
      <c r="N92" s="8">
        <v>0.0</v>
      </c>
      <c r="O92" s="8">
        <v>0.0</v>
      </c>
      <c r="P92" s="8">
        <v>1.0</v>
      </c>
      <c r="Q92" s="8">
        <v>0.0</v>
      </c>
      <c r="R92" s="18">
        <f t="shared" ref="R92:T92" si="183">(L92/F92)*1000000</f>
        <v>0</v>
      </c>
      <c r="S92" s="18">
        <f t="shared" si="183"/>
        <v>0</v>
      </c>
      <c r="T92" s="18">
        <f t="shared" si="183"/>
        <v>0</v>
      </c>
      <c r="U92" s="18">
        <f t="shared" si="4"/>
        <v>0</v>
      </c>
      <c r="V92" s="18">
        <f t="shared" ref="V92:X92" si="184">(O92/I92)*1000000</f>
        <v>0</v>
      </c>
      <c r="W92" s="18">
        <f t="shared" si="184"/>
        <v>26.6844563</v>
      </c>
      <c r="X92" s="18">
        <f t="shared" si="184"/>
        <v>0</v>
      </c>
      <c r="Y92" s="18">
        <f t="shared" si="6"/>
        <v>8.894818768</v>
      </c>
    </row>
    <row r="93" ht="14.25" customHeight="1">
      <c r="A93" s="7" t="s">
        <v>78</v>
      </c>
      <c r="B93" s="7" t="s">
        <v>196</v>
      </c>
      <c r="C93" s="7" t="s">
        <v>201</v>
      </c>
      <c r="D93" s="7" t="s">
        <v>201</v>
      </c>
      <c r="E93" s="8">
        <v>21203.0</v>
      </c>
      <c r="F93" s="8">
        <v>17744.0</v>
      </c>
      <c r="G93" s="8">
        <v>17426.0</v>
      </c>
      <c r="H93" s="8">
        <v>17691.0</v>
      </c>
      <c r="I93" s="8">
        <v>20077.0</v>
      </c>
      <c r="J93" s="8">
        <v>20342.0</v>
      </c>
      <c r="K93" s="8">
        <v>20607.0</v>
      </c>
      <c r="L93" s="8">
        <v>0.0</v>
      </c>
      <c r="M93" s="8">
        <v>0.0</v>
      </c>
      <c r="N93" s="8">
        <v>0.0</v>
      </c>
      <c r="O93" s="8">
        <v>0.0</v>
      </c>
      <c r="P93" s="8">
        <v>3.0</v>
      </c>
      <c r="Q93" s="8">
        <v>0.0</v>
      </c>
      <c r="R93" s="18">
        <f t="shared" ref="R93:T93" si="185">(L93/F93)*1000000</f>
        <v>0</v>
      </c>
      <c r="S93" s="18">
        <f t="shared" si="185"/>
        <v>0</v>
      </c>
      <c r="T93" s="18">
        <f t="shared" si="185"/>
        <v>0</v>
      </c>
      <c r="U93" s="18">
        <f t="shared" si="4"/>
        <v>0</v>
      </c>
      <c r="V93" s="18">
        <f t="shared" ref="V93:X93" si="186">(O93/I93)*1000000</f>
        <v>0</v>
      </c>
      <c r="W93" s="18">
        <f t="shared" si="186"/>
        <v>147.4781241</v>
      </c>
      <c r="X93" s="18">
        <f t="shared" si="186"/>
        <v>0</v>
      </c>
      <c r="Y93" s="18">
        <f t="shared" si="6"/>
        <v>49.15937469</v>
      </c>
    </row>
    <row r="94" ht="14.25" customHeight="1">
      <c r="A94" s="7" t="s">
        <v>78</v>
      </c>
      <c r="B94" s="7" t="s">
        <v>196</v>
      </c>
      <c r="C94" s="7" t="s">
        <v>203</v>
      </c>
      <c r="D94" s="7" t="s">
        <v>203</v>
      </c>
      <c r="E94" s="8">
        <v>21204.0</v>
      </c>
      <c r="F94" s="8">
        <v>6619.0</v>
      </c>
      <c r="G94" s="8">
        <v>6498.0</v>
      </c>
      <c r="H94" s="8">
        <v>6615.0</v>
      </c>
      <c r="I94" s="8">
        <v>7666.0</v>
      </c>
      <c r="J94" s="8">
        <v>7783.0</v>
      </c>
      <c r="K94" s="8">
        <v>7900.0</v>
      </c>
      <c r="L94" s="8">
        <v>0.0</v>
      </c>
      <c r="M94" s="8">
        <v>0.0</v>
      </c>
      <c r="N94" s="8">
        <v>0.0</v>
      </c>
      <c r="O94" s="8">
        <v>1.0</v>
      </c>
      <c r="P94" s="8">
        <v>0.0</v>
      </c>
      <c r="Q94" s="8">
        <v>0.0</v>
      </c>
      <c r="R94" s="18">
        <f t="shared" ref="R94:T94" si="187">(L94/F94)*1000000</f>
        <v>0</v>
      </c>
      <c r="S94" s="18">
        <f t="shared" si="187"/>
        <v>0</v>
      </c>
      <c r="T94" s="18">
        <f t="shared" si="187"/>
        <v>0</v>
      </c>
      <c r="U94" s="18">
        <f t="shared" si="4"/>
        <v>0</v>
      </c>
      <c r="V94" s="18">
        <f t="shared" ref="V94:X94" si="188">(O94/I94)*1000000</f>
        <v>130.4461258</v>
      </c>
      <c r="W94" s="18">
        <f t="shared" si="188"/>
        <v>0</v>
      </c>
      <c r="X94" s="18">
        <f t="shared" si="188"/>
        <v>0</v>
      </c>
      <c r="Y94" s="18">
        <f t="shared" si="6"/>
        <v>43.48204192</v>
      </c>
    </row>
    <row r="95" ht="14.25" customHeight="1">
      <c r="A95" s="7" t="s">
        <v>78</v>
      </c>
      <c r="B95" s="7" t="s">
        <v>204</v>
      </c>
      <c r="C95" s="7" t="s">
        <v>205</v>
      </c>
      <c r="D95" s="7" t="s">
        <v>551</v>
      </c>
      <c r="E95" s="8">
        <v>21301.0</v>
      </c>
      <c r="F95" s="8">
        <v>30903.0</v>
      </c>
      <c r="G95" s="8">
        <v>31312.0</v>
      </c>
      <c r="H95" s="8">
        <v>31526.0</v>
      </c>
      <c r="I95" s="8">
        <v>33456.0</v>
      </c>
      <c r="J95" s="8">
        <v>33671.0</v>
      </c>
      <c r="K95" s="8">
        <v>33885.0</v>
      </c>
      <c r="L95" s="8">
        <v>0.0</v>
      </c>
      <c r="M95" s="8">
        <v>0.0</v>
      </c>
      <c r="N95" s="8">
        <v>0.0</v>
      </c>
      <c r="O95" s="8">
        <v>1.0</v>
      </c>
      <c r="P95" s="8">
        <v>0.0</v>
      </c>
      <c r="Q95" s="8">
        <v>1.0</v>
      </c>
      <c r="R95" s="18">
        <f t="shared" ref="R95:T95" si="189">(L95/F95)*1000000</f>
        <v>0</v>
      </c>
      <c r="S95" s="18">
        <f t="shared" si="189"/>
        <v>0</v>
      </c>
      <c r="T95" s="18">
        <f t="shared" si="189"/>
        <v>0</v>
      </c>
      <c r="U95" s="18">
        <f t="shared" si="4"/>
        <v>0</v>
      </c>
      <c r="V95" s="18">
        <f t="shared" ref="V95:X95" si="190">(O95/I95)*1000000</f>
        <v>29.89000478</v>
      </c>
      <c r="W95" s="18">
        <f t="shared" si="190"/>
        <v>0</v>
      </c>
      <c r="X95" s="18">
        <f t="shared" si="190"/>
        <v>29.5115833</v>
      </c>
      <c r="Y95" s="18">
        <f t="shared" si="6"/>
        <v>19.80052936</v>
      </c>
    </row>
    <row r="96" ht="14.25" customHeight="1">
      <c r="A96" s="7" t="s">
        <v>78</v>
      </c>
      <c r="B96" s="7" t="s">
        <v>204</v>
      </c>
      <c r="C96" s="7" t="s">
        <v>206</v>
      </c>
      <c r="D96" s="7" t="s">
        <v>206</v>
      </c>
      <c r="E96" s="8">
        <v>21302.0</v>
      </c>
      <c r="F96" s="8">
        <v>8965.0</v>
      </c>
      <c r="G96" s="8">
        <v>8903.0</v>
      </c>
      <c r="H96" s="8">
        <v>8920.0</v>
      </c>
      <c r="I96" s="8">
        <v>9069.0</v>
      </c>
      <c r="J96" s="8">
        <v>9085.0</v>
      </c>
      <c r="K96" s="8">
        <v>9102.0</v>
      </c>
      <c r="L96" s="8">
        <v>0.0</v>
      </c>
      <c r="M96" s="8">
        <v>0.0</v>
      </c>
      <c r="N96" s="8">
        <v>0.0</v>
      </c>
      <c r="O96" s="8">
        <v>0.0</v>
      </c>
      <c r="P96" s="8">
        <v>0.0</v>
      </c>
      <c r="Q96" s="8">
        <v>0.0</v>
      </c>
      <c r="R96" s="18">
        <f t="shared" ref="R96:T96" si="191">(L96/F96)*1000000</f>
        <v>0</v>
      </c>
      <c r="S96" s="18">
        <f t="shared" si="191"/>
        <v>0</v>
      </c>
      <c r="T96" s="18">
        <f t="shared" si="191"/>
        <v>0</v>
      </c>
      <c r="U96" s="18">
        <f t="shared" si="4"/>
        <v>0</v>
      </c>
      <c r="V96" s="18">
        <f t="shared" ref="V96:X96" si="192">(O96/I96)*1000000</f>
        <v>0</v>
      </c>
      <c r="W96" s="18">
        <f t="shared" si="192"/>
        <v>0</v>
      </c>
      <c r="X96" s="18">
        <f t="shared" si="192"/>
        <v>0</v>
      </c>
      <c r="Y96" s="18">
        <f t="shared" si="6"/>
        <v>0</v>
      </c>
    </row>
    <row r="97" ht="14.25" customHeight="1">
      <c r="A97" s="7" t="s">
        <v>78</v>
      </c>
      <c r="B97" s="7" t="s">
        <v>204</v>
      </c>
      <c r="C97" s="7" t="s">
        <v>207</v>
      </c>
      <c r="D97" s="7" t="s">
        <v>207</v>
      </c>
      <c r="E97" s="8">
        <v>21303.0</v>
      </c>
      <c r="F97" s="8">
        <v>7724.0</v>
      </c>
      <c r="G97" s="8">
        <v>7798.0</v>
      </c>
      <c r="H97" s="8">
        <v>8086.0</v>
      </c>
      <c r="I97" s="8">
        <v>10681.0</v>
      </c>
      <c r="J97" s="8">
        <v>10970.0</v>
      </c>
      <c r="K97" s="8">
        <v>11258.0</v>
      </c>
      <c r="L97" s="8">
        <v>0.0</v>
      </c>
      <c r="M97" s="8">
        <v>0.0</v>
      </c>
      <c r="N97" s="8">
        <v>0.0</v>
      </c>
      <c r="O97" s="8">
        <v>0.0</v>
      </c>
      <c r="P97" s="8">
        <v>0.0</v>
      </c>
      <c r="Q97" s="8">
        <v>1.0</v>
      </c>
      <c r="R97" s="18">
        <f t="shared" ref="R97:T97" si="193">(L97/F97)*1000000</f>
        <v>0</v>
      </c>
      <c r="S97" s="18">
        <f t="shared" si="193"/>
        <v>0</v>
      </c>
      <c r="T97" s="18">
        <f t="shared" si="193"/>
        <v>0</v>
      </c>
      <c r="U97" s="18">
        <f t="shared" si="4"/>
        <v>0</v>
      </c>
      <c r="V97" s="18">
        <f t="shared" ref="V97:X97" si="194">(O97/I97)*1000000</f>
        <v>0</v>
      </c>
      <c r="W97" s="18">
        <f t="shared" si="194"/>
        <v>0</v>
      </c>
      <c r="X97" s="18">
        <f t="shared" si="194"/>
        <v>88.82572393</v>
      </c>
      <c r="Y97" s="18">
        <f t="shared" si="6"/>
        <v>29.60857464</v>
      </c>
    </row>
    <row r="98" ht="14.25" customHeight="1">
      <c r="A98" s="7" t="s">
        <v>78</v>
      </c>
      <c r="B98" s="7" t="s">
        <v>204</v>
      </c>
      <c r="C98" s="7" t="s">
        <v>208</v>
      </c>
      <c r="D98" s="7" t="s">
        <v>208</v>
      </c>
      <c r="E98" s="8">
        <v>21304.0</v>
      </c>
      <c r="F98" s="8">
        <v>12386.0</v>
      </c>
      <c r="G98" s="8">
        <v>12413.0</v>
      </c>
      <c r="H98" s="8">
        <v>12656.0</v>
      </c>
      <c r="I98" s="8">
        <v>14841.0</v>
      </c>
      <c r="J98" s="8">
        <v>15084.0</v>
      </c>
      <c r="K98" s="8">
        <v>15327.0</v>
      </c>
      <c r="L98" s="8">
        <v>0.0</v>
      </c>
      <c r="M98" s="8">
        <v>0.0</v>
      </c>
      <c r="N98" s="8">
        <v>0.0</v>
      </c>
      <c r="O98" s="8">
        <v>2.0</v>
      </c>
      <c r="P98" s="8">
        <v>2.0</v>
      </c>
      <c r="Q98" s="8">
        <v>2.0</v>
      </c>
      <c r="R98" s="18">
        <f t="shared" ref="R98:T98" si="195">(L98/F98)*1000000</f>
        <v>0</v>
      </c>
      <c r="S98" s="18">
        <f t="shared" si="195"/>
        <v>0</v>
      </c>
      <c r="T98" s="18">
        <f t="shared" si="195"/>
        <v>0</v>
      </c>
      <c r="U98" s="18">
        <f t="shared" si="4"/>
        <v>0</v>
      </c>
      <c r="V98" s="18">
        <f t="shared" ref="V98:X98" si="196">(O98/I98)*1000000</f>
        <v>134.7618085</v>
      </c>
      <c r="W98" s="18">
        <f t="shared" si="196"/>
        <v>132.5908247</v>
      </c>
      <c r="X98" s="18">
        <f t="shared" si="196"/>
        <v>130.4886801</v>
      </c>
      <c r="Y98" s="18">
        <f t="shared" si="6"/>
        <v>132.6137711</v>
      </c>
    </row>
    <row r="99" ht="14.25" customHeight="1">
      <c r="A99" s="7" t="s">
        <v>78</v>
      </c>
      <c r="B99" s="7" t="s">
        <v>204</v>
      </c>
      <c r="C99" s="7" t="s">
        <v>209</v>
      </c>
      <c r="D99" s="7" t="s">
        <v>209</v>
      </c>
      <c r="E99" s="8">
        <v>21305.0</v>
      </c>
      <c r="F99" s="8">
        <v>22602.0</v>
      </c>
      <c r="G99" s="8">
        <v>22858.0</v>
      </c>
      <c r="H99" s="8">
        <v>23049.0</v>
      </c>
      <c r="I99" s="8">
        <v>24766.0</v>
      </c>
      <c r="J99" s="8">
        <v>24957.0</v>
      </c>
      <c r="K99" s="8">
        <v>25148.0</v>
      </c>
      <c r="L99" s="8">
        <v>1.0</v>
      </c>
      <c r="M99" s="8">
        <v>2.0</v>
      </c>
      <c r="N99" s="8">
        <v>6.0</v>
      </c>
      <c r="O99" s="8">
        <v>1.0</v>
      </c>
      <c r="P99" s="8">
        <v>2.0</v>
      </c>
      <c r="Q99" s="8">
        <v>1.0</v>
      </c>
      <c r="R99" s="18">
        <f t="shared" ref="R99:T99" si="197">(L99/F99)*1000000</f>
        <v>44.24387222</v>
      </c>
      <c r="S99" s="18">
        <f t="shared" si="197"/>
        <v>87.49671887</v>
      </c>
      <c r="T99" s="18">
        <f t="shared" si="197"/>
        <v>260.3149811</v>
      </c>
      <c r="U99" s="18">
        <f t="shared" si="4"/>
        <v>130.6851907</v>
      </c>
      <c r="V99" s="18">
        <f t="shared" ref="V99:X99" si="198">(O99/I99)*1000000</f>
        <v>40.37793749</v>
      </c>
      <c r="W99" s="18">
        <f t="shared" si="198"/>
        <v>80.13783708</v>
      </c>
      <c r="X99" s="18">
        <f t="shared" si="198"/>
        <v>39.76459361</v>
      </c>
      <c r="Y99" s="18">
        <f t="shared" si="6"/>
        <v>53.42678939</v>
      </c>
    </row>
    <row r="100" ht="14.25" customHeight="1">
      <c r="A100" s="7" t="s">
        <v>78</v>
      </c>
      <c r="B100" s="7" t="s">
        <v>204</v>
      </c>
      <c r="C100" s="7" t="s">
        <v>210</v>
      </c>
      <c r="D100" s="7" t="s">
        <v>210</v>
      </c>
      <c r="E100" s="8">
        <v>21306.0</v>
      </c>
      <c r="F100" s="8">
        <v>9710.0</v>
      </c>
      <c r="G100" s="8">
        <v>9879.0</v>
      </c>
      <c r="H100" s="8">
        <v>10097.0</v>
      </c>
      <c r="I100" s="8">
        <v>12055.0</v>
      </c>
      <c r="J100" s="8">
        <v>12272.0</v>
      </c>
      <c r="K100" s="8">
        <v>12490.0</v>
      </c>
      <c r="L100" s="8">
        <v>0.0</v>
      </c>
      <c r="M100" s="8">
        <v>0.0</v>
      </c>
      <c r="N100" s="8">
        <v>0.0</v>
      </c>
      <c r="O100" s="8">
        <v>0.0</v>
      </c>
      <c r="P100" s="8">
        <v>0.0</v>
      </c>
      <c r="Q100" s="8">
        <v>0.0</v>
      </c>
      <c r="R100" s="18">
        <f t="shared" ref="R100:T100" si="199">(L100/F100)*1000000</f>
        <v>0</v>
      </c>
      <c r="S100" s="18">
        <f t="shared" si="199"/>
        <v>0</v>
      </c>
      <c r="T100" s="18">
        <f t="shared" si="199"/>
        <v>0</v>
      </c>
      <c r="U100" s="18">
        <f t="shared" si="4"/>
        <v>0</v>
      </c>
      <c r="V100" s="18">
        <f t="shared" ref="V100:X100" si="200">(O100/I100)*1000000</f>
        <v>0</v>
      </c>
      <c r="W100" s="18">
        <f t="shared" si="200"/>
        <v>0</v>
      </c>
      <c r="X100" s="18">
        <f t="shared" si="200"/>
        <v>0</v>
      </c>
      <c r="Y100" s="18">
        <f t="shared" si="6"/>
        <v>0</v>
      </c>
    </row>
    <row r="101" ht="14.25" customHeight="1">
      <c r="A101" s="7" t="s">
        <v>78</v>
      </c>
      <c r="B101" s="7" t="s">
        <v>204</v>
      </c>
      <c r="C101" s="7" t="s">
        <v>211</v>
      </c>
      <c r="D101" s="7" t="s">
        <v>211</v>
      </c>
      <c r="E101" s="8">
        <v>21307.0</v>
      </c>
      <c r="F101" s="8">
        <v>4850.0</v>
      </c>
      <c r="G101" s="8">
        <v>5042.0</v>
      </c>
      <c r="H101" s="8">
        <v>5082.0</v>
      </c>
      <c r="I101" s="8">
        <v>5445.0</v>
      </c>
      <c r="J101" s="8">
        <v>5486.0</v>
      </c>
      <c r="K101" s="8">
        <v>5526.0</v>
      </c>
      <c r="L101" s="8">
        <v>0.0</v>
      </c>
      <c r="M101" s="8">
        <v>0.0</v>
      </c>
      <c r="N101" s="8">
        <v>0.0</v>
      </c>
      <c r="O101" s="8">
        <v>1.0</v>
      </c>
      <c r="P101" s="8">
        <v>0.0</v>
      </c>
      <c r="Q101" s="8">
        <v>0.0</v>
      </c>
      <c r="R101" s="18">
        <f t="shared" ref="R101:T101" si="201">(L101/F101)*1000000</f>
        <v>0</v>
      </c>
      <c r="S101" s="18">
        <f t="shared" si="201"/>
        <v>0</v>
      </c>
      <c r="T101" s="18">
        <f t="shared" si="201"/>
        <v>0</v>
      </c>
      <c r="U101" s="18">
        <f t="shared" si="4"/>
        <v>0</v>
      </c>
      <c r="V101" s="18">
        <f t="shared" ref="V101:X101" si="202">(O101/I101)*1000000</f>
        <v>183.6547291</v>
      </c>
      <c r="W101" s="18">
        <f t="shared" si="202"/>
        <v>0</v>
      </c>
      <c r="X101" s="18">
        <f t="shared" si="202"/>
        <v>0</v>
      </c>
      <c r="Y101" s="18">
        <f t="shared" si="6"/>
        <v>61.21824304</v>
      </c>
    </row>
    <row r="102" ht="14.25" customHeight="1">
      <c r="A102" s="7" t="s">
        <v>78</v>
      </c>
      <c r="B102" s="7" t="s">
        <v>212</v>
      </c>
      <c r="C102" s="7" t="s">
        <v>213</v>
      </c>
      <c r="D102" s="7" t="s">
        <v>213</v>
      </c>
      <c r="E102" s="8">
        <v>21401.0</v>
      </c>
      <c r="F102" s="8">
        <v>18746.0</v>
      </c>
      <c r="G102" s="8">
        <v>19397.0</v>
      </c>
      <c r="H102" s="8">
        <v>20090.0</v>
      </c>
      <c r="I102" s="8">
        <v>26325.0</v>
      </c>
      <c r="J102" s="8">
        <v>27018.0</v>
      </c>
      <c r="K102" s="8">
        <v>27711.0</v>
      </c>
      <c r="L102" s="8">
        <v>0.0</v>
      </c>
      <c r="M102" s="8">
        <v>0.0</v>
      </c>
      <c r="N102" s="8">
        <v>0.0</v>
      </c>
      <c r="O102" s="8">
        <v>5.0</v>
      </c>
      <c r="P102" s="8">
        <v>2.0</v>
      </c>
      <c r="Q102" s="8">
        <v>3.0</v>
      </c>
      <c r="R102" s="18">
        <f t="shared" ref="R102:T102" si="203">(L102/F102)*1000000</f>
        <v>0</v>
      </c>
      <c r="S102" s="18">
        <f t="shared" si="203"/>
        <v>0</v>
      </c>
      <c r="T102" s="18">
        <f t="shared" si="203"/>
        <v>0</v>
      </c>
      <c r="U102" s="18">
        <f t="shared" si="4"/>
        <v>0</v>
      </c>
      <c r="V102" s="18">
        <f t="shared" ref="V102:X102" si="204">(O102/I102)*1000000</f>
        <v>189.9335233</v>
      </c>
      <c r="W102" s="18">
        <f t="shared" si="204"/>
        <v>74.02472426</v>
      </c>
      <c r="X102" s="18">
        <f t="shared" si="204"/>
        <v>108.2602577</v>
      </c>
      <c r="Y102" s="18">
        <f t="shared" si="6"/>
        <v>124.0728351</v>
      </c>
    </row>
    <row r="103" ht="14.25" customHeight="1">
      <c r="A103" s="7" t="s">
        <v>78</v>
      </c>
      <c r="B103" s="7" t="s">
        <v>212</v>
      </c>
      <c r="C103" s="7" t="s">
        <v>214</v>
      </c>
      <c r="D103" s="7" t="s">
        <v>214</v>
      </c>
      <c r="E103" s="8">
        <v>21402.0</v>
      </c>
      <c r="F103" s="8">
        <v>16431.0</v>
      </c>
      <c r="G103" s="8">
        <v>16930.0</v>
      </c>
      <c r="H103" s="8">
        <v>17480.0</v>
      </c>
      <c r="I103" s="8">
        <v>22430.0</v>
      </c>
      <c r="J103" s="8">
        <v>22980.0</v>
      </c>
      <c r="K103" s="8">
        <v>23530.0</v>
      </c>
      <c r="L103" s="8">
        <v>0.0</v>
      </c>
      <c r="M103" s="8">
        <v>0.0</v>
      </c>
      <c r="N103" s="8">
        <v>0.0</v>
      </c>
      <c r="O103" s="8">
        <v>1.0</v>
      </c>
      <c r="P103" s="8">
        <v>3.0</v>
      </c>
      <c r="Q103" s="8">
        <v>1.0</v>
      </c>
      <c r="R103" s="18">
        <f t="shared" ref="R103:T103" si="205">(L103/F103)*1000000</f>
        <v>0</v>
      </c>
      <c r="S103" s="18">
        <f t="shared" si="205"/>
        <v>0</v>
      </c>
      <c r="T103" s="18">
        <f t="shared" si="205"/>
        <v>0</v>
      </c>
      <c r="U103" s="18">
        <f t="shared" si="4"/>
        <v>0</v>
      </c>
      <c r="V103" s="18">
        <f t="shared" ref="V103:X103" si="206">(O103/I103)*1000000</f>
        <v>44.58314757</v>
      </c>
      <c r="W103" s="18">
        <f t="shared" si="206"/>
        <v>130.5483029</v>
      </c>
      <c r="X103" s="18">
        <f t="shared" si="206"/>
        <v>42.49893753</v>
      </c>
      <c r="Y103" s="18">
        <f t="shared" si="6"/>
        <v>72.54346266</v>
      </c>
    </row>
    <row r="104" ht="14.25" customHeight="1">
      <c r="A104" s="7" t="s">
        <v>78</v>
      </c>
      <c r="B104" s="7" t="s">
        <v>215</v>
      </c>
      <c r="C104" s="7" t="s">
        <v>216</v>
      </c>
      <c r="D104" s="7" t="s">
        <v>216</v>
      </c>
      <c r="E104" s="8">
        <v>21501.0</v>
      </c>
      <c r="F104" s="8">
        <v>9022.0</v>
      </c>
      <c r="G104" s="8">
        <v>9362.0</v>
      </c>
      <c r="H104" s="8">
        <v>9631.0</v>
      </c>
      <c r="I104" s="8">
        <v>12056.0</v>
      </c>
      <c r="J104" s="8">
        <v>12326.0</v>
      </c>
      <c r="K104" s="8">
        <v>12595.0</v>
      </c>
      <c r="L104" s="8">
        <v>1.0</v>
      </c>
      <c r="M104" s="8">
        <v>0.0</v>
      </c>
      <c r="N104" s="8">
        <v>0.0</v>
      </c>
      <c r="O104" s="8">
        <v>0.0</v>
      </c>
      <c r="P104" s="8">
        <v>0.0</v>
      </c>
      <c r="Q104" s="8">
        <v>1.0</v>
      </c>
      <c r="R104" s="18">
        <f t="shared" ref="R104:T104" si="207">(L104/F104)*1000000</f>
        <v>110.8401685</v>
      </c>
      <c r="S104" s="18">
        <f t="shared" si="207"/>
        <v>0</v>
      </c>
      <c r="T104" s="18">
        <f t="shared" si="207"/>
        <v>0</v>
      </c>
      <c r="U104" s="18">
        <f t="shared" si="4"/>
        <v>36.94672283</v>
      </c>
      <c r="V104" s="18">
        <f t="shared" ref="V104:X104" si="208">(O104/I104)*1000000</f>
        <v>0</v>
      </c>
      <c r="W104" s="18">
        <f t="shared" si="208"/>
        <v>0</v>
      </c>
      <c r="X104" s="18">
        <f t="shared" si="208"/>
        <v>79.39658595</v>
      </c>
      <c r="Y104" s="18">
        <f t="shared" si="6"/>
        <v>26.46552865</v>
      </c>
    </row>
    <row r="105" ht="14.25" customHeight="1">
      <c r="A105" s="7" t="s">
        <v>78</v>
      </c>
      <c r="B105" s="7" t="s">
        <v>215</v>
      </c>
      <c r="C105" s="7" t="s">
        <v>217</v>
      </c>
      <c r="D105" s="7" t="s">
        <v>217</v>
      </c>
      <c r="E105" s="8">
        <v>21502.0</v>
      </c>
      <c r="F105" s="8">
        <v>8483.0</v>
      </c>
      <c r="G105" s="8">
        <v>8711.0</v>
      </c>
      <c r="H105" s="8">
        <v>8827.0</v>
      </c>
      <c r="I105" s="8">
        <v>9873.0</v>
      </c>
      <c r="J105" s="8">
        <v>9989.0</v>
      </c>
      <c r="K105" s="8">
        <v>10105.0</v>
      </c>
      <c r="L105" s="8">
        <v>0.0</v>
      </c>
      <c r="M105" s="8">
        <v>0.0</v>
      </c>
      <c r="N105" s="8">
        <v>0.0</v>
      </c>
      <c r="O105" s="8">
        <v>1.0</v>
      </c>
      <c r="P105" s="8">
        <v>2.0</v>
      </c>
      <c r="Q105" s="8">
        <v>4.0</v>
      </c>
      <c r="R105" s="18">
        <f t="shared" ref="R105:T105" si="209">(L105/F105)*1000000</f>
        <v>0</v>
      </c>
      <c r="S105" s="18">
        <f t="shared" si="209"/>
        <v>0</v>
      </c>
      <c r="T105" s="18">
        <f t="shared" si="209"/>
        <v>0</v>
      </c>
      <c r="U105" s="18">
        <f t="shared" si="4"/>
        <v>0</v>
      </c>
      <c r="V105" s="18">
        <f t="shared" ref="V105:X105" si="210">(O105/I105)*1000000</f>
        <v>101.2863365</v>
      </c>
      <c r="W105" s="18">
        <f t="shared" si="210"/>
        <v>200.2202423</v>
      </c>
      <c r="X105" s="18">
        <f t="shared" si="210"/>
        <v>395.8436418</v>
      </c>
      <c r="Y105" s="18">
        <f t="shared" si="6"/>
        <v>232.4500735</v>
      </c>
    </row>
    <row r="106" ht="14.25" customHeight="1">
      <c r="A106" s="7" t="s">
        <v>78</v>
      </c>
      <c r="B106" s="7" t="s">
        <v>218</v>
      </c>
      <c r="C106" s="7" t="s">
        <v>219</v>
      </c>
      <c r="D106" s="7" t="s">
        <v>552</v>
      </c>
      <c r="E106" s="8">
        <v>21601.0</v>
      </c>
      <c r="F106" s="8">
        <v>12672.0</v>
      </c>
      <c r="G106" s="8">
        <v>13023.0</v>
      </c>
      <c r="H106" s="8">
        <v>13251.0</v>
      </c>
      <c r="I106" s="8">
        <v>15306.0</v>
      </c>
      <c r="J106" s="8">
        <v>15535.0</v>
      </c>
      <c r="K106" s="8">
        <v>15763.0</v>
      </c>
      <c r="L106" s="8">
        <v>0.0</v>
      </c>
      <c r="M106" s="8">
        <v>0.0</v>
      </c>
      <c r="N106" s="8">
        <v>1.0</v>
      </c>
      <c r="O106" s="8">
        <v>1.0</v>
      </c>
      <c r="P106" s="8">
        <v>1.0</v>
      </c>
      <c r="Q106" s="8">
        <v>1.0</v>
      </c>
      <c r="R106" s="18">
        <f t="shared" ref="R106:T106" si="211">(L106/F106)*1000000</f>
        <v>0</v>
      </c>
      <c r="S106" s="18">
        <f t="shared" si="211"/>
        <v>0</v>
      </c>
      <c r="T106" s="18">
        <f t="shared" si="211"/>
        <v>75.46600257</v>
      </c>
      <c r="U106" s="18">
        <f t="shared" si="4"/>
        <v>25.15533419</v>
      </c>
      <c r="V106" s="18">
        <f t="shared" ref="V106:X106" si="212">(O106/I106)*1000000</f>
        <v>65.333856</v>
      </c>
      <c r="W106" s="18">
        <f t="shared" si="212"/>
        <v>64.37077567</v>
      </c>
      <c r="X106" s="18">
        <f t="shared" si="212"/>
        <v>63.43970056</v>
      </c>
      <c r="Y106" s="18">
        <f t="shared" si="6"/>
        <v>64.38144408</v>
      </c>
    </row>
    <row r="107" ht="14.25" customHeight="1">
      <c r="A107" s="7" t="s">
        <v>78</v>
      </c>
      <c r="B107" s="7" t="s">
        <v>218</v>
      </c>
      <c r="C107" s="7" t="s">
        <v>220</v>
      </c>
      <c r="D107" s="7" t="s">
        <v>220</v>
      </c>
      <c r="E107" s="8">
        <v>21602.0</v>
      </c>
      <c r="F107" s="8">
        <v>3188.0</v>
      </c>
      <c r="G107" s="8">
        <v>3285.0</v>
      </c>
      <c r="H107" s="8">
        <v>3562.0</v>
      </c>
      <c r="I107" s="8">
        <v>6057.0</v>
      </c>
      <c r="J107" s="8">
        <v>6334.0</v>
      </c>
      <c r="K107" s="8">
        <v>6611.0</v>
      </c>
      <c r="L107" s="8">
        <v>0.0</v>
      </c>
      <c r="M107" s="8">
        <v>0.0</v>
      </c>
      <c r="N107" s="8">
        <v>0.0</v>
      </c>
      <c r="O107" s="8">
        <v>0.0</v>
      </c>
      <c r="P107" s="8">
        <v>0.0</v>
      </c>
      <c r="Q107" s="8">
        <v>0.0</v>
      </c>
      <c r="R107" s="18">
        <f t="shared" ref="R107:T107" si="213">(L107/F107)*1000000</f>
        <v>0</v>
      </c>
      <c r="S107" s="18">
        <f t="shared" si="213"/>
        <v>0</v>
      </c>
      <c r="T107" s="18">
        <f t="shared" si="213"/>
        <v>0</v>
      </c>
      <c r="U107" s="18">
        <f t="shared" si="4"/>
        <v>0</v>
      </c>
      <c r="V107" s="18">
        <f t="shared" ref="V107:X107" si="214">(O107/I107)*1000000</f>
        <v>0</v>
      </c>
      <c r="W107" s="18">
        <f t="shared" si="214"/>
        <v>0</v>
      </c>
      <c r="X107" s="18">
        <f t="shared" si="214"/>
        <v>0</v>
      </c>
      <c r="Y107" s="18">
        <f t="shared" si="6"/>
        <v>0</v>
      </c>
    </row>
    <row r="108" ht="14.25" customHeight="1">
      <c r="A108" s="7" t="s">
        <v>78</v>
      </c>
      <c r="B108" s="7" t="s">
        <v>222</v>
      </c>
      <c r="C108" s="7" t="s">
        <v>223</v>
      </c>
      <c r="D108" s="7" t="s">
        <v>223</v>
      </c>
      <c r="E108" s="8">
        <v>21701.0</v>
      </c>
      <c r="F108" s="8">
        <v>14900.0</v>
      </c>
      <c r="G108" s="8">
        <v>14931.0</v>
      </c>
      <c r="H108" s="8">
        <v>15142.0</v>
      </c>
      <c r="I108" s="8">
        <v>17041.0</v>
      </c>
      <c r="J108" s="8">
        <v>17252.0</v>
      </c>
      <c r="K108" s="8">
        <v>17463.0</v>
      </c>
      <c r="L108" s="8">
        <v>0.0</v>
      </c>
      <c r="M108" s="8">
        <v>0.0</v>
      </c>
      <c r="N108" s="8">
        <v>0.0</v>
      </c>
      <c r="O108" s="8">
        <v>2.0</v>
      </c>
      <c r="P108" s="8">
        <v>0.0</v>
      </c>
      <c r="Q108" s="8">
        <v>0.0</v>
      </c>
      <c r="R108" s="18">
        <f t="shared" ref="R108:T108" si="215">(L108/F108)*1000000</f>
        <v>0</v>
      </c>
      <c r="S108" s="18">
        <f t="shared" si="215"/>
        <v>0</v>
      </c>
      <c r="T108" s="18">
        <f t="shared" si="215"/>
        <v>0</v>
      </c>
      <c r="U108" s="18">
        <f t="shared" si="4"/>
        <v>0</v>
      </c>
      <c r="V108" s="18">
        <f t="shared" ref="V108:X108" si="216">(O108/I108)*1000000</f>
        <v>117.3640045</v>
      </c>
      <c r="W108" s="18">
        <f t="shared" si="216"/>
        <v>0</v>
      </c>
      <c r="X108" s="18">
        <f t="shared" si="216"/>
        <v>0</v>
      </c>
      <c r="Y108" s="18">
        <f t="shared" si="6"/>
        <v>39.12133482</v>
      </c>
    </row>
    <row r="109" ht="14.25" customHeight="1">
      <c r="A109" s="7" t="s">
        <v>78</v>
      </c>
      <c r="B109" s="7" t="s">
        <v>222</v>
      </c>
      <c r="C109" s="7" t="s">
        <v>225</v>
      </c>
      <c r="D109" s="7" t="s">
        <v>225</v>
      </c>
      <c r="E109" s="8">
        <v>21702.0</v>
      </c>
      <c r="F109" s="8">
        <v>6056.0</v>
      </c>
      <c r="G109" s="8">
        <v>6052.0</v>
      </c>
      <c r="H109" s="8">
        <v>6311.0</v>
      </c>
      <c r="I109" s="8">
        <v>8645.0</v>
      </c>
      <c r="J109" s="8">
        <v>8905.0</v>
      </c>
      <c r="K109" s="8">
        <v>9164.0</v>
      </c>
      <c r="L109" s="8">
        <v>0.0</v>
      </c>
      <c r="M109" s="8">
        <v>0.0</v>
      </c>
      <c r="N109" s="8">
        <v>0.0</v>
      </c>
      <c r="O109" s="8">
        <v>1.0</v>
      </c>
      <c r="P109" s="8">
        <v>1.0</v>
      </c>
      <c r="Q109" s="8">
        <v>0.0</v>
      </c>
      <c r="R109" s="18">
        <f t="shared" ref="R109:T109" si="217">(L109/F109)*1000000</f>
        <v>0</v>
      </c>
      <c r="S109" s="18">
        <f t="shared" si="217"/>
        <v>0</v>
      </c>
      <c r="T109" s="18">
        <f t="shared" si="217"/>
        <v>0</v>
      </c>
      <c r="U109" s="18">
        <f t="shared" si="4"/>
        <v>0</v>
      </c>
      <c r="V109" s="18">
        <f t="shared" ref="V109:X109" si="218">(O109/I109)*1000000</f>
        <v>115.6737999</v>
      </c>
      <c r="W109" s="18">
        <f t="shared" si="218"/>
        <v>112.2964627</v>
      </c>
      <c r="X109" s="18">
        <f t="shared" si="218"/>
        <v>0</v>
      </c>
      <c r="Y109" s="18">
        <f t="shared" si="6"/>
        <v>75.99008752</v>
      </c>
    </row>
    <row r="110" ht="14.25" customHeight="1">
      <c r="A110" s="7" t="s">
        <v>78</v>
      </c>
      <c r="B110" s="7" t="s">
        <v>222</v>
      </c>
      <c r="C110" s="7" t="s">
        <v>226</v>
      </c>
      <c r="D110" s="7" t="s">
        <v>226</v>
      </c>
      <c r="E110" s="8">
        <v>21703.0</v>
      </c>
      <c r="F110" s="8">
        <v>5893.0</v>
      </c>
      <c r="G110" s="8">
        <v>6261.0</v>
      </c>
      <c r="H110" s="8">
        <v>6366.0</v>
      </c>
      <c r="I110" s="8">
        <v>7314.0</v>
      </c>
      <c r="J110" s="8">
        <v>7420.0</v>
      </c>
      <c r="K110" s="8">
        <v>7525.0</v>
      </c>
      <c r="L110" s="8">
        <v>0.0</v>
      </c>
      <c r="M110" s="8">
        <v>0.0</v>
      </c>
      <c r="N110" s="8">
        <v>0.0</v>
      </c>
      <c r="O110" s="8">
        <v>0.0</v>
      </c>
      <c r="P110" s="8">
        <v>0.0</v>
      </c>
      <c r="Q110" s="8">
        <v>1.0</v>
      </c>
      <c r="R110" s="18">
        <f t="shared" ref="R110:T110" si="219">(L110/F110)*1000000</f>
        <v>0</v>
      </c>
      <c r="S110" s="18">
        <f t="shared" si="219"/>
        <v>0</v>
      </c>
      <c r="T110" s="18">
        <f t="shared" si="219"/>
        <v>0</v>
      </c>
      <c r="U110" s="18">
        <f t="shared" si="4"/>
        <v>0</v>
      </c>
      <c r="V110" s="18">
        <f t="shared" ref="V110:X110" si="220">(O110/I110)*1000000</f>
        <v>0</v>
      </c>
      <c r="W110" s="18">
        <f t="shared" si="220"/>
        <v>0</v>
      </c>
      <c r="X110" s="18">
        <f t="shared" si="220"/>
        <v>132.8903654</v>
      </c>
      <c r="Y110" s="18">
        <f t="shared" si="6"/>
        <v>44.29678848</v>
      </c>
    </row>
    <row r="111" ht="14.25" customHeight="1">
      <c r="A111" s="7" t="s">
        <v>78</v>
      </c>
      <c r="B111" s="7" t="s">
        <v>227</v>
      </c>
      <c r="C111" s="7" t="s">
        <v>228</v>
      </c>
      <c r="D111" s="7" t="s">
        <v>228</v>
      </c>
      <c r="E111" s="8">
        <v>21801.0</v>
      </c>
      <c r="F111" s="8">
        <v>8789.0</v>
      </c>
      <c r="G111" s="8">
        <v>8858.0</v>
      </c>
      <c r="H111" s="8">
        <v>8888.0</v>
      </c>
      <c r="I111" s="8">
        <v>9157.0</v>
      </c>
      <c r="J111" s="8">
        <v>9187.0</v>
      </c>
      <c r="K111" s="8">
        <v>9217.0</v>
      </c>
      <c r="L111" s="8">
        <v>0.0</v>
      </c>
      <c r="M111" s="8">
        <v>0.0</v>
      </c>
      <c r="N111" s="8">
        <v>0.0</v>
      </c>
      <c r="O111" s="8">
        <v>0.0</v>
      </c>
      <c r="P111" s="8">
        <v>0.0</v>
      </c>
      <c r="Q111" s="8">
        <v>0.0</v>
      </c>
      <c r="R111" s="18">
        <f t="shared" ref="R111:T111" si="221">(L111/F111)*1000000</f>
        <v>0</v>
      </c>
      <c r="S111" s="18">
        <f t="shared" si="221"/>
        <v>0</v>
      </c>
      <c r="T111" s="18">
        <f t="shared" si="221"/>
        <v>0</v>
      </c>
      <c r="U111" s="18">
        <f t="shared" si="4"/>
        <v>0</v>
      </c>
      <c r="V111" s="18">
        <f t="shared" ref="V111:X111" si="222">(O111/I111)*1000000</f>
        <v>0</v>
      </c>
      <c r="W111" s="18">
        <f t="shared" si="222"/>
        <v>0</v>
      </c>
      <c r="X111" s="18">
        <f t="shared" si="222"/>
        <v>0</v>
      </c>
      <c r="Y111" s="18">
        <f t="shared" si="6"/>
        <v>0</v>
      </c>
    </row>
    <row r="112" ht="14.25" customHeight="1">
      <c r="A112" s="7" t="s">
        <v>78</v>
      </c>
      <c r="B112" s="7" t="s">
        <v>229</v>
      </c>
      <c r="C112" s="7" t="s">
        <v>230</v>
      </c>
      <c r="D112" s="7" t="s">
        <v>230</v>
      </c>
      <c r="E112" s="8">
        <v>21802.0</v>
      </c>
      <c r="F112" s="8">
        <v>6917.0</v>
      </c>
      <c r="G112" s="8">
        <v>7003.0</v>
      </c>
      <c r="H112" s="8">
        <v>6974.0</v>
      </c>
      <c r="I112" s="8">
        <v>6708.0</v>
      </c>
      <c r="J112" s="8">
        <v>6679.0</v>
      </c>
      <c r="K112" s="8">
        <v>6649.0</v>
      </c>
      <c r="L112" s="8">
        <v>0.0</v>
      </c>
      <c r="M112" s="8">
        <v>0.0</v>
      </c>
      <c r="N112" s="8">
        <v>0.0</v>
      </c>
      <c r="O112" s="8">
        <v>1.0</v>
      </c>
      <c r="P112" s="8">
        <v>0.0</v>
      </c>
      <c r="Q112" s="8">
        <v>0.0</v>
      </c>
      <c r="R112" s="18">
        <f t="shared" ref="R112:T112" si="223">(L112/F112)*1000000</f>
        <v>0</v>
      </c>
      <c r="S112" s="18">
        <f t="shared" si="223"/>
        <v>0</v>
      </c>
      <c r="T112" s="18">
        <f t="shared" si="223"/>
        <v>0</v>
      </c>
      <c r="U112" s="18">
        <f t="shared" si="4"/>
        <v>0</v>
      </c>
      <c r="V112" s="18">
        <f t="shared" ref="V112:X112" si="224">(O112/I112)*1000000</f>
        <v>149.0757305</v>
      </c>
      <c r="W112" s="18">
        <f t="shared" si="224"/>
        <v>0</v>
      </c>
      <c r="X112" s="18">
        <f t="shared" si="224"/>
        <v>0</v>
      </c>
      <c r="Y112" s="18">
        <f t="shared" si="6"/>
        <v>49.69191016</v>
      </c>
    </row>
    <row r="113" ht="14.25" customHeight="1">
      <c r="A113" s="7" t="s">
        <v>78</v>
      </c>
      <c r="B113" s="7" t="s">
        <v>229</v>
      </c>
      <c r="C113" s="7" t="s">
        <v>231</v>
      </c>
      <c r="D113" s="7" t="s">
        <v>231</v>
      </c>
      <c r="E113" s="8">
        <v>21803.0</v>
      </c>
      <c r="F113" s="8">
        <v>1964.0</v>
      </c>
      <c r="G113" s="8">
        <v>2004.0</v>
      </c>
      <c r="H113" s="8">
        <v>2008.0</v>
      </c>
      <c r="I113" s="8">
        <v>2044.0</v>
      </c>
      <c r="J113" s="8">
        <v>2048.0</v>
      </c>
      <c r="K113" s="8">
        <v>2052.0</v>
      </c>
      <c r="L113" s="8">
        <v>0.0</v>
      </c>
      <c r="M113" s="8">
        <v>0.0</v>
      </c>
      <c r="N113" s="8">
        <v>0.0</v>
      </c>
      <c r="O113" s="8">
        <v>0.0</v>
      </c>
      <c r="P113" s="8">
        <v>0.0</v>
      </c>
      <c r="Q113" s="8">
        <v>0.0</v>
      </c>
      <c r="R113" s="18">
        <f t="shared" ref="R113:T113" si="225">(L113/F113)*1000000</f>
        <v>0</v>
      </c>
      <c r="S113" s="18">
        <f t="shared" si="225"/>
        <v>0</v>
      </c>
      <c r="T113" s="18">
        <f t="shared" si="225"/>
        <v>0</v>
      </c>
      <c r="U113" s="18">
        <f t="shared" si="4"/>
        <v>0</v>
      </c>
      <c r="V113" s="18">
        <f t="shared" ref="V113:X113" si="226">(O113/I113)*1000000</f>
        <v>0</v>
      </c>
      <c r="W113" s="18">
        <f t="shared" si="226"/>
        <v>0</v>
      </c>
      <c r="X113" s="18">
        <f t="shared" si="226"/>
        <v>0</v>
      </c>
      <c r="Y113" s="18">
        <f t="shared" si="6"/>
        <v>0</v>
      </c>
    </row>
    <row r="114" ht="14.25" customHeight="1">
      <c r="A114" s="7" t="s">
        <v>78</v>
      </c>
      <c r="B114" s="7" t="s">
        <v>232</v>
      </c>
      <c r="C114" s="7" t="s">
        <v>233</v>
      </c>
      <c r="D114" s="7" t="s">
        <v>233</v>
      </c>
      <c r="E114" s="8">
        <v>21901.0</v>
      </c>
      <c r="F114" s="8">
        <v>4576.0</v>
      </c>
      <c r="G114" s="8">
        <v>4593.0</v>
      </c>
      <c r="H114" s="8">
        <v>4777.0</v>
      </c>
      <c r="I114" s="8">
        <v>6436.0</v>
      </c>
      <c r="J114" s="8">
        <v>6621.0</v>
      </c>
      <c r="K114" s="8">
        <v>6805.0</v>
      </c>
      <c r="L114" s="8">
        <v>0.0</v>
      </c>
      <c r="M114" s="8">
        <v>0.0</v>
      </c>
      <c r="N114" s="8">
        <v>0.0</v>
      </c>
      <c r="O114" s="8">
        <v>2.0</v>
      </c>
      <c r="P114" s="8">
        <v>1.0</v>
      </c>
      <c r="Q114" s="8">
        <v>0.0</v>
      </c>
      <c r="R114" s="18">
        <f t="shared" ref="R114:T114" si="227">(L114/F114)*1000000</f>
        <v>0</v>
      </c>
      <c r="S114" s="18">
        <f t="shared" si="227"/>
        <v>0</v>
      </c>
      <c r="T114" s="18">
        <f t="shared" si="227"/>
        <v>0</v>
      </c>
      <c r="U114" s="18">
        <f t="shared" si="4"/>
        <v>0</v>
      </c>
      <c r="V114" s="18">
        <f t="shared" ref="V114:X114" si="228">(O114/I114)*1000000</f>
        <v>310.7520199</v>
      </c>
      <c r="W114" s="18">
        <f t="shared" si="228"/>
        <v>151.0345869</v>
      </c>
      <c r="X114" s="18">
        <f t="shared" si="228"/>
        <v>0</v>
      </c>
      <c r="Y114" s="18">
        <f t="shared" si="6"/>
        <v>153.9288689</v>
      </c>
    </row>
    <row r="115" ht="14.25" customHeight="1">
      <c r="A115" s="7" t="s">
        <v>78</v>
      </c>
      <c r="B115" s="7" t="s">
        <v>232</v>
      </c>
      <c r="C115" s="7" t="s">
        <v>234</v>
      </c>
      <c r="D115" s="7" t="s">
        <v>234</v>
      </c>
      <c r="E115" s="8">
        <v>21902.0</v>
      </c>
      <c r="F115" s="8">
        <v>2777.0</v>
      </c>
      <c r="G115" s="8">
        <v>2881.0</v>
      </c>
      <c r="H115" s="8">
        <v>3087.0</v>
      </c>
      <c r="I115" s="8">
        <v>4939.0</v>
      </c>
      <c r="J115" s="8">
        <v>5145.0</v>
      </c>
      <c r="K115" s="8">
        <v>5351.0</v>
      </c>
      <c r="L115" s="8">
        <v>0.0</v>
      </c>
      <c r="M115" s="8">
        <v>0.0</v>
      </c>
      <c r="N115" s="8">
        <v>0.0</v>
      </c>
      <c r="O115" s="8">
        <v>0.0</v>
      </c>
      <c r="P115" s="8">
        <v>0.0</v>
      </c>
      <c r="Q115" s="8">
        <v>0.0</v>
      </c>
      <c r="R115" s="18">
        <f t="shared" ref="R115:T115" si="229">(L115/F115)*1000000</f>
        <v>0</v>
      </c>
      <c r="S115" s="18">
        <f t="shared" si="229"/>
        <v>0</v>
      </c>
      <c r="T115" s="18">
        <f t="shared" si="229"/>
        <v>0</v>
      </c>
      <c r="U115" s="18">
        <f t="shared" si="4"/>
        <v>0</v>
      </c>
      <c r="V115" s="18">
        <f t="shared" ref="V115:X115" si="230">(O115/I115)*1000000</f>
        <v>0</v>
      </c>
      <c r="W115" s="18">
        <f t="shared" si="230"/>
        <v>0</v>
      </c>
      <c r="X115" s="18">
        <f t="shared" si="230"/>
        <v>0</v>
      </c>
      <c r="Y115" s="18">
        <f t="shared" si="6"/>
        <v>0</v>
      </c>
    </row>
    <row r="116" ht="14.25" customHeight="1">
      <c r="A116" s="7" t="s">
        <v>78</v>
      </c>
      <c r="B116" s="7" t="s">
        <v>221</v>
      </c>
      <c r="C116" s="7" t="s">
        <v>221</v>
      </c>
      <c r="D116" s="7" t="s">
        <v>221</v>
      </c>
      <c r="E116" s="8">
        <v>22001.0</v>
      </c>
      <c r="F116" s="8">
        <v>49669.0</v>
      </c>
      <c r="G116" s="8">
        <v>50330.0</v>
      </c>
      <c r="H116" s="8">
        <v>51109.0</v>
      </c>
      <c r="I116" s="8">
        <v>58118.0</v>
      </c>
      <c r="J116" s="8">
        <v>58897.0</v>
      </c>
      <c r="K116" s="8">
        <v>59676.0</v>
      </c>
      <c r="L116" s="8">
        <v>1.0</v>
      </c>
      <c r="M116" s="8">
        <v>5.0</v>
      </c>
      <c r="N116" s="8">
        <v>4.0</v>
      </c>
      <c r="O116" s="8">
        <v>16.0</v>
      </c>
      <c r="P116" s="8">
        <v>25.0</v>
      </c>
      <c r="Q116" s="8">
        <v>15.0</v>
      </c>
      <c r="R116" s="18">
        <f t="shared" ref="R116:T116" si="231">(L116/F116)*1000000</f>
        <v>20.13328233</v>
      </c>
      <c r="S116" s="18">
        <f t="shared" si="231"/>
        <v>99.34432744</v>
      </c>
      <c r="T116" s="18">
        <f t="shared" si="231"/>
        <v>78.26410221</v>
      </c>
      <c r="U116" s="18">
        <f t="shared" si="4"/>
        <v>65.91390399</v>
      </c>
      <c r="V116" s="18">
        <f t="shared" ref="V116:X116" si="232">(O116/I116)*1000000</f>
        <v>275.3019719</v>
      </c>
      <c r="W116" s="18">
        <f t="shared" si="232"/>
        <v>424.4698372</v>
      </c>
      <c r="X116" s="18">
        <f t="shared" si="232"/>
        <v>251.3573296</v>
      </c>
      <c r="Y116" s="18">
        <f t="shared" si="6"/>
        <v>317.0430462</v>
      </c>
    </row>
    <row r="117" ht="14.25" customHeight="1">
      <c r="A117" s="7" t="s">
        <v>78</v>
      </c>
      <c r="B117" s="7" t="s">
        <v>221</v>
      </c>
      <c r="C117" s="7" t="s">
        <v>235</v>
      </c>
      <c r="D117" s="7" t="s">
        <v>235</v>
      </c>
      <c r="E117" s="8">
        <v>22002.0</v>
      </c>
      <c r="F117" s="8">
        <v>10912.0</v>
      </c>
      <c r="G117" s="8">
        <v>11194.0</v>
      </c>
      <c r="H117" s="8">
        <v>11143.0</v>
      </c>
      <c r="I117" s="8">
        <v>10687.0</v>
      </c>
      <c r="J117" s="8">
        <v>10636.0</v>
      </c>
      <c r="K117" s="8">
        <v>10585.0</v>
      </c>
      <c r="L117" s="8">
        <v>0.0</v>
      </c>
      <c r="M117" s="8">
        <v>0.0</v>
      </c>
      <c r="N117" s="8">
        <v>0.0</v>
      </c>
      <c r="O117" s="8">
        <v>0.0</v>
      </c>
      <c r="P117" s="8">
        <v>0.0</v>
      </c>
      <c r="Q117" s="8">
        <v>0.0</v>
      </c>
      <c r="R117" s="18">
        <f t="shared" ref="R117:T117" si="233">(L117/F117)*1000000</f>
        <v>0</v>
      </c>
      <c r="S117" s="18">
        <f t="shared" si="233"/>
        <v>0</v>
      </c>
      <c r="T117" s="18">
        <f t="shared" si="233"/>
        <v>0</v>
      </c>
      <c r="U117" s="18">
        <f t="shared" si="4"/>
        <v>0</v>
      </c>
      <c r="V117" s="18">
        <f t="shared" ref="V117:X117" si="234">(O117/I117)*1000000</f>
        <v>0</v>
      </c>
      <c r="W117" s="18">
        <f t="shared" si="234"/>
        <v>0</v>
      </c>
      <c r="X117" s="18">
        <f t="shared" si="234"/>
        <v>0</v>
      </c>
      <c r="Y117" s="18">
        <f t="shared" si="6"/>
        <v>0</v>
      </c>
    </row>
    <row r="118" ht="14.25" customHeight="1">
      <c r="A118" s="7" t="s">
        <v>133</v>
      </c>
      <c r="B118" s="7" t="s">
        <v>236</v>
      </c>
      <c r="C118" s="7" t="s">
        <v>133</v>
      </c>
      <c r="D118" s="7" t="s">
        <v>133</v>
      </c>
      <c r="E118" s="8">
        <v>30101.0</v>
      </c>
      <c r="F118" s="8">
        <v>621559.0</v>
      </c>
      <c r="G118" s="8">
        <v>632013.0</v>
      </c>
      <c r="H118" s="8">
        <v>634804.0</v>
      </c>
      <c r="I118" s="8">
        <v>659923.0</v>
      </c>
      <c r="J118" s="8">
        <v>662714.0</v>
      </c>
      <c r="K118" s="8">
        <v>665505.0</v>
      </c>
      <c r="L118" s="8">
        <v>196.0</v>
      </c>
      <c r="M118" s="8">
        <v>213.0</v>
      </c>
      <c r="N118" s="8">
        <v>286.0</v>
      </c>
      <c r="O118" s="8">
        <v>321.0</v>
      </c>
      <c r="P118" s="8">
        <v>350.0</v>
      </c>
      <c r="Q118" s="8">
        <v>319.0</v>
      </c>
      <c r="R118" s="18">
        <f t="shared" ref="R118:T118" si="235">(L118/F118)*1000000</f>
        <v>315.3361145</v>
      </c>
      <c r="S118" s="18">
        <f t="shared" si="235"/>
        <v>337.0183841</v>
      </c>
      <c r="T118" s="18">
        <f t="shared" si="235"/>
        <v>450.5327629</v>
      </c>
      <c r="U118" s="18">
        <f t="shared" si="4"/>
        <v>367.6290872</v>
      </c>
      <c r="V118" s="18">
        <f t="shared" ref="V118:X118" si="236">(O118/I118)*1000000</f>
        <v>486.4203854</v>
      </c>
      <c r="W118" s="18">
        <f t="shared" si="236"/>
        <v>528.1312904</v>
      </c>
      <c r="X118" s="18">
        <f t="shared" si="236"/>
        <v>479.3352417</v>
      </c>
      <c r="Y118" s="18">
        <f t="shared" si="6"/>
        <v>497.9623058</v>
      </c>
    </row>
    <row r="119" ht="14.25" customHeight="1">
      <c r="A119" s="7" t="s">
        <v>133</v>
      </c>
      <c r="B119" s="7" t="s">
        <v>237</v>
      </c>
      <c r="C119" s="7" t="s">
        <v>109</v>
      </c>
      <c r="D119" s="7" t="s">
        <v>109</v>
      </c>
      <c r="E119" s="8">
        <v>30201.0</v>
      </c>
      <c r="F119" s="8">
        <v>23541.0</v>
      </c>
      <c r="G119" s="8">
        <v>23267.0</v>
      </c>
      <c r="H119" s="8">
        <v>23255.0</v>
      </c>
      <c r="I119" s="8">
        <v>23147.0</v>
      </c>
      <c r="J119" s="8">
        <v>23135.0</v>
      </c>
      <c r="K119" s="8">
        <v>23123.0</v>
      </c>
      <c r="L119" s="8">
        <v>10.0</v>
      </c>
      <c r="M119" s="8">
        <v>19.0</v>
      </c>
      <c r="N119" s="8">
        <v>10.0</v>
      </c>
      <c r="O119" s="8">
        <v>7.0</v>
      </c>
      <c r="P119" s="8">
        <v>5.0</v>
      </c>
      <c r="Q119" s="8">
        <v>2.0</v>
      </c>
      <c r="R119" s="18">
        <f t="shared" ref="R119:T119" si="237">(L119/F119)*1000000</f>
        <v>424.7907905</v>
      </c>
      <c r="S119" s="18">
        <f t="shared" si="237"/>
        <v>816.6072119</v>
      </c>
      <c r="T119" s="18">
        <f t="shared" si="237"/>
        <v>430.0150505</v>
      </c>
      <c r="U119" s="18">
        <f t="shared" si="4"/>
        <v>557.1376843</v>
      </c>
      <c r="V119" s="18">
        <f t="shared" ref="V119:X119" si="238">(O119/I119)*1000000</f>
        <v>302.4149998</v>
      </c>
      <c r="W119" s="18">
        <f t="shared" si="238"/>
        <v>216.1227577</v>
      </c>
      <c r="X119" s="18">
        <f t="shared" si="238"/>
        <v>86.49396705</v>
      </c>
      <c r="Y119" s="18">
        <f t="shared" si="6"/>
        <v>201.6772415</v>
      </c>
    </row>
    <row r="120" ht="14.25" customHeight="1">
      <c r="A120" s="7" t="s">
        <v>133</v>
      </c>
      <c r="B120" s="7" t="s">
        <v>237</v>
      </c>
      <c r="C120" s="7" t="s">
        <v>146</v>
      </c>
      <c r="D120" s="7" t="s">
        <v>146</v>
      </c>
      <c r="E120" s="8">
        <v>30202.0</v>
      </c>
      <c r="F120" s="8">
        <v>6654.0</v>
      </c>
      <c r="G120" s="8">
        <v>6853.0</v>
      </c>
      <c r="H120" s="8">
        <v>6822.0</v>
      </c>
      <c r="I120" s="8">
        <v>6538.0</v>
      </c>
      <c r="J120" s="8">
        <v>6507.0</v>
      </c>
      <c r="K120" s="8">
        <v>6475.0</v>
      </c>
      <c r="L120" s="8">
        <v>0.0</v>
      </c>
      <c r="M120" s="8">
        <v>0.0</v>
      </c>
      <c r="N120" s="8">
        <v>0.0</v>
      </c>
      <c r="O120" s="8">
        <v>0.0</v>
      </c>
      <c r="P120" s="8">
        <v>2.0</v>
      </c>
      <c r="Q120" s="8">
        <v>1.0</v>
      </c>
      <c r="R120" s="18">
        <f t="shared" ref="R120:T120" si="239">(L120/F120)*1000000</f>
        <v>0</v>
      </c>
      <c r="S120" s="18">
        <f t="shared" si="239"/>
        <v>0</v>
      </c>
      <c r="T120" s="18">
        <f t="shared" si="239"/>
        <v>0</v>
      </c>
      <c r="U120" s="18">
        <f t="shared" si="4"/>
        <v>0</v>
      </c>
      <c r="V120" s="18">
        <f t="shared" ref="V120:X120" si="240">(O120/I120)*1000000</f>
        <v>0</v>
      </c>
      <c r="W120" s="18">
        <f t="shared" si="240"/>
        <v>307.3613032</v>
      </c>
      <c r="X120" s="18">
        <f t="shared" si="240"/>
        <v>154.4401544</v>
      </c>
      <c r="Y120" s="18">
        <f t="shared" si="6"/>
        <v>153.9338192</v>
      </c>
    </row>
    <row r="121" ht="14.25" customHeight="1">
      <c r="A121" s="7" t="s">
        <v>133</v>
      </c>
      <c r="B121" s="7" t="s">
        <v>237</v>
      </c>
      <c r="C121" s="7" t="s">
        <v>144</v>
      </c>
      <c r="D121" s="7" t="s">
        <v>144</v>
      </c>
      <c r="E121" s="8">
        <v>30203.0</v>
      </c>
      <c r="F121" s="8">
        <v>5682.0</v>
      </c>
      <c r="G121" s="8">
        <v>5643.0</v>
      </c>
      <c r="H121" s="8">
        <v>5731.0</v>
      </c>
      <c r="I121" s="8">
        <v>6524.0</v>
      </c>
      <c r="J121" s="8">
        <v>6612.0</v>
      </c>
      <c r="K121" s="8">
        <v>6700.0</v>
      </c>
      <c r="L121" s="8">
        <v>0.0</v>
      </c>
      <c r="M121" s="8">
        <v>0.0</v>
      </c>
      <c r="N121" s="8">
        <v>0.0</v>
      </c>
      <c r="O121" s="8">
        <v>0.0</v>
      </c>
      <c r="P121" s="8">
        <v>1.0</v>
      </c>
      <c r="Q121" s="8">
        <v>1.0</v>
      </c>
      <c r="R121" s="18">
        <f t="shared" ref="R121:T121" si="241">(L121/F121)*1000000</f>
        <v>0</v>
      </c>
      <c r="S121" s="18">
        <f t="shared" si="241"/>
        <v>0</v>
      </c>
      <c r="T121" s="18">
        <f t="shared" si="241"/>
        <v>0</v>
      </c>
      <c r="U121" s="18">
        <f t="shared" si="4"/>
        <v>0</v>
      </c>
      <c r="V121" s="18">
        <f t="shared" ref="V121:X121" si="242">(O121/I121)*1000000</f>
        <v>0</v>
      </c>
      <c r="W121" s="18">
        <f t="shared" si="242"/>
        <v>151.2401694</v>
      </c>
      <c r="X121" s="18">
        <f t="shared" si="242"/>
        <v>149.2537313</v>
      </c>
      <c r="Y121" s="18">
        <f t="shared" si="6"/>
        <v>100.1646336</v>
      </c>
    </row>
    <row r="122" ht="14.25" customHeight="1">
      <c r="A122" s="7" t="s">
        <v>133</v>
      </c>
      <c r="B122" s="7" t="s">
        <v>238</v>
      </c>
      <c r="C122" s="7" t="s">
        <v>239</v>
      </c>
      <c r="D122" s="7" t="s">
        <v>553</v>
      </c>
      <c r="E122" s="8">
        <v>30301.0</v>
      </c>
      <c r="F122" s="8">
        <v>23946.0</v>
      </c>
      <c r="G122" s="8">
        <v>23658.0</v>
      </c>
      <c r="H122" s="8">
        <v>23504.0</v>
      </c>
      <c r="I122" s="8">
        <v>22122.0</v>
      </c>
      <c r="J122" s="8">
        <v>21969.0</v>
      </c>
      <c r="K122" s="8">
        <v>21815.0</v>
      </c>
      <c r="L122" s="8">
        <v>0.0</v>
      </c>
      <c r="M122" s="8">
        <v>0.0</v>
      </c>
      <c r="N122" s="8">
        <v>0.0</v>
      </c>
      <c r="O122" s="8">
        <v>2.0</v>
      </c>
      <c r="P122" s="8">
        <v>1.0</v>
      </c>
      <c r="Q122" s="8">
        <v>4.0</v>
      </c>
      <c r="R122" s="18">
        <f t="shared" ref="R122:T122" si="243">(L122/F122)*1000000</f>
        <v>0</v>
      </c>
      <c r="S122" s="18">
        <f t="shared" si="243"/>
        <v>0</v>
      </c>
      <c r="T122" s="18">
        <f t="shared" si="243"/>
        <v>0</v>
      </c>
      <c r="U122" s="18">
        <f t="shared" si="4"/>
        <v>0</v>
      </c>
      <c r="V122" s="18">
        <f t="shared" ref="V122:X122" si="244">(O122/I122)*1000000</f>
        <v>90.4077389</v>
      </c>
      <c r="W122" s="18">
        <f t="shared" si="244"/>
        <v>45.51868542</v>
      </c>
      <c r="X122" s="18">
        <f t="shared" si="244"/>
        <v>183.3600733</v>
      </c>
      <c r="Y122" s="18">
        <f t="shared" si="6"/>
        <v>106.4288326</v>
      </c>
    </row>
    <row r="123" ht="14.25" customHeight="1">
      <c r="A123" s="7" t="s">
        <v>133</v>
      </c>
      <c r="B123" s="7" t="s">
        <v>238</v>
      </c>
      <c r="C123" s="7" t="s">
        <v>141</v>
      </c>
      <c r="D123" s="7" t="s">
        <v>141</v>
      </c>
      <c r="E123" s="8">
        <v>30302.0</v>
      </c>
      <c r="F123" s="8">
        <v>13186.0</v>
      </c>
      <c r="G123" s="8">
        <v>12797.0</v>
      </c>
      <c r="H123" s="8">
        <v>12957.0</v>
      </c>
      <c r="I123" s="8">
        <v>14400.0</v>
      </c>
      <c r="J123" s="8">
        <v>14560.0</v>
      </c>
      <c r="K123" s="8">
        <v>14720.0</v>
      </c>
      <c r="L123" s="8">
        <v>0.0</v>
      </c>
      <c r="M123" s="8">
        <v>0.0</v>
      </c>
      <c r="N123" s="8">
        <v>0.0</v>
      </c>
      <c r="O123" s="8">
        <v>0.0</v>
      </c>
      <c r="P123" s="8">
        <v>1.0</v>
      </c>
      <c r="Q123" s="8">
        <v>1.0</v>
      </c>
      <c r="R123" s="18">
        <f t="shared" ref="R123:T123" si="245">(L123/F123)*1000000</f>
        <v>0</v>
      </c>
      <c r="S123" s="18">
        <f t="shared" si="245"/>
        <v>0</v>
      </c>
      <c r="T123" s="18">
        <f t="shared" si="245"/>
        <v>0</v>
      </c>
      <c r="U123" s="18">
        <f t="shared" si="4"/>
        <v>0</v>
      </c>
      <c r="V123" s="18">
        <f t="shared" ref="V123:X123" si="246">(O123/I123)*1000000</f>
        <v>0</v>
      </c>
      <c r="W123" s="18">
        <f t="shared" si="246"/>
        <v>68.68131868</v>
      </c>
      <c r="X123" s="18">
        <f t="shared" si="246"/>
        <v>67.93478261</v>
      </c>
      <c r="Y123" s="18">
        <f t="shared" si="6"/>
        <v>45.53870043</v>
      </c>
    </row>
    <row r="124" ht="14.25" customHeight="1">
      <c r="A124" s="7" t="s">
        <v>133</v>
      </c>
      <c r="B124" s="7" t="s">
        <v>238</v>
      </c>
      <c r="C124" s="7" t="s">
        <v>241</v>
      </c>
      <c r="D124" s="7" t="s">
        <v>241</v>
      </c>
      <c r="E124" s="8">
        <v>30303.0</v>
      </c>
      <c r="F124" s="8">
        <v>17984.0</v>
      </c>
      <c r="G124" s="8">
        <v>18076.0</v>
      </c>
      <c r="H124" s="8">
        <v>18204.0</v>
      </c>
      <c r="I124" s="8">
        <v>19353.0</v>
      </c>
      <c r="J124" s="8">
        <v>19480.0</v>
      </c>
      <c r="K124" s="8">
        <v>19608.0</v>
      </c>
      <c r="L124" s="8">
        <v>0.0</v>
      </c>
      <c r="M124" s="8">
        <v>0.0</v>
      </c>
      <c r="N124" s="8">
        <v>0.0</v>
      </c>
      <c r="O124" s="8">
        <v>0.0</v>
      </c>
      <c r="P124" s="8">
        <v>0.0</v>
      </c>
      <c r="Q124" s="8">
        <v>0.0</v>
      </c>
      <c r="R124" s="18">
        <f t="shared" ref="R124:T124" si="247">(L124/F124)*1000000</f>
        <v>0</v>
      </c>
      <c r="S124" s="18">
        <f t="shared" si="247"/>
        <v>0</v>
      </c>
      <c r="T124" s="18">
        <f t="shared" si="247"/>
        <v>0</v>
      </c>
      <c r="U124" s="18">
        <f t="shared" si="4"/>
        <v>0</v>
      </c>
      <c r="V124" s="18">
        <f t="shared" ref="V124:X124" si="248">(O124/I124)*1000000</f>
        <v>0</v>
      </c>
      <c r="W124" s="18">
        <f t="shared" si="248"/>
        <v>0</v>
      </c>
      <c r="X124" s="18">
        <f t="shared" si="248"/>
        <v>0</v>
      </c>
      <c r="Y124" s="18">
        <f t="shared" si="6"/>
        <v>0</v>
      </c>
    </row>
    <row r="125" ht="14.25" customHeight="1">
      <c r="A125" s="7" t="s">
        <v>133</v>
      </c>
      <c r="B125" s="7" t="s">
        <v>242</v>
      </c>
      <c r="C125" s="7" t="s">
        <v>178</v>
      </c>
      <c r="D125" s="7" t="s">
        <v>178</v>
      </c>
      <c r="E125" s="8">
        <v>30401.0</v>
      </c>
      <c r="F125" s="8">
        <v>8285.0</v>
      </c>
      <c r="G125" s="8">
        <v>8242.0</v>
      </c>
      <c r="H125" s="8">
        <v>8495.0</v>
      </c>
      <c r="I125" s="8">
        <v>10768.0</v>
      </c>
      <c r="J125" s="8">
        <v>11020.0</v>
      </c>
      <c r="K125" s="8">
        <v>11273.0</v>
      </c>
      <c r="L125" s="8">
        <v>1.0</v>
      </c>
      <c r="M125" s="8">
        <v>2.0</v>
      </c>
      <c r="N125" s="8">
        <v>1.0</v>
      </c>
      <c r="O125" s="8">
        <v>0.0</v>
      </c>
      <c r="P125" s="8">
        <v>3.0</v>
      </c>
      <c r="Q125" s="8">
        <v>2.0</v>
      </c>
      <c r="R125" s="18">
        <f t="shared" ref="R125:T125" si="249">(L125/F125)*1000000</f>
        <v>120.7000604</v>
      </c>
      <c r="S125" s="18">
        <f t="shared" si="249"/>
        <v>242.6595487</v>
      </c>
      <c r="T125" s="18">
        <f t="shared" si="249"/>
        <v>117.7163037</v>
      </c>
      <c r="U125" s="18">
        <f t="shared" si="4"/>
        <v>160.3586376</v>
      </c>
      <c r="V125" s="18">
        <f t="shared" ref="V125:X125" si="250">(O125/I125)*1000000</f>
        <v>0</v>
      </c>
      <c r="W125" s="18">
        <f t="shared" si="250"/>
        <v>272.2323049</v>
      </c>
      <c r="X125" s="18">
        <f t="shared" si="250"/>
        <v>177.4150625</v>
      </c>
      <c r="Y125" s="18">
        <f t="shared" si="6"/>
        <v>149.8824558</v>
      </c>
    </row>
    <row r="126" ht="14.25" customHeight="1">
      <c r="A126" s="7" t="s">
        <v>133</v>
      </c>
      <c r="B126" s="7" t="s">
        <v>242</v>
      </c>
      <c r="C126" s="7" t="s">
        <v>113</v>
      </c>
      <c r="D126" s="7" t="s">
        <v>554</v>
      </c>
      <c r="E126" s="8">
        <v>30402.0</v>
      </c>
      <c r="F126" s="8">
        <v>7368.0</v>
      </c>
      <c r="G126" s="8">
        <v>7192.0</v>
      </c>
      <c r="H126" s="8">
        <v>7204.0</v>
      </c>
      <c r="I126" s="8">
        <v>7311.0</v>
      </c>
      <c r="J126" s="8">
        <v>7323.0</v>
      </c>
      <c r="K126" s="8">
        <v>7335.0</v>
      </c>
      <c r="L126" s="8">
        <v>1.0</v>
      </c>
      <c r="M126" s="8">
        <v>0.0</v>
      </c>
      <c r="N126" s="8">
        <v>0.0</v>
      </c>
      <c r="O126" s="8">
        <v>0.0</v>
      </c>
      <c r="P126" s="8">
        <v>1.0</v>
      </c>
      <c r="Q126" s="8">
        <v>0.0</v>
      </c>
      <c r="R126" s="18">
        <f t="shared" ref="R126:T126" si="251">(L126/F126)*1000000</f>
        <v>135.7220413</v>
      </c>
      <c r="S126" s="18">
        <f t="shared" si="251"/>
        <v>0</v>
      </c>
      <c r="T126" s="18">
        <f t="shared" si="251"/>
        <v>0</v>
      </c>
      <c r="U126" s="18">
        <f t="shared" si="4"/>
        <v>45.24068042</v>
      </c>
      <c r="V126" s="18">
        <f t="shared" ref="V126:X126" si="252">(O126/I126)*1000000</f>
        <v>0</v>
      </c>
      <c r="W126" s="18">
        <f t="shared" si="252"/>
        <v>136.5560563</v>
      </c>
      <c r="X126" s="18">
        <f t="shared" si="252"/>
        <v>0</v>
      </c>
      <c r="Y126" s="18">
        <f t="shared" si="6"/>
        <v>45.51868542</v>
      </c>
    </row>
    <row r="127" ht="14.25" customHeight="1">
      <c r="A127" s="7" t="s">
        <v>133</v>
      </c>
      <c r="B127" s="7" t="s">
        <v>242</v>
      </c>
      <c r="C127" s="7" t="s">
        <v>117</v>
      </c>
      <c r="D127" s="7" t="s">
        <v>117</v>
      </c>
      <c r="E127" s="8">
        <v>30403.0</v>
      </c>
      <c r="F127" s="8">
        <v>16717.0</v>
      </c>
      <c r="G127" s="8">
        <v>17445.0</v>
      </c>
      <c r="H127" s="8">
        <v>18439.0</v>
      </c>
      <c r="I127" s="8">
        <v>27387.0</v>
      </c>
      <c r="J127" s="8">
        <v>28381.0</v>
      </c>
      <c r="K127" s="8">
        <v>29375.0</v>
      </c>
      <c r="L127" s="8">
        <v>0.0</v>
      </c>
      <c r="M127" s="8">
        <v>0.0</v>
      </c>
      <c r="N127" s="8">
        <v>0.0</v>
      </c>
      <c r="O127" s="8">
        <v>4.0</v>
      </c>
      <c r="P127" s="8">
        <v>1.0</v>
      </c>
      <c r="Q127" s="8">
        <v>0.0</v>
      </c>
      <c r="R127" s="18">
        <f t="shared" ref="R127:T127" si="253">(L127/F127)*1000000</f>
        <v>0</v>
      </c>
      <c r="S127" s="18">
        <f t="shared" si="253"/>
        <v>0</v>
      </c>
      <c r="T127" s="18">
        <f t="shared" si="253"/>
        <v>0</v>
      </c>
      <c r="U127" s="18">
        <f t="shared" si="4"/>
        <v>0</v>
      </c>
      <c r="V127" s="18">
        <f t="shared" ref="V127:X127" si="254">(O127/I127)*1000000</f>
        <v>146.0546975</v>
      </c>
      <c r="W127" s="18">
        <f t="shared" si="254"/>
        <v>35.23484021</v>
      </c>
      <c r="X127" s="18">
        <f t="shared" si="254"/>
        <v>0</v>
      </c>
      <c r="Y127" s="18">
        <f t="shared" si="6"/>
        <v>60.4298459</v>
      </c>
    </row>
    <row r="128" ht="14.25" customHeight="1">
      <c r="A128" s="7" t="s">
        <v>133</v>
      </c>
      <c r="B128" s="7" t="s">
        <v>242</v>
      </c>
      <c r="C128" s="7" t="s">
        <v>161</v>
      </c>
      <c r="D128" s="7" t="s">
        <v>161</v>
      </c>
      <c r="E128" s="8">
        <v>30404.0</v>
      </c>
      <c r="F128" s="8">
        <v>4398.0</v>
      </c>
      <c r="G128" s="8">
        <v>4366.0</v>
      </c>
      <c r="H128" s="8">
        <v>4418.0</v>
      </c>
      <c r="I128" s="8">
        <v>4884.0</v>
      </c>
      <c r="J128" s="8">
        <v>4935.0</v>
      </c>
      <c r="K128" s="8">
        <v>4987.0</v>
      </c>
      <c r="L128" s="8">
        <v>0.0</v>
      </c>
      <c r="M128" s="8">
        <v>0.0</v>
      </c>
      <c r="N128" s="8">
        <v>0.0</v>
      </c>
      <c r="O128" s="8">
        <v>1.0</v>
      </c>
      <c r="P128" s="8">
        <v>0.0</v>
      </c>
      <c r="Q128" s="8">
        <v>0.0</v>
      </c>
      <c r="R128" s="18">
        <f t="shared" ref="R128:T128" si="255">(L128/F128)*1000000</f>
        <v>0</v>
      </c>
      <c r="S128" s="18">
        <f t="shared" si="255"/>
        <v>0</v>
      </c>
      <c r="T128" s="18">
        <f t="shared" si="255"/>
        <v>0</v>
      </c>
      <c r="U128" s="18">
        <f t="shared" si="4"/>
        <v>0</v>
      </c>
      <c r="V128" s="18">
        <f t="shared" ref="V128:X128" si="256">(O128/I128)*1000000</f>
        <v>204.7502048</v>
      </c>
      <c r="W128" s="18">
        <f t="shared" si="256"/>
        <v>0</v>
      </c>
      <c r="X128" s="18">
        <f t="shared" si="256"/>
        <v>0</v>
      </c>
      <c r="Y128" s="18">
        <f t="shared" si="6"/>
        <v>68.25006825</v>
      </c>
    </row>
    <row r="129" ht="14.25" customHeight="1">
      <c r="A129" s="7" t="s">
        <v>133</v>
      </c>
      <c r="B129" s="7" t="s">
        <v>115</v>
      </c>
      <c r="C129" s="7" t="s">
        <v>115</v>
      </c>
      <c r="D129" s="7" t="s">
        <v>115</v>
      </c>
      <c r="E129" s="8">
        <v>30501.0</v>
      </c>
      <c r="F129" s="8">
        <v>9689.0</v>
      </c>
      <c r="G129" s="8">
        <v>9504.0</v>
      </c>
      <c r="H129" s="8">
        <v>9644.0</v>
      </c>
      <c r="I129" s="8">
        <v>10903.0</v>
      </c>
      <c r="J129" s="8">
        <v>11043.0</v>
      </c>
      <c r="K129" s="8">
        <v>11183.0</v>
      </c>
      <c r="L129" s="8">
        <v>0.0</v>
      </c>
      <c r="M129" s="8">
        <v>0.0</v>
      </c>
      <c r="N129" s="8">
        <v>0.0</v>
      </c>
      <c r="O129" s="8">
        <v>2.0</v>
      </c>
      <c r="P129" s="8">
        <v>0.0</v>
      </c>
      <c r="Q129" s="8">
        <v>1.0</v>
      </c>
      <c r="R129" s="18">
        <f t="shared" ref="R129:T129" si="257">(L129/F129)*1000000</f>
        <v>0</v>
      </c>
      <c r="S129" s="18">
        <f t="shared" si="257"/>
        <v>0</v>
      </c>
      <c r="T129" s="18">
        <f t="shared" si="257"/>
        <v>0</v>
      </c>
      <c r="U129" s="18">
        <f t="shared" si="4"/>
        <v>0</v>
      </c>
      <c r="V129" s="18">
        <f t="shared" ref="V129:X129" si="258">(O129/I129)*1000000</f>
        <v>183.4357516</v>
      </c>
      <c r="W129" s="18">
        <f t="shared" si="258"/>
        <v>0</v>
      </c>
      <c r="X129" s="18">
        <f t="shared" si="258"/>
        <v>89.42144326</v>
      </c>
      <c r="Y129" s="18">
        <f t="shared" si="6"/>
        <v>90.9523983</v>
      </c>
    </row>
    <row r="130" ht="14.25" customHeight="1">
      <c r="A130" s="7" t="s">
        <v>133</v>
      </c>
      <c r="B130" s="7" t="s">
        <v>115</v>
      </c>
      <c r="C130" s="7" t="s">
        <v>191</v>
      </c>
      <c r="D130" s="7" t="s">
        <v>191</v>
      </c>
      <c r="E130" s="8">
        <v>30502.0</v>
      </c>
      <c r="F130" s="8">
        <v>9265.0</v>
      </c>
      <c r="G130" s="8">
        <v>8940.0</v>
      </c>
      <c r="H130" s="8">
        <v>8896.0</v>
      </c>
      <c r="I130" s="8">
        <v>8498.0</v>
      </c>
      <c r="J130" s="8">
        <v>8453.0</v>
      </c>
      <c r="K130" s="8">
        <v>8409.0</v>
      </c>
      <c r="L130" s="8">
        <v>0.0</v>
      </c>
      <c r="M130" s="8">
        <v>0.0</v>
      </c>
      <c r="N130" s="8">
        <v>0.0</v>
      </c>
      <c r="O130" s="8">
        <v>0.0</v>
      </c>
      <c r="P130" s="8">
        <v>2.0</v>
      </c>
      <c r="Q130" s="8">
        <v>0.0</v>
      </c>
      <c r="R130" s="18">
        <f t="shared" ref="R130:T130" si="259">(L130/F130)*1000000</f>
        <v>0</v>
      </c>
      <c r="S130" s="18">
        <f t="shared" si="259"/>
        <v>0</v>
      </c>
      <c r="T130" s="18">
        <f t="shared" si="259"/>
        <v>0</v>
      </c>
      <c r="U130" s="18">
        <f t="shared" si="4"/>
        <v>0</v>
      </c>
      <c r="V130" s="18">
        <f t="shared" ref="V130:X130" si="260">(O130/I130)*1000000</f>
        <v>0</v>
      </c>
      <c r="W130" s="18">
        <f t="shared" si="260"/>
        <v>236.6023897</v>
      </c>
      <c r="X130" s="18">
        <f t="shared" si="260"/>
        <v>0</v>
      </c>
      <c r="Y130" s="18">
        <f t="shared" si="6"/>
        <v>78.86746323</v>
      </c>
    </row>
    <row r="131" ht="14.25" customHeight="1">
      <c r="A131" s="7" t="s">
        <v>133</v>
      </c>
      <c r="B131" s="7" t="s">
        <v>120</v>
      </c>
      <c r="C131" s="7" t="s">
        <v>120</v>
      </c>
      <c r="D131" s="7" t="s">
        <v>555</v>
      </c>
      <c r="E131" s="8">
        <v>30601.0</v>
      </c>
      <c r="F131" s="8">
        <v>10707.0</v>
      </c>
      <c r="G131" s="8">
        <v>10597.0</v>
      </c>
      <c r="H131" s="8">
        <v>10600.0</v>
      </c>
      <c r="I131" s="8">
        <v>10626.0</v>
      </c>
      <c r="J131" s="8">
        <v>10629.0</v>
      </c>
      <c r="K131" s="8">
        <v>10632.0</v>
      </c>
      <c r="L131" s="8">
        <v>0.0</v>
      </c>
      <c r="M131" s="8">
        <v>0.0</v>
      </c>
      <c r="N131" s="8">
        <v>0.0</v>
      </c>
      <c r="O131" s="8">
        <v>2.0</v>
      </c>
      <c r="P131" s="8">
        <v>2.0</v>
      </c>
      <c r="Q131" s="8">
        <v>1.0</v>
      </c>
      <c r="R131" s="18">
        <f t="shared" ref="R131:T131" si="261">(L131/F131)*1000000</f>
        <v>0</v>
      </c>
      <c r="S131" s="18">
        <f t="shared" si="261"/>
        <v>0</v>
      </c>
      <c r="T131" s="18">
        <f t="shared" si="261"/>
        <v>0</v>
      </c>
      <c r="U131" s="18">
        <f t="shared" si="4"/>
        <v>0</v>
      </c>
      <c r="V131" s="18">
        <f t="shared" ref="V131:X131" si="262">(O131/I131)*1000000</f>
        <v>188.2175795</v>
      </c>
      <c r="W131" s="18">
        <f t="shared" si="262"/>
        <v>188.1644557</v>
      </c>
      <c r="X131" s="18">
        <f t="shared" si="262"/>
        <v>94.05568096</v>
      </c>
      <c r="Y131" s="18">
        <f t="shared" si="6"/>
        <v>156.8125721</v>
      </c>
    </row>
    <row r="132" ht="14.25" customHeight="1">
      <c r="A132" s="7" t="s">
        <v>133</v>
      </c>
      <c r="B132" s="7" t="s">
        <v>120</v>
      </c>
      <c r="C132" s="7" t="s">
        <v>174</v>
      </c>
      <c r="D132" s="7" t="s">
        <v>174</v>
      </c>
      <c r="E132" s="8">
        <v>30602.0</v>
      </c>
      <c r="F132" s="8">
        <v>10381.0</v>
      </c>
      <c r="G132" s="8">
        <v>10253.0</v>
      </c>
      <c r="H132" s="8">
        <v>10294.0</v>
      </c>
      <c r="I132" s="8">
        <v>10667.0</v>
      </c>
      <c r="J132" s="8">
        <v>10709.0</v>
      </c>
      <c r="K132" s="8">
        <v>10750.0</v>
      </c>
      <c r="L132" s="8">
        <v>0.0</v>
      </c>
      <c r="M132" s="8">
        <v>0.0</v>
      </c>
      <c r="N132" s="8">
        <v>0.0</v>
      </c>
      <c r="O132" s="8">
        <v>1.0</v>
      </c>
      <c r="P132" s="8">
        <v>1.0</v>
      </c>
      <c r="Q132" s="8">
        <v>1.0</v>
      </c>
      <c r="R132" s="18">
        <f t="shared" ref="R132:T132" si="263">(L132/F132)*1000000</f>
        <v>0</v>
      </c>
      <c r="S132" s="18">
        <f t="shared" si="263"/>
        <v>0</v>
      </c>
      <c r="T132" s="18">
        <f t="shared" si="263"/>
        <v>0</v>
      </c>
      <c r="U132" s="18">
        <f t="shared" si="4"/>
        <v>0</v>
      </c>
      <c r="V132" s="18">
        <f t="shared" ref="V132:X132" si="264">(O132/I132)*1000000</f>
        <v>93.7470704</v>
      </c>
      <c r="W132" s="18">
        <f t="shared" si="264"/>
        <v>93.3794005</v>
      </c>
      <c r="X132" s="18">
        <f t="shared" si="264"/>
        <v>93.02325581</v>
      </c>
      <c r="Y132" s="18">
        <f t="shared" si="6"/>
        <v>93.38324224</v>
      </c>
    </row>
    <row r="133" ht="14.25" customHeight="1">
      <c r="A133" s="7" t="s">
        <v>133</v>
      </c>
      <c r="B133" s="7" t="s">
        <v>127</v>
      </c>
      <c r="C133" s="7" t="s">
        <v>127</v>
      </c>
      <c r="D133" s="7" t="s">
        <v>127</v>
      </c>
      <c r="E133" s="8">
        <v>30701.0</v>
      </c>
      <c r="F133" s="8">
        <v>19247.0</v>
      </c>
      <c r="G133" s="8">
        <v>19477.0</v>
      </c>
      <c r="H133" s="8">
        <v>19473.0</v>
      </c>
      <c r="I133" s="8">
        <v>19435.0</v>
      </c>
      <c r="J133" s="8">
        <v>19431.0</v>
      </c>
      <c r="K133" s="8">
        <v>19427.0</v>
      </c>
      <c r="L133" s="8">
        <v>0.0</v>
      </c>
      <c r="M133" s="8">
        <v>2.0</v>
      </c>
      <c r="N133" s="8">
        <v>1.0</v>
      </c>
      <c r="O133" s="8">
        <v>0.0</v>
      </c>
      <c r="P133" s="8">
        <v>0.0</v>
      </c>
      <c r="Q133" s="8">
        <v>3.0</v>
      </c>
      <c r="R133" s="18">
        <f t="shared" ref="R133:T133" si="265">(L133/F133)*1000000</f>
        <v>0</v>
      </c>
      <c r="S133" s="18">
        <f t="shared" si="265"/>
        <v>102.6852185</v>
      </c>
      <c r="T133" s="18">
        <f t="shared" si="265"/>
        <v>51.35315565</v>
      </c>
      <c r="U133" s="18">
        <f t="shared" si="4"/>
        <v>51.3461247</v>
      </c>
      <c r="V133" s="18">
        <f t="shared" ref="V133:X133" si="266">(O133/I133)*1000000</f>
        <v>0</v>
      </c>
      <c r="W133" s="18">
        <f t="shared" si="266"/>
        <v>0</v>
      </c>
      <c r="X133" s="18">
        <f t="shared" si="266"/>
        <v>154.4242549</v>
      </c>
      <c r="Y133" s="18">
        <f t="shared" si="6"/>
        <v>51.47475163</v>
      </c>
    </row>
    <row r="134" ht="14.25" customHeight="1">
      <c r="A134" s="7" t="s">
        <v>133</v>
      </c>
      <c r="B134" s="7" t="s">
        <v>127</v>
      </c>
      <c r="C134" s="7" t="s">
        <v>166</v>
      </c>
      <c r="D134" s="7" t="s">
        <v>556</v>
      </c>
      <c r="E134" s="8">
        <v>30702.0</v>
      </c>
      <c r="F134" s="8">
        <v>6516.0</v>
      </c>
      <c r="G134" s="8">
        <v>6527.0</v>
      </c>
      <c r="H134" s="8">
        <v>6645.0</v>
      </c>
      <c r="I134" s="8">
        <v>7705.0</v>
      </c>
      <c r="J134" s="8">
        <v>7822.0</v>
      </c>
      <c r="K134" s="8">
        <v>7940.0</v>
      </c>
      <c r="L134" s="8">
        <v>0.0</v>
      </c>
      <c r="M134" s="8">
        <v>0.0</v>
      </c>
      <c r="N134" s="8">
        <v>0.0</v>
      </c>
      <c r="O134" s="8">
        <v>2.0</v>
      </c>
      <c r="P134" s="8">
        <v>0.0</v>
      </c>
      <c r="Q134" s="8">
        <v>1.0</v>
      </c>
      <c r="R134" s="18">
        <f t="shared" ref="R134:T134" si="267">(L134/F134)*1000000</f>
        <v>0</v>
      </c>
      <c r="S134" s="18">
        <f t="shared" si="267"/>
        <v>0</v>
      </c>
      <c r="T134" s="18">
        <f t="shared" si="267"/>
        <v>0</v>
      </c>
      <c r="U134" s="18">
        <f t="shared" si="4"/>
        <v>0</v>
      </c>
      <c r="V134" s="18">
        <f t="shared" ref="V134:X134" si="268">(O134/I134)*1000000</f>
        <v>259.5717067</v>
      </c>
      <c r="W134" s="18">
        <f t="shared" si="268"/>
        <v>0</v>
      </c>
      <c r="X134" s="18">
        <f t="shared" si="268"/>
        <v>125.9445844</v>
      </c>
      <c r="Y134" s="18">
        <f t="shared" si="6"/>
        <v>128.5054304</v>
      </c>
    </row>
    <row r="135" ht="14.25" customHeight="1">
      <c r="A135" s="7" t="s">
        <v>133</v>
      </c>
      <c r="B135" s="7" t="s">
        <v>127</v>
      </c>
      <c r="C135" s="7" t="s">
        <v>168</v>
      </c>
      <c r="D135" s="7" t="s">
        <v>168</v>
      </c>
      <c r="E135" s="8">
        <v>30703.0</v>
      </c>
      <c r="F135" s="8">
        <v>3603.0</v>
      </c>
      <c r="G135" s="8">
        <v>3740.0</v>
      </c>
      <c r="H135" s="8">
        <v>3760.0</v>
      </c>
      <c r="I135" s="8">
        <v>3940.0</v>
      </c>
      <c r="J135" s="8">
        <v>3960.0</v>
      </c>
      <c r="K135" s="8">
        <v>3980.0</v>
      </c>
      <c r="L135" s="8">
        <v>0.0</v>
      </c>
      <c r="M135" s="8">
        <v>1.0</v>
      </c>
      <c r="N135" s="8">
        <v>0.0</v>
      </c>
      <c r="O135" s="8">
        <v>1.0</v>
      </c>
      <c r="P135" s="8">
        <v>2.0</v>
      </c>
      <c r="Q135" s="8">
        <v>2.0</v>
      </c>
      <c r="R135" s="18">
        <f t="shared" ref="R135:T135" si="269">(L135/F135)*1000000</f>
        <v>0</v>
      </c>
      <c r="S135" s="18">
        <f t="shared" si="269"/>
        <v>267.3796791</v>
      </c>
      <c r="T135" s="18">
        <f t="shared" si="269"/>
        <v>0</v>
      </c>
      <c r="U135" s="18">
        <f t="shared" si="4"/>
        <v>89.12655971</v>
      </c>
      <c r="V135" s="18">
        <f t="shared" ref="V135:X135" si="270">(O135/I135)*1000000</f>
        <v>253.8071066</v>
      </c>
      <c r="W135" s="18">
        <f t="shared" si="270"/>
        <v>505.0505051</v>
      </c>
      <c r="X135" s="18">
        <f t="shared" si="270"/>
        <v>502.5125628</v>
      </c>
      <c r="Y135" s="18">
        <f t="shared" si="6"/>
        <v>420.4567248</v>
      </c>
    </row>
    <row r="136" ht="14.25" customHeight="1">
      <c r="A136" s="7" t="s">
        <v>133</v>
      </c>
      <c r="B136" s="7" t="s">
        <v>245</v>
      </c>
      <c r="C136" s="7" t="s">
        <v>131</v>
      </c>
      <c r="D136" s="7" t="s">
        <v>131</v>
      </c>
      <c r="E136" s="8">
        <v>30801.0</v>
      </c>
      <c r="F136" s="8">
        <v>21703.0</v>
      </c>
      <c r="G136" s="8">
        <v>21899.0</v>
      </c>
      <c r="H136" s="8">
        <v>21837.0</v>
      </c>
      <c r="I136" s="8">
        <v>21279.0</v>
      </c>
      <c r="J136" s="8">
        <v>21217.0</v>
      </c>
      <c r="K136" s="8">
        <v>21155.0</v>
      </c>
      <c r="L136" s="8">
        <v>1.0</v>
      </c>
      <c r="M136" s="8">
        <v>1.0</v>
      </c>
      <c r="N136" s="8">
        <v>3.0</v>
      </c>
      <c r="O136" s="8">
        <v>5.0</v>
      </c>
      <c r="P136" s="8">
        <v>5.0</v>
      </c>
      <c r="Q136" s="8">
        <v>3.0</v>
      </c>
      <c r="R136" s="18">
        <f t="shared" ref="R136:T136" si="271">(L136/F136)*1000000</f>
        <v>46.07657927</v>
      </c>
      <c r="S136" s="18">
        <f t="shared" si="271"/>
        <v>45.66418558</v>
      </c>
      <c r="T136" s="18">
        <f t="shared" si="271"/>
        <v>137.3815084</v>
      </c>
      <c r="U136" s="18">
        <f t="shared" si="4"/>
        <v>76.3740911</v>
      </c>
      <c r="V136" s="18">
        <f t="shared" ref="V136:X136" si="272">(O136/I136)*1000000</f>
        <v>234.973448</v>
      </c>
      <c r="W136" s="18">
        <f t="shared" si="272"/>
        <v>235.6600839</v>
      </c>
      <c r="X136" s="18">
        <f t="shared" si="272"/>
        <v>141.8104467</v>
      </c>
      <c r="Y136" s="18">
        <f t="shared" si="6"/>
        <v>204.1479929</v>
      </c>
    </row>
    <row r="137" ht="14.25" customHeight="1">
      <c r="A137" s="7" t="s">
        <v>133</v>
      </c>
      <c r="B137" s="7" t="s">
        <v>245</v>
      </c>
      <c r="C137" s="7" t="s">
        <v>246</v>
      </c>
      <c r="D137" s="7" t="s">
        <v>246</v>
      </c>
      <c r="E137" s="8">
        <v>30802.0</v>
      </c>
      <c r="F137" s="8">
        <v>7025.0</v>
      </c>
      <c r="G137" s="8">
        <v>7057.0</v>
      </c>
      <c r="H137" s="8">
        <v>7084.0</v>
      </c>
      <c r="I137" s="8">
        <v>7328.0</v>
      </c>
      <c r="J137" s="8">
        <v>7355.0</v>
      </c>
      <c r="K137" s="8">
        <v>7382.0</v>
      </c>
      <c r="L137" s="8">
        <v>0.0</v>
      </c>
      <c r="M137" s="8">
        <v>0.0</v>
      </c>
      <c r="N137" s="8">
        <v>0.0</v>
      </c>
      <c r="O137" s="8">
        <v>0.0</v>
      </c>
      <c r="P137" s="8">
        <v>1.0</v>
      </c>
      <c r="Q137" s="8">
        <v>0.0</v>
      </c>
      <c r="R137" s="18">
        <f t="shared" ref="R137:T137" si="273">(L137/F137)*1000000</f>
        <v>0</v>
      </c>
      <c r="S137" s="18">
        <f t="shared" si="273"/>
        <v>0</v>
      </c>
      <c r="T137" s="18">
        <f t="shared" si="273"/>
        <v>0</v>
      </c>
      <c r="U137" s="18">
        <f t="shared" si="4"/>
        <v>0</v>
      </c>
      <c r="V137" s="18">
        <f t="shared" ref="V137:X137" si="274">(O137/I137)*1000000</f>
        <v>0</v>
      </c>
      <c r="W137" s="18">
        <f t="shared" si="274"/>
        <v>135.9619307</v>
      </c>
      <c r="X137" s="18">
        <f t="shared" si="274"/>
        <v>0</v>
      </c>
      <c r="Y137" s="18">
        <f t="shared" si="6"/>
        <v>45.32064355</v>
      </c>
    </row>
    <row r="138" ht="14.25" customHeight="1">
      <c r="A138" s="7" t="s">
        <v>133</v>
      </c>
      <c r="B138" s="7" t="s">
        <v>245</v>
      </c>
      <c r="C138" s="7" t="s">
        <v>187</v>
      </c>
      <c r="D138" s="7" t="s">
        <v>187</v>
      </c>
      <c r="E138" s="8">
        <v>30803.0</v>
      </c>
      <c r="F138" s="8">
        <v>5521.0</v>
      </c>
      <c r="G138" s="8">
        <v>5542.0</v>
      </c>
      <c r="H138" s="8">
        <v>5804.0</v>
      </c>
      <c r="I138" s="8">
        <v>8163.0</v>
      </c>
      <c r="J138" s="8">
        <v>8425.0</v>
      </c>
      <c r="K138" s="8">
        <v>8687.0</v>
      </c>
      <c r="L138" s="8">
        <v>1.0</v>
      </c>
      <c r="M138" s="8">
        <v>0.0</v>
      </c>
      <c r="N138" s="8">
        <v>0.0</v>
      </c>
      <c r="O138" s="8">
        <v>1.0</v>
      </c>
      <c r="P138" s="8">
        <v>0.0</v>
      </c>
      <c r="Q138" s="8">
        <v>2.0</v>
      </c>
      <c r="R138" s="18">
        <f t="shared" ref="R138:T138" si="275">(L138/F138)*1000000</f>
        <v>181.1266075</v>
      </c>
      <c r="S138" s="18">
        <f t="shared" si="275"/>
        <v>0</v>
      </c>
      <c r="T138" s="18">
        <f t="shared" si="275"/>
        <v>0</v>
      </c>
      <c r="U138" s="18">
        <f t="shared" si="4"/>
        <v>60.37553583</v>
      </c>
      <c r="V138" s="18">
        <f t="shared" ref="V138:X138" si="276">(O138/I138)*1000000</f>
        <v>122.5039814</v>
      </c>
      <c r="W138" s="18">
        <f t="shared" si="276"/>
        <v>0</v>
      </c>
      <c r="X138" s="18">
        <f t="shared" si="276"/>
        <v>230.2290779</v>
      </c>
      <c r="Y138" s="18">
        <f t="shared" si="6"/>
        <v>117.5776864</v>
      </c>
    </row>
    <row r="139" ht="14.25" customHeight="1">
      <c r="A139" s="7" t="s">
        <v>133</v>
      </c>
      <c r="B139" s="7" t="s">
        <v>157</v>
      </c>
      <c r="C139" s="7" t="s">
        <v>157</v>
      </c>
      <c r="D139" s="7" t="s">
        <v>157</v>
      </c>
      <c r="E139" s="8">
        <v>30901.0</v>
      </c>
      <c r="F139" s="8">
        <v>134184.0</v>
      </c>
      <c r="G139" s="8">
        <v>137182.0</v>
      </c>
      <c r="H139" s="8">
        <v>139645.0</v>
      </c>
      <c r="I139" s="8">
        <v>161815.0</v>
      </c>
      <c r="J139" s="8">
        <v>164278.0</v>
      </c>
      <c r="K139" s="8">
        <v>166741.0</v>
      </c>
      <c r="L139" s="8">
        <v>23.0</v>
      </c>
      <c r="M139" s="8">
        <v>14.0</v>
      </c>
      <c r="N139" s="8">
        <v>16.0</v>
      </c>
      <c r="O139" s="8">
        <v>40.0</v>
      </c>
      <c r="P139" s="8">
        <v>63.0</v>
      </c>
      <c r="Q139" s="8">
        <v>31.0</v>
      </c>
      <c r="R139" s="18">
        <f t="shared" ref="R139:T139" si="277">(L139/F139)*1000000</f>
        <v>171.406427</v>
      </c>
      <c r="S139" s="18">
        <f t="shared" si="277"/>
        <v>102.0542054</v>
      </c>
      <c r="T139" s="18">
        <f t="shared" si="277"/>
        <v>114.5762469</v>
      </c>
      <c r="U139" s="18">
        <f t="shared" si="4"/>
        <v>129.3456264</v>
      </c>
      <c r="V139" s="18">
        <f t="shared" ref="V139:X139" si="278">(O139/I139)*1000000</f>
        <v>247.1958718</v>
      </c>
      <c r="W139" s="18">
        <f t="shared" si="278"/>
        <v>383.4962685</v>
      </c>
      <c r="X139" s="18">
        <f t="shared" si="278"/>
        <v>185.917081</v>
      </c>
      <c r="Y139" s="18">
        <f t="shared" si="6"/>
        <v>272.2030738</v>
      </c>
    </row>
    <row r="140" ht="14.25" customHeight="1">
      <c r="A140" s="7" t="s">
        <v>133</v>
      </c>
      <c r="B140" s="7" t="s">
        <v>157</v>
      </c>
      <c r="C140" s="7" t="s">
        <v>247</v>
      </c>
      <c r="D140" s="7" t="s">
        <v>247</v>
      </c>
      <c r="E140" s="8">
        <v>30902.0</v>
      </c>
      <c r="F140" s="8">
        <v>40641.0</v>
      </c>
      <c r="G140" s="8">
        <v>41571.0</v>
      </c>
      <c r="H140" s="8">
        <v>42766.0</v>
      </c>
      <c r="I140" s="8">
        <v>53519.0</v>
      </c>
      <c r="J140" s="8">
        <v>54713.0</v>
      </c>
      <c r="K140" s="8">
        <v>55908.0</v>
      </c>
      <c r="L140" s="8">
        <v>2.0</v>
      </c>
      <c r="M140" s="8">
        <v>0.0</v>
      </c>
      <c r="N140" s="8">
        <v>0.0</v>
      </c>
      <c r="O140" s="8">
        <v>2.0</v>
      </c>
      <c r="P140" s="8">
        <v>7.0</v>
      </c>
      <c r="Q140" s="8">
        <v>9.0</v>
      </c>
      <c r="R140" s="18">
        <f t="shared" ref="R140:T140" si="279">(L140/F140)*1000000</f>
        <v>49.21138752</v>
      </c>
      <c r="S140" s="18">
        <f t="shared" si="279"/>
        <v>0</v>
      </c>
      <c r="T140" s="18">
        <f t="shared" si="279"/>
        <v>0</v>
      </c>
      <c r="U140" s="18">
        <f t="shared" si="4"/>
        <v>16.40379584</v>
      </c>
      <c r="V140" s="18">
        <f t="shared" ref="V140:X140" si="280">(O140/I140)*1000000</f>
        <v>37.36990601</v>
      </c>
      <c r="W140" s="18">
        <f t="shared" si="280"/>
        <v>127.9403432</v>
      </c>
      <c r="X140" s="18">
        <f t="shared" si="280"/>
        <v>160.9787508</v>
      </c>
      <c r="Y140" s="18">
        <f t="shared" si="6"/>
        <v>108.763</v>
      </c>
    </row>
    <row r="141" ht="14.25" customHeight="1">
      <c r="A141" s="7" t="s">
        <v>133</v>
      </c>
      <c r="B141" s="7" t="s">
        <v>157</v>
      </c>
      <c r="C141" s="7" t="s">
        <v>180</v>
      </c>
      <c r="D141" s="7" t="s">
        <v>180</v>
      </c>
      <c r="E141" s="8">
        <v>30903.0</v>
      </c>
      <c r="F141" s="8">
        <v>52439.0</v>
      </c>
      <c r="G141" s="8">
        <v>53904.0</v>
      </c>
      <c r="H141" s="8">
        <v>54565.0</v>
      </c>
      <c r="I141" s="8">
        <v>60517.0</v>
      </c>
      <c r="J141" s="8">
        <v>61179.0</v>
      </c>
      <c r="K141" s="8">
        <v>61840.0</v>
      </c>
      <c r="L141" s="8">
        <v>6.0</v>
      </c>
      <c r="M141" s="8">
        <v>6.0</v>
      </c>
      <c r="N141" s="8">
        <v>6.0</v>
      </c>
      <c r="O141" s="8">
        <v>20.0</v>
      </c>
      <c r="P141" s="8">
        <v>10.0</v>
      </c>
      <c r="Q141" s="8">
        <v>11.0</v>
      </c>
      <c r="R141" s="18">
        <f t="shared" ref="R141:T141" si="281">(L141/F141)*1000000</f>
        <v>114.4186579</v>
      </c>
      <c r="S141" s="18">
        <f t="shared" si="281"/>
        <v>111.3089938</v>
      </c>
      <c r="T141" s="18">
        <f t="shared" si="281"/>
        <v>109.9605975</v>
      </c>
      <c r="U141" s="18">
        <f t="shared" si="4"/>
        <v>111.896083</v>
      </c>
      <c r="V141" s="18">
        <f t="shared" ref="V141:X141" si="282">(O141/I141)*1000000</f>
        <v>330.4856487</v>
      </c>
      <c r="W141" s="18">
        <f t="shared" si="282"/>
        <v>163.4547802</v>
      </c>
      <c r="X141" s="18">
        <f t="shared" si="282"/>
        <v>177.8783959</v>
      </c>
      <c r="Y141" s="18">
        <f t="shared" si="6"/>
        <v>223.9396083</v>
      </c>
    </row>
    <row r="142" ht="14.25" customHeight="1">
      <c r="A142" s="7" t="s">
        <v>133</v>
      </c>
      <c r="B142" s="7" t="s">
        <v>157</v>
      </c>
      <c r="C142" s="7" t="s">
        <v>200</v>
      </c>
      <c r="D142" s="7" t="s">
        <v>200</v>
      </c>
      <c r="E142" s="8">
        <v>30904.0</v>
      </c>
      <c r="F142" s="8">
        <v>50106.0</v>
      </c>
      <c r="G142" s="8">
        <v>51968.0</v>
      </c>
      <c r="H142" s="8">
        <v>52309.0</v>
      </c>
      <c r="I142" s="8">
        <v>55381.0</v>
      </c>
      <c r="J142" s="8">
        <v>55723.0</v>
      </c>
      <c r="K142" s="8">
        <v>56064.0</v>
      </c>
      <c r="L142" s="8">
        <v>3.0</v>
      </c>
      <c r="M142" s="8">
        <v>2.0</v>
      </c>
      <c r="N142" s="8">
        <v>6.0</v>
      </c>
      <c r="O142" s="8">
        <v>17.0</v>
      </c>
      <c r="P142" s="8">
        <v>14.0</v>
      </c>
      <c r="Q142" s="8">
        <v>20.0</v>
      </c>
      <c r="R142" s="18">
        <f t="shared" ref="R142:T142" si="283">(L142/F142)*1000000</f>
        <v>59.87306909</v>
      </c>
      <c r="S142" s="18">
        <f t="shared" si="283"/>
        <v>38.48522167</v>
      </c>
      <c r="T142" s="18">
        <f t="shared" si="283"/>
        <v>114.7030148</v>
      </c>
      <c r="U142" s="18">
        <f t="shared" si="4"/>
        <v>71.02043518</v>
      </c>
      <c r="V142" s="18">
        <f t="shared" ref="V142:X142" si="284">(O142/I142)*1000000</f>
        <v>306.9644824</v>
      </c>
      <c r="W142" s="18">
        <f t="shared" si="284"/>
        <v>251.2427543</v>
      </c>
      <c r="X142" s="18">
        <f t="shared" si="284"/>
        <v>356.7351598</v>
      </c>
      <c r="Y142" s="18">
        <f t="shared" si="6"/>
        <v>304.9807989</v>
      </c>
    </row>
    <row r="143" ht="14.25" customHeight="1">
      <c r="A143" s="7" t="s">
        <v>133</v>
      </c>
      <c r="B143" s="7" t="s">
        <v>157</v>
      </c>
      <c r="C143" s="7" t="s">
        <v>135</v>
      </c>
      <c r="D143" s="7" t="s">
        <v>135</v>
      </c>
      <c r="E143" s="8">
        <v>30905.0</v>
      </c>
      <c r="F143" s="8">
        <v>51080.0</v>
      </c>
      <c r="G143" s="8">
        <v>51990.0</v>
      </c>
      <c r="H143" s="8">
        <v>53200.0</v>
      </c>
      <c r="I143" s="8">
        <v>64086.0</v>
      </c>
      <c r="J143" s="8">
        <v>65295.0</v>
      </c>
      <c r="K143" s="8">
        <v>66505.0</v>
      </c>
      <c r="L143" s="8">
        <v>4.0</v>
      </c>
      <c r="M143" s="8">
        <v>6.0</v>
      </c>
      <c r="N143" s="8">
        <v>5.0</v>
      </c>
      <c r="O143" s="8">
        <v>12.0</v>
      </c>
      <c r="P143" s="8">
        <v>17.0</v>
      </c>
      <c r="Q143" s="8">
        <v>20.0</v>
      </c>
      <c r="R143" s="18">
        <f t="shared" ref="R143:T143" si="285">(L143/F143)*1000000</f>
        <v>78.30853563</v>
      </c>
      <c r="S143" s="18">
        <f t="shared" si="285"/>
        <v>115.406809</v>
      </c>
      <c r="T143" s="18">
        <f t="shared" si="285"/>
        <v>93.98496241</v>
      </c>
      <c r="U143" s="18">
        <f t="shared" si="4"/>
        <v>95.90010235</v>
      </c>
      <c r="V143" s="18">
        <f t="shared" ref="V143:X143" si="286">(O143/I143)*1000000</f>
        <v>187.248385</v>
      </c>
      <c r="W143" s="18">
        <f t="shared" si="286"/>
        <v>260.356842</v>
      </c>
      <c r="X143" s="18">
        <f t="shared" si="286"/>
        <v>300.7292685</v>
      </c>
      <c r="Y143" s="18">
        <f t="shared" si="6"/>
        <v>249.4448318</v>
      </c>
    </row>
    <row r="144" ht="14.25" customHeight="1">
      <c r="A144" s="7" t="s">
        <v>133</v>
      </c>
      <c r="B144" s="7" t="s">
        <v>249</v>
      </c>
      <c r="C144" s="7" t="s">
        <v>159</v>
      </c>
      <c r="D144" s="7" t="s">
        <v>159</v>
      </c>
      <c r="E144" s="8">
        <v>31001.0</v>
      </c>
      <c r="F144" s="8">
        <v>167433.0</v>
      </c>
      <c r="G144" s="8">
        <v>172466.0</v>
      </c>
      <c r="H144" s="8">
        <v>176352.0</v>
      </c>
      <c r="I144" s="8">
        <v>211321.0</v>
      </c>
      <c r="J144" s="8">
        <v>215207.0</v>
      </c>
      <c r="K144" s="8">
        <v>219092.0</v>
      </c>
      <c r="L144" s="8">
        <v>13.0</v>
      </c>
      <c r="M144" s="8">
        <v>15.0</v>
      </c>
      <c r="N144" s="8">
        <v>12.0</v>
      </c>
      <c r="O144" s="8">
        <v>26.0</v>
      </c>
      <c r="P144" s="8">
        <v>53.0</v>
      </c>
      <c r="Q144" s="8">
        <v>65.0</v>
      </c>
      <c r="R144" s="18">
        <f t="shared" ref="R144:T144" si="287">(L144/F144)*1000000</f>
        <v>77.6429975</v>
      </c>
      <c r="S144" s="18">
        <f t="shared" si="287"/>
        <v>86.97366437</v>
      </c>
      <c r="T144" s="18">
        <f t="shared" si="287"/>
        <v>68.04572673</v>
      </c>
      <c r="U144" s="18">
        <f t="shared" si="4"/>
        <v>77.55412953</v>
      </c>
      <c r="V144" s="18">
        <f t="shared" ref="V144:X144" si="288">(O144/I144)*1000000</f>
        <v>123.0355715</v>
      </c>
      <c r="W144" s="18">
        <f t="shared" si="288"/>
        <v>246.2745171</v>
      </c>
      <c r="X144" s="18">
        <f t="shared" si="288"/>
        <v>296.6790207</v>
      </c>
      <c r="Y144" s="18">
        <f t="shared" si="6"/>
        <v>221.9963698</v>
      </c>
    </row>
    <row r="145" ht="14.25" customHeight="1">
      <c r="A145" s="7" t="s">
        <v>133</v>
      </c>
      <c r="B145" s="7" t="s">
        <v>249</v>
      </c>
      <c r="C145" s="7" t="s">
        <v>137</v>
      </c>
      <c r="D145" s="7" t="s">
        <v>137</v>
      </c>
      <c r="E145" s="8">
        <v>31002.0</v>
      </c>
      <c r="F145" s="8">
        <v>19111.0</v>
      </c>
      <c r="G145" s="8">
        <v>19285.0</v>
      </c>
      <c r="H145" s="8">
        <v>19498.0</v>
      </c>
      <c r="I145" s="8">
        <v>21419.0</v>
      </c>
      <c r="J145" s="8">
        <v>21633.0</v>
      </c>
      <c r="K145" s="8">
        <v>21846.0</v>
      </c>
      <c r="L145" s="8">
        <v>0.0</v>
      </c>
      <c r="M145" s="8">
        <v>1.0</v>
      </c>
      <c r="N145" s="8">
        <v>0.0</v>
      </c>
      <c r="O145" s="8">
        <v>2.0</v>
      </c>
      <c r="P145" s="8">
        <v>5.0</v>
      </c>
      <c r="Q145" s="8">
        <v>3.0</v>
      </c>
      <c r="R145" s="18">
        <f t="shared" ref="R145:T145" si="289">(L145/F145)*1000000</f>
        <v>0</v>
      </c>
      <c r="S145" s="18">
        <f t="shared" si="289"/>
        <v>51.85377236</v>
      </c>
      <c r="T145" s="18">
        <f t="shared" si="289"/>
        <v>0</v>
      </c>
      <c r="U145" s="18">
        <f t="shared" si="4"/>
        <v>17.28459079</v>
      </c>
      <c r="V145" s="18">
        <f t="shared" ref="V145:X145" si="290">(O145/I145)*1000000</f>
        <v>93.37504085</v>
      </c>
      <c r="W145" s="18">
        <f t="shared" si="290"/>
        <v>231.1283687</v>
      </c>
      <c r="X145" s="18">
        <f t="shared" si="290"/>
        <v>137.3249107</v>
      </c>
      <c r="Y145" s="18">
        <f t="shared" si="6"/>
        <v>153.9427734</v>
      </c>
    </row>
    <row r="146" ht="14.25" customHeight="1">
      <c r="A146" s="7" t="s">
        <v>133</v>
      </c>
      <c r="B146" s="7" t="s">
        <v>249</v>
      </c>
      <c r="C146" s="7" t="s">
        <v>198</v>
      </c>
      <c r="D146" s="7" t="s">
        <v>198</v>
      </c>
      <c r="E146" s="8">
        <v>31003.0</v>
      </c>
      <c r="F146" s="8">
        <v>69704.0</v>
      </c>
      <c r="G146" s="8">
        <v>71386.0</v>
      </c>
      <c r="H146" s="8">
        <v>73249.0</v>
      </c>
      <c r="I146" s="8">
        <v>90020.0</v>
      </c>
      <c r="J146" s="8">
        <v>91884.0</v>
      </c>
      <c r="K146" s="8">
        <v>93747.0</v>
      </c>
      <c r="L146" s="8">
        <v>6.0</v>
      </c>
      <c r="M146" s="8">
        <v>5.0</v>
      </c>
      <c r="N146" s="8">
        <v>9.0</v>
      </c>
      <c r="O146" s="8">
        <v>19.0</v>
      </c>
      <c r="P146" s="8">
        <v>21.0</v>
      </c>
      <c r="Q146" s="8">
        <v>18.0</v>
      </c>
      <c r="R146" s="18">
        <f t="shared" ref="R146:T146" si="291">(L146/F146)*1000000</f>
        <v>86.07827384</v>
      </c>
      <c r="S146" s="18">
        <f t="shared" si="291"/>
        <v>70.04174488</v>
      </c>
      <c r="T146" s="18">
        <f t="shared" si="291"/>
        <v>122.8685716</v>
      </c>
      <c r="U146" s="18">
        <f t="shared" si="4"/>
        <v>92.99619677</v>
      </c>
      <c r="V146" s="18">
        <f t="shared" ref="V146:X146" si="292">(O146/I146)*1000000</f>
        <v>211.064208</v>
      </c>
      <c r="W146" s="18">
        <f t="shared" si="292"/>
        <v>228.5490401</v>
      </c>
      <c r="X146" s="18">
        <f t="shared" si="292"/>
        <v>192.0061442</v>
      </c>
      <c r="Y146" s="18">
        <f t="shared" si="6"/>
        <v>210.5397974</v>
      </c>
    </row>
    <row r="147" ht="14.25" customHeight="1">
      <c r="A147" s="7" t="s">
        <v>133</v>
      </c>
      <c r="B147" s="7" t="s">
        <v>176</v>
      </c>
      <c r="C147" s="7" t="s">
        <v>176</v>
      </c>
      <c r="D147" s="7" t="s">
        <v>176</v>
      </c>
      <c r="E147" s="8">
        <v>31101.0</v>
      </c>
      <c r="F147" s="8">
        <v>24743.0</v>
      </c>
      <c r="G147" s="8">
        <v>24625.0</v>
      </c>
      <c r="H147" s="8">
        <v>24628.0</v>
      </c>
      <c r="I147" s="8">
        <v>24659.0</v>
      </c>
      <c r="J147" s="8">
        <v>24663.0</v>
      </c>
      <c r="K147" s="8">
        <v>24666.0</v>
      </c>
      <c r="L147" s="8">
        <v>0.0</v>
      </c>
      <c r="M147" s="8">
        <v>0.0</v>
      </c>
      <c r="N147" s="8">
        <v>0.0</v>
      </c>
      <c r="O147" s="8">
        <v>0.0</v>
      </c>
      <c r="P147" s="8">
        <v>1.0</v>
      </c>
      <c r="Q147" s="8">
        <v>2.0</v>
      </c>
      <c r="R147" s="18">
        <f t="shared" ref="R147:T147" si="293">(L147/F147)*1000000</f>
        <v>0</v>
      </c>
      <c r="S147" s="18">
        <f t="shared" si="293"/>
        <v>0</v>
      </c>
      <c r="T147" s="18">
        <f t="shared" si="293"/>
        <v>0</v>
      </c>
      <c r="U147" s="18">
        <f t="shared" si="4"/>
        <v>0</v>
      </c>
      <c r="V147" s="18">
        <f t="shared" ref="V147:X147" si="294">(O147/I147)*1000000</f>
        <v>0</v>
      </c>
      <c r="W147" s="18">
        <f t="shared" si="294"/>
        <v>40.54656773</v>
      </c>
      <c r="X147" s="18">
        <f t="shared" si="294"/>
        <v>81.08327252</v>
      </c>
      <c r="Y147" s="18">
        <f t="shared" si="6"/>
        <v>40.54328008</v>
      </c>
    </row>
    <row r="148" ht="14.25" customHeight="1">
      <c r="A148" s="7" t="s">
        <v>133</v>
      </c>
      <c r="B148" s="7" t="s">
        <v>251</v>
      </c>
      <c r="C148" s="7" t="s">
        <v>189</v>
      </c>
      <c r="D148" s="7" t="s">
        <v>189</v>
      </c>
      <c r="E148" s="8">
        <v>31201.0</v>
      </c>
      <c r="F148" s="8">
        <v>14507.0</v>
      </c>
      <c r="G148" s="8">
        <v>14665.0</v>
      </c>
      <c r="H148" s="8">
        <v>14678.0</v>
      </c>
      <c r="I148" s="8">
        <v>14795.0</v>
      </c>
      <c r="J148" s="8">
        <v>14808.0</v>
      </c>
      <c r="K148" s="8">
        <v>14821.0</v>
      </c>
      <c r="L148" s="8">
        <v>0.0</v>
      </c>
      <c r="M148" s="8">
        <v>0.0</v>
      </c>
      <c r="N148" s="8">
        <v>0.0</v>
      </c>
      <c r="O148" s="8">
        <v>0.0</v>
      </c>
      <c r="P148" s="8">
        <v>2.0</v>
      </c>
      <c r="Q148" s="8">
        <v>1.0</v>
      </c>
      <c r="R148" s="18">
        <f t="shared" ref="R148:T148" si="295">(L148/F148)*1000000</f>
        <v>0</v>
      </c>
      <c r="S148" s="18">
        <f t="shared" si="295"/>
        <v>0</v>
      </c>
      <c r="T148" s="18">
        <f t="shared" si="295"/>
        <v>0</v>
      </c>
      <c r="U148" s="18">
        <f t="shared" si="4"/>
        <v>0</v>
      </c>
      <c r="V148" s="18">
        <f t="shared" ref="V148:X148" si="296">(O148/I148)*1000000</f>
        <v>0</v>
      </c>
      <c r="W148" s="18">
        <f t="shared" si="296"/>
        <v>135.0621286</v>
      </c>
      <c r="X148" s="18">
        <f t="shared" si="296"/>
        <v>67.47183051</v>
      </c>
      <c r="Y148" s="18">
        <f t="shared" si="6"/>
        <v>67.5113197</v>
      </c>
    </row>
    <row r="149" ht="14.25" customHeight="1">
      <c r="A149" s="7" t="s">
        <v>133</v>
      </c>
      <c r="B149" s="7" t="s">
        <v>251</v>
      </c>
      <c r="C149" s="7" t="s">
        <v>151</v>
      </c>
      <c r="D149" s="7" t="s">
        <v>151</v>
      </c>
      <c r="E149" s="8">
        <v>31202.0</v>
      </c>
      <c r="F149" s="8">
        <v>10280.0</v>
      </c>
      <c r="G149" s="8">
        <v>10156.0</v>
      </c>
      <c r="H149" s="8">
        <v>10298.0</v>
      </c>
      <c r="I149" s="8">
        <v>11580.0</v>
      </c>
      <c r="J149" s="8">
        <v>11723.0</v>
      </c>
      <c r="K149" s="8">
        <v>11865.0</v>
      </c>
      <c r="L149" s="8">
        <v>0.0</v>
      </c>
      <c r="M149" s="8">
        <v>0.0</v>
      </c>
      <c r="N149" s="8">
        <v>0.0</v>
      </c>
      <c r="O149" s="8">
        <v>28.0</v>
      </c>
      <c r="P149" s="8">
        <v>20.0</v>
      </c>
      <c r="Q149" s="8">
        <v>18.0</v>
      </c>
      <c r="R149" s="18">
        <f t="shared" ref="R149:T149" si="297">(L149/F149)*1000000</f>
        <v>0</v>
      </c>
      <c r="S149" s="18">
        <f t="shared" si="297"/>
        <v>0</v>
      </c>
      <c r="T149" s="18">
        <f t="shared" si="297"/>
        <v>0</v>
      </c>
      <c r="U149" s="18">
        <f t="shared" si="4"/>
        <v>0</v>
      </c>
      <c r="V149" s="18">
        <f t="shared" ref="V149:X149" si="298">(O149/I149)*1000000</f>
        <v>2417.962003</v>
      </c>
      <c r="W149" s="18">
        <f t="shared" si="298"/>
        <v>1706.04794</v>
      </c>
      <c r="X149" s="18">
        <f t="shared" si="298"/>
        <v>1517.067004</v>
      </c>
      <c r="Y149" s="18">
        <f t="shared" si="6"/>
        <v>1880.358982</v>
      </c>
    </row>
    <row r="150" ht="14.25" customHeight="1">
      <c r="A150" s="7" t="s">
        <v>133</v>
      </c>
      <c r="B150" s="7" t="s">
        <v>251</v>
      </c>
      <c r="C150" s="7" t="s">
        <v>149</v>
      </c>
      <c r="D150" s="7" t="s">
        <v>149</v>
      </c>
      <c r="E150" s="8">
        <v>31203.0</v>
      </c>
      <c r="F150" s="8">
        <v>10999.0</v>
      </c>
      <c r="G150" s="8">
        <v>10750.0</v>
      </c>
      <c r="H150" s="8">
        <v>10876.0</v>
      </c>
      <c r="I150" s="8">
        <v>12007.0</v>
      </c>
      <c r="J150" s="8">
        <v>12132.0</v>
      </c>
      <c r="K150" s="8">
        <v>12258.0</v>
      </c>
      <c r="L150" s="8">
        <v>0.0</v>
      </c>
      <c r="M150" s="8">
        <v>0.0</v>
      </c>
      <c r="N150" s="8">
        <v>0.0</v>
      </c>
      <c r="O150" s="8">
        <v>2.0</v>
      </c>
      <c r="P150" s="8">
        <v>0.0</v>
      </c>
      <c r="Q150" s="8">
        <v>4.0</v>
      </c>
      <c r="R150" s="18">
        <f t="shared" ref="R150:T150" si="299">(L150/F150)*1000000</f>
        <v>0</v>
      </c>
      <c r="S150" s="18">
        <f t="shared" si="299"/>
        <v>0</v>
      </c>
      <c r="T150" s="18">
        <f t="shared" si="299"/>
        <v>0</v>
      </c>
      <c r="U150" s="18">
        <f t="shared" si="4"/>
        <v>0</v>
      </c>
      <c r="V150" s="18">
        <f t="shared" ref="V150:X150" si="300">(O150/I150)*1000000</f>
        <v>166.5695011</v>
      </c>
      <c r="W150" s="18">
        <f t="shared" si="300"/>
        <v>0</v>
      </c>
      <c r="X150" s="18">
        <f t="shared" si="300"/>
        <v>326.3175069</v>
      </c>
      <c r="Y150" s="18">
        <f t="shared" si="6"/>
        <v>164.2956694</v>
      </c>
    </row>
    <row r="151" ht="14.25" customHeight="1">
      <c r="A151" s="7" t="s">
        <v>133</v>
      </c>
      <c r="B151" s="7" t="s">
        <v>251</v>
      </c>
      <c r="C151" s="7" t="s">
        <v>129</v>
      </c>
      <c r="D151" s="7" t="s">
        <v>129</v>
      </c>
      <c r="E151" s="8">
        <v>31204.0</v>
      </c>
      <c r="F151" s="8">
        <v>21109.0</v>
      </c>
      <c r="G151" s="8">
        <v>21736.0</v>
      </c>
      <c r="H151" s="8">
        <v>22218.0</v>
      </c>
      <c r="I151" s="8">
        <v>26557.0</v>
      </c>
      <c r="J151" s="8">
        <v>27039.0</v>
      </c>
      <c r="K151" s="8">
        <v>27521.0</v>
      </c>
      <c r="L151" s="8">
        <v>7.0</v>
      </c>
      <c r="M151" s="8">
        <v>2.0</v>
      </c>
      <c r="N151" s="8">
        <v>2.0</v>
      </c>
      <c r="O151" s="8">
        <v>20.0</v>
      </c>
      <c r="P151" s="8">
        <v>9.0</v>
      </c>
      <c r="Q151" s="8">
        <v>18.0</v>
      </c>
      <c r="R151" s="18">
        <f t="shared" ref="R151:T151" si="301">(L151/F151)*1000000</f>
        <v>331.6121086</v>
      </c>
      <c r="S151" s="18">
        <f t="shared" si="301"/>
        <v>92.01324991</v>
      </c>
      <c r="T151" s="18">
        <f t="shared" si="301"/>
        <v>90.01710325</v>
      </c>
      <c r="U151" s="18">
        <f t="shared" si="4"/>
        <v>171.2141539</v>
      </c>
      <c r="V151" s="18">
        <f t="shared" ref="V151:X151" si="302">(O151/I151)*1000000</f>
        <v>753.0971119</v>
      </c>
      <c r="W151" s="18">
        <f t="shared" si="302"/>
        <v>332.8525463</v>
      </c>
      <c r="X151" s="18">
        <f t="shared" si="302"/>
        <v>654.0460012</v>
      </c>
      <c r="Y151" s="18">
        <f t="shared" si="6"/>
        <v>579.9985531</v>
      </c>
    </row>
    <row r="152" ht="14.25" customHeight="1">
      <c r="A152" s="7" t="s">
        <v>133</v>
      </c>
      <c r="B152" s="7" t="s">
        <v>251</v>
      </c>
      <c r="C152" s="7" t="s">
        <v>153</v>
      </c>
      <c r="D152" s="7" t="s">
        <v>153</v>
      </c>
      <c r="E152" s="8">
        <v>31205.0</v>
      </c>
      <c r="F152" s="8">
        <v>46096.0</v>
      </c>
      <c r="G152" s="8">
        <v>46627.0</v>
      </c>
      <c r="H152" s="8">
        <v>48124.0</v>
      </c>
      <c r="I152" s="8">
        <v>61600.0</v>
      </c>
      <c r="J152" s="8">
        <v>63098.0</v>
      </c>
      <c r="K152" s="8">
        <v>64595.0</v>
      </c>
      <c r="L152" s="8">
        <v>1.0</v>
      </c>
      <c r="M152" s="8">
        <v>6.0</v>
      </c>
      <c r="N152" s="8">
        <v>4.0</v>
      </c>
      <c r="O152" s="8">
        <v>53.0</v>
      </c>
      <c r="P152" s="8">
        <v>77.0</v>
      </c>
      <c r="Q152" s="8">
        <v>66.0</v>
      </c>
      <c r="R152" s="18">
        <f t="shared" ref="R152:T152" si="303">(L152/F152)*1000000</f>
        <v>21.6938563</v>
      </c>
      <c r="S152" s="18">
        <f t="shared" si="303"/>
        <v>128.6808073</v>
      </c>
      <c r="T152" s="18">
        <f t="shared" si="303"/>
        <v>83.11861026</v>
      </c>
      <c r="U152" s="18">
        <f t="shared" si="4"/>
        <v>77.83109127</v>
      </c>
      <c r="V152" s="18">
        <f t="shared" ref="V152:X152" si="304">(O152/I152)*1000000</f>
        <v>860.3896104</v>
      </c>
      <c r="W152" s="18">
        <f t="shared" si="304"/>
        <v>1220.323941</v>
      </c>
      <c r="X152" s="18">
        <f t="shared" si="304"/>
        <v>1021.75091</v>
      </c>
      <c r="Y152" s="18">
        <f t="shared" si="6"/>
        <v>1034.15482</v>
      </c>
    </row>
    <row r="153" ht="14.25" customHeight="1">
      <c r="A153" s="7" t="s">
        <v>133</v>
      </c>
      <c r="B153" s="7" t="s">
        <v>251</v>
      </c>
      <c r="C153" s="7" t="s">
        <v>253</v>
      </c>
      <c r="D153" s="7" t="s">
        <v>253</v>
      </c>
      <c r="E153" s="8">
        <v>31206.0</v>
      </c>
      <c r="F153" s="8">
        <v>30699.0</v>
      </c>
      <c r="G153" s="8">
        <v>31550.0</v>
      </c>
      <c r="H153" s="8">
        <v>32736.0</v>
      </c>
      <c r="I153" s="8">
        <v>43408.0</v>
      </c>
      <c r="J153" s="8">
        <v>44594.0</v>
      </c>
      <c r="K153" s="8">
        <v>45780.0</v>
      </c>
      <c r="L153" s="8">
        <v>0.0</v>
      </c>
      <c r="M153" s="8">
        <v>0.0</v>
      </c>
      <c r="N153" s="8">
        <v>0.0</v>
      </c>
      <c r="O153" s="8">
        <v>0.0</v>
      </c>
      <c r="P153" s="8">
        <v>0.0</v>
      </c>
      <c r="Q153" s="8">
        <v>0.0</v>
      </c>
      <c r="R153" s="18">
        <f t="shared" ref="R153:T153" si="305">(L153/F153)*1000000</f>
        <v>0</v>
      </c>
      <c r="S153" s="18">
        <f t="shared" si="305"/>
        <v>0</v>
      </c>
      <c r="T153" s="18">
        <f t="shared" si="305"/>
        <v>0</v>
      </c>
      <c r="U153" s="18">
        <f t="shared" si="4"/>
        <v>0</v>
      </c>
      <c r="V153" s="18">
        <f t="shared" ref="V153:X153" si="306">(O153/I153)*1000000</f>
        <v>0</v>
      </c>
      <c r="W153" s="18">
        <f t="shared" si="306"/>
        <v>0</v>
      </c>
      <c r="X153" s="18">
        <f t="shared" si="306"/>
        <v>0</v>
      </c>
      <c r="Y153" s="18">
        <f t="shared" si="6"/>
        <v>0</v>
      </c>
    </row>
    <row r="154" ht="14.25" customHeight="1">
      <c r="A154" s="7" t="s">
        <v>133</v>
      </c>
      <c r="B154" s="7" t="s">
        <v>139</v>
      </c>
      <c r="C154" s="7" t="s">
        <v>139</v>
      </c>
      <c r="D154" s="7" t="s">
        <v>139</v>
      </c>
      <c r="E154" s="8">
        <v>31301.0</v>
      </c>
      <c r="F154" s="8">
        <v>20001.0</v>
      </c>
      <c r="G154" s="8">
        <v>19864.0</v>
      </c>
      <c r="H154" s="8">
        <v>19867.0</v>
      </c>
      <c r="I154" s="8">
        <v>19891.0</v>
      </c>
      <c r="J154" s="8">
        <v>19893.0</v>
      </c>
      <c r="K154" s="8">
        <v>19896.0</v>
      </c>
      <c r="L154" s="8">
        <v>1.0</v>
      </c>
      <c r="M154" s="8">
        <v>1.0</v>
      </c>
      <c r="N154" s="8">
        <v>1.0</v>
      </c>
      <c r="O154" s="8">
        <v>6.0</v>
      </c>
      <c r="P154" s="8">
        <v>2.0</v>
      </c>
      <c r="Q154" s="8">
        <v>1.0</v>
      </c>
      <c r="R154" s="18">
        <f t="shared" ref="R154:T154" si="307">(L154/F154)*1000000</f>
        <v>49.99750012</v>
      </c>
      <c r="S154" s="18">
        <f t="shared" si="307"/>
        <v>50.34232783</v>
      </c>
      <c r="T154" s="18">
        <f t="shared" si="307"/>
        <v>50.33472593</v>
      </c>
      <c r="U154" s="18">
        <f t="shared" si="4"/>
        <v>50.22485129</v>
      </c>
      <c r="V154" s="18">
        <f t="shared" ref="V154:X154" si="308">(O154/I154)*1000000</f>
        <v>301.6439596</v>
      </c>
      <c r="W154" s="18">
        <f t="shared" si="308"/>
        <v>100.5378776</v>
      </c>
      <c r="X154" s="18">
        <f t="shared" si="308"/>
        <v>50.26135907</v>
      </c>
      <c r="Y154" s="18">
        <f t="shared" si="6"/>
        <v>150.8143988</v>
      </c>
    </row>
    <row r="155" ht="14.25" customHeight="1">
      <c r="A155" s="7" t="s">
        <v>133</v>
      </c>
      <c r="B155" s="7" t="s">
        <v>139</v>
      </c>
      <c r="C155" s="7" t="s">
        <v>193</v>
      </c>
      <c r="D155" s="7" t="s">
        <v>193</v>
      </c>
      <c r="E155" s="8">
        <v>31302.0</v>
      </c>
      <c r="F155" s="8">
        <v>5380.0</v>
      </c>
      <c r="G155" s="8">
        <v>5459.0</v>
      </c>
      <c r="H155" s="8">
        <v>5441.0</v>
      </c>
      <c r="I155" s="8">
        <v>5280.0</v>
      </c>
      <c r="J155" s="8">
        <v>5262.0</v>
      </c>
      <c r="K155" s="8">
        <v>5244.0</v>
      </c>
      <c r="L155" s="8">
        <v>0.0</v>
      </c>
      <c r="M155" s="8">
        <v>0.0</v>
      </c>
      <c r="N155" s="8">
        <v>0.0</v>
      </c>
      <c r="O155" s="8">
        <v>0.0</v>
      </c>
      <c r="P155" s="8">
        <v>0.0</v>
      </c>
      <c r="Q155" s="8">
        <v>0.0</v>
      </c>
      <c r="R155" s="18">
        <f t="shared" ref="R155:T155" si="309">(L155/F155)*1000000</f>
        <v>0</v>
      </c>
      <c r="S155" s="18">
        <f t="shared" si="309"/>
        <v>0</v>
      </c>
      <c r="T155" s="18">
        <f t="shared" si="309"/>
        <v>0</v>
      </c>
      <c r="U155" s="18">
        <f t="shared" si="4"/>
        <v>0</v>
      </c>
      <c r="V155" s="18">
        <f t="shared" ref="V155:X155" si="310">(O155/I155)*1000000</f>
        <v>0</v>
      </c>
      <c r="W155" s="18">
        <f t="shared" si="310"/>
        <v>0</v>
      </c>
      <c r="X155" s="18">
        <f t="shared" si="310"/>
        <v>0</v>
      </c>
      <c r="Y155" s="18">
        <f t="shared" si="6"/>
        <v>0</v>
      </c>
    </row>
    <row r="156" ht="14.25" customHeight="1">
      <c r="A156" s="7" t="s">
        <v>133</v>
      </c>
      <c r="B156" s="7" t="s">
        <v>139</v>
      </c>
      <c r="C156" s="7" t="s">
        <v>111</v>
      </c>
      <c r="D156" s="7" t="s">
        <v>111</v>
      </c>
      <c r="E156" s="8">
        <v>31303.0</v>
      </c>
      <c r="F156" s="8">
        <v>3582.0</v>
      </c>
      <c r="G156" s="8">
        <v>3447.0</v>
      </c>
      <c r="H156" s="8">
        <v>3452.0</v>
      </c>
      <c r="I156" s="8">
        <v>3501.0</v>
      </c>
      <c r="J156" s="8">
        <v>3507.0</v>
      </c>
      <c r="K156" s="8">
        <v>3512.0</v>
      </c>
      <c r="L156" s="8">
        <v>0.0</v>
      </c>
      <c r="M156" s="8">
        <v>0.0</v>
      </c>
      <c r="N156" s="8">
        <v>0.0</v>
      </c>
      <c r="O156" s="8">
        <v>0.0</v>
      </c>
      <c r="P156" s="8">
        <v>0.0</v>
      </c>
      <c r="Q156" s="8">
        <v>0.0</v>
      </c>
      <c r="R156" s="18">
        <f t="shared" ref="R156:T156" si="311">(L156/F156)*1000000</f>
        <v>0</v>
      </c>
      <c r="S156" s="18">
        <f t="shared" si="311"/>
        <v>0</v>
      </c>
      <c r="T156" s="18">
        <f t="shared" si="311"/>
        <v>0</v>
      </c>
      <c r="U156" s="18">
        <f t="shared" si="4"/>
        <v>0</v>
      </c>
      <c r="V156" s="18">
        <f t="shared" ref="V156:X156" si="312">(O156/I156)*1000000</f>
        <v>0</v>
      </c>
      <c r="W156" s="18">
        <f t="shared" si="312"/>
        <v>0</v>
      </c>
      <c r="X156" s="18">
        <f t="shared" si="312"/>
        <v>0</v>
      </c>
      <c r="Y156" s="18">
        <f t="shared" si="6"/>
        <v>0</v>
      </c>
    </row>
    <row r="157" ht="14.25" customHeight="1">
      <c r="A157" s="7" t="s">
        <v>133</v>
      </c>
      <c r="B157" s="7" t="s">
        <v>139</v>
      </c>
      <c r="C157" s="7" t="s">
        <v>254</v>
      </c>
      <c r="D157" s="7" t="s">
        <v>557</v>
      </c>
      <c r="E157" s="8">
        <v>31304.0</v>
      </c>
      <c r="F157" s="8">
        <v>6877.0</v>
      </c>
      <c r="G157" s="8">
        <v>7036.0</v>
      </c>
      <c r="H157" s="8">
        <v>7121.0</v>
      </c>
      <c r="I157" s="8">
        <v>7886.0</v>
      </c>
      <c r="J157" s="8">
        <v>7971.0</v>
      </c>
      <c r="K157" s="8">
        <v>8056.0</v>
      </c>
      <c r="L157" s="8">
        <v>0.0</v>
      </c>
      <c r="M157" s="8">
        <v>0.0</v>
      </c>
      <c r="N157" s="8">
        <v>0.0</v>
      </c>
      <c r="O157" s="8">
        <v>0.0</v>
      </c>
      <c r="P157" s="8">
        <v>0.0</v>
      </c>
      <c r="Q157" s="8">
        <v>0.0</v>
      </c>
      <c r="R157" s="18">
        <f t="shared" ref="R157:T157" si="313">(L157/F157)*1000000</f>
        <v>0</v>
      </c>
      <c r="S157" s="18">
        <f t="shared" si="313"/>
        <v>0</v>
      </c>
      <c r="T157" s="18">
        <f t="shared" si="313"/>
        <v>0</v>
      </c>
      <c r="U157" s="18">
        <f t="shared" si="4"/>
        <v>0</v>
      </c>
      <c r="V157" s="18">
        <f t="shared" ref="V157:X157" si="314">(O157/I157)*1000000</f>
        <v>0</v>
      </c>
      <c r="W157" s="18">
        <f t="shared" si="314"/>
        <v>0</v>
      </c>
      <c r="X157" s="18">
        <f t="shared" si="314"/>
        <v>0</v>
      </c>
      <c r="Y157" s="18">
        <f t="shared" si="6"/>
        <v>0</v>
      </c>
    </row>
    <row r="158" ht="14.25" customHeight="1">
      <c r="A158" s="7" t="s">
        <v>133</v>
      </c>
      <c r="B158" s="7" t="s">
        <v>255</v>
      </c>
      <c r="C158" s="7" t="s">
        <v>255</v>
      </c>
      <c r="D158" s="7" t="s">
        <v>558</v>
      </c>
      <c r="E158" s="8">
        <v>31401.0</v>
      </c>
      <c r="F158" s="8">
        <v>28637.0</v>
      </c>
      <c r="G158" s="8">
        <v>28887.0</v>
      </c>
      <c r="H158" s="8">
        <v>29417.0</v>
      </c>
      <c r="I158" s="8">
        <v>34188.0</v>
      </c>
      <c r="J158" s="8">
        <v>34718.0</v>
      </c>
      <c r="K158" s="8">
        <v>35248.0</v>
      </c>
      <c r="L158" s="8">
        <v>3.0</v>
      </c>
      <c r="M158" s="8">
        <v>6.0</v>
      </c>
      <c r="N158" s="8">
        <v>1.0</v>
      </c>
      <c r="O158" s="8">
        <v>8.0</v>
      </c>
      <c r="P158" s="8">
        <v>6.0</v>
      </c>
      <c r="Q158" s="8">
        <v>7.0</v>
      </c>
      <c r="R158" s="18">
        <f t="shared" ref="R158:T158" si="315">(L158/F158)*1000000</f>
        <v>104.7595768</v>
      </c>
      <c r="S158" s="18">
        <f t="shared" si="315"/>
        <v>207.7058885</v>
      </c>
      <c r="T158" s="18">
        <f t="shared" si="315"/>
        <v>33.99394908</v>
      </c>
      <c r="U158" s="18">
        <f t="shared" si="4"/>
        <v>115.4864714</v>
      </c>
      <c r="V158" s="18">
        <f t="shared" ref="V158:X158" si="316">(O158/I158)*1000000</f>
        <v>234.000234</v>
      </c>
      <c r="W158" s="18">
        <f t="shared" si="316"/>
        <v>172.821015</v>
      </c>
      <c r="X158" s="18">
        <f t="shared" si="316"/>
        <v>198.592828</v>
      </c>
      <c r="Y158" s="18">
        <f t="shared" si="6"/>
        <v>201.8046923</v>
      </c>
    </row>
    <row r="159" ht="14.25" customHeight="1">
      <c r="A159" s="7" t="s">
        <v>133</v>
      </c>
      <c r="B159" s="7" t="s">
        <v>255</v>
      </c>
      <c r="C159" s="7" t="s">
        <v>195</v>
      </c>
      <c r="D159" s="7" t="s">
        <v>195</v>
      </c>
      <c r="E159" s="8">
        <v>31402.0</v>
      </c>
      <c r="F159" s="8">
        <v>7928.0</v>
      </c>
      <c r="G159" s="8">
        <v>8135.0</v>
      </c>
      <c r="H159" s="8">
        <v>8174.0</v>
      </c>
      <c r="I159" s="8">
        <v>8522.0</v>
      </c>
      <c r="J159" s="8">
        <v>8560.0</v>
      </c>
      <c r="K159" s="8">
        <v>8599.0</v>
      </c>
      <c r="L159" s="8">
        <v>0.0</v>
      </c>
      <c r="M159" s="8">
        <v>1.0</v>
      </c>
      <c r="N159" s="8">
        <v>0.0</v>
      </c>
      <c r="O159" s="8">
        <v>1.0</v>
      </c>
      <c r="P159" s="8">
        <v>1.0</v>
      </c>
      <c r="Q159" s="8">
        <v>1.0</v>
      </c>
      <c r="R159" s="18">
        <f t="shared" ref="R159:T159" si="317">(L159/F159)*1000000</f>
        <v>0</v>
      </c>
      <c r="S159" s="18">
        <f t="shared" si="317"/>
        <v>122.92563</v>
      </c>
      <c r="T159" s="18">
        <f t="shared" si="317"/>
        <v>0</v>
      </c>
      <c r="U159" s="18">
        <f t="shared" si="4"/>
        <v>40.97521</v>
      </c>
      <c r="V159" s="18">
        <f t="shared" ref="V159:X159" si="318">(O159/I159)*1000000</f>
        <v>117.3433466</v>
      </c>
      <c r="W159" s="18">
        <f t="shared" si="318"/>
        <v>116.8224299</v>
      </c>
      <c r="X159" s="18">
        <f t="shared" si="318"/>
        <v>116.2925922</v>
      </c>
      <c r="Y159" s="18">
        <f t="shared" si="6"/>
        <v>116.8194562</v>
      </c>
    </row>
    <row r="160" ht="14.25" customHeight="1">
      <c r="A160" s="7" t="s">
        <v>133</v>
      </c>
      <c r="B160" s="7" t="s">
        <v>255</v>
      </c>
      <c r="C160" s="7" t="s">
        <v>256</v>
      </c>
      <c r="D160" s="7" t="s">
        <v>559</v>
      </c>
      <c r="E160" s="8">
        <v>31403.0</v>
      </c>
      <c r="F160" s="8">
        <v>13485.0</v>
      </c>
      <c r="G160" s="8">
        <v>13562.0</v>
      </c>
      <c r="H160" s="8">
        <v>13520.0</v>
      </c>
      <c r="I160" s="8">
        <v>13139.0</v>
      </c>
      <c r="J160" s="8">
        <v>13096.0</v>
      </c>
      <c r="K160" s="8">
        <v>13054.0</v>
      </c>
      <c r="L160" s="8">
        <v>0.0</v>
      </c>
      <c r="M160" s="8">
        <v>0.0</v>
      </c>
      <c r="N160" s="8">
        <v>0.0</v>
      </c>
      <c r="O160" s="8">
        <v>0.0</v>
      </c>
      <c r="P160" s="8">
        <v>0.0</v>
      </c>
      <c r="Q160" s="8">
        <v>2.0</v>
      </c>
      <c r="R160" s="18">
        <f t="shared" ref="R160:T160" si="319">(L160/F160)*1000000</f>
        <v>0</v>
      </c>
      <c r="S160" s="18">
        <f t="shared" si="319"/>
        <v>0</v>
      </c>
      <c r="T160" s="18">
        <f t="shared" si="319"/>
        <v>0</v>
      </c>
      <c r="U160" s="18">
        <f t="shared" si="4"/>
        <v>0</v>
      </c>
      <c r="V160" s="18">
        <f t="shared" ref="V160:X160" si="320">(O160/I160)*1000000</f>
        <v>0</v>
      </c>
      <c r="W160" s="18">
        <f t="shared" si="320"/>
        <v>0</v>
      </c>
      <c r="X160" s="18">
        <f t="shared" si="320"/>
        <v>153.2097441</v>
      </c>
      <c r="Y160" s="18">
        <f t="shared" si="6"/>
        <v>51.06991471</v>
      </c>
    </row>
    <row r="161" ht="14.25" customHeight="1">
      <c r="A161" s="7" t="s">
        <v>133</v>
      </c>
      <c r="B161" s="7" t="s">
        <v>255</v>
      </c>
      <c r="C161" s="7" t="s">
        <v>257</v>
      </c>
      <c r="D161" s="7" t="s">
        <v>257</v>
      </c>
      <c r="E161" s="8">
        <v>31404.0</v>
      </c>
      <c r="F161" s="8">
        <v>1282.0</v>
      </c>
      <c r="G161" s="8">
        <v>1303.0</v>
      </c>
      <c r="H161" s="8">
        <v>1302.0</v>
      </c>
      <c r="I161" s="8">
        <v>1290.0</v>
      </c>
      <c r="J161" s="8">
        <v>1288.0</v>
      </c>
      <c r="K161" s="8">
        <v>1287.0</v>
      </c>
      <c r="L161" s="8">
        <v>0.0</v>
      </c>
      <c r="M161" s="8">
        <v>0.0</v>
      </c>
      <c r="N161" s="8">
        <v>0.0</v>
      </c>
      <c r="O161" s="8">
        <v>0.0</v>
      </c>
      <c r="P161" s="8">
        <v>0.0</v>
      </c>
      <c r="Q161" s="8">
        <v>0.0</v>
      </c>
      <c r="R161" s="18">
        <f t="shared" ref="R161:T161" si="321">(L161/F161)*1000000</f>
        <v>0</v>
      </c>
      <c r="S161" s="18">
        <f t="shared" si="321"/>
        <v>0</v>
      </c>
      <c r="T161" s="18">
        <f t="shared" si="321"/>
        <v>0</v>
      </c>
      <c r="U161" s="18">
        <f t="shared" si="4"/>
        <v>0</v>
      </c>
      <c r="V161" s="18">
        <f t="shared" ref="V161:X161" si="322">(O161/I161)*1000000</f>
        <v>0</v>
      </c>
      <c r="W161" s="18">
        <f t="shared" si="322"/>
        <v>0</v>
      </c>
      <c r="X161" s="18">
        <f t="shared" si="322"/>
        <v>0</v>
      </c>
      <c r="Y161" s="18">
        <f t="shared" si="6"/>
        <v>0</v>
      </c>
    </row>
    <row r="162" ht="14.25" customHeight="1">
      <c r="A162" s="7" t="s">
        <v>133</v>
      </c>
      <c r="B162" s="7" t="s">
        <v>255</v>
      </c>
      <c r="C162" s="7" t="s">
        <v>258</v>
      </c>
      <c r="D162" s="7" t="s">
        <v>560</v>
      </c>
      <c r="E162" s="8">
        <v>31405.0</v>
      </c>
      <c r="F162" s="8">
        <v>2693.0</v>
      </c>
      <c r="G162" s="8">
        <v>2768.0</v>
      </c>
      <c r="H162" s="8">
        <v>2856.0</v>
      </c>
      <c r="I162" s="8">
        <v>3646.0</v>
      </c>
      <c r="J162" s="8">
        <v>3734.0</v>
      </c>
      <c r="K162" s="8">
        <v>3822.0</v>
      </c>
      <c r="L162" s="8">
        <v>0.0</v>
      </c>
      <c r="M162" s="8">
        <v>0.0</v>
      </c>
      <c r="N162" s="8">
        <v>0.0</v>
      </c>
      <c r="O162" s="8">
        <v>0.0</v>
      </c>
      <c r="P162" s="8">
        <v>0.0</v>
      </c>
      <c r="Q162" s="8">
        <v>0.0</v>
      </c>
      <c r="R162" s="18">
        <f t="shared" ref="R162:T162" si="323">(L162/F162)*1000000</f>
        <v>0</v>
      </c>
      <c r="S162" s="18">
        <f t="shared" si="323"/>
        <v>0</v>
      </c>
      <c r="T162" s="18">
        <f t="shared" si="323"/>
        <v>0</v>
      </c>
      <c r="U162" s="18">
        <f t="shared" si="4"/>
        <v>0</v>
      </c>
      <c r="V162" s="18">
        <f t="shared" ref="V162:X162" si="324">(O162/I162)*1000000</f>
        <v>0</v>
      </c>
      <c r="W162" s="18">
        <f t="shared" si="324"/>
        <v>0</v>
      </c>
      <c r="X162" s="18">
        <f t="shared" si="324"/>
        <v>0</v>
      </c>
      <c r="Y162" s="18">
        <f t="shared" si="6"/>
        <v>0</v>
      </c>
    </row>
    <row r="163" ht="14.25" customHeight="1">
      <c r="A163" s="7" t="s">
        <v>133</v>
      </c>
      <c r="B163" s="7" t="s">
        <v>259</v>
      </c>
      <c r="C163" s="7" t="s">
        <v>259</v>
      </c>
      <c r="D163" s="7" t="s">
        <v>259</v>
      </c>
      <c r="E163" s="8">
        <v>31501.0</v>
      </c>
      <c r="F163" s="8">
        <v>7402.0</v>
      </c>
      <c r="G163" s="8">
        <v>7279.0</v>
      </c>
      <c r="H163" s="8">
        <v>7363.0</v>
      </c>
      <c r="I163" s="8">
        <v>8115.0</v>
      </c>
      <c r="J163" s="8">
        <v>8198.0</v>
      </c>
      <c r="K163" s="8">
        <v>8282.0</v>
      </c>
      <c r="L163" s="8">
        <v>0.0</v>
      </c>
      <c r="M163" s="8">
        <v>0.0</v>
      </c>
      <c r="N163" s="8">
        <v>0.0</v>
      </c>
      <c r="O163" s="8">
        <v>0.0</v>
      </c>
      <c r="P163" s="8">
        <v>0.0</v>
      </c>
      <c r="Q163" s="8">
        <v>1.0</v>
      </c>
      <c r="R163" s="18">
        <f t="shared" ref="R163:T163" si="325">(L163/F163)*1000000</f>
        <v>0</v>
      </c>
      <c r="S163" s="18">
        <f t="shared" si="325"/>
        <v>0</v>
      </c>
      <c r="T163" s="18">
        <f t="shared" si="325"/>
        <v>0</v>
      </c>
      <c r="U163" s="18">
        <f t="shared" si="4"/>
        <v>0</v>
      </c>
      <c r="V163" s="18">
        <f t="shared" ref="V163:X163" si="326">(O163/I163)*1000000</f>
        <v>0</v>
      </c>
      <c r="W163" s="18">
        <f t="shared" si="326"/>
        <v>0</v>
      </c>
      <c r="X163" s="18">
        <f t="shared" si="326"/>
        <v>120.7437817</v>
      </c>
      <c r="Y163" s="18">
        <f t="shared" si="6"/>
        <v>40.24792723</v>
      </c>
    </row>
    <row r="164" ht="14.25" customHeight="1">
      <c r="A164" s="7" t="s">
        <v>133</v>
      </c>
      <c r="B164" s="7" t="s">
        <v>182</v>
      </c>
      <c r="C164" s="7" t="s">
        <v>182</v>
      </c>
      <c r="D164" s="7" t="s">
        <v>182</v>
      </c>
      <c r="E164" s="8">
        <v>31601.0</v>
      </c>
      <c r="F164" s="8">
        <v>21189.0</v>
      </c>
      <c r="G164" s="8">
        <v>21231.0</v>
      </c>
      <c r="H164" s="8">
        <v>21001.0</v>
      </c>
      <c r="I164" s="8">
        <v>18934.0</v>
      </c>
      <c r="J164" s="8">
        <v>18705.0</v>
      </c>
      <c r="K164" s="8">
        <v>18475.0</v>
      </c>
      <c r="L164" s="8">
        <v>0.0</v>
      </c>
      <c r="M164" s="8">
        <v>0.0</v>
      </c>
      <c r="N164" s="8">
        <v>1.0</v>
      </c>
      <c r="O164" s="8">
        <v>15.0</v>
      </c>
      <c r="P164" s="8">
        <v>11.0</v>
      </c>
      <c r="Q164" s="8">
        <v>9.0</v>
      </c>
      <c r="R164" s="18">
        <f t="shared" ref="R164:T164" si="327">(L164/F164)*1000000</f>
        <v>0</v>
      </c>
      <c r="S164" s="18">
        <f t="shared" si="327"/>
        <v>0</v>
      </c>
      <c r="T164" s="18">
        <f t="shared" si="327"/>
        <v>47.61678015</v>
      </c>
      <c r="U164" s="18">
        <f t="shared" si="4"/>
        <v>15.87226005</v>
      </c>
      <c r="V164" s="18">
        <f t="shared" ref="V164:X164" si="328">(O164/I164)*1000000</f>
        <v>792.2256259</v>
      </c>
      <c r="W164" s="18">
        <f t="shared" si="328"/>
        <v>588.078054</v>
      </c>
      <c r="X164" s="18">
        <f t="shared" si="328"/>
        <v>487.1447903</v>
      </c>
      <c r="Y164" s="18">
        <f t="shared" si="6"/>
        <v>622.4828234</v>
      </c>
    </row>
    <row r="165" ht="14.25" customHeight="1">
      <c r="A165" s="7" t="s">
        <v>133</v>
      </c>
      <c r="B165" s="7" t="s">
        <v>182</v>
      </c>
      <c r="C165" s="7" t="s">
        <v>262</v>
      </c>
      <c r="D165" s="7" t="s">
        <v>262</v>
      </c>
      <c r="E165" s="8">
        <v>31602.0</v>
      </c>
      <c r="F165" s="8">
        <v>20284.0</v>
      </c>
      <c r="G165" s="8">
        <v>20841.0</v>
      </c>
      <c r="H165" s="8">
        <v>21369.0</v>
      </c>
      <c r="I165" s="8">
        <v>26117.0</v>
      </c>
      <c r="J165" s="8">
        <v>26644.0</v>
      </c>
      <c r="K165" s="8">
        <v>27172.0</v>
      </c>
      <c r="L165" s="8">
        <v>0.0</v>
      </c>
      <c r="M165" s="8">
        <v>0.0</v>
      </c>
      <c r="N165" s="8">
        <v>0.0</v>
      </c>
      <c r="O165" s="8">
        <v>0.0</v>
      </c>
      <c r="P165" s="8">
        <v>0.0</v>
      </c>
      <c r="Q165" s="8">
        <v>0.0</v>
      </c>
      <c r="R165" s="18">
        <f t="shared" ref="R165:T165" si="329">(L165/F165)*1000000</f>
        <v>0</v>
      </c>
      <c r="S165" s="18">
        <f t="shared" si="329"/>
        <v>0</v>
      </c>
      <c r="T165" s="18">
        <f t="shared" si="329"/>
        <v>0</v>
      </c>
      <c r="U165" s="18">
        <f t="shared" si="4"/>
        <v>0</v>
      </c>
      <c r="V165" s="18">
        <f t="shared" ref="V165:X165" si="330">(O165/I165)*1000000</f>
        <v>0</v>
      </c>
      <c r="W165" s="18">
        <f t="shared" si="330"/>
        <v>0</v>
      </c>
      <c r="X165" s="18">
        <f t="shared" si="330"/>
        <v>0</v>
      </c>
      <c r="Y165" s="18">
        <f t="shared" si="6"/>
        <v>0</v>
      </c>
    </row>
    <row r="166" ht="14.25" customHeight="1">
      <c r="A166" s="7" t="s">
        <v>264</v>
      </c>
      <c r="B166" s="7" t="s">
        <v>236</v>
      </c>
      <c r="C166" s="7" t="s">
        <v>264</v>
      </c>
      <c r="D166" s="7" t="s">
        <v>264</v>
      </c>
      <c r="E166" s="8">
        <v>40101.0</v>
      </c>
      <c r="F166" s="8">
        <v>259176.0</v>
      </c>
      <c r="G166" s="8">
        <v>264943.0</v>
      </c>
      <c r="H166" s="8">
        <v>267727.0</v>
      </c>
      <c r="I166" s="8">
        <v>292782.0</v>
      </c>
      <c r="J166" s="8">
        <v>295566.0</v>
      </c>
      <c r="K166" s="8">
        <v>298350.0</v>
      </c>
      <c r="L166" s="8">
        <v>31.0</v>
      </c>
      <c r="M166" s="8">
        <v>41.0</v>
      </c>
      <c r="N166" s="8">
        <v>44.0</v>
      </c>
      <c r="O166" s="8">
        <v>102.0</v>
      </c>
      <c r="P166" s="8">
        <v>114.0</v>
      </c>
      <c r="Q166" s="8">
        <v>116.0</v>
      </c>
      <c r="R166" s="18">
        <f t="shared" ref="R166:T166" si="331">(L166/F166)*1000000</f>
        <v>119.6098404</v>
      </c>
      <c r="S166" s="18">
        <f t="shared" si="331"/>
        <v>154.750267</v>
      </c>
      <c r="T166" s="18">
        <f t="shared" si="331"/>
        <v>164.3465172</v>
      </c>
      <c r="U166" s="18">
        <f t="shared" si="4"/>
        <v>146.2355415</v>
      </c>
      <c r="V166" s="18">
        <f t="shared" ref="V166:X166" si="332">(O166/I166)*1000000</f>
        <v>348.3820727</v>
      </c>
      <c r="W166" s="18">
        <f t="shared" si="332"/>
        <v>385.7006557</v>
      </c>
      <c r="X166" s="18">
        <f t="shared" si="332"/>
        <v>388.8050947</v>
      </c>
      <c r="Y166" s="18">
        <f t="shared" si="6"/>
        <v>374.295941</v>
      </c>
    </row>
    <row r="167" ht="14.25" customHeight="1">
      <c r="A167" s="7" t="s">
        <v>264</v>
      </c>
      <c r="B167" s="7" t="s">
        <v>236</v>
      </c>
      <c r="C167" s="7" t="s">
        <v>265</v>
      </c>
      <c r="D167" s="7" t="s">
        <v>265</v>
      </c>
      <c r="E167" s="8">
        <v>40102.0</v>
      </c>
      <c r="F167" s="8">
        <v>22888.0</v>
      </c>
      <c r="G167" s="8">
        <v>23115.0</v>
      </c>
      <c r="H167" s="8">
        <v>23093.0</v>
      </c>
      <c r="I167" s="8">
        <v>22894.0</v>
      </c>
      <c r="J167" s="8">
        <v>22872.0</v>
      </c>
      <c r="K167" s="8">
        <v>22850.0</v>
      </c>
      <c r="L167" s="8">
        <v>0.0</v>
      </c>
      <c r="M167" s="8">
        <v>0.0</v>
      </c>
      <c r="N167" s="8">
        <v>1.0</v>
      </c>
      <c r="O167" s="8">
        <v>1.0</v>
      </c>
      <c r="P167" s="8">
        <v>1.0</v>
      </c>
      <c r="Q167" s="8">
        <v>2.0</v>
      </c>
      <c r="R167" s="18">
        <f t="shared" ref="R167:T167" si="333">(L167/F167)*1000000</f>
        <v>0</v>
      </c>
      <c r="S167" s="18">
        <f t="shared" si="333"/>
        <v>0</v>
      </c>
      <c r="T167" s="18">
        <f t="shared" si="333"/>
        <v>43.30316546</v>
      </c>
      <c r="U167" s="18">
        <f t="shared" si="4"/>
        <v>14.43438849</v>
      </c>
      <c r="V167" s="18">
        <f t="shared" ref="V167:X167" si="334">(O167/I167)*1000000</f>
        <v>43.6795667</v>
      </c>
      <c r="W167" s="18">
        <f t="shared" si="334"/>
        <v>43.72158097</v>
      </c>
      <c r="X167" s="18">
        <f t="shared" si="334"/>
        <v>87.5273523</v>
      </c>
      <c r="Y167" s="18">
        <f t="shared" si="6"/>
        <v>58.30949999</v>
      </c>
    </row>
    <row r="168" ht="14.25" customHeight="1">
      <c r="A168" s="7" t="s">
        <v>264</v>
      </c>
      <c r="B168" s="7" t="s">
        <v>236</v>
      </c>
      <c r="C168" s="7" t="s">
        <v>267</v>
      </c>
      <c r="D168" s="7" t="s">
        <v>267</v>
      </c>
      <c r="E168" s="8">
        <v>40103.0</v>
      </c>
      <c r="F168" s="8">
        <v>8451.0</v>
      </c>
      <c r="G168" s="8">
        <v>8725.0</v>
      </c>
      <c r="H168" s="8">
        <v>8831.0</v>
      </c>
      <c r="I168" s="8">
        <v>9785.0</v>
      </c>
      <c r="J168" s="8">
        <v>9891.0</v>
      </c>
      <c r="K168" s="8">
        <v>9997.0</v>
      </c>
      <c r="L168" s="8">
        <v>0.0</v>
      </c>
      <c r="M168" s="8">
        <v>0.0</v>
      </c>
      <c r="N168" s="8">
        <v>0.0</v>
      </c>
      <c r="O168" s="8">
        <v>1.0</v>
      </c>
      <c r="P168" s="8">
        <v>0.0</v>
      </c>
      <c r="Q168" s="8">
        <v>0.0</v>
      </c>
      <c r="R168" s="18">
        <f t="shared" ref="R168:T168" si="335">(L168/F168)*1000000</f>
        <v>0</v>
      </c>
      <c r="S168" s="18">
        <f t="shared" si="335"/>
        <v>0</v>
      </c>
      <c r="T168" s="18">
        <f t="shared" si="335"/>
        <v>0</v>
      </c>
      <c r="U168" s="18">
        <f t="shared" si="4"/>
        <v>0</v>
      </c>
      <c r="V168" s="18">
        <f t="shared" ref="V168:X168" si="336">(O168/I168)*1000000</f>
        <v>102.1972407</v>
      </c>
      <c r="W168" s="18">
        <f t="shared" si="336"/>
        <v>0</v>
      </c>
      <c r="X168" s="18">
        <f t="shared" si="336"/>
        <v>0</v>
      </c>
      <c r="Y168" s="18">
        <f t="shared" si="6"/>
        <v>34.06574689</v>
      </c>
    </row>
    <row r="169" ht="14.25" customHeight="1">
      <c r="A169" s="7" t="s">
        <v>264</v>
      </c>
      <c r="B169" s="7" t="s">
        <v>236</v>
      </c>
      <c r="C169" s="7" t="s">
        <v>269</v>
      </c>
      <c r="D169" s="7" t="s">
        <v>561</v>
      </c>
      <c r="E169" s="8">
        <v>40104.0</v>
      </c>
      <c r="F169" s="8">
        <v>12949.0</v>
      </c>
      <c r="G169" s="8">
        <v>12846.0</v>
      </c>
      <c r="H169" s="8">
        <v>13089.0</v>
      </c>
      <c r="I169" s="8">
        <v>15278.0</v>
      </c>
      <c r="J169" s="8">
        <v>15521.0</v>
      </c>
      <c r="K169" s="8">
        <v>15764.0</v>
      </c>
      <c r="L169" s="8">
        <v>0.0</v>
      </c>
      <c r="M169" s="8">
        <v>0.0</v>
      </c>
      <c r="N169" s="8">
        <v>0.0</v>
      </c>
      <c r="O169" s="8">
        <v>0.0</v>
      </c>
      <c r="P169" s="8">
        <v>0.0</v>
      </c>
      <c r="Q169" s="8">
        <v>0.0</v>
      </c>
      <c r="R169" s="18">
        <f t="shared" ref="R169:T169" si="337">(L169/F169)*1000000</f>
        <v>0</v>
      </c>
      <c r="S169" s="18">
        <f t="shared" si="337"/>
        <v>0</v>
      </c>
      <c r="T169" s="18">
        <f t="shared" si="337"/>
        <v>0</v>
      </c>
      <c r="U169" s="18">
        <f t="shared" si="4"/>
        <v>0</v>
      </c>
      <c r="V169" s="18">
        <f t="shared" ref="V169:X169" si="338">(O169/I169)*1000000</f>
        <v>0</v>
      </c>
      <c r="W169" s="18">
        <f t="shared" si="338"/>
        <v>0</v>
      </c>
      <c r="X169" s="18">
        <f t="shared" si="338"/>
        <v>0</v>
      </c>
      <c r="Y169" s="18">
        <f t="shared" si="6"/>
        <v>0</v>
      </c>
    </row>
    <row r="170" ht="14.25" customHeight="1">
      <c r="A170" s="7" t="s">
        <v>264</v>
      </c>
      <c r="B170" s="7" t="s">
        <v>271</v>
      </c>
      <c r="C170" s="7" t="s">
        <v>266</v>
      </c>
      <c r="D170" s="7" t="s">
        <v>266</v>
      </c>
      <c r="E170" s="8">
        <v>40201.0</v>
      </c>
      <c r="F170" s="8">
        <v>28505.0</v>
      </c>
      <c r="G170" s="8">
        <v>28918.0</v>
      </c>
      <c r="H170" s="8">
        <v>29460.0</v>
      </c>
      <c r="I170" s="8">
        <v>34342.0</v>
      </c>
      <c r="J170" s="8">
        <v>34885.0</v>
      </c>
      <c r="K170" s="8">
        <v>35427.0</v>
      </c>
      <c r="L170" s="8">
        <v>0.0</v>
      </c>
      <c r="M170" s="8">
        <v>0.0</v>
      </c>
      <c r="N170" s="8">
        <v>2.0</v>
      </c>
      <c r="O170" s="8">
        <v>2.0</v>
      </c>
      <c r="P170" s="8">
        <v>7.0</v>
      </c>
      <c r="Q170" s="8">
        <v>5.0</v>
      </c>
      <c r="R170" s="18">
        <f t="shared" ref="R170:T170" si="339">(L170/F170)*1000000</f>
        <v>0</v>
      </c>
      <c r="S170" s="18">
        <f t="shared" si="339"/>
        <v>0</v>
      </c>
      <c r="T170" s="18">
        <f t="shared" si="339"/>
        <v>67.88866259</v>
      </c>
      <c r="U170" s="18">
        <f t="shared" si="4"/>
        <v>22.6295542</v>
      </c>
      <c r="V170" s="18">
        <f t="shared" ref="V170:X170" si="340">(O170/I170)*1000000</f>
        <v>58.2377264</v>
      </c>
      <c r="W170" s="18">
        <f t="shared" si="340"/>
        <v>200.6593092</v>
      </c>
      <c r="X170" s="18">
        <f t="shared" si="340"/>
        <v>141.1352923</v>
      </c>
      <c r="Y170" s="18">
        <f t="shared" si="6"/>
        <v>133.3441093</v>
      </c>
    </row>
    <row r="171" ht="14.25" customHeight="1">
      <c r="A171" s="7" t="s">
        <v>264</v>
      </c>
      <c r="B171" s="7" t="s">
        <v>271</v>
      </c>
      <c r="C171" s="7" t="s">
        <v>272</v>
      </c>
      <c r="D171" s="7" t="s">
        <v>272</v>
      </c>
      <c r="E171" s="8">
        <v>40202.0</v>
      </c>
      <c r="F171" s="8">
        <v>3983.0</v>
      </c>
      <c r="G171" s="8">
        <v>4051.0</v>
      </c>
      <c r="H171" s="8">
        <v>4144.0</v>
      </c>
      <c r="I171" s="8">
        <v>4976.0</v>
      </c>
      <c r="J171" s="8">
        <v>5069.0</v>
      </c>
      <c r="K171" s="8">
        <v>5161.0</v>
      </c>
      <c r="L171" s="8">
        <v>0.0</v>
      </c>
      <c r="M171" s="8">
        <v>0.0</v>
      </c>
      <c r="N171" s="8">
        <v>0.0</v>
      </c>
      <c r="O171" s="8">
        <v>0.0</v>
      </c>
      <c r="P171" s="8">
        <v>0.0</v>
      </c>
      <c r="Q171" s="8">
        <v>0.0</v>
      </c>
      <c r="R171" s="18">
        <f t="shared" ref="R171:T171" si="341">(L171/F171)*1000000</f>
        <v>0</v>
      </c>
      <c r="S171" s="18">
        <f t="shared" si="341"/>
        <v>0</v>
      </c>
      <c r="T171" s="18">
        <f t="shared" si="341"/>
        <v>0</v>
      </c>
      <c r="U171" s="18">
        <f t="shared" si="4"/>
        <v>0</v>
      </c>
      <c r="V171" s="18">
        <f t="shared" ref="V171:X171" si="342">(O171/I171)*1000000</f>
        <v>0</v>
      </c>
      <c r="W171" s="18">
        <f t="shared" si="342"/>
        <v>0</v>
      </c>
      <c r="X171" s="18">
        <f t="shared" si="342"/>
        <v>0</v>
      </c>
      <c r="Y171" s="18">
        <f t="shared" si="6"/>
        <v>0</v>
      </c>
    </row>
    <row r="172" ht="14.25" customHeight="1">
      <c r="A172" s="7" t="s">
        <v>264</v>
      </c>
      <c r="B172" s="7" t="s">
        <v>274</v>
      </c>
      <c r="C172" s="7" t="s">
        <v>268</v>
      </c>
      <c r="D172" s="7" t="s">
        <v>268</v>
      </c>
      <c r="E172" s="8">
        <v>40301.0</v>
      </c>
      <c r="F172" s="8">
        <v>9160.0</v>
      </c>
      <c r="G172" s="8">
        <v>9221.0</v>
      </c>
      <c r="H172" s="8">
        <v>9794.0</v>
      </c>
      <c r="I172" s="8">
        <v>14954.0</v>
      </c>
      <c r="J172" s="8">
        <v>15528.0</v>
      </c>
      <c r="K172" s="8">
        <v>16101.0</v>
      </c>
      <c r="L172" s="8">
        <v>0.0</v>
      </c>
      <c r="M172" s="8">
        <v>0.0</v>
      </c>
      <c r="N172" s="8">
        <v>0.0</v>
      </c>
      <c r="O172" s="8">
        <v>0.0</v>
      </c>
      <c r="P172" s="8">
        <v>0.0</v>
      </c>
      <c r="Q172" s="8">
        <v>2.0</v>
      </c>
      <c r="R172" s="18">
        <f t="shared" ref="R172:T172" si="343">(L172/F172)*1000000</f>
        <v>0</v>
      </c>
      <c r="S172" s="18">
        <f t="shared" si="343"/>
        <v>0</v>
      </c>
      <c r="T172" s="18">
        <f t="shared" si="343"/>
        <v>0</v>
      </c>
      <c r="U172" s="18">
        <f t="shared" si="4"/>
        <v>0</v>
      </c>
      <c r="V172" s="18">
        <f t="shared" ref="V172:X172" si="344">(O172/I172)*1000000</f>
        <v>0</v>
      </c>
      <c r="W172" s="18">
        <f t="shared" si="344"/>
        <v>0</v>
      </c>
      <c r="X172" s="18">
        <f t="shared" si="344"/>
        <v>124.2158872</v>
      </c>
      <c r="Y172" s="18">
        <f t="shared" si="6"/>
        <v>41.40529574</v>
      </c>
    </row>
    <row r="173" ht="14.25" customHeight="1">
      <c r="A173" s="7" t="s">
        <v>264</v>
      </c>
      <c r="B173" s="7" t="s">
        <v>274</v>
      </c>
      <c r="C173" s="7" t="s">
        <v>276</v>
      </c>
      <c r="D173" s="7" t="s">
        <v>276</v>
      </c>
      <c r="E173" s="8">
        <v>40302.0</v>
      </c>
      <c r="F173" s="8">
        <v>1829.0</v>
      </c>
      <c r="G173" s="8">
        <v>1850.0</v>
      </c>
      <c r="H173" s="8">
        <v>1905.0</v>
      </c>
      <c r="I173" s="8">
        <v>2395.0</v>
      </c>
      <c r="J173" s="8">
        <v>2450.0</v>
      </c>
      <c r="K173" s="8">
        <v>2504.0</v>
      </c>
      <c r="L173" s="8">
        <v>0.0</v>
      </c>
      <c r="M173" s="8">
        <v>0.0</v>
      </c>
      <c r="N173" s="8">
        <v>0.0</v>
      </c>
      <c r="O173" s="8">
        <v>0.0</v>
      </c>
      <c r="P173" s="8">
        <v>0.0</v>
      </c>
      <c r="Q173" s="8">
        <v>0.0</v>
      </c>
      <c r="R173" s="18">
        <f t="shared" ref="R173:T173" si="345">(L173/F173)*1000000</f>
        <v>0</v>
      </c>
      <c r="S173" s="18">
        <f t="shared" si="345"/>
        <v>0</v>
      </c>
      <c r="T173" s="18">
        <f t="shared" si="345"/>
        <v>0</v>
      </c>
      <c r="U173" s="18">
        <f t="shared" si="4"/>
        <v>0</v>
      </c>
      <c r="V173" s="18">
        <f t="shared" ref="V173:X173" si="346">(O173/I173)*1000000</f>
        <v>0</v>
      </c>
      <c r="W173" s="18">
        <f t="shared" si="346"/>
        <v>0</v>
      </c>
      <c r="X173" s="18">
        <f t="shared" si="346"/>
        <v>0</v>
      </c>
      <c r="Y173" s="18">
        <f t="shared" si="6"/>
        <v>0</v>
      </c>
    </row>
    <row r="174" ht="14.25" customHeight="1">
      <c r="A174" s="7" t="s">
        <v>264</v>
      </c>
      <c r="B174" s="7" t="s">
        <v>278</v>
      </c>
      <c r="C174" s="7" t="s">
        <v>270</v>
      </c>
      <c r="D174" s="7" t="s">
        <v>270</v>
      </c>
      <c r="E174" s="8">
        <v>40401.0</v>
      </c>
      <c r="F174" s="8">
        <v>4283.0</v>
      </c>
      <c r="G174" s="8">
        <v>4184.0</v>
      </c>
      <c r="H174" s="8">
        <v>4392.0</v>
      </c>
      <c r="I174" s="8">
        <v>6267.0</v>
      </c>
      <c r="J174" s="8">
        <v>6475.0</v>
      </c>
      <c r="K174" s="8">
        <v>6683.0</v>
      </c>
      <c r="L174" s="8">
        <v>0.0</v>
      </c>
      <c r="M174" s="8">
        <v>0.0</v>
      </c>
      <c r="N174" s="8">
        <v>0.0</v>
      </c>
      <c r="O174" s="8">
        <v>0.0</v>
      </c>
      <c r="P174" s="8">
        <v>0.0</v>
      </c>
      <c r="Q174" s="8">
        <v>1.0</v>
      </c>
      <c r="R174" s="18">
        <f t="shared" ref="R174:T174" si="347">(L174/F174)*1000000</f>
        <v>0</v>
      </c>
      <c r="S174" s="18">
        <f t="shared" si="347"/>
        <v>0</v>
      </c>
      <c r="T174" s="18">
        <f t="shared" si="347"/>
        <v>0</v>
      </c>
      <c r="U174" s="18">
        <f t="shared" si="4"/>
        <v>0</v>
      </c>
      <c r="V174" s="18">
        <f t="shared" ref="V174:X174" si="348">(O174/I174)*1000000</f>
        <v>0</v>
      </c>
      <c r="W174" s="18">
        <f t="shared" si="348"/>
        <v>0</v>
      </c>
      <c r="X174" s="18">
        <f t="shared" si="348"/>
        <v>149.6333982</v>
      </c>
      <c r="Y174" s="18">
        <f t="shared" si="6"/>
        <v>49.87779939</v>
      </c>
    </row>
    <row r="175" ht="14.25" customHeight="1">
      <c r="A175" s="7" t="s">
        <v>264</v>
      </c>
      <c r="B175" s="7" t="s">
        <v>278</v>
      </c>
      <c r="C175" s="7" t="s">
        <v>280</v>
      </c>
      <c r="D175" s="7" t="s">
        <v>280</v>
      </c>
      <c r="E175" s="8">
        <v>40402.0</v>
      </c>
      <c r="F175" s="8">
        <v>5112.0</v>
      </c>
      <c r="G175" s="8">
        <v>5207.0</v>
      </c>
      <c r="H175" s="8">
        <v>5257.0</v>
      </c>
      <c r="I175" s="8">
        <v>5704.0</v>
      </c>
      <c r="J175" s="8">
        <v>5753.0</v>
      </c>
      <c r="K175" s="8">
        <v>5803.0</v>
      </c>
      <c r="L175" s="8">
        <v>0.0</v>
      </c>
      <c r="M175" s="8">
        <v>0.0</v>
      </c>
      <c r="N175" s="8">
        <v>0.0</v>
      </c>
      <c r="O175" s="8">
        <v>0.0</v>
      </c>
      <c r="P175" s="8">
        <v>0.0</v>
      </c>
      <c r="Q175" s="8">
        <v>0.0</v>
      </c>
      <c r="R175" s="18">
        <f t="shared" ref="R175:T175" si="349">(L175/F175)*1000000</f>
        <v>0</v>
      </c>
      <c r="S175" s="18">
        <f t="shared" si="349"/>
        <v>0</v>
      </c>
      <c r="T175" s="18">
        <f t="shared" si="349"/>
        <v>0</v>
      </c>
      <c r="U175" s="18">
        <f t="shared" si="4"/>
        <v>0</v>
      </c>
      <c r="V175" s="18">
        <f t="shared" ref="V175:X175" si="350">(O175/I175)*1000000</f>
        <v>0</v>
      </c>
      <c r="W175" s="18">
        <f t="shared" si="350"/>
        <v>0</v>
      </c>
      <c r="X175" s="18">
        <f t="shared" si="350"/>
        <v>0</v>
      </c>
      <c r="Y175" s="18">
        <f t="shared" si="6"/>
        <v>0</v>
      </c>
    </row>
    <row r="176" ht="14.25" customHeight="1">
      <c r="A176" s="7" t="s">
        <v>264</v>
      </c>
      <c r="B176" s="7" t="s">
        <v>282</v>
      </c>
      <c r="C176" s="7" t="s">
        <v>275</v>
      </c>
      <c r="D176" s="7" t="s">
        <v>275</v>
      </c>
      <c r="E176" s="8">
        <v>40501.0</v>
      </c>
      <c r="F176" s="8">
        <v>1062.0</v>
      </c>
      <c r="G176" s="8">
        <v>1003.0</v>
      </c>
      <c r="H176" s="8">
        <v>1254.0</v>
      </c>
      <c r="I176" s="8">
        <v>3510.0</v>
      </c>
      <c r="J176" s="8">
        <v>3760.0</v>
      </c>
      <c r="K176" s="8">
        <v>4011.0</v>
      </c>
      <c r="L176" s="8">
        <v>0.0</v>
      </c>
      <c r="M176" s="8">
        <v>0.0</v>
      </c>
      <c r="N176" s="8">
        <v>0.0</v>
      </c>
      <c r="O176" s="8">
        <v>0.0</v>
      </c>
      <c r="P176" s="8">
        <v>0.0</v>
      </c>
      <c r="Q176" s="8">
        <v>1.0</v>
      </c>
      <c r="R176" s="18">
        <f t="shared" ref="R176:T176" si="351">(L176/F176)*1000000</f>
        <v>0</v>
      </c>
      <c r="S176" s="18">
        <f t="shared" si="351"/>
        <v>0</v>
      </c>
      <c r="T176" s="18">
        <f t="shared" si="351"/>
        <v>0</v>
      </c>
      <c r="U176" s="18">
        <f t="shared" si="4"/>
        <v>0</v>
      </c>
      <c r="V176" s="18">
        <f t="shared" ref="V176:X176" si="352">(O176/I176)*1000000</f>
        <v>0</v>
      </c>
      <c r="W176" s="18">
        <f t="shared" si="352"/>
        <v>0</v>
      </c>
      <c r="X176" s="18">
        <f t="shared" si="352"/>
        <v>249.3143854</v>
      </c>
      <c r="Y176" s="18">
        <f t="shared" si="6"/>
        <v>83.10479515</v>
      </c>
    </row>
    <row r="177" ht="14.25" customHeight="1">
      <c r="A177" s="7" t="s">
        <v>264</v>
      </c>
      <c r="B177" s="7" t="s">
        <v>282</v>
      </c>
      <c r="C177" s="7" t="s">
        <v>283</v>
      </c>
      <c r="D177" s="7" t="s">
        <v>283</v>
      </c>
      <c r="E177" s="8">
        <v>40502.0</v>
      </c>
      <c r="F177" s="8">
        <v>3918.0</v>
      </c>
      <c r="G177" s="8">
        <v>4223.0</v>
      </c>
      <c r="H177" s="8">
        <v>4224.0</v>
      </c>
      <c r="I177" s="8">
        <v>4230.0</v>
      </c>
      <c r="J177" s="8">
        <v>4230.0</v>
      </c>
      <c r="K177" s="8">
        <v>4231.0</v>
      </c>
      <c r="L177" s="8">
        <v>0.0</v>
      </c>
      <c r="M177" s="8">
        <v>0.0</v>
      </c>
      <c r="N177" s="8">
        <v>0.0</v>
      </c>
      <c r="O177" s="8">
        <v>0.0</v>
      </c>
      <c r="P177" s="8">
        <v>0.0</v>
      </c>
      <c r="Q177" s="8">
        <v>0.0</v>
      </c>
      <c r="R177" s="18">
        <f t="shared" ref="R177:T177" si="353">(L177/F177)*1000000</f>
        <v>0</v>
      </c>
      <c r="S177" s="18">
        <f t="shared" si="353"/>
        <v>0</v>
      </c>
      <c r="T177" s="18">
        <f t="shared" si="353"/>
        <v>0</v>
      </c>
      <c r="U177" s="18">
        <f t="shared" si="4"/>
        <v>0</v>
      </c>
      <c r="V177" s="18">
        <f t="shared" ref="V177:X177" si="354">(O177/I177)*1000000</f>
        <v>0</v>
      </c>
      <c r="W177" s="18">
        <f t="shared" si="354"/>
        <v>0</v>
      </c>
      <c r="X177" s="18">
        <f t="shared" si="354"/>
        <v>0</v>
      </c>
      <c r="Y177" s="18">
        <f t="shared" si="6"/>
        <v>0</v>
      </c>
    </row>
    <row r="178" ht="14.25" customHeight="1">
      <c r="A178" s="7" t="s">
        <v>264</v>
      </c>
      <c r="B178" s="7" t="s">
        <v>282</v>
      </c>
      <c r="C178" s="7" t="s">
        <v>285</v>
      </c>
      <c r="D178" s="7" t="s">
        <v>285</v>
      </c>
      <c r="E178" s="8">
        <v>40503.0</v>
      </c>
      <c r="F178" s="8">
        <v>1867.0</v>
      </c>
      <c r="G178" s="8">
        <v>1967.0</v>
      </c>
      <c r="H178" s="8">
        <v>1930.0</v>
      </c>
      <c r="I178" s="8">
        <v>1592.0</v>
      </c>
      <c r="J178" s="8">
        <v>1555.0</v>
      </c>
      <c r="K178" s="8">
        <v>1517.0</v>
      </c>
      <c r="L178" s="8">
        <v>0.0</v>
      </c>
      <c r="M178" s="8">
        <v>0.0</v>
      </c>
      <c r="N178" s="8">
        <v>0.0</v>
      </c>
      <c r="O178" s="8">
        <v>0.0</v>
      </c>
      <c r="P178" s="8">
        <v>0.0</v>
      </c>
      <c r="Q178" s="8">
        <v>0.0</v>
      </c>
      <c r="R178" s="18">
        <f t="shared" ref="R178:T178" si="355">(L178/F178)*1000000</f>
        <v>0</v>
      </c>
      <c r="S178" s="18">
        <f t="shared" si="355"/>
        <v>0</v>
      </c>
      <c r="T178" s="18">
        <f t="shared" si="355"/>
        <v>0</v>
      </c>
      <c r="U178" s="18">
        <f t="shared" si="4"/>
        <v>0</v>
      </c>
      <c r="V178" s="18">
        <f t="shared" ref="V178:X178" si="356">(O178/I178)*1000000</f>
        <v>0</v>
      </c>
      <c r="W178" s="18">
        <f t="shared" si="356"/>
        <v>0</v>
      </c>
      <c r="X178" s="18">
        <f t="shared" si="356"/>
        <v>0</v>
      </c>
      <c r="Y178" s="18">
        <f t="shared" si="6"/>
        <v>0</v>
      </c>
    </row>
    <row r="179" ht="14.25" customHeight="1">
      <c r="A179" s="7" t="s">
        <v>264</v>
      </c>
      <c r="B179" s="7" t="s">
        <v>282</v>
      </c>
      <c r="C179" s="7" t="s">
        <v>287</v>
      </c>
      <c r="D179" s="7" t="s">
        <v>287</v>
      </c>
      <c r="E179" s="8">
        <v>40504.0</v>
      </c>
      <c r="F179" s="8">
        <v>487.0</v>
      </c>
      <c r="G179" s="8">
        <v>514.0</v>
      </c>
      <c r="H179" s="8">
        <v>544.0</v>
      </c>
      <c r="I179" s="8">
        <v>815.0</v>
      </c>
      <c r="J179" s="8">
        <v>845.0</v>
      </c>
      <c r="K179" s="8">
        <v>875.0</v>
      </c>
      <c r="L179" s="8">
        <v>0.0</v>
      </c>
      <c r="M179" s="8">
        <v>0.0</v>
      </c>
      <c r="N179" s="8">
        <v>0.0</v>
      </c>
      <c r="O179" s="8">
        <v>0.0</v>
      </c>
      <c r="P179" s="8">
        <v>0.0</v>
      </c>
      <c r="Q179" s="8">
        <v>0.0</v>
      </c>
      <c r="R179" s="18">
        <f t="shared" ref="R179:T179" si="357">(L179/F179)*1000000</f>
        <v>0</v>
      </c>
      <c r="S179" s="18">
        <f t="shared" si="357"/>
        <v>0</v>
      </c>
      <c r="T179" s="18">
        <f t="shared" si="357"/>
        <v>0</v>
      </c>
      <c r="U179" s="18">
        <f t="shared" si="4"/>
        <v>0</v>
      </c>
      <c r="V179" s="18">
        <f t="shared" ref="V179:X179" si="358">(O179/I179)*1000000</f>
        <v>0</v>
      </c>
      <c r="W179" s="18">
        <f t="shared" si="358"/>
        <v>0</v>
      </c>
      <c r="X179" s="18">
        <f t="shared" si="358"/>
        <v>0</v>
      </c>
      <c r="Y179" s="18">
        <f t="shared" si="6"/>
        <v>0</v>
      </c>
    </row>
    <row r="180" ht="14.25" customHeight="1">
      <c r="A180" s="7" t="s">
        <v>264</v>
      </c>
      <c r="B180" s="7" t="s">
        <v>282</v>
      </c>
      <c r="C180" s="7" t="s">
        <v>289</v>
      </c>
      <c r="D180" s="7" t="s">
        <v>289</v>
      </c>
      <c r="E180" s="8">
        <v>40505.0</v>
      </c>
      <c r="F180" s="8">
        <v>2543.0</v>
      </c>
      <c r="G180" s="8">
        <v>2702.0</v>
      </c>
      <c r="H180" s="8">
        <v>2800.0</v>
      </c>
      <c r="I180" s="8">
        <v>3685.0</v>
      </c>
      <c r="J180" s="8">
        <v>3784.0</v>
      </c>
      <c r="K180" s="8">
        <v>3882.0</v>
      </c>
      <c r="L180" s="8">
        <v>0.0</v>
      </c>
      <c r="M180" s="8">
        <v>0.0</v>
      </c>
      <c r="N180" s="8">
        <v>0.0</v>
      </c>
      <c r="O180" s="8">
        <v>0.0</v>
      </c>
      <c r="P180" s="8">
        <v>0.0</v>
      </c>
      <c r="Q180" s="8">
        <v>0.0</v>
      </c>
      <c r="R180" s="18">
        <f t="shared" ref="R180:T180" si="359">(L180/F180)*1000000</f>
        <v>0</v>
      </c>
      <c r="S180" s="18">
        <f t="shared" si="359"/>
        <v>0</v>
      </c>
      <c r="T180" s="18">
        <f t="shared" si="359"/>
        <v>0</v>
      </c>
      <c r="U180" s="18">
        <f t="shared" si="4"/>
        <v>0</v>
      </c>
      <c r="V180" s="18">
        <f t="shared" ref="V180:X180" si="360">(O180/I180)*1000000</f>
        <v>0</v>
      </c>
      <c r="W180" s="18">
        <f t="shared" si="360"/>
        <v>0</v>
      </c>
      <c r="X180" s="18">
        <f t="shared" si="360"/>
        <v>0</v>
      </c>
      <c r="Y180" s="18">
        <f t="shared" si="6"/>
        <v>0</v>
      </c>
    </row>
    <row r="181" ht="14.25" customHeight="1">
      <c r="A181" s="7" t="s">
        <v>264</v>
      </c>
      <c r="B181" s="7" t="s">
        <v>291</v>
      </c>
      <c r="C181" s="7" t="s">
        <v>291</v>
      </c>
      <c r="D181" s="7" t="s">
        <v>562</v>
      </c>
      <c r="E181" s="8">
        <v>40601.0</v>
      </c>
      <c r="F181" s="8">
        <v>7458.0</v>
      </c>
      <c r="G181" s="8">
        <v>7587.0</v>
      </c>
      <c r="H181" s="8">
        <v>7721.0</v>
      </c>
      <c r="I181" s="8">
        <v>8922.0</v>
      </c>
      <c r="J181" s="8">
        <v>9056.0</v>
      </c>
      <c r="K181" s="8">
        <v>9189.0</v>
      </c>
      <c r="L181" s="8">
        <v>0.0</v>
      </c>
      <c r="M181" s="8">
        <v>0.0</v>
      </c>
      <c r="N181" s="8">
        <v>1.0</v>
      </c>
      <c r="O181" s="8">
        <v>0.0</v>
      </c>
      <c r="P181" s="8">
        <v>0.0</v>
      </c>
      <c r="Q181" s="8">
        <v>1.0</v>
      </c>
      <c r="R181" s="18">
        <f t="shared" ref="R181:T181" si="361">(L181/F181)*1000000</f>
        <v>0</v>
      </c>
      <c r="S181" s="18">
        <f t="shared" si="361"/>
        <v>0</v>
      </c>
      <c r="T181" s="18">
        <f t="shared" si="361"/>
        <v>129.516902</v>
      </c>
      <c r="U181" s="18">
        <f t="shared" si="4"/>
        <v>43.17230065</v>
      </c>
      <c r="V181" s="18">
        <f t="shared" ref="V181:X181" si="362">(O181/I181)*1000000</f>
        <v>0</v>
      </c>
      <c r="W181" s="18">
        <f t="shared" si="362"/>
        <v>0</v>
      </c>
      <c r="X181" s="18">
        <f t="shared" si="362"/>
        <v>108.8257699</v>
      </c>
      <c r="Y181" s="18">
        <f t="shared" si="6"/>
        <v>36.27525665</v>
      </c>
    </row>
    <row r="182" ht="14.25" customHeight="1">
      <c r="A182" s="7" t="s">
        <v>264</v>
      </c>
      <c r="B182" s="7" t="s">
        <v>291</v>
      </c>
      <c r="C182" s="7" t="s">
        <v>284</v>
      </c>
      <c r="D182" s="7" t="s">
        <v>284</v>
      </c>
      <c r="E182" s="8">
        <v>40602.0</v>
      </c>
      <c r="F182" s="8">
        <v>5911.0</v>
      </c>
      <c r="G182" s="8">
        <v>5955.0</v>
      </c>
      <c r="H182" s="8">
        <v>5813.0</v>
      </c>
      <c r="I182" s="8">
        <v>4535.0</v>
      </c>
      <c r="J182" s="8">
        <v>4393.0</v>
      </c>
      <c r="K182" s="8">
        <v>4251.0</v>
      </c>
      <c r="L182" s="8">
        <v>0.0</v>
      </c>
      <c r="M182" s="8">
        <v>0.0</v>
      </c>
      <c r="N182" s="8">
        <v>0.0</v>
      </c>
      <c r="O182" s="8">
        <v>0.0</v>
      </c>
      <c r="P182" s="8">
        <v>1.0</v>
      </c>
      <c r="Q182" s="8">
        <v>0.0</v>
      </c>
      <c r="R182" s="18">
        <f t="shared" ref="R182:T182" si="363">(L182/F182)*1000000</f>
        <v>0</v>
      </c>
      <c r="S182" s="18">
        <f t="shared" si="363"/>
        <v>0</v>
      </c>
      <c r="T182" s="18">
        <f t="shared" si="363"/>
        <v>0</v>
      </c>
      <c r="U182" s="18">
        <f t="shared" si="4"/>
        <v>0</v>
      </c>
      <c r="V182" s="18">
        <f t="shared" ref="V182:X182" si="364">(O182/I182)*1000000</f>
        <v>0</v>
      </c>
      <c r="W182" s="18">
        <f t="shared" si="364"/>
        <v>227.6348737</v>
      </c>
      <c r="X182" s="18">
        <f t="shared" si="364"/>
        <v>0</v>
      </c>
      <c r="Y182" s="18">
        <f t="shared" si="6"/>
        <v>75.87829122</v>
      </c>
    </row>
    <row r="183" ht="14.25" customHeight="1">
      <c r="A183" s="7" t="s">
        <v>264</v>
      </c>
      <c r="B183" s="7" t="s">
        <v>291</v>
      </c>
      <c r="C183" s="7" t="s">
        <v>263</v>
      </c>
      <c r="D183" s="7" t="s">
        <v>263</v>
      </c>
      <c r="E183" s="8">
        <v>40603.0</v>
      </c>
      <c r="F183" s="8">
        <v>3272.0</v>
      </c>
      <c r="G183" s="8">
        <v>3264.0</v>
      </c>
      <c r="H183" s="8">
        <v>3298.0</v>
      </c>
      <c r="I183" s="8">
        <v>3599.0</v>
      </c>
      <c r="J183" s="8">
        <v>3633.0</v>
      </c>
      <c r="K183" s="8">
        <v>3666.0</v>
      </c>
      <c r="L183" s="8">
        <v>0.0</v>
      </c>
      <c r="M183" s="8">
        <v>0.0</v>
      </c>
      <c r="N183" s="8">
        <v>0.0</v>
      </c>
      <c r="O183" s="8">
        <v>0.0</v>
      </c>
      <c r="P183" s="8">
        <v>0.0</v>
      </c>
      <c r="Q183" s="8">
        <v>0.0</v>
      </c>
      <c r="R183" s="18">
        <f t="shared" ref="R183:T183" si="365">(L183/F183)*1000000</f>
        <v>0</v>
      </c>
      <c r="S183" s="18">
        <f t="shared" si="365"/>
        <v>0</v>
      </c>
      <c r="T183" s="18">
        <f t="shared" si="365"/>
        <v>0</v>
      </c>
      <c r="U183" s="18">
        <f t="shared" si="4"/>
        <v>0</v>
      </c>
      <c r="V183" s="18">
        <f t="shared" ref="V183:X183" si="366">(O183/I183)*1000000</f>
        <v>0</v>
      </c>
      <c r="W183" s="18">
        <f t="shared" si="366"/>
        <v>0</v>
      </c>
      <c r="X183" s="18">
        <f t="shared" si="366"/>
        <v>0</v>
      </c>
      <c r="Y183" s="18">
        <f t="shared" si="6"/>
        <v>0</v>
      </c>
    </row>
    <row r="184" ht="14.25" customHeight="1">
      <c r="A184" s="7" t="s">
        <v>264</v>
      </c>
      <c r="B184" s="7" t="s">
        <v>292</v>
      </c>
      <c r="C184" s="7" t="s">
        <v>277</v>
      </c>
      <c r="D184" s="7" t="s">
        <v>563</v>
      </c>
      <c r="E184" s="8">
        <v>40701.0</v>
      </c>
      <c r="F184" s="8">
        <v>24200.0</v>
      </c>
      <c r="G184" s="8">
        <v>24677.0</v>
      </c>
      <c r="H184" s="8">
        <v>24297.0</v>
      </c>
      <c r="I184" s="8">
        <v>20878.0</v>
      </c>
      <c r="J184" s="8">
        <v>20498.0</v>
      </c>
      <c r="K184" s="8">
        <v>20118.0</v>
      </c>
      <c r="L184" s="8">
        <v>0.0</v>
      </c>
      <c r="M184" s="8">
        <v>1.0</v>
      </c>
      <c r="N184" s="8">
        <v>3.0</v>
      </c>
      <c r="O184" s="8">
        <v>12.0</v>
      </c>
      <c r="P184" s="8">
        <v>4.0</v>
      </c>
      <c r="Q184" s="8">
        <v>4.0</v>
      </c>
      <c r="R184" s="18">
        <f t="shared" ref="R184:T184" si="367">(L184/F184)*1000000</f>
        <v>0</v>
      </c>
      <c r="S184" s="18">
        <f t="shared" si="367"/>
        <v>40.52356445</v>
      </c>
      <c r="T184" s="18">
        <f t="shared" si="367"/>
        <v>123.4720336</v>
      </c>
      <c r="U184" s="18">
        <f t="shared" si="4"/>
        <v>54.66519935</v>
      </c>
      <c r="V184" s="18">
        <f t="shared" ref="V184:X184" si="368">(O184/I184)*1000000</f>
        <v>574.7676981</v>
      </c>
      <c r="W184" s="18">
        <f t="shared" si="368"/>
        <v>195.1409894</v>
      </c>
      <c r="X184" s="18">
        <f t="shared" si="368"/>
        <v>198.8269212</v>
      </c>
      <c r="Y184" s="18">
        <f t="shared" si="6"/>
        <v>322.9118695</v>
      </c>
    </row>
    <row r="185" ht="14.25" customHeight="1">
      <c r="A185" s="7" t="s">
        <v>264</v>
      </c>
      <c r="B185" s="7" t="s">
        <v>292</v>
      </c>
      <c r="C185" s="7" t="s">
        <v>281</v>
      </c>
      <c r="D185" s="7" t="s">
        <v>281</v>
      </c>
      <c r="E185" s="8">
        <v>40702.0</v>
      </c>
      <c r="F185" s="8">
        <v>4762.0</v>
      </c>
      <c r="G185" s="8">
        <v>4820.0</v>
      </c>
      <c r="H185" s="8">
        <v>4928.0</v>
      </c>
      <c r="I185" s="8">
        <v>5903.0</v>
      </c>
      <c r="J185" s="8">
        <v>6012.0</v>
      </c>
      <c r="K185" s="8">
        <v>6120.0</v>
      </c>
      <c r="L185" s="8">
        <v>1.0</v>
      </c>
      <c r="M185" s="8">
        <v>1.0</v>
      </c>
      <c r="N185" s="8">
        <v>1.0</v>
      </c>
      <c r="O185" s="8">
        <v>1.0</v>
      </c>
      <c r="P185" s="8">
        <v>1.0</v>
      </c>
      <c r="Q185" s="8">
        <v>0.0</v>
      </c>
      <c r="R185" s="18">
        <f t="shared" ref="R185:T185" si="369">(L185/F185)*1000000</f>
        <v>209.9958001</v>
      </c>
      <c r="S185" s="18">
        <f t="shared" si="369"/>
        <v>207.4688797</v>
      </c>
      <c r="T185" s="18">
        <f t="shared" si="369"/>
        <v>202.9220779</v>
      </c>
      <c r="U185" s="18">
        <f t="shared" si="4"/>
        <v>206.7955859</v>
      </c>
      <c r="V185" s="18">
        <f t="shared" ref="V185:X185" si="370">(O185/I185)*1000000</f>
        <v>169.4053871</v>
      </c>
      <c r="W185" s="18">
        <f t="shared" si="370"/>
        <v>166.3339987</v>
      </c>
      <c r="X185" s="18">
        <f t="shared" si="370"/>
        <v>0</v>
      </c>
      <c r="Y185" s="18">
        <f t="shared" si="6"/>
        <v>111.9131286</v>
      </c>
    </row>
    <row r="186" ht="14.25" customHeight="1">
      <c r="A186" s="7" t="s">
        <v>264</v>
      </c>
      <c r="B186" s="7" t="s">
        <v>294</v>
      </c>
      <c r="C186" s="7" t="s">
        <v>295</v>
      </c>
      <c r="D186" s="7" t="s">
        <v>295</v>
      </c>
      <c r="E186" s="8">
        <v>40801.0</v>
      </c>
      <c r="F186" s="8">
        <v>11591.0</v>
      </c>
      <c r="G186" s="8">
        <v>11878.0</v>
      </c>
      <c r="H186" s="8">
        <v>12216.0</v>
      </c>
      <c r="I186" s="8">
        <v>15258.0</v>
      </c>
      <c r="J186" s="8">
        <v>15596.0</v>
      </c>
      <c r="K186" s="8">
        <v>15934.0</v>
      </c>
      <c r="L186" s="8">
        <v>0.0</v>
      </c>
      <c r="M186" s="8">
        <v>0.0</v>
      </c>
      <c r="N186" s="8">
        <v>0.0</v>
      </c>
      <c r="O186" s="8">
        <v>0.0</v>
      </c>
      <c r="P186" s="8">
        <v>0.0</v>
      </c>
      <c r="Q186" s="8">
        <v>0.0</v>
      </c>
      <c r="R186" s="18">
        <f t="shared" ref="R186:T186" si="371">(L186/F186)*1000000</f>
        <v>0</v>
      </c>
      <c r="S186" s="18">
        <f t="shared" si="371"/>
        <v>0</v>
      </c>
      <c r="T186" s="18">
        <f t="shared" si="371"/>
        <v>0</v>
      </c>
      <c r="U186" s="18">
        <f t="shared" si="4"/>
        <v>0</v>
      </c>
      <c r="V186" s="18">
        <f t="shared" ref="V186:X186" si="372">(O186/I186)*1000000</f>
        <v>0</v>
      </c>
      <c r="W186" s="18">
        <f t="shared" si="372"/>
        <v>0</v>
      </c>
      <c r="X186" s="18">
        <f t="shared" si="372"/>
        <v>0</v>
      </c>
      <c r="Y186" s="18">
        <f t="shared" si="6"/>
        <v>0</v>
      </c>
    </row>
    <row r="187" ht="14.25" customHeight="1">
      <c r="A187" s="7" t="s">
        <v>264</v>
      </c>
      <c r="B187" s="7" t="s">
        <v>294</v>
      </c>
      <c r="C187" s="7" t="s">
        <v>297</v>
      </c>
      <c r="D187" s="7" t="s">
        <v>297</v>
      </c>
      <c r="E187" s="8">
        <v>40802.0</v>
      </c>
      <c r="F187" s="8">
        <v>2973.0</v>
      </c>
      <c r="G187" s="8">
        <v>2973.0</v>
      </c>
      <c r="H187" s="8">
        <v>2992.0</v>
      </c>
      <c r="I187" s="8">
        <v>3160.0</v>
      </c>
      <c r="J187" s="8">
        <v>3178.0</v>
      </c>
      <c r="K187" s="8">
        <v>3197.0</v>
      </c>
      <c r="L187" s="8">
        <v>0.0</v>
      </c>
      <c r="M187" s="8">
        <v>0.0</v>
      </c>
      <c r="N187" s="8">
        <v>0.0</v>
      </c>
      <c r="O187" s="8">
        <v>0.0</v>
      </c>
      <c r="P187" s="8">
        <v>0.0</v>
      </c>
      <c r="Q187" s="8">
        <v>0.0</v>
      </c>
      <c r="R187" s="18">
        <f t="shared" ref="R187:T187" si="373">(L187/F187)*1000000</f>
        <v>0</v>
      </c>
      <c r="S187" s="18">
        <f t="shared" si="373"/>
        <v>0</v>
      </c>
      <c r="T187" s="18">
        <f t="shared" si="373"/>
        <v>0</v>
      </c>
      <c r="U187" s="18">
        <f t="shared" si="4"/>
        <v>0</v>
      </c>
      <c r="V187" s="18">
        <f t="shared" ref="V187:X187" si="374">(O187/I187)*1000000</f>
        <v>0</v>
      </c>
      <c r="W187" s="18">
        <f t="shared" si="374"/>
        <v>0</v>
      </c>
      <c r="X187" s="18">
        <f t="shared" si="374"/>
        <v>0</v>
      </c>
      <c r="Y187" s="18">
        <f t="shared" si="6"/>
        <v>0</v>
      </c>
    </row>
    <row r="188" ht="14.25" customHeight="1">
      <c r="A188" s="7" t="s">
        <v>264</v>
      </c>
      <c r="B188" s="7" t="s">
        <v>288</v>
      </c>
      <c r="C188" s="7" t="s">
        <v>288</v>
      </c>
      <c r="D188" s="7" t="s">
        <v>288</v>
      </c>
      <c r="E188" s="8">
        <v>40901.0</v>
      </c>
      <c r="F188" s="8">
        <v>7715.0</v>
      </c>
      <c r="G188" s="8">
        <v>8018.0</v>
      </c>
      <c r="H188" s="8">
        <v>8642.0</v>
      </c>
      <c r="I188" s="8">
        <v>14256.0</v>
      </c>
      <c r="J188" s="8">
        <v>14880.0</v>
      </c>
      <c r="K188" s="8">
        <v>15504.0</v>
      </c>
      <c r="L188" s="8">
        <v>0.0</v>
      </c>
      <c r="M188" s="8">
        <v>0.0</v>
      </c>
      <c r="N188" s="8">
        <v>0.0</v>
      </c>
      <c r="O188" s="8">
        <v>1.0</v>
      </c>
      <c r="P188" s="8">
        <v>0.0</v>
      </c>
      <c r="Q188" s="8">
        <v>0.0</v>
      </c>
      <c r="R188" s="18">
        <f t="shared" ref="R188:T188" si="375">(L188/F188)*1000000</f>
        <v>0</v>
      </c>
      <c r="S188" s="18">
        <f t="shared" si="375"/>
        <v>0</v>
      </c>
      <c r="T188" s="18">
        <f t="shared" si="375"/>
        <v>0</v>
      </c>
      <c r="U188" s="18">
        <f t="shared" si="4"/>
        <v>0</v>
      </c>
      <c r="V188" s="18">
        <f t="shared" ref="V188:X188" si="376">(O188/I188)*1000000</f>
        <v>70.14590348</v>
      </c>
      <c r="W188" s="18">
        <f t="shared" si="376"/>
        <v>0</v>
      </c>
      <c r="X188" s="18">
        <f t="shared" si="376"/>
        <v>0</v>
      </c>
      <c r="Y188" s="18">
        <f t="shared" si="6"/>
        <v>23.38196783</v>
      </c>
    </row>
    <row r="189" ht="14.25" customHeight="1">
      <c r="A189" s="7" t="s">
        <v>264</v>
      </c>
      <c r="B189" s="7" t="s">
        <v>288</v>
      </c>
      <c r="C189" s="7" t="s">
        <v>300</v>
      </c>
      <c r="D189" s="7" t="s">
        <v>300</v>
      </c>
      <c r="E189" s="8">
        <v>40902.0</v>
      </c>
      <c r="F189" s="8">
        <v>877.0</v>
      </c>
      <c r="G189" s="8">
        <v>903.0</v>
      </c>
      <c r="H189" s="8">
        <v>945.0</v>
      </c>
      <c r="I189" s="8">
        <v>1322.0</v>
      </c>
      <c r="J189" s="8">
        <v>1364.0</v>
      </c>
      <c r="K189" s="8">
        <v>1406.0</v>
      </c>
      <c r="L189" s="8">
        <v>0.0</v>
      </c>
      <c r="M189" s="8">
        <v>0.0</v>
      </c>
      <c r="N189" s="8">
        <v>0.0</v>
      </c>
      <c r="O189" s="8">
        <v>0.0</v>
      </c>
      <c r="P189" s="8">
        <v>0.0</v>
      </c>
      <c r="Q189" s="8">
        <v>0.0</v>
      </c>
      <c r="R189" s="18">
        <f t="shared" ref="R189:T189" si="377">(L189/F189)*1000000</f>
        <v>0</v>
      </c>
      <c r="S189" s="18">
        <f t="shared" si="377"/>
        <v>0</v>
      </c>
      <c r="T189" s="18">
        <f t="shared" si="377"/>
        <v>0</v>
      </c>
      <c r="U189" s="18">
        <f t="shared" si="4"/>
        <v>0</v>
      </c>
      <c r="V189" s="18">
        <f t="shared" ref="V189:X189" si="378">(O189/I189)*1000000</f>
        <v>0</v>
      </c>
      <c r="W189" s="18">
        <f t="shared" si="378"/>
        <v>0</v>
      </c>
      <c r="X189" s="18">
        <f t="shared" si="378"/>
        <v>0</v>
      </c>
      <c r="Y189" s="18">
        <f t="shared" si="6"/>
        <v>0</v>
      </c>
    </row>
    <row r="190" ht="14.25" customHeight="1">
      <c r="A190" s="7" t="s">
        <v>264</v>
      </c>
      <c r="B190" s="7" t="s">
        <v>288</v>
      </c>
      <c r="C190" s="7" t="s">
        <v>302</v>
      </c>
      <c r="D190" s="7" t="s">
        <v>302</v>
      </c>
      <c r="E190" s="8">
        <v>40903.0</v>
      </c>
      <c r="F190" s="8">
        <v>1986.0</v>
      </c>
      <c r="G190" s="8">
        <v>2003.0</v>
      </c>
      <c r="H190" s="8">
        <v>2032.0</v>
      </c>
      <c r="I190" s="8">
        <v>2296.0</v>
      </c>
      <c r="J190" s="8">
        <v>2326.0</v>
      </c>
      <c r="K190" s="8">
        <v>2355.0</v>
      </c>
      <c r="L190" s="8">
        <v>0.0</v>
      </c>
      <c r="M190" s="8">
        <v>0.0</v>
      </c>
      <c r="N190" s="8">
        <v>0.0</v>
      </c>
      <c r="O190" s="8">
        <v>0.0</v>
      </c>
      <c r="P190" s="8">
        <v>0.0</v>
      </c>
      <c r="Q190" s="8">
        <v>0.0</v>
      </c>
      <c r="R190" s="18">
        <f t="shared" ref="R190:T190" si="379">(L190/F190)*1000000</f>
        <v>0</v>
      </c>
      <c r="S190" s="18">
        <f t="shared" si="379"/>
        <v>0</v>
      </c>
      <c r="T190" s="18">
        <f t="shared" si="379"/>
        <v>0</v>
      </c>
      <c r="U190" s="18">
        <f t="shared" si="4"/>
        <v>0</v>
      </c>
      <c r="V190" s="18">
        <f t="shared" ref="V190:X190" si="380">(O190/I190)*1000000</f>
        <v>0</v>
      </c>
      <c r="W190" s="18">
        <f t="shared" si="380"/>
        <v>0</v>
      </c>
      <c r="X190" s="18">
        <f t="shared" si="380"/>
        <v>0</v>
      </c>
      <c r="Y190" s="18">
        <f t="shared" si="6"/>
        <v>0</v>
      </c>
    </row>
    <row r="191" ht="14.25" customHeight="1">
      <c r="A191" s="7" t="s">
        <v>264</v>
      </c>
      <c r="B191" s="7" t="s">
        <v>304</v>
      </c>
      <c r="C191" s="7" t="s">
        <v>305</v>
      </c>
      <c r="D191" s="7" t="s">
        <v>305</v>
      </c>
      <c r="E191" s="8">
        <v>41001.0</v>
      </c>
      <c r="F191" s="8">
        <v>9932.0</v>
      </c>
      <c r="G191" s="8">
        <v>10149.0</v>
      </c>
      <c r="H191" s="8">
        <v>10320.0</v>
      </c>
      <c r="I191" s="8">
        <v>11860.0</v>
      </c>
      <c r="J191" s="8">
        <v>12031.0</v>
      </c>
      <c r="K191" s="8">
        <v>12202.0</v>
      </c>
      <c r="L191" s="8">
        <v>0.0</v>
      </c>
      <c r="M191" s="8">
        <v>0.0</v>
      </c>
      <c r="N191" s="8">
        <v>0.0</v>
      </c>
      <c r="O191" s="8">
        <v>0.0</v>
      </c>
      <c r="P191" s="8">
        <v>0.0</v>
      </c>
      <c r="Q191" s="8">
        <v>0.0</v>
      </c>
      <c r="R191" s="18">
        <f t="shared" ref="R191:T191" si="381">(L191/F191)*1000000</f>
        <v>0</v>
      </c>
      <c r="S191" s="18">
        <f t="shared" si="381"/>
        <v>0</v>
      </c>
      <c r="T191" s="18">
        <f t="shared" si="381"/>
        <v>0</v>
      </c>
      <c r="U191" s="18">
        <f t="shared" si="4"/>
        <v>0</v>
      </c>
      <c r="V191" s="18">
        <f t="shared" ref="V191:X191" si="382">(O191/I191)*1000000</f>
        <v>0</v>
      </c>
      <c r="W191" s="18">
        <f t="shared" si="382"/>
        <v>0</v>
      </c>
      <c r="X191" s="18">
        <f t="shared" si="382"/>
        <v>0</v>
      </c>
      <c r="Y191" s="18">
        <f t="shared" si="6"/>
        <v>0</v>
      </c>
    </row>
    <row r="192" ht="14.25" customHeight="1">
      <c r="A192" s="7" t="s">
        <v>264</v>
      </c>
      <c r="B192" s="7" t="s">
        <v>307</v>
      </c>
      <c r="C192" s="7" t="s">
        <v>273</v>
      </c>
      <c r="D192" s="7" t="s">
        <v>273</v>
      </c>
      <c r="E192" s="8">
        <v>41101.0</v>
      </c>
      <c r="F192" s="8">
        <v>5281.0</v>
      </c>
      <c r="G192" s="8">
        <v>5267.0</v>
      </c>
      <c r="H192" s="8">
        <v>5273.0</v>
      </c>
      <c r="I192" s="8">
        <v>5324.0</v>
      </c>
      <c r="J192" s="8">
        <v>5329.0</v>
      </c>
      <c r="K192" s="8">
        <v>5335.0</v>
      </c>
      <c r="L192" s="8">
        <v>0.0</v>
      </c>
      <c r="M192" s="8">
        <v>0.0</v>
      </c>
      <c r="N192" s="8">
        <v>0.0</v>
      </c>
      <c r="O192" s="8">
        <v>0.0</v>
      </c>
      <c r="P192" s="8">
        <v>0.0</v>
      </c>
      <c r="Q192" s="8">
        <v>0.0</v>
      </c>
      <c r="R192" s="18">
        <f t="shared" ref="R192:T192" si="383">(L192/F192)*1000000</f>
        <v>0</v>
      </c>
      <c r="S192" s="18">
        <f t="shared" si="383"/>
        <v>0</v>
      </c>
      <c r="T192" s="18">
        <f t="shared" si="383"/>
        <v>0</v>
      </c>
      <c r="U192" s="18">
        <f t="shared" si="4"/>
        <v>0</v>
      </c>
      <c r="V192" s="18">
        <f t="shared" ref="V192:X192" si="384">(O192/I192)*1000000</f>
        <v>0</v>
      </c>
      <c r="W192" s="18">
        <f t="shared" si="384"/>
        <v>0</v>
      </c>
      <c r="X192" s="18">
        <f t="shared" si="384"/>
        <v>0</v>
      </c>
      <c r="Y192" s="18">
        <f t="shared" si="6"/>
        <v>0</v>
      </c>
    </row>
    <row r="193" ht="14.25" customHeight="1">
      <c r="A193" s="7" t="s">
        <v>264</v>
      </c>
      <c r="B193" s="7" t="s">
        <v>309</v>
      </c>
      <c r="C193" s="7" t="s">
        <v>310</v>
      </c>
      <c r="D193" s="7" t="s">
        <v>564</v>
      </c>
      <c r="E193" s="8">
        <v>41201.0</v>
      </c>
      <c r="F193" s="8">
        <v>5159.0</v>
      </c>
      <c r="G193" s="8">
        <v>5216.0</v>
      </c>
      <c r="H193" s="8">
        <v>5307.0</v>
      </c>
      <c r="I193" s="8">
        <v>6129.0</v>
      </c>
      <c r="J193" s="8">
        <v>6220.0</v>
      </c>
      <c r="K193" s="8">
        <v>6311.0</v>
      </c>
      <c r="L193" s="8">
        <v>1.0</v>
      </c>
      <c r="M193" s="8">
        <v>2.0</v>
      </c>
      <c r="N193" s="8">
        <v>5.0</v>
      </c>
      <c r="O193" s="8">
        <v>0.0</v>
      </c>
      <c r="P193" s="8">
        <v>0.0</v>
      </c>
      <c r="Q193" s="8">
        <v>0.0</v>
      </c>
      <c r="R193" s="18">
        <f t="shared" ref="R193:T193" si="385">(L193/F193)*1000000</f>
        <v>193.8360147</v>
      </c>
      <c r="S193" s="18">
        <f t="shared" si="385"/>
        <v>383.4355828</v>
      </c>
      <c r="T193" s="18">
        <f t="shared" si="385"/>
        <v>942.1518749</v>
      </c>
      <c r="U193" s="18">
        <f t="shared" si="4"/>
        <v>506.4744908</v>
      </c>
      <c r="V193" s="18">
        <f t="shared" ref="V193:X193" si="386">(O193/I193)*1000000</f>
        <v>0</v>
      </c>
      <c r="W193" s="18">
        <f t="shared" si="386"/>
        <v>0</v>
      </c>
      <c r="X193" s="18">
        <f t="shared" si="386"/>
        <v>0</v>
      </c>
      <c r="Y193" s="18">
        <f t="shared" si="6"/>
        <v>0</v>
      </c>
    </row>
    <row r="194" ht="14.25" customHeight="1">
      <c r="A194" s="7" t="s">
        <v>264</v>
      </c>
      <c r="B194" s="7" t="s">
        <v>309</v>
      </c>
      <c r="C194" s="7" t="s">
        <v>312</v>
      </c>
      <c r="D194" s="7" t="s">
        <v>312</v>
      </c>
      <c r="E194" s="8">
        <v>41202.0</v>
      </c>
      <c r="F194" s="8">
        <v>1973.0</v>
      </c>
      <c r="G194" s="8">
        <v>2016.0</v>
      </c>
      <c r="H194" s="8">
        <v>2103.0</v>
      </c>
      <c r="I194" s="8">
        <v>2887.0</v>
      </c>
      <c r="J194" s="8">
        <v>2974.0</v>
      </c>
      <c r="K194" s="8">
        <v>3061.0</v>
      </c>
      <c r="L194" s="8">
        <v>0.0</v>
      </c>
      <c r="M194" s="8">
        <v>0.0</v>
      </c>
      <c r="N194" s="8">
        <v>0.0</v>
      </c>
      <c r="O194" s="8">
        <v>0.0</v>
      </c>
      <c r="P194" s="8">
        <v>0.0</v>
      </c>
      <c r="Q194" s="8">
        <v>0.0</v>
      </c>
      <c r="R194" s="18">
        <f t="shared" ref="R194:T194" si="387">(L194/F194)*1000000</f>
        <v>0</v>
      </c>
      <c r="S194" s="18">
        <f t="shared" si="387"/>
        <v>0</v>
      </c>
      <c r="T194" s="18">
        <f t="shared" si="387"/>
        <v>0</v>
      </c>
      <c r="U194" s="18">
        <f t="shared" si="4"/>
        <v>0</v>
      </c>
      <c r="V194" s="18">
        <f t="shared" ref="V194:X194" si="388">(O194/I194)*1000000</f>
        <v>0</v>
      </c>
      <c r="W194" s="18">
        <f t="shared" si="388"/>
        <v>0</v>
      </c>
      <c r="X194" s="18">
        <f t="shared" si="388"/>
        <v>0</v>
      </c>
      <c r="Y194" s="18">
        <f t="shared" si="6"/>
        <v>0</v>
      </c>
    </row>
    <row r="195" ht="14.25" customHeight="1">
      <c r="A195" s="7" t="s">
        <v>264</v>
      </c>
      <c r="B195" s="7" t="s">
        <v>314</v>
      </c>
      <c r="C195" s="7" t="s">
        <v>189</v>
      </c>
      <c r="D195" s="7" t="s">
        <v>189</v>
      </c>
      <c r="E195" s="8">
        <v>41301.0</v>
      </c>
      <c r="F195" s="8">
        <v>5477.0</v>
      </c>
      <c r="G195" s="8">
        <v>5531.0</v>
      </c>
      <c r="H195" s="8">
        <v>5623.0</v>
      </c>
      <c r="I195" s="8">
        <v>6453.0</v>
      </c>
      <c r="J195" s="8">
        <v>6545.0</v>
      </c>
      <c r="K195" s="8">
        <v>6637.0</v>
      </c>
      <c r="L195" s="8">
        <v>0.0</v>
      </c>
      <c r="M195" s="8">
        <v>0.0</v>
      </c>
      <c r="N195" s="8">
        <v>0.0</v>
      </c>
      <c r="O195" s="8">
        <v>0.0</v>
      </c>
      <c r="P195" s="8">
        <v>0.0</v>
      </c>
      <c r="Q195" s="8">
        <v>0.0</v>
      </c>
      <c r="R195" s="18">
        <f t="shared" ref="R195:T195" si="389">(L195/F195)*1000000</f>
        <v>0</v>
      </c>
      <c r="S195" s="18">
        <f t="shared" si="389"/>
        <v>0</v>
      </c>
      <c r="T195" s="18">
        <f t="shared" si="389"/>
        <v>0</v>
      </c>
      <c r="U195" s="18">
        <f t="shared" si="4"/>
        <v>0</v>
      </c>
      <c r="V195" s="18">
        <f t="shared" ref="V195:X195" si="390">(O195/I195)*1000000</f>
        <v>0</v>
      </c>
      <c r="W195" s="18">
        <f t="shared" si="390"/>
        <v>0</v>
      </c>
      <c r="X195" s="18">
        <f t="shared" si="390"/>
        <v>0</v>
      </c>
      <c r="Y195" s="18">
        <f t="shared" si="6"/>
        <v>0</v>
      </c>
    </row>
    <row r="196" ht="14.25" customHeight="1">
      <c r="A196" s="7" t="s">
        <v>264</v>
      </c>
      <c r="B196" s="7" t="s">
        <v>316</v>
      </c>
      <c r="C196" s="7" t="s">
        <v>290</v>
      </c>
      <c r="D196" s="7" t="s">
        <v>290</v>
      </c>
      <c r="E196" s="8">
        <v>41401.0</v>
      </c>
      <c r="F196" s="8">
        <v>13005.0</v>
      </c>
      <c r="G196" s="8">
        <v>13283.0</v>
      </c>
      <c r="H196" s="8">
        <v>13301.0</v>
      </c>
      <c r="I196" s="8">
        <v>13466.0</v>
      </c>
      <c r="J196" s="8">
        <v>13484.0</v>
      </c>
      <c r="K196" s="8">
        <v>13502.0</v>
      </c>
      <c r="L196" s="8">
        <v>1.0</v>
      </c>
      <c r="M196" s="8">
        <v>0.0</v>
      </c>
      <c r="N196" s="8">
        <v>0.0</v>
      </c>
      <c r="O196" s="8">
        <v>0.0</v>
      </c>
      <c r="P196" s="8">
        <v>0.0</v>
      </c>
      <c r="Q196" s="8">
        <v>0.0</v>
      </c>
      <c r="R196" s="18">
        <f t="shared" ref="R196:T196" si="391">(L196/F196)*1000000</f>
        <v>76.8935025</v>
      </c>
      <c r="S196" s="18">
        <f t="shared" si="391"/>
        <v>0</v>
      </c>
      <c r="T196" s="18">
        <f t="shared" si="391"/>
        <v>0</v>
      </c>
      <c r="U196" s="18">
        <f t="shared" si="4"/>
        <v>25.6311675</v>
      </c>
      <c r="V196" s="18">
        <f t="shared" ref="V196:X196" si="392">(O196/I196)*1000000</f>
        <v>0</v>
      </c>
      <c r="W196" s="18">
        <f t="shared" si="392"/>
        <v>0</v>
      </c>
      <c r="X196" s="18">
        <f t="shared" si="392"/>
        <v>0</v>
      </c>
      <c r="Y196" s="18">
        <f t="shared" si="6"/>
        <v>0</v>
      </c>
    </row>
    <row r="197" ht="14.25" customHeight="1">
      <c r="A197" s="7" t="s">
        <v>264</v>
      </c>
      <c r="B197" s="7" t="s">
        <v>318</v>
      </c>
      <c r="C197" s="7" t="s">
        <v>279</v>
      </c>
      <c r="D197" s="7" t="s">
        <v>279</v>
      </c>
      <c r="E197" s="8">
        <v>41501.0</v>
      </c>
      <c r="F197" s="8">
        <v>498.0</v>
      </c>
      <c r="G197" s="8">
        <v>509.0</v>
      </c>
      <c r="H197" s="8">
        <v>572.0</v>
      </c>
      <c r="I197" s="8">
        <v>1137.0</v>
      </c>
      <c r="J197" s="8">
        <v>1199.0</v>
      </c>
      <c r="K197" s="8">
        <v>1262.0</v>
      </c>
      <c r="L197" s="8">
        <v>0.0</v>
      </c>
      <c r="M197" s="8">
        <v>0.0</v>
      </c>
      <c r="N197" s="8">
        <v>0.0</v>
      </c>
      <c r="O197" s="8">
        <v>2.0</v>
      </c>
      <c r="P197" s="8">
        <v>1.0</v>
      </c>
      <c r="Q197" s="8">
        <v>0.0</v>
      </c>
      <c r="R197" s="18">
        <f t="shared" ref="R197:T197" si="393">(L197/F197)*1000000</f>
        <v>0</v>
      </c>
      <c r="S197" s="18">
        <f t="shared" si="393"/>
        <v>0</v>
      </c>
      <c r="T197" s="18">
        <f t="shared" si="393"/>
        <v>0</v>
      </c>
      <c r="U197" s="18">
        <f t="shared" si="4"/>
        <v>0</v>
      </c>
      <c r="V197" s="18">
        <f t="shared" ref="V197:X197" si="394">(O197/I197)*1000000</f>
        <v>1759.014952</v>
      </c>
      <c r="W197" s="18">
        <f t="shared" si="394"/>
        <v>834.028357</v>
      </c>
      <c r="X197" s="18">
        <f t="shared" si="394"/>
        <v>0</v>
      </c>
      <c r="Y197" s="18">
        <f t="shared" si="6"/>
        <v>864.3477695</v>
      </c>
    </row>
    <row r="198" ht="14.25" customHeight="1">
      <c r="A198" s="7" t="s">
        <v>264</v>
      </c>
      <c r="B198" s="7" t="s">
        <v>318</v>
      </c>
      <c r="C198" s="7" t="s">
        <v>320</v>
      </c>
      <c r="D198" s="7" t="s">
        <v>320</v>
      </c>
      <c r="E198" s="8">
        <v>41502.0</v>
      </c>
      <c r="F198" s="8">
        <v>696.0</v>
      </c>
      <c r="G198" s="8">
        <v>727.0</v>
      </c>
      <c r="H198" s="8">
        <v>761.0</v>
      </c>
      <c r="I198" s="8">
        <v>1071.0</v>
      </c>
      <c r="J198" s="8">
        <v>1106.0</v>
      </c>
      <c r="K198" s="8">
        <v>1140.0</v>
      </c>
      <c r="L198" s="8">
        <v>0.0</v>
      </c>
      <c r="M198" s="8">
        <v>0.0</v>
      </c>
      <c r="N198" s="8">
        <v>0.0</v>
      </c>
      <c r="O198" s="8">
        <v>0.0</v>
      </c>
      <c r="P198" s="8">
        <v>0.0</v>
      </c>
      <c r="Q198" s="8">
        <v>0.0</v>
      </c>
      <c r="R198" s="18">
        <f t="shared" ref="R198:T198" si="395">(L198/F198)*1000000</f>
        <v>0</v>
      </c>
      <c r="S198" s="18">
        <f t="shared" si="395"/>
        <v>0</v>
      </c>
      <c r="T198" s="18">
        <f t="shared" si="395"/>
        <v>0</v>
      </c>
      <c r="U198" s="18">
        <f t="shared" si="4"/>
        <v>0</v>
      </c>
      <c r="V198" s="18">
        <f t="shared" ref="V198:X198" si="396">(O198/I198)*1000000</f>
        <v>0</v>
      </c>
      <c r="W198" s="18">
        <f t="shared" si="396"/>
        <v>0</v>
      </c>
      <c r="X198" s="18">
        <f t="shared" si="396"/>
        <v>0</v>
      </c>
      <c r="Y198" s="18">
        <f t="shared" si="6"/>
        <v>0</v>
      </c>
    </row>
    <row r="199" ht="14.25" customHeight="1">
      <c r="A199" s="7" t="s">
        <v>264</v>
      </c>
      <c r="B199" s="7" t="s">
        <v>318</v>
      </c>
      <c r="C199" s="7" t="s">
        <v>274</v>
      </c>
      <c r="D199" s="7" t="s">
        <v>274</v>
      </c>
      <c r="E199" s="8">
        <v>41503.0</v>
      </c>
      <c r="F199" s="8">
        <v>796.0</v>
      </c>
      <c r="G199" s="8">
        <v>840.0</v>
      </c>
      <c r="H199" s="8">
        <v>864.0</v>
      </c>
      <c r="I199" s="8">
        <v>1081.0</v>
      </c>
      <c r="J199" s="8">
        <v>1105.0</v>
      </c>
      <c r="K199" s="8">
        <v>1129.0</v>
      </c>
      <c r="L199" s="8">
        <v>0.0</v>
      </c>
      <c r="M199" s="8">
        <v>0.0</v>
      </c>
      <c r="N199" s="8">
        <v>0.0</v>
      </c>
      <c r="O199" s="8">
        <v>0.0</v>
      </c>
      <c r="P199" s="8">
        <v>0.0</v>
      </c>
      <c r="Q199" s="8">
        <v>0.0</v>
      </c>
      <c r="R199" s="18">
        <f t="shared" ref="R199:T199" si="397">(L199/F199)*1000000</f>
        <v>0</v>
      </c>
      <c r="S199" s="18">
        <f t="shared" si="397"/>
        <v>0</v>
      </c>
      <c r="T199" s="18">
        <f t="shared" si="397"/>
        <v>0</v>
      </c>
      <c r="U199" s="18">
        <f t="shared" si="4"/>
        <v>0</v>
      </c>
      <c r="V199" s="18">
        <f t="shared" ref="V199:X199" si="398">(O199/I199)*1000000</f>
        <v>0</v>
      </c>
      <c r="W199" s="18">
        <f t="shared" si="398"/>
        <v>0</v>
      </c>
      <c r="X199" s="18">
        <f t="shared" si="398"/>
        <v>0</v>
      </c>
      <c r="Y199" s="18">
        <f t="shared" si="6"/>
        <v>0</v>
      </c>
    </row>
    <row r="200" ht="14.25" customHeight="1">
      <c r="A200" s="7" t="s">
        <v>264</v>
      </c>
      <c r="B200" s="7" t="s">
        <v>323</v>
      </c>
      <c r="C200" s="7" t="s">
        <v>324</v>
      </c>
      <c r="D200" s="7" t="s">
        <v>565</v>
      </c>
      <c r="E200" s="8">
        <v>41601.0</v>
      </c>
      <c r="F200" s="8">
        <v>5528.0</v>
      </c>
      <c r="G200" s="8">
        <v>5502.0</v>
      </c>
      <c r="H200" s="8">
        <v>5543.0</v>
      </c>
      <c r="I200" s="8">
        <v>5914.0</v>
      </c>
      <c r="J200" s="8">
        <v>5955.0</v>
      </c>
      <c r="K200" s="8">
        <v>5996.0</v>
      </c>
      <c r="L200" s="8">
        <v>0.0</v>
      </c>
      <c r="M200" s="8">
        <v>0.0</v>
      </c>
      <c r="N200" s="8">
        <v>0.0</v>
      </c>
      <c r="O200" s="8">
        <v>0.0</v>
      </c>
      <c r="P200" s="8">
        <v>0.0</v>
      </c>
      <c r="Q200" s="8">
        <v>0.0</v>
      </c>
      <c r="R200" s="18">
        <f t="shared" ref="R200:T200" si="399">(L200/F200)*1000000</f>
        <v>0</v>
      </c>
      <c r="S200" s="18">
        <f t="shared" si="399"/>
        <v>0</v>
      </c>
      <c r="T200" s="18">
        <f t="shared" si="399"/>
        <v>0</v>
      </c>
      <c r="U200" s="18">
        <f t="shared" si="4"/>
        <v>0</v>
      </c>
      <c r="V200" s="18">
        <f t="shared" ref="V200:X200" si="400">(O200/I200)*1000000</f>
        <v>0</v>
      </c>
      <c r="W200" s="18">
        <f t="shared" si="400"/>
        <v>0</v>
      </c>
      <c r="X200" s="18">
        <f t="shared" si="400"/>
        <v>0</v>
      </c>
      <c r="Y200" s="18">
        <f t="shared" si="6"/>
        <v>0</v>
      </c>
    </row>
    <row r="201" ht="14.25" customHeight="1">
      <c r="A201" s="7" t="s">
        <v>326</v>
      </c>
      <c r="B201" s="7" t="s">
        <v>327</v>
      </c>
      <c r="C201" s="7" t="s">
        <v>326</v>
      </c>
      <c r="D201" s="7" t="s">
        <v>326</v>
      </c>
      <c r="E201" s="8">
        <v>50101.0</v>
      </c>
      <c r="F201" s="8">
        <v>187098.0</v>
      </c>
      <c r="G201" s="8">
        <v>191302.0</v>
      </c>
      <c r="H201" s="8">
        <v>193585.0</v>
      </c>
      <c r="I201" s="8">
        <v>214135.0</v>
      </c>
      <c r="J201" s="8">
        <v>216419.0</v>
      </c>
      <c r="K201" s="8">
        <v>218702.0</v>
      </c>
      <c r="L201" s="8">
        <v>7.0</v>
      </c>
      <c r="M201" s="8">
        <v>6.0</v>
      </c>
      <c r="N201" s="8">
        <v>12.0</v>
      </c>
      <c r="O201" s="8">
        <v>66.0</v>
      </c>
      <c r="P201" s="8">
        <v>101.0</v>
      </c>
      <c r="Q201" s="8">
        <v>73.0</v>
      </c>
      <c r="R201" s="18">
        <f t="shared" ref="R201:T201" si="401">(L201/F201)*1000000</f>
        <v>37.41354798</v>
      </c>
      <c r="S201" s="18">
        <f t="shared" si="401"/>
        <v>31.36402129</v>
      </c>
      <c r="T201" s="18">
        <f t="shared" si="401"/>
        <v>61.98827388</v>
      </c>
      <c r="U201" s="18">
        <f t="shared" si="4"/>
        <v>43.58861438</v>
      </c>
      <c r="V201" s="18">
        <f t="shared" ref="V201:X201" si="402">(O201/I201)*1000000</f>
        <v>308.2167791</v>
      </c>
      <c r="W201" s="18">
        <f t="shared" si="402"/>
        <v>466.6873056</v>
      </c>
      <c r="X201" s="18">
        <f t="shared" si="402"/>
        <v>333.7875282</v>
      </c>
      <c r="Y201" s="18">
        <f t="shared" si="6"/>
        <v>369.563871</v>
      </c>
    </row>
    <row r="202" ht="14.25" customHeight="1">
      <c r="A202" s="7" t="s">
        <v>326</v>
      </c>
      <c r="B202" s="7" t="s">
        <v>327</v>
      </c>
      <c r="C202" s="7" t="s">
        <v>329</v>
      </c>
      <c r="D202" s="7" t="s">
        <v>329</v>
      </c>
      <c r="E202" s="8">
        <v>50102.0</v>
      </c>
      <c r="F202" s="8">
        <v>26709.0</v>
      </c>
      <c r="G202" s="8">
        <v>27200.0</v>
      </c>
      <c r="H202" s="8">
        <v>27345.0</v>
      </c>
      <c r="I202" s="8">
        <v>28652.0</v>
      </c>
      <c r="J202" s="8">
        <v>28797.0</v>
      </c>
      <c r="K202" s="8">
        <v>28942.0</v>
      </c>
      <c r="L202" s="8">
        <v>0.0</v>
      </c>
      <c r="M202" s="8">
        <v>0.0</v>
      </c>
      <c r="N202" s="8">
        <v>0.0</v>
      </c>
      <c r="O202" s="8">
        <v>2.0</v>
      </c>
      <c r="P202" s="8">
        <v>3.0</v>
      </c>
      <c r="Q202" s="8">
        <v>2.0</v>
      </c>
      <c r="R202" s="18">
        <f t="shared" ref="R202:T202" si="403">(L202/F202)*1000000</f>
        <v>0</v>
      </c>
      <c r="S202" s="18">
        <f t="shared" si="403"/>
        <v>0</v>
      </c>
      <c r="T202" s="18">
        <f t="shared" si="403"/>
        <v>0</v>
      </c>
      <c r="U202" s="18">
        <f t="shared" si="4"/>
        <v>0</v>
      </c>
      <c r="V202" s="18">
        <f t="shared" ref="V202:X202" si="404">(O202/I202)*1000000</f>
        <v>69.8031551</v>
      </c>
      <c r="W202" s="18">
        <f t="shared" si="404"/>
        <v>104.1775185</v>
      </c>
      <c r="X202" s="18">
        <f t="shared" si="404"/>
        <v>69.10372469</v>
      </c>
      <c r="Y202" s="18">
        <f t="shared" si="6"/>
        <v>81.02813276</v>
      </c>
    </row>
    <row r="203" ht="14.25" customHeight="1">
      <c r="A203" s="7" t="s">
        <v>326</v>
      </c>
      <c r="B203" s="7" t="s">
        <v>327</v>
      </c>
      <c r="C203" s="7" t="s">
        <v>331</v>
      </c>
      <c r="D203" s="7" t="s">
        <v>566</v>
      </c>
      <c r="E203" s="8">
        <v>50103.0</v>
      </c>
      <c r="F203" s="8">
        <v>8894.0</v>
      </c>
      <c r="G203" s="8">
        <v>8979.0</v>
      </c>
      <c r="H203" s="8">
        <v>9252.0</v>
      </c>
      <c r="I203" s="8">
        <v>11707.0</v>
      </c>
      <c r="J203" s="8">
        <v>11980.0</v>
      </c>
      <c r="K203" s="8">
        <v>12253.0</v>
      </c>
      <c r="L203" s="8">
        <v>0.0</v>
      </c>
      <c r="M203" s="8">
        <v>0.0</v>
      </c>
      <c r="N203" s="8">
        <v>0.0</v>
      </c>
      <c r="O203" s="8">
        <v>0.0</v>
      </c>
      <c r="P203" s="8">
        <v>0.0</v>
      </c>
      <c r="Q203" s="8">
        <v>1.0</v>
      </c>
      <c r="R203" s="18">
        <f t="shared" ref="R203:T203" si="405">(L203/F203)*1000000</f>
        <v>0</v>
      </c>
      <c r="S203" s="18">
        <f t="shared" si="405"/>
        <v>0</v>
      </c>
      <c r="T203" s="18">
        <f t="shared" si="405"/>
        <v>0</v>
      </c>
      <c r="U203" s="18">
        <f t="shared" si="4"/>
        <v>0</v>
      </c>
      <c r="V203" s="18">
        <f t="shared" ref="V203:X203" si="406">(O203/I203)*1000000</f>
        <v>0</v>
      </c>
      <c r="W203" s="18">
        <f t="shared" si="406"/>
        <v>0</v>
      </c>
      <c r="X203" s="18">
        <f t="shared" si="406"/>
        <v>81.61266629</v>
      </c>
      <c r="Y203" s="18">
        <f t="shared" si="6"/>
        <v>27.2042221</v>
      </c>
    </row>
    <row r="204" ht="14.25" customHeight="1">
      <c r="A204" s="7" t="s">
        <v>326</v>
      </c>
      <c r="B204" s="7" t="s">
        <v>327</v>
      </c>
      <c r="C204" s="7" t="s">
        <v>333</v>
      </c>
      <c r="D204" s="7" t="s">
        <v>567</v>
      </c>
      <c r="E204" s="8">
        <v>50104.0</v>
      </c>
      <c r="F204" s="8">
        <v>2692.0</v>
      </c>
      <c r="G204" s="8">
        <v>2759.0</v>
      </c>
      <c r="H204" s="8">
        <v>2789.0</v>
      </c>
      <c r="I204" s="8">
        <v>3061.0</v>
      </c>
      <c r="J204" s="8">
        <v>3091.0</v>
      </c>
      <c r="K204" s="8">
        <v>3121.0</v>
      </c>
      <c r="L204" s="8">
        <v>0.0</v>
      </c>
      <c r="M204" s="8">
        <v>0.0</v>
      </c>
      <c r="N204" s="8">
        <v>0.0</v>
      </c>
      <c r="O204" s="8">
        <v>0.0</v>
      </c>
      <c r="P204" s="8">
        <v>0.0</v>
      </c>
      <c r="Q204" s="8">
        <v>0.0</v>
      </c>
      <c r="R204" s="18">
        <f t="shared" ref="R204:T204" si="407">(L204/F204)*1000000</f>
        <v>0</v>
      </c>
      <c r="S204" s="18">
        <f t="shared" si="407"/>
        <v>0</v>
      </c>
      <c r="T204" s="18">
        <f t="shared" si="407"/>
        <v>0</v>
      </c>
      <c r="U204" s="18">
        <f t="shared" si="4"/>
        <v>0</v>
      </c>
      <c r="V204" s="18">
        <f t="shared" ref="V204:X204" si="408">(O204/I204)*1000000</f>
        <v>0</v>
      </c>
      <c r="W204" s="18">
        <f t="shared" si="408"/>
        <v>0</v>
      </c>
      <c r="X204" s="18">
        <f t="shared" si="408"/>
        <v>0</v>
      </c>
      <c r="Y204" s="18">
        <f t="shared" si="6"/>
        <v>0</v>
      </c>
    </row>
    <row r="205" ht="14.25" customHeight="1">
      <c r="A205" s="7" t="s">
        <v>326</v>
      </c>
      <c r="B205" s="7" t="s">
        <v>335</v>
      </c>
      <c r="C205" s="7" t="s">
        <v>336</v>
      </c>
      <c r="D205" s="7" t="s">
        <v>336</v>
      </c>
      <c r="E205" s="8">
        <v>50201.0</v>
      </c>
      <c r="F205" s="8">
        <v>21719.0</v>
      </c>
      <c r="G205" s="8">
        <v>22020.0</v>
      </c>
      <c r="H205" s="8">
        <v>22082.0</v>
      </c>
      <c r="I205" s="8">
        <v>22643.0</v>
      </c>
      <c r="J205" s="8">
        <v>22706.0</v>
      </c>
      <c r="K205" s="8">
        <v>22768.0</v>
      </c>
      <c r="L205" s="8">
        <v>0.0</v>
      </c>
      <c r="M205" s="8">
        <v>1.0</v>
      </c>
      <c r="N205" s="8">
        <v>0.0</v>
      </c>
      <c r="O205" s="8">
        <v>1.0</v>
      </c>
      <c r="P205" s="8">
        <v>4.0</v>
      </c>
      <c r="Q205" s="8">
        <v>6.0</v>
      </c>
      <c r="R205" s="18">
        <f t="shared" ref="R205:T205" si="409">(L205/F205)*1000000</f>
        <v>0</v>
      </c>
      <c r="S205" s="18">
        <f t="shared" si="409"/>
        <v>45.41326067</v>
      </c>
      <c r="T205" s="18">
        <f t="shared" si="409"/>
        <v>0</v>
      </c>
      <c r="U205" s="18">
        <f t="shared" si="4"/>
        <v>15.13775356</v>
      </c>
      <c r="V205" s="18">
        <f t="shared" ref="V205:X205" si="410">(O205/I205)*1000000</f>
        <v>44.16375922</v>
      </c>
      <c r="W205" s="18">
        <f t="shared" si="410"/>
        <v>176.1648903</v>
      </c>
      <c r="X205" s="18">
        <f t="shared" si="410"/>
        <v>263.5277583</v>
      </c>
      <c r="Y205" s="18">
        <f t="shared" si="6"/>
        <v>161.2854693</v>
      </c>
    </row>
    <row r="206" ht="14.25" customHeight="1">
      <c r="A206" s="7" t="s">
        <v>326</v>
      </c>
      <c r="B206" s="7" t="s">
        <v>335</v>
      </c>
      <c r="C206" s="7" t="s">
        <v>334</v>
      </c>
      <c r="D206" s="7" t="s">
        <v>334</v>
      </c>
      <c r="E206" s="8">
        <v>50202.0</v>
      </c>
      <c r="F206" s="8">
        <v>15950.0</v>
      </c>
      <c r="G206" s="8">
        <v>16129.0</v>
      </c>
      <c r="H206" s="8">
        <v>16120.0</v>
      </c>
      <c r="I206" s="8">
        <v>16039.0</v>
      </c>
      <c r="J206" s="8">
        <v>16030.0</v>
      </c>
      <c r="K206" s="8">
        <v>16021.0</v>
      </c>
      <c r="L206" s="8">
        <v>0.0</v>
      </c>
      <c r="M206" s="8">
        <v>0.0</v>
      </c>
      <c r="N206" s="8">
        <v>0.0</v>
      </c>
      <c r="O206" s="8">
        <v>2.0</v>
      </c>
      <c r="P206" s="8">
        <v>2.0</v>
      </c>
      <c r="Q206" s="8">
        <v>1.0</v>
      </c>
      <c r="R206" s="18">
        <f t="shared" ref="R206:T206" si="411">(L206/F206)*1000000</f>
        <v>0</v>
      </c>
      <c r="S206" s="18">
        <f t="shared" si="411"/>
        <v>0</v>
      </c>
      <c r="T206" s="18">
        <f t="shared" si="411"/>
        <v>0</v>
      </c>
      <c r="U206" s="18">
        <f t="shared" si="4"/>
        <v>0</v>
      </c>
      <c r="V206" s="18">
        <f t="shared" ref="V206:X206" si="412">(O206/I206)*1000000</f>
        <v>124.6960534</v>
      </c>
      <c r="W206" s="18">
        <f t="shared" si="412"/>
        <v>124.7660636</v>
      </c>
      <c r="X206" s="18">
        <f t="shared" si="412"/>
        <v>62.41807627</v>
      </c>
      <c r="Y206" s="18">
        <f t="shared" si="6"/>
        <v>103.9600644</v>
      </c>
    </row>
    <row r="207" ht="14.25" customHeight="1">
      <c r="A207" s="7" t="s">
        <v>326</v>
      </c>
      <c r="B207" s="7" t="s">
        <v>335</v>
      </c>
      <c r="C207" s="7" t="s">
        <v>339</v>
      </c>
      <c r="D207" s="7" t="s">
        <v>339</v>
      </c>
      <c r="E207" s="8">
        <v>50203.0</v>
      </c>
      <c r="F207" s="8">
        <v>40723.0</v>
      </c>
      <c r="G207" s="8">
        <v>41104.0</v>
      </c>
      <c r="H207" s="8">
        <v>41153.0</v>
      </c>
      <c r="I207" s="8">
        <v>41589.0</v>
      </c>
      <c r="J207" s="8">
        <v>41638.0</v>
      </c>
      <c r="K207" s="8">
        <v>41686.0</v>
      </c>
      <c r="L207" s="8">
        <v>3.0</v>
      </c>
      <c r="M207" s="8">
        <v>5.0</v>
      </c>
      <c r="N207" s="8">
        <v>2.0</v>
      </c>
      <c r="O207" s="8">
        <v>4.0</v>
      </c>
      <c r="P207" s="8">
        <v>11.0</v>
      </c>
      <c r="Q207" s="8">
        <v>12.0</v>
      </c>
      <c r="R207" s="18">
        <f t="shared" ref="R207:T207" si="413">(L207/F207)*1000000</f>
        <v>73.66844289</v>
      </c>
      <c r="S207" s="18">
        <f t="shared" si="413"/>
        <v>121.6426625</v>
      </c>
      <c r="T207" s="18">
        <f t="shared" si="413"/>
        <v>48.59913008</v>
      </c>
      <c r="U207" s="18">
        <f t="shared" si="4"/>
        <v>81.30341183</v>
      </c>
      <c r="V207" s="18">
        <f t="shared" ref="V207:X207" si="414">(O207/I207)*1000000</f>
        <v>96.17927817</v>
      </c>
      <c r="W207" s="18">
        <f t="shared" si="414"/>
        <v>264.181757</v>
      </c>
      <c r="X207" s="18">
        <f t="shared" si="414"/>
        <v>287.86643</v>
      </c>
      <c r="Y207" s="18">
        <f t="shared" si="6"/>
        <v>216.0758217</v>
      </c>
    </row>
    <row r="208" ht="14.25" customHeight="1">
      <c r="A208" s="7" t="s">
        <v>326</v>
      </c>
      <c r="B208" s="7" t="s">
        <v>335</v>
      </c>
      <c r="C208" s="7" t="s">
        <v>341</v>
      </c>
      <c r="D208" s="7" t="s">
        <v>341</v>
      </c>
      <c r="E208" s="8">
        <v>50204.0</v>
      </c>
      <c r="F208" s="8">
        <v>7879.0</v>
      </c>
      <c r="G208" s="8">
        <v>8019.0</v>
      </c>
      <c r="H208" s="8">
        <v>8036.0</v>
      </c>
      <c r="I208" s="8">
        <v>8187.0</v>
      </c>
      <c r="J208" s="8">
        <v>8203.0</v>
      </c>
      <c r="K208" s="8">
        <v>8220.0</v>
      </c>
      <c r="L208" s="8">
        <v>0.0</v>
      </c>
      <c r="M208" s="8">
        <v>0.0</v>
      </c>
      <c r="N208" s="8">
        <v>0.0</v>
      </c>
      <c r="O208" s="8">
        <v>0.0</v>
      </c>
      <c r="P208" s="8">
        <v>0.0</v>
      </c>
      <c r="Q208" s="8">
        <v>0.0</v>
      </c>
      <c r="R208" s="18">
        <f t="shared" ref="R208:T208" si="415">(L208/F208)*1000000</f>
        <v>0</v>
      </c>
      <c r="S208" s="18">
        <f t="shared" si="415"/>
        <v>0</v>
      </c>
      <c r="T208" s="18">
        <f t="shared" si="415"/>
        <v>0</v>
      </c>
      <c r="U208" s="18">
        <f t="shared" si="4"/>
        <v>0</v>
      </c>
      <c r="V208" s="18">
        <f t="shared" ref="V208:X208" si="416">(O208/I208)*1000000</f>
        <v>0</v>
      </c>
      <c r="W208" s="18">
        <f t="shared" si="416"/>
        <v>0</v>
      </c>
      <c r="X208" s="18">
        <f t="shared" si="416"/>
        <v>0</v>
      </c>
      <c r="Y208" s="18">
        <f t="shared" si="6"/>
        <v>0</v>
      </c>
    </row>
    <row r="209" ht="14.25" customHeight="1">
      <c r="A209" s="7" t="s">
        <v>326</v>
      </c>
      <c r="B209" s="7" t="s">
        <v>342</v>
      </c>
      <c r="C209" s="7" t="s">
        <v>328</v>
      </c>
      <c r="D209" s="7" t="s">
        <v>568</v>
      </c>
      <c r="E209" s="8">
        <v>50301.0</v>
      </c>
      <c r="F209" s="8">
        <v>34139.0</v>
      </c>
      <c r="G209" s="8">
        <v>33922.0</v>
      </c>
      <c r="H209" s="8">
        <v>33754.0</v>
      </c>
      <c r="I209" s="8">
        <v>32240.0</v>
      </c>
      <c r="J209" s="8">
        <v>32072.0</v>
      </c>
      <c r="K209" s="8">
        <v>31904.0</v>
      </c>
      <c r="L209" s="8">
        <v>0.0</v>
      </c>
      <c r="M209" s="8">
        <v>0.0</v>
      </c>
      <c r="N209" s="8">
        <v>0.0</v>
      </c>
      <c r="O209" s="8">
        <v>3.0</v>
      </c>
      <c r="P209" s="8">
        <v>4.0</v>
      </c>
      <c r="Q209" s="8">
        <v>2.0</v>
      </c>
      <c r="R209" s="18">
        <f t="shared" ref="R209:T209" si="417">(L209/F209)*1000000</f>
        <v>0</v>
      </c>
      <c r="S209" s="18">
        <f t="shared" si="417"/>
        <v>0</v>
      </c>
      <c r="T209" s="18">
        <f t="shared" si="417"/>
        <v>0</v>
      </c>
      <c r="U209" s="18">
        <f t="shared" si="4"/>
        <v>0</v>
      </c>
      <c r="V209" s="18">
        <f t="shared" ref="V209:X209" si="418">(O209/I209)*1000000</f>
        <v>93.05210918</v>
      </c>
      <c r="W209" s="18">
        <f t="shared" si="418"/>
        <v>124.7193814</v>
      </c>
      <c r="X209" s="18">
        <f t="shared" si="418"/>
        <v>62.68806419</v>
      </c>
      <c r="Y209" s="18">
        <f t="shared" si="6"/>
        <v>93.48651826</v>
      </c>
    </row>
    <row r="210" ht="14.25" customHeight="1">
      <c r="A210" s="7" t="s">
        <v>326</v>
      </c>
      <c r="B210" s="7" t="s">
        <v>342</v>
      </c>
      <c r="C210" s="7" t="s">
        <v>344</v>
      </c>
      <c r="D210" s="7" t="s">
        <v>344</v>
      </c>
      <c r="E210" s="8">
        <v>50302.0</v>
      </c>
      <c r="F210" s="8">
        <v>9886.0</v>
      </c>
      <c r="G210" s="8">
        <v>9910.0</v>
      </c>
      <c r="H210" s="8">
        <v>9858.0</v>
      </c>
      <c r="I210" s="8">
        <v>9389.0</v>
      </c>
      <c r="J210" s="8">
        <v>9337.0</v>
      </c>
      <c r="K210" s="8">
        <v>9285.0</v>
      </c>
      <c r="L210" s="8">
        <v>0.0</v>
      </c>
      <c r="M210" s="8">
        <v>0.0</v>
      </c>
      <c r="N210" s="8">
        <v>0.0</v>
      </c>
      <c r="O210" s="8">
        <v>0.0</v>
      </c>
      <c r="P210" s="8">
        <v>2.0</v>
      </c>
      <c r="Q210" s="8">
        <v>1.0</v>
      </c>
      <c r="R210" s="18">
        <f t="shared" ref="R210:T210" si="419">(L210/F210)*1000000</f>
        <v>0</v>
      </c>
      <c r="S210" s="18">
        <f t="shared" si="419"/>
        <v>0</v>
      </c>
      <c r="T210" s="18">
        <f t="shared" si="419"/>
        <v>0</v>
      </c>
      <c r="U210" s="18">
        <f t="shared" si="4"/>
        <v>0</v>
      </c>
      <c r="V210" s="18">
        <f t="shared" ref="V210:X210" si="420">(O210/I210)*1000000</f>
        <v>0</v>
      </c>
      <c r="W210" s="18">
        <f t="shared" si="420"/>
        <v>214.2015637</v>
      </c>
      <c r="X210" s="18">
        <f t="shared" si="420"/>
        <v>107.7005924</v>
      </c>
      <c r="Y210" s="18">
        <f t="shared" si="6"/>
        <v>107.3007187</v>
      </c>
    </row>
    <row r="211" ht="14.25" customHeight="1">
      <c r="A211" s="7" t="s">
        <v>326</v>
      </c>
      <c r="B211" s="7" t="s">
        <v>342</v>
      </c>
      <c r="C211" s="7" t="s">
        <v>346</v>
      </c>
      <c r="D211" s="7" t="s">
        <v>346</v>
      </c>
      <c r="E211" s="8">
        <v>50303.0</v>
      </c>
      <c r="F211" s="8">
        <v>11919.0</v>
      </c>
      <c r="G211" s="8">
        <v>11835.0</v>
      </c>
      <c r="H211" s="8">
        <v>12046.0</v>
      </c>
      <c r="I211" s="8">
        <v>13944.0</v>
      </c>
      <c r="J211" s="8">
        <v>14155.0</v>
      </c>
      <c r="K211" s="8">
        <v>14366.0</v>
      </c>
      <c r="L211" s="8">
        <v>1.0</v>
      </c>
      <c r="M211" s="8">
        <v>0.0</v>
      </c>
      <c r="N211" s="8">
        <v>0.0</v>
      </c>
      <c r="O211" s="8">
        <v>2.0</v>
      </c>
      <c r="P211" s="8">
        <v>0.0</v>
      </c>
      <c r="Q211" s="8">
        <v>0.0</v>
      </c>
      <c r="R211" s="18">
        <f t="shared" ref="R211:T211" si="421">(L211/F211)*1000000</f>
        <v>83.89965601</v>
      </c>
      <c r="S211" s="18">
        <f t="shared" si="421"/>
        <v>0</v>
      </c>
      <c r="T211" s="18">
        <f t="shared" si="421"/>
        <v>0</v>
      </c>
      <c r="U211" s="18">
        <f t="shared" si="4"/>
        <v>27.966552</v>
      </c>
      <c r="V211" s="18">
        <f t="shared" ref="V211:X211" si="422">(O211/I211)*1000000</f>
        <v>143.4308663</v>
      </c>
      <c r="W211" s="18">
        <f t="shared" si="422"/>
        <v>0</v>
      </c>
      <c r="X211" s="18">
        <f t="shared" si="422"/>
        <v>0</v>
      </c>
      <c r="Y211" s="18">
        <f t="shared" si="6"/>
        <v>47.81028877</v>
      </c>
    </row>
    <row r="212" ht="14.25" customHeight="1">
      <c r="A212" s="7" t="s">
        <v>326</v>
      </c>
      <c r="B212" s="7" t="s">
        <v>334</v>
      </c>
      <c r="C212" s="7" t="s">
        <v>338</v>
      </c>
      <c r="D212" s="7" t="s">
        <v>338</v>
      </c>
      <c r="E212" s="8">
        <v>50401.0</v>
      </c>
      <c r="F212" s="8">
        <v>15129.0</v>
      </c>
      <c r="G212" s="8">
        <v>15260.0</v>
      </c>
      <c r="H212" s="8">
        <v>15352.0</v>
      </c>
      <c r="I212" s="8">
        <v>16179.0</v>
      </c>
      <c r="J212" s="8">
        <v>16271.0</v>
      </c>
      <c r="K212" s="8">
        <v>16363.0</v>
      </c>
      <c r="L212" s="8">
        <v>0.0</v>
      </c>
      <c r="M212" s="8">
        <v>0.0</v>
      </c>
      <c r="N212" s="8">
        <v>1.0</v>
      </c>
      <c r="O212" s="8">
        <v>3.0</v>
      </c>
      <c r="P212" s="8">
        <v>2.0</v>
      </c>
      <c r="Q212" s="8">
        <v>4.0</v>
      </c>
      <c r="R212" s="18">
        <f t="shared" ref="R212:T212" si="423">(L212/F212)*1000000</f>
        <v>0</v>
      </c>
      <c r="S212" s="18">
        <f t="shared" si="423"/>
        <v>0</v>
      </c>
      <c r="T212" s="18">
        <f t="shared" si="423"/>
        <v>65.13809276</v>
      </c>
      <c r="U212" s="18">
        <f t="shared" si="4"/>
        <v>21.71269759</v>
      </c>
      <c r="V212" s="18">
        <f t="shared" ref="V212:X212" si="424">(O212/I212)*1000000</f>
        <v>185.4255516</v>
      </c>
      <c r="W212" s="18">
        <f t="shared" si="424"/>
        <v>122.9180751</v>
      </c>
      <c r="X212" s="18">
        <f t="shared" si="424"/>
        <v>244.453951</v>
      </c>
      <c r="Y212" s="18">
        <f t="shared" si="6"/>
        <v>184.2658592</v>
      </c>
    </row>
    <row r="213" ht="14.25" customHeight="1">
      <c r="A213" s="7" t="s">
        <v>326</v>
      </c>
      <c r="B213" s="7" t="s">
        <v>334</v>
      </c>
      <c r="C213" s="7" t="s">
        <v>349</v>
      </c>
      <c r="D213" s="7" t="s">
        <v>349</v>
      </c>
      <c r="E213" s="8">
        <v>50402.0</v>
      </c>
      <c r="F213" s="8">
        <v>21151.0</v>
      </c>
      <c r="G213" s="8">
        <v>21213.0</v>
      </c>
      <c r="H213" s="8">
        <v>20854.0</v>
      </c>
      <c r="I213" s="8">
        <v>17626.0</v>
      </c>
      <c r="J213" s="8">
        <v>17268.0</v>
      </c>
      <c r="K213" s="8">
        <v>16909.0</v>
      </c>
      <c r="L213" s="8">
        <v>0.0</v>
      </c>
      <c r="M213" s="8">
        <v>0.0</v>
      </c>
      <c r="N213" s="8">
        <v>0.0</v>
      </c>
      <c r="O213" s="8">
        <v>2.0</v>
      </c>
      <c r="P213" s="8">
        <v>3.0</v>
      </c>
      <c r="Q213" s="8">
        <v>7.0</v>
      </c>
      <c r="R213" s="18">
        <f t="shared" ref="R213:T213" si="425">(L213/F213)*1000000</f>
        <v>0</v>
      </c>
      <c r="S213" s="18">
        <f t="shared" si="425"/>
        <v>0</v>
      </c>
      <c r="T213" s="18">
        <f t="shared" si="425"/>
        <v>0</v>
      </c>
      <c r="U213" s="18">
        <f t="shared" si="4"/>
        <v>0</v>
      </c>
      <c r="V213" s="18">
        <f t="shared" ref="V213:X213" si="426">(O213/I213)*1000000</f>
        <v>113.4687394</v>
      </c>
      <c r="W213" s="18">
        <f t="shared" si="426"/>
        <v>173.7317582</v>
      </c>
      <c r="X213" s="18">
        <f t="shared" si="426"/>
        <v>413.9807203</v>
      </c>
      <c r="Y213" s="18">
        <f t="shared" si="6"/>
        <v>233.7270726</v>
      </c>
    </row>
    <row r="214" ht="14.25" customHeight="1">
      <c r="A214" s="7" t="s">
        <v>326</v>
      </c>
      <c r="B214" s="7" t="s">
        <v>334</v>
      </c>
      <c r="C214" s="7" t="s">
        <v>347</v>
      </c>
      <c r="D214" s="7" t="s">
        <v>347</v>
      </c>
      <c r="E214" s="8">
        <v>50403.0</v>
      </c>
      <c r="F214" s="8">
        <v>25765.0</v>
      </c>
      <c r="G214" s="8">
        <v>26330.0</v>
      </c>
      <c r="H214" s="8">
        <v>26856.0</v>
      </c>
      <c r="I214" s="8">
        <v>31589.0</v>
      </c>
      <c r="J214" s="8">
        <v>32115.0</v>
      </c>
      <c r="K214" s="8">
        <v>32641.0</v>
      </c>
      <c r="L214" s="8">
        <v>0.0</v>
      </c>
      <c r="M214" s="8">
        <v>0.0</v>
      </c>
      <c r="N214" s="8">
        <v>0.0</v>
      </c>
      <c r="O214" s="8">
        <v>5.0</v>
      </c>
      <c r="P214" s="8">
        <v>3.0</v>
      </c>
      <c r="Q214" s="8">
        <v>4.0</v>
      </c>
      <c r="R214" s="18">
        <f t="shared" ref="R214:T214" si="427">(L214/F214)*1000000</f>
        <v>0</v>
      </c>
      <c r="S214" s="18">
        <f t="shared" si="427"/>
        <v>0</v>
      </c>
      <c r="T214" s="18">
        <f t="shared" si="427"/>
        <v>0</v>
      </c>
      <c r="U214" s="18">
        <f t="shared" si="4"/>
        <v>0</v>
      </c>
      <c r="V214" s="18">
        <f t="shared" ref="V214:X214" si="428">(O214/I214)*1000000</f>
        <v>158.2829466</v>
      </c>
      <c r="W214" s="18">
        <f t="shared" si="428"/>
        <v>93.41429239</v>
      </c>
      <c r="X214" s="18">
        <f t="shared" si="428"/>
        <v>122.5452652</v>
      </c>
      <c r="Y214" s="18">
        <f t="shared" si="6"/>
        <v>124.7475014</v>
      </c>
    </row>
    <row r="215" ht="14.25" customHeight="1">
      <c r="A215" s="7" t="s">
        <v>326</v>
      </c>
      <c r="B215" s="7" t="s">
        <v>334</v>
      </c>
      <c r="C215" s="7" t="s">
        <v>345</v>
      </c>
      <c r="D215" s="7" t="s">
        <v>345</v>
      </c>
      <c r="E215" s="8">
        <v>50404.0</v>
      </c>
      <c r="F215" s="8">
        <v>16336.0</v>
      </c>
      <c r="G215" s="8">
        <v>16118.0</v>
      </c>
      <c r="H215" s="8">
        <v>15986.0</v>
      </c>
      <c r="I215" s="8">
        <v>14796.0</v>
      </c>
      <c r="J215" s="8">
        <v>14664.0</v>
      </c>
      <c r="K215" s="8">
        <v>14532.0</v>
      </c>
      <c r="L215" s="8">
        <v>0.0</v>
      </c>
      <c r="M215" s="8">
        <v>0.0</v>
      </c>
      <c r="N215" s="8">
        <v>1.0</v>
      </c>
      <c r="O215" s="8">
        <v>4.0</v>
      </c>
      <c r="P215" s="8">
        <v>1.0</v>
      </c>
      <c r="Q215" s="8">
        <v>0.0</v>
      </c>
      <c r="R215" s="18">
        <f t="shared" ref="R215:T215" si="429">(L215/F215)*1000000</f>
        <v>0</v>
      </c>
      <c r="S215" s="18">
        <f t="shared" si="429"/>
        <v>0</v>
      </c>
      <c r="T215" s="18">
        <f t="shared" si="429"/>
        <v>62.55473539</v>
      </c>
      <c r="U215" s="18">
        <f t="shared" si="4"/>
        <v>20.85157846</v>
      </c>
      <c r="V215" s="18">
        <f t="shared" ref="V215:X215" si="430">(O215/I215)*1000000</f>
        <v>270.343336</v>
      </c>
      <c r="W215" s="18">
        <f t="shared" si="430"/>
        <v>68.19421713</v>
      </c>
      <c r="X215" s="18">
        <f t="shared" si="430"/>
        <v>0</v>
      </c>
      <c r="Y215" s="18">
        <f t="shared" si="6"/>
        <v>112.8458511</v>
      </c>
    </row>
    <row r="216" ht="14.25" customHeight="1">
      <c r="A216" s="7" t="s">
        <v>326</v>
      </c>
      <c r="B216" s="7" t="s">
        <v>334</v>
      </c>
      <c r="C216" s="7" t="s">
        <v>352</v>
      </c>
      <c r="D216" s="7" t="s">
        <v>352</v>
      </c>
      <c r="E216" s="8">
        <v>50405.0</v>
      </c>
      <c r="F216" s="8">
        <v>19692.0</v>
      </c>
      <c r="G216" s="8">
        <v>19939.0</v>
      </c>
      <c r="H216" s="8">
        <v>20028.0</v>
      </c>
      <c r="I216" s="8">
        <v>20832.0</v>
      </c>
      <c r="J216" s="8">
        <v>20922.0</v>
      </c>
      <c r="K216" s="8">
        <v>21011.0</v>
      </c>
      <c r="L216" s="8">
        <v>0.0</v>
      </c>
      <c r="M216" s="8">
        <v>0.0</v>
      </c>
      <c r="N216" s="8">
        <v>0.0</v>
      </c>
      <c r="O216" s="8">
        <v>0.0</v>
      </c>
      <c r="P216" s="8">
        <v>0.0</v>
      </c>
      <c r="Q216" s="8">
        <v>0.0</v>
      </c>
      <c r="R216" s="18">
        <f t="shared" ref="R216:T216" si="431">(L216/F216)*1000000</f>
        <v>0</v>
      </c>
      <c r="S216" s="18">
        <f t="shared" si="431"/>
        <v>0</v>
      </c>
      <c r="T216" s="18">
        <f t="shared" si="431"/>
        <v>0</v>
      </c>
      <c r="U216" s="18">
        <f t="shared" si="4"/>
        <v>0</v>
      </c>
      <c r="V216" s="18">
        <f t="shared" ref="V216:X216" si="432">(O216/I216)*1000000</f>
        <v>0</v>
      </c>
      <c r="W216" s="18">
        <f t="shared" si="432"/>
        <v>0</v>
      </c>
      <c r="X216" s="18">
        <f t="shared" si="432"/>
        <v>0</v>
      </c>
      <c r="Y216" s="18">
        <f t="shared" si="6"/>
        <v>0</v>
      </c>
    </row>
    <row r="217" ht="14.25" customHeight="1">
      <c r="A217" s="7" t="s">
        <v>326</v>
      </c>
      <c r="B217" s="7" t="s">
        <v>354</v>
      </c>
      <c r="C217" s="7" t="s">
        <v>355</v>
      </c>
      <c r="D217" s="7" t="s">
        <v>355</v>
      </c>
      <c r="E217" s="8">
        <v>50501.0</v>
      </c>
      <c r="F217" s="8">
        <v>29796.0</v>
      </c>
      <c r="G217" s="8">
        <v>30012.0</v>
      </c>
      <c r="H217" s="8">
        <v>29879.0</v>
      </c>
      <c r="I217" s="8">
        <v>28682.0</v>
      </c>
      <c r="J217" s="8">
        <v>28549.0</v>
      </c>
      <c r="K217" s="8">
        <v>28416.0</v>
      </c>
      <c r="L217" s="8">
        <v>0.0</v>
      </c>
      <c r="M217" s="8">
        <v>0.0</v>
      </c>
      <c r="N217" s="8">
        <v>1.0</v>
      </c>
      <c r="O217" s="8">
        <v>11.0</v>
      </c>
      <c r="P217" s="8">
        <v>2.0</v>
      </c>
      <c r="Q217" s="8">
        <v>10.0</v>
      </c>
      <c r="R217" s="18">
        <f t="shared" ref="R217:T217" si="433">(L217/F217)*1000000</f>
        <v>0</v>
      </c>
      <c r="S217" s="18">
        <f t="shared" si="433"/>
        <v>0</v>
      </c>
      <c r="T217" s="18">
        <f t="shared" si="433"/>
        <v>33.46832223</v>
      </c>
      <c r="U217" s="18">
        <f t="shared" si="4"/>
        <v>11.15610741</v>
      </c>
      <c r="V217" s="18">
        <f t="shared" ref="V217:X217" si="434">(O217/I217)*1000000</f>
        <v>383.5157939</v>
      </c>
      <c r="W217" s="18">
        <f t="shared" si="434"/>
        <v>70.05499317</v>
      </c>
      <c r="X217" s="18">
        <f t="shared" si="434"/>
        <v>351.9144144</v>
      </c>
      <c r="Y217" s="18">
        <f t="shared" si="6"/>
        <v>268.4950672</v>
      </c>
    </row>
    <row r="218" ht="14.25" customHeight="1">
      <c r="A218" s="7" t="s">
        <v>326</v>
      </c>
      <c r="B218" s="7" t="s">
        <v>354</v>
      </c>
      <c r="C218" s="7" t="s">
        <v>357</v>
      </c>
      <c r="D218" s="7" t="s">
        <v>357</v>
      </c>
      <c r="E218" s="8">
        <v>50502.0</v>
      </c>
      <c r="F218" s="8">
        <v>10840.0</v>
      </c>
      <c r="G218" s="8">
        <v>10870.0</v>
      </c>
      <c r="H218" s="8">
        <v>10857.0</v>
      </c>
      <c r="I218" s="8">
        <v>10740.0</v>
      </c>
      <c r="J218" s="8">
        <v>10727.0</v>
      </c>
      <c r="K218" s="8">
        <v>10714.0</v>
      </c>
      <c r="L218" s="8">
        <v>0.0</v>
      </c>
      <c r="M218" s="8">
        <v>0.0</v>
      </c>
      <c r="N218" s="8">
        <v>0.0</v>
      </c>
      <c r="O218" s="8">
        <v>5.0</v>
      </c>
      <c r="P218" s="8">
        <v>10.0</v>
      </c>
      <c r="Q218" s="8">
        <v>2.0</v>
      </c>
      <c r="R218" s="18">
        <f t="shared" ref="R218:T218" si="435">(L218/F218)*1000000</f>
        <v>0</v>
      </c>
      <c r="S218" s="18">
        <f t="shared" si="435"/>
        <v>0</v>
      </c>
      <c r="T218" s="18">
        <f t="shared" si="435"/>
        <v>0</v>
      </c>
      <c r="U218" s="18">
        <f t="shared" si="4"/>
        <v>0</v>
      </c>
      <c r="V218" s="18">
        <f t="shared" ref="V218:X218" si="436">(O218/I218)*1000000</f>
        <v>465.5493482</v>
      </c>
      <c r="W218" s="18">
        <f t="shared" si="436"/>
        <v>932.2270905</v>
      </c>
      <c r="X218" s="18">
        <f t="shared" si="436"/>
        <v>186.6716446</v>
      </c>
      <c r="Y218" s="18">
        <f t="shared" si="6"/>
        <v>528.1493611</v>
      </c>
    </row>
    <row r="219" ht="14.25" customHeight="1">
      <c r="A219" s="7" t="s">
        <v>326</v>
      </c>
      <c r="B219" s="7" t="s">
        <v>359</v>
      </c>
      <c r="C219" s="7" t="s">
        <v>340</v>
      </c>
      <c r="D219" s="7" t="s">
        <v>340</v>
      </c>
      <c r="E219" s="8">
        <v>50601.0</v>
      </c>
      <c r="F219" s="8">
        <v>31094.0</v>
      </c>
      <c r="G219" s="8">
        <v>31801.0</v>
      </c>
      <c r="H219" s="8">
        <v>31586.0</v>
      </c>
      <c r="I219" s="8">
        <v>29651.0</v>
      </c>
      <c r="J219" s="8">
        <v>29436.0</v>
      </c>
      <c r="K219" s="8">
        <v>29221.0</v>
      </c>
      <c r="L219" s="8">
        <v>1.0</v>
      </c>
      <c r="M219" s="8">
        <v>0.0</v>
      </c>
      <c r="N219" s="8">
        <v>0.0</v>
      </c>
      <c r="O219" s="8">
        <v>0.0</v>
      </c>
      <c r="P219" s="8">
        <v>1.0</v>
      </c>
      <c r="Q219" s="8">
        <v>1.0</v>
      </c>
      <c r="R219" s="18">
        <f t="shared" ref="R219:T219" si="437">(L219/F219)*1000000</f>
        <v>32.16054544</v>
      </c>
      <c r="S219" s="18">
        <f t="shared" si="437"/>
        <v>0</v>
      </c>
      <c r="T219" s="18">
        <f t="shared" si="437"/>
        <v>0</v>
      </c>
      <c r="U219" s="18">
        <f t="shared" si="4"/>
        <v>10.72018181</v>
      </c>
      <c r="V219" s="18">
        <f t="shared" ref="V219:X219" si="438">(O219/I219)*1000000</f>
        <v>0</v>
      </c>
      <c r="W219" s="18">
        <f t="shared" si="438"/>
        <v>33.97200707</v>
      </c>
      <c r="X219" s="18">
        <f t="shared" si="438"/>
        <v>34.22196366</v>
      </c>
      <c r="Y219" s="18">
        <f t="shared" si="6"/>
        <v>22.73132357</v>
      </c>
    </row>
    <row r="220" ht="14.25" customHeight="1">
      <c r="A220" s="7" t="s">
        <v>326</v>
      </c>
      <c r="B220" s="7" t="s">
        <v>359</v>
      </c>
      <c r="C220" s="7" t="s">
        <v>360</v>
      </c>
      <c r="D220" s="7" t="s">
        <v>360</v>
      </c>
      <c r="E220" s="8">
        <v>50602.0</v>
      </c>
      <c r="F220" s="8">
        <v>10705.0</v>
      </c>
      <c r="G220" s="8">
        <v>10646.0</v>
      </c>
      <c r="H220" s="8">
        <v>10608.0</v>
      </c>
      <c r="I220" s="8">
        <v>10261.0</v>
      </c>
      <c r="J220" s="8">
        <v>10223.0</v>
      </c>
      <c r="K220" s="8">
        <v>10184.0</v>
      </c>
      <c r="L220" s="8">
        <v>0.0</v>
      </c>
      <c r="M220" s="8">
        <v>1.0</v>
      </c>
      <c r="N220" s="8">
        <v>0.0</v>
      </c>
      <c r="O220" s="8">
        <v>0.0</v>
      </c>
      <c r="P220" s="8">
        <v>0.0</v>
      </c>
      <c r="Q220" s="8">
        <v>1.0</v>
      </c>
      <c r="R220" s="18">
        <f t="shared" ref="R220:T220" si="439">(L220/F220)*1000000</f>
        <v>0</v>
      </c>
      <c r="S220" s="18">
        <f t="shared" si="439"/>
        <v>93.93199324</v>
      </c>
      <c r="T220" s="18">
        <f t="shared" si="439"/>
        <v>0</v>
      </c>
      <c r="U220" s="18">
        <f t="shared" si="4"/>
        <v>31.31066441</v>
      </c>
      <c r="V220" s="18">
        <f t="shared" ref="V220:X220" si="440">(O220/I220)*1000000</f>
        <v>0</v>
      </c>
      <c r="W220" s="18">
        <f t="shared" si="440"/>
        <v>0</v>
      </c>
      <c r="X220" s="18">
        <f t="shared" si="440"/>
        <v>98.1932443</v>
      </c>
      <c r="Y220" s="18">
        <f t="shared" si="6"/>
        <v>32.73108143</v>
      </c>
    </row>
    <row r="221" ht="14.25" customHeight="1">
      <c r="A221" s="7" t="s">
        <v>326</v>
      </c>
      <c r="B221" s="7" t="s">
        <v>362</v>
      </c>
      <c r="C221" s="7" t="s">
        <v>363</v>
      </c>
      <c r="D221" s="7" t="s">
        <v>569</v>
      </c>
      <c r="E221" s="8">
        <v>50701.0</v>
      </c>
      <c r="F221" s="8">
        <v>19530.0</v>
      </c>
      <c r="G221" s="8">
        <v>19611.0</v>
      </c>
      <c r="H221" s="8">
        <v>19411.0</v>
      </c>
      <c r="I221" s="8">
        <v>17606.0</v>
      </c>
      <c r="J221" s="8">
        <v>17406.0</v>
      </c>
      <c r="K221" s="8">
        <v>17205.0</v>
      </c>
      <c r="L221" s="8">
        <v>0.0</v>
      </c>
      <c r="M221" s="8">
        <v>0.0</v>
      </c>
      <c r="N221" s="8">
        <v>1.0</v>
      </c>
      <c r="O221" s="8">
        <v>0.0</v>
      </c>
      <c r="P221" s="8">
        <v>0.0</v>
      </c>
      <c r="Q221" s="8">
        <v>3.0</v>
      </c>
      <c r="R221" s="18">
        <f t="shared" ref="R221:T221" si="441">(L221/F221)*1000000</f>
        <v>0</v>
      </c>
      <c r="S221" s="18">
        <f t="shared" si="441"/>
        <v>0</v>
      </c>
      <c r="T221" s="18">
        <f t="shared" si="441"/>
        <v>51.51718098</v>
      </c>
      <c r="U221" s="18">
        <f t="shared" si="4"/>
        <v>17.17239366</v>
      </c>
      <c r="V221" s="18">
        <f t="shared" ref="V221:X221" si="442">(O221/I221)*1000000</f>
        <v>0</v>
      </c>
      <c r="W221" s="18">
        <f t="shared" si="442"/>
        <v>0</v>
      </c>
      <c r="X221" s="18">
        <f t="shared" si="442"/>
        <v>174.3679163</v>
      </c>
      <c r="Y221" s="18">
        <f t="shared" si="6"/>
        <v>58.12263877</v>
      </c>
    </row>
    <row r="222" ht="14.25" customHeight="1">
      <c r="A222" s="7" t="s">
        <v>326</v>
      </c>
      <c r="B222" s="7" t="s">
        <v>362</v>
      </c>
      <c r="C222" s="7" t="s">
        <v>330</v>
      </c>
      <c r="D222" s="7" t="s">
        <v>330</v>
      </c>
      <c r="E222" s="8">
        <v>50702.0</v>
      </c>
      <c r="F222" s="8">
        <v>8734.0</v>
      </c>
      <c r="G222" s="8">
        <v>8704.0</v>
      </c>
      <c r="H222" s="8">
        <v>8684.0</v>
      </c>
      <c r="I222" s="8">
        <v>8499.0</v>
      </c>
      <c r="J222" s="8">
        <v>8479.0</v>
      </c>
      <c r="K222" s="8">
        <v>8458.0</v>
      </c>
      <c r="L222" s="8">
        <v>0.0</v>
      </c>
      <c r="M222" s="8">
        <v>0.0</v>
      </c>
      <c r="N222" s="8">
        <v>0.0</v>
      </c>
      <c r="O222" s="8">
        <v>2.0</v>
      </c>
      <c r="P222" s="8">
        <v>0.0</v>
      </c>
      <c r="Q222" s="8">
        <v>0.0</v>
      </c>
      <c r="R222" s="18">
        <f t="shared" ref="R222:T222" si="443">(L222/F222)*1000000</f>
        <v>0</v>
      </c>
      <c r="S222" s="18">
        <f t="shared" si="443"/>
        <v>0</v>
      </c>
      <c r="T222" s="18">
        <f t="shared" si="443"/>
        <v>0</v>
      </c>
      <c r="U222" s="18">
        <f t="shared" si="4"/>
        <v>0</v>
      </c>
      <c r="V222" s="18">
        <f t="shared" ref="V222:X222" si="444">(O222/I222)*1000000</f>
        <v>235.3218026</v>
      </c>
      <c r="W222" s="18">
        <f t="shared" si="444"/>
        <v>0</v>
      </c>
      <c r="X222" s="18">
        <f t="shared" si="444"/>
        <v>0</v>
      </c>
      <c r="Y222" s="18">
        <f t="shared" si="6"/>
        <v>78.44060086</v>
      </c>
    </row>
    <row r="223" ht="14.25" customHeight="1">
      <c r="A223" s="7" t="s">
        <v>326</v>
      </c>
      <c r="B223" s="7" t="s">
        <v>365</v>
      </c>
      <c r="C223" s="7" t="s">
        <v>366</v>
      </c>
      <c r="D223" s="7" t="s">
        <v>366</v>
      </c>
      <c r="E223" s="8">
        <v>50801.0</v>
      </c>
      <c r="F223" s="8">
        <v>44225.0</v>
      </c>
      <c r="G223" s="8">
        <v>44814.0</v>
      </c>
      <c r="H223" s="8">
        <v>44879.0</v>
      </c>
      <c r="I223" s="8">
        <v>45461.0</v>
      </c>
      <c r="J223" s="8">
        <v>45525.0</v>
      </c>
      <c r="K223" s="8">
        <v>45590.0</v>
      </c>
      <c r="L223" s="8">
        <v>1.0</v>
      </c>
      <c r="M223" s="8">
        <v>1.0</v>
      </c>
      <c r="N223" s="8">
        <v>2.0</v>
      </c>
      <c r="O223" s="8">
        <v>3.0</v>
      </c>
      <c r="P223" s="8">
        <v>6.0</v>
      </c>
      <c r="Q223" s="8">
        <v>6.0</v>
      </c>
      <c r="R223" s="18">
        <f t="shared" ref="R223:T223" si="445">(L223/F223)*1000000</f>
        <v>22.611645</v>
      </c>
      <c r="S223" s="18">
        <f t="shared" si="445"/>
        <v>22.3144553</v>
      </c>
      <c r="T223" s="18">
        <f t="shared" si="445"/>
        <v>44.56427282</v>
      </c>
      <c r="U223" s="18">
        <f t="shared" si="4"/>
        <v>29.83012437</v>
      </c>
      <c r="V223" s="18">
        <f t="shared" ref="V223:X223" si="446">(O223/I223)*1000000</f>
        <v>65.99062933</v>
      </c>
      <c r="W223" s="18">
        <f t="shared" si="446"/>
        <v>131.7957166</v>
      </c>
      <c r="X223" s="18">
        <f t="shared" si="446"/>
        <v>131.6078087</v>
      </c>
      <c r="Y223" s="18">
        <f t="shared" si="6"/>
        <v>109.7980516</v>
      </c>
    </row>
    <row r="224" ht="14.25" customHeight="1">
      <c r="A224" s="7" t="s">
        <v>326</v>
      </c>
      <c r="B224" s="7" t="s">
        <v>365</v>
      </c>
      <c r="C224" s="7" t="s">
        <v>325</v>
      </c>
      <c r="D224" s="7" t="s">
        <v>325</v>
      </c>
      <c r="E224" s="8">
        <v>50802.0</v>
      </c>
      <c r="F224" s="8">
        <v>11080.0</v>
      </c>
      <c r="G224" s="8">
        <v>11234.0</v>
      </c>
      <c r="H224" s="8">
        <v>11099.0</v>
      </c>
      <c r="I224" s="8">
        <v>9881.0</v>
      </c>
      <c r="J224" s="8">
        <v>9745.0</v>
      </c>
      <c r="K224" s="8">
        <v>9610.0</v>
      </c>
      <c r="L224" s="8">
        <v>0.0</v>
      </c>
      <c r="M224" s="8">
        <v>0.0</v>
      </c>
      <c r="N224" s="8">
        <v>0.0</v>
      </c>
      <c r="O224" s="8">
        <v>0.0</v>
      </c>
      <c r="P224" s="8">
        <v>0.0</v>
      </c>
      <c r="Q224" s="8">
        <v>1.0</v>
      </c>
      <c r="R224" s="18">
        <f t="shared" ref="R224:T224" si="447">(L224/F224)*1000000</f>
        <v>0</v>
      </c>
      <c r="S224" s="18">
        <f t="shared" si="447"/>
        <v>0</v>
      </c>
      <c r="T224" s="18">
        <f t="shared" si="447"/>
        <v>0</v>
      </c>
      <c r="U224" s="18">
        <f t="shared" si="4"/>
        <v>0</v>
      </c>
      <c r="V224" s="18">
        <f t="shared" ref="V224:X224" si="448">(O224/I224)*1000000</f>
        <v>0</v>
      </c>
      <c r="W224" s="18">
        <f t="shared" si="448"/>
        <v>0</v>
      </c>
      <c r="X224" s="18">
        <f t="shared" si="448"/>
        <v>104.0582726</v>
      </c>
      <c r="Y224" s="18">
        <f t="shared" si="6"/>
        <v>34.68609088</v>
      </c>
    </row>
    <row r="225" ht="14.25" customHeight="1">
      <c r="A225" s="7" t="s">
        <v>326</v>
      </c>
      <c r="B225" s="7" t="s">
        <v>367</v>
      </c>
      <c r="C225" s="7" t="s">
        <v>368</v>
      </c>
      <c r="D225" s="7" t="s">
        <v>570</v>
      </c>
      <c r="E225" s="8">
        <v>50901.0</v>
      </c>
      <c r="F225" s="8">
        <v>12692.0</v>
      </c>
      <c r="G225" s="8">
        <v>12997.0</v>
      </c>
      <c r="H225" s="8">
        <v>12976.0</v>
      </c>
      <c r="I225" s="8">
        <v>12783.0</v>
      </c>
      <c r="J225" s="8">
        <v>12761.0</v>
      </c>
      <c r="K225" s="8">
        <v>12740.0</v>
      </c>
      <c r="L225" s="8">
        <v>0.0</v>
      </c>
      <c r="M225" s="8">
        <v>0.0</v>
      </c>
      <c r="N225" s="8">
        <v>0.0</v>
      </c>
      <c r="O225" s="8">
        <v>2.0</v>
      </c>
      <c r="P225" s="8">
        <v>0.0</v>
      </c>
      <c r="Q225" s="8">
        <v>0.0</v>
      </c>
      <c r="R225" s="18">
        <f t="shared" ref="R225:T225" si="449">(L225/F225)*1000000</f>
        <v>0</v>
      </c>
      <c r="S225" s="18">
        <f t="shared" si="449"/>
        <v>0</v>
      </c>
      <c r="T225" s="18">
        <f t="shared" si="449"/>
        <v>0</v>
      </c>
      <c r="U225" s="18">
        <f t="shared" si="4"/>
        <v>0</v>
      </c>
      <c r="V225" s="18">
        <f t="shared" ref="V225:X225" si="450">(O225/I225)*1000000</f>
        <v>156.4577955</v>
      </c>
      <c r="W225" s="18">
        <f t="shared" si="450"/>
        <v>0</v>
      </c>
      <c r="X225" s="18">
        <f t="shared" si="450"/>
        <v>0</v>
      </c>
      <c r="Y225" s="18">
        <f t="shared" si="6"/>
        <v>52.1525985</v>
      </c>
    </row>
    <row r="226" ht="14.25" customHeight="1">
      <c r="A226" s="7" t="s">
        <v>326</v>
      </c>
      <c r="B226" s="7" t="s">
        <v>367</v>
      </c>
      <c r="C226" s="7" t="s">
        <v>369</v>
      </c>
      <c r="D226" s="7" t="s">
        <v>571</v>
      </c>
      <c r="E226" s="8">
        <v>50902.0</v>
      </c>
      <c r="F226" s="8">
        <v>1038.0</v>
      </c>
      <c r="G226" s="8">
        <v>1060.0</v>
      </c>
      <c r="H226" s="8">
        <v>1107.0</v>
      </c>
      <c r="I226" s="8">
        <v>1528.0</v>
      </c>
      <c r="J226" s="8">
        <v>1574.0</v>
      </c>
      <c r="K226" s="8">
        <v>1621.0</v>
      </c>
      <c r="L226" s="8">
        <v>0.0</v>
      </c>
      <c r="M226" s="8">
        <v>0.0</v>
      </c>
      <c r="N226" s="8">
        <v>0.0</v>
      </c>
      <c r="O226" s="8">
        <v>0.0</v>
      </c>
      <c r="P226" s="8">
        <v>0.0</v>
      </c>
      <c r="Q226" s="8">
        <v>0.0</v>
      </c>
      <c r="R226" s="18">
        <f t="shared" ref="R226:T226" si="451">(L226/F226)*1000000</f>
        <v>0</v>
      </c>
      <c r="S226" s="18">
        <f t="shared" si="451"/>
        <v>0</v>
      </c>
      <c r="T226" s="18">
        <f t="shared" si="451"/>
        <v>0</v>
      </c>
      <c r="U226" s="18">
        <f t="shared" si="4"/>
        <v>0</v>
      </c>
      <c r="V226" s="18">
        <f t="shared" ref="V226:X226" si="452">(O226/I226)*1000000</f>
        <v>0</v>
      </c>
      <c r="W226" s="18">
        <f t="shared" si="452"/>
        <v>0</v>
      </c>
      <c r="X226" s="18">
        <f t="shared" si="452"/>
        <v>0</v>
      </c>
      <c r="Y226" s="18">
        <f t="shared" si="6"/>
        <v>0</v>
      </c>
    </row>
    <row r="227" ht="14.25" customHeight="1">
      <c r="A227" s="7" t="s">
        <v>326</v>
      </c>
      <c r="B227" s="7" t="s">
        <v>371</v>
      </c>
      <c r="C227" s="7" t="s">
        <v>372</v>
      </c>
      <c r="D227" s="7" t="s">
        <v>356</v>
      </c>
      <c r="E227" s="8">
        <v>51001.0</v>
      </c>
      <c r="F227" s="8">
        <v>3294.0</v>
      </c>
      <c r="G227" s="8">
        <v>3371.0</v>
      </c>
      <c r="H227" s="8">
        <v>3353.0</v>
      </c>
      <c r="I227" s="8">
        <v>3187.0</v>
      </c>
      <c r="J227" s="8">
        <v>3168.0</v>
      </c>
      <c r="K227" s="8">
        <v>3150.0</v>
      </c>
      <c r="L227" s="8">
        <v>0.0</v>
      </c>
      <c r="M227" s="8">
        <v>0.0</v>
      </c>
      <c r="N227" s="8">
        <v>0.0</v>
      </c>
      <c r="O227" s="8">
        <v>0.0</v>
      </c>
      <c r="P227" s="8">
        <v>0.0</v>
      </c>
      <c r="Q227" s="8">
        <v>0.0</v>
      </c>
      <c r="R227" s="18">
        <f t="shared" ref="R227:T227" si="453">(L227/F227)*1000000</f>
        <v>0</v>
      </c>
      <c r="S227" s="18">
        <f t="shared" si="453"/>
        <v>0</v>
      </c>
      <c r="T227" s="18">
        <f t="shared" si="453"/>
        <v>0</v>
      </c>
      <c r="U227" s="18">
        <f t="shared" si="4"/>
        <v>0</v>
      </c>
      <c r="V227" s="18">
        <f t="shared" ref="V227:X227" si="454">(O227/I227)*1000000</f>
        <v>0</v>
      </c>
      <c r="W227" s="18">
        <f t="shared" si="454"/>
        <v>0</v>
      </c>
      <c r="X227" s="18">
        <f t="shared" si="454"/>
        <v>0</v>
      </c>
      <c r="Y227" s="18">
        <f t="shared" si="6"/>
        <v>0</v>
      </c>
    </row>
    <row r="228" ht="14.25" customHeight="1">
      <c r="A228" s="7" t="s">
        <v>326</v>
      </c>
      <c r="B228" s="7" t="s">
        <v>371</v>
      </c>
      <c r="C228" s="7" t="s">
        <v>374</v>
      </c>
      <c r="D228" s="7" t="s">
        <v>374</v>
      </c>
      <c r="E228" s="8">
        <v>51002.0</v>
      </c>
      <c r="F228" s="8">
        <v>1138.0</v>
      </c>
      <c r="G228" s="8">
        <v>1180.0</v>
      </c>
      <c r="H228" s="8">
        <v>1167.0</v>
      </c>
      <c r="I228" s="8">
        <v>1051.0</v>
      </c>
      <c r="J228" s="8">
        <v>1038.0</v>
      </c>
      <c r="K228" s="8">
        <v>1025.0</v>
      </c>
      <c r="L228" s="8">
        <v>0.0</v>
      </c>
      <c r="M228" s="8">
        <v>0.0</v>
      </c>
      <c r="N228" s="8">
        <v>0.0</v>
      </c>
      <c r="O228" s="8">
        <v>0.0</v>
      </c>
      <c r="P228" s="8">
        <v>0.0</v>
      </c>
      <c r="Q228" s="8">
        <v>0.0</v>
      </c>
      <c r="R228" s="18">
        <f t="shared" ref="R228:T228" si="455">(L228/F228)*1000000</f>
        <v>0</v>
      </c>
      <c r="S228" s="18">
        <f t="shared" si="455"/>
        <v>0</v>
      </c>
      <c r="T228" s="18">
        <f t="shared" si="455"/>
        <v>0</v>
      </c>
      <c r="U228" s="18">
        <f t="shared" si="4"/>
        <v>0</v>
      </c>
      <c r="V228" s="18">
        <f t="shared" ref="V228:X228" si="456">(O228/I228)*1000000</f>
        <v>0</v>
      </c>
      <c r="W228" s="18">
        <f t="shared" si="456"/>
        <v>0</v>
      </c>
      <c r="X228" s="18">
        <f t="shared" si="456"/>
        <v>0</v>
      </c>
      <c r="Y228" s="18">
        <f t="shared" si="6"/>
        <v>0</v>
      </c>
    </row>
    <row r="229" ht="14.25" customHeight="1">
      <c r="A229" s="7" t="s">
        <v>326</v>
      </c>
      <c r="B229" s="7" t="s">
        <v>371</v>
      </c>
      <c r="C229" s="7" t="s">
        <v>376</v>
      </c>
      <c r="D229" s="7" t="s">
        <v>376</v>
      </c>
      <c r="E229" s="8">
        <v>51003.0</v>
      </c>
      <c r="F229" s="8">
        <v>2228.0</v>
      </c>
      <c r="G229" s="8">
        <v>2284.0</v>
      </c>
      <c r="H229" s="8">
        <v>2255.0</v>
      </c>
      <c r="I229" s="8">
        <v>1994.0</v>
      </c>
      <c r="J229" s="8">
        <v>1965.0</v>
      </c>
      <c r="K229" s="8">
        <v>1936.0</v>
      </c>
      <c r="L229" s="8">
        <v>0.0</v>
      </c>
      <c r="M229" s="8">
        <v>0.0</v>
      </c>
      <c r="N229" s="8">
        <v>0.0</v>
      </c>
      <c r="O229" s="8">
        <v>0.0</v>
      </c>
      <c r="P229" s="8">
        <v>0.0</v>
      </c>
      <c r="Q229" s="8">
        <v>0.0</v>
      </c>
      <c r="R229" s="18">
        <f t="shared" ref="R229:T229" si="457">(L229/F229)*1000000</f>
        <v>0</v>
      </c>
      <c r="S229" s="18">
        <f t="shared" si="457"/>
        <v>0</v>
      </c>
      <c r="T229" s="18">
        <f t="shared" si="457"/>
        <v>0</v>
      </c>
      <c r="U229" s="18">
        <f t="shared" si="4"/>
        <v>0</v>
      </c>
      <c r="V229" s="18">
        <f t="shared" ref="V229:X229" si="458">(O229/I229)*1000000</f>
        <v>0</v>
      </c>
      <c r="W229" s="18">
        <f t="shared" si="458"/>
        <v>0</v>
      </c>
      <c r="X229" s="18">
        <f t="shared" si="458"/>
        <v>0</v>
      </c>
      <c r="Y229" s="18">
        <f t="shared" si="6"/>
        <v>0</v>
      </c>
    </row>
    <row r="230" ht="14.25" customHeight="1">
      <c r="A230" s="7" t="s">
        <v>326</v>
      </c>
      <c r="B230" s="7" t="s">
        <v>377</v>
      </c>
      <c r="C230" s="7" t="s">
        <v>378</v>
      </c>
      <c r="D230" s="7" t="s">
        <v>572</v>
      </c>
      <c r="E230" s="8">
        <v>51101.0</v>
      </c>
      <c r="F230" s="8">
        <v>22071.0</v>
      </c>
      <c r="G230" s="8">
        <v>21917.0</v>
      </c>
      <c r="H230" s="8">
        <v>21456.0</v>
      </c>
      <c r="I230" s="8">
        <v>17310.0</v>
      </c>
      <c r="J230" s="8">
        <v>16850.0</v>
      </c>
      <c r="K230" s="8">
        <v>16389.0</v>
      </c>
      <c r="L230" s="8">
        <v>0.0</v>
      </c>
      <c r="M230" s="8">
        <v>0.0</v>
      </c>
      <c r="N230" s="8">
        <v>0.0</v>
      </c>
      <c r="O230" s="8">
        <v>0.0</v>
      </c>
      <c r="P230" s="8">
        <v>0.0</v>
      </c>
      <c r="Q230" s="8">
        <v>2.0</v>
      </c>
      <c r="R230" s="18">
        <f t="shared" ref="R230:T230" si="459">(L230/F230)*1000000</f>
        <v>0</v>
      </c>
      <c r="S230" s="18">
        <f t="shared" si="459"/>
        <v>0</v>
      </c>
      <c r="T230" s="18">
        <f t="shared" si="459"/>
        <v>0</v>
      </c>
      <c r="U230" s="18">
        <f t="shared" si="4"/>
        <v>0</v>
      </c>
      <c r="V230" s="18">
        <f t="shared" ref="V230:X230" si="460">(O230/I230)*1000000</f>
        <v>0</v>
      </c>
      <c r="W230" s="18">
        <f t="shared" si="460"/>
        <v>0</v>
      </c>
      <c r="X230" s="18">
        <f t="shared" si="460"/>
        <v>122.033071</v>
      </c>
      <c r="Y230" s="18">
        <f t="shared" si="6"/>
        <v>40.67769032</v>
      </c>
    </row>
    <row r="231" ht="14.25" customHeight="1">
      <c r="A231" s="7" t="s">
        <v>326</v>
      </c>
      <c r="B231" s="7" t="s">
        <v>377</v>
      </c>
      <c r="C231" s="7" t="s">
        <v>380</v>
      </c>
      <c r="D231" s="7" t="s">
        <v>380</v>
      </c>
      <c r="E231" s="8">
        <v>51102.0</v>
      </c>
      <c r="F231" s="8">
        <v>11962.0</v>
      </c>
      <c r="G231" s="8">
        <v>12067.0</v>
      </c>
      <c r="H231" s="8">
        <v>12145.0</v>
      </c>
      <c r="I231" s="8">
        <v>12844.0</v>
      </c>
      <c r="J231" s="8">
        <v>12921.0</v>
      </c>
      <c r="K231" s="8">
        <v>12999.0</v>
      </c>
      <c r="L231" s="8">
        <v>0.0</v>
      </c>
      <c r="M231" s="8">
        <v>0.0</v>
      </c>
      <c r="N231" s="8">
        <v>0.0</v>
      </c>
      <c r="O231" s="8">
        <v>0.0</v>
      </c>
      <c r="P231" s="8">
        <v>0.0</v>
      </c>
      <c r="Q231" s="8">
        <v>0.0</v>
      </c>
      <c r="R231" s="18">
        <f t="shared" ref="R231:T231" si="461">(L231/F231)*1000000</f>
        <v>0</v>
      </c>
      <c r="S231" s="18">
        <f t="shared" si="461"/>
        <v>0</v>
      </c>
      <c r="T231" s="18">
        <f t="shared" si="461"/>
        <v>0</v>
      </c>
      <c r="U231" s="18">
        <f t="shared" si="4"/>
        <v>0</v>
      </c>
      <c r="V231" s="18">
        <f t="shared" ref="V231:X231" si="462">(O231/I231)*1000000</f>
        <v>0</v>
      </c>
      <c r="W231" s="18">
        <f t="shared" si="462"/>
        <v>0</v>
      </c>
      <c r="X231" s="18">
        <f t="shared" si="462"/>
        <v>0</v>
      </c>
      <c r="Y231" s="18">
        <f t="shared" si="6"/>
        <v>0</v>
      </c>
    </row>
    <row r="232" ht="14.25" customHeight="1">
      <c r="A232" s="7" t="s">
        <v>326</v>
      </c>
      <c r="B232" s="7" t="s">
        <v>377</v>
      </c>
      <c r="C232" s="7" t="s">
        <v>382</v>
      </c>
      <c r="D232" s="7" t="s">
        <v>382</v>
      </c>
      <c r="E232" s="8">
        <v>51103.0</v>
      </c>
      <c r="F232" s="8">
        <v>15910.0</v>
      </c>
      <c r="G232" s="8">
        <v>15812.0</v>
      </c>
      <c r="H232" s="8">
        <v>15689.0</v>
      </c>
      <c r="I232" s="8">
        <v>14584.0</v>
      </c>
      <c r="J232" s="8">
        <v>14461.0</v>
      </c>
      <c r="K232" s="8">
        <v>14338.0</v>
      </c>
      <c r="L232" s="8">
        <v>0.0</v>
      </c>
      <c r="M232" s="8">
        <v>0.0</v>
      </c>
      <c r="N232" s="8">
        <v>0.0</v>
      </c>
      <c r="O232" s="8">
        <v>0.0</v>
      </c>
      <c r="P232" s="8">
        <v>0.0</v>
      </c>
      <c r="Q232" s="8">
        <v>0.0</v>
      </c>
      <c r="R232" s="18">
        <f t="shared" ref="R232:T232" si="463">(L232/F232)*1000000</f>
        <v>0</v>
      </c>
      <c r="S232" s="18">
        <f t="shared" si="463"/>
        <v>0</v>
      </c>
      <c r="T232" s="18">
        <f t="shared" si="463"/>
        <v>0</v>
      </c>
      <c r="U232" s="18">
        <f t="shared" si="4"/>
        <v>0</v>
      </c>
      <c r="V232" s="18">
        <f t="shared" ref="V232:X232" si="464">(O232/I232)*1000000</f>
        <v>0</v>
      </c>
      <c r="W232" s="18">
        <f t="shared" si="464"/>
        <v>0</v>
      </c>
      <c r="X232" s="18">
        <f t="shared" si="464"/>
        <v>0</v>
      </c>
      <c r="Y232" s="18">
        <f t="shared" si="6"/>
        <v>0</v>
      </c>
    </row>
    <row r="233" ht="14.25" customHeight="1">
      <c r="A233" s="7" t="s">
        <v>326</v>
      </c>
      <c r="B233" s="7" t="s">
        <v>384</v>
      </c>
      <c r="C233" s="7" t="s">
        <v>370</v>
      </c>
      <c r="D233" s="7" t="s">
        <v>370</v>
      </c>
      <c r="E233" s="8">
        <v>51201.0</v>
      </c>
      <c r="F233" s="8">
        <v>28675.0</v>
      </c>
      <c r="G233" s="8">
        <v>29672.0</v>
      </c>
      <c r="H233" s="8">
        <v>30143.0</v>
      </c>
      <c r="I233" s="8">
        <v>34377.0</v>
      </c>
      <c r="J233" s="8">
        <v>34848.0</v>
      </c>
      <c r="K233" s="8">
        <v>35318.0</v>
      </c>
      <c r="L233" s="8">
        <v>0.0</v>
      </c>
      <c r="M233" s="8">
        <v>1.0</v>
      </c>
      <c r="N233" s="8">
        <v>0.0</v>
      </c>
      <c r="O233" s="8">
        <v>4.0</v>
      </c>
      <c r="P233" s="8">
        <v>6.0</v>
      </c>
      <c r="Q233" s="8">
        <v>7.0</v>
      </c>
      <c r="R233" s="18">
        <f t="shared" ref="R233:T233" si="465">(L233/F233)*1000000</f>
        <v>0</v>
      </c>
      <c r="S233" s="18">
        <f t="shared" si="465"/>
        <v>33.70180642</v>
      </c>
      <c r="T233" s="18">
        <f t="shared" si="465"/>
        <v>0</v>
      </c>
      <c r="U233" s="18">
        <f t="shared" si="4"/>
        <v>11.23393547</v>
      </c>
      <c r="V233" s="18">
        <f t="shared" ref="V233:X233" si="466">(O233/I233)*1000000</f>
        <v>116.3568665</v>
      </c>
      <c r="W233" s="18">
        <f t="shared" si="466"/>
        <v>172.1763085</v>
      </c>
      <c r="X233" s="18">
        <f t="shared" si="466"/>
        <v>198.1992185</v>
      </c>
      <c r="Y233" s="18">
        <f t="shared" si="6"/>
        <v>162.2441312</v>
      </c>
    </row>
    <row r="234" ht="14.25" customHeight="1">
      <c r="A234" s="7" t="s">
        <v>326</v>
      </c>
      <c r="B234" s="7" t="s">
        <v>384</v>
      </c>
      <c r="C234" s="7" t="s">
        <v>364</v>
      </c>
      <c r="D234" s="7" t="s">
        <v>364</v>
      </c>
      <c r="E234" s="8">
        <v>51202.0</v>
      </c>
      <c r="F234" s="8">
        <v>8774.0</v>
      </c>
      <c r="G234" s="8">
        <v>8854.0</v>
      </c>
      <c r="H234" s="8">
        <v>8770.0</v>
      </c>
      <c r="I234" s="8">
        <v>8013.0</v>
      </c>
      <c r="J234" s="8">
        <v>7929.0</v>
      </c>
      <c r="K234" s="8">
        <v>7845.0</v>
      </c>
      <c r="L234" s="8">
        <v>0.0</v>
      </c>
      <c r="M234" s="8">
        <v>0.0</v>
      </c>
      <c r="N234" s="8">
        <v>0.0</v>
      </c>
      <c r="O234" s="8">
        <v>0.0</v>
      </c>
      <c r="P234" s="8">
        <v>0.0</v>
      </c>
      <c r="Q234" s="8">
        <v>0.0</v>
      </c>
      <c r="R234" s="18">
        <f t="shared" ref="R234:T234" si="467">(L234/F234)*1000000</f>
        <v>0</v>
      </c>
      <c r="S234" s="18">
        <f t="shared" si="467"/>
        <v>0</v>
      </c>
      <c r="T234" s="18">
        <f t="shared" si="467"/>
        <v>0</v>
      </c>
      <c r="U234" s="18">
        <f t="shared" si="4"/>
        <v>0</v>
      </c>
      <c r="V234" s="18">
        <f t="shared" ref="V234:X234" si="468">(O234/I234)*1000000</f>
        <v>0</v>
      </c>
      <c r="W234" s="18">
        <f t="shared" si="468"/>
        <v>0</v>
      </c>
      <c r="X234" s="18">
        <f t="shared" si="468"/>
        <v>0</v>
      </c>
      <c r="Y234" s="18">
        <f t="shared" si="6"/>
        <v>0</v>
      </c>
    </row>
    <row r="235" ht="14.25" customHeight="1">
      <c r="A235" s="7" t="s">
        <v>326</v>
      </c>
      <c r="B235" s="7" t="s">
        <v>384</v>
      </c>
      <c r="C235" s="7" t="s">
        <v>348</v>
      </c>
      <c r="D235" s="7" t="s">
        <v>348</v>
      </c>
      <c r="E235" s="8">
        <v>51203.0</v>
      </c>
      <c r="F235" s="8">
        <v>10420.0</v>
      </c>
      <c r="G235" s="8">
        <v>10866.0</v>
      </c>
      <c r="H235" s="8">
        <v>11182.0</v>
      </c>
      <c r="I235" s="8">
        <v>14023.0</v>
      </c>
      <c r="J235" s="8">
        <v>14338.0</v>
      </c>
      <c r="K235" s="8">
        <v>14654.0</v>
      </c>
      <c r="L235" s="8">
        <v>0.0</v>
      </c>
      <c r="M235" s="8">
        <v>0.0</v>
      </c>
      <c r="N235" s="8">
        <v>2.0</v>
      </c>
      <c r="O235" s="8">
        <v>0.0</v>
      </c>
      <c r="P235" s="8">
        <v>2.0</v>
      </c>
      <c r="Q235" s="8">
        <v>3.0</v>
      </c>
      <c r="R235" s="18">
        <f t="shared" ref="R235:T235" si="469">(L235/F235)*1000000</f>
        <v>0</v>
      </c>
      <c r="S235" s="18">
        <f t="shared" si="469"/>
        <v>0</v>
      </c>
      <c r="T235" s="18">
        <f t="shared" si="469"/>
        <v>178.8588803</v>
      </c>
      <c r="U235" s="18">
        <f t="shared" si="4"/>
        <v>59.61962678</v>
      </c>
      <c r="V235" s="18">
        <f t="shared" ref="V235:X235" si="470">(O235/I235)*1000000</f>
        <v>0</v>
      </c>
      <c r="W235" s="18">
        <f t="shared" si="470"/>
        <v>139.4894685</v>
      </c>
      <c r="X235" s="18">
        <f t="shared" si="470"/>
        <v>204.7222601</v>
      </c>
      <c r="Y235" s="18">
        <f t="shared" si="6"/>
        <v>114.7372429</v>
      </c>
    </row>
    <row r="236" ht="14.25" customHeight="1">
      <c r="A236" s="7" t="s">
        <v>326</v>
      </c>
      <c r="B236" s="7" t="s">
        <v>364</v>
      </c>
      <c r="C236" s="7" t="s">
        <v>388</v>
      </c>
      <c r="D236" s="7" t="s">
        <v>388</v>
      </c>
      <c r="E236" s="8">
        <v>51204.0</v>
      </c>
      <c r="F236" s="8">
        <v>5831.0</v>
      </c>
      <c r="G236" s="8">
        <v>5935.0</v>
      </c>
      <c r="H236" s="8">
        <v>5925.0</v>
      </c>
      <c r="I236" s="8">
        <v>5838.0</v>
      </c>
      <c r="J236" s="8">
        <v>5829.0</v>
      </c>
      <c r="K236" s="8">
        <v>5819.0</v>
      </c>
      <c r="L236" s="8">
        <v>0.0</v>
      </c>
      <c r="M236" s="8">
        <v>0.0</v>
      </c>
      <c r="N236" s="8">
        <v>0.0</v>
      </c>
      <c r="O236" s="8">
        <v>0.0</v>
      </c>
      <c r="P236" s="8">
        <v>0.0</v>
      </c>
      <c r="Q236" s="8">
        <v>0.0</v>
      </c>
      <c r="R236" s="18">
        <f t="shared" ref="R236:T236" si="471">(L236/F236)*1000000</f>
        <v>0</v>
      </c>
      <c r="S236" s="18">
        <f t="shared" si="471"/>
        <v>0</v>
      </c>
      <c r="T236" s="18">
        <f t="shared" si="471"/>
        <v>0</v>
      </c>
      <c r="U236" s="18">
        <f t="shared" si="4"/>
        <v>0</v>
      </c>
      <c r="V236" s="18">
        <f t="shared" ref="V236:X236" si="472">(O236/I236)*1000000</f>
        <v>0</v>
      </c>
      <c r="W236" s="18">
        <f t="shared" si="472"/>
        <v>0</v>
      </c>
      <c r="X236" s="18">
        <f t="shared" si="472"/>
        <v>0</v>
      </c>
      <c r="Y236" s="18">
        <f t="shared" si="6"/>
        <v>0</v>
      </c>
    </row>
    <row r="237" ht="14.25" customHeight="1">
      <c r="A237" s="7" t="s">
        <v>326</v>
      </c>
      <c r="B237" s="7" t="s">
        <v>390</v>
      </c>
      <c r="C237" s="7" t="s">
        <v>322</v>
      </c>
      <c r="D237" s="7" t="s">
        <v>322</v>
      </c>
      <c r="E237" s="8">
        <v>51301.0</v>
      </c>
      <c r="F237" s="8">
        <v>4233.0</v>
      </c>
      <c r="G237" s="8">
        <v>4170.0</v>
      </c>
      <c r="H237" s="8">
        <v>4128.0</v>
      </c>
      <c r="I237" s="8">
        <v>3750.0</v>
      </c>
      <c r="J237" s="8">
        <v>3708.0</v>
      </c>
      <c r="K237" s="8">
        <v>3666.0</v>
      </c>
      <c r="L237" s="8">
        <v>0.0</v>
      </c>
      <c r="M237" s="8">
        <v>0.0</v>
      </c>
      <c r="N237" s="8">
        <v>0.0</v>
      </c>
      <c r="O237" s="8">
        <v>0.0</v>
      </c>
      <c r="P237" s="8">
        <v>0.0</v>
      </c>
      <c r="Q237" s="8">
        <v>0.0</v>
      </c>
      <c r="R237" s="18">
        <f t="shared" ref="R237:T237" si="473">(L237/F237)*1000000</f>
        <v>0</v>
      </c>
      <c r="S237" s="18">
        <f t="shared" si="473"/>
        <v>0</v>
      </c>
      <c r="T237" s="18">
        <f t="shared" si="473"/>
        <v>0</v>
      </c>
      <c r="U237" s="18">
        <f t="shared" si="4"/>
        <v>0</v>
      </c>
      <c r="V237" s="18">
        <f t="shared" ref="V237:X237" si="474">(O237/I237)*1000000</f>
        <v>0</v>
      </c>
      <c r="W237" s="18">
        <f t="shared" si="474"/>
        <v>0</v>
      </c>
      <c r="X237" s="18">
        <f t="shared" si="474"/>
        <v>0</v>
      </c>
      <c r="Y237" s="18">
        <f t="shared" si="6"/>
        <v>0</v>
      </c>
    </row>
    <row r="238" ht="14.25" customHeight="1">
      <c r="A238" s="7" t="s">
        <v>326</v>
      </c>
      <c r="B238" s="7" t="s">
        <v>390</v>
      </c>
      <c r="C238" s="7" t="s">
        <v>321</v>
      </c>
      <c r="D238" s="7" t="s">
        <v>321</v>
      </c>
      <c r="E238" s="8">
        <v>51302.0</v>
      </c>
      <c r="F238" s="8">
        <v>6125.0</v>
      </c>
      <c r="G238" s="8">
        <v>6161.0</v>
      </c>
      <c r="H238" s="8">
        <v>6020.0</v>
      </c>
      <c r="I238" s="8">
        <v>4753.0</v>
      </c>
      <c r="J238" s="8">
        <v>4612.0</v>
      </c>
      <c r="K238" s="8">
        <v>4471.0</v>
      </c>
      <c r="L238" s="8">
        <v>8.0</v>
      </c>
      <c r="M238" s="8">
        <v>5.0</v>
      </c>
      <c r="N238" s="8">
        <v>6.0</v>
      </c>
      <c r="O238" s="8">
        <v>0.0</v>
      </c>
      <c r="P238" s="8">
        <v>0.0</v>
      </c>
      <c r="Q238" s="8">
        <v>2.0</v>
      </c>
      <c r="R238" s="18">
        <f t="shared" ref="R238:T238" si="475">(L238/F238)*1000000</f>
        <v>1306.122449</v>
      </c>
      <c r="S238" s="18">
        <f t="shared" si="475"/>
        <v>811.5565655</v>
      </c>
      <c r="T238" s="18">
        <f t="shared" si="475"/>
        <v>996.6777409</v>
      </c>
      <c r="U238" s="18">
        <f t="shared" si="4"/>
        <v>1038.118918</v>
      </c>
      <c r="V238" s="18">
        <f t="shared" ref="V238:X238" si="476">(O238/I238)*1000000</f>
        <v>0</v>
      </c>
      <c r="W238" s="18">
        <f t="shared" si="476"/>
        <v>0</v>
      </c>
      <c r="X238" s="18">
        <f t="shared" si="476"/>
        <v>447.3272199</v>
      </c>
      <c r="Y238" s="18">
        <f t="shared" si="6"/>
        <v>149.1090733</v>
      </c>
    </row>
    <row r="239" ht="14.25" customHeight="1">
      <c r="A239" s="7" t="s">
        <v>326</v>
      </c>
      <c r="B239" s="7" t="s">
        <v>393</v>
      </c>
      <c r="C239" s="7" t="s">
        <v>343</v>
      </c>
      <c r="D239" s="7" t="s">
        <v>343</v>
      </c>
      <c r="E239" s="8">
        <v>51401.0</v>
      </c>
      <c r="F239" s="8">
        <v>4036.0</v>
      </c>
      <c r="G239" s="8">
        <v>4150.0</v>
      </c>
      <c r="H239" s="8">
        <v>4153.0</v>
      </c>
      <c r="I239" s="8">
        <v>4181.0</v>
      </c>
      <c r="J239" s="8">
        <v>4184.0</v>
      </c>
      <c r="K239" s="8">
        <v>4187.0</v>
      </c>
      <c r="L239" s="8">
        <v>0.0</v>
      </c>
      <c r="M239" s="8">
        <v>0.0</v>
      </c>
      <c r="N239" s="8">
        <v>0.0</v>
      </c>
      <c r="O239" s="8">
        <v>1.0</v>
      </c>
      <c r="P239" s="8">
        <v>0.0</v>
      </c>
      <c r="Q239" s="8">
        <v>0.0</v>
      </c>
      <c r="R239" s="18">
        <f t="shared" ref="R239:T239" si="477">(L239/F239)*1000000</f>
        <v>0</v>
      </c>
      <c r="S239" s="18">
        <f t="shared" si="477"/>
        <v>0</v>
      </c>
      <c r="T239" s="18">
        <f t="shared" si="477"/>
        <v>0</v>
      </c>
      <c r="U239" s="18">
        <f t="shared" si="4"/>
        <v>0</v>
      </c>
      <c r="V239" s="18">
        <f t="shared" ref="V239:X239" si="478">(O239/I239)*1000000</f>
        <v>239.1772303</v>
      </c>
      <c r="W239" s="18">
        <f t="shared" si="478"/>
        <v>0</v>
      </c>
      <c r="X239" s="18">
        <f t="shared" si="478"/>
        <v>0</v>
      </c>
      <c r="Y239" s="18">
        <f t="shared" si="6"/>
        <v>79.72574344</v>
      </c>
    </row>
    <row r="240" ht="14.25" customHeight="1">
      <c r="A240" s="7" t="s">
        <v>326</v>
      </c>
      <c r="B240" s="7" t="s">
        <v>393</v>
      </c>
      <c r="C240" s="7" t="s">
        <v>361</v>
      </c>
      <c r="D240" s="7" t="s">
        <v>361</v>
      </c>
      <c r="E240" s="8">
        <v>51402.0</v>
      </c>
      <c r="F240" s="8">
        <v>1742.0</v>
      </c>
      <c r="G240" s="8">
        <v>1700.0</v>
      </c>
      <c r="H240" s="8">
        <v>1687.0</v>
      </c>
      <c r="I240" s="8">
        <v>1572.0</v>
      </c>
      <c r="J240" s="8">
        <v>1559.0</v>
      </c>
      <c r="K240" s="8">
        <v>1546.0</v>
      </c>
      <c r="L240" s="8">
        <v>0.0</v>
      </c>
      <c r="M240" s="8">
        <v>0.0</v>
      </c>
      <c r="N240" s="8">
        <v>0.0</v>
      </c>
      <c r="O240" s="8">
        <v>0.0</v>
      </c>
      <c r="P240" s="8">
        <v>0.0</v>
      </c>
      <c r="Q240" s="8">
        <v>0.0</v>
      </c>
      <c r="R240" s="18">
        <f t="shared" ref="R240:T240" si="479">(L240/F240)*1000000</f>
        <v>0</v>
      </c>
      <c r="S240" s="18">
        <f t="shared" si="479"/>
        <v>0</v>
      </c>
      <c r="T240" s="18">
        <f t="shared" si="479"/>
        <v>0</v>
      </c>
      <c r="U240" s="18">
        <f t="shared" si="4"/>
        <v>0</v>
      </c>
      <c r="V240" s="18">
        <f t="shared" ref="V240:X240" si="480">(O240/I240)*1000000</f>
        <v>0</v>
      </c>
      <c r="W240" s="18">
        <f t="shared" si="480"/>
        <v>0</v>
      </c>
      <c r="X240" s="18">
        <f t="shared" si="480"/>
        <v>0</v>
      </c>
      <c r="Y240" s="18">
        <f t="shared" si="6"/>
        <v>0</v>
      </c>
    </row>
    <row r="241" ht="14.25" customHeight="1">
      <c r="A241" s="7" t="s">
        <v>326</v>
      </c>
      <c r="B241" s="7" t="s">
        <v>396</v>
      </c>
      <c r="C241" s="7" t="s">
        <v>397</v>
      </c>
      <c r="D241" s="7" t="s">
        <v>397</v>
      </c>
      <c r="E241" s="8">
        <v>51501.0</v>
      </c>
      <c r="F241" s="8">
        <v>44121.0</v>
      </c>
      <c r="G241" s="8">
        <v>44906.0</v>
      </c>
      <c r="H241" s="8">
        <v>45276.0</v>
      </c>
      <c r="I241" s="8">
        <v>48601.0</v>
      </c>
      <c r="J241" s="8">
        <v>48971.0</v>
      </c>
      <c r="K241" s="8">
        <v>49340.0</v>
      </c>
      <c r="L241" s="8">
        <v>3.0</v>
      </c>
      <c r="M241" s="8">
        <v>3.0</v>
      </c>
      <c r="N241" s="8">
        <v>2.0</v>
      </c>
      <c r="O241" s="8">
        <v>1.0</v>
      </c>
      <c r="P241" s="8">
        <v>8.0</v>
      </c>
      <c r="Q241" s="8">
        <v>7.0</v>
      </c>
      <c r="R241" s="18">
        <f t="shared" ref="R241:T241" si="481">(L241/F241)*1000000</f>
        <v>67.99483239</v>
      </c>
      <c r="S241" s="18">
        <f t="shared" si="481"/>
        <v>66.80621743</v>
      </c>
      <c r="T241" s="18">
        <f t="shared" si="481"/>
        <v>44.17351356</v>
      </c>
      <c r="U241" s="18">
        <f t="shared" si="4"/>
        <v>59.6581878</v>
      </c>
      <c r="V241" s="18">
        <f t="shared" ref="V241:X241" si="482">(O241/I241)*1000000</f>
        <v>20.57570832</v>
      </c>
      <c r="W241" s="18">
        <f t="shared" si="482"/>
        <v>163.3619897</v>
      </c>
      <c r="X241" s="18">
        <f t="shared" si="482"/>
        <v>141.8727199</v>
      </c>
      <c r="Y241" s="18">
        <f t="shared" si="6"/>
        <v>108.6034727</v>
      </c>
    </row>
    <row r="242" ht="14.25" customHeight="1">
      <c r="A242" s="7" t="s">
        <v>326</v>
      </c>
      <c r="B242" s="7" t="s">
        <v>399</v>
      </c>
      <c r="C242" s="7" t="s">
        <v>400</v>
      </c>
      <c r="D242" s="7" t="s">
        <v>400</v>
      </c>
      <c r="E242" s="8">
        <v>51601.0</v>
      </c>
      <c r="F242" s="8">
        <v>1680.0</v>
      </c>
      <c r="G242" s="8">
        <v>1684.0</v>
      </c>
      <c r="H242" s="8">
        <v>1721.0</v>
      </c>
      <c r="I242" s="8">
        <v>2052.0</v>
      </c>
      <c r="J242" s="8">
        <v>2089.0</v>
      </c>
      <c r="K242" s="8">
        <v>2126.0</v>
      </c>
      <c r="L242" s="8">
        <v>0.0</v>
      </c>
      <c r="M242" s="8">
        <v>0.0</v>
      </c>
      <c r="N242" s="8">
        <v>0.0</v>
      </c>
      <c r="O242" s="8">
        <v>0.0</v>
      </c>
      <c r="P242" s="8">
        <v>0.0</v>
      </c>
      <c r="Q242" s="8">
        <v>0.0</v>
      </c>
      <c r="R242" s="18">
        <f t="shared" ref="R242:T242" si="483">(L242/F242)*1000000</f>
        <v>0</v>
      </c>
      <c r="S242" s="18">
        <f t="shared" si="483"/>
        <v>0</v>
      </c>
      <c r="T242" s="18">
        <f t="shared" si="483"/>
        <v>0</v>
      </c>
      <c r="U242" s="18">
        <f t="shared" si="4"/>
        <v>0</v>
      </c>
      <c r="V242" s="18">
        <f t="shared" ref="V242:X242" si="484">(O242/I242)*1000000</f>
        <v>0</v>
      </c>
      <c r="W242" s="18">
        <f t="shared" si="484"/>
        <v>0</v>
      </c>
      <c r="X242" s="18">
        <f t="shared" si="484"/>
        <v>0</v>
      </c>
      <c r="Y242" s="18">
        <f t="shared" si="6"/>
        <v>0</v>
      </c>
    </row>
    <row r="243" ht="14.25" customHeight="1">
      <c r="A243" s="7" t="s">
        <v>402</v>
      </c>
      <c r="B243" s="7" t="s">
        <v>236</v>
      </c>
      <c r="C243" s="7" t="s">
        <v>402</v>
      </c>
      <c r="D243" s="7" t="s">
        <v>402</v>
      </c>
      <c r="E243" s="8">
        <v>60101.0</v>
      </c>
      <c r="F243" s="8">
        <v>200655.0</v>
      </c>
      <c r="G243" s="8">
        <v>205375.0</v>
      </c>
      <c r="H243" s="8">
        <v>208156.0</v>
      </c>
      <c r="I243" s="8">
        <v>233187.0</v>
      </c>
      <c r="J243" s="8">
        <v>235968.0</v>
      </c>
      <c r="K243" s="8">
        <v>238749.0</v>
      </c>
      <c r="L243" s="8">
        <v>10.0</v>
      </c>
      <c r="M243" s="8">
        <v>10.0</v>
      </c>
      <c r="N243" s="8">
        <v>15.0</v>
      </c>
      <c r="O243" s="8">
        <v>48.0</v>
      </c>
      <c r="P243" s="8">
        <v>68.0</v>
      </c>
      <c r="Q243" s="8">
        <v>65.0</v>
      </c>
      <c r="R243" s="18">
        <f t="shared" ref="R243:T243" si="485">(L243/F243)*1000000</f>
        <v>49.83678453</v>
      </c>
      <c r="S243" s="18">
        <f t="shared" si="485"/>
        <v>48.69141814</v>
      </c>
      <c r="T243" s="18">
        <f t="shared" si="485"/>
        <v>72.06133861</v>
      </c>
      <c r="U243" s="18">
        <f t="shared" si="4"/>
        <v>56.86318043</v>
      </c>
      <c r="V243" s="18">
        <f t="shared" ref="V243:X243" si="486">(O243/I243)*1000000</f>
        <v>205.8433789</v>
      </c>
      <c r="W243" s="18">
        <f t="shared" si="486"/>
        <v>288.1746678</v>
      </c>
      <c r="X243" s="18">
        <f t="shared" si="486"/>
        <v>272.2524492</v>
      </c>
      <c r="Y243" s="18">
        <f t="shared" si="6"/>
        <v>255.4234986</v>
      </c>
    </row>
    <row r="244" ht="14.25" customHeight="1">
      <c r="A244" s="7" t="s">
        <v>402</v>
      </c>
      <c r="B244" s="7" t="s">
        <v>404</v>
      </c>
      <c r="C244" s="7" t="s">
        <v>405</v>
      </c>
      <c r="D244" s="7" t="s">
        <v>405</v>
      </c>
      <c r="E244" s="8">
        <v>60201.0</v>
      </c>
      <c r="F244" s="8">
        <v>18734.0</v>
      </c>
      <c r="G244" s="8">
        <v>18681.0</v>
      </c>
      <c r="H244" s="8">
        <v>18609.0</v>
      </c>
      <c r="I244" s="8">
        <v>17961.0</v>
      </c>
      <c r="J244" s="8">
        <v>17889.0</v>
      </c>
      <c r="K244" s="8">
        <v>17817.0</v>
      </c>
      <c r="L244" s="8">
        <v>0.0</v>
      </c>
      <c r="M244" s="8">
        <v>0.0</v>
      </c>
      <c r="N244" s="8">
        <v>0.0</v>
      </c>
      <c r="O244" s="8">
        <v>1.0</v>
      </c>
      <c r="P244" s="8">
        <v>1.0</v>
      </c>
      <c r="Q244" s="8">
        <v>0.0</v>
      </c>
      <c r="R244" s="18">
        <f t="shared" ref="R244:T244" si="487">(L244/F244)*1000000</f>
        <v>0</v>
      </c>
      <c r="S244" s="18">
        <f t="shared" si="487"/>
        <v>0</v>
      </c>
      <c r="T244" s="18">
        <f t="shared" si="487"/>
        <v>0</v>
      </c>
      <c r="U244" s="18">
        <f t="shared" si="4"/>
        <v>0</v>
      </c>
      <c r="V244" s="18">
        <f t="shared" ref="V244:X244" si="488">(O244/I244)*1000000</f>
        <v>55.67618729</v>
      </c>
      <c r="W244" s="18">
        <f t="shared" si="488"/>
        <v>55.90027391</v>
      </c>
      <c r="X244" s="18">
        <f t="shared" si="488"/>
        <v>0</v>
      </c>
      <c r="Y244" s="18">
        <f t="shared" si="6"/>
        <v>37.19215374</v>
      </c>
    </row>
    <row r="245" ht="14.25" customHeight="1">
      <c r="A245" s="7" t="s">
        <v>402</v>
      </c>
      <c r="B245" s="7" t="s">
        <v>404</v>
      </c>
      <c r="C245" s="7" t="s">
        <v>407</v>
      </c>
      <c r="D245" s="7" t="s">
        <v>407</v>
      </c>
      <c r="E245" s="8">
        <v>60202.0</v>
      </c>
      <c r="F245" s="8">
        <v>34396.0</v>
      </c>
      <c r="G245" s="8">
        <v>34505.0</v>
      </c>
      <c r="H245" s="8">
        <v>34710.0</v>
      </c>
      <c r="I245" s="8">
        <v>36559.0</v>
      </c>
      <c r="J245" s="8">
        <v>36765.0</v>
      </c>
      <c r="K245" s="8">
        <v>36970.0</v>
      </c>
      <c r="L245" s="8">
        <v>8.0</v>
      </c>
      <c r="M245" s="8">
        <v>2.0</v>
      </c>
      <c r="N245" s="8">
        <v>2.0</v>
      </c>
      <c r="O245" s="8">
        <v>6.0</v>
      </c>
      <c r="P245" s="8">
        <v>9.0</v>
      </c>
      <c r="Q245" s="8">
        <v>6.0</v>
      </c>
      <c r="R245" s="18">
        <f t="shared" ref="R245:T245" si="489">(L245/F245)*1000000</f>
        <v>232.5851843</v>
      </c>
      <c r="S245" s="18">
        <f t="shared" si="489"/>
        <v>57.96261411</v>
      </c>
      <c r="T245" s="18">
        <f t="shared" si="489"/>
        <v>57.62028234</v>
      </c>
      <c r="U245" s="18">
        <f t="shared" si="4"/>
        <v>116.0560269</v>
      </c>
      <c r="V245" s="18">
        <f t="shared" ref="V245:X245" si="490">(O245/I245)*1000000</f>
        <v>164.1182746</v>
      </c>
      <c r="W245" s="18">
        <f t="shared" si="490"/>
        <v>244.7980416</v>
      </c>
      <c r="X245" s="18">
        <f t="shared" si="490"/>
        <v>162.2937517</v>
      </c>
      <c r="Y245" s="18">
        <f t="shared" si="6"/>
        <v>190.403356</v>
      </c>
    </row>
    <row r="246" ht="14.25" customHeight="1">
      <c r="A246" s="7" t="s">
        <v>402</v>
      </c>
      <c r="B246" s="7" t="s">
        <v>409</v>
      </c>
      <c r="C246" s="7" t="s">
        <v>410</v>
      </c>
      <c r="D246" s="7" t="s">
        <v>410</v>
      </c>
      <c r="E246" s="8">
        <v>60301.0</v>
      </c>
      <c r="F246" s="8">
        <v>91452.0</v>
      </c>
      <c r="G246" s="8">
        <v>92245.0</v>
      </c>
      <c r="H246" s="8">
        <v>92694.0</v>
      </c>
      <c r="I246" s="8">
        <v>96736.0</v>
      </c>
      <c r="J246" s="8">
        <v>97185.0</v>
      </c>
      <c r="K246" s="8">
        <v>97634.0</v>
      </c>
      <c r="L246" s="8">
        <v>2.0</v>
      </c>
      <c r="M246" s="8">
        <v>22.0</v>
      </c>
      <c r="N246" s="8">
        <v>10.0</v>
      </c>
      <c r="O246" s="8">
        <v>26.0</v>
      </c>
      <c r="P246" s="8">
        <v>17.0</v>
      </c>
      <c r="Q246" s="8">
        <v>21.0</v>
      </c>
      <c r="R246" s="18">
        <f t="shared" ref="R246:T246" si="491">(L246/F246)*1000000</f>
        <v>21.86939597</v>
      </c>
      <c r="S246" s="18">
        <f t="shared" si="491"/>
        <v>238.4953114</v>
      </c>
      <c r="T246" s="18">
        <f t="shared" si="491"/>
        <v>107.8818478</v>
      </c>
      <c r="U246" s="18">
        <f t="shared" si="4"/>
        <v>122.7488517</v>
      </c>
      <c r="V246" s="18">
        <f t="shared" ref="V246:X246" si="492">(O246/I246)*1000000</f>
        <v>268.7727423</v>
      </c>
      <c r="W246" s="18">
        <f t="shared" si="492"/>
        <v>174.9241138</v>
      </c>
      <c r="X246" s="18">
        <f t="shared" si="492"/>
        <v>215.0890059</v>
      </c>
      <c r="Y246" s="18">
        <f t="shared" si="6"/>
        <v>219.5952873</v>
      </c>
    </row>
    <row r="247" ht="14.25" customHeight="1">
      <c r="A247" s="7" t="s">
        <v>402</v>
      </c>
      <c r="B247" s="7" t="s">
        <v>409</v>
      </c>
      <c r="C247" s="7" t="s">
        <v>412</v>
      </c>
      <c r="D247" s="7" t="s">
        <v>412</v>
      </c>
      <c r="E247" s="8">
        <v>60302.0</v>
      </c>
      <c r="F247" s="8">
        <v>14790.0</v>
      </c>
      <c r="G247" s="8">
        <v>15366.0</v>
      </c>
      <c r="H247" s="8">
        <v>15382.0</v>
      </c>
      <c r="I247" s="8">
        <v>15527.0</v>
      </c>
      <c r="J247" s="8">
        <v>15543.0</v>
      </c>
      <c r="K247" s="8">
        <v>15559.0</v>
      </c>
      <c r="L247" s="8">
        <v>0.0</v>
      </c>
      <c r="M247" s="8">
        <v>0.0</v>
      </c>
      <c r="N247" s="8">
        <v>0.0</v>
      </c>
      <c r="O247" s="8">
        <v>1.0</v>
      </c>
      <c r="P247" s="8">
        <v>0.0</v>
      </c>
      <c r="Q247" s="8">
        <v>1.0</v>
      </c>
      <c r="R247" s="18">
        <f t="shared" ref="R247:T247" si="493">(L247/F247)*1000000</f>
        <v>0</v>
      </c>
      <c r="S247" s="18">
        <f t="shared" si="493"/>
        <v>0</v>
      </c>
      <c r="T247" s="18">
        <f t="shared" si="493"/>
        <v>0</v>
      </c>
      <c r="U247" s="18">
        <f t="shared" si="4"/>
        <v>0</v>
      </c>
      <c r="V247" s="18">
        <f t="shared" ref="V247:X247" si="494">(O247/I247)*1000000</f>
        <v>64.40394152</v>
      </c>
      <c r="W247" s="18">
        <f t="shared" si="494"/>
        <v>0</v>
      </c>
      <c r="X247" s="18">
        <f t="shared" si="494"/>
        <v>64.27148274</v>
      </c>
      <c r="Y247" s="18">
        <f t="shared" si="6"/>
        <v>42.89180809</v>
      </c>
    </row>
    <row r="248" ht="14.25" customHeight="1">
      <c r="A248" s="7" t="s">
        <v>402</v>
      </c>
      <c r="B248" s="7" t="s">
        <v>409</v>
      </c>
      <c r="C248" s="7" t="s">
        <v>414</v>
      </c>
      <c r="D248" s="7" t="s">
        <v>414</v>
      </c>
      <c r="E248" s="8">
        <v>60303.0</v>
      </c>
      <c r="F248" s="8">
        <v>38403.0</v>
      </c>
      <c r="G248" s="8">
        <v>39867.0</v>
      </c>
      <c r="H248" s="8">
        <v>40384.0</v>
      </c>
      <c r="I248" s="8">
        <v>45037.0</v>
      </c>
      <c r="J248" s="8">
        <v>45554.0</v>
      </c>
      <c r="K248" s="8">
        <v>46071.0</v>
      </c>
      <c r="L248" s="8">
        <v>5.0</v>
      </c>
      <c r="M248" s="8">
        <v>3.0</v>
      </c>
      <c r="N248" s="8">
        <v>3.0</v>
      </c>
      <c r="O248" s="8">
        <v>8.0</v>
      </c>
      <c r="P248" s="8">
        <v>10.0</v>
      </c>
      <c r="Q248" s="8">
        <v>5.0</v>
      </c>
      <c r="R248" s="18">
        <f t="shared" ref="R248:T248" si="495">(L248/F248)*1000000</f>
        <v>130.1981616</v>
      </c>
      <c r="S248" s="18">
        <f t="shared" si="495"/>
        <v>75.25020694</v>
      </c>
      <c r="T248" s="18">
        <f t="shared" si="495"/>
        <v>74.28684628</v>
      </c>
      <c r="U248" s="18">
        <f t="shared" si="4"/>
        <v>93.24507161</v>
      </c>
      <c r="V248" s="18">
        <f t="shared" ref="V248:X248" si="496">(O248/I248)*1000000</f>
        <v>177.631725</v>
      </c>
      <c r="W248" s="18">
        <f t="shared" si="496"/>
        <v>219.5196909</v>
      </c>
      <c r="X248" s="18">
        <f t="shared" si="496"/>
        <v>108.5281413</v>
      </c>
      <c r="Y248" s="18">
        <f t="shared" si="6"/>
        <v>168.5598524</v>
      </c>
    </row>
    <row r="249" ht="14.25" customHeight="1">
      <c r="A249" s="7" t="s">
        <v>402</v>
      </c>
      <c r="B249" s="7" t="s">
        <v>416</v>
      </c>
      <c r="C249" s="7" t="s">
        <v>417</v>
      </c>
      <c r="D249" s="7" t="s">
        <v>398</v>
      </c>
      <c r="E249" s="8">
        <v>60401.0</v>
      </c>
      <c r="F249" s="8">
        <v>14558.0</v>
      </c>
      <c r="G249" s="8">
        <v>14781.0</v>
      </c>
      <c r="H249" s="8">
        <v>14876.0</v>
      </c>
      <c r="I249" s="8">
        <v>15733.0</v>
      </c>
      <c r="J249" s="8">
        <v>15828.0</v>
      </c>
      <c r="K249" s="8">
        <v>15923.0</v>
      </c>
      <c r="L249" s="8">
        <v>0.0</v>
      </c>
      <c r="M249" s="8">
        <v>1.0</v>
      </c>
      <c r="N249" s="8">
        <v>0.0</v>
      </c>
      <c r="O249" s="8">
        <v>0.0</v>
      </c>
      <c r="P249" s="8">
        <v>0.0</v>
      </c>
      <c r="Q249" s="8">
        <v>1.0</v>
      </c>
      <c r="R249" s="18">
        <f t="shared" ref="R249:T249" si="497">(L249/F249)*1000000</f>
        <v>0</v>
      </c>
      <c r="S249" s="18">
        <f t="shared" si="497"/>
        <v>67.65442122</v>
      </c>
      <c r="T249" s="18">
        <f t="shared" si="497"/>
        <v>0</v>
      </c>
      <c r="U249" s="18">
        <f t="shared" si="4"/>
        <v>22.55147374</v>
      </c>
      <c r="V249" s="18">
        <f t="shared" ref="V249:X249" si="498">(O249/I249)*1000000</f>
        <v>0</v>
      </c>
      <c r="W249" s="18">
        <f t="shared" si="498"/>
        <v>0</v>
      </c>
      <c r="X249" s="18">
        <f t="shared" si="498"/>
        <v>62.80223576</v>
      </c>
      <c r="Y249" s="18">
        <f t="shared" si="6"/>
        <v>20.93407859</v>
      </c>
    </row>
    <row r="250" ht="14.25" customHeight="1">
      <c r="A250" s="7" t="s">
        <v>402</v>
      </c>
      <c r="B250" s="7" t="s">
        <v>416</v>
      </c>
      <c r="C250" s="7" t="s">
        <v>419</v>
      </c>
      <c r="D250" s="7" t="s">
        <v>419</v>
      </c>
      <c r="E250" s="8">
        <v>60402.0</v>
      </c>
      <c r="F250" s="8">
        <v>5461.0</v>
      </c>
      <c r="G250" s="8">
        <v>5490.0</v>
      </c>
      <c r="H250" s="8">
        <v>5429.0</v>
      </c>
      <c r="I250" s="8">
        <v>4877.0</v>
      </c>
      <c r="J250" s="8">
        <v>4815.0</v>
      </c>
      <c r="K250" s="8">
        <v>4754.0</v>
      </c>
      <c r="L250" s="8">
        <v>0.0</v>
      </c>
      <c r="M250" s="8">
        <v>0.0</v>
      </c>
      <c r="N250" s="8">
        <v>0.0</v>
      </c>
      <c r="O250" s="8">
        <v>0.0</v>
      </c>
      <c r="P250" s="8">
        <v>0.0</v>
      </c>
      <c r="Q250" s="8">
        <v>0.0</v>
      </c>
      <c r="R250" s="18">
        <f t="shared" ref="R250:T250" si="499">(L250/F250)*1000000</f>
        <v>0</v>
      </c>
      <c r="S250" s="18">
        <f t="shared" si="499"/>
        <v>0</v>
      </c>
      <c r="T250" s="18">
        <f t="shared" si="499"/>
        <v>0</v>
      </c>
      <c r="U250" s="18">
        <f t="shared" si="4"/>
        <v>0</v>
      </c>
      <c r="V250" s="18">
        <f t="shared" ref="V250:X250" si="500">(O250/I250)*1000000</f>
        <v>0</v>
      </c>
      <c r="W250" s="18">
        <f t="shared" si="500"/>
        <v>0</v>
      </c>
      <c r="X250" s="18">
        <f t="shared" si="500"/>
        <v>0</v>
      </c>
      <c r="Y250" s="18">
        <f t="shared" si="6"/>
        <v>0</v>
      </c>
    </row>
    <row r="251" ht="14.25" customHeight="1">
      <c r="A251" s="7" t="s">
        <v>402</v>
      </c>
      <c r="B251" s="7" t="s">
        <v>421</v>
      </c>
      <c r="C251" s="7" t="s">
        <v>313</v>
      </c>
      <c r="D251" s="7" t="s">
        <v>471</v>
      </c>
      <c r="E251" s="8">
        <v>60501.0</v>
      </c>
      <c r="F251" s="8">
        <v>23637.0</v>
      </c>
      <c r="G251" s="8">
        <v>23863.0</v>
      </c>
      <c r="H251" s="8">
        <v>24403.0</v>
      </c>
      <c r="I251" s="8">
        <v>29266.0</v>
      </c>
      <c r="J251" s="8">
        <v>29806.0</v>
      </c>
      <c r="K251" s="8">
        <v>30346.0</v>
      </c>
      <c r="L251" s="8">
        <v>1.0</v>
      </c>
      <c r="M251" s="8">
        <v>0.0</v>
      </c>
      <c r="N251" s="8">
        <v>0.0</v>
      </c>
      <c r="O251" s="8">
        <v>2.0</v>
      </c>
      <c r="P251" s="8">
        <v>0.0</v>
      </c>
      <c r="Q251" s="8">
        <v>1.0</v>
      </c>
      <c r="R251" s="18">
        <f t="shared" ref="R251:T251" si="501">(L251/F251)*1000000</f>
        <v>42.30655329</v>
      </c>
      <c r="S251" s="18">
        <f t="shared" si="501"/>
        <v>0</v>
      </c>
      <c r="T251" s="18">
        <f t="shared" si="501"/>
        <v>0</v>
      </c>
      <c r="U251" s="18">
        <f t="shared" si="4"/>
        <v>14.10218443</v>
      </c>
      <c r="V251" s="18">
        <f t="shared" ref="V251:X251" si="502">(O251/I251)*1000000</f>
        <v>68.33868653</v>
      </c>
      <c r="W251" s="18">
        <f t="shared" si="502"/>
        <v>0</v>
      </c>
      <c r="X251" s="18">
        <f t="shared" si="502"/>
        <v>32.95327226</v>
      </c>
      <c r="Y251" s="18">
        <f t="shared" si="6"/>
        <v>33.76398626</v>
      </c>
    </row>
    <row r="252" ht="14.25" customHeight="1">
      <c r="A252" s="7" t="s">
        <v>402</v>
      </c>
      <c r="B252" s="7" t="s">
        <v>421</v>
      </c>
      <c r="C252" s="7" t="s">
        <v>406</v>
      </c>
      <c r="D252" s="7" t="s">
        <v>406</v>
      </c>
      <c r="E252" s="8">
        <v>60502.0</v>
      </c>
      <c r="F252" s="8">
        <v>11291.0</v>
      </c>
      <c r="G252" s="8">
        <v>11354.0</v>
      </c>
      <c r="H252" s="8">
        <v>11201.0</v>
      </c>
      <c r="I252" s="8">
        <v>9828.0</v>
      </c>
      <c r="J252" s="8">
        <v>9676.0</v>
      </c>
      <c r="K252" s="8">
        <v>9523.0</v>
      </c>
      <c r="L252" s="8">
        <v>1.0</v>
      </c>
      <c r="M252" s="8">
        <v>0.0</v>
      </c>
      <c r="N252" s="8">
        <v>0.0</v>
      </c>
      <c r="O252" s="8">
        <v>1.0</v>
      </c>
      <c r="P252" s="8">
        <v>0.0</v>
      </c>
      <c r="Q252" s="8">
        <v>0.0</v>
      </c>
      <c r="R252" s="18">
        <f t="shared" ref="R252:T252" si="503">(L252/F252)*1000000</f>
        <v>88.5661146</v>
      </c>
      <c r="S252" s="18">
        <f t="shared" si="503"/>
        <v>0</v>
      </c>
      <c r="T252" s="18">
        <f t="shared" si="503"/>
        <v>0</v>
      </c>
      <c r="U252" s="18">
        <f t="shared" si="4"/>
        <v>29.5220382</v>
      </c>
      <c r="V252" s="18">
        <f t="shared" ref="V252:X252" si="504">(O252/I252)*1000000</f>
        <v>101.7501018</v>
      </c>
      <c r="W252" s="18">
        <f t="shared" si="504"/>
        <v>0</v>
      </c>
      <c r="X252" s="18">
        <f t="shared" si="504"/>
        <v>0</v>
      </c>
      <c r="Y252" s="18">
        <f t="shared" si="6"/>
        <v>33.91670058</v>
      </c>
    </row>
    <row r="253" ht="14.25" customHeight="1">
      <c r="A253" s="7" t="s">
        <v>402</v>
      </c>
      <c r="B253" s="7" t="s">
        <v>424</v>
      </c>
      <c r="C253" s="7" t="s">
        <v>253</v>
      </c>
      <c r="D253" s="7" t="s">
        <v>253</v>
      </c>
      <c r="E253" s="8">
        <v>60601.0</v>
      </c>
      <c r="F253" s="8">
        <v>21750.0</v>
      </c>
      <c r="G253" s="8">
        <v>21991.0</v>
      </c>
      <c r="H253" s="8">
        <v>21897.0</v>
      </c>
      <c r="I253" s="8">
        <v>21052.0</v>
      </c>
      <c r="J253" s="8">
        <v>20958.0</v>
      </c>
      <c r="K253" s="8">
        <v>20864.0</v>
      </c>
      <c r="L253" s="8">
        <v>0.0</v>
      </c>
      <c r="M253" s="8">
        <v>1.0</v>
      </c>
      <c r="N253" s="8">
        <v>0.0</v>
      </c>
      <c r="O253" s="8">
        <v>4.0</v>
      </c>
      <c r="P253" s="8">
        <v>2.0</v>
      </c>
      <c r="Q253" s="8">
        <v>1.0</v>
      </c>
      <c r="R253" s="18">
        <f t="shared" ref="R253:T253" si="505">(L253/F253)*1000000</f>
        <v>0</v>
      </c>
      <c r="S253" s="18">
        <f t="shared" si="505"/>
        <v>45.47314811</v>
      </c>
      <c r="T253" s="18">
        <f t="shared" si="505"/>
        <v>0</v>
      </c>
      <c r="U253" s="18">
        <f t="shared" si="4"/>
        <v>15.15771604</v>
      </c>
      <c r="V253" s="18">
        <f t="shared" ref="V253:X253" si="506">(O253/I253)*1000000</f>
        <v>190.0057002</v>
      </c>
      <c r="W253" s="18">
        <f t="shared" si="506"/>
        <v>95.42895314</v>
      </c>
      <c r="X253" s="18">
        <f t="shared" si="506"/>
        <v>47.92944785</v>
      </c>
      <c r="Y253" s="18">
        <f t="shared" si="6"/>
        <v>111.1213671</v>
      </c>
    </row>
    <row r="254" ht="14.25" customHeight="1">
      <c r="A254" s="7" t="s">
        <v>426</v>
      </c>
      <c r="B254" s="7" t="s">
        <v>427</v>
      </c>
      <c r="C254" s="7" t="s">
        <v>428</v>
      </c>
      <c r="D254" s="7" t="s">
        <v>428</v>
      </c>
      <c r="E254" s="8">
        <v>70101.0</v>
      </c>
      <c r="F254" s="8">
        <v>1416003.0</v>
      </c>
      <c r="G254" s="8">
        <v>1444425.0</v>
      </c>
      <c r="H254" s="8">
        <v>1458305.0</v>
      </c>
      <c r="I254" s="8">
        <v>1583223.0</v>
      </c>
      <c r="J254" s="8">
        <v>1597102.0</v>
      </c>
      <c r="K254" s="8">
        <v>1610982.0</v>
      </c>
      <c r="L254" s="8">
        <v>526.0</v>
      </c>
      <c r="M254" s="8">
        <v>355.0</v>
      </c>
      <c r="N254" s="8">
        <v>494.0</v>
      </c>
      <c r="O254" s="8">
        <v>913.0</v>
      </c>
      <c r="P254" s="8">
        <v>1034.0</v>
      </c>
      <c r="Q254" s="8">
        <v>907.0</v>
      </c>
      <c r="R254" s="18">
        <f t="shared" ref="R254:T254" si="507">(L254/F254)*1000000</f>
        <v>371.4681395</v>
      </c>
      <c r="S254" s="18">
        <f t="shared" si="507"/>
        <v>245.7725392</v>
      </c>
      <c r="T254" s="18">
        <f t="shared" si="507"/>
        <v>338.7494386</v>
      </c>
      <c r="U254" s="18">
        <f t="shared" si="4"/>
        <v>318.6633725</v>
      </c>
      <c r="V254" s="18">
        <f t="shared" ref="V254:X254" si="508">(O254/I254)*1000000</f>
        <v>576.6717639</v>
      </c>
      <c r="W254" s="18">
        <f t="shared" si="508"/>
        <v>647.4226443</v>
      </c>
      <c r="X254" s="18">
        <f t="shared" si="508"/>
        <v>563.0106357</v>
      </c>
      <c r="Y254" s="18">
        <f t="shared" si="6"/>
        <v>595.7016813</v>
      </c>
    </row>
    <row r="255" ht="14.25" customHeight="1">
      <c r="A255" s="7" t="s">
        <v>426</v>
      </c>
      <c r="B255" s="7" t="s">
        <v>427</v>
      </c>
      <c r="C255" s="7" t="s">
        <v>401</v>
      </c>
      <c r="D255" s="7" t="s">
        <v>401</v>
      </c>
      <c r="E255" s="8">
        <v>70102.0</v>
      </c>
      <c r="F255" s="8">
        <v>53887.0</v>
      </c>
      <c r="G255" s="8">
        <v>55633.0</v>
      </c>
      <c r="H255" s="8">
        <v>59881.0</v>
      </c>
      <c r="I255" s="8">
        <v>98108.0</v>
      </c>
      <c r="J255" s="8">
        <v>102356.0</v>
      </c>
      <c r="K255" s="8">
        <v>106603.0</v>
      </c>
      <c r="L255" s="8">
        <v>1.0</v>
      </c>
      <c r="M255" s="8">
        <v>4.0</v>
      </c>
      <c r="N255" s="8">
        <v>6.0</v>
      </c>
      <c r="O255" s="8">
        <v>26.0</v>
      </c>
      <c r="P255" s="8">
        <v>34.0</v>
      </c>
      <c r="Q255" s="8">
        <v>30.0</v>
      </c>
      <c r="R255" s="18">
        <f t="shared" ref="R255:T255" si="509">(L255/F255)*1000000</f>
        <v>18.55735149</v>
      </c>
      <c r="S255" s="18">
        <f t="shared" si="509"/>
        <v>71.89977172</v>
      </c>
      <c r="T255" s="18">
        <f t="shared" si="509"/>
        <v>100.1987275</v>
      </c>
      <c r="U255" s="18">
        <f t="shared" si="4"/>
        <v>63.55195023</v>
      </c>
      <c r="V255" s="18">
        <f t="shared" ref="V255:X255" si="510">(O255/I255)*1000000</f>
        <v>265.0140661</v>
      </c>
      <c r="W255" s="18">
        <f t="shared" si="510"/>
        <v>332.173981</v>
      </c>
      <c r="X255" s="18">
        <f t="shared" si="510"/>
        <v>281.4179714</v>
      </c>
      <c r="Y255" s="18">
        <f t="shared" si="6"/>
        <v>292.8686728</v>
      </c>
    </row>
    <row r="256" ht="14.25" customHeight="1">
      <c r="A256" s="7" t="s">
        <v>426</v>
      </c>
      <c r="B256" s="7" t="s">
        <v>427</v>
      </c>
      <c r="C256" s="7" t="s">
        <v>431</v>
      </c>
      <c r="D256" s="7" t="s">
        <v>573</v>
      </c>
      <c r="E256" s="8">
        <v>70103.0</v>
      </c>
      <c r="F256" s="8">
        <v>14932.0</v>
      </c>
      <c r="G256" s="8">
        <v>15317.0</v>
      </c>
      <c r="H256" s="8">
        <v>15968.0</v>
      </c>
      <c r="I256" s="8">
        <v>21825.0</v>
      </c>
      <c r="J256" s="8">
        <v>22475.0</v>
      </c>
      <c r="K256" s="8">
        <v>23126.0</v>
      </c>
      <c r="L256" s="8">
        <v>0.0</v>
      </c>
      <c r="M256" s="8">
        <v>0.0</v>
      </c>
      <c r="N256" s="8">
        <v>0.0</v>
      </c>
      <c r="O256" s="8">
        <v>2.0</v>
      </c>
      <c r="P256" s="8">
        <v>4.0</v>
      </c>
      <c r="Q256" s="8">
        <v>0.0</v>
      </c>
      <c r="R256" s="18">
        <f t="shared" ref="R256:T256" si="511">(L256/F256)*1000000</f>
        <v>0</v>
      </c>
      <c r="S256" s="18">
        <f t="shared" si="511"/>
        <v>0</v>
      </c>
      <c r="T256" s="18">
        <f t="shared" si="511"/>
        <v>0</v>
      </c>
      <c r="U256" s="18">
        <f t="shared" si="4"/>
        <v>0</v>
      </c>
      <c r="V256" s="18">
        <f t="shared" ref="V256:X256" si="512">(O256/I256)*1000000</f>
        <v>91.63802978</v>
      </c>
      <c r="W256" s="18">
        <f t="shared" si="512"/>
        <v>177.9755284</v>
      </c>
      <c r="X256" s="18">
        <f t="shared" si="512"/>
        <v>0</v>
      </c>
      <c r="Y256" s="18">
        <f t="shared" si="6"/>
        <v>89.87118605</v>
      </c>
    </row>
    <row r="257" ht="14.25" customHeight="1">
      <c r="A257" s="7" t="s">
        <v>426</v>
      </c>
      <c r="B257" s="7" t="s">
        <v>427</v>
      </c>
      <c r="C257" s="7" t="s">
        <v>413</v>
      </c>
      <c r="D257" s="7" t="s">
        <v>413</v>
      </c>
      <c r="E257" s="8">
        <v>70104.0</v>
      </c>
      <c r="F257" s="8">
        <v>84763.0</v>
      </c>
      <c r="G257" s="8">
        <v>89284.0</v>
      </c>
      <c r="H257" s="8">
        <v>94154.0</v>
      </c>
      <c r="I257" s="8">
        <v>137986.0</v>
      </c>
      <c r="J257" s="8">
        <v>142856.0</v>
      </c>
      <c r="K257" s="8">
        <v>147726.0</v>
      </c>
      <c r="L257" s="8">
        <v>2.0</v>
      </c>
      <c r="M257" s="8">
        <v>0.0</v>
      </c>
      <c r="N257" s="8">
        <v>6.0</v>
      </c>
      <c r="O257" s="8">
        <v>35.0</v>
      </c>
      <c r="P257" s="8">
        <v>32.0</v>
      </c>
      <c r="Q257" s="8">
        <v>37.0</v>
      </c>
      <c r="R257" s="18">
        <f t="shared" ref="R257:T257" si="513">(L257/F257)*1000000</f>
        <v>23.59520074</v>
      </c>
      <c r="S257" s="18">
        <f t="shared" si="513"/>
        <v>0</v>
      </c>
      <c r="T257" s="18">
        <f t="shared" si="513"/>
        <v>63.72538607</v>
      </c>
      <c r="U257" s="18">
        <f t="shared" si="4"/>
        <v>29.10686227</v>
      </c>
      <c r="V257" s="18">
        <f t="shared" ref="V257:X257" si="514">(O257/I257)*1000000</f>
        <v>253.6489209</v>
      </c>
      <c r="W257" s="18">
        <f t="shared" si="514"/>
        <v>224.001792</v>
      </c>
      <c r="X257" s="18">
        <f t="shared" si="514"/>
        <v>250.4636963</v>
      </c>
      <c r="Y257" s="18">
        <f t="shared" si="6"/>
        <v>242.7048031</v>
      </c>
    </row>
    <row r="258" ht="14.25" customHeight="1">
      <c r="A258" s="7" t="s">
        <v>426</v>
      </c>
      <c r="B258" s="7" t="s">
        <v>427</v>
      </c>
      <c r="C258" s="7" t="s">
        <v>408</v>
      </c>
      <c r="D258" s="7" t="s">
        <v>408</v>
      </c>
      <c r="E258" s="8">
        <v>70105.0</v>
      </c>
      <c r="F258" s="8">
        <v>48589.0</v>
      </c>
      <c r="G258" s="8">
        <v>49652.0</v>
      </c>
      <c r="H258" s="8">
        <v>50156.0</v>
      </c>
      <c r="I258" s="8">
        <v>54690.0</v>
      </c>
      <c r="J258" s="8">
        <v>55193.0</v>
      </c>
      <c r="K258" s="8">
        <v>55697.0</v>
      </c>
      <c r="L258" s="8">
        <v>4.0</v>
      </c>
      <c r="M258" s="8">
        <v>7.0</v>
      </c>
      <c r="N258" s="8">
        <v>7.0</v>
      </c>
      <c r="O258" s="8">
        <v>25.0</v>
      </c>
      <c r="P258" s="8">
        <v>18.0</v>
      </c>
      <c r="Q258" s="8">
        <v>13.0</v>
      </c>
      <c r="R258" s="18">
        <f t="shared" ref="R258:T258" si="515">(L258/F258)*1000000</f>
        <v>82.32315956</v>
      </c>
      <c r="S258" s="18">
        <f t="shared" si="515"/>
        <v>140.9812294</v>
      </c>
      <c r="T258" s="18">
        <f t="shared" si="515"/>
        <v>139.5645586</v>
      </c>
      <c r="U258" s="18">
        <f t="shared" si="4"/>
        <v>120.9563158</v>
      </c>
      <c r="V258" s="18">
        <f t="shared" ref="V258:X258" si="516">(O258/I258)*1000000</f>
        <v>457.1219601</v>
      </c>
      <c r="W258" s="18">
        <f t="shared" si="516"/>
        <v>326.1283134</v>
      </c>
      <c r="X258" s="18">
        <f t="shared" si="516"/>
        <v>233.405749</v>
      </c>
      <c r="Y258" s="18">
        <f t="shared" si="6"/>
        <v>338.8853408</v>
      </c>
    </row>
    <row r="259" ht="14.25" customHeight="1">
      <c r="A259" s="7" t="s">
        <v>426</v>
      </c>
      <c r="B259" s="7" t="s">
        <v>435</v>
      </c>
      <c r="C259" s="7" t="s">
        <v>435</v>
      </c>
      <c r="D259" s="7" t="s">
        <v>435</v>
      </c>
      <c r="E259" s="8">
        <v>70201.0</v>
      </c>
      <c r="F259" s="8">
        <v>91762.0</v>
      </c>
      <c r="G259" s="8">
        <v>96406.0</v>
      </c>
      <c r="H259" s="8">
        <v>100976.0</v>
      </c>
      <c r="I259" s="8">
        <v>142108.0</v>
      </c>
      <c r="J259" s="8">
        <v>146678.0</v>
      </c>
      <c r="K259" s="8">
        <v>151248.0</v>
      </c>
      <c r="L259" s="8">
        <v>11.0</v>
      </c>
      <c r="M259" s="8">
        <v>13.0</v>
      </c>
      <c r="N259" s="8">
        <v>27.0</v>
      </c>
      <c r="O259" s="8">
        <v>58.0</v>
      </c>
      <c r="P259" s="8">
        <v>69.0</v>
      </c>
      <c r="Q259" s="8">
        <v>50.0</v>
      </c>
      <c r="R259" s="18">
        <f t="shared" ref="R259:T259" si="517">(L259/F259)*1000000</f>
        <v>119.8753297</v>
      </c>
      <c r="S259" s="18">
        <f t="shared" si="517"/>
        <v>134.8463789</v>
      </c>
      <c r="T259" s="18">
        <f t="shared" si="517"/>
        <v>267.390271</v>
      </c>
      <c r="U259" s="18">
        <f t="shared" si="4"/>
        <v>174.0373265</v>
      </c>
      <c r="V259" s="18">
        <f t="shared" ref="V259:X259" si="518">(O259/I259)*1000000</f>
        <v>408.1402877</v>
      </c>
      <c r="W259" s="18">
        <f t="shared" si="518"/>
        <v>470.418195</v>
      </c>
      <c r="X259" s="18">
        <f t="shared" si="518"/>
        <v>330.5828837</v>
      </c>
      <c r="Y259" s="18">
        <f t="shared" si="6"/>
        <v>403.0471221</v>
      </c>
    </row>
    <row r="260" ht="14.25" customHeight="1">
      <c r="A260" s="7" t="s">
        <v>426</v>
      </c>
      <c r="B260" s="7" t="s">
        <v>435</v>
      </c>
      <c r="C260" s="7" t="s">
        <v>423</v>
      </c>
      <c r="D260" s="7" t="s">
        <v>423</v>
      </c>
      <c r="E260" s="8">
        <v>70202.0</v>
      </c>
      <c r="F260" s="8">
        <v>12407.0</v>
      </c>
      <c r="G260" s="8">
        <v>12482.0</v>
      </c>
      <c r="H260" s="8">
        <v>12331.0</v>
      </c>
      <c r="I260" s="8">
        <v>10968.0</v>
      </c>
      <c r="J260" s="8">
        <v>10816.0</v>
      </c>
      <c r="K260" s="8">
        <v>10665.0</v>
      </c>
      <c r="L260" s="8">
        <v>1.0</v>
      </c>
      <c r="M260" s="8">
        <v>0.0</v>
      </c>
      <c r="N260" s="8">
        <v>0.0</v>
      </c>
      <c r="O260" s="8">
        <v>0.0</v>
      </c>
      <c r="P260" s="8">
        <v>3.0</v>
      </c>
      <c r="Q260" s="8">
        <v>2.0</v>
      </c>
      <c r="R260" s="18">
        <f t="shared" ref="R260:T260" si="519">(L260/F260)*1000000</f>
        <v>80.59966148</v>
      </c>
      <c r="S260" s="18">
        <f t="shared" si="519"/>
        <v>0</v>
      </c>
      <c r="T260" s="18">
        <f t="shared" si="519"/>
        <v>0</v>
      </c>
      <c r="U260" s="18">
        <f t="shared" si="4"/>
        <v>26.86655383</v>
      </c>
      <c r="V260" s="18">
        <f t="shared" ref="V260:X260" si="520">(O260/I260)*1000000</f>
        <v>0</v>
      </c>
      <c r="W260" s="18">
        <f t="shared" si="520"/>
        <v>277.3668639</v>
      </c>
      <c r="X260" s="18">
        <f t="shared" si="520"/>
        <v>187.5293015</v>
      </c>
      <c r="Y260" s="18">
        <f t="shared" si="6"/>
        <v>154.9653885</v>
      </c>
    </row>
    <row r="261" ht="14.25" customHeight="1">
      <c r="A261" s="7" t="s">
        <v>426</v>
      </c>
      <c r="B261" s="7" t="s">
        <v>438</v>
      </c>
      <c r="C261" s="7" t="s">
        <v>439</v>
      </c>
      <c r="D261" s="7" t="s">
        <v>46</v>
      </c>
      <c r="E261" s="8">
        <v>70301.0</v>
      </c>
      <c r="F261" s="8">
        <v>51367.0</v>
      </c>
      <c r="G261" s="8">
        <v>52362.0</v>
      </c>
      <c r="H261" s="8">
        <v>53590.0</v>
      </c>
      <c r="I261" s="8">
        <v>64646.0</v>
      </c>
      <c r="J261" s="8">
        <v>65875.0</v>
      </c>
      <c r="K261" s="8">
        <v>67103.0</v>
      </c>
      <c r="L261" s="8">
        <v>9.0</v>
      </c>
      <c r="M261" s="8">
        <v>5.0</v>
      </c>
      <c r="N261" s="8">
        <v>0.0</v>
      </c>
      <c r="O261" s="8">
        <v>8.0</v>
      </c>
      <c r="P261" s="8">
        <v>10.0</v>
      </c>
      <c r="Q261" s="8">
        <v>10.0</v>
      </c>
      <c r="R261" s="18">
        <f t="shared" ref="R261:T261" si="521">(L261/F261)*1000000</f>
        <v>175.209765</v>
      </c>
      <c r="S261" s="18">
        <f t="shared" si="521"/>
        <v>95.48909515</v>
      </c>
      <c r="T261" s="18">
        <f t="shared" si="521"/>
        <v>0</v>
      </c>
      <c r="U261" s="18">
        <f t="shared" si="4"/>
        <v>90.23295339</v>
      </c>
      <c r="V261" s="18">
        <f t="shared" ref="V261:X261" si="522">(O261/I261)*1000000</f>
        <v>123.7508895</v>
      </c>
      <c r="W261" s="18">
        <f t="shared" si="522"/>
        <v>151.8026565</v>
      </c>
      <c r="X261" s="18">
        <f t="shared" si="522"/>
        <v>149.0246338</v>
      </c>
      <c r="Y261" s="18">
        <f t="shared" si="6"/>
        <v>141.5260599</v>
      </c>
    </row>
    <row r="262" ht="14.25" customHeight="1">
      <c r="A262" s="7" t="s">
        <v>426</v>
      </c>
      <c r="B262" s="7" t="s">
        <v>438</v>
      </c>
      <c r="C262" s="7" t="s">
        <v>441</v>
      </c>
      <c r="D262" s="7" t="s">
        <v>574</v>
      </c>
      <c r="E262" s="8">
        <v>70302.0</v>
      </c>
      <c r="F262" s="8">
        <v>11231.0</v>
      </c>
      <c r="G262" s="8">
        <v>11327.0</v>
      </c>
      <c r="H262" s="8">
        <v>11653.0</v>
      </c>
      <c r="I262" s="8">
        <v>14587.0</v>
      </c>
      <c r="J262" s="8">
        <v>14913.0</v>
      </c>
      <c r="K262" s="8">
        <v>15239.0</v>
      </c>
      <c r="L262" s="8">
        <v>0.0</v>
      </c>
      <c r="M262" s="8">
        <v>0.0</v>
      </c>
      <c r="N262" s="8">
        <v>0.0</v>
      </c>
      <c r="O262" s="8">
        <v>2.0</v>
      </c>
      <c r="P262" s="8">
        <v>0.0</v>
      </c>
      <c r="Q262" s="8">
        <v>0.0</v>
      </c>
      <c r="R262" s="18">
        <f t="shared" ref="R262:T262" si="523">(L262/F262)*1000000</f>
        <v>0</v>
      </c>
      <c r="S262" s="18">
        <f t="shared" si="523"/>
        <v>0</v>
      </c>
      <c r="T262" s="18">
        <f t="shared" si="523"/>
        <v>0</v>
      </c>
      <c r="U262" s="18">
        <f t="shared" si="4"/>
        <v>0</v>
      </c>
      <c r="V262" s="18">
        <f t="shared" ref="V262:X262" si="524">(O262/I262)*1000000</f>
        <v>137.1083842</v>
      </c>
      <c r="W262" s="18">
        <f t="shared" si="524"/>
        <v>0</v>
      </c>
      <c r="X262" s="18">
        <f t="shared" si="524"/>
        <v>0</v>
      </c>
      <c r="Y262" s="18">
        <f t="shared" si="6"/>
        <v>45.70279473</v>
      </c>
    </row>
    <row r="263" ht="14.25" customHeight="1">
      <c r="A263" s="7" t="s">
        <v>426</v>
      </c>
      <c r="B263" s="7" t="s">
        <v>438</v>
      </c>
      <c r="C263" s="7" t="s">
        <v>443</v>
      </c>
      <c r="D263" s="7" t="s">
        <v>443</v>
      </c>
      <c r="E263" s="8">
        <v>70303.0</v>
      </c>
      <c r="F263" s="8">
        <v>6037.0</v>
      </c>
      <c r="G263" s="8">
        <v>6139.0</v>
      </c>
      <c r="H263" s="8">
        <v>6364.0</v>
      </c>
      <c r="I263" s="8">
        <v>8392.0</v>
      </c>
      <c r="J263" s="8">
        <v>8617.0</v>
      </c>
      <c r="K263" s="8">
        <v>8842.0</v>
      </c>
      <c r="L263" s="8">
        <v>0.0</v>
      </c>
      <c r="M263" s="8">
        <v>1.0</v>
      </c>
      <c r="N263" s="8">
        <v>0.0</v>
      </c>
      <c r="O263" s="8">
        <v>1.0</v>
      </c>
      <c r="P263" s="8">
        <v>0.0</v>
      </c>
      <c r="Q263" s="8">
        <v>1.0</v>
      </c>
      <c r="R263" s="18">
        <f t="shared" ref="R263:T263" si="525">(L263/F263)*1000000</f>
        <v>0</v>
      </c>
      <c r="S263" s="18">
        <f t="shared" si="525"/>
        <v>162.8929793</v>
      </c>
      <c r="T263" s="18">
        <f t="shared" si="525"/>
        <v>0</v>
      </c>
      <c r="U263" s="18">
        <f t="shared" si="4"/>
        <v>54.29765977</v>
      </c>
      <c r="V263" s="18">
        <f t="shared" ref="V263:X263" si="526">(O263/I263)*1000000</f>
        <v>119.1611058</v>
      </c>
      <c r="W263" s="18">
        <f t="shared" si="526"/>
        <v>0</v>
      </c>
      <c r="X263" s="18">
        <f t="shared" si="526"/>
        <v>113.0965845</v>
      </c>
      <c r="Y263" s="18">
        <f t="shared" si="6"/>
        <v>77.4192301</v>
      </c>
    </row>
    <row r="264" ht="14.25" customHeight="1">
      <c r="A264" s="7" t="s">
        <v>426</v>
      </c>
      <c r="B264" s="7" t="s">
        <v>445</v>
      </c>
      <c r="C264" s="7" t="s">
        <v>387</v>
      </c>
      <c r="D264" s="7" t="s">
        <v>387</v>
      </c>
      <c r="E264" s="8">
        <v>70401.0</v>
      </c>
      <c r="F264" s="8">
        <v>12915.0</v>
      </c>
      <c r="G264" s="8">
        <v>12879.0</v>
      </c>
      <c r="H264" s="8">
        <v>12943.0</v>
      </c>
      <c r="I264" s="8">
        <v>13522.0</v>
      </c>
      <c r="J264" s="8">
        <v>13587.0</v>
      </c>
      <c r="K264" s="8">
        <v>13651.0</v>
      </c>
      <c r="L264" s="8">
        <v>3.0</v>
      </c>
      <c r="M264" s="8">
        <v>0.0</v>
      </c>
      <c r="N264" s="8">
        <v>0.0</v>
      </c>
      <c r="O264" s="8">
        <v>1.0</v>
      </c>
      <c r="P264" s="8">
        <v>2.0</v>
      </c>
      <c r="Q264" s="8">
        <v>1.0</v>
      </c>
      <c r="R264" s="18">
        <f t="shared" ref="R264:T264" si="527">(L264/F264)*1000000</f>
        <v>232.2880372</v>
      </c>
      <c r="S264" s="18">
        <f t="shared" si="527"/>
        <v>0</v>
      </c>
      <c r="T264" s="18">
        <f t="shared" si="527"/>
        <v>0</v>
      </c>
      <c r="U264" s="18">
        <f t="shared" si="4"/>
        <v>77.42934572</v>
      </c>
      <c r="V264" s="18">
        <f t="shared" ref="V264:X264" si="528">(O264/I264)*1000000</f>
        <v>73.95355717</v>
      </c>
      <c r="W264" s="18">
        <f t="shared" si="528"/>
        <v>147.199529</v>
      </c>
      <c r="X264" s="18">
        <f t="shared" si="528"/>
        <v>73.25470661</v>
      </c>
      <c r="Y264" s="18">
        <f t="shared" si="6"/>
        <v>98.13593091</v>
      </c>
    </row>
    <row r="265" ht="14.25" customHeight="1">
      <c r="A265" s="7" t="s">
        <v>426</v>
      </c>
      <c r="B265" s="7" t="s">
        <v>445</v>
      </c>
      <c r="C265" s="7" t="s">
        <v>446</v>
      </c>
      <c r="D265" s="7" t="s">
        <v>446</v>
      </c>
      <c r="E265" s="8">
        <v>70402.0</v>
      </c>
      <c r="F265" s="8">
        <v>19767.0</v>
      </c>
      <c r="G265" s="8">
        <v>20093.0</v>
      </c>
      <c r="H265" s="8">
        <v>19997.0</v>
      </c>
      <c r="I265" s="8">
        <v>19134.0</v>
      </c>
      <c r="J265" s="8">
        <v>19038.0</v>
      </c>
      <c r="K265" s="8">
        <v>18942.0</v>
      </c>
      <c r="L265" s="8">
        <v>5.0</v>
      </c>
      <c r="M265" s="8">
        <v>1.0</v>
      </c>
      <c r="N265" s="8">
        <v>1.0</v>
      </c>
      <c r="O265" s="8">
        <v>11.0</v>
      </c>
      <c r="P265" s="8">
        <v>10.0</v>
      </c>
      <c r="Q265" s="8">
        <v>3.0</v>
      </c>
      <c r="R265" s="18">
        <f t="shared" ref="R265:T265" si="529">(L265/F265)*1000000</f>
        <v>252.9468306</v>
      </c>
      <c r="S265" s="18">
        <f t="shared" si="529"/>
        <v>49.76857612</v>
      </c>
      <c r="T265" s="18">
        <f t="shared" si="529"/>
        <v>50.00750113</v>
      </c>
      <c r="U265" s="18">
        <f t="shared" si="4"/>
        <v>117.5743026</v>
      </c>
      <c r="V265" s="18">
        <f t="shared" ref="V265:X265" si="530">(O265/I265)*1000000</f>
        <v>574.8928609</v>
      </c>
      <c r="W265" s="18">
        <f t="shared" si="530"/>
        <v>525.265259</v>
      </c>
      <c r="X265" s="18">
        <f t="shared" si="530"/>
        <v>158.3782072</v>
      </c>
      <c r="Y265" s="18">
        <f t="shared" si="6"/>
        <v>419.512109</v>
      </c>
    </row>
    <row r="266" ht="14.25" customHeight="1">
      <c r="A266" s="7" t="s">
        <v>426</v>
      </c>
      <c r="B266" s="7" t="s">
        <v>445</v>
      </c>
      <c r="C266" s="7" t="s">
        <v>447</v>
      </c>
      <c r="D266" s="7" t="s">
        <v>447</v>
      </c>
      <c r="E266" s="8">
        <v>70403.0</v>
      </c>
      <c r="F266" s="8">
        <v>48829.0</v>
      </c>
      <c r="G266" s="8">
        <v>50558.0</v>
      </c>
      <c r="H266" s="8">
        <v>51161.0</v>
      </c>
      <c r="I266" s="8">
        <v>56588.0</v>
      </c>
      <c r="J266" s="8">
        <v>57191.0</v>
      </c>
      <c r="K266" s="8">
        <v>57794.0</v>
      </c>
      <c r="L266" s="8">
        <v>6.0</v>
      </c>
      <c r="M266" s="8">
        <v>7.0</v>
      </c>
      <c r="N266" s="8">
        <v>8.0</v>
      </c>
      <c r="O266" s="8">
        <v>26.0</v>
      </c>
      <c r="P266" s="8">
        <v>25.0</v>
      </c>
      <c r="Q266" s="8">
        <v>24.0</v>
      </c>
      <c r="R266" s="18">
        <f t="shared" ref="R266:T266" si="531">(L266/F266)*1000000</f>
        <v>122.877798</v>
      </c>
      <c r="S266" s="18">
        <f t="shared" si="531"/>
        <v>138.4548439</v>
      </c>
      <c r="T266" s="18">
        <f t="shared" si="531"/>
        <v>156.3691093</v>
      </c>
      <c r="U266" s="18">
        <f t="shared" si="4"/>
        <v>139.2339171</v>
      </c>
      <c r="V266" s="18">
        <f t="shared" ref="V266:X266" si="532">(O266/I266)*1000000</f>
        <v>459.4613699</v>
      </c>
      <c r="W266" s="18">
        <f t="shared" si="532"/>
        <v>437.1317165</v>
      </c>
      <c r="X266" s="18">
        <f t="shared" si="532"/>
        <v>415.2680209</v>
      </c>
      <c r="Y266" s="18">
        <f t="shared" si="6"/>
        <v>437.2870358</v>
      </c>
    </row>
    <row r="267" ht="14.25" customHeight="1">
      <c r="A267" s="7" t="s">
        <v>426</v>
      </c>
      <c r="B267" s="7" t="s">
        <v>445</v>
      </c>
      <c r="C267" s="7" t="s">
        <v>448</v>
      </c>
      <c r="D267" s="7" t="s">
        <v>448</v>
      </c>
      <c r="E267" s="8">
        <v>70404.0</v>
      </c>
      <c r="F267" s="8">
        <v>9186.0</v>
      </c>
      <c r="G267" s="8">
        <v>9191.0</v>
      </c>
      <c r="H267" s="8">
        <v>9275.0</v>
      </c>
      <c r="I267" s="8">
        <v>10032.0</v>
      </c>
      <c r="J267" s="8">
        <v>10116.0</v>
      </c>
      <c r="K267" s="8">
        <v>10200.0</v>
      </c>
      <c r="L267" s="8">
        <v>0.0</v>
      </c>
      <c r="M267" s="8">
        <v>0.0</v>
      </c>
      <c r="N267" s="8">
        <v>0.0</v>
      </c>
      <c r="O267" s="8">
        <v>0.0</v>
      </c>
      <c r="P267" s="8">
        <v>0.0</v>
      </c>
      <c r="Q267" s="8">
        <v>0.0</v>
      </c>
      <c r="R267" s="18">
        <f t="shared" ref="R267:T267" si="533">(L267/F267)*1000000</f>
        <v>0</v>
      </c>
      <c r="S267" s="18">
        <f t="shared" si="533"/>
        <v>0</v>
      </c>
      <c r="T267" s="18">
        <f t="shared" si="533"/>
        <v>0</v>
      </c>
      <c r="U267" s="18">
        <f t="shared" si="4"/>
        <v>0</v>
      </c>
      <c r="V267" s="18">
        <f t="shared" ref="V267:X267" si="534">(O267/I267)*1000000</f>
        <v>0</v>
      </c>
      <c r="W267" s="18">
        <f t="shared" si="534"/>
        <v>0</v>
      </c>
      <c r="X267" s="18">
        <f t="shared" si="534"/>
        <v>0</v>
      </c>
      <c r="Y267" s="18">
        <f t="shared" si="6"/>
        <v>0</v>
      </c>
    </row>
    <row r="268" ht="14.25" customHeight="1">
      <c r="A268" s="7" t="s">
        <v>426</v>
      </c>
      <c r="B268" s="7" t="s">
        <v>450</v>
      </c>
      <c r="C268" s="7" t="s">
        <v>451</v>
      </c>
      <c r="D268" s="7" t="s">
        <v>575</v>
      </c>
      <c r="E268" s="8">
        <v>70501.0</v>
      </c>
      <c r="F268" s="8">
        <v>27802.0</v>
      </c>
      <c r="G268" s="8">
        <v>28922.0</v>
      </c>
      <c r="H268" s="8">
        <v>29926.0</v>
      </c>
      <c r="I268" s="8">
        <v>38965.0</v>
      </c>
      <c r="J268" s="8">
        <v>39970.0</v>
      </c>
      <c r="K268" s="8">
        <v>40974.0</v>
      </c>
      <c r="L268" s="8">
        <v>1.0</v>
      </c>
      <c r="M268" s="8">
        <v>0.0</v>
      </c>
      <c r="N268" s="8">
        <v>2.0</v>
      </c>
      <c r="O268" s="8">
        <v>4.0</v>
      </c>
      <c r="P268" s="8">
        <v>5.0</v>
      </c>
      <c r="Q268" s="8">
        <v>2.0</v>
      </c>
      <c r="R268" s="18">
        <f t="shared" ref="R268:T268" si="535">(L268/F268)*1000000</f>
        <v>35.96863535</v>
      </c>
      <c r="S268" s="18">
        <f t="shared" si="535"/>
        <v>0</v>
      </c>
      <c r="T268" s="18">
        <f t="shared" si="535"/>
        <v>66.83151774</v>
      </c>
      <c r="U268" s="18">
        <f t="shared" si="4"/>
        <v>34.2667177</v>
      </c>
      <c r="V268" s="18">
        <f t="shared" ref="V268:X268" si="536">(O268/I268)*1000000</f>
        <v>102.6562299</v>
      </c>
      <c r="W268" s="18">
        <f t="shared" si="536"/>
        <v>125.0938204</v>
      </c>
      <c r="X268" s="18">
        <f t="shared" si="536"/>
        <v>48.8114414</v>
      </c>
      <c r="Y268" s="18">
        <f t="shared" si="6"/>
        <v>92.18716391</v>
      </c>
    </row>
    <row r="269" ht="14.25" customHeight="1">
      <c r="A269" s="7" t="s">
        <v>426</v>
      </c>
      <c r="B269" s="7" t="s">
        <v>450</v>
      </c>
      <c r="C269" s="7" t="s">
        <v>453</v>
      </c>
      <c r="D269" s="7" t="s">
        <v>453</v>
      </c>
      <c r="E269" s="8">
        <v>70502.0</v>
      </c>
      <c r="F269" s="8">
        <v>37016.0</v>
      </c>
      <c r="G269" s="8">
        <v>37866.0</v>
      </c>
      <c r="H269" s="8">
        <v>39252.0</v>
      </c>
      <c r="I269" s="8">
        <v>51724.0</v>
      </c>
      <c r="J269" s="8">
        <v>53109.0</v>
      </c>
      <c r="K269" s="8">
        <v>54495.0</v>
      </c>
      <c r="L269" s="8">
        <v>4.0</v>
      </c>
      <c r="M269" s="8">
        <v>4.0</v>
      </c>
      <c r="N269" s="8">
        <v>5.0</v>
      </c>
      <c r="O269" s="8">
        <v>5.0</v>
      </c>
      <c r="P269" s="8">
        <v>7.0</v>
      </c>
      <c r="Q269" s="8">
        <v>10.0</v>
      </c>
      <c r="R269" s="18">
        <f t="shared" ref="R269:T269" si="537">(L269/F269)*1000000</f>
        <v>108.0613789</v>
      </c>
      <c r="S269" s="18">
        <f t="shared" si="537"/>
        <v>105.6356626</v>
      </c>
      <c r="T269" s="18">
        <f t="shared" si="537"/>
        <v>127.3820442</v>
      </c>
      <c r="U269" s="18">
        <f t="shared" si="4"/>
        <v>113.6930286</v>
      </c>
      <c r="V269" s="18">
        <f t="shared" ref="V269:X269" si="538">(O269/I269)*1000000</f>
        <v>96.66692445</v>
      </c>
      <c r="W269" s="18">
        <f t="shared" si="538"/>
        <v>131.8044023</v>
      </c>
      <c r="X269" s="18">
        <f t="shared" si="538"/>
        <v>183.5030737</v>
      </c>
      <c r="Y269" s="18">
        <f t="shared" si="6"/>
        <v>137.3248001</v>
      </c>
    </row>
    <row r="270" ht="14.25" customHeight="1">
      <c r="A270" s="7" t="s">
        <v>426</v>
      </c>
      <c r="B270" s="7" t="s">
        <v>450</v>
      </c>
      <c r="C270" s="7" t="s">
        <v>455</v>
      </c>
      <c r="D270" s="7" t="s">
        <v>455</v>
      </c>
      <c r="E270" s="8">
        <v>70503.0</v>
      </c>
      <c r="F270" s="8">
        <v>15605.0</v>
      </c>
      <c r="G270" s="8">
        <v>15641.0</v>
      </c>
      <c r="H270" s="8">
        <v>15901.0</v>
      </c>
      <c r="I270" s="8">
        <v>18243.0</v>
      </c>
      <c r="J270" s="8">
        <v>18503.0</v>
      </c>
      <c r="K270" s="8">
        <v>18763.0</v>
      </c>
      <c r="L270" s="8">
        <v>0.0</v>
      </c>
      <c r="M270" s="8">
        <v>0.0</v>
      </c>
      <c r="N270" s="8">
        <v>0.0</v>
      </c>
      <c r="O270" s="8">
        <v>3.0</v>
      </c>
      <c r="P270" s="8">
        <v>2.0</v>
      </c>
      <c r="Q270" s="8">
        <v>4.0</v>
      </c>
      <c r="R270" s="18">
        <f t="shared" ref="R270:T270" si="539">(L270/F270)*1000000</f>
        <v>0</v>
      </c>
      <c r="S270" s="18">
        <f t="shared" si="539"/>
        <v>0</v>
      </c>
      <c r="T270" s="18">
        <f t="shared" si="539"/>
        <v>0</v>
      </c>
      <c r="U270" s="18">
        <f t="shared" si="4"/>
        <v>0</v>
      </c>
      <c r="V270" s="18">
        <f t="shared" ref="V270:X270" si="540">(O270/I270)*1000000</f>
        <v>164.4466371</v>
      </c>
      <c r="W270" s="18">
        <f t="shared" si="540"/>
        <v>108.0905799</v>
      </c>
      <c r="X270" s="18">
        <f t="shared" si="540"/>
        <v>213.1855247</v>
      </c>
      <c r="Y270" s="18">
        <f t="shared" si="6"/>
        <v>161.9075806</v>
      </c>
    </row>
    <row r="271" ht="14.25" customHeight="1">
      <c r="A271" s="7" t="s">
        <v>426</v>
      </c>
      <c r="B271" s="7" t="s">
        <v>456</v>
      </c>
      <c r="C271" s="7" t="s">
        <v>430</v>
      </c>
      <c r="D271" s="7" t="s">
        <v>430</v>
      </c>
      <c r="E271" s="8">
        <v>70601.0</v>
      </c>
      <c r="F271" s="8">
        <v>17751.0</v>
      </c>
      <c r="G271" s="8">
        <v>17885.0</v>
      </c>
      <c r="H271" s="8">
        <v>18123.0</v>
      </c>
      <c r="I271" s="8">
        <v>20267.0</v>
      </c>
      <c r="J271" s="8">
        <v>20505.0</v>
      </c>
      <c r="K271" s="8">
        <v>20743.0</v>
      </c>
      <c r="L271" s="8">
        <v>3.0</v>
      </c>
      <c r="M271" s="8">
        <v>3.0</v>
      </c>
      <c r="N271" s="8">
        <v>4.0</v>
      </c>
      <c r="O271" s="8">
        <v>9.0</v>
      </c>
      <c r="P271" s="8">
        <v>8.0</v>
      </c>
      <c r="Q271" s="8">
        <v>6.0</v>
      </c>
      <c r="R271" s="18">
        <f t="shared" ref="R271:T271" si="541">(L271/F271)*1000000</f>
        <v>169.0045631</v>
      </c>
      <c r="S271" s="18">
        <f t="shared" si="541"/>
        <v>167.7383282</v>
      </c>
      <c r="T271" s="18">
        <f t="shared" si="541"/>
        <v>220.7140098</v>
      </c>
      <c r="U271" s="18">
        <f t="shared" si="4"/>
        <v>185.8189671</v>
      </c>
      <c r="V271" s="18">
        <f t="shared" ref="V271:X271" si="542">(O271/I271)*1000000</f>
        <v>444.0716436</v>
      </c>
      <c r="W271" s="18">
        <f t="shared" si="542"/>
        <v>390.1487442</v>
      </c>
      <c r="X271" s="18">
        <f t="shared" si="542"/>
        <v>289.2542062</v>
      </c>
      <c r="Y271" s="18">
        <f t="shared" si="6"/>
        <v>374.4915313</v>
      </c>
    </row>
    <row r="272" ht="14.25" customHeight="1">
      <c r="A272" s="7" t="s">
        <v>426</v>
      </c>
      <c r="B272" s="7" t="s">
        <v>456</v>
      </c>
      <c r="C272" s="7" t="s">
        <v>457</v>
      </c>
      <c r="D272" s="7" t="s">
        <v>57</v>
      </c>
      <c r="E272" s="8">
        <v>70602.0</v>
      </c>
      <c r="F272" s="8">
        <v>18838.0</v>
      </c>
      <c r="G272" s="8">
        <v>19217.0</v>
      </c>
      <c r="H272" s="8">
        <v>19116.0</v>
      </c>
      <c r="I272" s="8">
        <v>18202.0</v>
      </c>
      <c r="J272" s="8">
        <v>18101.0</v>
      </c>
      <c r="K272" s="8">
        <v>17999.0</v>
      </c>
      <c r="L272" s="8">
        <v>2.0</v>
      </c>
      <c r="M272" s="8">
        <v>1.0</v>
      </c>
      <c r="N272" s="8">
        <v>0.0</v>
      </c>
      <c r="O272" s="8">
        <v>0.0</v>
      </c>
      <c r="P272" s="8">
        <v>1.0</v>
      </c>
      <c r="Q272" s="8">
        <v>0.0</v>
      </c>
      <c r="R272" s="18">
        <f t="shared" ref="R272:T272" si="543">(L272/F272)*1000000</f>
        <v>106.1683831</v>
      </c>
      <c r="S272" s="18">
        <f t="shared" si="543"/>
        <v>52.03725868</v>
      </c>
      <c r="T272" s="18">
        <f t="shared" si="543"/>
        <v>0</v>
      </c>
      <c r="U272" s="18">
        <f t="shared" si="4"/>
        <v>52.73521391</v>
      </c>
      <c r="V272" s="18">
        <f t="shared" ref="V272:X272" si="544">(O272/I272)*1000000</f>
        <v>0</v>
      </c>
      <c r="W272" s="18">
        <f t="shared" si="544"/>
        <v>55.24556654</v>
      </c>
      <c r="X272" s="18">
        <f t="shared" si="544"/>
        <v>0</v>
      </c>
      <c r="Y272" s="18">
        <f t="shared" si="6"/>
        <v>18.41518885</v>
      </c>
    </row>
    <row r="273" ht="14.25" customHeight="1">
      <c r="A273" s="7" t="s">
        <v>426</v>
      </c>
      <c r="B273" s="7" t="s">
        <v>456</v>
      </c>
      <c r="C273" s="7" t="s">
        <v>458</v>
      </c>
      <c r="D273" s="7" t="s">
        <v>458</v>
      </c>
      <c r="E273" s="8">
        <v>70603.0</v>
      </c>
      <c r="F273" s="8">
        <v>6088.0</v>
      </c>
      <c r="G273" s="8">
        <v>6069.0</v>
      </c>
      <c r="H273" s="8">
        <v>6064.0</v>
      </c>
      <c r="I273" s="8">
        <v>6017.0</v>
      </c>
      <c r="J273" s="8">
        <v>6012.0</v>
      </c>
      <c r="K273" s="8">
        <v>6007.0</v>
      </c>
      <c r="L273" s="8">
        <v>0.0</v>
      </c>
      <c r="M273" s="8">
        <v>0.0</v>
      </c>
      <c r="N273" s="8">
        <v>0.0</v>
      </c>
      <c r="O273" s="8">
        <v>0.0</v>
      </c>
      <c r="P273" s="8">
        <v>0.0</v>
      </c>
      <c r="Q273" s="8">
        <v>0.0</v>
      </c>
      <c r="R273" s="18">
        <f t="shared" ref="R273:T273" si="545">(L273/F273)*1000000</f>
        <v>0</v>
      </c>
      <c r="S273" s="18">
        <f t="shared" si="545"/>
        <v>0</v>
      </c>
      <c r="T273" s="18">
        <f t="shared" si="545"/>
        <v>0</v>
      </c>
      <c r="U273" s="18">
        <f t="shared" si="4"/>
        <v>0</v>
      </c>
      <c r="V273" s="18">
        <f t="shared" ref="V273:X273" si="546">(O273/I273)*1000000</f>
        <v>0</v>
      </c>
      <c r="W273" s="18">
        <f t="shared" si="546"/>
        <v>0</v>
      </c>
      <c r="X273" s="18">
        <f t="shared" si="546"/>
        <v>0</v>
      </c>
      <c r="Y273" s="18">
        <f t="shared" si="6"/>
        <v>0</v>
      </c>
    </row>
    <row r="274" ht="14.25" customHeight="1">
      <c r="A274" s="7" t="s">
        <v>426</v>
      </c>
      <c r="B274" s="7" t="s">
        <v>459</v>
      </c>
      <c r="C274" s="7" t="s">
        <v>415</v>
      </c>
      <c r="D274" s="7" t="s">
        <v>415</v>
      </c>
      <c r="E274" s="8">
        <v>70701.0</v>
      </c>
      <c r="F274" s="8">
        <v>5358.0</v>
      </c>
      <c r="G274" s="8">
        <v>5366.0</v>
      </c>
      <c r="H274" s="8">
        <v>5414.0</v>
      </c>
      <c r="I274" s="8">
        <v>5849.0</v>
      </c>
      <c r="J274" s="8">
        <v>5898.0</v>
      </c>
      <c r="K274" s="8">
        <v>5946.0</v>
      </c>
      <c r="L274" s="8">
        <v>0.0</v>
      </c>
      <c r="M274" s="8">
        <v>0.0</v>
      </c>
      <c r="N274" s="8">
        <v>0.0</v>
      </c>
      <c r="O274" s="8">
        <v>0.0</v>
      </c>
      <c r="P274" s="8">
        <v>0.0</v>
      </c>
      <c r="Q274" s="8">
        <v>1.0</v>
      </c>
      <c r="R274" s="18">
        <f t="shared" ref="R274:T274" si="547">(L274/F274)*1000000</f>
        <v>0</v>
      </c>
      <c r="S274" s="18">
        <f t="shared" si="547"/>
        <v>0</v>
      </c>
      <c r="T274" s="18">
        <f t="shared" si="547"/>
        <v>0</v>
      </c>
      <c r="U274" s="18">
        <f t="shared" si="4"/>
        <v>0</v>
      </c>
      <c r="V274" s="18">
        <f t="shared" ref="V274:X274" si="548">(O274/I274)*1000000</f>
        <v>0</v>
      </c>
      <c r="W274" s="18">
        <f t="shared" si="548"/>
        <v>0</v>
      </c>
      <c r="X274" s="18">
        <f t="shared" si="548"/>
        <v>168.1802893</v>
      </c>
      <c r="Y274" s="18">
        <f t="shared" si="6"/>
        <v>56.06009642</v>
      </c>
    </row>
    <row r="275" ht="14.25" customHeight="1">
      <c r="A275" s="7" t="s">
        <v>426</v>
      </c>
      <c r="B275" s="7" t="s">
        <v>459</v>
      </c>
      <c r="C275" s="7" t="s">
        <v>394</v>
      </c>
      <c r="D275" s="7" t="s">
        <v>394</v>
      </c>
      <c r="E275" s="8">
        <v>70702.0</v>
      </c>
      <c r="F275" s="8">
        <v>31481.0</v>
      </c>
      <c r="G275" s="8">
        <v>32186.0</v>
      </c>
      <c r="H275" s="8">
        <v>32706.0</v>
      </c>
      <c r="I275" s="8">
        <v>37381.0</v>
      </c>
      <c r="J275" s="8">
        <v>37901.0</v>
      </c>
      <c r="K275" s="8">
        <v>38420.0</v>
      </c>
      <c r="L275" s="8">
        <v>0.0</v>
      </c>
      <c r="M275" s="8">
        <v>0.0</v>
      </c>
      <c r="N275" s="8">
        <v>1.0</v>
      </c>
      <c r="O275" s="8">
        <v>3.0</v>
      </c>
      <c r="P275" s="8">
        <v>1.0</v>
      </c>
      <c r="Q275" s="8">
        <v>0.0</v>
      </c>
      <c r="R275" s="18">
        <f t="shared" ref="R275:T275" si="549">(L275/F275)*1000000</f>
        <v>0</v>
      </c>
      <c r="S275" s="18">
        <f t="shared" si="549"/>
        <v>0</v>
      </c>
      <c r="T275" s="18">
        <f t="shared" si="549"/>
        <v>30.57542958</v>
      </c>
      <c r="U275" s="18">
        <f t="shared" si="4"/>
        <v>10.19180986</v>
      </c>
      <c r="V275" s="18">
        <f t="shared" ref="V275:X275" si="550">(O275/I275)*1000000</f>
        <v>80.25467483</v>
      </c>
      <c r="W275" s="18">
        <f t="shared" si="550"/>
        <v>26.38452811</v>
      </c>
      <c r="X275" s="18">
        <f t="shared" si="550"/>
        <v>0</v>
      </c>
      <c r="Y275" s="18">
        <f t="shared" si="6"/>
        <v>35.54640098</v>
      </c>
    </row>
    <row r="276" ht="14.25" customHeight="1">
      <c r="A276" s="7" t="s">
        <v>426</v>
      </c>
      <c r="B276" s="7" t="s">
        <v>459</v>
      </c>
      <c r="C276" s="7" t="s">
        <v>389</v>
      </c>
      <c r="D276" s="7" t="s">
        <v>389</v>
      </c>
      <c r="E276" s="8">
        <v>70703.0</v>
      </c>
      <c r="F276" s="8">
        <v>26058.0</v>
      </c>
      <c r="G276" s="8">
        <v>26434.0</v>
      </c>
      <c r="H276" s="8">
        <v>26978.0</v>
      </c>
      <c r="I276" s="8">
        <v>31873.0</v>
      </c>
      <c r="J276" s="8">
        <v>32417.0</v>
      </c>
      <c r="K276" s="8">
        <v>32961.0</v>
      </c>
      <c r="L276" s="8">
        <v>0.0</v>
      </c>
      <c r="M276" s="8">
        <v>0.0</v>
      </c>
      <c r="N276" s="8">
        <v>0.0</v>
      </c>
      <c r="O276" s="8">
        <v>1.0</v>
      </c>
      <c r="P276" s="8">
        <v>2.0</v>
      </c>
      <c r="Q276" s="8">
        <v>5.0</v>
      </c>
      <c r="R276" s="18">
        <f t="shared" ref="R276:T276" si="551">(L276/F276)*1000000</f>
        <v>0</v>
      </c>
      <c r="S276" s="18">
        <f t="shared" si="551"/>
        <v>0</v>
      </c>
      <c r="T276" s="18">
        <f t="shared" si="551"/>
        <v>0</v>
      </c>
      <c r="U276" s="18">
        <f t="shared" si="4"/>
        <v>0</v>
      </c>
      <c r="V276" s="18">
        <f t="shared" ref="V276:X276" si="552">(O276/I276)*1000000</f>
        <v>31.37451762</v>
      </c>
      <c r="W276" s="18">
        <f t="shared" si="552"/>
        <v>61.69602369</v>
      </c>
      <c r="X276" s="18">
        <f t="shared" si="552"/>
        <v>151.6944267</v>
      </c>
      <c r="Y276" s="18">
        <f t="shared" si="6"/>
        <v>81.58832268</v>
      </c>
    </row>
    <row r="277" ht="14.25" customHeight="1">
      <c r="A277" s="7" t="s">
        <v>426</v>
      </c>
      <c r="B277" s="7" t="s">
        <v>459</v>
      </c>
      <c r="C277" s="7" t="s">
        <v>403</v>
      </c>
      <c r="D277" s="7" t="s">
        <v>403</v>
      </c>
      <c r="E277" s="8">
        <v>70704.0</v>
      </c>
      <c r="F277" s="8">
        <v>4902.0</v>
      </c>
      <c r="G277" s="8">
        <v>5052.0</v>
      </c>
      <c r="H277" s="8">
        <v>5076.0</v>
      </c>
      <c r="I277" s="8">
        <v>5288.0</v>
      </c>
      <c r="J277" s="8">
        <v>5311.0</v>
      </c>
      <c r="K277" s="8">
        <v>5335.0</v>
      </c>
      <c r="L277" s="8">
        <v>0.0</v>
      </c>
      <c r="M277" s="8">
        <v>0.0</v>
      </c>
      <c r="N277" s="8">
        <v>0.0</v>
      </c>
      <c r="O277" s="8">
        <v>0.0</v>
      </c>
      <c r="P277" s="8">
        <v>0.0</v>
      </c>
      <c r="Q277" s="8">
        <v>1.0</v>
      </c>
      <c r="R277" s="18">
        <f t="shared" ref="R277:T277" si="553">(L277/F277)*1000000</f>
        <v>0</v>
      </c>
      <c r="S277" s="18">
        <f t="shared" si="553"/>
        <v>0</v>
      </c>
      <c r="T277" s="18">
        <f t="shared" si="553"/>
        <v>0</v>
      </c>
      <c r="U277" s="18">
        <f t="shared" si="4"/>
        <v>0</v>
      </c>
      <c r="V277" s="18">
        <f t="shared" ref="V277:X277" si="554">(O277/I277)*1000000</f>
        <v>0</v>
      </c>
      <c r="W277" s="18">
        <f t="shared" si="554"/>
        <v>0</v>
      </c>
      <c r="X277" s="18">
        <f t="shared" si="554"/>
        <v>187.4414246</v>
      </c>
      <c r="Y277" s="18">
        <f t="shared" si="6"/>
        <v>62.48047485</v>
      </c>
    </row>
    <row r="278" ht="14.25" customHeight="1">
      <c r="A278" s="7" t="s">
        <v>426</v>
      </c>
      <c r="B278" s="7" t="s">
        <v>459</v>
      </c>
      <c r="C278" s="7" t="s">
        <v>462</v>
      </c>
      <c r="D278" s="7" t="s">
        <v>462</v>
      </c>
      <c r="E278" s="8">
        <v>70705.0</v>
      </c>
      <c r="F278" s="8">
        <v>12193.0</v>
      </c>
      <c r="G278" s="8">
        <v>12273.0</v>
      </c>
      <c r="H278" s="8">
        <v>12449.0</v>
      </c>
      <c r="I278" s="8">
        <v>14036.0</v>
      </c>
      <c r="J278" s="8">
        <v>14213.0</v>
      </c>
      <c r="K278" s="8">
        <v>14389.0</v>
      </c>
      <c r="L278" s="8">
        <v>1.0</v>
      </c>
      <c r="M278" s="8">
        <v>1.0</v>
      </c>
      <c r="N278" s="8">
        <v>0.0</v>
      </c>
      <c r="O278" s="8">
        <v>0.0</v>
      </c>
      <c r="P278" s="8">
        <v>0.0</v>
      </c>
      <c r="Q278" s="8">
        <v>3.0</v>
      </c>
      <c r="R278" s="18">
        <f t="shared" ref="R278:T278" si="555">(L278/F278)*1000000</f>
        <v>82.01427048</v>
      </c>
      <c r="S278" s="18">
        <f t="shared" si="555"/>
        <v>81.47967082</v>
      </c>
      <c r="T278" s="18">
        <f t="shared" si="555"/>
        <v>0</v>
      </c>
      <c r="U278" s="18">
        <f t="shared" si="4"/>
        <v>54.49798044</v>
      </c>
      <c r="V278" s="18">
        <f t="shared" ref="V278:X278" si="556">(O278/I278)*1000000</f>
        <v>0</v>
      </c>
      <c r="W278" s="18">
        <f t="shared" si="556"/>
        <v>0</v>
      </c>
      <c r="X278" s="18">
        <f t="shared" si="556"/>
        <v>208.4925985</v>
      </c>
      <c r="Y278" s="18">
        <f t="shared" si="6"/>
        <v>69.49753284</v>
      </c>
    </row>
    <row r="279" ht="14.25" customHeight="1">
      <c r="A279" s="7" t="s">
        <v>426</v>
      </c>
      <c r="B279" s="7" t="s">
        <v>459</v>
      </c>
      <c r="C279" s="7" t="s">
        <v>391</v>
      </c>
      <c r="D279" s="7" t="s">
        <v>391</v>
      </c>
      <c r="E279" s="8">
        <v>70706.0</v>
      </c>
      <c r="F279" s="8">
        <v>33571.0</v>
      </c>
      <c r="G279" s="8">
        <v>33838.0</v>
      </c>
      <c r="H279" s="8">
        <v>33709.0</v>
      </c>
      <c r="I279" s="8">
        <v>32544.0</v>
      </c>
      <c r="J279" s="8">
        <v>32414.0</v>
      </c>
      <c r="K279" s="8">
        <v>32285.0</v>
      </c>
      <c r="L279" s="8">
        <v>2.0</v>
      </c>
      <c r="M279" s="8">
        <v>1.0</v>
      </c>
      <c r="N279" s="8">
        <v>2.0</v>
      </c>
      <c r="O279" s="8">
        <v>8.0</v>
      </c>
      <c r="P279" s="8">
        <v>4.0</v>
      </c>
      <c r="Q279" s="8">
        <v>7.0</v>
      </c>
      <c r="R279" s="18">
        <f t="shared" ref="R279:T279" si="557">(L279/F279)*1000000</f>
        <v>59.57522862</v>
      </c>
      <c r="S279" s="18">
        <f t="shared" si="557"/>
        <v>29.55257403</v>
      </c>
      <c r="T279" s="18">
        <f t="shared" si="557"/>
        <v>59.33133585</v>
      </c>
      <c r="U279" s="18">
        <f t="shared" si="4"/>
        <v>49.4863795</v>
      </c>
      <c r="V279" s="18">
        <f t="shared" ref="V279:X279" si="558">(O279/I279)*1000000</f>
        <v>245.8210423</v>
      </c>
      <c r="W279" s="18">
        <f t="shared" si="558"/>
        <v>123.4034676</v>
      </c>
      <c r="X279" s="18">
        <f t="shared" si="558"/>
        <v>216.8189562</v>
      </c>
      <c r="Y279" s="18">
        <f t="shared" si="6"/>
        <v>195.347822</v>
      </c>
    </row>
    <row r="280" ht="14.25" customHeight="1">
      <c r="A280" s="7" t="s">
        <v>426</v>
      </c>
      <c r="B280" s="7" t="s">
        <v>459</v>
      </c>
      <c r="C280" s="7" t="s">
        <v>386</v>
      </c>
      <c r="D280" s="7" t="s">
        <v>386</v>
      </c>
      <c r="E280" s="8">
        <v>70707.0</v>
      </c>
      <c r="F280" s="8">
        <v>4991.0</v>
      </c>
      <c r="G280" s="8">
        <v>5087.0</v>
      </c>
      <c r="H280" s="8">
        <v>5131.0</v>
      </c>
      <c r="I280" s="8">
        <v>5525.0</v>
      </c>
      <c r="J280" s="8">
        <v>5568.0</v>
      </c>
      <c r="K280" s="8">
        <v>5612.0</v>
      </c>
      <c r="L280" s="8">
        <v>0.0</v>
      </c>
      <c r="M280" s="8">
        <v>0.0</v>
      </c>
      <c r="N280" s="8">
        <v>0.0</v>
      </c>
      <c r="O280" s="8">
        <v>0.0</v>
      </c>
      <c r="P280" s="8">
        <v>1.0</v>
      </c>
      <c r="Q280" s="8">
        <v>1.0</v>
      </c>
      <c r="R280" s="18">
        <f t="shared" ref="R280:T280" si="559">(L280/F280)*1000000</f>
        <v>0</v>
      </c>
      <c r="S280" s="18">
        <f t="shared" si="559"/>
        <v>0</v>
      </c>
      <c r="T280" s="18">
        <f t="shared" si="559"/>
        <v>0</v>
      </c>
      <c r="U280" s="18">
        <f t="shared" si="4"/>
        <v>0</v>
      </c>
      <c r="V280" s="18">
        <f t="shared" ref="V280:X280" si="560">(O280/I280)*1000000</f>
        <v>0</v>
      </c>
      <c r="W280" s="18">
        <f t="shared" si="560"/>
        <v>179.5977011</v>
      </c>
      <c r="X280" s="18">
        <f t="shared" si="560"/>
        <v>178.1895937</v>
      </c>
      <c r="Y280" s="18">
        <f t="shared" si="6"/>
        <v>119.2624316</v>
      </c>
    </row>
    <row r="281" ht="14.25" customHeight="1">
      <c r="A281" s="7" t="s">
        <v>426</v>
      </c>
      <c r="B281" s="7" t="s">
        <v>461</v>
      </c>
      <c r="C281" s="7" t="s">
        <v>461</v>
      </c>
      <c r="D281" s="7" t="s">
        <v>461</v>
      </c>
      <c r="E281" s="8">
        <v>70801.0</v>
      </c>
      <c r="F281" s="8">
        <v>17174.0</v>
      </c>
      <c r="G281" s="8">
        <v>17208.0</v>
      </c>
      <c r="H281" s="8">
        <v>17211.0</v>
      </c>
      <c r="I281" s="8">
        <v>17242.0</v>
      </c>
      <c r="J281" s="8">
        <v>17246.0</v>
      </c>
      <c r="K281" s="8">
        <v>17249.0</v>
      </c>
      <c r="L281" s="8">
        <v>0.0</v>
      </c>
      <c r="M281" s="8">
        <v>0.0</v>
      </c>
      <c r="N281" s="8">
        <v>1.0</v>
      </c>
      <c r="O281" s="8">
        <v>1.0</v>
      </c>
      <c r="P281" s="8">
        <v>0.0</v>
      </c>
      <c r="Q281" s="8">
        <v>2.0</v>
      </c>
      <c r="R281" s="18">
        <f t="shared" ref="R281:T281" si="561">(L281/F281)*1000000</f>
        <v>0</v>
      </c>
      <c r="S281" s="18">
        <f t="shared" si="561"/>
        <v>0</v>
      </c>
      <c r="T281" s="18">
        <f t="shared" si="561"/>
        <v>58.10237639</v>
      </c>
      <c r="U281" s="18">
        <f t="shared" si="4"/>
        <v>19.3674588</v>
      </c>
      <c r="V281" s="18">
        <f t="shared" ref="V281:X281" si="562">(O281/I281)*1000000</f>
        <v>57.99791208</v>
      </c>
      <c r="W281" s="18">
        <f t="shared" si="562"/>
        <v>0</v>
      </c>
      <c r="X281" s="18">
        <f t="shared" si="562"/>
        <v>115.9487507</v>
      </c>
      <c r="Y281" s="18">
        <f t="shared" si="6"/>
        <v>57.98222091</v>
      </c>
    </row>
    <row r="282" ht="14.25" customHeight="1">
      <c r="A282" s="7" t="s">
        <v>426</v>
      </c>
      <c r="B282" s="7" t="s">
        <v>461</v>
      </c>
      <c r="C282" s="7" t="s">
        <v>464</v>
      </c>
      <c r="D282" s="7" t="s">
        <v>464</v>
      </c>
      <c r="E282" s="8">
        <v>70802.0</v>
      </c>
      <c r="F282" s="8">
        <v>2135.0</v>
      </c>
      <c r="G282" s="8">
        <v>2135.0</v>
      </c>
      <c r="H282" s="8">
        <v>2154.0</v>
      </c>
      <c r="I282" s="8">
        <v>2322.0</v>
      </c>
      <c r="J282" s="8">
        <v>2340.0</v>
      </c>
      <c r="K282" s="8">
        <v>2359.0</v>
      </c>
      <c r="L282" s="8">
        <v>0.0</v>
      </c>
      <c r="M282" s="8">
        <v>0.0</v>
      </c>
      <c r="N282" s="8">
        <v>0.0</v>
      </c>
      <c r="O282" s="8">
        <v>0.0</v>
      </c>
      <c r="P282" s="8">
        <v>0.0</v>
      </c>
      <c r="Q282" s="8">
        <v>0.0</v>
      </c>
      <c r="R282" s="18">
        <f t="shared" ref="R282:T282" si="563">(L282/F282)*1000000</f>
        <v>0</v>
      </c>
      <c r="S282" s="18">
        <f t="shared" si="563"/>
        <v>0</v>
      </c>
      <c r="T282" s="18">
        <f t="shared" si="563"/>
        <v>0</v>
      </c>
      <c r="U282" s="18">
        <f t="shared" si="4"/>
        <v>0</v>
      </c>
      <c r="V282" s="18">
        <f t="shared" ref="V282:X282" si="564">(O282/I282)*1000000</f>
        <v>0</v>
      </c>
      <c r="W282" s="18">
        <f t="shared" si="564"/>
        <v>0</v>
      </c>
      <c r="X282" s="18">
        <f t="shared" si="564"/>
        <v>0</v>
      </c>
      <c r="Y282" s="18">
        <f t="shared" si="6"/>
        <v>0</v>
      </c>
    </row>
    <row r="283" ht="14.25" customHeight="1">
      <c r="A283" s="7" t="s">
        <v>426</v>
      </c>
      <c r="B283" s="7" t="s">
        <v>461</v>
      </c>
      <c r="C283" s="7" t="s">
        <v>466</v>
      </c>
      <c r="D283" s="7" t="s">
        <v>576</v>
      </c>
      <c r="E283" s="8">
        <v>70803.0</v>
      </c>
      <c r="F283" s="8">
        <v>2821.0</v>
      </c>
      <c r="G283" s="8">
        <v>2767.0</v>
      </c>
      <c r="H283" s="8">
        <v>2769.0</v>
      </c>
      <c r="I283" s="8">
        <v>2789.0</v>
      </c>
      <c r="J283" s="8">
        <v>2791.0</v>
      </c>
      <c r="K283" s="8">
        <v>2793.0</v>
      </c>
      <c r="L283" s="8">
        <v>0.0</v>
      </c>
      <c r="M283" s="8">
        <v>0.0</v>
      </c>
      <c r="N283" s="8">
        <v>0.0</v>
      </c>
      <c r="O283" s="8">
        <v>0.0</v>
      </c>
      <c r="P283" s="8">
        <v>0.0</v>
      </c>
      <c r="Q283" s="8">
        <v>0.0</v>
      </c>
      <c r="R283" s="18">
        <f t="shared" ref="R283:T283" si="565">(L283/F283)*1000000</f>
        <v>0</v>
      </c>
      <c r="S283" s="18">
        <f t="shared" si="565"/>
        <v>0</v>
      </c>
      <c r="T283" s="18">
        <f t="shared" si="565"/>
        <v>0</v>
      </c>
      <c r="U283" s="18">
        <f t="shared" si="4"/>
        <v>0</v>
      </c>
      <c r="V283" s="18">
        <f t="shared" ref="V283:X283" si="566">(O283/I283)*1000000</f>
        <v>0</v>
      </c>
      <c r="W283" s="18">
        <f t="shared" si="566"/>
        <v>0</v>
      </c>
      <c r="X283" s="18">
        <f t="shared" si="566"/>
        <v>0</v>
      </c>
      <c r="Y283" s="18">
        <f t="shared" si="6"/>
        <v>0</v>
      </c>
    </row>
    <row r="284" ht="14.25" customHeight="1">
      <c r="A284" s="7" t="s">
        <v>426</v>
      </c>
      <c r="B284" s="7" t="s">
        <v>461</v>
      </c>
      <c r="C284" s="7" t="s">
        <v>467</v>
      </c>
      <c r="D284" s="7" t="s">
        <v>467</v>
      </c>
      <c r="E284" s="8">
        <v>70804.0</v>
      </c>
      <c r="F284" s="8">
        <v>2404.0</v>
      </c>
      <c r="G284" s="8">
        <v>2390.0</v>
      </c>
      <c r="H284" s="8">
        <v>2341.0</v>
      </c>
      <c r="I284" s="8">
        <v>1903.0</v>
      </c>
      <c r="J284" s="8">
        <v>1855.0</v>
      </c>
      <c r="K284" s="8">
        <v>1806.0</v>
      </c>
      <c r="L284" s="8">
        <v>0.0</v>
      </c>
      <c r="M284" s="8">
        <v>0.0</v>
      </c>
      <c r="N284" s="8">
        <v>0.0</v>
      </c>
      <c r="O284" s="8">
        <v>0.0</v>
      </c>
      <c r="P284" s="8">
        <v>0.0</v>
      </c>
      <c r="Q284" s="8">
        <v>0.0</v>
      </c>
      <c r="R284" s="18">
        <f t="shared" ref="R284:T284" si="567">(L284/F284)*1000000</f>
        <v>0</v>
      </c>
      <c r="S284" s="18">
        <f t="shared" si="567"/>
        <v>0</v>
      </c>
      <c r="T284" s="18">
        <f t="shared" si="567"/>
        <v>0</v>
      </c>
      <c r="U284" s="18">
        <f t="shared" si="4"/>
        <v>0</v>
      </c>
      <c r="V284" s="18">
        <f t="shared" ref="V284:X284" si="568">(O284/I284)*1000000</f>
        <v>0</v>
      </c>
      <c r="W284" s="18">
        <f t="shared" si="568"/>
        <v>0</v>
      </c>
      <c r="X284" s="18">
        <f t="shared" si="568"/>
        <v>0</v>
      </c>
      <c r="Y284" s="18">
        <f t="shared" si="6"/>
        <v>0</v>
      </c>
    </row>
    <row r="285" ht="14.25" customHeight="1">
      <c r="A285" s="7" t="s">
        <v>426</v>
      </c>
      <c r="B285" s="7" t="s">
        <v>461</v>
      </c>
      <c r="C285" s="7" t="s">
        <v>468</v>
      </c>
      <c r="D285" s="7" t="s">
        <v>468</v>
      </c>
      <c r="E285" s="8">
        <v>70805.0</v>
      </c>
      <c r="F285" s="8">
        <v>2119.0</v>
      </c>
      <c r="G285" s="8">
        <v>2076.0</v>
      </c>
      <c r="H285" s="8">
        <v>2071.0</v>
      </c>
      <c r="I285" s="8">
        <v>2025.0</v>
      </c>
      <c r="J285" s="8">
        <v>2020.0</v>
      </c>
      <c r="K285" s="8">
        <v>2015.0</v>
      </c>
      <c r="L285" s="8">
        <v>0.0</v>
      </c>
      <c r="M285" s="8">
        <v>0.0</v>
      </c>
      <c r="N285" s="8">
        <v>0.0</v>
      </c>
      <c r="O285" s="8">
        <v>0.0</v>
      </c>
      <c r="P285" s="8">
        <v>0.0</v>
      </c>
      <c r="Q285" s="8">
        <v>0.0</v>
      </c>
      <c r="R285" s="18">
        <f t="shared" ref="R285:T285" si="569">(L285/F285)*1000000</f>
        <v>0</v>
      </c>
      <c r="S285" s="18">
        <f t="shared" si="569"/>
        <v>0</v>
      </c>
      <c r="T285" s="18">
        <f t="shared" si="569"/>
        <v>0</v>
      </c>
      <c r="U285" s="18">
        <f t="shared" si="4"/>
        <v>0</v>
      </c>
      <c r="V285" s="18">
        <f t="shared" ref="V285:X285" si="570">(O285/I285)*1000000</f>
        <v>0</v>
      </c>
      <c r="W285" s="18">
        <f t="shared" si="570"/>
        <v>0</v>
      </c>
      <c r="X285" s="18">
        <f t="shared" si="570"/>
        <v>0</v>
      </c>
      <c r="Y285" s="18">
        <f t="shared" si="6"/>
        <v>0</v>
      </c>
    </row>
    <row r="286" ht="14.25" customHeight="1">
      <c r="A286" s="7" t="s">
        <v>426</v>
      </c>
      <c r="B286" s="7" t="s">
        <v>469</v>
      </c>
      <c r="C286" s="7" t="s">
        <v>442</v>
      </c>
      <c r="D286" s="7" t="s">
        <v>442</v>
      </c>
      <c r="E286" s="8">
        <v>70901.0</v>
      </c>
      <c r="F286" s="8">
        <v>10405.0</v>
      </c>
      <c r="G286" s="8">
        <v>10472.0</v>
      </c>
      <c r="H286" s="8">
        <v>10586.0</v>
      </c>
      <c r="I286" s="8">
        <v>11615.0</v>
      </c>
      <c r="J286" s="8">
        <v>11729.0</v>
      </c>
      <c r="K286" s="8">
        <v>11843.0</v>
      </c>
      <c r="L286" s="8">
        <v>0.0</v>
      </c>
      <c r="M286" s="8">
        <v>0.0</v>
      </c>
      <c r="N286" s="8">
        <v>0.0</v>
      </c>
      <c r="O286" s="8">
        <v>4.0</v>
      </c>
      <c r="P286" s="8">
        <v>0.0</v>
      </c>
      <c r="Q286" s="8">
        <v>0.0</v>
      </c>
      <c r="R286" s="18">
        <f t="shared" ref="R286:T286" si="571">(L286/F286)*1000000</f>
        <v>0</v>
      </c>
      <c r="S286" s="18">
        <f t="shared" si="571"/>
        <v>0</v>
      </c>
      <c r="T286" s="18">
        <f t="shared" si="571"/>
        <v>0</v>
      </c>
      <c r="U286" s="18">
        <f t="shared" si="4"/>
        <v>0</v>
      </c>
      <c r="V286" s="18">
        <f t="shared" ref="V286:X286" si="572">(O286/I286)*1000000</f>
        <v>344.3822643</v>
      </c>
      <c r="W286" s="18">
        <f t="shared" si="572"/>
        <v>0</v>
      </c>
      <c r="X286" s="18">
        <f t="shared" si="572"/>
        <v>0</v>
      </c>
      <c r="Y286" s="18">
        <f t="shared" si="6"/>
        <v>114.7940881</v>
      </c>
    </row>
    <row r="287" ht="14.25" customHeight="1">
      <c r="A287" s="7" t="s">
        <v>426</v>
      </c>
      <c r="B287" s="7" t="s">
        <v>469</v>
      </c>
      <c r="C287" s="7" t="s">
        <v>429</v>
      </c>
      <c r="D287" s="7" t="s">
        <v>429</v>
      </c>
      <c r="E287" s="8">
        <v>70902.0</v>
      </c>
      <c r="F287" s="8">
        <v>9083.0</v>
      </c>
      <c r="G287" s="8">
        <v>9198.0</v>
      </c>
      <c r="H287" s="8">
        <v>9239.0</v>
      </c>
      <c r="I287" s="8">
        <v>9610.0</v>
      </c>
      <c r="J287" s="8">
        <v>9651.0</v>
      </c>
      <c r="K287" s="8">
        <v>9692.0</v>
      </c>
      <c r="L287" s="8">
        <v>0.0</v>
      </c>
      <c r="M287" s="8">
        <v>0.0</v>
      </c>
      <c r="N287" s="8">
        <v>0.0</v>
      </c>
      <c r="O287" s="8">
        <v>0.0</v>
      </c>
      <c r="P287" s="8">
        <v>0.0</v>
      </c>
      <c r="Q287" s="8">
        <v>0.0</v>
      </c>
      <c r="R287" s="18">
        <f t="shared" ref="R287:T287" si="573">(L287/F287)*1000000</f>
        <v>0</v>
      </c>
      <c r="S287" s="18">
        <f t="shared" si="573"/>
        <v>0</v>
      </c>
      <c r="T287" s="18">
        <f t="shared" si="573"/>
        <v>0</v>
      </c>
      <c r="U287" s="18">
        <f t="shared" si="4"/>
        <v>0</v>
      </c>
      <c r="V287" s="18">
        <f t="shared" ref="V287:X287" si="574">(O287/I287)*1000000</f>
        <v>0</v>
      </c>
      <c r="W287" s="18">
        <f t="shared" si="574"/>
        <v>0</v>
      </c>
      <c r="X287" s="18">
        <f t="shared" si="574"/>
        <v>0</v>
      </c>
      <c r="Y287" s="18">
        <f t="shared" si="6"/>
        <v>0</v>
      </c>
    </row>
    <row r="288" ht="14.25" customHeight="1">
      <c r="A288" s="7" t="s">
        <v>426</v>
      </c>
      <c r="B288" s="7" t="s">
        <v>469</v>
      </c>
      <c r="C288" s="7" t="s">
        <v>418</v>
      </c>
      <c r="D288" s="7" t="s">
        <v>418</v>
      </c>
      <c r="E288" s="8">
        <v>70903.0</v>
      </c>
      <c r="F288" s="8">
        <v>9956.0</v>
      </c>
      <c r="G288" s="8">
        <v>10177.0</v>
      </c>
      <c r="H288" s="8">
        <v>10390.0</v>
      </c>
      <c r="I288" s="8">
        <v>12309.0</v>
      </c>
      <c r="J288" s="8">
        <v>12522.0</v>
      </c>
      <c r="K288" s="8">
        <v>12735.0</v>
      </c>
      <c r="L288" s="8">
        <v>0.0</v>
      </c>
      <c r="M288" s="8">
        <v>2.0</v>
      </c>
      <c r="N288" s="8">
        <v>2.0</v>
      </c>
      <c r="O288" s="8">
        <v>1.0</v>
      </c>
      <c r="P288" s="8">
        <v>6.0</v>
      </c>
      <c r="Q288" s="8">
        <v>1.0</v>
      </c>
      <c r="R288" s="18">
        <f t="shared" ref="R288:T288" si="575">(L288/F288)*1000000</f>
        <v>0</v>
      </c>
      <c r="S288" s="18">
        <f t="shared" si="575"/>
        <v>196.5215682</v>
      </c>
      <c r="T288" s="18">
        <f t="shared" si="575"/>
        <v>192.4927815</v>
      </c>
      <c r="U288" s="18">
        <f t="shared" si="4"/>
        <v>129.6714499</v>
      </c>
      <c r="V288" s="18">
        <f t="shared" ref="V288:X288" si="576">(O288/I288)*1000000</f>
        <v>81.2413681</v>
      </c>
      <c r="W288" s="18">
        <f t="shared" si="576"/>
        <v>479.1566842</v>
      </c>
      <c r="X288" s="18">
        <f t="shared" si="576"/>
        <v>78.52375344</v>
      </c>
      <c r="Y288" s="18">
        <f t="shared" si="6"/>
        <v>212.9739353</v>
      </c>
    </row>
    <row r="289" ht="14.25" customHeight="1">
      <c r="A289" s="7" t="s">
        <v>426</v>
      </c>
      <c r="B289" s="7" t="s">
        <v>469</v>
      </c>
      <c r="C289" s="7" t="s">
        <v>436</v>
      </c>
      <c r="D289" s="7" t="s">
        <v>436</v>
      </c>
      <c r="E289" s="8">
        <v>70904.0</v>
      </c>
      <c r="F289" s="8">
        <v>2907.0</v>
      </c>
      <c r="G289" s="8">
        <v>2995.0</v>
      </c>
      <c r="H289" s="8">
        <v>3003.0</v>
      </c>
      <c r="I289" s="8">
        <v>3071.0</v>
      </c>
      <c r="J289" s="8">
        <v>3078.0</v>
      </c>
      <c r="K289" s="8">
        <v>3086.0</v>
      </c>
      <c r="L289" s="8">
        <v>0.0</v>
      </c>
      <c r="M289" s="8">
        <v>0.0</v>
      </c>
      <c r="N289" s="8">
        <v>0.0</v>
      </c>
      <c r="O289" s="8">
        <v>0.0</v>
      </c>
      <c r="P289" s="8">
        <v>0.0</v>
      </c>
      <c r="Q289" s="8">
        <v>0.0</v>
      </c>
      <c r="R289" s="18">
        <f t="shared" ref="R289:T289" si="577">(L289/F289)*1000000</f>
        <v>0</v>
      </c>
      <c r="S289" s="18">
        <f t="shared" si="577"/>
        <v>0</v>
      </c>
      <c r="T289" s="18">
        <f t="shared" si="577"/>
        <v>0</v>
      </c>
      <c r="U289" s="18">
        <f t="shared" si="4"/>
        <v>0</v>
      </c>
      <c r="V289" s="18">
        <f t="shared" ref="V289:X289" si="578">(O289/I289)*1000000</f>
        <v>0</v>
      </c>
      <c r="W289" s="18">
        <f t="shared" si="578"/>
        <v>0</v>
      </c>
      <c r="X289" s="18">
        <f t="shared" si="578"/>
        <v>0</v>
      </c>
      <c r="Y289" s="18">
        <f t="shared" si="6"/>
        <v>0</v>
      </c>
    </row>
    <row r="290" ht="14.25" customHeight="1">
      <c r="A290" s="7" t="s">
        <v>426</v>
      </c>
      <c r="B290" s="7" t="s">
        <v>473</v>
      </c>
      <c r="C290" s="7" t="s">
        <v>422</v>
      </c>
      <c r="D290" s="7" t="s">
        <v>422</v>
      </c>
      <c r="E290" s="8">
        <v>71001.0</v>
      </c>
      <c r="F290" s="8">
        <v>106866.0</v>
      </c>
      <c r="G290" s="8">
        <v>109518.0</v>
      </c>
      <c r="H290" s="8">
        <v>110965.0</v>
      </c>
      <c r="I290" s="8">
        <v>123991.0</v>
      </c>
      <c r="J290" s="8">
        <v>125439.0</v>
      </c>
      <c r="K290" s="8">
        <v>126886.0</v>
      </c>
      <c r="L290" s="8">
        <v>31.0</v>
      </c>
      <c r="M290" s="8">
        <v>21.0</v>
      </c>
      <c r="N290" s="8">
        <v>42.0</v>
      </c>
      <c r="O290" s="8">
        <v>56.0</v>
      </c>
      <c r="P290" s="8">
        <v>40.0</v>
      </c>
      <c r="Q290" s="8">
        <v>52.0</v>
      </c>
      <c r="R290" s="18">
        <f t="shared" ref="R290:T290" si="579">(L290/F290)*1000000</f>
        <v>290.0829076</v>
      </c>
      <c r="S290" s="18">
        <f t="shared" si="579"/>
        <v>191.7493015</v>
      </c>
      <c r="T290" s="18">
        <f t="shared" si="579"/>
        <v>378.4977245</v>
      </c>
      <c r="U290" s="18">
        <f t="shared" si="4"/>
        <v>286.7766445</v>
      </c>
      <c r="V290" s="18">
        <f t="shared" ref="V290:X290" si="580">(O290/I290)*1000000</f>
        <v>451.645684</v>
      </c>
      <c r="W290" s="18">
        <f t="shared" si="580"/>
        <v>318.8800931</v>
      </c>
      <c r="X290" s="18">
        <f t="shared" si="580"/>
        <v>409.8166858</v>
      </c>
      <c r="Y290" s="18">
        <f t="shared" si="6"/>
        <v>393.4474876</v>
      </c>
    </row>
    <row r="291" ht="14.25" customHeight="1">
      <c r="A291" s="7" t="s">
        <v>426</v>
      </c>
      <c r="B291" s="7" t="s">
        <v>473</v>
      </c>
      <c r="C291" s="7" t="s">
        <v>474</v>
      </c>
      <c r="D291" s="7" t="s">
        <v>474</v>
      </c>
      <c r="E291" s="8">
        <v>71002.0</v>
      </c>
      <c r="F291" s="8">
        <v>14426.0</v>
      </c>
      <c r="G291" s="8">
        <v>14209.0</v>
      </c>
      <c r="H291" s="8">
        <v>14408.0</v>
      </c>
      <c r="I291" s="8">
        <v>16200.0</v>
      </c>
      <c r="J291" s="8">
        <v>16399.0</v>
      </c>
      <c r="K291" s="8">
        <v>16598.0</v>
      </c>
      <c r="L291" s="8">
        <v>98.0</v>
      </c>
      <c r="M291" s="8">
        <v>279.0</v>
      </c>
      <c r="N291" s="8">
        <v>117.0</v>
      </c>
      <c r="O291" s="8">
        <v>23.0</v>
      </c>
      <c r="P291" s="8">
        <v>5.0</v>
      </c>
      <c r="Q291" s="8">
        <v>19.0</v>
      </c>
      <c r="R291" s="18">
        <f t="shared" ref="R291:T291" si="581">(L291/F291)*1000000</f>
        <v>6793.289893</v>
      </c>
      <c r="S291" s="18">
        <f t="shared" si="581"/>
        <v>19635.44233</v>
      </c>
      <c r="T291" s="18">
        <f t="shared" si="581"/>
        <v>8120.488617</v>
      </c>
      <c r="U291" s="18">
        <f t="shared" si="4"/>
        <v>11516.40695</v>
      </c>
      <c r="V291" s="18">
        <f t="shared" ref="V291:X291" si="582">(O291/I291)*1000000</f>
        <v>1419.753086</v>
      </c>
      <c r="W291" s="18">
        <f t="shared" si="582"/>
        <v>304.89664</v>
      </c>
      <c r="X291" s="18">
        <f t="shared" si="582"/>
        <v>1144.716231</v>
      </c>
      <c r="Y291" s="18">
        <f t="shared" si="6"/>
        <v>956.4553191</v>
      </c>
    </row>
    <row r="292" ht="14.25" customHeight="1">
      <c r="A292" s="7" t="s">
        <v>426</v>
      </c>
      <c r="B292" s="7" t="s">
        <v>473</v>
      </c>
      <c r="C292" s="7" t="s">
        <v>420</v>
      </c>
      <c r="D292" s="7" t="s">
        <v>420</v>
      </c>
      <c r="E292" s="8">
        <v>71003.0</v>
      </c>
      <c r="F292" s="8">
        <v>22941.0</v>
      </c>
      <c r="G292" s="8">
        <v>23251.0</v>
      </c>
      <c r="H292" s="8">
        <v>23239.0</v>
      </c>
      <c r="I292" s="8">
        <v>23134.0</v>
      </c>
      <c r="J292" s="8">
        <v>23122.0</v>
      </c>
      <c r="K292" s="8">
        <v>23110.0</v>
      </c>
      <c r="L292" s="8">
        <v>11.0</v>
      </c>
      <c r="M292" s="8">
        <v>3.0</v>
      </c>
      <c r="N292" s="8">
        <v>3.0</v>
      </c>
      <c r="O292" s="8">
        <v>11.0</v>
      </c>
      <c r="P292" s="8">
        <v>13.0</v>
      </c>
      <c r="Q292" s="8">
        <v>10.0</v>
      </c>
      <c r="R292" s="18">
        <f t="shared" ref="R292:T292" si="583">(L292/F292)*1000000</f>
        <v>479.4908679</v>
      </c>
      <c r="S292" s="18">
        <f t="shared" si="583"/>
        <v>129.0267085</v>
      </c>
      <c r="T292" s="18">
        <f t="shared" si="583"/>
        <v>129.0933345</v>
      </c>
      <c r="U292" s="18">
        <f t="shared" si="4"/>
        <v>245.8703036</v>
      </c>
      <c r="V292" s="18">
        <f t="shared" ref="V292:X292" si="584">(O292/I292)*1000000</f>
        <v>475.4906199</v>
      </c>
      <c r="W292" s="18">
        <f t="shared" si="584"/>
        <v>562.2351008</v>
      </c>
      <c r="X292" s="18">
        <f t="shared" si="584"/>
        <v>432.7131112</v>
      </c>
      <c r="Y292" s="18">
        <f t="shared" si="6"/>
        <v>490.1462773</v>
      </c>
    </row>
    <row r="293" ht="14.25" customHeight="1">
      <c r="A293" s="7" t="s">
        <v>426</v>
      </c>
      <c r="B293" s="7" t="s">
        <v>473</v>
      </c>
      <c r="C293" s="7" t="s">
        <v>477</v>
      </c>
      <c r="D293" s="7" t="s">
        <v>477</v>
      </c>
      <c r="E293" s="8">
        <v>71004.0</v>
      </c>
      <c r="F293" s="8">
        <v>14776.0</v>
      </c>
      <c r="G293" s="8">
        <v>15117.0</v>
      </c>
      <c r="H293" s="8">
        <v>15075.0</v>
      </c>
      <c r="I293" s="8">
        <v>14695.0</v>
      </c>
      <c r="J293" s="8">
        <v>14652.0</v>
      </c>
      <c r="K293" s="8">
        <v>14610.0</v>
      </c>
      <c r="L293" s="8">
        <v>0.0</v>
      </c>
      <c r="M293" s="8">
        <v>0.0</v>
      </c>
      <c r="N293" s="8">
        <v>0.0</v>
      </c>
      <c r="O293" s="8">
        <v>0.0</v>
      </c>
      <c r="P293" s="8">
        <v>0.0</v>
      </c>
      <c r="Q293" s="8">
        <v>0.0</v>
      </c>
      <c r="R293" s="18">
        <f t="shared" ref="R293:T293" si="585">(L293/F293)*1000000</f>
        <v>0</v>
      </c>
      <c r="S293" s="18">
        <f t="shared" si="585"/>
        <v>0</v>
      </c>
      <c r="T293" s="18">
        <f t="shared" si="585"/>
        <v>0</v>
      </c>
      <c r="U293" s="18">
        <f t="shared" si="4"/>
        <v>0</v>
      </c>
      <c r="V293" s="18">
        <f t="shared" ref="V293:X293" si="586">(O293/I293)*1000000</f>
        <v>0</v>
      </c>
      <c r="W293" s="18">
        <f t="shared" si="586"/>
        <v>0</v>
      </c>
      <c r="X293" s="18">
        <f t="shared" si="586"/>
        <v>0</v>
      </c>
      <c r="Y293" s="18">
        <f t="shared" si="6"/>
        <v>0</v>
      </c>
    </row>
    <row r="294" ht="14.25" customHeight="1">
      <c r="A294" s="7" t="s">
        <v>426</v>
      </c>
      <c r="B294" s="7" t="s">
        <v>473</v>
      </c>
      <c r="C294" s="7" t="s">
        <v>355</v>
      </c>
      <c r="D294" s="7" t="s">
        <v>355</v>
      </c>
      <c r="E294" s="8">
        <v>71005.0</v>
      </c>
      <c r="F294" s="8">
        <v>18698.0</v>
      </c>
      <c r="G294" s="8">
        <v>19103.0</v>
      </c>
      <c r="H294" s="8">
        <v>18782.0</v>
      </c>
      <c r="I294" s="8">
        <v>15889.0</v>
      </c>
      <c r="J294" s="8">
        <v>15567.0</v>
      </c>
      <c r="K294" s="8">
        <v>15246.0</v>
      </c>
      <c r="L294" s="8">
        <v>0.0</v>
      </c>
      <c r="M294" s="8">
        <v>0.0</v>
      </c>
      <c r="N294" s="8">
        <v>0.0</v>
      </c>
      <c r="O294" s="8">
        <v>0.0</v>
      </c>
      <c r="P294" s="8">
        <v>0.0</v>
      </c>
      <c r="Q294" s="8">
        <v>0.0</v>
      </c>
      <c r="R294" s="18">
        <f t="shared" ref="R294:T294" si="587">(L294/F294)*1000000</f>
        <v>0</v>
      </c>
      <c r="S294" s="18">
        <f t="shared" si="587"/>
        <v>0</v>
      </c>
      <c r="T294" s="18">
        <f t="shared" si="587"/>
        <v>0</v>
      </c>
      <c r="U294" s="18">
        <f t="shared" si="4"/>
        <v>0</v>
      </c>
      <c r="V294" s="18">
        <f t="shared" ref="V294:X294" si="588">(O294/I294)*1000000</f>
        <v>0</v>
      </c>
      <c r="W294" s="18">
        <f t="shared" si="588"/>
        <v>0</v>
      </c>
      <c r="X294" s="18">
        <f t="shared" si="588"/>
        <v>0</v>
      </c>
      <c r="Y294" s="18">
        <f t="shared" si="6"/>
        <v>0</v>
      </c>
    </row>
    <row r="295" ht="14.25" customHeight="1">
      <c r="A295" s="7" t="s">
        <v>426</v>
      </c>
      <c r="B295" s="7" t="s">
        <v>479</v>
      </c>
      <c r="C295" s="7" t="s">
        <v>398</v>
      </c>
      <c r="D295" s="7" t="s">
        <v>398</v>
      </c>
      <c r="E295" s="8">
        <v>71101.0</v>
      </c>
      <c r="F295" s="8">
        <v>18411.0</v>
      </c>
      <c r="G295" s="8">
        <v>18800.0</v>
      </c>
      <c r="H295" s="8">
        <v>19743.0</v>
      </c>
      <c r="I295" s="8">
        <v>28232.0</v>
      </c>
      <c r="J295" s="8">
        <v>29175.0</v>
      </c>
      <c r="K295" s="8">
        <v>30118.0</v>
      </c>
      <c r="L295" s="8">
        <v>0.0</v>
      </c>
      <c r="M295" s="8">
        <v>2.0</v>
      </c>
      <c r="N295" s="8">
        <v>0.0</v>
      </c>
      <c r="O295" s="8">
        <v>5.0</v>
      </c>
      <c r="P295" s="8">
        <v>4.0</v>
      </c>
      <c r="Q295" s="8">
        <v>4.0</v>
      </c>
      <c r="R295" s="18">
        <f t="shared" ref="R295:T295" si="589">(L295/F295)*1000000</f>
        <v>0</v>
      </c>
      <c r="S295" s="18">
        <f t="shared" si="589"/>
        <v>106.3829787</v>
      </c>
      <c r="T295" s="18">
        <f t="shared" si="589"/>
        <v>0</v>
      </c>
      <c r="U295" s="18">
        <f t="shared" si="4"/>
        <v>35.46099291</v>
      </c>
      <c r="V295" s="18">
        <f t="shared" ref="V295:X295" si="590">(O295/I295)*1000000</f>
        <v>177.1039955</v>
      </c>
      <c r="W295" s="18">
        <f t="shared" si="590"/>
        <v>137.1036847</v>
      </c>
      <c r="X295" s="18">
        <f t="shared" si="590"/>
        <v>132.8109436</v>
      </c>
      <c r="Y295" s="18">
        <f t="shared" si="6"/>
        <v>149.0062079</v>
      </c>
    </row>
    <row r="296" ht="14.25" customHeight="1">
      <c r="A296" s="7" t="s">
        <v>426</v>
      </c>
      <c r="B296" s="7" t="s">
        <v>479</v>
      </c>
      <c r="C296" s="7" t="s">
        <v>48</v>
      </c>
      <c r="D296" s="7" t="s">
        <v>48</v>
      </c>
      <c r="E296" s="8">
        <v>71102.0</v>
      </c>
      <c r="F296" s="8">
        <v>13411.0</v>
      </c>
      <c r="G296" s="8">
        <v>13620.0</v>
      </c>
      <c r="H296" s="8">
        <v>13726.0</v>
      </c>
      <c r="I296" s="8">
        <v>14677.0</v>
      </c>
      <c r="J296" s="8">
        <v>14782.0</v>
      </c>
      <c r="K296" s="8">
        <v>14888.0</v>
      </c>
      <c r="L296" s="8">
        <v>2.0</v>
      </c>
      <c r="M296" s="8">
        <v>0.0</v>
      </c>
      <c r="N296" s="8">
        <v>0.0</v>
      </c>
      <c r="O296" s="8">
        <v>2.0</v>
      </c>
      <c r="P296" s="8">
        <v>0.0</v>
      </c>
      <c r="Q296" s="8">
        <v>0.0</v>
      </c>
      <c r="R296" s="18">
        <f t="shared" ref="R296:T296" si="591">(L296/F296)*1000000</f>
        <v>149.1313101</v>
      </c>
      <c r="S296" s="18">
        <f t="shared" si="591"/>
        <v>0</v>
      </c>
      <c r="T296" s="18">
        <f t="shared" si="591"/>
        <v>0</v>
      </c>
      <c r="U296" s="18">
        <f t="shared" si="4"/>
        <v>49.71043671</v>
      </c>
      <c r="V296" s="18">
        <f t="shared" ref="V296:X296" si="592">(O296/I296)*1000000</f>
        <v>136.2676296</v>
      </c>
      <c r="W296" s="18">
        <f t="shared" si="592"/>
        <v>0</v>
      </c>
      <c r="X296" s="18">
        <f t="shared" si="592"/>
        <v>0</v>
      </c>
      <c r="Y296" s="18">
        <f t="shared" si="6"/>
        <v>45.42254321</v>
      </c>
    </row>
    <row r="297" ht="14.25" customHeight="1">
      <c r="A297" s="7" t="s">
        <v>426</v>
      </c>
      <c r="B297" s="7" t="s">
        <v>479</v>
      </c>
      <c r="C297" s="7" t="s">
        <v>480</v>
      </c>
      <c r="D297" s="7" t="s">
        <v>480</v>
      </c>
      <c r="E297" s="8">
        <v>71103.0</v>
      </c>
      <c r="F297" s="8">
        <v>7324.0</v>
      </c>
      <c r="G297" s="8">
        <v>7490.0</v>
      </c>
      <c r="H297" s="8">
        <v>7578.0</v>
      </c>
      <c r="I297" s="8">
        <v>8366.0</v>
      </c>
      <c r="J297" s="8">
        <v>8453.0</v>
      </c>
      <c r="K297" s="8">
        <v>8541.0</v>
      </c>
      <c r="L297" s="8">
        <v>0.0</v>
      </c>
      <c r="M297" s="8">
        <v>0.0</v>
      </c>
      <c r="N297" s="8">
        <v>0.0</v>
      </c>
      <c r="O297" s="8">
        <v>0.0</v>
      </c>
      <c r="P297" s="8">
        <v>3.0</v>
      </c>
      <c r="Q297" s="8">
        <v>1.0</v>
      </c>
      <c r="R297" s="18">
        <f t="shared" ref="R297:T297" si="593">(L297/F297)*1000000</f>
        <v>0</v>
      </c>
      <c r="S297" s="18">
        <f t="shared" si="593"/>
        <v>0</v>
      </c>
      <c r="T297" s="18">
        <f t="shared" si="593"/>
        <v>0</v>
      </c>
      <c r="U297" s="18">
        <f t="shared" si="4"/>
        <v>0</v>
      </c>
      <c r="V297" s="18">
        <f t="shared" ref="V297:X297" si="594">(O297/I297)*1000000</f>
        <v>0</v>
      </c>
      <c r="W297" s="18">
        <f t="shared" si="594"/>
        <v>354.9035845</v>
      </c>
      <c r="X297" s="18">
        <f t="shared" si="594"/>
        <v>117.0823089</v>
      </c>
      <c r="Y297" s="18">
        <f t="shared" si="6"/>
        <v>157.3286311</v>
      </c>
    </row>
    <row r="298" ht="14.25" customHeight="1">
      <c r="A298" s="7" t="s">
        <v>426</v>
      </c>
      <c r="B298" s="7" t="s">
        <v>479</v>
      </c>
      <c r="C298" s="7" t="s">
        <v>481</v>
      </c>
      <c r="D298" s="7" t="s">
        <v>481</v>
      </c>
      <c r="E298" s="8">
        <v>71104.0</v>
      </c>
      <c r="F298" s="8">
        <v>46562.0</v>
      </c>
      <c r="G298" s="8">
        <v>47416.0</v>
      </c>
      <c r="H298" s="8">
        <v>47207.0</v>
      </c>
      <c r="I298" s="8">
        <v>45327.0</v>
      </c>
      <c r="J298" s="8">
        <v>45118.0</v>
      </c>
      <c r="K298" s="8">
        <v>44909.0</v>
      </c>
      <c r="L298" s="8">
        <v>5.0</v>
      </c>
      <c r="M298" s="8">
        <v>5.0</v>
      </c>
      <c r="N298" s="8">
        <v>6.0</v>
      </c>
      <c r="O298" s="8">
        <v>14.0</v>
      </c>
      <c r="P298" s="8">
        <v>12.0</v>
      </c>
      <c r="Q298" s="8">
        <v>20.0</v>
      </c>
      <c r="R298" s="18">
        <f t="shared" ref="R298:T298" si="595">(L298/F298)*1000000</f>
        <v>107.3837034</v>
      </c>
      <c r="S298" s="18">
        <f t="shared" si="595"/>
        <v>105.4496373</v>
      </c>
      <c r="T298" s="18">
        <f t="shared" si="595"/>
        <v>127.0997945</v>
      </c>
      <c r="U298" s="18">
        <f t="shared" si="4"/>
        <v>113.3110451</v>
      </c>
      <c r="V298" s="18">
        <f t="shared" ref="V298:X298" si="596">(O298/I298)*1000000</f>
        <v>308.8666799</v>
      </c>
      <c r="W298" s="18">
        <f t="shared" si="596"/>
        <v>265.9692362</v>
      </c>
      <c r="X298" s="18">
        <f t="shared" si="596"/>
        <v>445.3450311</v>
      </c>
      <c r="Y298" s="18">
        <f t="shared" si="6"/>
        <v>340.0603157</v>
      </c>
    </row>
    <row r="299" ht="14.25" customHeight="1">
      <c r="A299" s="7" t="s">
        <v>426</v>
      </c>
      <c r="B299" s="7" t="s">
        <v>479</v>
      </c>
      <c r="C299" s="7" t="s">
        <v>482</v>
      </c>
      <c r="D299" s="7" t="s">
        <v>482</v>
      </c>
      <c r="E299" s="8">
        <v>71105.0</v>
      </c>
      <c r="F299" s="8">
        <v>6464.0</v>
      </c>
      <c r="G299" s="8">
        <v>6481.0</v>
      </c>
      <c r="H299" s="8">
        <v>6471.0</v>
      </c>
      <c r="I299" s="8">
        <v>6384.0</v>
      </c>
      <c r="J299" s="8">
        <v>6374.0</v>
      </c>
      <c r="K299" s="8">
        <v>6364.0</v>
      </c>
      <c r="L299" s="8">
        <v>0.0</v>
      </c>
      <c r="M299" s="8">
        <v>1.0</v>
      </c>
      <c r="N299" s="8">
        <v>0.0</v>
      </c>
      <c r="O299" s="8">
        <v>0.0</v>
      </c>
      <c r="P299" s="8">
        <v>0.0</v>
      </c>
      <c r="Q299" s="8">
        <v>1.0</v>
      </c>
      <c r="R299" s="18">
        <f t="shared" ref="R299:T299" si="597">(L299/F299)*1000000</f>
        <v>0</v>
      </c>
      <c r="S299" s="18">
        <f t="shared" si="597"/>
        <v>154.2971764</v>
      </c>
      <c r="T299" s="18">
        <f t="shared" si="597"/>
        <v>0</v>
      </c>
      <c r="U299" s="18">
        <f t="shared" si="4"/>
        <v>51.43239212</v>
      </c>
      <c r="V299" s="18">
        <f t="shared" ref="V299:X299" si="598">(O299/I299)*1000000</f>
        <v>0</v>
      </c>
      <c r="W299" s="18">
        <f t="shared" si="598"/>
        <v>0</v>
      </c>
      <c r="X299" s="18">
        <f t="shared" si="598"/>
        <v>157.1338781</v>
      </c>
      <c r="Y299" s="18">
        <f t="shared" si="6"/>
        <v>52.37795935</v>
      </c>
    </row>
    <row r="300" ht="14.25" customHeight="1">
      <c r="A300" s="7" t="s">
        <v>426</v>
      </c>
      <c r="B300" s="7" t="s">
        <v>479</v>
      </c>
      <c r="C300" s="7" t="s">
        <v>483</v>
      </c>
      <c r="D300" s="7" t="s">
        <v>483</v>
      </c>
      <c r="E300" s="8">
        <v>71106.0</v>
      </c>
      <c r="F300" s="8">
        <v>22366.0</v>
      </c>
      <c r="G300" s="8">
        <v>22845.0</v>
      </c>
      <c r="H300" s="8">
        <v>23046.0</v>
      </c>
      <c r="I300" s="8">
        <v>24856.0</v>
      </c>
      <c r="J300" s="8">
        <v>25057.0</v>
      </c>
      <c r="K300" s="8">
        <v>25258.0</v>
      </c>
      <c r="L300" s="8">
        <v>0.0</v>
      </c>
      <c r="M300" s="8">
        <v>0.0</v>
      </c>
      <c r="N300" s="8">
        <v>0.0</v>
      </c>
      <c r="O300" s="8">
        <v>0.0</v>
      </c>
      <c r="P300" s="8">
        <v>0.0</v>
      </c>
      <c r="Q300" s="8">
        <v>0.0</v>
      </c>
      <c r="R300" s="18">
        <f t="shared" ref="R300:T300" si="599">(L300/F300)*1000000</f>
        <v>0</v>
      </c>
      <c r="S300" s="18">
        <f t="shared" si="599"/>
        <v>0</v>
      </c>
      <c r="T300" s="18">
        <f t="shared" si="599"/>
        <v>0</v>
      </c>
      <c r="U300" s="18">
        <f t="shared" si="4"/>
        <v>0</v>
      </c>
      <c r="V300" s="18">
        <f t="shared" ref="V300:X300" si="600">(O300/I300)*1000000</f>
        <v>0</v>
      </c>
      <c r="W300" s="18">
        <f t="shared" si="600"/>
        <v>0</v>
      </c>
      <c r="X300" s="18">
        <f t="shared" si="600"/>
        <v>0</v>
      </c>
      <c r="Y300" s="18">
        <f t="shared" si="6"/>
        <v>0</v>
      </c>
    </row>
    <row r="301" ht="14.25" customHeight="1">
      <c r="A301" s="7" t="s">
        <v>426</v>
      </c>
      <c r="B301" s="7" t="s">
        <v>484</v>
      </c>
      <c r="C301" s="7" t="s">
        <v>454</v>
      </c>
      <c r="D301" s="7" t="s">
        <v>454</v>
      </c>
      <c r="E301" s="8">
        <v>71201.0</v>
      </c>
      <c r="F301" s="8">
        <v>14343.0</v>
      </c>
      <c r="G301" s="8">
        <v>14470.0</v>
      </c>
      <c r="H301" s="8">
        <v>14546.0</v>
      </c>
      <c r="I301" s="8">
        <v>15227.0</v>
      </c>
      <c r="J301" s="8">
        <v>15302.0</v>
      </c>
      <c r="K301" s="8">
        <v>15378.0</v>
      </c>
      <c r="L301" s="8">
        <v>4.0</v>
      </c>
      <c r="M301" s="8">
        <v>0.0</v>
      </c>
      <c r="N301" s="8">
        <v>1.0</v>
      </c>
      <c r="O301" s="8">
        <v>1.0</v>
      </c>
      <c r="P301" s="8">
        <v>2.0</v>
      </c>
      <c r="Q301" s="8">
        <v>2.0</v>
      </c>
      <c r="R301" s="18">
        <f t="shared" ref="R301:T301" si="601">(L301/F301)*1000000</f>
        <v>278.8816844</v>
      </c>
      <c r="S301" s="18">
        <f t="shared" si="601"/>
        <v>0</v>
      </c>
      <c r="T301" s="18">
        <f t="shared" si="601"/>
        <v>68.74742197</v>
      </c>
      <c r="U301" s="18">
        <f t="shared" si="4"/>
        <v>115.8763688</v>
      </c>
      <c r="V301" s="18">
        <f t="shared" ref="V301:X301" si="602">(O301/I301)*1000000</f>
        <v>65.67281802</v>
      </c>
      <c r="W301" s="18">
        <f t="shared" si="602"/>
        <v>130.701869</v>
      </c>
      <c r="X301" s="18">
        <f t="shared" si="602"/>
        <v>130.055924</v>
      </c>
      <c r="Y301" s="18">
        <f t="shared" si="6"/>
        <v>108.8102037</v>
      </c>
    </row>
    <row r="302" ht="14.25" customHeight="1">
      <c r="A302" s="7" t="s">
        <v>426</v>
      </c>
      <c r="B302" s="7" t="s">
        <v>485</v>
      </c>
      <c r="C302" s="7" t="s">
        <v>395</v>
      </c>
      <c r="D302" s="7" t="s">
        <v>395</v>
      </c>
      <c r="E302" s="8">
        <v>71301.0</v>
      </c>
      <c r="F302" s="8">
        <v>15805.0</v>
      </c>
      <c r="G302" s="8">
        <v>15919.0</v>
      </c>
      <c r="H302" s="8">
        <v>16025.0</v>
      </c>
      <c r="I302" s="8">
        <v>16982.0</v>
      </c>
      <c r="J302" s="8">
        <v>17089.0</v>
      </c>
      <c r="K302" s="8">
        <v>17195.0</v>
      </c>
      <c r="L302" s="8">
        <v>0.0</v>
      </c>
      <c r="M302" s="8">
        <v>1.0</v>
      </c>
      <c r="N302" s="8">
        <v>1.0</v>
      </c>
      <c r="O302" s="8">
        <v>0.0</v>
      </c>
      <c r="P302" s="8">
        <v>2.0</v>
      </c>
      <c r="Q302" s="8">
        <v>2.0</v>
      </c>
      <c r="R302" s="18">
        <f t="shared" ref="R302:T302" si="603">(L302/F302)*1000000</f>
        <v>0</v>
      </c>
      <c r="S302" s="18">
        <f t="shared" si="603"/>
        <v>62.81801621</v>
      </c>
      <c r="T302" s="18">
        <f t="shared" si="603"/>
        <v>62.4024961</v>
      </c>
      <c r="U302" s="18">
        <f t="shared" si="4"/>
        <v>41.74017077</v>
      </c>
      <c r="V302" s="18">
        <f t="shared" ref="V302:X302" si="604">(O302/I302)*1000000</f>
        <v>0</v>
      </c>
      <c r="W302" s="18">
        <f t="shared" si="604"/>
        <v>117.0343496</v>
      </c>
      <c r="X302" s="18">
        <f t="shared" si="604"/>
        <v>116.3128817</v>
      </c>
      <c r="Y302" s="18">
        <f t="shared" si="6"/>
        <v>77.78241041</v>
      </c>
    </row>
    <row r="303" ht="14.25" customHeight="1">
      <c r="A303" s="7" t="s">
        <v>426</v>
      </c>
      <c r="B303" s="7" t="s">
        <v>485</v>
      </c>
      <c r="C303" s="7" t="s">
        <v>440</v>
      </c>
      <c r="D303" s="7" t="s">
        <v>440</v>
      </c>
      <c r="E303" s="8">
        <v>71302.0</v>
      </c>
      <c r="F303" s="8">
        <v>7205.0</v>
      </c>
      <c r="G303" s="8">
        <v>7390.0</v>
      </c>
      <c r="H303" s="8">
        <v>7278.0</v>
      </c>
      <c r="I303" s="8">
        <v>6272.0</v>
      </c>
      <c r="J303" s="8">
        <v>6160.0</v>
      </c>
      <c r="K303" s="8">
        <v>6048.0</v>
      </c>
      <c r="L303" s="8">
        <v>0.0</v>
      </c>
      <c r="M303" s="8">
        <v>1.0</v>
      </c>
      <c r="N303" s="8">
        <v>0.0</v>
      </c>
      <c r="O303" s="8">
        <v>0.0</v>
      </c>
      <c r="P303" s="8">
        <v>1.0</v>
      </c>
      <c r="Q303" s="8">
        <v>0.0</v>
      </c>
      <c r="R303" s="18">
        <f t="shared" ref="R303:T303" si="605">(L303/F303)*1000000</f>
        <v>0</v>
      </c>
      <c r="S303" s="18">
        <f t="shared" si="605"/>
        <v>135.3179973</v>
      </c>
      <c r="T303" s="18">
        <f t="shared" si="605"/>
        <v>0</v>
      </c>
      <c r="U303" s="18">
        <f t="shared" si="4"/>
        <v>45.1059991</v>
      </c>
      <c r="V303" s="18">
        <f t="shared" ref="V303:X303" si="606">(O303/I303)*1000000</f>
        <v>0</v>
      </c>
      <c r="W303" s="18">
        <f t="shared" si="606"/>
        <v>162.3376623</v>
      </c>
      <c r="X303" s="18">
        <f t="shared" si="606"/>
        <v>0</v>
      </c>
      <c r="Y303" s="18">
        <f t="shared" si="6"/>
        <v>54.11255411</v>
      </c>
    </row>
    <row r="304" ht="14.25" customHeight="1">
      <c r="A304" s="7" t="s">
        <v>426</v>
      </c>
      <c r="B304" s="7" t="s">
        <v>486</v>
      </c>
      <c r="C304" s="7" t="s">
        <v>487</v>
      </c>
      <c r="D304" s="7" t="s">
        <v>487</v>
      </c>
      <c r="E304" s="8">
        <v>71401.0</v>
      </c>
      <c r="F304" s="8">
        <v>19409.0</v>
      </c>
      <c r="G304" s="8">
        <v>19829.0</v>
      </c>
      <c r="H304" s="8">
        <v>19628.0</v>
      </c>
      <c r="I304" s="8">
        <v>17819.0</v>
      </c>
      <c r="J304" s="8">
        <v>17618.0</v>
      </c>
      <c r="K304" s="8">
        <v>17417.0</v>
      </c>
      <c r="L304" s="8">
        <v>4.0</v>
      </c>
      <c r="M304" s="8">
        <v>1.0</v>
      </c>
      <c r="N304" s="8">
        <v>5.0</v>
      </c>
      <c r="O304" s="8">
        <v>6.0</v>
      </c>
      <c r="P304" s="8">
        <v>12.0</v>
      </c>
      <c r="Q304" s="8">
        <v>6.0</v>
      </c>
      <c r="R304" s="18">
        <f t="shared" ref="R304:T304" si="607">(L304/F304)*1000000</f>
        <v>206.0899583</v>
      </c>
      <c r="S304" s="18">
        <f t="shared" si="607"/>
        <v>50.43118665</v>
      </c>
      <c r="T304" s="18">
        <f t="shared" si="607"/>
        <v>254.7381292</v>
      </c>
      <c r="U304" s="18">
        <f t="shared" si="4"/>
        <v>170.419758</v>
      </c>
      <c r="V304" s="18">
        <f t="shared" ref="V304:X304" si="608">(O304/I304)*1000000</f>
        <v>336.7192323</v>
      </c>
      <c r="W304" s="18">
        <f t="shared" si="608"/>
        <v>681.1215802</v>
      </c>
      <c r="X304" s="18">
        <f t="shared" si="608"/>
        <v>344.4910145</v>
      </c>
      <c r="Y304" s="18">
        <f t="shared" si="6"/>
        <v>454.110609</v>
      </c>
    </row>
    <row r="305" ht="14.25" customHeight="1">
      <c r="A305" s="7" t="s">
        <v>426</v>
      </c>
      <c r="B305" s="7" t="s">
        <v>486</v>
      </c>
      <c r="C305" s="7" t="s">
        <v>433</v>
      </c>
      <c r="D305" s="7" t="s">
        <v>433</v>
      </c>
      <c r="E305" s="8">
        <v>71402.0</v>
      </c>
      <c r="F305" s="8">
        <v>16318.0</v>
      </c>
      <c r="G305" s="8">
        <v>16659.0</v>
      </c>
      <c r="H305" s="8">
        <v>16769.0</v>
      </c>
      <c r="I305" s="8">
        <v>17755.0</v>
      </c>
      <c r="J305" s="8">
        <v>17864.0</v>
      </c>
      <c r="K305" s="8">
        <v>17974.0</v>
      </c>
      <c r="L305" s="8">
        <v>2.0</v>
      </c>
      <c r="M305" s="8">
        <v>0.0</v>
      </c>
      <c r="N305" s="8">
        <v>5.0</v>
      </c>
      <c r="O305" s="8">
        <v>5.0</v>
      </c>
      <c r="P305" s="8">
        <v>15.0</v>
      </c>
      <c r="Q305" s="8">
        <v>5.0</v>
      </c>
      <c r="R305" s="18">
        <f t="shared" ref="R305:T305" si="609">(L305/F305)*1000000</f>
        <v>122.5640397</v>
      </c>
      <c r="S305" s="18">
        <f t="shared" si="609"/>
        <v>0</v>
      </c>
      <c r="T305" s="18">
        <f t="shared" si="609"/>
        <v>298.1692409</v>
      </c>
      <c r="U305" s="18">
        <f t="shared" si="4"/>
        <v>140.2444269</v>
      </c>
      <c r="V305" s="18">
        <f t="shared" ref="V305:X305" si="610">(O305/I305)*1000000</f>
        <v>281.6108139</v>
      </c>
      <c r="W305" s="18">
        <f t="shared" si="610"/>
        <v>839.6775638</v>
      </c>
      <c r="X305" s="18">
        <f t="shared" si="610"/>
        <v>278.1795927</v>
      </c>
      <c r="Y305" s="18">
        <f t="shared" si="6"/>
        <v>466.4893235</v>
      </c>
    </row>
    <row r="306" ht="14.25" customHeight="1">
      <c r="A306" s="7" t="s">
        <v>426</v>
      </c>
      <c r="B306" s="7" t="s">
        <v>486</v>
      </c>
      <c r="C306" s="7" t="s">
        <v>488</v>
      </c>
      <c r="D306" s="7" t="s">
        <v>488</v>
      </c>
      <c r="E306" s="8">
        <v>71403.0</v>
      </c>
      <c r="F306" s="8">
        <v>6210.0</v>
      </c>
      <c r="G306" s="8">
        <v>6342.0</v>
      </c>
      <c r="H306" s="8">
        <v>6548.0</v>
      </c>
      <c r="I306" s="8">
        <v>8404.0</v>
      </c>
      <c r="J306" s="8">
        <v>8610.0</v>
      </c>
      <c r="K306" s="8">
        <v>8816.0</v>
      </c>
      <c r="L306" s="8">
        <v>1.0</v>
      </c>
      <c r="M306" s="8">
        <v>0.0</v>
      </c>
      <c r="N306" s="8">
        <v>0.0</v>
      </c>
      <c r="O306" s="8">
        <v>0.0</v>
      </c>
      <c r="P306" s="8">
        <v>4.0</v>
      </c>
      <c r="Q306" s="8">
        <v>3.0</v>
      </c>
      <c r="R306" s="18">
        <f t="shared" ref="R306:T306" si="611">(L306/F306)*1000000</f>
        <v>161.0305958</v>
      </c>
      <c r="S306" s="18">
        <f t="shared" si="611"/>
        <v>0</v>
      </c>
      <c r="T306" s="18">
        <f t="shared" si="611"/>
        <v>0</v>
      </c>
      <c r="U306" s="18">
        <f t="shared" si="4"/>
        <v>53.67686527</v>
      </c>
      <c r="V306" s="18">
        <f t="shared" ref="V306:X306" si="612">(O306/I306)*1000000</f>
        <v>0</v>
      </c>
      <c r="W306" s="18">
        <f t="shared" si="612"/>
        <v>464.5760743</v>
      </c>
      <c r="X306" s="18">
        <f t="shared" si="612"/>
        <v>340.2903811</v>
      </c>
      <c r="Y306" s="18">
        <f t="shared" si="6"/>
        <v>268.2888185</v>
      </c>
    </row>
    <row r="307" ht="14.25" customHeight="1">
      <c r="A307" s="7" t="s">
        <v>426</v>
      </c>
      <c r="B307" s="7" t="s">
        <v>489</v>
      </c>
      <c r="C307" s="7" t="s">
        <v>490</v>
      </c>
      <c r="D307" s="7" t="s">
        <v>490</v>
      </c>
      <c r="E307" s="8">
        <v>71501.0</v>
      </c>
      <c r="F307" s="8">
        <v>26153.0</v>
      </c>
      <c r="G307" s="8">
        <v>27070.0</v>
      </c>
      <c r="H307" s="8">
        <v>27654.0</v>
      </c>
      <c r="I307" s="8">
        <v>32911.0</v>
      </c>
      <c r="J307" s="8">
        <v>33495.0</v>
      </c>
      <c r="K307" s="8">
        <v>34079.0</v>
      </c>
      <c r="L307" s="8">
        <v>5.0</v>
      </c>
      <c r="M307" s="8">
        <v>4.0</v>
      </c>
      <c r="N307" s="8">
        <v>7.0</v>
      </c>
      <c r="O307" s="8">
        <v>5.0</v>
      </c>
      <c r="P307" s="8">
        <v>14.0</v>
      </c>
      <c r="Q307" s="8">
        <v>8.0</v>
      </c>
      <c r="R307" s="18">
        <f t="shared" ref="R307:T307" si="613">(L307/F307)*1000000</f>
        <v>191.1826559</v>
      </c>
      <c r="S307" s="18">
        <f t="shared" si="613"/>
        <v>147.7650536</v>
      </c>
      <c r="T307" s="18">
        <f t="shared" si="613"/>
        <v>253.1279381</v>
      </c>
      <c r="U307" s="18">
        <f t="shared" si="4"/>
        <v>197.3585492</v>
      </c>
      <c r="V307" s="18">
        <f t="shared" ref="V307:X307" si="614">(O307/I307)*1000000</f>
        <v>151.9248883</v>
      </c>
      <c r="W307" s="18">
        <f t="shared" si="614"/>
        <v>417.9728318</v>
      </c>
      <c r="X307" s="18">
        <f t="shared" si="614"/>
        <v>234.7486722</v>
      </c>
      <c r="Y307" s="18">
        <f t="shared" si="6"/>
        <v>268.2154641</v>
      </c>
    </row>
    <row r="308" ht="14.25" customHeight="1">
      <c r="A308" s="7" t="s">
        <v>426</v>
      </c>
      <c r="B308" s="7" t="s">
        <v>489</v>
      </c>
      <c r="C308" s="7" t="s">
        <v>491</v>
      </c>
      <c r="D308" s="7" t="s">
        <v>460</v>
      </c>
      <c r="E308" s="8">
        <v>71502.0</v>
      </c>
      <c r="F308" s="8">
        <v>6929.0</v>
      </c>
      <c r="G308" s="8">
        <v>7026.0</v>
      </c>
      <c r="H308" s="8">
        <v>6987.0</v>
      </c>
      <c r="I308" s="8">
        <v>6634.0</v>
      </c>
      <c r="J308" s="8">
        <v>6594.0</v>
      </c>
      <c r="K308" s="8">
        <v>6555.0</v>
      </c>
      <c r="L308" s="8">
        <v>2.0</v>
      </c>
      <c r="M308" s="8">
        <v>10.0</v>
      </c>
      <c r="N308" s="8">
        <v>10.0</v>
      </c>
      <c r="O308" s="8">
        <v>1.0</v>
      </c>
      <c r="P308" s="8">
        <v>2.0</v>
      </c>
      <c r="Q308" s="8">
        <v>0.0</v>
      </c>
      <c r="R308" s="18">
        <f t="shared" ref="R308:T308" si="615">(L308/F308)*1000000</f>
        <v>288.6419397</v>
      </c>
      <c r="S308" s="18">
        <f t="shared" si="615"/>
        <v>1423.284942</v>
      </c>
      <c r="T308" s="18">
        <f t="shared" si="615"/>
        <v>1431.229426</v>
      </c>
      <c r="U308" s="18">
        <f t="shared" si="4"/>
        <v>1047.718769</v>
      </c>
      <c r="V308" s="18">
        <f t="shared" ref="V308:X308" si="616">(O308/I308)*1000000</f>
        <v>150.7386192</v>
      </c>
      <c r="W308" s="18">
        <f t="shared" si="616"/>
        <v>303.3060358</v>
      </c>
      <c r="X308" s="18">
        <f t="shared" si="616"/>
        <v>0</v>
      </c>
      <c r="Y308" s="18">
        <f t="shared" si="6"/>
        <v>151.3482183</v>
      </c>
    </row>
    <row r="309" ht="14.25" customHeight="1">
      <c r="A309" s="7" t="s">
        <v>426</v>
      </c>
      <c r="B309" s="7" t="s">
        <v>489</v>
      </c>
      <c r="C309" s="7" t="s">
        <v>406</v>
      </c>
      <c r="D309" s="7" t="s">
        <v>406</v>
      </c>
      <c r="E309" s="8">
        <v>71503.0</v>
      </c>
      <c r="F309" s="8">
        <v>13698.0</v>
      </c>
      <c r="G309" s="8">
        <v>14205.0</v>
      </c>
      <c r="H309" s="8">
        <v>14462.0</v>
      </c>
      <c r="I309" s="8">
        <v>16776.0</v>
      </c>
      <c r="J309" s="8">
        <v>17033.0</v>
      </c>
      <c r="K309" s="8">
        <v>17290.0</v>
      </c>
      <c r="L309" s="8">
        <v>0.0</v>
      </c>
      <c r="M309" s="8">
        <v>1.0</v>
      </c>
      <c r="N309" s="8">
        <v>2.0</v>
      </c>
      <c r="O309" s="8">
        <v>1.0</v>
      </c>
      <c r="P309" s="8">
        <v>3.0</v>
      </c>
      <c r="Q309" s="8">
        <v>2.0</v>
      </c>
      <c r="R309" s="18">
        <f t="shared" ref="R309:T309" si="617">(L309/F309)*1000000</f>
        <v>0</v>
      </c>
      <c r="S309" s="18">
        <f t="shared" si="617"/>
        <v>70.39774727</v>
      </c>
      <c r="T309" s="18">
        <f t="shared" si="617"/>
        <v>138.2934587</v>
      </c>
      <c r="U309" s="18">
        <f t="shared" si="4"/>
        <v>69.56373533</v>
      </c>
      <c r="V309" s="18">
        <f t="shared" ref="V309:X309" si="618">(O309/I309)*1000000</f>
        <v>59.60896519</v>
      </c>
      <c r="W309" s="18">
        <f t="shared" si="618"/>
        <v>176.1286914</v>
      </c>
      <c r="X309" s="18">
        <f t="shared" si="618"/>
        <v>115.6737999</v>
      </c>
      <c r="Y309" s="18">
        <f t="shared" si="6"/>
        <v>117.1371521</v>
      </c>
    </row>
    <row r="310" ht="14.25" customHeight="1">
      <c r="A310" s="7" t="s">
        <v>492</v>
      </c>
      <c r="B310" s="7" t="s">
        <v>236</v>
      </c>
      <c r="C310" s="7" t="s">
        <v>60</v>
      </c>
      <c r="D310" s="7" t="s">
        <v>60</v>
      </c>
      <c r="E310" s="8">
        <v>80101.0</v>
      </c>
      <c r="F310" s="8">
        <v>104175.0</v>
      </c>
      <c r="G310" s="8">
        <v>106596.0</v>
      </c>
      <c r="H310" s="8">
        <v>108429.0</v>
      </c>
      <c r="I310" s="8">
        <v>124924.0</v>
      </c>
      <c r="J310" s="8">
        <v>126756.0</v>
      </c>
      <c r="K310" s="8">
        <v>128589.0</v>
      </c>
      <c r="L310" s="8">
        <v>11.0</v>
      </c>
      <c r="M310" s="8">
        <v>27.0</v>
      </c>
      <c r="N310" s="8">
        <v>31.0</v>
      </c>
      <c r="O310" s="8">
        <v>88.0</v>
      </c>
      <c r="P310" s="8">
        <v>95.0</v>
      </c>
      <c r="Q310" s="8">
        <v>83.0</v>
      </c>
      <c r="R310" s="18">
        <f t="shared" ref="R310:T310" si="619">(L310/F310)*1000000</f>
        <v>105.5915527</v>
      </c>
      <c r="S310" s="18">
        <f t="shared" si="619"/>
        <v>253.2928065</v>
      </c>
      <c r="T310" s="18">
        <f t="shared" si="619"/>
        <v>285.9013732</v>
      </c>
      <c r="U310" s="18">
        <f t="shared" si="4"/>
        <v>214.9285775</v>
      </c>
      <c r="V310" s="18">
        <f t="shared" ref="V310:X310" si="620">(O310/I310)*1000000</f>
        <v>704.4282924</v>
      </c>
      <c r="W310" s="18">
        <f t="shared" si="620"/>
        <v>749.4714254</v>
      </c>
      <c r="X310" s="18">
        <f t="shared" si="620"/>
        <v>645.4673417</v>
      </c>
      <c r="Y310" s="18">
        <f t="shared" si="6"/>
        <v>699.7890198</v>
      </c>
    </row>
    <row r="311" ht="14.25" customHeight="1">
      <c r="A311" s="7" t="s">
        <v>492</v>
      </c>
      <c r="B311" s="7" t="s">
        <v>236</v>
      </c>
      <c r="C311" s="7" t="s">
        <v>48</v>
      </c>
      <c r="D311" s="7" t="s">
        <v>48</v>
      </c>
      <c r="E311" s="8">
        <v>80102.0</v>
      </c>
      <c r="F311" s="8">
        <v>5042.0</v>
      </c>
      <c r="G311" s="8">
        <v>5277.0</v>
      </c>
      <c r="H311" s="8">
        <v>5497.0</v>
      </c>
      <c r="I311" s="8">
        <v>7474.0</v>
      </c>
      <c r="J311" s="8">
        <v>7693.0</v>
      </c>
      <c r="K311" s="8">
        <v>7913.0</v>
      </c>
      <c r="L311" s="8">
        <v>0.0</v>
      </c>
      <c r="M311" s="8">
        <v>0.0</v>
      </c>
      <c r="N311" s="8">
        <v>0.0</v>
      </c>
      <c r="O311" s="8">
        <v>1.0</v>
      </c>
      <c r="P311" s="8">
        <v>0.0</v>
      </c>
      <c r="Q311" s="8">
        <v>0.0</v>
      </c>
      <c r="R311" s="18">
        <f t="shared" ref="R311:T311" si="621">(L311/F311)*1000000</f>
        <v>0</v>
      </c>
      <c r="S311" s="18">
        <f t="shared" si="621"/>
        <v>0</v>
      </c>
      <c r="T311" s="18">
        <f t="shared" si="621"/>
        <v>0</v>
      </c>
      <c r="U311" s="18">
        <f t="shared" si="4"/>
        <v>0</v>
      </c>
      <c r="V311" s="18">
        <f t="shared" ref="V311:X311" si="622">(O311/I311)*1000000</f>
        <v>133.7971635</v>
      </c>
      <c r="W311" s="18">
        <f t="shared" si="622"/>
        <v>0</v>
      </c>
      <c r="X311" s="18">
        <f t="shared" si="622"/>
        <v>0</v>
      </c>
      <c r="Y311" s="18">
        <f t="shared" si="6"/>
        <v>44.5990545</v>
      </c>
    </row>
    <row r="312" ht="14.25" customHeight="1">
      <c r="A312" s="7" t="s">
        <v>492</v>
      </c>
      <c r="B312" s="7" t="s">
        <v>493</v>
      </c>
      <c r="C312" s="7" t="s">
        <v>41</v>
      </c>
      <c r="D312" s="7" t="s">
        <v>41</v>
      </c>
      <c r="E312" s="8">
        <v>80201.0</v>
      </c>
      <c r="F312" s="8">
        <v>87836.0</v>
      </c>
      <c r="G312" s="8">
        <v>89022.0</v>
      </c>
      <c r="H312" s="8">
        <v>90795.0</v>
      </c>
      <c r="I312" s="8">
        <v>106755.0</v>
      </c>
      <c r="J312" s="8">
        <v>108529.0</v>
      </c>
      <c r="K312" s="8">
        <v>110302.0</v>
      </c>
      <c r="L312" s="8">
        <v>1.0</v>
      </c>
      <c r="M312" s="8">
        <v>7.0</v>
      </c>
      <c r="N312" s="8">
        <v>2.0</v>
      </c>
      <c r="O312" s="8">
        <v>70.0</v>
      </c>
      <c r="P312" s="8">
        <v>79.0</v>
      </c>
      <c r="Q312" s="8">
        <v>74.0</v>
      </c>
      <c r="R312" s="18">
        <f t="shared" ref="R312:T312" si="623">(L312/F312)*1000000</f>
        <v>11.38485359</v>
      </c>
      <c r="S312" s="18">
        <f t="shared" si="623"/>
        <v>78.63224821</v>
      </c>
      <c r="T312" s="18">
        <f t="shared" si="623"/>
        <v>22.02764469</v>
      </c>
      <c r="U312" s="18">
        <f t="shared" si="4"/>
        <v>37.34824883</v>
      </c>
      <c r="V312" s="18">
        <f t="shared" ref="V312:X312" si="624">(O312/I312)*1000000</f>
        <v>655.7069926</v>
      </c>
      <c r="W312" s="18">
        <f t="shared" si="624"/>
        <v>727.9160409</v>
      </c>
      <c r="X312" s="18">
        <f t="shared" si="624"/>
        <v>670.8853874</v>
      </c>
      <c r="Y312" s="18">
        <f t="shared" si="6"/>
        <v>684.8361403</v>
      </c>
    </row>
    <row r="313" ht="14.25" customHeight="1">
      <c r="A313" s="7" t="s">
        <v>492</v>
      </c>
      <c r="B313" s="7" t="s">
        <v>493</v>
      </c>
      <c r="C313" s="7" t="s">
        <v>494</v>
      </c>
      <c r="D313" s="7" t="s">
        <v>494</v>
      </c>
      <c r="E313" s="8">
        <v>80202.0</v>
      </c>
      <c r="F313" s="8">
        <v>41689.0</v>
      </c>
      <c r="G313" s="8">
        <v>41814.0</v>
      </c>
      <c r="H313" s="8">
        <v>41832.0</v>
      </c>
      <c r="I313" s="8">
        <v>41995.0</v>
      </c>
      <c r="J313" s="8">
        <v>42013.0</v>
      </c>
      <c r="K313" s="8">
        <v>42031.0</v>
      </c>
      <c r="L313" s="8">
        <v>2.0</v>
      </c>
      <c r="M313" s="8">
        <v>3.0</v>
      </c>
      <c r="N313" s="8">
        <v>3.0</v>
      </c>
      <c r="O313" s="8">
        <v>6.0</v>
      </c>
      <c r="P313" s="8">
        <v>18.0</v>
      </c>
      <c r="Q313" s="8">
        <v>15.0</v>
      </c>
      <c r="R313" s="18">
        <f t="shared" ref="R313:T313" si="625">(L313/F313)*1000000</f>
        <v>47.97428578</v>
      </c>
      <c r="S313" s="18">
        <f t="shared" si="625"/>
        <v>71.74630507</v>
      </c>
      <c r="T313" s="18">
        <f t="shared" si="625"/>
        <v>71.71543316</v>
      </c>
      <c r="U313" s="18">
        <f t="shared" si="4"/>
        <v>63.812008</v>
      </c>
      <c r="V313" s="18">
        <f t="shared" ref="V313:X313" si="626">(O313/I313)*1000000</f>
        <v>142.8741517</v>
      </c>
      <c r="W313" s="18">
        <f t="shared" si="626"/>
        <v>428.4388166</v>
      </c>
      <c r="X313" s="18">
        <f t="shared" si="626"/>
        <v>356.8794461</v>
      </c>
      <c r="Y313" s="18">
        <f t="shared" si="6"/>
        <v>309.3974715</v>
      </c>
    </row>
    <row r="314" ht="14.25" customHeight="1">
      <c r="A314" s="7" t="s">
        <v>492</v>
      </c>
      <c r="B314" s="7" t="s">
        <v>495</v>
      </c>
      <c r="C314" s="7" t="s">
        <v>38</v>
      </c>
      <c r="D314" s="7" t="s">
        <v>38</v>
      </c>
      <c r="E314" s="8">
        <v>80301.0</v>
      </c>
      <c r="F314" s="8">
        <v>13053.0</v>
      </c>
      <c r="G314" s="8">
        <v>13246.0</v>
      </c>
      <c r="H314" s="8">
        <v>13099.0</v>
      </c>
      <c r="I314" s="8">
        <v>11773.0</v>
      </c>
      <c r="J314" s="8">
        <v>11625.0</v>
      </c>
      <c r="K314" s="8">
        <v>11478.0</v>
      </c>
      <c r="L314" s="8">
        <v>0.0</v>
      </c>
      <c r="M314" s="8">
        <v>0.0</v>
      </c>
      <c r="N314" s="8">
        <v>0.0</v>
      </c>
      <c r="O314" s="8">
        <v>3.0</v>
      </c>
      <c r="P314" s="8">
        <v>3.0</v>
      </c>
      <c r="Q314" s="8">
        <v>1.0</v>
      </c>
      <c r="R314" s="18">
        <f t="shared" ref="R314:T314" si="627">(L314/F314)*1000000</f>
        <v>0</v>
      </c>
      <c r="S314" s="18">
        <f t="shared" si="627"/>
        <v>0</v>
      </c>
      <c r="T314" s="18">
        <f t="shared" si="627"/>
        <v>0</v>
      </c>
      <c r="U314" s="18">
        <f t="shared" si="4"/>
        <v>0</v>
      </c>
      <c r="V314" s="18">
        <f t="shared" ref="V314:X314" si="628">(O314/I314)*1000000</f>
        <v>254.8203517</v>
      </c>
      <c r="W314" s="18">
        <f t="shared" si="628"/>
        <v>258.0645161</v>
      </c>
      <c r="X314" s="18">
        <f t="shared" si="628"/>
        <v>87.12319219</v>
      </c>
      <c r="Y314" s="18">
        <f t="shared" si="6"/>
        <v>200.0026867</v>
      </c>
    </row>
    <row r="315" ht="14.25" customHeight="1">
      <c r="A315" s="7" t="s">
        <v>492</v>
      </c>
      <c r="B315" s="7" t="s">
        <v>495</v>
      </c>
      <c r="C315" s="7" t="s">
        <v>44</v>
      </c>
      <c r="D315" s="7" t="s">
        <v>44</v>
      </c>
      <c r="E315" s="8">
        <v>80302.0</v>
      </c>
      <c r="F315" s="8">
        <v>40273.0</v>
      </c>
      <c r="G315" s="8">
        <v>40864.0</v>
      </c>
      <c r="H315" s="8">
        <v>41275.0</v>
      </c>
      <c r="I315" s="8">
        <v>44976.0</v>
      </c>
      <c r="J315" s="8">
        <v>45387.0</v>
      </c>
      <c r="K315" s="8">
        <v>45798.0</v>
      </c>
      <c r="L315" s="8">
        <v>0.0</v>
      </c>
      <c r="M315" s="8">
        <v>0.0</v>
      </c>
      <c r="N315" s="8">
        <v>3.0</v>
      </c>
      <c r="O315" s="8">
        <v>6.0</v>
      </c>
      <c r="P315" s="8">
        <v>6.0</v>
      </c>
      <c r="Q315" s="8">
        <v>6.0</v>
      </c>
      <c r="R315" s="18">
        <f t="shared" ref="R315:T315" si="629">(L315/F315)*1000000</f>
        <v>0</v>
      </c>
      <c r="S315" s="18">
        <f t="shared" si="629"/>
        <v>0</v>
      </c>
      <c r="T315" s="18">
        <f t="shared" si="629"/>
        <v>72.68322229</v>
      </c>
      <c r="U315" s="18">
        <f t="shared" si="4"/>
        <v>24.22774076</v>
      </c>
      <c r="V315" s="18">
        <f t="shared" ref="V315:X315" si="630">(O315/I315)*1000000</f>
        <v>133.4044824</v>
      </c>
      <c r="W315" s="18">
        <f t="shared" si="630"/>
        <v>132.1964439</v>
      </c>
      <c r="X315" s="18">
        <f t="shared" si="630"/>
        <v>131.0100878</v>
      </c>
      <c r="Y315" s="18">
        <f t="shared" si="6"/>
        <v>132.2036714</v>
      </c>
    </row>
    <row r="316" ht="14.25" customHeight="1">
      <c r="A316" s="7" t="s">
        <v>492</v>
      </c>
      <c r="B316" s="7" t="s">
        <v>495</v>
      </c>
      <c r="C316" s="7" t="s">
        <v>57</v>
      </c>
      <c r="D316" s="7" t="s">
        <v>57</v>
      </c>
      <c r="E316" s="8">
        <v>80303.0</v>
      </c>
      <c r="F316" s="8">
        <v>9436.0</v>
      </c>
      <c r="G316" s="8">
        <v>9478.0</v>
      </c>
      <c r="H316" s="8">
        <v>9615.0</v>
      </c>
      <c r="I316" s="8">
        <v>10848.0</v>
      </c>
      <c r="J316" s="8">
        <v>10985.0</v>
      </c>
      <c r="K316" s="8">
        <v>11122.0</v>
      </c>
      <c r="L316" s="8">
        <v>0.0</v>
      </c>
      <c r="M316" s="8">
        <v>1.0</v>
      </c>
      <c r="N316" s="8">
        <v>0.0</v>
      </c>
      <c r="O316" s="8">
        <v>1.0</v>
      </c>
      <c r="P316" s="8">
        <v>3.0</v>
      </c>
      <c r="Q316" s="8">
        <v>3.0</v>
      </c>
      <c r="R316" s="18">
        <f t="shared" ref="R316:T316" si="631">(L316/F316)*1000000</f>
        <v>0</v>
      </c>
      <c r="S316" s="18">
        <f t="shared" si="631"/>
        <v>105.507491</v>
      </c>
      <c r="T316" s="18">
        <f t="shared" si="631"/>
        <v>0</v>
      </c>
      <c r="U316" s="18">
        <f t="shared" si="4"/>
        <v>35.16916368</v>
      </c>
      <c r="V316" s="18">
        <f t="shared" ref="V316:X316" si="632">(O316/I316)*1000000</f>
        <v>92.18289086</v>
      </c>
      <c r="W316" s="18">
        <f t="shared" si="632"/>
        <v>273.0996814</v>
      </c>
      <c r="X316" s="18">
        <f t="shared" si="632"/>
        <v>269.7356591</v>
      </c>
      <c r="Y316" s="18">
        <f t="shared" si="6"/>
        <v>211.6727438</v>
      </c>
    </row>
    <row r="317" ht="14.25" customHeight="1">
      <c r="A317" s="7" t="s">
        <v>492</v>
      </c>
      <c r="B317" s="7" t="s">
        <v>495</v>
      </c>
      <c r="C317" s="7" t="s">
        <v>496</v>
      </c>
      <c r="D317" s="7" t="s">
        <v>577</v>
      </c>
      <c r="E317" s="8">
        <v>80304.0</v>
      </c>
      <c r="F317" s="8">
        <v>18693.0</v>
      </c>
      <c r="G317" s="8">
        <v>19195.0</v>
      </c>
      <c r="H317" s="8">
        <v>19365.0</v>
      </c>
      <c r="I317" s="8">
        <v>20899.0</v>
      </c>
      <c r="J317" s="8">
        <v>21070.0</v>
      </c>
      <c r="K317" s="8">
        <v>21240.0</v>
      </c>
      <c r="L317" s="8">
        <v>0.0</v>
      </c>
      <c r="M317" s="8">
        <v>2.0</v>
      </c>
      <c r="N317" s="8">
        <v>1.0</v>
      </c>
      <c r="O317" s="8">
        <v>2.0</v>
      </c>
      <c r="P317" s="8">
        <v>10.0</v>
      </c>
      <c r="Q317" s="8">
        <v>6.0</v>
      </c>
      <c r="R317" s="18">
        <f t="shared" ref="R317:T317" si="633">(L317/F317)*1000000</f>
        <v>0</v>
      </c>
      <c r="S317" s="18">
        <f t="shared" si="633"/>
        <v>104.1938005</v>
      </c>
      <c r="T317" s="18">
        <f t="shared" si="633"/>
        <v>51.6395559</v>
      </c>
      <c r="U317" s="18">
        <f t="shared" si="4"/>
        <v>51.94445212</v>
      </c>
      <c r="V317" s="18">
        <f t="shared" ref="V317:X317" si="634">(O317/I317)*1000000</f>
        <v>95.69835877</v>
      </c>
      <c r="W317" s="18">
        <f t="shared" si="634"/>
        <v>474.608448</v>
      </c>
      <c r="X317" s="18">
        <f t="shared" si="634"/>
        <v>282.4858757</v>
      </c>
      <c r="Y317" s="18">
        <f t="shared" si="6"/>
        <v>284.2642275</v>
      </c>
    </row>
    <row r="318" ht="14.25" customHeight="1">
      <c r="A318" s="7" t="s">
        <v>492</v>
      </c>
      <c r="B318" s="7" t="s">
        <v>497</v>
      </c>
      <c r="C318" s="7" t="s">
        <v>498</v>
      </c>
      <c r="D318" s="7" t="s">
        <v>578</v>
      </c>
      <c r="E318" s="8">
        <v>80401.0</v>
      </c>
      <c r="F318" s="8">
        <v>17487.0</v>
      </c>
      <c r="G318" s="8">
        <v>17069.0</v>
      </c>
      <c r="H318" s="8">
        <v>17154.0</v>
      </c>
      <c r="I318" s="8">
        <v>17918.0</v>
      </c>
      <c r="J318" s="8">
        <v>18003.0</v>
      </c>
      <c r="K318" s="8">
        <v>18088.0</v>
      </c>
      <c r="L318" s="8">
        <v>0.0</v>
      </c>
      <c r="M318" s="8">
        <v>1.0</v>
      </c>
      <c r="N318" s="8">
        <v>2.0</v>
      </c>
      <c r="O318" s="8">
        <v>7.0</v>
      </c>
      <c r="P318" s="8">
        <v>18.0</v>
      </c>
      <c r="Q318" s="8">
        <v>14.0</v>
      </c>
      <c r="R318" s="18">
        <f t="shared" ref="R318:T318" si="635">(L318/F318)*1000000</f>
        <v>0</v>
      </c>
      <c r="S318" s="18">
        <f t="shared" si="635"/>
        <v>58.58574023</v>
      </c>
      <c r="T318" s="18">
        <f t="shared" si="635"/>
        <v>116.5908826</v>
      </c>
      <c r="U318" s="18">
        <f t="shared" si="4"/>
        <v>58.39220761</v>
      </c>
      <c r="V318" s="18">
        <f t="shared" ref="V318:X318" si="636">(O318/I318)*1000000</f>
        <v>390.6686014</v>
      </c>
      <c r="W318" s="18">
        <f t="shared" si="636"/>
        <v>999.8333611</v>
      </c>
      <c r="X318" s="18">
        <f t="shared" si="636"/>
        <v>773.993808</v>
      </c>
      <c r="Y318" s="18">
        <f t="shared" si="6"/>
        <v>721.4985902</v>
      </c>
    </row>
    <row r="319" ht="14.25" customHeight="1">
      <c r="A319" s="7" t="s">
        <v>492</v>
      </c>
      <c r="B319" s="7" t="s">
        <v>497</v>
      </c>
      <c r="C319" s="7" t="s">
        <v>499</v>
      </c>
      <c r="D319" s="7" t="s">
        <v>499</v>
      </c>
      <c r="E319" s="8">
        <v>80402.0</v>
      </c>
      <c r="F319" s="8">
        <v>6385.0</v>
      </c>
      <c r="G319" s="8">
        <v>6362.0</v>
      </c>
      <c r="H319" s="8">
        <v>6500.0</v>
      </c>
      <c r="I319" s="8">
        <v>7737.0</v>
      </c>
      <c r="J319" s="8">
        <v>7875.0</v>
      </c>
      <c r="K319" s="8">
        <v>8012.0</v>
      </c>
      <c r="L319" s="8">
        <v>0.0</v>
      </c>
      <c r="M319" s="8">
        <v>0.0</v>
      </c>
      <c r="N319" s="8">
        <v>0.0</v>
      </c>
      <c r="O319" s="8">
        <v>0.0</v>
      </c>
      <c r="P319" s="8">
        <v>0.0</v>
      </c>
      <c r="Q319" s="8">
        <v>0.0</v>
      </c>
      <c r="R319" s="18">
        <f t="shared" ref="R319:T319" si="637">(L319/F319)*1000000</f>
        <v>0</v>
      </c>
      <c r="S319" s="18">
        <f t="shared" si="637"/>
        <v>0</v>
      </c>
      <c r="T319" s="18">
        <f t="shared" si="637"/>
        <v>0</v>
      </c>
      <c r="U319" s="18">
        <f t="shared" si="4"/>
        <v>0</v>
      </c>
      <c r="V319" s="18">
        <f t="shared" ref="V319:X319" si="638">(O319/I319)*1000000</f>
        <v>0</v>
      </c>
      <c r="W319" s="18">
        <f t="shared" si="638"/>
        <v>0</v>
      </c>
      <c r="X319" s="18">
        <f t="shared" si="638"/>
        <v>0</v>
      </c>
      <c r="Y319" s="18">
        <f t="shared" si="6"/>
        <v>0</v>
      </c>
    </row>
    <row r="320" ht="14.25" customHeight="1">
      <c r="A320" s="7" t="s">
        <v>492</v>
      </c>
      <c r="B320" s="7" t="s">
        <v>500</v>
      </c>
      <c r="C320" s="7" t="s">
        <v>46</v>
      </c>
      <c r="D320" s="7" t="s">
        <v>46</v>
      </c>
      <c r="E320" s="8">
        <v>80501.0</v>
      </c>
      <c r="F320" s="8">
        <v>19252.0</v>
      </c>
      <c r="G320" s="8">
        <v>19252.0</v>
      </c>
      <c r="H320" s="8">
        <v>19446.0</v>
      </c>
      <c r="I320" s="8">
        <v>21195.0</v>
      </c>
      <c r="J320" s="8">
        <v>21390.0</v>
      </c>
      <c r="K320" s="8">
        <v>21584.0</v>
      </c>
      <c r="L320" s="8">
        <v>1.0</v>
      </c>
      <c r="M320" s="8">
        <v>2.0</v>
      </c>
      <c r="N320" s="8">
        <v>0.0</v>
      </c>
      <c r="O320" s="8">
        <v>8.0</v>
      </c>
      <c r="P320" s="8">
        <v>5.0</v>
      </c>
      <c r="Q320" s="8">
        <v>7.0</v>
      </c>
      <c r="R320" s="18">
        <f t="shared" ref="R320:T320" si="639">(L320/F320)*1000000</f>
        <v>51.94265531</v>
      </c>
      <c r="S320" s="18">
        <f t="shared" si="639"/>
        <v>103.8853106</v>
      </c>
      <c r="T320" s="18">
        <f t="shared" si="639"/>
        <v>0</v>
      </c>
      <c r="U320" s="18">
        <f t="shared" si="4"/>
        <v>51.94265531</v>
      </c>
      <c r="V320" s="18">
        <f t="shared" ref="V320:X320" si="640">(O320/I320)*1000000</f>
        <v>377.4475112</v>
      </c>
      <c r="W320" s="18">
        <f t="shared" si="640"/>
        <v>233.7540907</v>
      </c>
      <c r="X320" s="18">
        <f t="shared" si="640"/>
        <v>324.3143069</v>
      </c>
      <c r="Y320" s="18">
        <f t="shared" si="6"/>
        <v>311.8386363</v>
      </c>
    </row>
    <row r="321" ht="14.25" customHeight="1">
      <c r="A321" s="7" t="s">
        <v>492</v>
      </c>
      <c r="B321" s="7" t="s">
        <v>501</v>
      </c>
      <c r="C321" s="7" t="s">
        <v>29</v>
      </c>
      <c r="D321" s="7" t="s">
        <v>29</v>
      </c>
      <c r="E321" s="8">
        <v>80601.0</v>
      </c>
      <c r="F321" s="8">
        <v>3831.0</v>
      </c>
      <c r="G321" s="8">
        <v>3828.0</v>
      </c>
      <c r="H321" s="8">
        <v>3865.0</v>
      </c>
      <c r="I321" s="8">
        <v>4196.0</v>
      </c>
      <c r="J321" s="8">
        <v>4232.0</v>
      </c>
      <c r="K321" s="8">
        <v>4269.0</v>
      </c>
      <c r="L321" s="8">
        <v>0.0</v>
      </c>
      <c r="M321" s="8">
        <v>0.0</v>
      </c>
      <c r="N321" s="8">
        <v>0.0</v>
      </c>
      <c r="O321" s="8">
        <v>1.0</v>
      </c>
      <c r="P321" s="8">
        <v>1.0</v>
      </c>
      <c r="Q321" s="8">
        <v>0.0</v>
      </c>
      <c r="R321" s="18">
        <f t="shared" ref="R321:T321" si="641">(L321/F321)*1000000</f>
        <v>0</v>
      </c>
      <c r="S321" s="18">
        <f t="shared" si="641"/>
        <v>0</v>
      </c>
      <c r="T321" s="18">
        <f t="shared" si="641"/>
        <v>0</v>
      </c>
      <c r="U321" s="18">
        <f t="shared" si="4"/>
        <v>0</v>
      </c>
      <c r="V321" s="18">
        <f t="shared" ref="V321:X321" si="642">(O321/I321)*1000000</f>
        <v>238.3222116</v>
      </c>
      <c r="W321" s="18">
        <f t="shared" si="642"/>
        <v>236.294896</v>
      </c>
      <c r="X321" s="18">
        <f t="shared" si="642"/>
        <v>0</v>
      </c>
      <c r="Y321" s="18">
        <f t="shared" si="6"/>
        <v>158.2057026</v>
      </c>
    </row>
    <row r="322" ht="14.25" customHeight="1">
      <c r="A322" s="7" t="s">
        <v>492</v>
      </c>
      <c r="B322" s="7" t="s">
        <v>501</v>
      </c>
      <c r="C322" s="7" t="s">
        <v>502</v>
      </c>
      <c r="D322" s="7" t="s">
        <v>502</v>
      </c>
      <c r="E322" s="8">
        <v>80602.0</v>
      </c>
      <c r="F322" s="8">
        <v>12330.0</v>
      </c>
      <c r="G322" s="8">
        <v>12503.0</v>
      </c>
      <c r="H322" s="8">
        <v>12759.0</v>
      </c>
      <c r="I322" s="8">
        <v>15059.0</v>
      </c>
      <c r="J322" s="8">
        <v>15314.0</v>
      </c>
      <c r="K322" s="8">
        <v>15570.0</v>
      </c>
      <c r="L322" s="8">
        <v>0.0</v>
      </c>
      <c r="M322" s="8">
        <v>0.0</v>
      </c>
      <c r="N322" s="8">
        <v>0.0</v>
      </c>
      <c r="O322" s="8">
        <v>2.0</v>
      </c>
      <c r="P322" s="8">
        <v>2.0</v>
      </c>
      <c r="Q322" s="8">
        <v>2.0</v>
      </c>
      <c r="R322" s="18">
        <f t="shared" ref="R322:T322" si="643">(L322/F322)*1000000</f>
        <v>0</v>
      </c>
      <c r="S322" s="18">
        <f t="shared" si="643"/>
        <v>0</v>
      </c>
      <c r="T322" s="18">
        <f t="shared" si="643"/>
        <v>0</v>
      </c>
      <c r="U322" s="18">
        <f t="shared" si="4"/>
        <v>0</v>
      </c>
      <c r="V322" s="18">
        <f t="shared" ref="V322:X322" si="644">(O322/I322)*1000000</f>
        <v>132.8109436</v>
      </c>
      <c r="W322" s="18">
        <f t="shared" si="644"/>
        <v>130.5994515</v>
      </c>
      <c r="X322" s="18">
        <f t="shared" si="644"/>
        <v>128.4521516</v>
      </c>
      <c r="Y322" s="18">
        <f t="shared" si="6"/>
        <v>130.6208489</v>
      </c>
    </row>
    <row r="323" ht="14.25" customHeight="1">
      <c r="A323" s="7" t="s">
        <v>492</v>
      </c>
      <c r="B323" s="7" t="s">
        <v>503</v>
      </c>
      <c r="C323" s="7" t="s">
        <v>51</v>
      </c>
      <c r="D323" s="7" t="s">
        <v>51</v>
      </c>
      <c r="E323" s="8">
        <v>80701.0</v>
      </c>
      <c r="F323" s="8">
        <v>6784.0</v>
      </c>
      <c r="G323" s="8">
        <v>6917.0</v>
      </c>
      <c r="H323" s="8">
        <v>6908.0</v>
      </c>
      <c r="I323" s="8">
        <v>6826.0</v>
      </c>
      <c r="J323" s="8">
        <v>6817.0</v>
      </c>
      <c r="K323" s="8">
        <v>6808.0</v>
      </c>
      <c r="L323" s="8">
        <v>0.0</v>
      </c>
      <c r="M323" s="8">
        <v>0.0</v>
      </c>
      <c r="N323" s="8">
        <v>0.0</v>
      </c>
      <c r="O323" s="8">
        <v>0.0</v>
      </c>
      <c r="P323" s="8">
        <v>1.0</v>
      </c>
      <c r="Q323" s="8">
        <v>1.0</v>
      </c>
      <c r="R323" s="18">
        <f t="shared" ref="R323:T323" si="645">(L323/F323)*1000000</f>
        <v>0</v>
      </c>
      <c r="S323" s="18">
        <f t="shared" si="645"/>
        <v>0</v>
      </c>
      <c r="T323" s="18">
        <f t="shared" si="645"/>
        <v>0</v>
      </c>
      <c r="U323" s="18">
        <f t="shared" si="4"/>
        <v>0</v>
      </c>
      <c r="V323" s="18">
        <f t="shared" ref="V323:X323" si="646">(O323/I323)*1000000</f>
        <v>0</v>
      </c>
      <c r="W323" s="18">
        <f t="shared" si="646"/>
        <v>146.6920933</v>
      </c>
      <c r="X323" s="18">
        <f t="shared" si="646"/>
        <v>146.8860165</v>
      </c>
      <c r="Y323" s="18">
        <f t="shared" si="6"/>
        <v>97.85936992</v>
      </c>
    </row>
    <row r="324" ht="14.25" customHeight="1">
      <c r="A324" s="7" t="s">
        <v>492</v>
      </c>
      <c r="B324" s="7" t="s">
        <v>503</v>
      </c>
      <c r="C324" s="7" t="s">
        <v>480</v>
      </c>
      <c r="D324" s="7" t="s">
        <v>480</v>
      </c>
      <c r="E324" s="8">
        <v>80702.0</v>
      </c>
      <c r="F324" s="8">
        <v>5043.0</v>
      </c>
      <c r="G324" s="8">
        <v>4955.0</v>
      </c>
      <c r="H324" s="8">
        <v>5000.0</v>
      </c>
      <c r="I324" s="8">
        <v>5400.0</v>
      </c>
      <c r="J324" s="8">
        <v>5445.0</v>
      </c>
      <c r="K324" s="8">
        <v>5489.0</v>
      </c>
      <c r="L324" s="8">
        <v>0.0</v>
      </c>
      <c r="M324" s="8">
        <v>1.0</v>
      </c>
      <c r="N324" s="8">
        <v>0.0</v>
      </c>
      <c r="O324" s="8">
        <v>2.0</v>
      </c>
      <c r="P324" s="8">
        <v>0.0</v>
      </c>
      <c r="Q324" s="8">
        <v>1.0</v>
      </c>
      <c r="R324" s="18">
        <f t="shared" ref="R324:T324" si="647">(L324/F324)*1000000</f>
        <v>0</v>
      </c>
      <c r="S324" s="18">
        <f t="shared" si="647"/>
        <v>201.8163471</v>
      </c>
      <c r="T324" s="18">
        <f t="shared" si="647"/>
        <v>0</v>
      </c>
      <c r="U324" s="18">
        <f t="shared" si="4"/>
        <v>67.27211571</v>
      </c>
      <c r="V324" s="18">
        <f t="shared" ref="V324:X324" si="648">(O324/I324)*1000000</f>
        <v>370.3703704</v>
      </c>
      <c r="W324" s="18">
        <f t="shared" si="648"/>
        <v>0</v>
      </c>
      <c r="X324" s="18">
        <f t="shared" si="648"/>
        <v>182.1825469</v>
      </c>
      <c r="Y324" s="18">
        <f t="shared" si="6"/>
        <v>184.1843058</v>
      </c>
    </row>
    <row r="325" ht="14.25" customHeight="1">
      <c r="A325" s="7" t="s">
        <v>492</v>
      </c>
      <c r="B325" s="7" t="s">
        <v>503</v>
      </c>
      <c r="C325" s="7" t="s">
        <v>504</v>
      </c>
      <c r="D325" s="7" t="s">
        <v>504</v>
      </c>
      <c r="E325" s="8">
        <v>80703.0</v>
      </c>
      <c r="F325" s="8">
        <v>952.0</v>
      </c>
      <c r="G325" s="8">
        <v>945.0</v>
      </c>
      <c r="H325" s="8">
        <v>957.0</v>
      </c>
      <c r="I325" s="8">
        <v>1067.0</v>
      </c>
      <c r="J325" s="8">
        <v>1079.0</v>
      </c>
      <c r="K325" s="8">
        <v>1091.0</v>
      </c>
      <c r="L325" s="8">
        <v>0.0</v>
      </c>
      <c r="M325" s="8">
        <v>0.0</v>
      </c>
      <c r="N325" s="8">
        <v>0.0</v>
      </c>
      <c r="O325" s="8">
        <v>0.0</v>
      </c>
      <c r="P325" s="8">
        <v>0.0</v>
      </c>
      <c r="Q325" s="8">
        <v>0.0</v>
      </c>
      <c r="R325" s="18">
        <f t="shared" ref="R325:T325" si="649">(L325/F325)*1000000</f>
        <v>0</v>
      </c>
      <c r="S325" s="18">
        <f t="shared" si="649"/>
        <v>0</v>
      </c>
      <c r="T325" s="18">
        <f t="shared" si="649"/>
        <v>0</v>
      </c>
      <c r="U325" s="18">
        <f t="shared" si="4"/>
        <v>0</v>
      </c>
      <c r="V325" s="18">
        <f t="shared" ref="V325:X325" si="650">(O325/I325)*1000000</f>
        <v>0</v>
      </c>
      <c r="W325" s="18">
        <f t="shared" si="650"/>
        <v>0</v>
      </c>
      <c r="X325" s="18">
        <f t="shared" si="650"/>
        <v>0</v>
      </c>
      <c r="Y325" s="18">
        <f t="shared" si="6"/>
        <v>0</v>
      </c>
    </row>
    <row r="326" ht="14.25" customHeight="1">
      <c r="A326" s="7" t="s">
        <v>492</v>
      </c>
      <c r="B326" s="7" t="s">
        <v>505</v>
      </c>
      <c r="C326" s="7" t="s">
        <v>32</v>
      </c>
      <c r="D326" s="7" t="s">
        <v>32</v>
      </c>
      <c r="E326" s="8">
        <v>80801.0</v>
      </c>
      <c r="F326" s="8">
        <v>11243.0</v>
      </c>
      <c r="G326" s="8">
        <v>11377.0</v>
      </c>
      <c r="H326" s="8">
        <v>11494.0</v>
      </c>
      <c r="I326" s="8">
        <v>12550.0</v>
      </c>
      <c r="J326" s="8">
        <v>12668.0</v>
      </c>
      <c r="K326" s="8">
        <v>12785.0</v>
      </c>
      <c r="L326" s="8">
        <v>1.0</v>
      </c>
      <c r="M326" s="8">
        <v>0.0</v>
      </c>
      <c r="N326" s="8">
        <v>1.0</v>
      </c>
      <c r="O326" s="8">
        <v>1.0</v>
      </c>
      <c r="P326" s="8">
        <v>2.0</v>
      </c>
      <c r="Q326" s="8">
        <v>0.0</v>
      </c>
      <c r="R326" s="18">
        <f t="shared" ref="R326:T326" si="651">(L326/F326)*1000000</f>
        <v>88.94423197</v>
      </c>
      <c r="S326" s="18">
        <f t="shared" si="651"/>
        <v>0</v>
      </c>
      <c r="T326" s="18">
        <f t="shared" si="651"/>
        <v>87.00191404</v>
      </c>
      <c r="U326" s="18">
        <f t="shared" si="4"/>
        <v>58.64871534</v>
      </c>
      <c r="V326" s="18">
        <f t="shared" ref="V326:X326" si="652">(O326/I326)*1000000</f>
        <v>79.6812749</v>
      </c>
      <c r="W326" s="18">
        <f t="shared" si="652"/>
        <v>157.8781181</v>
      </c>
      <c r="X326" s="18">
        <f t="shared" si="652"/>
        <v>0</v>
      </c>
      <c r="Y326" s="18">
        <f t="shared" si="6"/>
        <v>79.18646433</v>
      </c>
    </row>
    <row r="327" ht="14.25" customHeight="1">
      <c r="A327" s="7" t="s">
        <v>492</v>
      </c>
      <c r="B327" s="7" t="s">
        <v>505</v>
      </c>
      <c r="C327" s="7" t="s">
        <v>22</v>
      </c>
      <c r="D327" s="7" t="s">
        <v>22</v>
      </c>
      <c r="E327" s="8">
        <v>80802.0</v>
      </c>
      <c r="F327" s="8">
        <v>5901.0</v>
      </c>
      <c r="G327" s="8">
        <v>5965.0</v>
      </c>
      <c r="H327" s="8">
        <v>6092.0</v>
      </c>
      <c r="I327" s="8">
        <v>7234.0</v>
      </c>
      <c r="J327" s="8">
        <v>7361.0</v>
      </c>
      <c r="K327" s="8">
        <v>7488.0</v>
      </c>
      <c r="L327" s="8">
        <v>2.0</v>
      </c>
      <c r="M327" s="8">
        <v>7.0</v>
      </c>
      <c r="N327" s="8">
        <v>7.0</v>
      </c>
      <c r="O327" s="8">
        <v>20.0</v>
      </c>
      <c r="P327" s="8">
        <v>33.0</v>
      </c>
      <c r="Q327" s="8">
        <v>28.0</v>
      </c>
      <c r="R327" s="18">
        <f t="shared" ref="R327:T327" si="653">(L327/F327)*1000000</f>
        <v>338.9256058</v>
      </c>
      <c r="S327" s="18">
        <f t="shared" si="653"/>
        <v>1173.512154</v>
      </c>
      <c r="T327" s="18">
        <f t="shared" si="653"/>
        <v>1149.047932</v>
      </c>
      <c r="U327" s="18">
        <f t="shared" si="4"/>
        <v>887.1618973</v>
      </c>
      <c r="V327" s="18">
        <f t="shared" ref="V327:X327" si="654">(O327/I327)*1000000</f>
        <v>2764.722145</v>
      </c>
      <c r="W327" s="18">
        <f t="shared" si="654"/>
        <v>4483.086537</v>
      </c>
      <c r="X327" s="18">
        <f t="shared" si="654"/>
        <v>3739.316239</v>
      </c>
      <c r="Y327" s="18">
        <f t="shared" si="6"/>
        <v>3662.374974</v>
      </c>
    </row>
    <row r="328" ht="14.25" customHeight="1">
      <c r="A328" s="7" t="s">
        <v>492</v>
      </c>
      <c r="B328" s="7" t="s">
        <v>505</v>
      </c>
      <c r="C328" s="7" t="s">
        <v>27</v>
      </c>
      <c r="D328" s="7" t="s">
        <v>27</v>
      </c>
      <c r="E328" s="8">
        <v>80803.0</v>
      </c>
      <c r="F328" s="8">
        <v>4074.0</v>
      </c>
      <c r="G328" s="8">
        <v>4111.0</v>
      </c>
      <c r="H328" s="8">
        <v>4154.0</v>
      </c>
      <c r="I328" s="8">
        <v>4544.0</v>
      </c>
      <c r="J328" s="8">
        <v>4587.0</v>
      </c>
      <c r="K328" s="8">
        <v>4630.0</v>
      </c>
      <c r="L328" s="8">
        <v>0.0</v>
      </c>
      <c r="M328" s="8">
        <v>0.0</v>
      </c>
      <c r="N328" s="8">
        <v>0.0</v>
      </c>
      <c r="O328" s="8">
        <v>0.0</v>
      </c>
      <c r="P328" s="8">
        <v>0.0</v>
      </c>
      <c r="Q328" s="8">
        <v>0.0</v>
      </c>
      <c r="R328" s="18">
        <f t="shared" ref="R328:T328" si="655">(L328/F328)*1000000</f>
        <v>0</v>
      </c>
      <c r="S328" s="18">
        <f t="shared" si="655"/>
        <v>0</v>
      </c>
      <c r="T328" s="18">
        <f t="shared" si="655"/>
        <v>0</v>
      </c>
      <c r="U328" s="18">
        <f t="shared" si="4"/>
        <v>0</v>
      </c>
      <c r="V328" s="18">
        <f t="shared" ref="V328:X328" si="656">(O328/I328)*1000000</f>
        <v>0</v>
      </c>
      <c r="W328" s="18">
        <f t="shared" si="656"/>
        <v>0</v>
      </c>
      <c r="X328" s="18">
        <f t="shared" si="656"/>
        <v>0</v>
      </c>
      <c r="Y328" s="18">
        <f t="shared" si="6"/>
        <v>0</v>
      </c>
    </row>
    <row r="329" ht="14.25" customHeight="1">
      <c r="A329" s="7" t="s">
        <v>492</v>
      </c>
      <c r="B329" s="7" t="s">
        <v>500</v>
      </c>
      <c r="C329" s="7" t="s">
        <v>506</v>
      </c>
      <c r="D329" s="7" t="s">
        <v>506</v>
      </c>
      <c r="E329" s="8">
        <v>80901.0</v>
      </c>
      <c r="F329" s="8">
        <v>3121.0</v>
      </c>
      <c r="G329" s="8">
        <v>3232.0</v>
      </c>
      <c r="H329" s="8">
        <v>3294.0</v>
      </c>
      <c r="I329" s="8">
        <v>3850.0</v>
      </c>
      <c r="J329" s="8">
        <v>3911.0</v>
      </c>
      <c r="K329" s="8">
        <v>3973.0</v>
      </c>
      <c r="L329" s="8">
        <v>0.0</v>
      </c>
      <c r="M329" s="8">
        <v>0.0</v>
      </c>
      <c r="N329" s="8">
        <v>0.0</v>
      </c>
      <c r="O329" s="8">
        <v>0.0</v>
      </c>
      <c r="P329" s="8">
        <v>0.0</v>
      </c>
      <c r="Q329" s="8">
        <v>0.0</v>
      </c>
      <c r="R329" s="18">
        <f t="shared" ref="R329:T329" si="657">(L329/F329)*1000000</f>
        <v>0</v>
      </c>
      <c r="S329" s="18">
        <f t="shared" si="657"/>
        <v>0</v>
      </c>
      <c r="T329" s="18">
        <f t="shared" si="657"/>
        <v>0</v>
      </c>
      <c r="U329" s="18">
        <f t="shared" si="4"/>
        <v>0</v>
      </c>
      <c r="V329" s="18">
        <f t="shared" ref="V329:X329" si="658">(O329/I329)*1000000</f>
        <v>0</v>
      </c>
      <c r="W329" s="18">
        <f t="shared" si="658"/>
        <v>0</v>
      </c>
      <c r="X329" s="18">
        <f t="shared" si="658"/>
        <v>0</v>
      </c>
      <c r="Y329" s="18">
        <f t="shared" si="6"/>
        <v>0</v>
      </c>
    </row>
    <row r="330" ht="14.25" customHeight="1">
      <c r="A330" s="7" t="s">
        <v>507</v>
      </c>
      <c r="B330" s="7" t="s">
        <v>508</v>
      </c>
      <c r="C330" s="7" t="s">
        <v>299</v>
      </c>
      <c r="D330" s="7" t="s">
        <v>299</v>
      </c>
      <c r="E330" s="8">
        <v>90101.0</v>
      </c>
      <c r="F330" s="8">
        <v>44090.0</v>
      </c>
      <c r="G330" s="8">
        <v>46267.0</v>
      </c>
      <c r="H330" s="8">
        <v>47004.0</v>
      </c>
      <c r="I330" s="8">
        <v>53640.0</v>
      </c>
      <c r="J330" s="8">
        <v>54377.0</v>
      </c>
      <c r="K330" s="8">
        <v>55114.0</v>
      </c>
      <c r="L330" s="8">
        <v>3.0</v>
      </c>
      <c r="M330" s="8">
        <v>3.0</v>
      </c>
      <c r="N330" s="8">
        <v>6.0</v>
      </c>
      <c r="O330" s="8">
        <v>30.0</v>
      </c>
      <c r="P330" s="8">
        <v>49.0</v>
      </c>
      <c r="Q330" s="8">
        <v>30.0</v>
      </c>
      <c r="R330" s="18">
        <f t="shared" ref="R330:T330" si="659">(L330/F330)*1000000</f>
        <v>68.04264005</v>
      </c>
      <c r="S330" s="18">
        <f t="shared" si="659"/>
        <v>64.8410314</v>
      </c>
      <c r="T330" s="18">
        <f t="shared" si="659"/>
        <v>127.6487107</v>
      </c>
      <c r="U330" s="18">
        <f t="shared" si="4"/>
        <v>86.8441274</v>
      </c>
      <c r="V330" s="18">
        <f t="shared" ref="V330:X330" si="660">(O330/I330)*1000000</f>
        <v>559.2841163</v>
      </c>
      <c r="W330" s="18">
        <f t="shared" si="660"/>
        <v>901.1162808</v>
      </c>
      <c r="X330" s="18">
        <f t="shared" si="660"/>
        <v>544.3263055</v>
      </c>
      <c r="Y330" s="18">
        <f t="shared" si="6"/>
        <v>668.2422342</v>
      </c>
    </row>
    <row r="331" ht="14.25" customHeight="1">
      <c r="A331" s="7" t="s">
        <v>507</v>
      </c>
      <c r="B331" s="7" t="s">
        <v>508</v>
      </c>
      <c r="C331" s="7" t="s">
        <v>306</v>
      </c>
      <c r="D331" s="7" t="s">
        <v>306</v>
      </c>
      <c r="E331" s="8">
        <v>90102.0</v>
      </c>
      <c r="F331" s="8">
        <v>7563.0</v>
      </c>
      <c r="G331" s="8">
        <v>7948.0</v>
      </c>
      <c r="H331" s="8">
        <v>8065.0</v>
      </c>
      <c r="I331" s="8">
        <v>9119.0</v>
      </c>
      <c r="J331" s="8">
        <v>9236.0</v>
      </c>
      <c r="K331" s="8">
        <v>9353.0</v>
      </c>
      <c r="L331" s="8">
        <v>0.0</v>
      </c>
      <c r="M331" s="8">
        <v>0.0</v>
      </c>
      <c r="N331" s="8">
        <v>0.0</v>
      </c>
      <c r="O331" s="8">
        <v>2.0</v>
      </c>
      <c r="P331" s="8">
        <v>1.0</v>
      </c>
      <c r="Q331" s="8">
        <v>4.0</v>
      </c>
      <c r="R331" s="18">
        <f t="shared" ref="R331:T331" si="661">(L331/F331)*1000000</f>
        <v>0</v>
      </c>
      <c r="S331" s="18">
        <f t="shared" si="661"/>
        <v>0</v>
      </c>
      <c r="T331" s="18">
        <f t="shared" si="661"/>
        <v>0</v>
      </c>
      <c r="U331" s="18">
        <f t="shared" si="4"/>
        <v>0</v>
      </c>
      <c r="V331" s="18">
        <f t="shared" ref="V331:X331" si="662">(O331/I331)*1000000</f>
        <v>219.3222941</v>
      </c>
      <c r="W331" s="18">
        <f t="shared" si="662"/>
        <v>108.2719792</v>
      </c>
      <c r="X331" s="18">
        <f t="shared" si="662"/>
        <v>427.6702662</v>
      </c>
      <c r="Y331" s="18">
        <f t="shared" si="6"/>
        <v>251.7548465</v>
      </c>
    </row>
    <row r="332" ht="14.25" customHeight="1">
      <c r="A332" s="7" t="s">
        <v>507</v>
      </c>
      <c r="B332" s="7" t="s">
        <v>508</v>
      </c>
      <c r="C332" s="7" t="s">
        <v>298</v>
      </c>
      <c r="D332" s="7" t="s">
        <v>298</v>
      </c>
      <c r="E332" s="8">
        <v>90103.0</v>
      </c>
      <c r="F332" s="8">
        <v>2084.0</v>
      </c>
      <c r="G332" s="8">
        <v>2173.0</v>
      </c>
      <c r="H332" s="8">
        <v>2195.0</v>
      </c>
      <c r="I332" s="8">
        <v>2393.0</v>
      </c>
      <c r="J332" s="8">
        <v>2415.0</v>
      </c>
      <c r="K332" s="8">
        <v>2437.0</v>
      </c>
      <c r="L332" s="8">
        <v>0.0</v>
      </c>
      <c r="M332" s="8">
        <v>0.0</v>
      </c>
      <c r="N332" s="8">
        <v>0.0</v>
      </c>
      <c r="O332" s="8">
        <v>0.0</v>
      </c>
      <c r="P332" s="8">
        <v>0.0</v>
      </c>
      <c r="Q332" s="8">
        <v>0.0</v>
      </c>
      <c r="R332" s="18">
        <f t="shared" ref="R332:T332" si="663">(L332/F332)*1000000</f>
        <v>0</v>
      </c>
      <c r="S332" s="18">
        <f t="shared" si="663"/>
        <v>0</v>
      </c>
      <c r="T332" s="18">
        <f t="shared" si="663"/>
        <v>0</v>
      </c>
      <c r="U332" s="18">
        <f t="shared" si="4"/>
        <v>0</v>
      </c>
      <c r="V332" s="18">
        <f t="shared" ref="V332:X332" si="664">(O332/I332)*1000000</f>
        <v>0</v>
      </c>
      <c r="W332" s="18">
        <f t="shared" si="664"/>
        <v>0</v>
      </c>
      <c r="X332" s="18">
        <f t="shared" si="664"/>
        <v>0</v>
      </c>
      <c r="Y332" s="18">
        <f t="shared" si="6"/>
        <v>0</v>
      </c>
    </row>
    <row r="333" ht="14.25" customHeight="1">
      <c r="A333" s="7" t="s">
        <v>507</v>
      </c>
      <c r="B333" s="7" t="s">
        <v>508</v>
      </c>
      <c r="C333" s="7" t="s">
        <v>296</v>
      </c>
      <c r="D333" s="7" t="s">
        <v>296</v>
      </c>
      <c r="E333" s="8">
        <v>90104.0</v>
      </c>
      <c r="F333" s="8">
        <v>3763.0</v>
      </c>
      <c r="G333" s="8">
        <v>3909.0</v>
      </c>
      <c r="H333" s="8">
        <v>3886.0</v>
      </c>
      <c r="I333" s="8">
        <v>3677.0</v>
      </c>
      <c r="J333" s="8">
        <v>3653.0</v>
      </c>
      <c r="K333" s="8">
        <v>3630.0</v>
      </c>
      <c r="L333" s="8">
        <v>1.0</v>
      </c>
      <c r="M333" s="8">
        <v>1.0</v>
      </c>
      <c r="N333" s="8">
        <v>0.0</v>
      </c>
      <c r="O333" s="8">
        <v>0.0</v>
      </c>
      <c r="P333" s="8">
        <v>0.0</v>
      </c>
      <c r="Q333" s="8">
        <v>0.0</v>
      </c>
      <c r="R333" s="18">
        <f t="shared" ref="R333:T333" si="665">(L333/F333)*1000000</f>
        <v>265.7454159</v>
      </c>
      <c r="S333" s="18">
        <f t="shared" si="665"/>
        <v>255.8199028</v>
      </c>
      <c r="T333" s="18">
        <f t="shared" si="665"/>
        <v>0</v>
      </c>
      <c r="U333" s="18">
        <f t="shared" si="4"/>
        <v>173.8551062</v>
      </c>
      <c r="V333" s="18">
        <f t="shared" ref="V333:X333" si="666">(O333/I333)*1000000</f>
        <v>0</v>
      </c>
      <c r="W333" s="18">
        <f t="shared" si="666"/>
        <v>0</v>
      </c>
      <c r="X333" s="18">
        <f t="shared" si="666"/>
        <v>0</v>
      </c>
      <c r="Y333" s="18">
        <f t="shared" si="6"/>
        <v>0</v>
      </c>
    </row>
    <row r="334" ht="14.25" customHeight="1">
      <c r="A334" s="7" t="s">
        <v>507</v>
      </c>
      <c r="B334" s="7" t="s">
        <v>509</v>
      </c>
      <c r="C334" s="7" t="s">
        <v>311</v>
      </c>
      <c r="D334" s="7" t="s">
        <v>311</v>
      </c>
      <c r="E334" s="8">
        <v>90201.0</v>
      </c>
      <c r="F334" s="8">
        <v>6036.0</v>
      </c>
      <c r="G334" s="8">
        <v>6239.0</v>
      </c>
      <c r="H334" s="8">
        <v>6333.0</v>
      </c>
      <c r="I334" s="8">
        <v>7179.0</v>
      </c>
      <c r="J334" s="8">
        <v>7273.0</v>
      </c>
      <c r="K334" s="8">
        <v>7367.0</v>
      </c>
      <c r="L334" s="8">
        <v>0.0</v>
      </c>
      <c r="M334" s="8">
        <v>0.0</v>
      </c>
      <c r="N334" s="8">
        <v>0.0</v>
      </c>
      <c r="O334" s="8">
        <v>0.0</v>
      </c>
      <c r="P334" s="8">
        <v>1.0</v>
      </c>
      <c r="Q334" s="8">
        <v>0.0</v>
      </c>
      <c r="R334" s="18">
        <f t="shared" ref="R334:T334" si="667">(L334/F334)*1000000</f>
        <v>0</v>
      </c>
      <c r="S334" s="18">
        <f t="shared" si="667"/>
        <v>0</v>
      </c>
      <c r="T334" s="18">
        <f t="shared" si="667"/>
        <v>0</v>
      </c>
      <c r="U334" s="18">
        <f t="shared" si="4"/>
        <v>0</v>
      </c>
      <c r="V334" s="18">
        <f t="shared" ref="V334:X334" si="668">(O334/I334)*1000000</f>
        <v>0</v>
      </c>
      <c r="W334" s="18">
        <f t="shared" si="668"/>
        <v>137.4948439</v>
      </c>
      <c r="X334" s="18">
        <f t="shared" si="668"/>
        <v>0</v>
      </c>
      <c r="Y334" s="18">
        <f t="shared" si="6"/>
        <v>45.83161465</v>
      </c>
    </row>
    <row r="335" ht="14.25" customHeight="1">
      <c r="A335" s="7" t="s">
        <v>507</v>
      </c>
      <c r="B335" s="7" t="s">
        <v>509</v>
      </c>
      <c r="C335" s="7" t="s">
        <v>355</v>
      </c>
      <c r="D335" s="7" t="s">
        <v>355</v>
      </c>
      <c r="E335" s="8">
        <v>90202.0</v>
      </c>
      <c r="F335" s="8">
        <v>2817.0</v>
      </c>
      <c r="G335" s="8">
        <v>2991.0</v>
      </c>
      <c r="H335" s="8">
        <v>3035.0</v>
      </c>
      <c r="I335" s="8">
        <v>3430.0</v>
      </c>
      <c r="J335" s="8">
        <v>3474.0</v>
      </c>
      <c r="K335" s="8">
        <v>3518.0</v>
      </c>
      <c r="L335" s="8">
        <v>0.0</v>
      </c>
      <c r="M335" s="8">
        <v>0.0</v>
      </c>
      <c r="N335" s="8">
        <v>0.0</v>
      </c>
      <c r="O335" s="8">
        <v>0.0</v>
      </c>
      <c r="P335" s="8">
        <v>0.0</v>
      </c>
      <c r="Q335" s="8">
        <v>0.0</v>
      </c>
      <c r="R335" s="18">
        <f t="shared" ref="R335:T335" si="669">(L335/F335)*1000000</f>
        <v>0</v>
      </c>
      <c r="S335" s="18">
        <f t="shared" si="669"/>
        <v>0</v>
      </c>
      <c r="T335" s="18">
        <f t="shared" si="669"/>
        <v>0</v>
      </c>
      <c r="U335" s="18">
        <f t="shared" si="4"/>
        <v>0</v>
      </c>
      <c r="V335" s="18">
        <f t="shared" ref="V335:X335" si="670">(O335/I335)*1000000</f>
        <v>0</v>
      </c>
      <c r="W335" s="18">
        <f t="shared" si="670"/>
        <v>0</v>
      </c>
      <c r="X335" s="18">
        <f t="shared" si="670"/>
        <v>0</v>
      </c>
      <c r="Y335" s="18">
        <f t="shared" si="6"/>
        <v>0</v>
      </c>
    </row>
    <row r="336" ht="14.25" customHeight="1">
      <c r="A336" s="7" t="s">
        <v>507</v>
      </c>
      <c r="B336" s="7" t="s">
        <v>509</v>
      </c>
      <c r="C336" s="7" t="s">
        <v>301</v>
      </c>
      <c r="D336" s="7" t="s">
        <v>301</v>
      </c>
      <c r="E336" s="8">
        <v>90203.0</v>
      </c>
      <c r="F336" s="8">
        <v>5519.0</v>
      </c>
      <c r="G336" s="8">
        <v>5756.0</v>
      </c>
      <c r="H336" s="8">
        <v>5947.0</v>
      </c>
      <c r="I336" s="8">
        <v>7664.0</v>
      </c>
      <c r="J336" s="8">
        <v>7854.0</v>
      </c>
      <c r="K336" s="8">
        <v>8045.0</v>
      </c>
      <c r="L336" s="8">
        <v>2.0</v>
      </c>
      <c r="M336" s="8">
        <v>0.0</v>
      </c>
      <c r="N336" s="8">
        <v>0.0</v>
      </c>
      <c r="O336" s="8">
        <v>2.0</v>
      </c>
      <c r="P336" s="8">
        <v>1.0</v>
      </c>
      <c r="Q336" s="8">
        <v>1.0</v>
      </c>
      <c r="R336" s="18">
        <f t="shared" ref="R336:T336" si="671">(L336/F336)*1000000</f>
        <v>362.3844899</v>
      </c>
      <c r="S336" s="18">
        <f t="shared" si="671"/>
        <v>0</v>
      </c>
      <c r="T336" s="18">
        <f t="shared" si="671"/>
        <v>0</v>
      </c>
      <c r="U336" s="18">
        <f t="shared" si="4"/>
        <v>120.79483</v>
      </c>
      <c r="V336" s="18">
        <f t="shared" ref="V336:X336" si="672">(O336/I336)*1000000</f>
        <v>260.960334</v>
      </c>
      <c r="W336" s="18">
        <f t="shared" si="672"/>
        <v>127.3236567</v>
      </c>
      <c r="X336" s="18">
        <f t="shared" si="672"/>
        <v>124.300808</v>
      </c>
      <c r="Y336" s="18">
        <f t="shared" si="6"/>
        <v>170.8615996</v>
      </c>
    </row>
    <row r="337" ht="14.25" customHeight="1">
      <c r="A337" s="7" t="s">
        <v>507</v>
      </c>
      <c r="B337" s="7" t="s">
        <v>510</v>
      </c>
      <c r="C337" s="7" t="s">
        <v>308</v>
      </c>
      <c r="D337" s="7" t="s">
        <v>308</v>
      </c>
      <c r="E337" s="8">
        <v>90301.0</v>
      </c>
      <c r="F337" s="8">
        <v>7765.0</v>
      </c>
      <c r="G337" s="8">
        <v>8160.0</v>
      </c>
      <c r="H337" s="8">
        <v>8516.0</v>
      </c>
      <c r="I337" s="8">
        <v>11719.0</v>
      </c>
      <c r="J337" s="8">
        <v>12075.0</v>
      </c>
      <c r="K337" s="8">
        <v>12431.0</v>
      </c>
      <c r="L337" s="8">
        <v>0.0</v>
      </c>
      <c r="M337" s="8">
        <v>0.0</v>
      </c>
      <c r="N337" s="8">
        <v>0.0</v>
      </c>
      <c r="O337" s="8">
        <v>3.0</v>
      </c>
      <c r="P337" s="8">
        <v>2.0</v>
      </c>
      <c r="Q337" s="8">
        <v>0.0</v>
      </c>
      <c r="R337" s="18">
        <f t="shared" ref="R337:T337" si="673">(L337/F337)*1000000</f>
        <v>0</v>
      </c>
      <c r="S337" s="18">
        <f t="shared" si="673"/>
        <v>0</v>
      </c>
      <c r="T337" s="18">
        <f t="shared" si="673"/>
        <v>0</v>
      </c>
      <c r="U337" s="18">
        <f t="shared" si="4"/>
        <v>0</v>
      </c>
      <c r="V337" s="18">
        <f t="shared" ref="V337:X337" si="674">(O337/I337)*1000000</f>
        <v>255.9945388</v>
      </c>
      <c r="W337" s="18">
        <f t="shared" si="674"/>
        <v>165.63147</v>
      </c>
      <c r="X337" s="18">
        <f t="shared" si="674"/>
        <v>0</v>
      </c>
      <c r="Y337" s="18">
        <f t="shared" si="6"/>
        <v>140.5420029</v>
      </c>
    </row>
    <row r="338" ht="14.25" customHeight="1">
      <c r="A338" s="7" t="s">
        <v>507</v>
      </c>
      <c r="B338" s="7" t="s">
        <v>510</v>
      </c>
      <c r="C338" s="7" t="s">
        <v>313</v>
      </c>
      <c r="D338" s="7" t="s">
        <v>313</v>
      </c>
      <c r="E338" s="8">
        <v>90302.0</v>
      </c>
      <c r="F338" s="8">
        <v>7272.0</v>
      </c>
      <c r="G338" s="8">
        <v>7652.0</v>
      </c>
      <c r="H338" s="8">
        <v>7834.0</v>
      </c>
      <c r="I338" s="8">
        <v>9469.0</v>
      </c>
      <c r="J338" s="8">
        <v>9650.0</v>
      </c>
      <c r="K338" s="8">
        <v>9832.0</v>
      </c>
      <c r="L338" s="8">
        <v>0.0</v>
      </c>
      <c r="M338" s="8">
        <v>0.0</v>
      </c>
      <c r="N338" s="8">
        <v>0.0</v>
      </c>
      <c r="O338" s="8">
        <v>1.0</v>
      </c>
      <c r="P338" s="8">
        <v>0.0</v>
      </c>
      <c r="Q338" s="8">
        <v>0.0</v>
      </c>
      <c r="R338" s="18">
        <f t="shared" ref="R338:T338" si="675">(L338/F338)*1000000</f>
        <v>0</v>
      </c>
      <c r="S338" s="18">
        <f t="shared" si="675"/>
        <v>0</v>
      </c>
      <c r="T338" s="18">
        <f t="shared" si="675"/>
        <v>0</v>
      </c>
      <c r="U338" s="18">
        <f t="shared" si="4"/>
        <v>0</v>
      </c>
      <c r="V338" s="18">
        <f t="shared" ref="V338:X338" si="676">(O338/I338)*1000000</f>
        <v>105.6077727</v>
      </c>
      <c r="W338" s="18">
        <f t="shared" si="676"/>
        <v>0</v>
      </c>
      <c r="X338" s="18">
        <f t="shared" si="676"/>
        <v>0</v>
      </c>
      <c r="Y338" s="18">
        <f t="shared" si="6"/>
        <v>35.20259091</v>
      </c>
    </row>
    <row r="339" ht="14.25" customHeight="1">
      <c r="A339" s="7" t="s">
        <v>507</v>
      </c>
      <c r="B339" s="7" t="s">
        <v>510</v>
      </c>
      <c r="C339" s="7" t="s">
        <v>315</v>
      </c>
      <c r="D339" s="7" t="s">
        <v>315</v>
      </c>
      <c r="E339" s="8">
        <v>90303.0</v>
      </c>
      <c r="F339" s="8">
        <v>7711.0</v>
      </c>
      <c r="G339" s="8">
        <v>8258.0</v>
      </c>
      <c r="H339" s="8">
        <v>8447.0</v>
      </c>
      <c r="I339" s="8">
        <v>10145.0</v>
      </c>
      <c r="J339" s="8">
        <v>10333.0</v>
      </c>
      <c r="K339" s="8">
        <v>10522.0</v>
      </c>
      <c r="L339" s="8">
        <v>0.0</v>
      </c>
      <c r="M339" s="8">
        <v>0.0</v>
      </c>
      <c r="N339" s="8">
        <v>0.0</v>
      </c>
      <c r="O339" s="8">
        <v>4.0</v>
      </c>
      <c r="P339" s="8">
        <v>0.0</v>
      </c>
      <c r="Q339" s="8">
        <v>0.0</v>
      </c>
      <c r="R339" s="18">
        <f t="shared" ref="R339:T339" si="677">(L339/F339)*1000000</f>
        <v>0</v>
      </c>
      <c r="S339" s="18">
        <f t="shared" si="677"/>
        <v>0</v>
      </c>
      <c r="T339" s="18">
        <f t="shared" si="677"/>
        <v>0</v>
      </c>
      <c r="U339" s="18">
        <f t="shared" si="4"/>
        <v>0</v>
      </c>
      <c r="V339" s="18">
        <f t="shared" ref="V339:X339" si="678">(O339/I339)*1000000</f>
        <v>394.282898</v>
      </c>
      <c r="W339" s="18">
        <f t="shared" si="678"/>
        <v>0</v>
      </c>
      <c r="X339" s="18">
        <f t="shared" si="678"/>
        <v>0</v>
      </c>
      <c r="Y339" s="18">
        <f t="shared" si="6"/>
        <v>131.4276327</v>
      </c>
    </row>
    <row r="340" ht="14.25" customHeight="1">
      <c r="A340" s="7" t="s">
        <v>507</v>
      </c>
      <c r="B340" s="7" t="s">
        <v>511</v>
      </c>
      <c r="C340" s="7" t="s">
        <v>57</v>
      </c>
      <c r="D340" s="7" t="s">
        <v>57</v>
      </c>
      <c r="E340" s="8">
        <v>90401.0</v>
      </c>
      <c r="F340" s="8">
        <v>2368.0</v>
      </c>
      <c r="G340" s="8">
        <v>2395.0</v>
      </c>
      <c r="H340" s="8">
        <v>2436.0</v>
      </c>
      <c r="I340" s="8">
        <v>2807.0</v>
      </c>
      <c r="J340" s="8">
        <v>2848.0</v>
      </c>
      <c r="K340" s="8">
        <v>2889.0</v>
      </c>
      <c r="L340" s="8">
        <v>0.0</v>
      </c>
      <c r="M340" s="8">
        <v>0.0</v>
      </c>
      <c r="N340" s="8">
        <v>0.0</v>
      </c>
      <c r="O340" s="8">
        <v>0.0</v>
      </c>
      <c r="P340" s="8">
        <v>0.0</v>
      </c>
      <c r="Q340" s="8">
        <v>0.0</v>
      </c>
      <c r="R340" s="18">
        <f t="shared" ref="R340:T340" si="679">(L340/F340)*1000000</f>
        <v>0</v>
      </c>
      <c r="S340" s="18">
        <f t="shared" si="679"/>
        <v>0</v>
      </c>
      <c r="T340" s="18">
        <f t="shared" si="679"/>
        <v>0</v>
      </c>
      <c r="U340" s="18">
        <f t="shared" si="4"/>
        <v>0</v>
      </c>
      <c r="V340" s="18">
        <f t="shared" ref="V340:X340" si="680">(O340/I340)*1000000</f>
        <v>0</v>
      </c>
      <c r="W340" s="18">
        <f t="shared" si="680"/>
        <v>0</v>
      </c>
      <c r="X340" s="18">
        <f t="shared" si="680"/>
        <v>0</v>
      </c>
      <c r="Y340" s="18">
        <f t="shared" si="6"/>
        <v>0</v>
      </c>
    </row>
    <row r="341" ht="14.25" customHeight="1">
      <c r="A341" s="7" t="s">
        <v>507</v>
      </c>
      <c r="B341" s="7" t="s">
        <v>511</v>
      </c>
      <c r="C341" s="7" t="s">
        <v>147</v>
      </c>
      <c r="D341" s="7" t="s">
        <v>147</v>
      </c>
      <c r="E341" s="8">
        <v>90402.0</v>
      </c>
      <c r="F341" s="8">
        <v>1585.0</v>
      </c>
      <c r="G341" s="8">
        <v>1654.0</v>
      </c>
      <c r="H341" s="8">
        <v>1733.0</v>
      </c>
      <c r="I341" s="8">
        <v>2442.0</v>
      </c>
      <c r="J341" s="8">
        <v>2521.0</v>
      </c>
      <c r="K341" s="8">
        <v>2600.0</v>
      </c>
      <c r="L341" s="8">
        <v>0.0</v>
      </c>
      <c r="M341" s="8">
        <v>0.0</v>
      </c>
      <c r="N341" s="8">
        <v>0.0</v>
      </c>
      <c r="O341" s="8">
        <v>0.0</v>
      </c>
      <c r="P341" s="8">
        <v>0.0</v>
      </c>
      <c r="Q341" s="8">
        <v>0.0</v>
      </c>
      <c r="R341" s="18">
        <f t="shared" ref="R341:T341" si="681">(L341/F341)*1000000</f>
        <v>0</v>
      </c>
      <c r="S341" s="18">
        <f t="shared" si="681"/>
        <v>0</v>
      </c>
      <c r="T341" s="18">
        <f t="shared" si="681"/>
        <v>0</v>
      </c>
      <c r="U341" s="18">
        <f t="shared" si="4"/>
        <v>0</v>
      </c>
      <c r="V341" s="18">
        <f t="shared" ref="V341:X341" si="682">(O341/I341)*1000000</f>
        <v>0</v>
      </c>
      <c r="W341" s="18">
        <f t="shared" si="682"/>
        <v>0</v>
      </c>
      <c r="X341" s="18">
        <f t="shared" si="682"/>
        <v>0</v>
      </c>
      <c r="Y341" s="18">
        <f t="shared" si="6"/>
        <v>0</v>
      </c>
    </row>
    <row r="342" ht="14.25" customHeight="1">
      <c r="A342" s="7" t="s">
        <v>507</v>
      </c>
      <c r="B342" s="7" t="s">
        <v>512</v>
      </c>
      <c r="C342" s="7" t="s">
        <v>513</v>
      </c>
      <c r="D342" s="7" t="s">
        <v>513</v>
      </c>
      <c r="E342" s="8">
        <v>90501.0</v>
      </c>
      <c r="F342" s="8">
        <v>1947.0</v>
      </c>
      <c r="G342" s="8">
        <v>2068.0</v>
      </c>
      <c r="H342" s="8">
        <v>2029.0</v>
      </c>
      <c r="I342" s="8">
        <v>1676.0</v>
      </c>
      <c r="J342" s="8">
        <v>1637.0</v>
      </c>
      <c r="K342" s="8">
        <v>1598.0</v>
      </c>
      <c r="L342" s="8">
        <v>0.0</v>
      </c>
      <c r="M342" s="8">
        <v>0.0</v>
      </c>
      <c r="N342" s="8">
        <v>0.0</v>
      </c>
      <c r="O342" s="8">
        <v>0.0</v>
      </c>
      <c r="P342" s="8">
        <v>0.0</v>
      </c>
      <c r="Q342" s="8">
        <v>0.0</v>
      </c>
      <c r="R342" s="18">
        <f t="shared" ref="R342:T342" si="683">(L342/F342)*1000000</f>
        <v>0</v>
      </c>
      <c r="S342" s="18">
        <f t="shared" si="683"/>
        <v>0</v>
      </c>
      <c r="T342" s="18">
        <f t="shared" si="683"/>
        <v>0</v>
      </c>
      <c r="U342" s="18">
        <f t="shared" si="4"/>
        <v>0</v>
      </c>
      <c r="V342" s="18">
        <f t="shared" ref="V342:X342" si="684">(O342/I342)*1000000</f>
        <v>0</v>
      </c>
      <c r="W342" s="18">
        <f t="shared" si="684"/>
        <v>0</v>
      </c>
      <c r="X342" s="18">
        <f t="shared" si="684"/>
        <v>0</v>
      </c>
      <c r="Y342" s="18">
        <f t="shared" si="6"/>
        <v>0</v>
      </c>
    </row>
    <row r="343" ht="14.25" customHeight="1">
      <c r="A343" s="7" t="s">
        <v>507</v>
      </c>
      <c r="B343" s="7" t="s">
        <v>512</v>
      </c>
      <c r="C343" s="7" t="s">
        <v>514</v>
      </c>
      <c r="D343" s="7" t="s">
        <v>579</v>
      </c>
      <c r="E343" s="8">
        <v>90502.0</v>
      </c>
      <c r="F343" s="8">
        <v>2637.0</v>
      </c>
      <c r="G343" s="8">
        <v>2801.0</v>
      </c>
      <c r="H343" s="8">
        <v>2777.0</v>
      </c>
      <c r="I343" s="8">
        <v>2559.0</v>
      </c>
      <c r="J343" s="8">
        <v>2535.0</v>
      </c>
      <c r="K343" s="8">
        <v>2511.0</v>
      </c>
      <c r="L343" s="8">
        <v>0.0</v>
      </c>
      <c r="M343" s="8">
        <v>0.0</v>
      </c>
      <c r="N343" s="8">
        <v>0.0</v>
      </c>
      <c r="O343" s="8">
        <v>0.0</v>
      </c>
      <c r="P343" s="8">
        <v>1.0</v>
      </c>
      <c r="Q343" s="8">
        <v>0.0</v>
      </c>
      <c r="R343" s="18">
        <f t="shared" ref="R343:T343" si="685">(L343/F343)*1000000</f>
        <v>0</v>
      </c>
      <c r="S343" s="18">
        <f t="shared" si="685"/>
        <v>0</v>
      </c>
      <c r="T343" s="18">
        <f t="shared" si="685"/>
        <v>0</v>
      </c>
      <c r="U343" s="18">
        <f t="shared" si="4"/>
        <v>0</v>
      </c>
      <c r="V343" s="18">
        <f t="shared" ref="V343:X343" si="686">(O343/I343)*1000000</f>
        <v>0</v>
      </c>
      <c r="W343" s="18">
        <f t="shared" si="686"/>
        <v>394.4773176</v>
      </c>
      <c r="X343" s="18">
        <f t="shared" si="686"/>
        <v>0</v>
      </c>
      <c r="Y343" s="18">
        <f t="shared" si="6"/>
        <v>131.4924392</v>
      </c>
    </row>
    <row r="344" ht="14.25" customHeight="1">
      <c r="A344" s="7" t="s">
        <v>507</v>
      </c>
      <c r="B344" s="7" t="s">
        <v>512</v>
      </c>
      <c r="C344" s="7" t="s">
        <v>515</v>
      </c>
      <c r="D344" s="7" t="s">
        <v>515</v>
      </c>
      <c r="E344" s="8">
        <v>90503.0</v>
      </c>
      <c r="F344" s="8">
        <v>2014.0</v>
      </c>
      <c r="G344" s="8">
        <v>2165.0</v>
      </c>
      <c r="H344" s="8">
        <v>2180.0</v>
      </c>
      <c r="I344" s="8">
        <v>2317.0</v>
      </c>
      <c r="J344" s="8">
        <v>2332.0</v>
      </c>
      <c r="K344" s="8">
        <v>2347.0</v>
      </c>
      <c r="L344" s="8">
        <v>0.0</v>
      </c>
      <c r="M344" s="8">
        <v>0.0</v>
      </c>
      <c r="N344" s="8">
        <v>0.0</v>
      </c>
      <c r="O344" s="8">
        <v>0.0</v>
      </c>
      <c r="P344" s="8">
        <v>0.0</v>
      </c>
      <c r="Q344" s="8">
        <v>0.0</v>
      </c>
      <c r="R344" s="18">
        <f t="shared" ref="R344:T344" si="687">(L344/F344)*1000000</f>
        <v>0</v>
      </c>
      <c r="S344" s="18">
        <f t="shared" si="687"/>
        <v>0</v>
      </c>
      <c r="T344" s="18">
        <f t="shared" si="687"/>
        <v>0</v>
      </c>
      <c r="U344" s="18">
        <f t="shared" si="4"/>
        <v>0</v>
      </c>
      <c r="V344" s="18">
        <f t="shared" ref="V344:X344" si="688">(O344/I344)*1000000</f>
        <v>0</v>
      </c>
      <c r="W344" s="18">
        <f t="shared" si="688"/>
        <v>0</v>
      </c>
      <c r="X344" s="18">
        <f t="shared" si="688"/>
        <v>0</v>
      </c>
      <c r="Y344" s="18">
        <f t="shared" si="6"/>
        <v>0</v>
      </c>
    </row>
    <row r="345" ht="14.25" customHeight="1">
      <c r="R345" s="19"/>
      <c r="S345" s="19"/>
      <c r="T345" s="19"/>
      <c r="U345" s="19"/>
      <c r="V345" s="19"/>
      <c r="W345" s="19"/>
      <c r="X345" s="19"/>
    </row>
    <row r="346" ht="14.25" customHeight="1">
      <c r="F346" s="20">
        <f t="shared" ref="F346:N346" si="689">SUM(F2:F344)</f>
        <v>9897541</v>
      </c>
      <c r="G346" s="20">
        <f t="shared" si="689"/>
        <v>10059856</v>
      </c>
      <c r="H346" s="20">
        <f t="shared" si="689"/>
        <v>10168656</v>
      </c>
      <c r="I346" s="20">
        <f t="shared" si="689"/>
        <v>11147781</v>
      </c>
      <c r="J346" s="20">
        <f t="shared" si="689"/>
        <v>11256556</v>
      </c>
      <c r="K346" s="20">
        <f t="shared" si="689"/>
        <v>11365333</v>
      </c>
      <c r="L346" s="20">
        <f t="shared" si="689"/>
        <v>1386</v>
      </c>
      <c r="M346" s="20">
        <f t="shared" si="689"/>
        <v>1550</v>
      </c>
      <c r="N346" s="20">
        <f t="shared" si="689"/>
        <v>1746</v>
      </c>
      <c r="R346" s="19"/>
      <c r="S346" s="19"/>
      <c r="T346" s="9" t="s">
        <v>580</v>
      </c>
      <c r="U346" s="19">
        <f>AVERAGE(U2:U344)</f>
        <v>77.0940649</v>
      </c>
      <c r="V346" s="19"/>
      <c r="W346" s="19"/>
      <c r="X346" s="19"/>
    </row>
    <row r="347" ht="14.25" customHeight="1">
      <c r="R347" s="19"/>
      <c r="S347" s="19"/>
      <c r="T347" s="9" t="s">
        <v>581</v>
      </c>
      <c r="U347" s="19">
        <f>STDEVA(U2:U344)</f>
        <v>630.2339106</v>
      </c>
      <c r="V347" s="19"/>
      <c r="W347" s="19"/>
      <c r="X347" s="19"/>
    </row>
    <row r="348" ht="14.25" customHeight="1">
      <c r="L348" s="19">
        <f t="shared" ref="L348:N348" si="690">(L346/F346)*1000000</f>
        <v>140.0347824</v>
      </c>
      <c r="M348" s="19">
        <f t="shared" si="690"/>
        <v>154.0777522</v>
      </c>
      <c r="N348" s="19">
        <f t="shared" si="690"/>
        <v>171.7041072</v>
      </c>
      <c r="R348" s="19"/>
      <c r="S348" s="19"/>
      <c r="T348" s="9" t="s">
        <v>582</v>
      </c>
      <c r="U348" s="19">
        <f>SUM(U346:U347)</f>
        <v>707.3279755</v>
      </c>
      <c r="V348" s="19"/>
      <c r="W348" s="19"/>
      <c r="X348" s="19"/>
    </row>
    <row r="349" ht="14.25" customHeight="1">
      <c r="R349" s="19"/>
      <c r="S349" s="19"/>
      <c r="T349" s="19" t="s">
        <v>583</v>
      </c>
      <c r="U349" s="19">
        <f>U347-U346</f>
        <v>553.1398457</v>
      </c>
      <c r="V349" s="19"/>
      <c r="W349" s="19"/>
      <c r="X349" s="19"/>
    </row>
    <row r="350" ht="14.25" customHeight="1">
      <c r="M350" s="9" t="s">
        <v>584</v>
      </c>
      <c r="N350" s="19">
        <f>AVERAGE(L348:N348)</f>
        <v>155.2722139</v>
      </c>
      <c r="R350" s="19"/>
      <c r="S350" s="19"/>
      <c r="T350" s="19"/>
      <c r="U350" s="19"/>
      <c r="V350" s="19"/>
      <c r="W350" s="19"/>
      <c r="X350" s="19"/>
    </row>
    <row r="351" ht="14.25" customHeight="1">
      <c r="M351" s="9" t="s">
        <v>585</v>
      </c>
      <c r="N351" s="9">
        <f>N350*0.1</f>
        <v>15.52722139</v>
      </c>
      <c r="R351" s="19"/>
      <c r="S351" s="19"/>
      <c r="T351" s="19"/>
      <c r="U351" s="19"/>
      <c r="V351" s="19"/>
      <c r="W351" s="19"/>
      <c r="X351" s="19"/>
    </row>
    <row r="352" ht="14.25" customHeight="1">
      <c r="M352" s="9" t="s">
        <v>586</v>
      </c>
      <c r="N352" s="9">
        <f>N350*0.25</f>
        <v>38.81805348</v>
      </c>
      <c r="R352" s="19"/>
      <c r="S352" s="19"/>
      <c r="T352" s="19"/>
      <c r="U352" s="19"/>
      <c r="V352" s="19"/>
      <c r="W352" s="19"/>
      <c r="X352" s="19"/>
    </row>
    <row r="353" ht="14.25" customHeight="1">
      <c r="M353" s="9" t="s">
        <v>587</v>
      </c>
      <c r="N353" s="9">
        <f>N350*0.5</f>
        <v>77.63610697</v>
      </c>
      <c r="R353" s="19"/>
      <c r="S353" s="19"/>
      <c r="T353" s="19"/>
      <c r="U353" s="19"/>
      <c r="V353" s="19"/>
      <c r="W353" s="19"/>
      <c r="X353" s="19"/>
    </row>
    <row r="354" ht="14.25" customHeight="1">
      <c r="R354" s="19"/>
      <c r="S354" s="19"/>
      <c r="T354" s="19"/>
      <c r="U354" s="19"/>
      <c r="V354" s="19"/>
      <c r="W354" s="19"/>
      <c r="X354" s="19"/>
    </row>
    <row r="355" ht="14.25" customHeight="1">
      <c r="R355" s="19"/>
      <c r="S355" s="19"/>
      <c r="T355" s="19"/>
      <c r="U355" s="19"/>
      <c r="V355" s="19"/>
      <c r="W355" s="19"/>
      <c r="X355" s="19"/>
    </row>
    <row r="356" ht="14.25" customHeight="1">
      <c r="R356" s="19"/>
      <c r="S356" s="19"/>
      <c r="T356" s="19"/>
      <c r="U356" s="19"/>
      <c r="V356" s="19"/>
      <c r="W356" s="19"/>
      <c r="X356" s="19"/>
    </row>
    <row r="357" ht="14.25" customHeight="1">
      <c r="R357" s="19"/>
      <c r="S357" s="19"/>
      <c r="T357" s="19"/>
      <c r="U357" s="19"/>
      <c r="V357" s="19"/>
      <c r="W357" s="19"/>
      <c r="X357" s="19"/>
    </row>
    <row r="358" ht="14.25" customHeight="1">
      <c r="R358" s="19"/>
      <c r="S358" s="19"/>
      <c r="T358" s="19"/>
      <c r="U358" s="19"/>
      <c r="V358" s="19"/>
      <c r="W358" s="19"/>
      <c r="X358" s="19"/>
    </row>
    <row r="359" ht="14.25" customHeight="1">
      <c r="R359" s="19"/>
      <c r="S359" s="19"/>
      <c r="T359" s="19"/>
      <c r="U359" s="19"/>
      <c r="V359" s="19"/>
      <c r="W359" s="19"/>
      <c r="X359" s="19"/>
    </row>
    <row r="360" ht="14.25" customHeight="1">
      <c r="R360" s="19"/>
      <c r="S360" s="19"/>
      <c r="T360" s="19"/>
      <c r="U360" s="19"/>
      <c r="V360" s="19"/>
      <c r="W360" s="19"/>
      <c r="X360" s="19"/>
    </row>
    <row r="361" ht="14.25" customHeight="1">
      <c r="R361" s="19"/>
      <c r="S361" s="19"/>
      <c r="T361" s="19"/>
      <c r="U361" s="19"/>
      <c r="V361" s="19"/>
      <c r="W361" s="19"/>
      <c r="X361" s="19"/>
    </row>
    <row r="362" ht="14.25" customHeight="1">
      <c r="R362" s="19"/>
      <c r="S362" s="19"/>
      <c r="T362" s="19"/>
      <c r="U362" s="19"/>
      <c r="V362" s="19"/>
      <c r="W362" s="19"/>
      <c r="X362" s="19"/>
    </row>
    <row r="363" ht="14.25" customHeight="1">
      <c r="R363" s="19"/>
      <c r="S363" s="19"/>
      <c r="T363" s="19"/>
      <c r="U363" s="19"/>
      <c r="V363" s="19"/>
      <c r="W363" s="19"/>
      <c r="X363" s="19"/>
    </row>
    <row r="364" ht="14.25" customHeight="1">
      <c r="R364" s="19"/>
      <c r="S364" s="19"/>
      <c r="T364" s="19"/>
      <c r="U364" s="19"/>
      <c r="V364" s="19"/>
      <c r="W364" s="19"/>
      <c r="X364" s="19"/>
    </row>
    <row r="365" ht="14.25" customHeight="1">
      <c r="R365" s="19"/>
      <c r="S365" s="19"/>
      <c r="T365" s="19"/>
      <c r="U365" s="19"/>
      <c r="V365" s="19"/>
      <c r="W365" s="19"/>
      <c r="X365" s="19"/>
    </row>
    <row r="366" ht="14.25" customHeight="1">
      <c r="R366" s="19"/>
      <c r="S366" s="19"/>
      <c r="T366" s="19"/>
      <c r="U366" s="19"/>
      <c r="V366" s="19"/>
      <c r="W366" s="19"/>
      <c r="X366" s="19"/>
    </row>
    <row r="367" ht="14.25" customHeight="1">
      <c r="R367" s="19"/>
      <c r="S367" s="19"/>
      <c r="T367" s="19"/>
      <c r="U367" s="19"/>
      <c r="V367" s="19"/>
      <c r="W367" s="19"/>
      <c r="X367" s="19"/>
    </row>
    <row r="368" ht="14.25" customHeight="1">
      <c r="R368" s="19"/>
      <c r="S368" s="19"/>
      <c r="T368" s="19"/>
      <c r="U368" s="19"/>
      <c r="V368" s="19"/>
      <c r="W368" s="19"/>
      <c r="X368" s="19"/>
    </row>
    <row r="369" ht="14.25" customHeight="1">
      <c r="R369" s="19"/>
      <c r="S369" s="19"/>
      <c r="T369" s="19"/>
      <c r="U369" s="19"/>
      <c r="V369" s="19"/>
      <c r="W369" s="19"/>
      <c r="X369" s="19"/>
    </row>
    <row r="370" ht="14.25" customHeight="1">
      <c r="R370" s="19"/>
      <c r="S370" s="19"/>
      <c r="T370" s="19"/>
      <c r="U370" s="19"/>
      <c r="V370" s="19"/>
      <c r="W370" s="19"/>
      <c r="X370" s="19"/>
    </row>
    <row r="371" ht="14.25" customHeight="1">
      <c r="R371" s="19"/>
      <c r="S371" s="19"/>
      <c r="T371" s="19"/>
      <c r="U371" s="19"/>
      <c r="V371" s="19"/>
      <c r="W371" s="19"/>
      <c r="X371" s="19"/>
    </row>
    <row r="372" ht="14.25" customHeight="1">
      <c r="R372" s="19"/>
      <c r="S372" s="19"/>
      <c r="T372" s="19"/>
      <c r="U372" s="19"/>
      <c r="V372" s="19"/>
      <c r="W372" s="19"/>
      <c r="X372" s="19"/>
    </row>
    <row r="373" ht="14.25" customHeight="1">
      <c r="R373" s="19"/>
      <c r="S373" s="19"/>
      <c r="T373" s="19"/>
      <c r="U373" s="19"/>
      <c r="V373" s="19"/>
      <c r="W373" s="19"/>
      <c r="X373" s="19"/>
    </row>
    <row r="374" ht="14.25" customHeight="1">
      <c r="R374" s="19"/>
      <c r="S374" s="19"/>
      <c r="T374" s="19"/>
      <c r="U374" s="19"/>
      <c r="V374" s="19"/>
      <c r="W374" s="19"/>
      <c r="X374" s="19"/>
    </row>
    <row r="375" ht="14.25" customHeight="1">
      <c r="R375" s="19"/>
      <c r="S375" s="19"/>
      <c r="T375" s="19"/>
      <c r="U375" s="19"/>
      <c r="V375" s="19"/>
      <c r="W375" s="19"/>
      <c r="X375" s="19"/>
    </row>
    <row r="376" ht="14.25" customHeight="1">
      <c r="R376" s="19"/>
      <c r="S376" s="19"/>
      <c r="T376" s="19"/>
      <c r="U376" s="19"/>
      <c r="V376" s="19"/>
      <c r="W376" s="19"/>
      <c r="X376" s="19"/>
    </row>
    <row r="377" ht="14.25" customHeight="1">
      <c r="R377" s="19"/>
      <c r="S377" s="19"/>
      <c r="T377" s="19"/>
      <c r="U377" s="19"/>
      <c r="V377" s="19"/>
      <c r="W377" s="19"/>
      <c r="X377" s="19"/>
    </row>
    <row r="378" ht="14.25" customHeight="1">
      <c r="R378" s="19"/>
      <c r="S378" s="19"/>
      <c r="T378" s="19"/>
      <c r="U378" s="19"/>
      <c r="V378" s="19"/>
      <c r="W378" s="19"/>
      <c r="X378" s="19"/>
    </row>
    <row r="379" ht="14.25" customHeight="1">
      <c r="R379" s="19"/>
      <c r="S379" s="19"/>
      <c r="T379" s="19"/>
      <c r="U379" s="19"/>
      <c r="V379" s="19"/>
      <c r="W379" s="19"/>
      <c r="X379" s="19"/>
    </row>
    <row r="380" ht="14.25" customHeight="1">
      <c r="R380" s="19"/>
      <c r="S380" s="19"/>
      <c r="T380" s="19"/>
      <c r="U380" s="19"/>
      <c r="V380" s="19"/>
      <c r="W380" s="19"/>
      <c r="X380" s="19"/>
    </row>
    <row r="381" ht="14.25" customHeight="1">
      <c r="R381" s="19"/>
      <c r="S381" s="19"/>
      <c r="T381" s="19"/>
      <c r="U381" s="19"/>
      <c r="V381" s="19"/>
      <c r="W381" s="19"/>
      <c r="X381" s="19"/>
    </row>
    <row r="382" ht="14.25" customHeight="1">
      <c r="R382" s="19"/>
      <c r="S382" s="19"/>
      <c r="T382" s="19"/>
      <c r="U382" s="19"/>
      <c r="V382" s="19"/>
      <c r="W382" s="19"/>
      <c r="X382" s="19"/>
    </row>
    <row r="383" ht="14.25" customHeight="1">
      <c r="R383" s="19"/>
      <c r="S383" s="19"/>
      <c r="T383" s="19"/>
      <c r="U383" s="19"/>
      <c r="V383" s="19"/>
      <c r="W383" s="19"/>
      <c r="X383" s="19"/>
    </row>
    <row r="384" ht="14.25" customHeight="1">
      <c r="R384" s="19"/>
      <c r="S384" s="19"/>
      <c r="T384" s="19"/>
      <c r="U384" s="19"/>
      <c r="V384" s="19"/>
      <c r="W384" s="19"/>
      <c r="X384" s="19"/>
    </row>
    <row r="385" ht="14.25" customHeight="1">
      <c r="R385" s="19"/>
      <c r="S385" s="19"/>
      <c r="T385" s="19"/>
      <c r="U385" s="19"/>
      <c r="V385" s="19"/>
      <c r="W385" s="19"/>
      <c r="X385" s="19"/>
    </row>
    <row r="386" ht="14.25" customHeight="1">
      <c r="R386" s="19"/>
      <c r="S386" s="19"/>
      <c r="T386" s="19"/>
      <c r="U386" s="19"/>
      <c r="V386" s="19"/>
      <c r="W386" s="19"/>
      <c r="X386" s="19"/>
    </row>
    <row r="387" ht="14.25" customHeight="1">
      <c r="R387" s="19"/>
      <c r="S387" s="19"/>
      <c r="T387" s="19"/>
      <c r="U387" s="19"/>
      <c r="V387" s="19"/>
      <c r="W387" s="19"/>
      <c r="X387" s="19"/>
    </row>
    <row r="388" ht="14.25" customHeight="1">
      <c r="R388" s="19"/>
      <c r="S388" s="19"/>
      <c r="T388" s="19"/>
      <c r="U388" s="19"/>
      <c r="V388" s="19"/>
      <c r="W388" s="19"/>
      <c r="X388" s="19"/>
    </row>
    <row r="389" ht="14.25" customHeight="1">
      <c r="R389" s="19"/>
      <c r="S389" s="19"/>
      <c r="T389" s="19"/>
      <c r="U389" s="19"/>
      <c r="V389" s="19"/>
      <c r="W389" s="19"/>
      <c r="X389" s="19"/>
    </row>
    <row r="390" ht="14.25" customHeight="1">
      <c r="R390" s="19"/>
      <c r="S390" s="19"/>
      <c r="T390" s="19"/>
      <c r="U390" s="19"/>
      <c r="V390" s="19"/>
      <c r="W390" s="19"/>
      <c r="X390" s="19"/>
    </row>
    <row r="391" ht="14.25" customHeight="1">
      <c r="R391" s="19"/>
      <c r="S391" s="19"/>
      <c r="T391" s="19"/>
      <c r="U391" s="19"/>
      <c r="V391" s="19"/>
      <c r="W391" s="19"/>
      <c r="X391" s="19"/>
    </row>
    <row r="392" ht="14.25" customHeight="1">
      <c r="R392" s="19"/>
      <c r="S392" s="19"/>
      <c r="T392" s="19"/>
      <c r="U392" s="19"/>
      <c r="V392" s="19"/>
      <c r="W392" s="19"/>
      <c r="X392" s="19"/>
    </row>
    <row r="393" ht="14.25" customHeight="1">
      <c r="R393" s="19"/>
      <c r="S393" s="19"/>
      <c r="T393" s="19"/>
      <c r="U393" s="19"/>
      <c r="V393" s="19"/>
      <c r="W393" s="19"/>
      <c r="X393" s="19"/>
    </row>
    <row r="394" ht="14.25" customHeight="1">
      <c r="R394" s="19"/>
      <c r="S394" s="19"/>
      <c r="T394" s="19"/>
      <c r="U394" s="19"/>
      <c r="V394" s="19"/>
      <c r="W394" s="19"/>
      <c r="X394" s="19"/>
    </row>
    <row r="395" ht="14.25" customHeight="1">
      <c r="R395" s="19"/>
      <c r="S395" s="19"/>
      <c r="T395" s="19"/>
      <c r="U395" s="19"/>
      <c r="V395" s="19"/>
      <c r="W395" s="19"/>
      <c r="X395" s="19"/>
    </row>
    <row r="396" ht="14.25" customHeight="1">
      <c r="R396" s="19"/>
      <c r="S396" s="19"/>
      <c r="T396" s="19"/>
      <c r="U396" s="19"/>
      <c r="V396" s="19"/>
      <c r="W396" s="19"/>
      <c r="X396" s="19"/>
    </row>
    <row r="397" ht="14.25" customHeight="1">
      <c r="R397" s="19"/>
      <c r="S397" s="19"/>
      <c r="T397" s="19"/>
      <c r="U397" s="19"/>
      <c r="V397" s="19"/>
      <c r="W397" s="19"/>
      <c r="X397" s="19"/>
    </row>
    <row r="398" ht="14.25" customHeight="1">
      <c r="R398" s="19"/>
      <c r="S398" s="19"/>
      <c r="T398" s="19"/>
      <c r="U398" s="19"/>
      <c r="V398" s="19"/>
      <c r="W398" s="19"/>
      <c r="X398" s="19"/>
    </row>
    <row r="399" ht="14.25" customHeight="1">
      <c r="R399" s="19"/>
      <c r="S399" s="19"/>
      <c r="T399" s="19"/>
      <c r="U399" s="19"/>
      <c r="V399" s="19"/>
      <c r="W399" s="19"/>
      <c r="X399" s="19"/>
    </row>
    <row r="400" ht="14.25" customHeight="1">
      <c r="R400" s="19"/>
      <c r="S400" s="19"/>
      <c r="T400" s="19"/>
      <c r="U400" s="19"/>
      <c r="V400" s="19"/>
      <c r="W400" s="19"/>
      <c r="X400" s="19"/>
    </row>
    <row r="401" ht="14.25" customHeight="1">
      <c r="R401" s="19"/>
      <c r="S401" s="19"/>
      <c r="T401" s="19"/>
      <c r="U401" s="19"/>
      <c r="V401" s="19"/>
      <c r="W401" s="19"/>
      <c r="X401" s="19"/>
    </row>
    <row r="402" ht="14.25" customHeight="1">
      <c r="R402" s="19"/>
      <c r="S402" s="19"/>
      <c r="T402" s="19"/>
      <c r="U402" s="19"/>
      <c r="V402" s="19"/>
      <c r="W402" s="19"/>
      <c r="X402" s="19"/>
    </row>
    <row r="403" ht="14.25" customHeight="1">
      <c r="R403" s="19"/>
      <c r="S403" s="19"/>
      <c r="T403" s="19"/>
      <c r="U403" s="19"/>
      <c r="V403" s="19"/>
      <c r="W403" s="19"/>
      <c r="X403" s="19"/>
    </row>
    <row r="404" ht="14.25" customHeight="1">
      <c r="R404" s="19"/>
      <c r="S404" s="19"/>
      <c r="T404" s="19"/>
      <c r="U404" s="19"/>
      <c r="V404" s="19"/>
      <c r="W404" s="19"/>
      <c r="X404" s="19"/>
    </row>
    <row r="405" ht="14.25" customHeight="1">
      <c r="R405" s="19"/>
      <c r="S405" s="19"/>
      <c r="T405" s="19"/>
      <c r="U405" s="19"/>
      <c r="V405" s="19"/>
      <c r="W405" s="19"/>
      <c r="X405" s="19"/>
    </row>
    <row r="406" ht="14.25" customHeight="1">
      <c r="R406" s="19"/>
      <c r="S406" s="19"/>
      <c r="T406" s="19"/>
      <c r="U406" s="19"/>
      <c r="V406" s="19"/>
      <c r="W406" s="19"/>
      <c r="X406" s="19"/>
    </row>
    <row r="407" ht="14.25" customHeight="1">
      <c r="R407" s="19"/>
      <c r="S407" s="19"/>
      <c r="T407" s="19"/>
      <c r="U407" s="19"/>
      <c r="V407" s="19"/>
      <c r="W407" s="19"/>
      <c r="X407" s="19"/>
    </row>
    <row r="408" ht="14.25" customHeight="1">
      <c r="R408" s="19"/>
      <c r="S408" s="19"/>
      <c r="T408" s="19"/>
      <c r="U408" s="19"/>
      <c r="V408" s="19"/>
      <c r="W408" s="19"/>
      <c r="X408" s="19"/>
    </row>
    <row r="409" ht="14.25" customHeight="1">
      <c r="R409" s="19"/>
      <c r="S409" s="19"/>
      <c r="T409" s="19"/>
      <c r="U409" s="19"/>
      <c r="V409" s="19"/>
      <c r="W409" s="19"/>
      <c r="X409" s="19"/>
    </row>
    <row r="410" ht="14.25" customHeight="1">
      <c r="R410" s="19"/>
      <c r="S410" s="19"/>
      <c r="T410" s="19"/>
      <c r="U410" s="19"/>
      <c r="V410" s="19"/>
      <c r="W410" s="19"/>
      <c r="X410" s="19"/>
    </row>
    <row r="411" ht="14.25" customHeight="1">
      <c r="R411" s="19"/>
      <c r="S411" s="19"/>
      <c r="T411" s="19"/>
      <c r="U411" s="19"/>
      <c r="V411" s="19"/>
      <c r="W411" s="19"/>
      <c r="X411" s="19"/>
    </row>
    <row r="412" ht="14.25" customHeight="1">
      <c r="R412" s="19"/>
      <c r="S412" s="19"/>
      <c r="T412" s="19"/>
      <c r="U412" s="19"/>
      <c r="V412" s="19"/>
      <c r="W412" s="19"/>
      <c r="X412" s="19"/>
    </row>
    <row r="413" ht="14.25" customHeight="1">
      <c r="R413" s="19"/>
      <c r="S413" s="19"/>
      <c r="T413" s="19"/>
      <c r="U413" s="19"/>
      <c r="V413" s="19"/>
      <c r="W413" s="19"/>
      <c r="X413" s="19"/>
    </row>
    <row r="414" ht="14.25" customHeight="1">
      <c r="R414" s="19"/>
      <c r="S414" s="19"/>
      <c r="T414" s="19"/>
      <c r="U414" s="19"/>
      <c r="V414" s="19"/>
      <c r="W414" s="19"/>
      <c r="X414" s="19"/>
    </row>
    <row r="415" ht="14.25" customHeight="1">
      <c r="R415" s="19"/>
      <c r="S415" s="19"/>
      <c r="T415" s="19"/>
      <c r="U415" s="19"/>
      <c r="V415" s="19"/>
      <c r="W415" s="19"/>
      <c r="X415" s="19"/>
    </row>
    <row r="416" ht="14.25" customHeight="1">
      <c r="R416" s="19"/>
      <c r="S416" s="19"/>
      <c r="T416" s="19"/>
      <c r="U416" s="19"/>
      <c r="V416" s="19"/>
      <c r="W416" s="19"/>
      <c r="X416" s="19"/>
    </row>
    <row r="417" ht="14.25" customHeight="1">
      <c r="R417" s="19"/>
      <c r="S417" s="19"/>
      <c r="T417" s="19"/>
      <c r="U417" s="19"/>
      <c r="V417" s="19"/>
      <c r="W417" s="19"/>
      <c r="X417" s="19"/>
    </row>
    <row r="418" ht="14.25" customHeight="1">
      <c r="R418" s="19"/>
      <c r="S418" s="19"/>
      <c r="T418" s="19"/>
      <c r="U418" s="19"/>
      <c r="V418" s="19"/>
      <c r="W418" s="19"/>
      <c r="X418" s="19"/>
    </row>
    <row r="419" ht="14.25" customHeight="1">
      <c r="R419" s="19"/>
      <c r="S419" s="19"/>
      <c r="T419" s="19"/>
      <c r="U419" s="19"/>
      <c r="V419" s="19"/>
      <c r="W419" s="19"/>
      <c r="X419" s="19"/>
    </row>
    <row r="420" ht="14.25" customHeight="1">
      <c r="R420" s="19"/>
      <c r="S420" s="19"/>
      <c r="T420" s="19"/>
      <c r="U420" s="19"/>
      <c r="V420" s="19"/>
      <c r="W420" s="19"/>
      <c r="X420" s="19"/>
    </row>
    <row r="421" ht="14.25" customHeight="1">
      <c r="R421" s="19"/>
      <c r="S421" s="19"/>
      <c r="T421" s="19"/>
      <c r="U421" s="19"/>
      <c r="V421" s="19"/>
      <c r="W421" s="19"/>
      <c r="X421" s="19"/>
    </row>
    <row r="422" ht="14.25" customHeight="1">
      <c r="R422" s="19"/>
      <c r="S422" s="19"/>
      <c r="T422" s="19"/>
      <c r="U422" s="19"/>
      <c r="V422" s="19"/>
      <c r="W422" s="19"/>
      <c r="X422" s="19"/>
    </row>
    <row r="423" ht="14.25" customHeight="1">
      <c r="R423" s="19"/>
      <c r="S423" s="19"/>
      <c r="T423" s="19"/>
      <c r="U423" s="19"/>
      <c r="V423" s="19"/>
      <c r="W423" s="19"/>
      <c r="X423" s="19"/>
    </row>
    <row r="424" ht="14.25" customHeight="1">
      <c r="R424" s="19"/>
      <c r="S424" s="19"/>
      <c r="T424" s="19"/>
      <c r="U424" s="19"/>
      <c r="V424" s="19"/>
      <c r="W424" s="19"/>
      <c r="X424" s="19"/>
    </row>
    <row r="425" ht="14.25" customHeight="1">
      <c r="R425" s="19"/>
      <c r="S425" s="19"/>
      <c r="T425" s="19"/>
      <c r="U425" s="19"/>
      <c r="V425" s="19"/>
      <c r="W425" s="19"/>
      <c r="X425" s="19"/>
    </row>
    <row r="426" ht="14.25" customHeight="1">
      <c r="R426" s="19"/>
      <c r="S426" s="19"/>
      <c r="T426" s="19"/>
      <c r="U426" s="19"/>
      <c r="V426" s="19"/>
      <c r="W426" s="19"/>
      <c r="X426" s="19"/>
    </row>
    <row r="427" ht="14.25" customHeight="1">
      <c r="R427" s="19"/>
      <c r="S427" s="19"/>
      <c r="T427" s="19"/>
      <c r="U427" s="19"/>
      <c r="V427" s="19"/>
      <c r="W427" s="19"/>
      <c r="X427" s="19"/>
    </row>
    <row r="428" ht="14.25" customHeight="1">
      <c r="R428" s="19"/>
      <c r="S428" s="19"/>
      <c r="T428" s="19"/>
      <c r="U428" s="19"/>
      <c r="V428" s="19"/>
      <c r="W428" s="19"/>
      <c r="X428" s="19"/>
    </row>
    <row r="429" ht="14.25" customHeight="1">
      <c r="R429" s="19"/>
      <c r="S429" s="19"/>
      <c r="T429" s="19"/>
      <c r="U429" s="19"/>
      <c r="V429" s="19"/>
      <c r="W429" s="19"/>
      <c r="X429" s="19"/>
    </row>
    <row r="430" ht="14.25" customHeight="1">
      <c r="R430" s="19"/>
      <c r="S430" s="19"/>
      <c r="T430" s="19"/>
      <c r="U430" s="19"/>
      <c r="V430" s="19"/>
      <c r="W430" s="19"/>
      <c r="X430" s="19"/>
    </row>
    <row r="431" ht="14.25" customHeight="1">
      <c r="R431" s="19"/>
      <c r="S431" s="19"/>
      <c r="T431" s="19"/>
      <c r="U431" s="19"/>
      <c r="V431" s="19"/>
      <c r="W431" s="19"/>
      <c r="X431" s="19"/>
    </row>
    <row r="432" ht="14.25" customHeight="1">
      <c r="R432" s="19"/>
      <c r="S432" s="19"/>
      <c r="T432" s="19"/>
      <c r="U432" s="19"/>
      <c r="V432" s="19"/>
      <c r="W432" s="19"/>
      <c r="X432" s="19"/>
    </row>
    <row r="433" ht="14.25" customHeight="1">
      <c r="R433" s="19"/>
      <c r="S433" s="19"/>
      <c r="T433" s="19"/>
      <c r="U433" s="19"/>
      <c r="V433" s="19"/>
      <c r="W433" s="19"/>
      <c r="X433" s="19"/>
    </row>
    <row r="434" ht="14.25" customHeight="1">
      <c r="R434" s="19"/>
      <c r="S434" s="19"/>
      <c r="T434" s="19"/>
      <c r="U434" s="19"/>
      <c r="V434" s="19"/>
      <c r="W434" s="19"/>
      <c r="X434" s="19"/>
    </row>
    <row r="435" ht="14.25" customHeight="1">
      <c r="R435" s="19"/>
      <c r="S435" s="19"/>
      <c r="T435" s="19"/>
      <c r="U435" s="19"/>
      <c r="V435" s="19"/>
      <c r="W435" s="19"/>
      <c r="X435" s="19"/>
    </row>
    <row r="436" ht="14.25" customHeight="1">
      <c r="R436" s="19"/>
      <c r="S436" s="19"/>
      <c r="T436" s="19"/>
      <c r="U436" s="19"/>
      <c r="V436" s="19"/>
      <c r="W436" s="19"/>
      <c r="X436" s="19"/>
    </row>
    <row r="437" ht="14.25" customHeight="1">
      <c r="R437" s="19"/>
      <c r="S437" s="19"/>
      <c r="T437" s="19"/>
      <c r="U437" s="19"/>
      <c r="V437" s="19"/>
      <c r="W437" s="19"/>
      <c r="X437" s="19"/>
    </row>
    <row r="438" ht="14.25" customHeight="1">
      <c r="R438" s="19"/>
      <c r="S438" s="19"/>
      <c r="T438" s="19"/>
      <c r="U438" s="19"/>
      <c r="V438" s="19"/>
      <c r="W438" s="19"/>
      <c r="X438" s="19"/>
    </row>
    <row r="439" ht="14.25" customHeight="1">
      <c r="R439" s="19"/>
      <c r="S439" s="19"/>
      <c r="T439" s="19"/>
      <c r="U439" s="19"/>
      <c r="V439" s="19"/>
      <c r="W439" s="19"/>
      <c r="X439" s="19"/>
    </row>
    <row r="440" ht="14.25" customHeight="1">
      <c r="R440" s="19"/>
      <c r="S440" s="19"/>
      <c r="T440" s="19"/>
      <c r="U440" s="19"/>
      <c r="V440" s="19"/>
      <c r="W440" s="19"/>
      <c r="X440" s="19"/>
    </row>
    <row r="441" ht="14.25" customHeight="1">
      <c r="R441" s="19"/>
      <c r="S441" s="19"/>
      <c r="T441" s="19"/>
      <c r="U441" s="19"/>
      <c r="V441" s="19"/>
      <c r="W441" s="19"/>
      <c r="X441" s="19"/>
    </row>
    <row r="442" ht="14.25" customHeight="1">
      <c r="R442" s="19"/>
      <c r="S442" s="19"/>
      <c r="T442" s="19"/>
      <c r="U442" s="19"/>
      <c r="V442" s="19"/>
      <c r="W442" s="19"/>
      <c r="X442" s="19"/>
    </row>
    <row r="443" ht="14.25" customHeight="1">
      <c r="R443" s="19"/>
      <c r="S443" s="19"/>
      <c r="T443" s="19"/>
      <c r="U443" s="19"/>
      <c r="V443" s="19"/>
      <c r="W443" s="19"/>
      <c r="X443" s="19"/>
    </row>
    <row r="444" ht="14.25" customHeight="1">
      <c r="R444" s="19"/>
      <c r="S444" s="19"/>
      <c r="T444" s="19"/>
      <c r="U444" s="19"/>
      <c r="V444" s="19"/>
      <c r="W444" s="19"/>
      <c r="X444" s="19"/>
    </row>
    <row r="445" ht="14.25" customHeight="1">
      <c r="R445" s="19"/>
      <c r="S445" s="19"/>
      <c r="T445" s="19"/>
      <c r="U445" s="19"/>
      <c r="V445" s="19"/>
      <c r="W445" s="19"/>
      <c r="X445" s="19"/>
    </row>
    <row r="446" ht="14.25" customHeight="1">
      <c r="R446" s="19"/>
      <c r="S446" s="19"/>
      <c r="T446" s="19"/>
      <c r="U446" s="19"/>
      <c r="V446" s="19"/>
      <c r="W446" s="19"/>
      <c r="X446" s="19"/>
    </row>
    <row r="447" ht="14.25" customHeight="1">
      <c r="R447" s="19"/>
      <c r="S447" s="19"/>
      <c r="T447" s="19"/>
      <c r="U447" s="19"/>
      <c r="V447" s="19"/>
      <c r="W447" s="19"/>
      <c r="X447" s="19"/>
    </row>
    <row r="448" ht="14.25" customHeight="1">
      <c r="R448" s="19"/>
      <c r="S448" s="19"/>
      <c r="T448" s="19"/>
      <c r="U448" s="19"/>
      <c r="V448" s="19"/>
      <c r="W448" s="19"/>
      <c r="X448" s="19"/>
    </row>
    <row r="449" ht="14.25" customHeight="1">
      <c r="R449" s="19"/>
      <c r="S449" s="19"/>
      <c r="T449" s="19"/>
      <c r="U449" s="19"/>
      <c r="V449" s="19"/>
      <c r="W449" s="19"/>
      <c r="X449" s="19"/>
    </row>
    <row r="450" ht="14.25" customHeight="1">
      <c r="R450" s="19"/>
      <c r="S450" s="19"/>
      <c r="T450" s="19"/>
      <c r="U450" s="19"/>
      <c r="V450" s="19"/>
      <c r="W450" s="19"/>
      <c r="X450" s="19"/>
    </row>
    <row r="451" ht="14.25" customHeight="1">
      <c r="R451" s="19"/>
      <c r="S451" s="19"/>
      <c r="T451" s="19"/>
      <c r="U451" s="19"/>
      <c r="V451" s="19"/>
      <c r="W451" s="19"/>
      <c r="X451" s="19"/>
    </row>
    <row r="452" ht="14.25" customHeight="1">
      <c r="R452" s="19"/>
      <c r="S452" s="19"/>
      <c r="T452" s="19"/>
      <c r="U452" s="19"/>
      <c r="V452" s="19"/>
      <c r="W452" s="19"/>
      <c r="X452" s="19"/>
    </row>
    <row r="453" ht="14.25" customHeight="1">
      <c r="R453" s="19"/>
      <c r="S453" s="19"/>
      <c r="T453" s="19"/>
      <c r="U453" s="19"/>
      <c r="V453" s="19"/>
      <c r="W453" s="19"/>
      <c r="X453" s="19"/>
    </row>
    <row r="454" ht="14.25" customHeight="1">
      <c r="R454" s="19"/>
      <c r="S454" s="19"/>
      <c r="T454" s="19"/>
      <c r="U454" s="19"/>
      <c r="V454" s="19"/>
      <c r="W454" s="19"/>
      <c r="X454" s="19"/>
    </row>
    <row r="455" ht="14.25" customHeight="1">
      <c r="R455" s="19"/>
      <c r="S455" s="19"/>
      <c r="T455" s="19"/>
      <c r="U455" s="19"/>
      <c r="V455" s="19"/>
      <c r="W455" s="19"/>
      <c r="X455" s="19"/>
    </row>
    <row r="456" ht="14.25" customHeight="1">
      <c r="R456" s="19"/>
      <c r="S456" s="19"/>
      <c r="T456" s="19"/>
      <c r="U456" s="19"/>
      <c r="V456" s="19"/>
      <c r="W456" s="19"/>
      <c r="X456" s="19"/>
    </row>
    <row r="457" ht="14.25" customHeight="1">
      <c r="R457" s="19"/>
      <c r="S457" s="19"/>
      <c r="T457" s="19"/>
      <c r="U457" s="19"/>
      <c r="V457" s="19"/>
      <c r="W457" s="19"/>
      <c r="X457" s="19"/>
    </row>
    <row r="458" ht="14.25" customHeight="1">
      <c r="R458" s="19"/>
      <c r="S458" s="19"/>
      <c r="T458" s="19"/>
      <c r="U458" s="19"/>
      <c r="V458" s="19"/>
      <c r="W458" s="19"/>
      <c r="X458" s="19"/>
    </row>
    <row r="459" ht="14.25" customHeight="1">
      <c r="R459" s="19"/>
      <c r="S459" s="19"/>
      <c r="T459" s="19"/>
      <c r="U459" s="19"/>
      <c r="V459" s="19"/>
      <c r="W459" s="19"/>
      <c r="X459" s="19"/>
    </row>
    <row r="460" ht="14.25" customHeight="1">
      <c r="R460" s="19"/>
      <c r="S460" s="19"/>
      <c r="T460" s="19"/>
      <c r="U460" s="19"/>
      <c r="V460" s="19"/>
      <c r="W460" s="19"/>
      <c r="X460" s="19"/>
    </row>
    <row r="461" ht="14.25" customHeight="1">
      <c r="R461" s="19"/>
      <c r="S461" s="19"/>
      <c r="T461" s="19"/>
      <c r="U461" s="19"/>
      <c r="V461" s="19"/>
      <c r="W461" s="19"/>
      <c r="X461" s="19"/>
    </row>
    <row r="462" ht="14.25" customHeight="1">
      <c r="R462" s="19"/>
      <c r="S462" s="19"/>
      <c r="T462" s="19"/>
      <c r="U462" s="19"/>
      <c r="V462" s="19"/>
      <c r="W462" s="19"/>
      <c r="X462" s="19"/>
    </row>
    <row r="463" ht="14.25" customHeight="1">
      <c r="R463" s="19"/>
      <c r="S463" s="19"/>
      <c r="T463" s="19"/>
      <c r="U463" s="19"/>
      <c r="V463" s="19"/>
      <c r="W463" s="19"/>
      <c r="X463" s="19"/>
    </row>
    <row r="464" ht="14.25" customHeight="1">
      <c r="R464" s="19"/>
      <c r="S464" s="19"/>
      <c r="T464" s="19"/>
      <c r="U464" s="19"/>
      <c r="V464" s="19"/>
      <c r="W464" s="19"/>
      <c r="X464" s="19"/>
    </row>
    <row r="465" ht="14.25" customHeight="1">
      <c r="R465" s="19"/>
      <c r="S465" s="19"/>
      <c r="T465" s="19"/>
      <c r="U465" s="19"/>
      <c r="V465" s="19"/>
      <c r="W465" s="19"/>
      <c r="X465" s="19"/>
    </row>
    <row r="466" ht="14.25" customHeight="1">
      <c r="R466" s="19"/>
      <c r="S466" s="19"/>
      <c r="T466" s="19"/>
      <c r="U466" s="19"/>
      <c r="V466" s="19"/>
      <c r="W466" s="19"/>
      <c r="X466" s="19"/>
    </row>
    <row r="467" ht="14.25" customHeight="1">
      <c r="R467" s="19"/>
      <c r="S467" s="19"/>
      <c r="T467" s="19"/>
      <c r="U467" s="19"/>
      <c r="V467" s="19"/>
      <c r="W467" s="19"/>
      <c r="X467" s="19"/>
    </row>
    <row r="468" ht="14.25" customHeight="1">
      <c r="R468" s="19"/>
      <c r="S468" s="19"/>
      <c r="T468" s="19"/>
      <c r="U468" s="19"/>
      <c r="V468" s="19"/>
      <c r="W468" s="19"/>
      <c r="X468" s="19"/>
    </row>
    <row r="469" ht="14.25" customHeight="1">
      <c r="R469" s="19"/>
      <c r="S469" s="19"/>
      <c r="T469" s="19"/>
      <c r="U469" s="19"/>
      <c r="V469" s="19"/>
      <c r="W469" s="19"/>
      <c r="X469" s="19"/>
    </row>
    <row r="470" ht="14.25" customHeight="1">
      <c r="R470" s="19"/>
      <c r="S470" s="19"/>
      <c r="T470" s="19"/>
      <c r="U470" s="19"/>
      <c r="V470" s="19"/>
      <c r="W470" s="19"/>
      <c r="X470" s="19"/>
    </row>
    <row r="471" ht="14.25" customHeight="1">
      <c r="R471" s="19"/>
      <c r="S471" s="19"/>
      <c r="T471" s="19"/>
      <c r="U471" s="19"/>
      <c r="V471" s="19"/>
      <c r="W471" s="19"/>
      <c r="X471" s="19"/>
    </row>
    <row r="472" ht="14.25" customHeight="1">
      <c r="R472" s="19"/>
      <c r="S472" s="19"/>
      <c r="T472" s="19"/>
      <c r="U472" s="19"/>
      <c r="V472" s="19"/>
      <c r="W472" s="19"/>
      <c r="X472" s="19"/>
    </row>
    <row r="473" ht="14.25" customHeight="1">
      <c r="R473" s="19"/>
      <c r="S473" s="19"/>
      <c r="T473" s="19"/>
      <c r="U473" s="19"/>
      <c r="V473" s="19"/>
      <c r="W473" s="19"/>
      <c r="X473" s="19"/>
    </row>
    <row r="474" ht="14.25" customHeight="1">
      <c r="R474" s="19"/>
      <c r="S474" s="19"/>
      <c r="T474" s="19"/>
      <c r="U474" s="19"/>
      <c r="V474" s="19"/>
      <c r="W474" s="19"/>
      <c r="X474" s="19"/>
    </row>
    <row r="475" ht="14.25" customHeight="1">
      <c r="R475" s="19"/>
      <c r="S475" s="19"/>
      <c r="T475" s="19"/>
      <c r="U475" s="19"/>
      <c r="V475" s="19"/>
      <c r="W475" s="19"/>
      <c r="X475" s="19"/>
    </row>
    <row r="476" ht="14.25" customHeight="1">
      <c r="R476" s="19"/>
      <c r="S476" s="19"/>
      <c r="T476" s="19"/>
      <c r="U476" s="19"/>
      <c r="V476" s="19"/>
      <c r="W476" s="19"/>
      <c r="X476" s="19"/>
    </row>
    <row r="477" ht="14.25" customHeight="1">
      <c r="R477" s="19"/>
      <c r="S477" s="19"/>
      <c r="T477" s="19"/>
      <c r="U477" s="19"/>
      <c r="V477" s="19"/>
      <c r="W477" s="19"/>
      <c r="X477" s="19"/>
    </row>
    <row r="478" ht="14.25" customHeight="1">
      <c r="R478" s="19"/>
      <c r="S478" s="19"/>
      <c r="T478" s="19"/>
      <c r="U478" s="19"/>
      <c r="V478" s="19"/>
      <c r="W478" s="19"/>
      <c r="X478" s="19"/>
    </row>
    <row r="479" ht="14.25" customHeight="1">
      <c r="R479" s="19"/>
      <c r="S479" s="19"/>
      <c r="T479" s="19"/>
      <c r="U479" s="19"/>
      <c r="V479" s="19"/>
      <c r="W479" s="19"/>
      <c r="X479" s="19"/>
    </row>
    <row r="480" ht="14.25" customHeight="1">
      <c r="R480" s="19"/>
      <c r="S480" s="19"/>
      <c r="T480" s="19"/>
      <c r="U480" s="19"/>
      <c r="V480" s="19"/>
      <c r="W480" s="19"/>
      <c r="X480" s="19"/>
    </row>
    <row r="481" ht="14.25" customHeight="1">
      <c r="R481" s="19"/>
      <c r="S481" s="19"/>
      <c r="T481" s="19"/>
      <c r="U481" s="19"/>
      <c r="V481" s="19"/>
      <c r="W481" s="19"/>
      <c r="X481" s="19"/>
    </row>
    <row r="482" ht="14.25" customHeight="1">
      <c r="R482" s="19"/>
      <c r="S482" s="19"/>
      <c r="T482" s="19"/>
      <c r="U482" s="19"/>
      <c r="V482" s="19"/>
      <c r="W482" s="19"/>
      <c r="X482" s="19"/>
    </row>
    <row r="483" ht="14.25" customHeight="1">
      <c r="R483" s="19"/>
      <c r="S483" s="19"/>
      <c r="T483" s="19"/>
      <c r="U483" s="19"/>
      <c r="V483" s="19"/>
      <c r="W483" s="19"/>
      <c r="X483" s="19"/>
    </row>
    <row r="484" ht="14.25" customHeight="1">
      <c r="R484" s="19"/>
      <c r="S484" s="19"/>
      <c r="T484" s="19"/>
      <c r="U484" s="19"/>
      <c r="V484" s="19"/>
      <c r="W484" s="19"/>
      <c r="X484" s="19"/>
    </row>
    <row r="485" ht="14.25" customHeight="1">
      <c r="R485" s="19"/>
      <c r="S485" s="19"/>
      <c r="T485" s="19"/>
      <c r="U485" s="19"/>
      <c r="V485" s="19"/>
      <c r="W485" s="19"/>
      <c r="X485" s="19"/>
    </row>
    <row r="486" ht="14.25" customHeight="1">
      <c r="R486" s="19"/>
      <c r="S486" s="19"/>
      <c r="T486" s="19"/>
      <c r="U486" s="19"/>
      <c r="V486" s="19"/>
      <c r="W486" s="19"/>
      <c r="X486" s="19"/>
    </row>
    <row r="487" ht="14.25" customHeight="1">
      <c r="R487" s="19"/>
      <c r="S487" s="19"/>
      <c r="T487" s="19"/>
      <c r="U487" s="19"/>
      <c r="V487" s="19"/>
      <c r="W487" s="19"/>
      <c r="X487" s="19"/>
    </row>
    <row r="488" ht="14.25" customHeight="1">
      <c r="R488" s="19"/>
      <c r="S488" s="19"/>
      <c r="T488" s="19"/>
      <c r="U488" s="19"/>
      <c r="V488" s="19"/>
      <c r="W488" s="19"/>
      <c r="X488" s="19"/>
    </row>
    <row r="489" ht="14.25" customHeight="1">
      <c r="R489" s="19"/>
      <c r="S489" s="19"/>
      <c r="T489" s="19"/>
      <c r="U489" s="19"/>
      <c r="V489" s="19"/>
      <c r="W489" s="19"/>
      <c r="X489" s="19"/>
    </row>
    <row r="490" ht="14.25" customHeight="1">
      <c r="R490" s="19"/>
      <c r="S490" s="19"/>
      <c r="T490" s="19"/>
      <c r="U490" s="19"/>
      <c r="V490" s="19"/>
      <c r="W490" s="19"/>
      <c r="X490" s="19"/>
    </row>
    <row r="491" ht="14.25" customHeight="1">
      <c r="R491" s="19"/>
      <c r="S491" s="19"/>
      <c r="T491" s="19"/>
      <c r="U491" s="19"/>
      <c r="V491" s="19"/>
      <c r="W491" s="19"/>
      <c r="X491" s="19"/>
    </row>
    <row r="492" ht="14.25" customHeight="1">
      <c r="R492" s="19"/>
      <c r="S492" s="19"/>
      <c r="T492" s="19"/>
      <c r="U492" s="19"/>
      <c r="V492" s="19"/>
      <c r="W492" s="19"/>
      <c r="X492" s="19"/>
    </row>
    <row r="493" ht="14.25" customHeight="1">
      <c r="R493" s="19"/>
      <c r="S493" s="19"/>
      <c r="T493" s="19"/>
      <c r="U493" s="19"/>
      <c r="V493" s="19"/>
      <c r="W493" s="19"/>
      <c r="X493" s="19"/>
    </row>
    <row r="494" ht="14.25" customHeight="1">
      <c r="R494" s="19"/>
      <c r="S494" s="19"/>
      <c r="T494" s="19"/>
      <c r="U494" s="19"/>
      <c r="V494" s="19"/>
      <c r="W494" s="19"/>
      <c r="X494" s="19"/>
    </row>
    <row r="495" ht="14.25" customHeight="1">
      <c r="R495" s="19"/>
      <c r="S495" s="19"/>
      <c r="T495" s="19"/>
      <c r="U495" s="19"/>
      <c r="V495" s="19"/>
      <c r="W495" s="19"/>
      <c r="X495" s="19"/>
    </row>
    <row r="496" ht="14.25" customHeight="1">
      <c r="R496" s="19"/>
      <c r="S496" s="19"/>
      <c r="T496" s="19"/>
      <c r="U496" s="19"/>
      <c r="V496" s="19"/>
      <c r="W496" s="19"/>
      <c r="X496" s="19"/>
    </row>
    <row r="497" ht="14.25" customHeight="1">
      <c r="R497" s="19"/>
      <c r="S497" s="19"/>
      <c r="T497" s="19"/>
      <c r="U497" s="19"/>
      <c r="V497" s="19"/>
      <c r="W497" s="19"/>
      <c r="X497" s="19"/>
    </row>
    <row r="498" ht="14.25" customHeight="1">
      <c r="R498" s="19"/>
      <c r="S498" s="19"/>
      <c r="T498" s="19"/>
      <c r="U498" s="19"/>
      <c r="V498" s="19"/>
      <c r="W498" s="19"/>
      <c r="X498" s="19"/>
    </row>
    <row r="499" ht="14.25" customHeight="1">
      <c r="R499" s="19"/>
      <c r="S499" s="19"/>
      <c r="T499" s="19"/>
      <c r="U499" s="19"/>
      <c r="V499" s="19"/>
      <c r="W499" s="19"/>
      <c r="X499" s="19"/>
    </row>
    <row r="500" ht="14.25" customHeight="1">
      <c r="R500" s="19"/>
      <c r="S500" s="19"/>
      <c r="T500" s="19"/>
      <c r="U500" s="19"/>
      <c r="V500" s="19"/>
      <c r="W500" s="19"/>
      <c r="X500" s="19"/>
    </row>
    <row r="501" ht="14.25" customHeight="1">
      <c r="R501" s="19"/>
      <c r="S501" s="19"/>
      <c r="T501" s="19"/>
      <c r="U501" s="19"/>
      <c r="V501" s="19"/>
      <c r="W501" s="19"/>
      <c r="X501" s="19"/>
    </row>
    <row r="502" ht="14.25" customHeight="1">
      <c r="R502" s="19"/>
      <c r="S502" s="19"/>
      <c r="T502" s="19"/>
      <c r="U502" s="19"/>
      <c r="V502" s="19"/>
      <c r="W502" s="19"/>
      <c r="X502" s="19"/>
    </row>
    <row r="503" ht="14.25" customHeight="1">
      <c r="R503" s="19"/>
      <c r="S503" s="19"/>
      <c r="T503" s="19"/>
      <c r="U503" s="19"/>
      <c r="V503" s="19"/>
      <c r="W503" s="19"/>
      <c r="X503" s="19"/>
    </row>
    <row r="504" ht="14.25" customHeight="1">
      <c r="R504" s="19"/>
      <c r="S504" s="19"/>
      <c r="T504" s="19"/>
      <c r="U504" s="19"/>
      <c r="V504" s="19"/>
      <c r="W504" s="19"/>
      <c r="X504" s="19"/>
    </row>
    <row r="505" ht="14.25" customHeight="1">
      <c r="R505" s="19"/>
      <c r="S505" s="19"/>
      <c r="T505" s="19"/>
      <c r="U505" s="19"/>
      <c r="V505" s="19"/>
      <c r="W505" s="19"/>
      <c r="X505" s="19"/>
    </row>
    <row r="506" ht="14.25" customHeight="1">
      <c r="R506" s="19"/>
      <c r="S506" s="19"/>
      <c r="T506" s="19"/>
      <c r="U506" s="19"/>
      <c r="V506" s="19"/>
      <c r="W506" s="19"/>
      <c r="X506" s="19"/>
    </row>
    <row r="507" ht="14.25" customHeight="1">
      <c r="R507" s="19"/>
      <c r="S507" s="19"/>
      <c r="T507" s="19"/>
      <c r="U507" s="19"/>
      <c r="V507" s="19"/>
      <c r="W507" s="19"/>
      <c r="X507" s="19"/>
    </row>
    <row r="508" ht="14.25" customHeight="1">
      <c r="R508" s="19"/>
      <c r="S508" s="19"/>
      <c r="T508" s="19"/>
      <c r="U508" s="19"/>
      <c r="V508" s="19"/>
      <c r="W508" s="19"/>
      <c r="X508" s="19"/>
    </row>
    <row r="509" ht="14.25" customHeight="1">
      <c r="R509" s="19"/>
      <c r="S509" s="19"/>
      <c r="T509" s="19"/>
      <c r="U509" s="19"/>
      <c r="V509" s="19"/>
      <c r="W509" s="19"/>
      <c r="X509" s="19"/>
    </row>
    <row r="510" ht="14.25" customHeight="1">
      <c r="R510" s="19"/>
      <c r="S510" s="19"/>
      <c r="T510" s="19"/>
      <c r="U510" s="19"/>
      <c r="V510" s="19"/>
      <c r="W510" s="19"/>
      <c r="X510" s="19"/>
    </row>
    <row r="511" ht="14.25" customHeight="1">
      <c r="R511" s="19"/>
      <c r="S511" s="19"/>
      <c r="T511" s="19"/>
      <c r="U511" s="19"/>
      <c r="V511" s="19"/>
      <c r="W511" s="19"/>
      <c r="X511" s="19"/>
    </row>
    <row r="512" ht="14.25" customHeight="1">
      <c r="R512" s="19"/>
      <c r="S512" s="19"/>
      <c r="T512" s="19"/>
      <c r="U512" s="19"/>
      <c r="V512" s="19"/>
      <c r="W512" s="19"/>
      <c r="X512" s="19"/>
    </row>
    <row r="513" ht="14.25" customHeight="1">
      <c r="R513" s="19"/>
      <c r="S513" s="19"/>
      <c r="T513" s="19"/>
      <c r="U513" s="19"/>
      <c r="V513" s="19"/>
      <c r="W513" s="19"/>
      <c r="X513" s="19"/>
    </row>
    <row r="514" ht="14.25" customHeight="1">
      <c r="R514" s="19"/>
      <c r="S514" s="19"/>
      <c r="T514" s="19"/>
      <c r="U514" s="19"/>
      <c r="V514" s="19"/>
      <c r="W514" s="19"/>
      <c r="X514" s="19"/>
    </row>
    <row r="515" ht="14.25" customHeight="1">
      <c r="R515" s="19"/>
      <c r="S515" s="19"/>
      <c r="T515" s="19"/>
      <c r="U515" s="19"/>
      <c r="V515" s="19"/>
      <c r="W515" s="19"/>
      <c r="X515" s="19"/>
    </row>
    <row r="516" ht="14.25" customHeight="1">
      <c r="R516" s="19"/>
      <c r="S516" s="19"/>
      <c r="T516" s="19"/>
      <c r="U516" s="19"/>
      <c r="V516" s="19"/>
      <c r="W516" s="19"/>
      <c r="X516" s="19"/>
    </row>
    <row r="517" ht="14.25" customHeight="1">
      <c r="R517" s="19"/>
      <c r="S517" s="19"/>
      <c r="T517" s="19"/>
      <c r="U517" s="19"/>
      <c r="V517" s="19"/>
      <c r="W517" s="19"/>
      <c r="X517" s="19"/>
    </row>
    <row r="518" ht="14.25" customHeight="1">
      <c r="R518" s="19"/>
      <c r="S518" s="19"/>
      <c r="T518" s="19"/>
      <c r="U518" s="19"/>
      <c r="V518" s="19"/>
      <c r="W518" s="19"/>
      <c r="X518" s="19"/>
    </row>
    <row r="519" ht="14.25" customHeight="1">
      <c r="R519" s="19"/>
      <c r="S519" s="19"/>
      <c r="T519" s="19"/>
      <c r="U519" s="19"/>
      <c r="V519" s="19"/>
      <c r="W519" s="19"/>
      <c r="X519" s="19"/>
    </row>
    <row r="520" ht="14.25" customHeight="1">
      <c r="R520" s="19"/>
      <c r="S520" s="19"/>
      <c r="T520" s="19"/>
      <c r="U520" s="19"/>
      <c r="V520" s="19"/>
      <c r="W520" s="19"/>
      <c r="X520" s="19"/>
    </row>
    <row r="521" ht="14.25" customHeight="1">
      <c r="R521" s="19"/>
      <c r="S521" s="19"/>
      <c r="T521" s="19"/>
      <c r="U521" s="19"/>
      <c r="V521" s="19"/>
      <c r="W521" s="19"/>
      <c r="X521" s="19"/>
    </row>
    <row r="522" ht="14.25" customHeight="1">
      <c r="R522" s="19"/>
      <c r="S522" s="19"/>
      <c r="T522" s="19"/>
      <c r="U522" s="19"/>
      <c r="V522" s="19"/>
      <c r="W522" s="19"/>
      <c r="X522" s="19"/>
    </row>
    <row r="523" ht="14.25" customHeight="1">
      <c r="R523" s="19"/>
      <c r="S523" s="19"/>
      <c r="T523" s="19"/>
      <c r="U523" s="19"/>
      <c r="V523" s="19"/>
      <c r="W523" s="19"/>
      <c r="X523" s="19"/>
    </row>
    <row r="524" ht="14.25" customHeight="1">
      <c r="R524" s="19"/>
      <c r="S524" s="19"/>
      <c r="T524" s="19"/>
      <c r="U524" s="19"/>
      <c r="V524" s="19"/>
      <c r="W524" s="19"/>
      <c r="X524" s="19"/>
    </row>
    <row r="525" ht="14.25" customHeight="1">
      <c r="R525" s="19"/>
      <c r="S525" s="19"/>
      <c r="T525" s="19"/>
      <c r="U525" s="19"/>
      <c r="V525" s="19"/>
      <c r="W525" s="19"/>
      <c r="X525" s="19"/>
    </row>
    <row r="526" ht="14.25" customHeight="1">
      <c r="R526" s="19"/>
      <c r="S526" s="19"/>
      <c r="T526" s="19"/>
      <c r="U526" s="19"/>
      <c r="V526" s="19"/>
      <c r="W526" s="19"/>
      <c r="X526" s="19"/>
    </row>
    <row r="527" ht="14.25" customHeight="1">
      <c r="R527" s="19"/>
      <c r="S527" s="19"/>
      <c r="T527" s="19"/>
      <c r="U527" s="19"/>
      <c r="V527" s="19"/>
      <c r="W527" s="19"/>
      <c r="X527" s="19"/>
    </row>
    <row r="528" ht="14.25" customHeight="1">
      <c r="R528" s="19"/>
      <c r="S528" s="19"/>
      <c r="T528" s="19"/>
      <c r="U528" s="19"/>
      <c r="V528" s="19"/>
      <c r="W528" s="19"/>
      <c r="X528" s="19"/>
    </row>
    <row r="529" ht="14.25" customHeight="1">
      <c r="R529" s="19"/>
      <c r="S529" s="19"/>
      <c r="T529" s="19"/>
      <c r="U529" s="19"/>
      <c r="V529" s="19"/>
      <c r="W529" s="19"/>
      <c r="X529" s="19"/>
    </row>
    <row r="530" ht="14.25" customHeight="1">
      <c r="R530" s="19"/>
      <c r="S530" s="19"/>
      <c r="T530" s="19"/>
      <c r="U530" s="19"/>
      <c r="V530" s="19"/>
      <c r="W530" s="19"/>
      <c r="X530" s="19"/>
    </row>
    <row r="531" ht="14.25" customHeight="1">
      <c r="R531" s="19"/>
      <c r="S531" s="19"/>
      <c r="T531" s="19"/>
      <c r="U531" s="19"/>
      <c r="V531" s="19"/>
      <c r="W531" s="19"/>
      <c r="X531" s="19"/>
    </row>
    <row r="532" ht="14.25" customHeight="1">
      <c r="R532" s="19"/>
      <c r="S532" s="19"/>
      <c r="T532" s="19"/>
      <c r="U532" s="19"/>
      <c r="V532" s="19"/>
      <c r="W532" s="19"/>
      <c r="X532" s="19"/>
    </row>
    <row r="533" ht="14.25" customHeight="1">
      <c r="R533" s="19"/>
      <c r="S533" s="19"/>
      <c r="T533" s="19"/>
      <c r="U533" s="19"/>
      <c r="V533" s="19"/>
      <c r="W533" s="19"/>
      <c r="X533" s="19"/>
    </row>
    <row r="534" ht="14.25" customHeight="1">
      <c r="R534" s="19"/>
      <c r="S534" s="19"/>
      <c r="T534" s="19"/>
      <c r="U534" s="19"/>
      <c r="V534" s="19"/>
      <c r="W534" s="19"/>
      <c r="X534" s="19"/>
    </row>
    <row r="535" ht="14.25" customHeight="1">
      <c r="R535" s="19"/>
      <c r="S535" s="19"/>
      <c r="T535" s="19"/>
      <c r="U535" s="19"/>
      <c r="V535" s="19"/>
      <c r="W535" s="19"/>
      <c r="X535" s="19"/>
    </row>
    <row r="536" ht="14.25" customHeight="1">
      <c r="R536" s="19"/>
      <c r="S536" s="19"/>
      <c r="T536" s="19"/>
      <c r="U536" s="19"/>
      <c r="V536" s="19"/>
      <c r="W536" s="19"/>
      <c r="X536" s="19"/>
    </row>
    <row r="537" ht="14.25" customHeight="1">
      <c r="R537" s="19"/>
      <c r="S537" s="19"/>
      <c r="T537" s="19"/>
      <c r="U537" s="19"/>
      <c r="V537" s="19"/>
      <c r="W537" s="19"/>
      <c r="X537" s="19"/>
    </row>
    <row r="538" ht="14.25" customHeight="1">
      <c r="R538" s="19"/>
      <c r="S538" s="19"/>
      <c r="T538" s="19"/>
      <c r="U538" s="19"/>
      <c r="V538" s="19"/>
      <c r="W538" s="19"/>
      <c r="X538" s="19"/>
    </row>
    <row r="539" ht="14.25" customHeight="1">
      <c r="R539" s="19"/>
      <c r="S539" s="19"/>
      <c r="T539" s="19"/>
      <c r="U539" s="19"/>
      <c r="V539" s="19"/>
      <c r="W539" s="19"/>
      <c r="X539" s="19"/>
    </row>
    <row r="540" ht="14.25" customHeight="1">
      <c r="R540" s="19"/>
      <c r="S540" s="19"/>
      <c r="T540" s="19"/>
      <c r="U540" s="19"/>
      <c r="V540" s="19"/>
      <c r="W540" s="19"/>
      <c r="X540" s="19"/>
    </row>
    <row r="541" ht="14.25" customHeight="1">
      <c r="R541" s="19"/>
      <c r="S541" s="19"/>
      <c r="T541" s="19"/>
      <c r="U541" s="19"/>
      <c r="V541" s="19"/>
      <c r="W541" s="19"/>
      <c r="X541" s="19"/>
    </row>
    <row r="542" ht="14.25" customHeight="1">
      <c r="R542" s="19"/>
      <c r="S542" s="19"/>
      <c r="T542" s="19"/>
      <c r="U542" s="19"/>
      <c r="V542" s="19"/>
      <c r="W542" s="19"/>
      <c r="X542" s="19"/>
    </row>
    <row r="543" ht="14.25" customHeight="1">
      <c r="R543" s="19"/>
      <c r="S543" s="19"/>
      <c r="T543" s="19"/>
      <c r="U543" s="19"/>
      <c r="V543" s="19"/>
      <c r="W543" s="19"/>
      <c r="X543" s="19"/>
    </row>
    <row r="544" ht="14.25" customHeight="1">
      <c r="R544" s="19"/>
      <c r="S544" s="19"/>
      <c r="T544" s="19"/>
      <c r="U544" s="19"/>
      <c r="V544" s="19"/>
      <c r="W544" s="19"/>
      <c r="X544" s="19"/>
    </row>
    <row r="545" ht="14.25" customHeight="1">
      <c r="R545" s="19"/>
      <c r="S545" s="19"/>
      <c r="T545" s="19"/>
      <c r="U545" s="19"/>
      <c r="V545" s="19"/>
      <c r="W545" s="19"/>
      <c r="X545" s="19"/>
    </row>
    <row r="546" ht="14.25" customHeight="1">
      <c r="R546" s="19"/>
      <c r="S546" s="19"/>
      <c r="T546" s="19"/>
      <c r="U546" s="19"/>
      <c r="V546" s="19"/>
      <c r="W546" s="19"/>
      <c r="X546" s="19"/>
    </row>
    <row r="547" ht="14.25" customHeight="1">
      <c r="R547" s="19"/>
      <c r="S547" s="19"/>
      <c r="T547" s="19"/>
      <c r="U547" s="19"/>
      <c r="V547" s="19"/>
      <c r="W547" s="19"/>
      <c r="X547" s="19"/>
    </row>
    <row r="548" ht="14.25" customHeight="1">
      <c r="R548" s="19"/>
      <c r="S548" s="19"/>
      <c r="T548" s="19"/>
      <c r="U548" s="19"/>
      <c r="V548" s="19"/>
      <c r="W548" s="19"/>
      <c r="X548" s="19"/>
    </row>
    <row r="549" ht="14.25" customHeight="1">
      <c r="R549" s="19"/>
      <c r="S549" s="19"/>
      <c r="T549" s="19"/>
      <c r="U549" s="19"/>
      <c r="V549" s="19"/>
      <c r="W549" s="19"/>
      <c r="X549" s="19"/>
    </row>
    <row r="550" ht="14.25" customHeight="1">
      <c r="R550" s="19"/>
      <c r="S550" s="19"/>
      <c r="T550" s="19"/>
      <c r="U550" s="19"/>
      <c r="V550" s="19"/>
      <c r="W550" s="19"/>
      <c r="X550" s="19"/>
    </row>
    <row r="551" ht="14.25" customHeight="1">
      <c r="R551" s="19"/>
      <c r="S551" s="19"/>
      <c r="T551" s="19"/>
      <c r="U551" s="19"/>
      <c r="V551" s="19"/>
      <c r="W551" s="19"/>
      <c r="X551" s="19"/>
    </row>
    <row r="552" ht="14.25" customHeight="1">
      <c r="R552" s="19"/>
      <c r="S552" s="19"/>
      <c r="T552" s="19"/>
      <c r="U552" s="19"/>
      <c r="V552" s="19"/>
      <c r="W552" s="19"/>
      <c r="X552" s="19"/>
    </row>
    <row r="553" ht="14.25" customHeight="1">
      <c r="R553" s="19"/>
      <c r="S553" s="19"/>
      <c r="T553" s="19"/>
      <c r="U553" s="19"/>
      <c r="V553" s="19"/>
      <c r="W553" s="19"/>
      <c r="X553" s="19"/>
    </row>
    <row r="554" ht="14.25" customHeight="1">
      <c r="R554" s="19"/>
      <c r="S554" s="19"/>
      <c r="T554" s="19"/>
      <c r="U554" s="19"/>
      <c r="V554" s="19"/>
      <c r="W554" s="19"/>
      <c r="X554" s="19"/>
    </row>
    <row r="555" ht="14.25" customHeight="1">
      <c r="R555" s="19"/>
      <c r="S555" s="19"/>
      <c r="T555" s="19"/>
      <c r="U555" s="19"/>
      <c r="V555" s="19"/>
      <c r="W555" s="19"/>
      <c r="X555" s="19"/>
    </row>
    <row r="556" ht="14.25" customHeight="1">
      <c r="R556" s="19"/>
      <c r="S556" s="19"/>
      <c r="T556" s="19"/>
      <c r="U556" s="19"/>
      <c r="V556" s="19"/>
      <c r="W556" s="19"/>
      <c r="X556" s="19"/>
    </row>
    <row r="557" ht="14.25" customHeight="1">
      <c r="R557" s="19"/>
      <c r="S557" s="19"/>
      <c r="T557" s="19"/>
      <c r="U557" s="19"/>
      <c r="V557" s="19"/>
      <c r="W557" s="19"/>
      <c r="X557" s="19"/>
    </row>
    <row r="558" ht="14.25" customHeight="1">
      <c r="R558" s="19"/>
      <c r="S558" s="19"/>
      <c r="T558" s="19"/>
      <c r="U558" s="19"/>
      <c r="V558" s="19"/>
      <c r="W558" s="19"/>
      <c r="X558" s="19"/>
    </row>
    <row r="559" ht="14.25" customHeight="1">
      <c r="R559" s="19"/>
      <c r="S559" s="19"/>
      <c r="T559" s="19"/>
      <c r="U559" s="19"/>
      <c r="V559" s="19"/>
      <c r="W559" s="19"/>
      <c r="X559" s="19"/>
    </row>
    <row r="560" ht="14.25" customHeight="1">
      <c r="R560" s="19"/>
      <c r="S560" s="19"/>
      <c r="T560" s="19"/>
      <c r="U560" s="19"/>
      <c r="V560" s="19"/>
      <c r="W560" s="19"/>
      <c r="X560" s="19"/>
    </row>
    <row r="561" ht="14.25" customHeight="1">
      <c r="R561" s="19"/>
      <c r="S561" s="19"/>
      <c r="T561" s="19"/>
      <c r="U561" s="19"/>
      <c r="V561" s="19"/>
      <c r="W561" s="19"/>
      <c r="X561" s="19"/>
    </row>
    <row r="562" ht="14.25" customHeight="1">
      <c r="R562" s="19"/>
      <c r="S562" s="19"/>
      <c r="T562" s="19"/>
      <c r="U562" s="19"/>
      <c r="V562" s="19"/>
      <c r="W562" s="19"/>
      <c r="X562" s="19"/>
    </row>
    <row r="563" ht="14.25" customHeight="1">
      <c r="R563" s="19"/>
      <c r="S563" s="19"/>
      <c r="T563" s="19"/>
      <c r="U563" s="19"/>
      <c r="V563" s="19"/>
      <c r="W563" s="19"/>
      <c r="X563" s="19"/>
    </row>
    <row r="564" ht="14.25" customHeight="1">
      <c r="R564" s="19"/>
      <c r="S564" s="19"/>
      <c r="T564" s="19"/>
      <c r="U564" s="19"/>
      <c r="V564" s="19"/>
      <c r="W564" s="19"/>
      <c r="X564" s="19"/>
    </row>
    <row r="565" ht="14.25" customHeight="1">
      <c r="R565" s="19"/>
      <c r="S565" s="19"/>
      <c r="T565" s="19"/>
      <c r="U565" s="19"/>
      <c r="V565" s="19"/>
      <c r="W565" s="19"/>
      <c r="X565" s="19"/>
    </row>
    <row r="566" ht="14.25" customHeight="1">
      <c r="R566" s="19"/>
      <c r="S566" s="19"/>
      <c r="T566" s="19"/>
      <c r="U566" s="19"/>
      <c r="V566" s="19"/>
      <c r="W566" s="19"/>
      <c r="X566" s="19"/>
    </row>
    <row r="567" ht="14.25" customHeight="1">
      <c r="R567" s="19"/>
      <c r="S567" s="19"/>
      <c r="T567" s="19"/>
      <c r="U567" s="19"/>
      <c r="V567" s="19"/>
      <c r="W567" s="19"/>
      <c r="X567" s="19"/>
    </row>
    <row r="568" ht="14.25" customHeight="1">
      <c r="R568" s="19"/>
      <c r="S568" s="19"/>
      <c r="T568" s="19"/>
      <c r="U568" s="19"/>
      <c r="V568" s="19"/>
      <c r="W568" s="19"/>
      <c r="X568" s="19"/>
    </row>
    <row r="569" ht="14.25" customHeight="1">
      <c r="R569" s="19"/>
      <c r="S569" s="19"/>
      <c r="T569" s="19"/>
      <c r="U569" s="19"/>
      <c r="V569" s="19"/>
      <c r="W569" s="19"/>
      <c r="X569" s="19"/>
    </row>
    <row r="570" ht="14.25" customHeight="1">
      <c r="R570" s="19"/>
      <c r="S570" s="19"/>
      <c r="T570" s="19"/>
      <c r="U570" s="19"/>
      <c r="V570" s="19"/>
      <c r="W570" s="19"/>
      <c r="X570" s="19"/>
    </row>
    <row r="571" ht="14.25" customHeight="1">
      <c r="R571" s="19"/>
      <c r="S571" s="19"/>
      <c r="T571" s="19"/>
      <c r="U571" s="19"/>
      <c r="V571" s="19"/>
      <c r="W571" s="19"/>
      <c r="X571" s="19"/>
    </row>
    <row r="572" ht="14.25" customHeight="1">
      <c r="R572" s="19"/>
      <c r="S572" s="19"/>
      <c r="T572" s="19"/>
      <c r="U572" s="19"/>
      <c r="V572" s="19"/>
      <c r="W572" s="19"/>
      <c r="X572" s="19"/>
    </row>
    <row r="573" ht="14.25" customHeight="1">
      <c r="R573" s="19"/>
      <c r="S573" s="19"/>
      <c r="T573" s="19"/>
      <c r="U573" s="19"/>
      <c r="V573" s="19"/>
      <c r="W573" s="19"/>
      <c r="X573" s="19"/>
    </row>
    <row r="574" ht="14.25" customHeight="1">
      <c r="R574" s="19"/>
      <c r="S574" s="19"/>
      <c r="T574" s="19"/>
      <c r="U574" s="19"/>
      <c r="V574" s="19"/>
      <c r="W574" s="19"/>
      <c r="X574" s="19"/>
    </row>
    <row r="575" ht="14.25" customHeight="1">
      <c r="R575" s="19"/>
      <c r="S575" s="19"/>
      <c r="T575" s="19"/>
      <c r="U575" s="19"/>
      <c r="V575" s="19"/>
      <c r="W575" s="19"/>
      <c r="X575" s="19"/>
    </row>
    <row r="576" ht="14.25" customHeight="1">
      <c r="R576" s="19"/>
      <c r="S576" s="19"/>
      <c r="T576" s="19"/>
      <c r="U576" s="19"/>
      <c r="V576" s="19"/>
      <c r="W576" s="19"/>
      <c r="X576" s="19"/>
    </row>
    <row r="577" ht="14.25" customHeight="1">
      <c r="R577" s="19"/>
      <c r="S577" s="19"/>
      <c r="T577" s="19"/>
      <c r="U577" s="19"/>
      <c r="V577" s="19"/>
      <c r="W577" s="19"/>
      <c r="X577" s="19"/>
    </row>
    <row r="578" ht="14.25" customHeight="1">
      <c r="R578" s="19"/>
      <c r="S578" s="19"/>
      <c r="T578" s="19"/>
      <c r="U578" s="19"/>
      <c r="V578" s="19"/>
      <c r="W578" s="19"/>
      <c r="X578" s="19"/>
    </row>
    <row r="579" ht="14.25" customHeight="1">
      <c r="R579" s="19"/>
      <c r="S579" s="19"/>
      <c r="T579" s="19"/>
      <c r="U579" s="19"/>
      <c r="V579" s="19"/>
      <c r="W579" s="19"/>
      <c r="X579" s="19"/>
    </row>
    <row r="580" ht="14.25" customHeight="1">
      <c r="R580" s="19"/>
      <c r="S580" s="19"/>
      <c r="T580" s="19"/>
      <c r="U580" s="19"/>
      <c r="V580" s="19"/>
      <c r="W580" s="19"/>
      <c r="X580" s="19"/>
    </row>
    <row r="581" ht="14.25" customHeight="1">
      <c r="R581" s="19"/>
      <c r="S581" s="19"/>
      <c r="T581" s="19"/>
      <c r="U581" s="19"/>
      <c r="V581" s="19"/>
      <c r="W581" s="19"/>
      <c r="X581" s="19"/>
    </row>
    <row r="582" ht="14.25" customHeight="1">
      <c r="R582" s="19"/>
      <c r="S582" s="19"/>
      <c r="T582" s="19"/>
      <c r="U582" s="19"/>
      <c r="V582" s="19"/>
      <c r="W582" s="19"/>
      <c r="X582" s="19"/>
    </row>
    <row r="583" ht="14.25" customHeight="1">
      <c r="R583" s="19"/>
      <c r="S583" s="19"/>
      <c r="T583" s="19"/>
      <c r="U583" s="19"/>
      <c r="V583" s="19"/>
      <c r="W583" s="19"/>
      <c r="X583" s="19"/>
    </row>
    <row r="584" ht="14.25" customHeight="1">
      <c r="R584" s="19"/>
      <c r="S584" s="19"/>
      <c r="T584" s="19"/>
      <c r="U584" s="19"/>
      <c r="V584" s="19"/>
      <c r="W584" s="19"/>
      <c r="X584" s="19"/>
    </row>
    <row r="585" ht="14.25" customHeight="1">
      <c r="R585" s="19"/>
      <c r="S585" s="19"/>
      <c r="T585" s="19"/>
      <c r="U585" s="19"/>
      <c r="V585" s="19"/>
      <c r="W585" s="19"/>
      <c r="X585" s="19"/>
    </row>
    <row r="586" ht="14.25" customHeight="1">
      <c r="R586" s="19"/>
      <c r="S586" s="19"/>
      <c r="T586" s="19"/>
      <c r="U586" s="19"/>
      <c r="V586" s="19"/>
      <c r="W586" s="19"/>
      <c r="X586" s="19"/>
    </row>
    <row r="587" ht="14.25" customHeight="1">
      <c r="R587" s="19"/>
      <c r="S587" s="19"/>
      <c r="T587" s="19"/>
      <c r="U587" s="19"/>
      <c r="V587" s="19"/>
      <c r="W587" s="19"/>
      <c r="X587" s="19"/>
    </row>
    <row r="588" ht="14.25" customHeight="1">
      <c r="R588" s="19"/>
      <c r="S588" s="19"/>
      <c r="T588" s="19"/>
      <c r="U588" s="19"/>
      <c r="V588" s="19"/>
      <c r="W588" s="19"/>
      <c r="X588" s="19"/>
    </row>
    <row r="589" ht="14.25" customHeight="1">
      <c r="R589" s="19"/>
      <c r="S589" s="19"/>
      <c r="T589" s="19"/>
      <c r="U589" s="19"/>
      <c r="V589" s="19"/>
      <c r="W589" s="19"/>
      <c r="X589" s="19"/>
    </row>
    <row r="590" ht="14.25" customHeight="1">
      <c r="R590" s="19"/>
      <c r="S590" s="19"/>
      <c r="T590" s="19"/>
      <c r="U590" s="19"/>
      <c r="V590" s="19"/>
      <c r="W590" s="19"/>
      <c r="X590" s="19"/>
    </row>
    <row r="591" ht="14.25" customHeight="1">
      <c r="R591" s="19"/>
      <c r="S591" s="19"/>
      <c r="T591" s="19"/>
      <c r="U591" s="19"/>
      <c r="V591" s="19"/>
      <c r="W591" s="19"/>
      <c r="X591" s="19"/>
    </row>
    <row r="592" ht="14.25" customHeight="1">
      <c r="R592" s="19"/>
      <c r="S592" s="19"/>
      <c r="T592" s="19"/>
      <c r="U592" s="19"/>
      <c r="V592" s="19"/>
      <c r="W592" s="19"/>
      <c r="X592" s="19"/>
    </row>
    <row r="593" ht="14.25" customHeight="1">
      <c r="R593" s="19"/>
      <c r="S593" s="19"/>
      <c r="T593" s="19"/>
      <c r="U593" s="19"/>
      <c r="V593" s="19"/>
      <c r="W593" s="19"/>
      <c r="X593" s="19"/>
    </row>
    <row r="594" ht="14.25" customHeight="1">
      <c r="R594" s="19"/>
      <c r="S594" s="19"/>
      <c r="T594" s="19"/>
      <c r="U594" s="19"/>
      <c r="V594" s="19"/>
      <c r="W594" s="19"/>
      <c r="X594" s="19"/>
    </row>
    <row r="595" ht="14.25" customHeight="1">
      <c r="R595" s="19"/>
      <c r="S595" s="19"/>
      <c r="T595" s="19"/>
      <c r="U595" s="19"/>
      <c r="V595" s="19"/>
      <c r="W595" s="19"/>
      <c r="X595" s="19"/>
    </row>
    <row r="596" ht="14.25" customHeight="1">
      <c r="R596" s="19"/>
      <c r="S596" s="19"/>
      <c r="T596" s="19"/>
      <c r="U596" s="19"/>
      <c r="V596" s="19"/>
      <c r="W596" s="19"/>
      <c r="X596" s="19"/>
    </row>
    <row r="597" ht="14.25" customHeight="1">
      <c r="R597" s="19"/>
      <c r="S597" s="19"/>
      <c r="T597" s="19"/>
      <c r="U597" s="19"/>
      <c r="V597" s="19"/>
      <c r="W597" s="19"/>
      <c r="X597" s="19"/>
    </row>
    <row r="598" ht="14.25" customHeight="1">
      <c r="R598" s="19"/>
      <c r="S598" s="19"/>
      <c r="T598" s="19"/>
      <c r="U598" s="19"/>
      <c r="V598" s="19"/>
      <c r="W598" s="19"/>
      <c r="X598" s="19"/>
    </row>
    <row r="599" ht="14.25" customHeight="1">
      <c r="R599" s="19"/>
      <c r="S599" s="19"/>
      <c r="T599" s="19"/>
      <c r="U599" s="19"/>
      <c r="V599" s="19"/>
      <c r="W599" s="19"/>
      <c r="X599" s="19"/>
    </row>
    <row r="600" ht="14.25" customHeight="1">
      <c r="R600" s="19"/>
      <c r="S600" s="19"/>
      <c r="T600" s="19"/>
      <c r="U600" s="19"/>
      <c r="V600" s="19"/>
      <c r="W600" s="19"/>
      <c r="X600" s="19"/>
    </row>
    <row r="601" ht="14.25" customHeight="1">
      <c r="R601" s="19"/>
      <c r="S601" s="19"/>
      <c r="T601" s="19"/>
      <c r="U601" s="19"/>
      <c r="V601" s="19"/>
      <c r="W601" s="19"/>
      <c r="X601" s="19"/>
    </row>
    <row r="602" ht="14.25" customHeight="1">
      <c r="R602" s="19"/>
      <c r="S602" s="19"/>
      <c r="T602" s="19"/>
      <c r="U602" s="19"/>
      <c r="V602" s="19"/>
      <c r="W602" s="19"/>
      <c r="X602" s="19"/>
    </row>
    <row r="603" ht="14.25" customHeight="1">
      <c r="R603" s="19"/>
      <c r="S603" s="19"/>
      <c r="T603" s="19"/>
      <c r="U603" s="19"/>
      <c r="V603" s="19"/>
      <c r="W603" s="19"/>
      <c r="X603" s="19"/>
    </row>
    <row r="604" ht="14.25" customHeight="1">
      <c r="R604" s="19"/>
      <c r="S604" s="19"/>
      <c r="T604" s="19"/>
      <c r="U604" s="19"/>
      <c r="V604" s="19"/>
      <c r="W604" s="19"/>
      <c r="X604" s="19"/>
    </row>
    <row r="605" ht="14.25" customHeight="1">
      <c r="R605" s="19"/>
      <c r="S605" s="19"/>
      <c r="T605" s="19"/>
      <c r="U605" s="19"/>
      <c r="V605" s="19"/>
      <c r="W605" s="19"/>
      <c r="X605" s="19"/>
    </row>
    <row r="606" ht="14.25" customHeight="1">
      <c r="R606" s="19"/>
      <c r="S606" s="19"/>
      <c r="T606" s="19"/>
      <c r="U606" s="19"/>
      <c r="V606" s="19"/>
      <c r="W606" s="19"/>
      <c r="X606" s="19"/>
    </row>
    <row r="607" ht="14.25" customHeight="1">
      <c r="R607" s="19"/>
      <c r="S607" s="19"/>
      <c r="T607" s="19"/>
      <c r="U607" s="19"/>
      <c r="V607" s="19"/>
      <c r="W607" s="19"/>
      <c r="X607" s="19"/>
    </row>
    <row r="608" ht="14.25" customHeight="1">
      <c r="R608" s="19"/>
      <c r="S608" s="19"/>
      <c r="T608" s="19"/>
      <c r="U608" s="19"/>
      <c r="V608" s="19"/>
      <c r="W608" s="19"/>
      <c r="X608" s="19"/>
    </row>
    <row r="609" ht="14.25" customHeight="1">
      <c r="R609" s="19"/>
      <c r="S609" s="19"/>
      <c r="T609" s="19"/>
      <c r="U609" s="19"/>
      <c r="V609" s="19"/>
      <c r="W609" s="19"/>
      <c r="X609" s="19"/>
    </row>
    <row r="610" ht="14.25" customHeight="1">
      <c r="R610" s="19"/>
      <c r="S610" s="19"/>
      <c r="T610" s="19"/>
      <c r="U610" s="19"/>
      <c r="V610" s="19"/>
      <c r="W610" s="19"/>
      <c r="X610" s="19"/>
    </row>
    <row r="611" ht="14.25" customHeight="1">
      <c r="R611" s="19"/>
      <c r="S611" s="19"/>
      <c r="T611" s="19"/>
      <c r="U611" s="19"/>
      <c r="V611" s="19"/>
      <c r="W611" s="19"/>
      <c r="X611" s="19"/>
    </row>
    <row r="612" ht="14.25" customHeight="1">
      <c r="R612" s="19"/>
      <c r="S612" s="19"/>
      <c r="T612" s="19"/>
      <c r="U612" s="19"/>
      <c r="V612" s="19"/>
      <c r="W612" s="19"/>
      <c r="X612" s="19"/>
    </row>
    <row r="613" ht="14.25" customHeight="1">
      <c r="R613" s="19"/>
      <c r="S613" s="19"/>
      <c r="T613" s="19"/>
      <c r="U613" s="19"/>
      <c r="V613" s="19"/>
      <c r="W613" s="19"/>
      <c r="X613" s="19"/>
    </row>
    <row r="614" ht="14.25" customHeight="1">
      <c r="R614" s="19"/>
      <c r="S614" s="19"/>
      <c r="T614" s="19"/>
      <c r="U614" s="19"/>
      <c r="V614" s="19"/>
      <c r="W614" s="19"/>
      <c r="X614" s="19"/>
    </row>
    <row r="615" ht="14.25" customHeight="1">
      <c r="R615" s="19"/>
      <c r="S615" s="19"/>
      <c r="T615" s="19"/>
      <c r="U615" s="19"/>
      <c r="V615" s="19"/>
      <c r="W615" s="19"/>
      <c r="X615" s="19"/>
    </row>
    <row r="616" ht="14.25" customHeight="1">
      <c r="R616" s="19"/>
      <c r="S616" s="19"/>
      <c r="T616" s="19"/>
      <c r="U616" s="19"/>
      <c r="V616" s="19"/>
      <c r="W616" s="19"/>
      <c r="X616" s="19"/>
    </row>
    <row r="617" ht="14.25" customHeight="1">
      <c r="R617" s="19"/>
      <c r="S617" s="19"/>
      <c r="T617" s="19"/>
      <c r="U617" s="19"/>
      <c r="V617" s="19"/>
      <c r="W617" s="19"/>
      <c r="X617" s="19"/>
    </row>
    <row r="618" ht="14.25" customHeight="1">
      <c r="R618" s="19"/>
      <c r="S618" s="19"/>
      <c r="T618" s="19"/>
      <c r="U618" s="19"/>
      <c r="V618" s="19"/>
      <c r="W618" s="19"/>
      <c r="X618" s="19"/>
    </row>
    <row r="619" ht="14.25" customHeight="1">
      <c r="R619" s="19"/>
      <c r="S619" s="19"/>
      <c r="T619" s="19"/>
      <c r="U619" s="19"/>
      <c r="V619" s="19"/>
      <c r="W619" s="19"/>
      <c r="X619" s="19"/>
    </row>
    <row r="620" ht="14.25" customHeight="1">
      <c r="R620" s="19"/>
      <c r="S620" s="19"/>
      <c r="T620" s="19"/>
      <c r="U620" s="19"/>
      <c r="V620" s="19"/>
      <c r="W620" s="19"/>
      <c r="X620" s="19"/>
    </row>
    <row r="621" ht="14.25" customHeight="1">
      <c r="R621" s="19"/>
      <c r="S621" s="19"/>
      <c r="T621" s="19"/>
      <c r="U621" s="19"/>
      <c r="V621" s="19"/>
      <c r="W621" s="19"/>
      <c r="X621" s="19"/>
    </row>
    <row r="622" ht="14.25" customHeight="1">
      <c r="R622" s="19"/>
      <c r="S622" s="19"/>
      <c r="T622" s="19"/>
      <c r="U622" s="19"/>
      <c r="V622" s="19"/>
      <c r="W622" s="19"/>
      <c r="X622" s="19"/>
    </row>
    <row r="623" ht="14.25" customHeight="1">
      <c r="R623" s="19"/>
      <c r="S623" s="19"/>
      <c r="T623" s="19"/>
      <c r="U623" s="19"/>
      <c r="V623" s="19"/>
      <c r="W623" s="19"/>
      <c r="X623" s="19"/>
    </row>
    <row r="624" ht="14.25" customHeight="1">
      <c r="R624" s="19"/>
      <c r="S624" s="19"/>
      <c r="T624" s="19"/>
      <c r="U624" s="19"/>
      <c r="V624" s="19"/>
      <c r="W624" s="19"/>
      <c r="X624" s="19"/>
    </row>
    <row r="625" ht="14.25" customHeight="1">
      <c r="R625" s="19"/>
      <c r="S625" s="19"/>
      <c r="T625" s="19"/>
      <c r="U625" s="19"/>
      <c r="V625" s="19"/>
      <c r="W625" s="19"/>
      <c r="X625" s="19"/>
    </row>
    <row r="626" ht="14.25" customHeight="1">
      <c r="R626" s="19"/>
      <c r="S626" s="19"/>
      <c r="T626" s="19"/>
      <c r="U626" s="19"/>
      <c r="V626" s="19"/>
      <c r="W626" s="19"/>
      <c r="X626" s="19"/>
    </row>
    <row r="627" ht="14.25" customHeight="1">
      <c r="R627" s="19"/>
      <c r="S627" s="19"/>
      <c r="T627" s="19"/>
      <c r="U627" s="19"/>
      <c r="V627" s="19"/>
      <c r="W627" s="19"/>
      <c r="X627" s="19"/>
    </row>
    <row r="628" ht="14.25" customHeight="1">
      <c r="R628" s="19"/>
      <c r="S628" s="19"/>
      <c r="T628" s="19"/>
      <c r="U628" s="19"/>
      <c r="V628" s="19"/>
      <c r="W628" s="19"/>
      <c r="X628" s="19"/>
    </row>
    <row r="629" ht="14.25" customHeight="1">
      <c r="R629" s="19"/>
      <c r="S629" s="19"/>
      <c r="T629" s="19"/>
      <c r="U629" s="19"/>
      <c r="V629" s="19"/>
      <c r="W629" s="19"/>
      <c r="X629" s="19"/>
    </row>
    <row r="630" ht="14.25" customHeight="1">
      <c r="R630" s="19"/>
      <c r="S630" s="19"/>
      <c r="T630" s="19"/>
      <c r="U630" s="19"/>
      <c r="V630" s="19"/>
      <c r="W630" s="19"/>
      <c r="X630" s="19"/>
    </row>
    <row r="631" ht="14.25" customHeight="1">
      <c r="R631" s="19"/>
      <c r="S631" s="19"/>
      <c r="T631" s="19"/>
      <c r="U631" s="19"/>
      <c r="V631" s="19"/>
      <c r="W631" s="19"/>
      <c r="X631" s="19"/>
    </row>
    <row r="632" ht="14.25" customHeight="1">
      <c r="R632" s="19"/>
      <c r="S632" s="19"/>
      <c r="T632" s="19"/>
      <c r="U632" s="19"/>
      <c r="V632" s="19"/>
      <c r="W632" s="19"/>
      <c r="X632" s="19"/>
    </row>
    <row r="633" ht="14.25" customHeight="1">
      <c r="R633" s="19"/>
      <c r="S633" s="19"/>
      <c r="T633" s="19"/>
      <c r="U633" s="19"/>
      <c r="V633" s="19"/>
      <c r="W633" s="19"/>
      <c r="X633" s="19"/>
    </row>
    <row r="634" ht="14.25" customHeight="1">
      <c r="R634" s="19"/>
      <c r="S634" s="19"/>
      <c r="T634" s="19"/>
      <c r="U634" s="19"/>
      <c r="V634" s="19"/>
      <c r="W634" s="19"/>
      <c r="X634" s="19"/>
    </row>
    <row r="635" ht="14.25" customHeight="1">
      <c r="R635" s="19"/>
      <c r="S635" s="19"/>
      <c r="T635" s="19"/>
      <c r="U635" s="19"/>
      <c r="V635" s="19"/>
      <c r="W635" s="19"/>
      <c r="X635" s="19"/>
    </row>
    <row r="636" ht="14.25" customHeight="1">
      <c r="R636" s="19"/>
      <c r="S636" s="19"/>
      <c r="T636" s="19"/>
      <c r="U636" s="19"/>
      <c r="V636" s="19"/>
      <c r="W636" s="19"/>
      <c r="X636" s="19"/>
    </row>
    <row r="637" ht="14.25" customHeight="1">
      <c r="R637" s="19"/>
      <c r="S637" s="19"/>
      <c r="T637" s="19"/>
      <c r="U637" s="19"/>
      <c r="V637" s="19"/>
      <c r="W637" s="19"/>
      <c r="X637" s="19"/>
    </row>
    <row r="638" ht="14.25" customHeight="1">
      <c r="R638" s="19"/>
      <c r="S638" s="19"/>
      <c r="T638" s="19"/>
      <c r="U638" s="19"/>
      <c r="V638" s="19"/>
      <c r="W638" s="19"/>
      <c r="X638" s="19"/>
    </row>
    <row r="639" ht="14.25" customHeight="1">
      <c r="R639" s="19"/>
      <c r="S639" s="19"/>
      <c r="T639" s="19"/>
      <c r="U639" s="19"/>
      <c r="V639" s="19"/>
      <c r="W639" s="19"/>
      <c r="X639" s="19"/>
    </row>
    <row r="640" ht="14.25" customHeight="1">
      <c r="R640" s="19"/>
      <c r="S640" s="19"/>
      <c r="T640" s="19"/>
      <c r="U640" s="19"/>
      <c r="V640" s="19"/>
      <c r="W640" s="19"/>
      <c r="X640" s="19"/>
    </row>
    <row r="641" ht="14.25" customHeight="1">
      <c r="R641" s="19"/>
      <c r="S641" s="19"/>
      <c r="T641" s="19"/>
      <c r="U641" s="19"/>
      <c r="V641" s="19"/>
      <c r="W641" s="19"/>
      <c r="X641" s="19"/>
    </row>
    <row r="642" ht="14.25" customHeight="1">
      <c r="R642" s="19"/>
      <c r="S642" s="19"/>
      <c r="T642" s="19"/>
      <c r="U642" s="19"/>
      <c r="V642" s="19"/>
      <c r="W642" s="19"/>
      <c r="X642" s="19"/>
    </row>
    <row r="643" ht="14.25" customHeight="1">
      <c r="R643" s="19"/>
      <c r="S643" s="19"/>
      <c r="T643" s="19"/>
      <c r="U643" s="19"/>
      <c r="V643" s="19"/>
      <c r="W643" s="19"/>
      <c r="X643" s="19"/>
    </row>
    <row r="644" ht="14.25" customHeight="1">
      <c r="R644" s="19"/>
      <c r="S644" s="19"/>
      <c r="T644" s="19"/>
      <c r="U644" s="19"/>
      <c r="V644" s="19"/>
      <c r="W644" s="19"/>
      <c r="X644" s="19"/>
    </row>
    <row r="645" ht="14.25" customHeight="1">
      <c r="R645" s="19"/>
      <c r="S645" s="19"/>
      <c r="T645" s="19"/>
      <c r="U645" s="19"/>
      <c r="V645" s="19"/>
      <c r="W645" s="19"/>
      <c r="X645" s="19"/>
    </row>
    <row r="646" ht="14.25" customHeight="1">
      <c r="R646" s="19"/>
      <c r="S646" s="19"/>
      <c r="T646" s="19"/>
      <c r="U646" s="19"/>
      <c r="V646" s="19"/>
      <c r="W646" s="19"/>
      <c r="X646" s="19"/>
    </row>
    <row r="647" ht="14.25" customHeight="1">
      <c r="R647" s="19"/>
      <c r="S647" s="19"/>
      <c r="T647" s="19"/>
      <c r="U647" s="19"/>
      <c r="V647" s="19"/>
      <c r="W647" s="19"/>
      <c r="X647" s="19"/>
    </row>
    <row r="648" ht="14.25" customHeight="1">
      <c r="R648" s="19"/>
      <c r="S648" s="19"/>
      <c r="T648" s="19"/>
      <c r="U648" s="19"/>
      <c r="V648" s="19"/>
      <c r="W648" s="19"/>
      <c r="X648" s="19"/>
    </row>
    <row r="649" ht="14.25" customHeight="1">
      <c r="R649" s="19"/>
      <c r="S649" s="19"/>
      <c r="T649" s="19"/>
      <c r="U649" s="19"/>
      <c r="V649" s="19"/>
      <c r="W649" s="19"/>
      <c r="X649" s="19"/>
    </row>
    <row r="650" ht="14.25" customHeight="1">
      <c r="R650" s="19"/>
      <c r="S650" s="19"/>
      <c r="T650" s="19"/>
      <c r="U650" s="19"/>
      <c r="V650" s="19"/>
      <c r="W650" s="19"/>
      <c r="X650" s="19"/>
    </row>
    <row r="651" ht="14.25" customHeight="1">
      <c r="R651" s="19"/>
      <c r="S651" s="19"/>
      <c r="T651" s="19"/>
      <c r="U651" s="19"/>
      <c r="V651" s="19"/>
      <c r="W651" s="19"/>
      <c r="X651" s="19"/>
    </row>
    <row r="652" ht="14.25" customHeight="1">
      <c r="R652" s="19"/>
      <c r="S652" s="19"/>
      <c r="T652" s="19"/>
      <c r="U652" s="19"/>
      <c r="V652" s="19"/>
      <c r="W652" s="19"/>
      <c r="X652" s="19"/>
    </row>
    <row r="653" ht="14.25" customHeight="1">
      <c r="R653" s="19"/>
      <c r="S653" s="19"/>
      <c r="T653" s="19"/>
      <c r="U653" s="19"/>
      <c r="V653" s="19"/>
      <c r="W653" s="19"/>
      <c r="X653" s="19"/>
    </row>
    <row r="654" ht="14.25" customHeight="1">
      <c r="R654" s="19"/>
      <c r="S654" s="19"/>
      <c r="T654" s="19"/>
      <c r="U654" s="19"/>
      <c r="V654" s="19"/>
      <c r="W654" s="19"/>
      <c r="X654" s="19"/>
    </row>
    <row r="655" ht="14.25" customHeight="1">
      <c r="R655" s="19"/>
      <c r="S655" s="19"/>
      <c r="T655" s="19"/>
      <c r="U655" s="19"/>
      <c r="V655" s="19"/>
      <c r="W655" s="19"/>
      <c r="X655" s="19"/>
    </row>
    <row r="656" ht="14.25" customHeight="1">
      <c r="R656" s="19"/>
      <c r="S656" s="19"/>
      <c r="T656" s="19"/>
      <c r="U656" s="19"/>
      <c r="V656" s="19"/>
      <c r="W656" s="19"/>
      <c r="X656" s="19"/>
    </row>
    <row r="657" ht="14.25" customHeight="1">
      <c r="R657" s="19"/>
      <c r="S657" s="19"/>
      <c r="T657" s="19"/>
      <c r="U657" s="19"/>
      <c r="V657" s="19"/>
      <c r="W657" s="19"/>
      <c r="X657" s="19"/>
    </row>
    <row r="658" ht="14.25" customHeight="1">
      <c r="R658" s="19"/>
      <c r="S658" s="19"/>
      <c r="T658" s="19"/>
      <c r="U658" s="19"/>
      <c r="V658" s="19"/>
      <c r="W658" s="19"/>
      <c r="X658" s="19"/>
    </row>
    <row r="659" ht="14.25" customHeight="1">
      <c r="R659" s="19"/>
      <c r="S659" s="19"/>
      <c r="T659" s="19"/>
      <c r="U659" s="19"/>
      <c r="V659" s="19"/>
      <c r="W659" s="19"/>
      <c r="X659" s="19"/>
    </row>
    <row r="660" ht="14.25" customHeight="1">
      <c r="R660" s="19"/>
      <c r="S660" s="19"/>
      <c r="T660" s="19"/>
      <c r="U660" s="19"/>
      <c r="V660" s="19"/>
      <c r="W660" s="19"/>
      <c r="X660" s="19"/>
    </row>
    <row r="661" ht="14.25" customHeight="1">
      <c r="R661" s="19"/>
      <c r="S661" s="19"/>
      <c r="T661" s="19"/>
      <c r="U661" s="19"/>
      <c r="V661" s="19"/>
      <c r="W661" s="19"/>
      <c r="X661" s="19"/>
    </row>
    <row r="662" ht="14.25" customHeight="1">
      <c r="R662" s="19"/>
      <c r="S662" s="19"/>
      <c r="T662" s="19"/>
      <c r="U662" s="19"/>
      <c r="V662" s="19"/>
      <c r="W662" s="19"/>
      <c r="X662" s="19"/>
    </row>
    <row r="663" ht="14.25" customHeight="1">
      <c r="R663" s="19"/>
      <c r="S663" s="19"/>
      <c r="T663" s="19"/>
      <c r="U663" s="19"/>
      <c r="V663" s="19"/>
      <c r="W663" s="19"/>
      <c r="X663" s="19"/>
    </row>
    <row r="664" ht="14.25" customHeight="1">
      <c r="R664" s="19"/>
      <c r="S664" s="19"/>
      <c r="T664" s="19"/>
      <c r="U664" s="19"/>
      <c r="V664" s="19"/>
      <c r="W664" s="19"/>
      <c r="X664" s="19"/>
    </row>
    <row r="665" ht="14.25" customHeight="1">
      <c r="R665" s="19"/>
      <c r="S665" s="19"/>
      <c r="T665" s="19"/>
      <c r="U665" s="19"/>
      <c r="V665" s="19"/>
      <c r="W665" s="19"/>
      <c r="X665" s="19"/>
    </row>
    <row r="666" ht="14.25" customHeight="1">
      <c r="R666" s="19"/>
      <c r="S666" s="19"/>
      <c r="T666" s="19"/>
      <c r="U666" s="19"/>
      <c r="V666" s="19"/>
      <c r="W666" s="19"/>
      <c r="X666" s="19"/>
    </row>
    <row r="667" ht="14.25" customHeight="1">
      <c r="R667" s="19"/>
      <c r="S667" s="19"/>
      <c r="T667" s="19"/>
      <c r="U667" s="19"/>
      <c r="V667" s="19"/>
      <c r="W667" s="19"/>
      <c r="X667" s="19"/>
    </row>
    <row r="668" ht="14.25" customHeight="1">
      <c r="R668" s="19"/>
      <c r="S668" s="19"/>
      <c r="T668" s="19"/>
      <c r="U668" s="19"/>
      <c r="V668" s="19"/>
      <c r="W668" s="19"/>
      <c r="X668" s="19"/>
    </row>
    <row r="669" ht="14.25" customHeight="1">
      <c r="R669" s="19"/>
      <c r="S669" s="19"/>
      <c r="T669" s="19"/>
      <c r="U669" s="19"/>
      <c r="V669" s="19"/>
      <c r="W669" s="19"/>
      <c r="X669" s="19"/>
    </row>
    <row r="670" ht="14.25" customHeight="1">
      <c r="R670" s="19"/>
      <c r="S670" s="19"/>
      <c r="T670" s="19"/>
      <c r="U670" s="19"/>
      <c r="V670" s="19"/>
      <c r="W670" s="19"/>
      <c r="X670" s="19"/>
    </row>
    <row r="671" ht="14.25" customHeight="1">
      <c r="R671" s="19"/>
      <c r="S671" s="19"/>
      <c r="T671" s="19"/>
      <c r="U671" s="19"/>
      <c r="V671" s="19"/>
      <c r="W671" s="19"/>
      <c r="X671" s="19"/>
    </row>
    <row r="672" ht="14.25" customHeight="1">
      <c r="R672" s="19"/>
      <c r="S672" s="19"/>
      <c r="T672" s="19"/>
      <c r="U672" s="19"/>
      <c r="V672" s="19"/>
      <c r="W672" s="19"/>
      <c r="X672" s="19"/>
    </row>
    <row r="673" ht="14.25" customHeight="1">
      <c r="R673" s="19"/>
      <c r="S673" s="19"/>
      <c r="T673" s="19"/>
      <c r="U673" s="19"/>
      <c r="V673" s="19"/>
      <c r="W673" s="19"/>
      <c r="X673" s="19"/>
    </row>
    <row r="674" ht="14.25" customHeight="1">
      <c r="R674" s="19"/>
      <c r="S674" s="19"/>
      <c r="T674" s="19"/>
      <c r="U674" s="19"/>
      <c r="V674" s="19"/>
      <c r="W674" s="19"/>
      <c r="X674" s="19"/>
    </row>
    <row r="675" ht="14.25" customHeight="1">
      <c r="R675" s="19"/>
      <c r="S675" s="19"/>
      <c r="T675" s="19"/>
      <c r="U675" s="19"/>
      <c r="V675" s="19"/>
      <c r="W675" s="19"/>
      <c r="X675" s="19"/>
    </row>
    <row r="676" ht="14.25" customHeight="1">
      <c r="R676" s="19"/>
      <c r="S676" s="19"/>
      <c r="T676" s="19"/>
      <c r="U676" s="19"/>
      <c r="V676" s="19"/>
      <c r="W676" s="19"/>
      <c r="X676" s="19"/>
    </row>
    <row r="677" ht="14.25" customHeight="1">
      <c r="R677" s="19"/>
      <c r="S677" s="19"/>
      <c r="T677" s="19"/>
      <c r="U677" s="19"/>
      <c r="V677" s="19"/>
      <c r="W677" s="19"/>
      <c r="X677" s="19"/>
    </row>
    <row r="678" ht="14.25" customHeight="1">
      <c r="R678" s="19"/>
      <c r="S678" s="19"/>
      <c r="T678" s="19"/>
      <c r="U678" s="19"/>
      <c r="V678" s="19"/>
      <c r="W678" s="19"/>
      <c r="X678" s="19"/>
    </row>
    <row r="679" ht="14.25" customHeight="1">
      <c r="R679" s="19"/>
      <c r="S679" s="19"/>
      <c r="T679" s="19"/>
      <c r="U679" s="19"/>
      <c r="V679" s="19"/>
      <c r="W679" s="19"/>
      <c r="X679" s="19"/>
    </row>
    <row r="680" ht="14.25" customHeight="1">
      <c r="R680" s="19"/>
      <c r="S680" s="19"/>
      <c r="T680" s="19"/>
      <c r="U680" s="19"/>
      <c r="V680" s="19"/>
      <c r="W680" s="19"/>
      <c r="X680" s="19"/>
    </row>
    <row r="681" ht="14.25" customHeight="1">
      <c r="R681" s="19"/>
      <c r="S681" s="19"/>
      <c r="T681" s="19"/>
      <c r="U681" s="19"/>
      <c r="V681" s="19"/>
      <c r="W681" s="19"/>
      <c r="X681" s="19"/>
    </row>
    <row r="682" ht="14.25" customHeight="1">
      <c r="R682" s="19"/>
      <c r="S682" s="19"/>
      <c r="T682" s="19"/>
      <c r="U682" s="19"/>
      <c r="V682" s="19"/>
      <c r="W682" s="19"/>
      <c r="X682" s="19"/>
    </row>
    <row r="683" ht="14.25" customHeight="1">
      <c r="R683" s="19"/>
      <c r="S683" s="19"/>
      <c r="T683" s="19"/>
      <c r="U683" s="19"/>
      <c r="V683" s="19"/>
      <c r="W683" s="19"/>
      <c r="X683" s="19"/>
    </row>
    <row r="684" ht="14.25" customHeight="1">
      <c r="R684" s="19"/>
      <c r="S684" s="19"/>
      <c r="T684" s="19"/>
      <c r="U684" s="19"/>
      <c r="V684" s="19"/>
      <c r="W684" s="19"/>
      <c r="X684" s="19"/>
    </row>
    <row r="685" ht="14.25" customHeight="1">
      <c r="R685" s="19"/>
      <c r="S685" s="19"/>
      <c r="T685" s="19"/>
      <c r="U685" s="19"/>
      <c r="V685" s="19"/>
      <c r="W685" s="19"/>
      <c r="X685" s="19"/>
    </row>
    <row r="686" ht="14.25" customHeight="1">
      <c r="R686" s="19"/>
      <c r="S686" s="19"/>
      <c r="T686" s="19"/>
      <c r="U686" s="19"/>
      <c r="V686" s="19"/>
      <c r="W686" s="19"/>
      <c r="X686" s="19"/>
    </row>
    <row r="687" ht="14.25" customHeight="1">
      <c r="R687" s="19"/>
      <c r="S687" s="19"/>
      <c r="T687" s="19"/>
      <c r="U687" s="19"/>
      <c r="V687" s="19"/>
      <c r="W687" s="19"/>
      <c r="X687" s="19"/>
    </row>
    <row r="688" ht="14.25" customHeight="1">
      <c r="R688" s="19"/>
      <c r="S688" s="19"/>
      <c r="T688" s="19"/>
      <c r="U688" s="19"/>
      <c r="V688" s="19"/>
      <c r="W688" s="19"/>
      <c r="X688" s="19"/>
    </row>
    <row r="689" ht="14.25" customHeight="1">
      <c r="R689" s="19"/>
      <c r="S689" s="19"/>
      <c r="T689" s="19"/>
      <c r="U689" s="19"/>
      <c r="V689" s="19"/>
      <c r="W689" s="19"/>
      <c r="X689" s="19"/>
    </row>
    <row r="690" ht="14.25" customHeight="1">
      <c r="R690" s="19"/>
      <c r="S690" s="19"/>
      <c r="T690" s="19"/>
      <c r="U690" s="19"/>
      <c r="V690" s="19"/>
      <c r="W690" s="19"/>
      <c r="X690" s="19"/>
    </row>
    <row r="691" ht="14.25" customHeight="1">
      <c r="R691" s="19"/>
      <c r="S691" s="19"/>
      <c r="T691" s="19"/>
      <c r="U691" s="19"/>
      <c r="V691" s="19"/>
      <c r="W691" s="19"/>
      <c r="X691" s="19"/>
    </row>
    <row r="692" ht="14.25" customHeight="1">
      <c r="R692" s="19"/>
      <c r="S692" s="19"/>
      <c r="T692" s="19"/>
      <c r="U692" s="19"/>
      <c r="V692" s="19"/>
      <c r="W692" s="19"/>
      <c r="X692" s="19"/>
    </row>
    <row r="693" ht="14.25" customHeight="1">
      <c r="R693" s="19"/>
      <c r="S693" s="19"/>
      <c r="T693" s="19"/>
      <c r="U693" s="19"/>
      <c r="V693" s="19"/>
      <c r="W693" s="19"/>
      <c r="X693" s="19"/>
    </row>
    <row r="694" ht="14.25" customHeight="1">
      <c r="R694" s="19"/>
      <c r="S694" s="19"/>
      <c r="T694" s="19"/>
      <c r="U694" s="19"/>
      <c r="V694" s="19"/>
      <c r="W694" s="19"/>
      <c r="X694" s="19"/>
    </row>
    <row r="695" ht="14.25" customHeight="1">
      <c r="R695" s="19"/>
      <c r="S695" s="19"/>
      <c r="T695" s="19"/>
      <c r="U695" s="19"/>
      <c r="V695" s="19"/>
      <c r="W695" s="19"/>
      <c r="X695" s="19"/>
    </row>
    <row r="696" ht="14.25" customHeight="1">
      <c r="R696" s="19"/>
      <c r="S696" s="19"/>
      <c r="T696" s="19"/>
      <c r="U696" s="19"/>
      <c r="V696" s="19"/>
      <c r="W696" s="19"/>
      <c r="X696" s="19"/>
    </row>
    <row r="697" ht="14.25" customHeight="1">
      <c r="R697" s="19"/>
      <c r="S697" s="19"/>
      <c r="T697" s="19"/>
      <c r="U697" s="19"/>
      <c r="V697" s="19"/>
      <c r="W697" s="19"/>
      <c r="X697" s="19"/>
    </row>
    <row r="698" ht="14.25" customHeight="1">
      <c r="R698" s="19"/>
      <c r="S698" s="19"/>
      <c r="T698" s="19"/>
      <c r="U698" s="19"/>
      <c r="V698" s="19"/>
      <c r="W698" s="19"/>
      <c r="X698" s="19"/>
    </row>
    <row r="699" ht="14.25" customHeight="1">
      <c r="R699" s="19"/>
      <c r="S699" s="19"/>
      <c r="T699" s="19"/>
      <c r="U699" s="19"/>
      <c r="V699" s="19"/>
      <c r="W699" s="19"/>
      <c r="X699" s="19"/>
    </row>
    <row r="700" ht="14.25" customHeight="1">
      <c r="R700" s="19"/>
      <c r="S700" s="19"/>
      <c r="T700" s="19"/>
      <c r="U700" s="19"/>
      <c r="V700" s="19"/>
      <c r="W700" s="19"/>
      <c r="X700" s="19"/>
    </row>
    <row r="701" ht="14.25" customHeight="1">
      <c r="R701" s="19"/>
      <c r="S701" s="19"/>
      <c r="T701" s="19"/>
      <c r="U701" s="19"/>
      <c r="V701" s="19"/>
      <c r="W701" s="19"/>
      <c r="X701" s="19"/>
    </row>
    <row r="702" ht="14.25" customHeight="1">
      <c r="R702" s="19"/>
      <c r="S702" s="19"/>
      <c r="T702" s="19"/>
      <c r="U702" s="19"/>
      <c r="V702" s="19"/>
      <c r="W702" s="19"/>
      <c r="X702" s="19"/>
    </row>
    <row r="703" ht="14.25" customHeight="1">
      <c r="R703" s="19"/>
      <c r="S703" s="19"/>
      <c r="T703" s="19"/>
      <c r="U703" s="19"/>
      <c r="V703" s="19"/>
      <c r="W703" s="19"/>
      <c r="X703" s="19"/>
    </row>
    <row r="704" ht="14.25" customHeight="1">
      <c r="R704" s="19"/>
      <c r="S704" s="19"/>
      <c r="T704" s="19"/>
      <c r="U704" s="19"/>
      <c r="V704" s="19"/>
      <c r="W704" s="19"/>
      <c r="X704" s="19"/>
    </row>
    <row r="705" ht="14.25" customHeight="1">
      <c r="R705" s="19"/>
      <c r="S705" s="19"/>
      <c r="T705" s="19"/>
      <c r="U705" s="19"/>
      <c r="V705" s="19"/>
      <c r="W705" s="19"/>
      <c r="X705" s="19"/>
    </row>
    <row r="706" ht="14.25" customHeight="1">
      <c r="R706" s="19"/>
      <c r="S706" s="19"/>
      <c r="T706" s="19"/>
      <c r="U706" s="19"/>
      <c r="V706" s="19"/>
      <c r="W706" s="19"/>
      <c r="X706" s="19"/>
    </row>
    <row r="707" ht="14.25" customHeight="1">
      <c r="R707" s="19"/>
      <c r="S707" s="19"/>
      <c r="T707" s="19"/>
      <c r="U707" s="19"/>
      <c r="V707" s="19"/>
      <c r="W707" s="19"/>
      <c r="X707" s="19"/>
    </row>
    <row r="708" ht="14.25" customHeight="1">
      <c r="R708" s="19"/>
      <c r="S708" s="19"/>
      <c r="T708" s="19"/>
      <c r="U708" s="19"/>
      <c r="V708" s="19"/>
      <c r="W708" s="19"/>
      <c r="X708" s="19"/>
    </row>
    <row r="709" ht="14.25" customHeight="1">
      <c r="R709" s="19"/>
      <c r="S709" s="19"/>
      <c r="T709" s="19"/>
      <c r="U709" s="19"/>
      <c r="V709" s="19"/>
      <c r="W709" s="19"/>
      <c r="X709" s="19"/>
    </row>
    <row r="710" ht="14.25" customHeight="1">
      <c r="R710" s="19"/>
      <c r="S710" s="19"/>
      <c r="T710" s="19"/>
      <c r="U710" s="19"/>
      <c r="V710" s="19"/>
      <c r="W710" s="19"/>
      <c r="X710" s="19"/>
    </row>
    <row r="711" ht="14.25" customHeight="1">
      <c r="R711" s="19"/>
      <c r="S711" s="19"/>
      <c r="T711" s="19"/>
      <c r="U711" s="19"/>
      <c r="V711" s="19"/>
      <c r="W711" s="19"/>
      <c r="X711" s="19"/>
    </row>
    <row r="712" ht="14.25" customHeight="1">
      <c r="R712" s="19"/>
      <c r="S712" s="19"/>
      <c r="T712" s="19"/>
      <c r="U712" s="19"/>
      <c r="V712" s="19"/>
      <c r="W712" s="19"/>
      <c r="X712" s="19"/>
    </row>
    <row r="713" ht="14.25" customHeight="1">
      <c r="R713" s="19"/>
      <c r="S713" s="19"/>
      <c r="T713" s="19"/>
      <c r="U713" s="19"/>
      <c r="V713" s="19"/>
      <c r="W713" s="19"/>
      <c r="X713" s="19"/>
    </row>
    <row r="714" ht="14.25" customHeight="1">
      <c r="R714" s="19"/>
      <c r="S714" s="19"/>
      <c r="T714" s="19"/>
      <c r="U714" s="19"/>
      <c r="V714" s="19"/>
      <c r="W714" s="19"/>
      <c r="X714" s="19"/>
    </row>
    <row r="715" ht="14.25" customHeight="1">
      <c r="R715" s="19"/>
      <c r="S715" s="19"/>
      <c r="T715" s="19"/>
      <c r="U715" s="19"/>
      <c r="V715" s="19"/>
      <c r="W715" s="19"/>
      <c r="X715" s="19"/>
    </row>
    <row r="716" ht="14.25" customHeight="1">
      <c r="R716" s="19"/>
      <c r="S716" s="19"/>
      <c r="T716" s="19"/>
      <c r="U716" s="19"/>
      <c r="V716" s="19"/>
      <c r="W716" s="19"/>
      <c r="X716" s="19"/>
    </row>
    <row r="717" ht="14.25" customHeight="1">
      <c r="R717" s="19"/>
      <c r="S717" s="19"/>
      <c r="T717" s="19"/>
      <c r="U717" s="19"/>
      <c r="V717" s="19"/>
      <c r="W717" s="19"/>
      <c r="X717" s="19"/>
    </row>
    <row r="718" ht="14.25" customHeight="1">
      <c r="R718" s="19"/>
      <c r="S718" s="19"/>
      <c r="T718" s="19"/>
      <c r="U718" s="19"/>
      <c r="V718" s="19"/>
      <c r="W718" s="19"/>
      <c r="X718" s="19"/>
    </row>
    <row r="719" ht="14.25" customHeight="1">
      <c r="R719" s="19"/>
      <c r="S719" s="19"/>
      <c r="T719" s="19"/>
      <c r="U719" s="19"/>
      <c r="V719" s="19"/>
      <c r="W719" s="19"/>
      <c r="X719" s="19"/>
    </row>
    <row r="720" ht="14.25" customHeight="1">
      <c r="R720" s="19"/>
      <c r="S720" s="19"/>
      <c r="T720" s="19"/>
      <c r="U720" s="19"/>
      <c r="V720" s="19"/>
      <c r="W720" s="19"/>
      <c r="X720" s="19"/>
    </row>
    <row r="721" ht="14.25" customHeight="1">
      <c r="R721" s="19"/>
      <c r="S721" s="19"/>
      <c r="T721" s="19"/>
      <c r="U721" s="19"/>
      <c r="V721" s="19"/>
      <c r="W721" s="19"/>
      <c r="X721" s="19"/>
    </row>
    <row r="722" ht="14.25" customHeight="1">
      <c r="R722" s="19"/>
      <c r="S722" s="19"/>
      <c r="T722" s="19"/>
      <c r="U722" s="19"/>
      <c r="V722" s="19"/>
      <c r="W722" s="19"/>
      <c r="X722" s="19"/>
    </row>
    <row r="723" ht="14.25" customHeight="1">
      <c r="R723" s="19"/>
      <c r="S723" s="19"/>
      <c r="T723" s="19"/>
      <c r="U723" s="19"/>
      <c r="V723" s="19"/>
      <c r="W723" s="19"/>
      <c r="X723" s="19"/>
    </row>
    <row r="724" ht="14.25" customHeight="1">
      <c r="R724" s="19"/>
      <c r="S724" s="19"/>
      <c r="T724" s="19"/>
      <c r="U724" s="19"/>
      <c r="V724" s="19"/>
      <c r="W724" s="19"/>
      <c r="X724" s="19"/>
    </row>
    <row r="725" ht="14.25" customHeight="1">
      <c r="R725" s="19"/>
      <c r="S725" s="19"/>
      <c r="T725" s="19"/>
      <c r="U725" s="19"/>
      <c r="V725" s="19"/>
      <c r="W725" s="19"/>
      <c r="X725" s="19"/>
    </row>
    <row r="726" ht="14.25" customHeight="1">
      <c r="R726" s="19"/>
      <c r="S726" s="19"/>
      <c r="T726" s="19"/>
      <c r="U726" s="19"/>
      <c r="V726" s="19"/>
      <c r="W726" s="19"/>
      <c r="X726" s="19"/>
    </row>
    <row r="727" ht="14.25" customHeight="1">
      <c r="R727" s="19"/>
      <c r="S727" s="19"/>
      <c r="T727" s="19"/>
      <c r="U727" s="19"/>
      <c r="V727" s="19"/>
      <c r="W727" s="19"/>
      <c r="X727" s="19"/>
    </row>
    <row r="728" ht="14.25" customHeight="1">
      <c r="R728" s="19"/>
      <c r="S728" s="19"/>
      <c r="T728" s="19"/>
      <c r="U728" s="19"/>
      <c r="V728" s="19"/>
      <c r="W728" s="19"/>
      <c r="X728" s="19"/>
    </row>
    <row r="729" ht="14.25" customHeight="1">
      <c r="R729" s="19"/>
      <c r="S729" s="19"/>
      <c r="T729" s="19"/>
      <c r="U729" s="19"/>
      <c r="V729" s="19"/>
      <c r="W729" s="19"/>
      <c r="X729" s="19"/>
    </row>
    <row r="730" ht="14.25" customHeight="1">
      <c r="R730" s="19"/>
      <c r="S730" s="19"/>
      <c r="T730" s="19"/>
      <c r="U730" s="19"/>
      <c r="V730" s="19"/>
      <c r="W730" s="19"/>
      <c r="X730" s="19"/>
    </row>
    <row r="731" ht="14.25" customHeight="1">
      <c r="R731" s="19"/>
      <c r="S731" s="19"/>
      <c r="T731" s="19"/>
      <c r="U731" s="19"/>
      <c r="V731" s="19"/>
      <c r="W731" s="19"/>
      <c r="X731" s="19"/>
    </row>
    <row r="732" ht="14.25" customHeight="1">
      <c r="R732" s="19"/>
      <c r="S732" s="19"/>
      <c r="T732" s="19"/>
      <c r="U732" s="19"/>
      <c r="V732" s="19"/>
      <c r="W732" s="19"/>
      <c r="X732" s="19"/>
    </row>
    <row r="733" ht="14.25" customHeight="1">
      <c r="R733" s="19"/>
      <c r="S733" s="19"/>
      <c r="T733" s="19"/>
      <c r="U733" s="19"/>
      <c r="V733" s="19"/>
      <c r="W733" s="19"/>
      <c r="X733" s="19"/>
    </row>
    <row r="734" ht="14.25" customHeight="1">
      <c r="R734" s="19"/>
      <c r="S734" s="19"/>
      <c r="T734" s="19"/>
      <c r="U734" s="19"/>
      <c r="V734" s="19"/>
      <c r="W734" s="19"/>
      <c r="X734" s="19"/>
    </row>
    <row r="735" ht="14.25" customHeight="1">
      <c r="R735" s="19"/>
      <c r="S735" s="19"/>
      <c r="T735" s="19"/>
      <c r="U735" s="19"/>
      <c r="V735" s="19"/>
      <c r="W735" s="19"/>
      <c r="X735" s="19"/>
    </row>
    <row r="736" ht="14.25" customHeight="1">
      <c r="R736" s="19"/>
      <c r="S736" s="19"/>
      <c r="T736" s="19"/>
      <c r="U736" s="19"/>
      <c r="V736" s="19"/>
      <c r="W736" s="19"/>
      <c r="X736" s="19"/>
    </row>
    <row r="737" ht="14.25" customHeight="1">
      <c r="R737" s="19"/>
      <c r="S737" s="19"/>
      <c r="T737" s="19"/>
      <c r="U737" s="19"/>
      <c r="V737" s="19"/>
      <c r="W737" s="19"/>
      <c r="X737" s="19"/>
    </row>
    <row r="738" ht="14.25" customHeight="1">
      <c r="R738" s="19"/>
      <c r="S738" s="19"/>
      <c r="T738" s="19"/>
      <c r="U738" s="19"/>
      <c r="V738" s="19"/>
      <c r="W738" s="19"/>
      <c r="X738" s="19"/>
    </row>
    <row r="739" ht="14.25" customHeight="1">
      <c r="R739" s="19"/>
      <c r="S739" s="19"/>
      <c r="T739" s="19"/>
      <c r="U739" s="19"/>
      <c r="V739" s="19"/>
      <c r="W739" s="19"/>
      <c r="X739" s="19"/>
    </row>
    <row r="740" ht="14.25" customHeight="1">
      <c r="R740" s="19"/>
      <c r="S740" s="19"/>
      <c r="T740" s="19"/>
      <c r="U740" s="19"/>
      <c r="V740" s="19"/>
      <c r="W740" s="19"/>
      <c r="X740" s="19"/>
    </row>
    <row r="741" ht="14.25" customHeight="1">
      <c r="R741" s="19"/>
      <c r="S741" s="19"/>
      <c r="T741" s="19"/>
      <c r="U741" s="19"/>
      <c r="V741" s="19"/>
      <c r="W741" s="19"/>
      <c r="X741" s="19"/>
    </row>
    <row r="742" ht="14.25" customHeight="1">
      <c r="R742" s="19"/>
      <c r="S742" s="19"/>
      <c r="T742" s="19"/>
      <c r="U742" s="19"/>
      <c r="V742" s="19"/>
      <c r="W742" s="19"/>
      <c r="X742" s="19"/>
    </row>
    <row r="743" ht="14.25" customHeight="1">
      <c r="R743" s="19"/>
      <c r="S743" s="19"/>
      <c r="T743" s="19"/>
      <c r="U743" s="19"/>
      <c r="V743" s="19"/>
      <c r="W743" s="19"/>
      <c r="X743" s="19"/>
    </row>
    <row r="744" ht="14.25" customHeight="1">
      <c r="R744" s="19"/>
      <c r="S744" s="19"/>
      <c r="T744" s="19"/>
      <c r="U744" s="19"/>
      <c r="V744" s="19"/>
      <c r="W744" s="19"/>
      <c r="X744" s="19"/>
    </row>
    <row r="745" ht="14.25" customHeight="1">
      <c r="R745" s="19"/>
      <c r="S745" s="19"/>
      <c r="T745" s="19"/>
      <c r="U745" s="19"/>
      <c r="V745" s="19"/>
      <c r="W745" s="19"/>
      <c r="X745" s="19"/>
    </row>
    <row r="746" ht="14.25" customHeight="1">
      <c r="R746" s="19"/>
      <c r="S746" s="19"/>
      <c r="T746" s="19"/>
      <c r="U746" s="19"/>
      <c r="V746" s="19"/>
      <c r="W746" s="19"/>
      <c r="X746" s="19"/>
    </row>
    <row r="747" ht="14.25" customHeight="1">
      <c r="R747" s="19"/>
      <c r="S747" s="19"/>
      <c r="T747" s="19"/>
      <c r="U747" s="19"/>
      <c r="V747" s="19"/>
      <c r="W747" s="19"/>
      <c r="X747" s="19"/>
    </row>
    <row r="748" ht="14.25" customHeight="1">
      <c r="R748" s="19"/>
      <c r="S748" s="19"/>
      <c r="T748" s="19"/>
      <c r="U748" s="19"/>
      <c r="V748" s="19"/>
      <c r="W748" s="19"/>
      <c r="X748" s="19"/>
    </row>
    <row r="749" ht="14.25" customHeight="1">
      <c r="R749" s="19"/>
      <c r="S749" s="19"/>
      <c r="T749" s="19"/>
      <c r="U749" s="19"/>
      <c r="V749" s="19"/>
      <c r="W749" s="19"/>
      <c r="X749" s="19"/>
    </row>
    <row r="750" ht="14.25" customHeight="1">
      <c r="R750" s="19"/>
      <c r="S750" s="19"/>
      <c r="T750" s="19"/>
      <c r="U750" s="19"/>
      <c r="V750" s="19"/>
      <c r="W750" s="19"/>
      <c r="X750" s="19"/>
    </row>
    <row r="751" ht="14.25" customHeight="1">
      <c r="R751" s="19"/>
      <c r="S751" s="19"/>
      <c r="T751" s="19"/>
      <c r="U751" s="19"/>
      <c r="V751" s="19"/>
      <c r="W751" s="19"/>
      <c r="X751" s="19"/>
    </row>
    <row r="752" ht="14.25" customHeight="1">
      <c r="R752" s="19"/>
      <c r="S752" s="19"/>
      <c r="T752" s="19"/>
      <c r="U752" s="19"/>
      <c r="V752" s="19"/>
      <c r="W752" s="19"/>
      <c r="X752" s="19"/>
    </row>
    <row r="753" ht="14.25" customHeight="1">
      <c r="R753" s="19"/>
      <c r="S753" s="19"/>
      <c r="T753" s="19"/>
      <c r="U753" s="19"/>
      <c r="V753" s="19"/>
      <c r="W753" s="19"/>
      <c r="X753" s="19"/>
    </row>
    <row r="754" ht="14.25" customHeight="1">
      <c r="R754" s="19"/>
      <c r="S754" s="19"/>
      <c r="T754" s="19"/>
      <c r="U754" s="19"/>
      <c r="V754" s="19"/>
      <c r="W754" s="19"/>
      <c r="X754" s="19"/>
    </row>
    <row r="755" ht="14.25" customHeight="1">
      <c r="R755" s="19"/>
      <c r="S755" s="19"/>
      <c r="T755" s="19"/>
      <c r="U755" s="19"/>
      <c r="V755" s="19"/>
      <c r="W755" s="19"/>
      <c r="X755" s="19"/>
    </row>
    <row r="756" ht="14.25" customHeight="1">
      <c r="R756" s="19"/>
      <c r="S756" s="19"/>
      <c r="T756" s="19"/>
      <c r="U756" s="19"/>
      <c r="V756" s="19"/>
      <c r="W756" s="19"/>
      <c r="X756" s="19"/>
    </row>
    <row r="757" ht="14.25" customHeight="1">
      <c r="R757" s="19"/>
      <c r="S757" s="19"/>
      <c r="T757" s="19"/>
      <c r="U757" s="19"/>
      <c r="V757" s="19"/>
      <c r="W757" s="19"/>
      <c r="X757" s="19"/>
    </row>
    <row r="758" ht="14.25" customHeight="1">
      <c r="R758" s="19"/>
      <c r="S758" s="19"/>
      <c r="T758" s="19"/>
      <c r="U758" s="19"/>
      <c r="V758" s="19"/>
      <c r="W758" s="19"/>
      <c r="X758" s="19"/>
    </row>
    <row r="759" ht="14.25" customHeight="1">
      <c r="R759" s="19"/>
      <c r="S759" s="19"/>
      <c r="T759" s="19"/>
      <c r="U759" s="19"/>
      <c r="V759" s="19"/>
      <c r="W759" s="19"/>
      <c r="X759" s="19"/>
    </row>
    <row r="760" ht="14.25" customHeight="1">
      <c r="R760" s="19"/>
      <c r="S760" s="19"/>
      <c r="T760" s="19"/>
      <c r="U760" s="19"/>
      <c r="V760" s="19"/>
      <c r="W760" s="19"/>
      <c r="X760" s="19"/>
    </row>
    <row r="761" ht="14.25" customHeight="1">
      <c r="R761" s="19"/>
      <c r="S761" s="19"/>
      <c r="T761" s="19"/>
      <c r="U761" s="19"/>
      <c r="V761" s="19"/>
      <c r="W761" s="19"/>
      <c r="X761" s="19"/>
    </row>
    <row r="762" ht="14.25" customHeight="1">
      <c r="R762" s="19"/>
      <c r="S762" s="19"/>
      <c r="T762" s="19"/>
      <c r="U762" s="19"/>
      <c r="V762" s="19"/>
      <c r="W762" s="19"/>
      <c r="X762" s="19"/>
    </row>
    <row r="763" ht="14.25" customHeight="1">
      <c r="R763" s="19"/>
      <c r="S763" s="19"/>
      <c r="T763" s="19"/>
      <c r="U763" s="19"/>
      <c r="V763" s="19"/>
      <c r="W763" s="19"/>
      <c r="X763" s="19"/>
    </row>
    <row r="764" ht="14.25" customHeight="1">
      <c r="R764" s="19"/>
      <c r="S764" s="19"/>
      <c r="T764" s="19"/>
      <c r="U764" s="19"/>
      <c r="V764" s="19"/>
      <c r="W764" s="19"/>
      <c r="X764" s="19"/>
    </row>
    <row r="765" ht="14.25" customHeight="1">
      <c r="R765" s="19"/>
      <c r="S765" s="19"/>
      <c r="T765" s="19"/>
      <c r="U765" s="19"/>
      <c r="V765" s="19"/>
      <c r="W765" s="19"/>
      <c r="X765" s="19"/>
    </row>
    <row r="766" ht="14.25" customHeight="1">
      <c r="R766" s="19"/>
      <c r="S766" s="19"/>
      <c r="T766" s="19"/>
      <c r="U766" s="19"/>
      <c r="V766" s="19"/>
      <c r="W766" s="19"/>
      <c r="X766" s="19"/>
    </row>
    <row r="767" ht="14.25" customHeight="1">
      <c r="R767" s="19"/>
      <c r="S767" s="19"/>
      <c r="T767" s="19"/>
      <c r="U767" s="19"/>
      <c r="V767" s="19"/>
      <c r="W767" s="19"/>
      <c r="X767" s="19"/>
    </row>
    <row r="768" ht="14.25" customHeight="1">
      <c r="R768" s="19"/>
      <c r="S768" s="19"/>
      <c r="T768" s="19"/>
      <c r="U768" s="19"/>
      <c r="V768" s="19"/>
      <c r="W768" s="19"/>
      <c r="X768" s="19"/>
    </row>
    <row r="769" ht="14.25" customHeight="1">
      <c r="R769" s="19"/>
      <c r="S769" s="19"/>
      <c r="T769" s="19"/>
      <c r="U769" s="19"/>
      <c r="V769" s="19"/>
      <c r="W769" s="19"/>
      <c r="X769" s="19"/>
    </row>
    <row r="770" ht="14.25" customHeight="1">
      <c r="R770" s="19"/>
      <c r="S770" s="19"/>
      <c r="T770" s="19"/>
      <c r="U770" s="19"/>
      <c r="V770" s="19"/>
      <c r="W770" s="19"/>
      <c r="X770" s="19"/>
    </row>
    <row r="771" ht="14.25" customHeight="1">
      <c r="R771" s="19"/>
      <c r="S771" s="19"/>
      <c r="T771" s="19"/>
      <c r="U771" s="19"/>
      <c r="V771" s="19"/>
      <c r="W771" s="19"/>
      <c r="X771" s="19"/>
    </row>
    <row r="772" ht="14.25" customHeight="1">
      <c r="R772" s="19"/>
      <c r="S772" s="19"/>
      <c r="T772" s="19"/>
      <c r="U772" s="19"/>
      <c r="V772" s="19"/>
      <c r="W772" s="19"/>
      <c r="X772" s="19"/>
    </row>
    <row r="773" ht="14.25" customHeight="1">
      <c r="R773" s="19"/>
      <c r="S773" s="19"/>
      <c r="T773" s="19"/>
      <c r="U773" s="19"/>
      <c r="V773" s="19"/>
      <c r="W773" s="19"/>
      <c r="X773" s="19"/>
    </row>
    <row r="774" ht="14.25" customHeight="1">
      <c r="R774" s="19"/>
      <c r="S774" s="19"/>
      <c r="T774" s="19"/>
      <c r="U774" s="19"/>
      <c r="V774" s="19"/>
      <c r="W774" s="19"/>
      <c r="X774" s="19"/>
    </row>
    <row r="775" ht="14.25" customHeight="1">
      <c r="R775" s="19"/>
      <c r="S775" s="19"/>
      <c r="T775" s="19"/>
      <c r="U775" s="19"/>
      <c r="V775" s="19"/>
      <c r="W775" s="19"/>
      <c r="X775" s="19"/>
    </row>
    <row r="776" ht="14.25" customHeight="1">
      <c r="R776" s="19"/>
      <c r="S776" s="19"/>
      <c r="T776" s="19"/>
      <c r="U776" s="19"/>
      <c r="V776" s="19"/>
      <c r="W776" s="19"/>
      <c r="X776" s="19"/>
    </row>
    <row r="777" ht="14.25" customHeight="1">
      <c r="R777" s="19"/>
      <c r="S777" s="19"/>
      <c r="T777" s="19"/>
      <c r="U777" s="19"/>
      <c r="V777" s="19"/>
      <c r="W777" s="19"/>
      <c r="X777" s="19"/>
    </row>
    <row r="778" ht="14.25" customHeight="1">
      <c r="R778" s="19"/>
      <c r="S778" s="19"/>
      <c r="T778" s="19"/>
      <c r="U778" s="19"/>
      <c r="V778" s="19"/>
      <c r="W778" s="19"/>
      <c r="X778" s="19"/>
    </row>
    <row r="779" ht="14.25" customHeight="1">
      <c r="R779" s="19"/>
      <c r="S779" s="19"/>
      <c r="T779" s="19"/>
      <c r="U779" s="19"/>
      <c r="V779" s="19"/>
      <c r="W779" s="19"/>
      <c r="X779" s="19"/>
    </row>
    <row r="780" ht="14.25" customHeight="1">
      <c r="R780" s="19"/>
      <c r="S780" s="19"/>
      <c r="T780" s="19"/>
      <c r="U780" s="19"/>
      <c r="V780" s="19"/>
      <c r="W780" s="19"/>
      <c r="X780" s="19"/>
    </row>
    <row r="781" ht="14.25" customHeight="1">
      <c r="R781" s="19"/>
      <c r="S781" s="19"/>
      <c r="T781" s="19"/>
      <c r="U781" s="19"/>
      <c r="V781" s="19"/>
      <c r="W781" s="19"/>
      <c r="X781" s="19"/>
    </row>
    <row r="782" ht="14.25" customHeight="1">
      <c r="R782" s="19"/>
      <c r="S782" s="19"/>
      <c r="T782" s="19"/>
      <c r="U782" s="19"/>
      <c r="V782" s="19"/>
      <c r="W782" s="19"/>
      <c r="X782" s="19"/>
    </row>
    <row r="783" ht="14.25" customHeight="1">
      <c r="R783" s="19"/>
      <c r="S783" s="19"/>
      <c r="T783" s="19"/>
      <c r="U783" s="19"/>
      <c r="V783" s="19"/>
      <c r="W783" s="19"/>
      <c r="X783" s="19"/>
    </row>
    <row r="784" ht="14.25" customHeight="1">
      <c r="R784" s="19"/>
      <c r="S784" s="19"/>
      <c r="T784" s="19"/>
      <c r="U784" s="19"/>
      <c r="V784" s="19"/>
      <c r="W784" s="19"/>
      <c r="X784" s="19"/>
    </row>
    <row r="785" ht="14.25" customHeight="1">
      <c r="R785" s="19"/>
      <c r="S785" s="19"/>
      <c r="T785" s="19"/>
      <c r="U785" s="19"/>
      <c r="V785" s="19"/>
      <c r="W785" s="19"/>
      <c r="X785" s="19"/>
    </row>
    <row r="786" ht="14.25" customHeight="1">
      <c r="R786" s="19"/>
      <c r="S786" s="19"/>
      <c r="T786" s="19"/>
      <c r="U786" s="19"/>
      <c r="V786" s="19"/>
      <c r="W786" s="19"/>
      <c r="X786" s="19"/>
    </row>
    <row r="787" ht="14.25" customHeight="1">
      <c r="R787" s="19"/>
      <c r="S787" s="19"/>
      <c r="T787" s="19"/>
      <c r="U787" s="19"/>
      <c r="V787" s="19"/>
      <c r="W787" s="19"/>
      <c r="X787" s="19"/>
    </row>
    <row r="788" ht="14.25" customHeight="1">
      <c r="R788" s="19"/>
      <c r="S788" s="19"/>
      <c r="T788" s="19"/>
      <c r="U788" s="19"/>
      <c r="V788" s="19"/>
      <c r="W788" s="19"/>
      <c r="X788" s="19"/>
    </row>
    <row r="789" ht="14.25" customHeight="1">
      <c r="R789" s="19"/>
      <c r="S789" s="19"/>
      <c r="T789" s="19"/>
      <c r="U789" s="19"/>
      <c r="V789" s="19"/>
      <c r="W789" s="19"/>
      <c r="X789" s="19"/>
    </row>
    <row r="790" ht="14.25" customHeight="1">
      <c r="R790" s="19"/>
      <c r="S790" s="19"/>
      <c r="T790" s="19"/>
      <c r="U790" s="19"/>
      <c r="V790" s="19"/>
      <c r="W790" s="19"/>
      <c r="X790" s="19"/>
    </row>
    <row r="791" ht="14.25" customHeight="1">
      <c r="R791" s="19"/>
      <c r="S791" s="19"/>
      <c r="T791" s="19"/>
      <c r="U791" s="19"/>
      <c r="V791" s="19"/>
      <c r="W791" s="19"/>
      <c r="X791" s="19"/>
    </row>
    <row r="792" ht="14.25" customHeight="1">
      <c r="R792" s="19"/>
      <c r="S792" s="19"/>
      <c r="T792" s="19"/>
      <c r="U792" s="19"/>
      <c r="V792" s="19"/>
      <c r="W792" s="19"/>
      <c r="X792" s="19"/>
    </row>
    <row r="793" ht="14.25" customHeight="1">
      <c r="R793" s="19"/>
      <c r="S793" s="19"/>
      <c r="T793" s="19"/>
      <c r="U793" s="19"/>
      <c r="V793" s="19"/>
      <c r="W793" s="19"/>
      <c r="X793" s="19"/>
    </row>
    <row r="794" ht="14.25" customHeight="1">
      <c r="R794" s="19"/>
      <c r="S794" s="19"/>
      <c r="T794" s="19"/>
      <c r="U794" s="19"/>
      <c r="V794" s="19"/>
      <c r="W794" s="19"/>
      <c r="X794" s="19"/>
    </row>
    <row r="795" ht="14.25" customHeight="1">
      <c r="R795" s="19"/>
      <c r="S795" s="19"/>
      <c r="T795" s="19"/>
      <c r="U795" s="19"/>
      <c r="V795" s="19"/>
      <c r="W795" s="19"/>
      <c r="X795" s="19"/>
    </row>
    <row r="796" ht="14.25" customHeight="1">
      <c r="R796" s="19"/>
      <c r="S796" s="19"/>
      <c r="T796" s="19"/>
      <c r="U796" s="19"/>
      <c r="V796" s="19"/>
      <c r="W796" s="19"/>
      <c r="X796" s="19"/>
    </row>
    <row r="797" ht="14.25" customHeight="1">
      <c r="R797" s="19"/>
      <c r="S797" s="19"/>
      <c r="T797" s="19"/>
      <c r="U797" s="19"/>
      <c r="V797" s="19"/>
      <c r="W797" s="19"/>
      <c r="X797" s="19"/>
    </row>
    <row r="798" ht="14.25" customHeight="1">
      <c r="R798" s="19"/>
      <c r="S798" s="19"/>
      <c r="T798" s="19"/>
      <c r="U798" s="19"/>
      <c r="V798" s="19"/>
      <c r="W798" s="19"/>
      <c r="X798" s="19"/>
    </row>
    <row r="799" ht="14.25" customHeight="1">
      <c r="R799" s="19"/>
      <c r="S799" s="19"/>
      <c r="T799" s="19"/>
      <c r="U799" s="19"/>
      <c r="V799" s="19"/>
      <c r="W799" s="19"/>
      <c r="X799" s="19"/>
    </row>
    <row r="800" ht="14.25" customHeight="1">
      <c r="R800" s="19"/>
      <c r="S800" s="19"/>
      <c r="T800" s="19"/>
      <c r="U800" s="19"/>
      <c r="V800" s="19"/>
      <c r="W800" s="19"/>
      <c r="X800" s="19"/>
    </row>
    <row r="801" ht="14.25" customHeight="1">
      <c r="R801" s="19"/>
      <c r="S801" s="19"/>
      <c r="T801" s="19"/>
      <c r="U801" s="19"/>
      <c r="V801" s="19"/>
      <c r="W801" s="19"/>
      <c r="X801" s="19"/>
    </row>
    <row r="802" ht="14.25" customHeight="1">
      <c r="R802" s="19"/>
      <c r="S802" s="19"/>
      <c r="T802" s="19"/>
      <c r="U802" s="19"/>
      <c r="V802" s="19"/>
      <c r="W802" s="19"/>
      <c r="X802" s="19"/>
    </row>
    <row r="803" ht="14.25" customHeight="1">
      <c r="R803" s="19"/>
      <c r="S803" s="19"/>
      <c r="T803" s="19"/>
      <c r="U803" s="19"/>
      <c r="V803" s="19"/>
      <c r="W803" s="19"/>
      <c r="X803" s="19"/>
    </row>
    <row r="804" ht="14.25" customHeight="1">
      <c r="R804" s="19"/>
      <c r="S804" s="19"/>
      <c r="T804" s="19"/>
      <c r="U804" s="19"/>
      <c r="V804" s="19"/>
      <c r="W804" s="19"/>
      <c r="X804" s="19"/>
    </row>
    <row r="805" ht="14.25" customHeight="1">
      <c r="R805" s="19"/>
      <c r="S805" s="19"/>
      <c r="T805" s="19"/>
      <c r="U805" s="19"/>
      <c r="V805" s="19"/>
      <c r="W805" s="19"/>
      <c r="X805" s="19"/>
    </row>
    <row r="806" ht="14.25" customHeight="1">
      <c r="R806" s="19"/>
      <c r="S806" s="19"/>
      <c r="T806" s="19"/>
      <c r="U806" s="19"/>
      <c r="V806" s="19"/>
      <c r="W806" s="19"/>
      <c r="X806" s="19"/>
    </row>
    <row r="807" ht="14.25" customHeight="1">
      <c r="R807" s="19"/>
      <c r="S807" s="19"/>
      <c r="T807" s="19"/>
      <c r="U807" s="19"/>
      <c r="V807" s="19"/>
      <c r="W807" s="19"/>
      <c r="X807" s="19"/>
    </row>
    <row r="808" ht="14.25" customHeight="1">
      <c r="R808" s="19"/>
      <c r="S808" s="19"/>
      <c r="T808" s="19"/>
      <c r="U808" s="19"/>
      <c r="V808" s="19"/>
      <c r="W808" s="19"/>
      <c r="X808" s="19"/>
    </row>
    <row r="809" ht="14.25" customHeight="1">
      <c r="R809" s="19"/>
      <c r="S809" s="19"/>
      <c r="T809" s="19"/>
      <c r="U809" s="19"/>
      <c r="V809" s="19"/>
      <c r="W809" s="19"/>
      <c r="X809" s="19"/>
    </row>
    <row r="810" ht="14.25" customHeight="1">
      <c r="R810" s="19"/>
      <c r="S810" s="19"/>
      <c r="T810" s="19"/>
      <c r="U810" s="19"/>
      <c r="V810" s="19"/>
      <c r="W810" s="19"/>
      <c r="X810" s="19"/>
    </row>
    <row r="811" ht="14.25" customHeight="1">
      <c r="R811" s="19"/>
      <c r="S811" s="19"/>
      <c r="T811" s="19"/>
      <c r="U811" s="19"/>
      <c r="V811" s="19"/>
      <c r="W811" s="19"/>
      <c r="X811" s="19"/>
    </row>
    <row r="812" ht="14.25" customHeight="1">
      <c r="R812" s="19"/>
      <c r="S812" s="19"/>
      <c r="T812" s="19"/>
      <c r="U812" s="19"/>
      <c r="V812" s="19"/>
      <c r="W812" s="19"/>
      <c r="X812" s="19"/>
    </row>
    <row r="813" ht="14.25" customHeight="1">
      <c r="R813" s="19"/>
      <c r="S813" s="19"/>
      <c r="T813" s="19"/>
      <c r="U813" s="19"/>
      <c r="V813" s="19"/>
      <c r="W813" s="19"/>
      <c r="X813" s="19"/>
    </row>
    <row r="814" ht="14.25" customHeight="1">
      <c r="R814" s="19"/>
      <c r="S814" s="19"/>
      <c r="T814" s="19"/>
      <c r="U814" s="19"/>
      <c r="V814" s="19"/>
      <c r="W814" s="19"/>
      <c r="X814" s="19"/>
    </row>
    <row r="815" ht="14.25" customHeight="1">
      <c r="R815" s="19"/>
      <c r="S815" s="19"/>
      <c r="T815" s="19"/>
      <c r="U815" s="19"/>
      <c r="V815" s="19"/>
      <c r="W815" s="19"/>
      <c r="X815" s="19"/>
    </row>
    <row r="816" ht="14.25" customHeight="1">
      <c r="R816" s="19"/>
      <c r="S816" s="19"/>
      <c r="T816" s="19"/>
      <c r="U816" s="19"/>
      <c r="V816" s="19"/>
      <c r="W816" s="19"/>
      <c r="X816" s="19"/>
    </row>
    <row r="817" ht="14.25" customHeight="1">
      <c r="R817" s="19"/>
      <c r="S817" s="19"/>
      <c r="T817" s="19"/>
      <c r="U817" s="19"/>
      <c r="V817" s="19"/>
      <c r="W817" s="19"/>
      <c r="X817" s="19"/>
    </row>
    <row r="818" ht="14.25" customHeight="1">
      <c r="R818" s="19"/>
      <c r="S818" s="19"/>
      <c r="T818" s="19"/>
      <c r="U818" s="19"/>
      <c r="V818" s="19"/>
      <c r="W818" s="19"/>
      <c r="X818" s="19"/>
    </row>
    <row r="819" ht="14.25" customHeight="1">
      <c r="R819" s="19"/>
      <c r="S819" s="19"/>
      <c r="T819" s="19"/>
      <c r="U819" s="19"/>
      <c r="V819" s="19"/>
      <c r="W819" s="19"/>
      <c r="X819" s="19"/>
    </row>
    <row r="820" ht="14.25" customHeight="1">
      <c r="R820" s="19"/>
      <c r="S820" s="19"/>
      <c r="T820" s="19"/>
      <c r="U820" s="19"/>
      <c r="V820" s="19"/>
      <c r="W820" s="19"/>
      <c r="X820" s="19"/>
    </row>
    <row r="821" ht="14.25" customHeight="1">
      <c r="R821" s="19"/>
      <c r="S821" s="19"/>
      <c r="T821" s="19"/>
      <c r="U821" s="19"/>
      <c r="V821" s="19"/>
      <c r="W821" s="19"/>
      <c r="X821" s="19"/>
    </row>
    <row r="822" ht="14.25" customHeight="1">
      <c r="R822" s="19"/>
      <c r="S822" s="19"/>
      <c r="T822" s="19"/>
      <c r="U822" s="19"/>
      <c r="V822" s="19"/>
      <c r="W822" s="19"/>
      <c r="X822" s="19"/>
    </row>
    <row r="823" ht="14.25" customHeight="1">
      <c r="R823" s="19"/>
      <c r="S823" s="19"/>
      <c r="T823" s="19"/>
      <c r="U823" s="19"/>
      <c r="V823" s="19"/>
      <c r="W823" s="19"/>
      <c r="X823" s="19"/>
    </row>
    <row r="824" ht="14.25" customHeight="1">
      <c r="R824" s="19"/>
      <c r="S824" s="19"/>
      <c r="T824" s="19"/>
      <c r="U824" s="19"/>
      <c r="V824" s="19"/>
      <c r="W824" s="19"/>
      <c r="X824" s="19"/>
    </row>
    <row r="825" ht="14.25" customHeight="1">
      <c r="R825" s="19"/>
      <c r="S825" s="19"/>
      <c r="T825" s="19"/>
      <c r="U825" s="19"/>
      <c r="V825" s="19"/>
      <c r="W825" s="19"/>
      <c r="X825" s="19"/>
    </row>
    <row r="826" ht="14.25" customHeight="1">
      <c r="R826" s="19"/>
      <c r="S826" s="19"/>
      <c r="T826" s="19"/>
      <c r="U826" s="19"/>
      <c r="V826" s="19"/>
      <c r="W826" s="19"/>
      <c r="X826" s="19"/>
    </row>
    <row r="827" ht="14.25" customHeight="1">
      <c r="R827" s="19"/>
      <c r="S827" s="19"/>
      <c r="T827" s="19"/>
      <c r="U827" s="19"/>
      <c r="V827" s="19"/>
      <c r="W827" s="19"/>
      <c r="X827" s="19"/>
    </row>
    <row r="828" ht="14.25" customHeight="1">
      <c r="R828" s="19"/>
      <c r="S828" s="19"/>
      <c r="T828" s="19"/>
      <c r="U828" s="19"/>
      <c r="V828" s="19"/>
      <c r="W828" s="19"/>
      <c r="X828" s="19"/>
    </row>
    <row r="829" ht="14.25" customHeight="1">
      <c r="R829" s="19"/>
      <c r="S829" s="19"/>
      <c r="T829" s="19"/>
      <c r="U829" s="19"/>
      <c r="V829" s="19"/>
      <c r="W829" s="19"/>
      <c r="X829" s="19"/>
    </row>
    <row r="830" ht="14.25" customHeight="1">
      <c r="R830" s="19"/>
      <c r="S830" s="19"/>
      <c r="T830" s="19"/>
      <c r="U830" s="19"/>
      <c r="V830" s="19"/>
      <c r="W830" s="19"/>
      <c r="X830" s="19"/>
    </row>
    <row r="831" ht="14.25" customHeight="1">
      <c r="R831" s="19"/>
      <c r="S831" s="19"/>
      <c r="T831" s="19"/>
      <c r="U831" s="19"/>
      <c r="V831" s="19"/>
      <c r="W831" s="19"/>
      <c r="X831" s="19"/>
    </row>
    <row r="832" ht="14.25" customHeight="1">
      <c r="R832" s="19"/>
      <c r="S832" s="19"/>
      <c r="T832" s="19"/>
      <c r="U832" s="19"/>
      <c r="V832" s="19"/>
      <c r="W832" s="19"/>
      <c r="X832" s="19"/>
    </row>
    <row r="833" ht="14.25" customHeight="1">
      <c r="R833" s="19"/>
      <c r="S833" s="19"/>
      <c r="T833" s="19"/>
      <c r="U833" s="19"/>
      <c r="V833" s="19"/>
      <c r="W833" s="19"/>
      <c r="X833" s="19"/>
    </row>
    <row r="834" ht="14.25" customHeight="1">
      <c r="R834" s="19"/>
      <c r="S834" s="19"/>
      <c r="T834" s="19"/>
      <c r="U834" s="19"/>
      <c r="V834" s="19"/>
      <c r="W834" s="19"/>
      <c r="X834" s="19"/>
    </row>
    <row r="835" ht="14.25" customHeight="1">
      <c r="R835" s="19"/>
      <c r="S835" s="19"/>
      <c r="T835" s="19"/>
      <c r="U835" s="19"/>
      <c r="V835" s="19"/>
      <c r="W835" s="19"/>
      <c r="X835" s="19"/>
    </row>
    <row r="836" ht="14.25" customHeight="1">
      <c r="R836" s="19"/>
      <c r="S836" s="19"/>
      <c r="T836" s="19"/>
      <c r="U836" s="19"/>
      <c r="V836" s="19"/>
      <c r="W836" s="19"/>
      <c r="X836" s="19"/>
    </row>
    <row r="837" ht="14.25" customHeight="1">
      <c r="R837" s="19"/>
      <c r="S837" s="19"/>
      <c r="T837" s="19"/>
      <c r="U837" s="19"/>
      <c r="V837" s="19"/>
      <c r="W837" s="19"/>
      <c r="X837" s="19"/>
    </row>
    <row r="838" ht="14.25" customHeight="1">
      <c r="R838" s="19"/>
      <c r="S838" s="19"/>
      <c r="T838" s="19"/>
      <c r="U838" s="19"/>
      <c r="V838" s="19"/>
      <c r="W838" s="19"/>
      <c r="X838" s="19"/>
    </row>
    <row r="839" ht="14.25" customHeight="1">
      <c r="R839" s="19"/>
      <c r="S839" s="19"/>
      <c r="T839" s="19"/>
      <c r="U839" s="19"/>
      <c r="V839" s="19"/>
      <c r="W839" s="19"/>
      <c r="X839" s="19"/>
    </row>
    <row r="840" ht="14.25" customHeight="1">
      <c r="R840" s="19"/>
      <c r="S840" s="19"/>
      <c r="T840" s="19"/>
      <c r="U840" s="19"/>
      <c r="V840" s="19"/>
      <c r="W840" s="19"/>
      <c r="X840" s="19"/>
    </row>
    <row r="841" ht="14.25" customHeight="1">
      <c r="R841" s="19"/>
      <c r="S841" s="19"/>
      <c r="T841" s="19"/>
      <c r="U841" s="19"/>
      <c r="V841" s="19"/>
      <c r="W841" s="19"/>
      <c r="X841" s="19"/>
    </row>
    <row r="842" ht="14.25" customHeight="1">
      <c r="R842" s="19"/>
      <c r="S842" s="19"/>
      <c r="T842" s="19"/>
      <c r="U842" s="19"/>
      <c r="V842" s="19"/>
      <c r="W842" s="19"/>
      <c r="X842" s="19"/>
    </row>
    <row r="843" ht="14.25" customHeight="1">
      <c r="R843" s="19"/>
      <c r="S843" s="19"/>
      <c r="T843" s="19"/>
      <c r="U843" s="19"/>
      <c r="V843" s="19"/>
      <c r="W843" s="19"/>
      <c r="X843" s="19"/>
    </row>
    <row r="844" ht="14.25" customHeight="1">
      <c r="R844" s="19"/>
      <c r="S844" s="19"/>
      <c r="T844" s="19"/>
      <c r="U844" s="19"/>
      <c r="V844" s="19"/>
      <c r="W844" s="19"/>
      <c r="X844" s="19"/>
    </row>
    <row r="845" ht="14.25" customHeight="1">
      <c r="R845" s="19"/>
      <c r="S845" s="19"/>
      <c r="T845" s="19"/>
      <c r="U845" s="19"/>
      <c r="V845" s="19"/>
      <c r="W845" s="19"/>
      <c r="X845" s="19"/>
    </row>
    <row r="846" ht="14.25" customHeight="1">
      <c r="R846" s="19"/>
      <c r="S846" s="19"/>
      <c r="T846" s="19"/>
      <c r="U846" s="19"/>
      <c r="V846" s="19"/>
      <c r="W846" s="19"/>
      <c r="X846" s="19"/>
    </row>
    <row r="847" ht="14.25" customHeight="1">
      <c r="R847" s="19"/>
      <c r="S847" s="19"/>
      <c r="T847" s="19"/>
      <c r="U847" s="19"/>
      <c r="V847" s="19"/>
      <c r="W847" s="19"/>
      <c r="X847" s="19"/>
    </row>
    <row r="848" ht="14.25" customHeight="1">
      <c r="R848" s="19"/>
      <c r="S848" s="19"/>
      <c r="T848" s="19"/>
      <c r="U848" s="19"/>
      <c r="V848" s="19"/>
      <c r="W848" s="19"/>
      <c r="X848" s="19"/>
    </row>
    <row r="849" ht="14.25" customHeight="1">
      <c r="R849" s="19"/>
      <c r="S849" s="19"/>
      <c r="T849" s="19"/>
      <c r="U849" s="19"/>
      <c r="V849" s="19"/>
      <c r="W849" s="19"/>
      <c r="X849" s="19"/>
    </row>
    <row r="850" ht="14.25" customHeight="1">
      <c r="R850" s="19"/>
      <c r="S850" s="19"/>
      <c r="T850" s="19"/>
      <c r="U850" s="19"/>
      <c r="V850" s="19"/>
      <c r="W850" s="19"/>
      <c r="X850" s="19"/>
    </row>
    <row r="851" ht="14.25" customHeight="1">
      <c r="R851" s="19"/>
      <c r="S851" s="19"/>
      <c r="T851" s="19"/>
      <c r="U851" s="19"/>
      <c r="V851" s="19"/>
      <c r="W851" s="19"/>
      <c r="X851" s="19"/>
    </row>
    <row r="852" ht="14.25" customHeight="1">
      <c r="R852" s="19"/>
      <c r="S852" s="19"/>
      <c r="T852" s="19"/>
      <c r="U852" s="19"/>
      <c r="V852" s="19"/>
      <c r="W852" s="19"/>
      <c r="X852" s="19"/>
    </row>
    <row r="853" ht="14.25" customHeight="1">
      <c r="R853" s="19"/>
      <c r="S853" s="19"/>
      <c r="T853" s="19"/>
      <c r="U853" s="19"/>
      <c r="V853" s="19"/>
      <c r="W853" s="19"/>
      <c r="X853" s="19"/>
    </row>
    <row r="854" ht="14.25" customHeight="1">
      <c r="R854" s="19"/>
      <c r="S854" s="19"/>
      <c r="T854" s="19"/>
      <c r="U854" s="19"/>
      <c r="V854" s="19"/>
      <c r="W854" s="19"/>
      <c r="X854" s="19"/>
    </row>
    <row r="855" ht="14.25" customHeight="1">
      <c r="R855" s="19"/>
      <c r="S855" s="19"/>
      <c r="T855" s="19"/>
      <c r="U855" s="19"/>
      <c r="V855" s="19"/>
      <c r="W855" s="19"/>
      <c r="X855" s="19"/>
    </row>
    <row r="856" ht="14.25" customHeight="1">
      <c r="R856" s="19"/>
      <c r="S856" s="19"/>
      <c r="T856" s="19"/>
      <c r="U856" s="19"/>
      <c r="V856" s="19"/>
      <c r="W856" s="19"/>
      <c r="X856" s="19"/>
    </row>
    <row r="857" ht="14.25" customHeight="1">
      <c r="R857" s="19"/>
      <c r="S857" s="19"/>
      <c r="T857" s="19"/>
      <c r="U857" s="19"/>
      <c r="V857" s="19"/>
      <c r="W857" s="19"/>
      <c r="X857" s="19"/>
    </row>
    <row r="858" ht="14.25" customHeight="1">
      <c r="R858" s="19"/>
      <c r="S858" s="19"/>
      <c r="T858" s="19"/>
      <c r="U858" s="19"/>
      <c r="V858" s="19"/>
      <c r="W858" s="19"/>
      <c r="X858" s="19"/>
    </row>
    <row r="859" ht="14.25" customHeight="1">
      <c r="R859" s="19"/>
      <c r="S859" s="19"/>
      <c r="T859" s="19"/>
      <c r="U859" s="19"/>
      <c r="V859" s="19"/>
      <c r="W859" s="19"/>
      <c r="X859" s="19"/>
    </row>
    <row r="860" ht="14.25" customHeight="1">
      <c r="R860" s="19"/>
      <c r="S860" s="19"/>
      <c r="T860" s="19"/>
      <c r="U860" s="19"/>
      <c r="V860" s="19"/>
      <c r="W860" s="19"/>
      <c r="X860" s="19"/>
    </row>
    <row r="861" ht="14.25" customHeight="1">
      <c r="R861" s="19"/>
      <c r="S861" s="19"/>
      <c r="T861" s="19"/>
      <c r="U861" s="19"/>
      <c r="V861" s="19"/>
      <c r="W861" s="19"/>
      <c r="X861" s="19"/>
    </row>
    <row r="862" ht="14.25" customHeight="1">
      <c r="R862" s="19"/>
      <c r="S862" s="19"/>
      <c r="T862" s="19"/>
      <c r="U862" s="19"/>
      <c r="V862" s="19"/>
      <c r="W862" s="19"/>
      <c r="X862" s="19"/>
    </row>
    <row r="863" ht="14.25" customHeight="1">
      <c r="R863" s="19"/>
      <c r="S863" s="19"/>
      <c r="T863" s="19"/>
      <c r="U863" s="19"/>
      <c r="V863" s="19"/>
      <c r="W863" s="19"/>
      <c r="X863" s="19"/>
    </row>
    <row r="864" ht="14.25" customHeight="1">
      <c r="R864" s="19"/>
      <c r="S864" s="19"/>
      <c r="T864" s="19"/>
      <c r="U864" s="19"/>
      <c r="V864" s="19"/>
      <c r="W864" s="19"/>
      <c r="X864" s="19"/>
    </row>
    <row r="865" ht="14.25" customHeight="1">
      <c r="R865" s="19"/>
      <c r="S865" s="19"/>
      <c r="T865" s="19"/>
      <c r="U865" s="19"/>
      <c r="V865" s="19"/>
      <c r="W865" s="19"/>
      <c r="X865" s="19"/>
    </row>
    <row r="866" ht="14.25" customHeight="1">
      <c r="R866" s="19"/>
      <c r="S866" s="19"/>
      <c r="T866" s="19"/>
      <c r="U866" s="19"/>
      <c r="V866" s="19"/>
      <c r="W866" s="19"/>
      <c r="X866" s="19"/>
    </row>
    <row r="867" ht="14.25" customHeight="1">
      <c r="R867" s="19"/>
      <c r="S867" s="19"/>
      <c r="T867" s="19"/>
      <c r="U867" s="19"/>
      <c r="V867" s="19"/>
      <c r="W867" s="19"/>
      <c r="X867" s="19"/>
    </row>
    <row r="868" ht="14.25" customHeight="1">
      <c r="R868" s="19"/>
      <c r="S868" s="19"/>
      <c r="T868" s="19"/>
      <c r="U868" s="19"/>
      <c r="V868" s="19"/>
      <c r="W868" s="19"/>
      <c r="X868" s="19"/>
    </row>
    <row r="869" ht="14.25" customHeight="1">
      <c r="R869" s="19"/>
      <c r="S869" s="19"/>
      <c r="T869" s="19"/>
      <c r="U869" s="19"/>
      <c r="V869" s="19"/>
      <c r="W869" s="19"/>
      <c r="X869" s="19"/>
    </row>
    <row r="870" ht="14.25" customHeight="1">
      <c r="R870" s="19"/>
      <c r="S870" s="19"/>
      <c r="T870" s="19"/>
      <c r="U870" s="19"/>
      <c r="V870" s="19"/>
      <c r="W870" s="19"/>
      <c r="X870" s="19"/>
    </row>
    <row r="871" ht="14.25" customHeight="1">
      <c r="R871" s="19"/>
      <c r="S871" s="19"/>
      <c r="T871" s="19"/>
      <c r="U871" s="19"/>
      <c r="V871" s="19"/>
      <c r="W871" s="19"/>
      <c r="X871" s="19"/>
    </row>
    <row r="872" ht="14.25" customHeight="1">
      <c r="R872" s="19"/>
      <c r="S872" s="19"/>
      <c r="T872" s="19"/>
      <c r="U872" s="19"/>
      <c r="V872" s="19"/>
      <c r="W872" s="19"/>
      <c r="X872" s="19"/>
    </row>
    <row r="873" ht="14.25" customHeight="1">
      <c r="R873" s="19"/>
      <c r="S873" s="19"/>
      <c r="T873" s="19"/>
      <c r="U873" s="19"/>
      <c r="V873" s="19"/>
      <c r="W873" s="19"/>
      <c r="X873" s="19"/>
    </row>
    <row r="874" ht="14.25" customHeight="1">
      <c r="R874" s="19"/>
      <c r="S874" s="19"/>
      <c r="T874" s="19"/>
      <c r="U874" s="19"/>
      <c r="V874" s="19"/>
      <c r="W874" s="19"/>
      <c r="X874" s="19"/>
    </row>
    <row r="875" ht="14.25" customHeight="1">
      <c r="R875" s="19"/>
      <c r="S875" s="19"/>
      <c r="T875" s="19"/>
      <c r="U875" s="19"/>
      <c r="V875" s="19"/>
      <c r="W875" s="19"/>
      <c r="X875" s="19"/>
    </row>
    <row r="876" ht="14.25" customHeight="1">
      <c r="R876" s="19"/>
      <c r="S876" s="19"/>
      <c r="T876" s="19"/>
      <c r="U876" s="19"/>
      <c r="V876" s="19"/>
      <c r="W876" s="19"/>
      <c r="X876" s="19"/>
    </row>
    <row r="877" ht="14.25" customHeight="1">
      <c r="R877" s="19"/>
      <c r="S877" s="19"/>
      <c r="T877" s="19"/>
      <c r="U877" s="19"/>
      <c r="V877" s="19"/>
      <c r="W877" s="19"/>
      <c r="X877" s="19"/>
    </row>
    <row r="878" ht="14.25" customHeight="1">
      <c r="R878" s="19"/>
      <c r="S878" s="19"/>
      <c r="T878" s="19"/>
      <c r="U878" s="19"/>
      <c r="V878" s="19"/>
      <c r="W878" s="19"/>
      <c r="X878" s="19"/>
    </row>
    <row r="879" ht="14.25" customHeight="1">
      <c r="R879" s="19"/>
      <c r="S879" s="19"/>
      <c r="T879" s="19"/>
      <c r="U879" s="19"/>
      <c r="V879" s="19"/>
      <c r="W879" s="19"/>
      <c r="X879" s="19"/>
    </row>
    <row r="880" ht="14.25" customHeight="1">
      <c r="R880" s="19"/>
      <c r="S880" s="19"/>
      <c r="T880" s="19"/>
      <c r="U880" s="19"/>
      <c r="V880" s="19"/>
      <c r="W880" s="19"/>
      <c r="X880" s="19"/>
    </row>
    <row r="881" ht="14.25" customHeight="1">
      <c r="R881" s="19"/>
      <c r="S881" s="19"/>
      <c r="T881" s="19"/>
      <c r="U881" s="19"/>
      <c r="V881" s="19"/>
      <c r="W881" s="19"/>
      <c r="X881" s="19"/>
    </row>
    <row r="882" ht="14.25" customHeight="1">
      <c r="R882" s="19"/>
      <c r="S882" s="19"/>
      <c r="T882" s="19"/>
      <c r="U882" s="19"/>
      <c r="V882" s="19"/>
      <c r="W882" s="19"/>
      <c r="X882" s="19"/>
    </row>
    <row r="883" ht="14.25" customHeight="1">
      <c r="R883" s="19"/>
      <c r="S883" s="19"/>
      <c r="T883" s="19"/>
      <c r="U883" s="19"/>
      <c r="V883" s="19"/>
      <c r="W883" s="19"/>
      <c r="X883" s="19"/>
    </row>
    <row r="884" ht="14.25" customHeight="1">
      <c r="R884" s="19"/>
      <c r="S884" s="19"/>
      <c r="T884" s="19"/>
      <c r="U884" s="19"/>
      <c r="V884" s="19"/>
      <c r="W884" s="19"/>
      <c r="X884" s="19"/>
    </row>
    <row r="885" ht="14.25" customHeight="1">
      <c r="R885" s="19"/>
      <c r="S885" s="19"/>
      <c r="T885" s="19"/>
      <c r="U885" s="19"/>
      <c r="V885" s="19"/>
      <c r="W885" s="19"/>
      <c r="X885" s="19"/>
    </row>
    <row r="886" ht="14.25" customHeight="1">
      <c r="R886" s="19"/>
      <c r="S886" s="19"/>
      <c r="T886" s="19"/>
      <c r="U886" s="19"/>
      <c r="V886" s="19"/>
      <c r="W886" s="19"/>
      <c r="X886" s="19"/>
    </row>
    <row r="887" ht="14.25" customHeight="1">
      <c r="R887" s="19"/>
      <c r="S887" s="19"/>
      <c r="T887" s="19"/>
      <c r="U887" s="19"/>
      <c r="V887" s="19"/>
      <c r="W887" s="19"/>
      <c r="X887" s="19"/>
    </row>
    <row r="888" ht="14.25" customHeight="1">
      <c r="R888" s="19"/>
      <c r="S888" s="19"/>
      <c r="T888" s="19"/>
      <c r="U888" s="19"/>
      <c r="V888" s="19"/>
      <c r="W888" s="19"/>
      <c r="X888" s="19"/>
    </row>
    <row r="889" ht="14.25" customHeight="1">
      <c r="R889" s="19"/>
      <c r="S889" s="19"/>
      <c r="T889" s="19"/>
      <c r="U889" s="19"/>
      <c r="V889" s="19"/>
      <c r="W889" s="19"/>
      <c r="X889" s="19"/>
    </row>
    <row r="890" ht="14.25" customHeight="1">
      <c r="R890" s="19"/>
      <c r="S890" s="19"/>
      <c r="T890" s="19"/>
      <c r="U890" s="19"/>
      <c r="V890" s="19"/>
      <c r="W890" s="19"/>
      <c r="X890" s="19"/>
    </row>
    <row r="891" ht="14.25" customHeight="1">
      <c r="R891" s="19"/>
      <c r="S891" s="19"/>
      <c r="T891" s="19"/>
      <c r="U891" s="19"/>
      <c r="V891" s="19"/>
      <c r="W891" s="19"/>
      <c r="X891" s="19"/>
    </row>
    <row r="892" ht="14.25" customHeight="1">
      <c r="R892" s="19"/>
      <c r="S892" s="19"/>
      <c r="T892" s="19"/>
      <c r="U892" s="19"/>
      <c r="V892" s="19"/>
      <c r="W892" s="19"/>
      <c r="X892" s="19"/>
    </row>
    <row r="893" ht="14.25" customHeight="1">
      <c r="R893" s="19"/>
      <c r="S893" s="19"/>
      <c r="T893" s="19"/>
      <c r="U893" s="19"/>
      <c r="V893" s="19"/>
      <c r="W893" s="19"/>
      <c r="X893" s="19"/>
    </row>
    <row r="894" ht="14.25" customHeight="1">
      <c r="R894" s="19"/>
      <c r="S894" s="19"/>
      <c r="T894" s="19"/>
      <c r="U894" s="19"/>
      <c r="V894" s="19"/>
      <c r="W894" s="19"/>
      <c r="X894" s="19"/>
    </row>
    <row r="895" ht="14.25" customHeight="1">
      <c r="R895" s="19"/>
      <c r="S895" s="19"/>
      <c r="T895" s="19"/>
      <c r="U895" s="19"/>
      <c r="V895" s="19"/>
      <c r="W895" s="19"/>
      <c r="X895" s="19"/>
    </row>
    <row r="896" ht="14.25" customHeight="1">
      <c r="R896" s="19"/>
      <c r="S896" s="19"/>
      <c r="T896" s="19"/>
      <c r="U896" s="19"/>
      <c r="V896" s="19"/>
      <c r="W896" s="19"/>
      <c r="X896" s="19"/>
    </row>
    <row r="897" ht="14.25" customHeight="1">
      <c r="R897" s="19"/>
      <c r="S897" s="19"/>
      <c r="T897" s="19"/>
      <c r="U897" s="19"/>
      <c r="V897" s="19"/>
      <c r="W897" s="19"/>
      <c r="X897" s="19"/>
    </row>
    <row r="898" ht="14.25" customHeight="1">
      <c r="R898" s="19"/>
      <c r="S898" s="19"/>
      <c r="T898" s="19"/>
      <c r="U898" s="19"/>
      <c r="V898" s="19"/>
      <c r="W898" s="19"/>
      <c r="X898" s="19"/>
    </row>
    <row r="899" ht="14.25" customHeight="1">
      <c r="R899" s="19"/>
      <c r="S899" s="19"/>
      <c r="T899" s="19"/>
      <c r="U899" s="19"/>
      <c r="V899" s="19"/>
      <c r="W899" s="19"/>
      <c r="X899" s="19"/>
    </row>
    <row r="900" ht="14.25" customHeight="1">
      <c r="R900" s="19"/>
      <c r="S900" s="19"/>
      <c r="T900" s="19"/>
      <c r="U900" s="19"/>
      <c r="V900" s="19"/>
      <c r="W900" s="19"/>
      <c r="X900" s="19"/>
    </row>
    <row r="901" ht="14.25" customHeight="1">
      <c r="R901" s="19"/>
      <c r="S901" s="19"/>
      <c r="T901" s="19"/>
      <c r="U901" s="19"/>
      <c r="V901" s="19"/>
      <c r="W901" s="19"/>
      <c r="X901" s="19"/>
    </row>
    <row r="902" ht="14.25" customHeight="1">
      <c r="R902" s="19"/>
      <c r="S902" s="19"/>
      <c r="T902" s="19"/>
      <c r="U902" s="19"/>
      <c r="V902" s="19"/>
      <c r="W902" s="19"/>
      <c r="X902" s="19"/>
    </row>
    <row r="903" ht="14.25" customHeight="1">
      <c r="R903" s="19"/>
      <c r="S903" s="19"/>
      <c r="T903" s="19"/>
      <c r="U903" s="19"/>
      <c r="V903" s="19"/>
      <c r="W903" s="19"/>
      <c r="X903" s="19"/>
    </row>
    <row r="904" ht="14.25" customHeight="1">
      <c r="R904" s="19"/>
      <c r="S904" s="19"/>
      <c r="T904" s="19"/>
      <c r="U904" s="19"/>
      <c r="V904" s="19"/>
      <c r="W904" s="19"/>
      <c r="X904" s="19"/>
    </row>
    <row r="905" ht="14.25" customHeight="1">
      <c r="R905" s="19"/>
      <c r="S905" s="19"/>
      <c r="T905" s="19"/>
      <c r="U905" s="19"/>
      <c r="V905" s="19"/>
      <c r="W905" s="19"/>
      <c r="X905" s="19"/>
    </row>
    <row r="906" ht="14.25" customHeight="1">
      <c r="R906" s="19"/>
      <c r="S906" s="19"/>
      <c r="T906" s="19"/>
      <c r="U906" s="19"/>
      <c r="V906" s="19"/>
      <c r="W906" s="19"/>
      <c r="X906" s="19"/>
    </row>
    <row r="907" ht="14.25" customHeight="1">
      <c r="R907" s="19"/>
      <c r="S907" s="19"/>
      <c r="T907" s="19"/>
      <c r="U907" s="19"/>
      <c r="V907" s="19"/>
      <c r="W907" s="19"/>
      <c r="X907" s="19"/>
    </row>
    <row r="908" ht="14.25" customHeight="1">
      <c r="R908" s="19"/>
      <c r="S908" s="19"/>
      <c r="T908" s="19"/>
      <c r="U908" s="19"/>
      <c r="V908" s="19"/>
      <c r="W908" s="19"/>
      <c r="X908" s="19"/>
    </row>
    <row r="909" ht="14.25" customHeight="1">
      <c r="R909" s="19"/>
      <c r="S909" s="19"/>
      <c r="T909" s="19"/>
      <c r="U909" s="19"/>
      <c r="V909" s="19"/>
      <c r="W909" s="19"/>
      <c r="X909" s="19"/>
    </row>
    <row r="910" ht="14.25" customHeight="1">
      <c r="R910" s="19"/>
      <c r="S910" s="19"/>
      <c r="T910" s="19"/>
      <c r="U910" s="19"/>
      <c r="V910" s="19"/>
      <c r="W910" s="19"/>
      <c r="X910" s="19"/>
    </row>
    <row r="911" ht="14.25" customHeight="1">
      <c r="R911" s="19"/>
      <c r="S911" s="19"/>
      <c r="T911" s="19"/>
      <c r="U911" s="19"/>
      <c r="V911" s="19"/>
      <c r="W911" s="19"/>
      <c r="X911" s="19"/>
    </row>
    <row r="912" ht="14.25" customHeight="1">
      <c r="R912" s="19"/>
      <c r="S912" s="19"/>
      <c r="T912" s="19"/>
      <c r="U912" s="19"/>
      <c r="V912" s="19"/>
      <c r="W912" s="19"/>
      <c r="X912" s="19"/>
    </row>
    <row r="913" ht="14.25" customHeight="1">
      <c r="R913" s="19"/>
      <c r="S913" s="19"/>
      <c r="T913" s="19"/>
      <c r="U913" s="19"/>
      <c r="V913" s="19"/>
      <c r="W913" s="19"/>
      <c r="X913" s="19"/>
    </row>
    <row r="914" ht="14.25" customHeight="1">
      <c r="R914" s="19"/>
      <c r="S914" s="19"/>
      <c r="T914" s="19"/>
      <c r="U914" s="19"/>
      <c r="V914" s="19"/>
      <c r="W914" s="19"/>
      <c r="X914" s="19"/>
    </row>
    <row r="915" ht="14.25" customHeight="1">
      <c r="R915" s="19"/>
      <c r="S915" s="19"/>
      <c r="T915" s="19"/>
      <c r="U915" s="19"/>
      <c r="V915" s="19"/>
      <c r="W915" s="19"/>
      <c r="X915" s="19"/>
    </row>
    <row r="916" ht="14.25" customHeight="1">
      <c r="R916" s="19"/>
      <c r="S916" s="19"/>
      <c r="T916" s="19"/>
      <c r="U916" s="19"/>
      <c r="V916" s="19"/>
      <c r="W916" s="19"/>
      <c r="X916" s="19"/>
    </row>
    <row r="917" ht="14.25" customHeight="1">
      <c r="R917" s="19"/>
      <c r="S917" s="19"/>
      <c r="T917" s="19"/>
      <c r="U917" s="19"/>
      <c r="V917" s="19"/>
      <c r="W917" s="19"/>
      <c r="X917" s="19"/>
    </row>
    <row r="918" ht="14.25" customHeight="1">
      <c r="R918" s="19"/>
      <c r="S918" s="19"/>
      <c r="T918" s="19"/>
      <c r="U918" s="19"/>
      <c r="V918" s="19"/>
      <c r="W918" s="19"/>
      <c r="X918" s="19"/>
    </row>
    <row r="919" ht="14.25" customHeight="1">
      <c r="R919" s="19"/>
      <c r="S919" s="19"/>
      <c r="T919" s="19"/>
      <c r="U919" s="19"/>
      <c r="V919" s="19"/>
      <c r="W919" s="19"/>
      <c r="X919" s="19"/>
    </row>
    <row r="920" ht="14.25" customHeight="1">
      <c r="R920" s="19"/>
      <c r="S920" s="19"/>
      <c r="T920" s="19"/>
      <c r="U920" s="19"/>
      <c r="V920" s="19"/>
      <c r="W920" s="19"/>
      <c r="X920" s="19"/>
    </row>
    <row r="921" ht="14.25" customHeight="1">
      <c r="R921" s="19"/>
      <c r="S921" s="19"/>
      <c r="T921" s="19"/>
      <c r="U921" s="19"/>
      <c r="V921" s="19"/>
      <c r="W921" s="19"/>
      <c r="X921" s="19"/>
    </row>
    <row r="922" ht="14.25" customHeight="1">
      <c r="R922" s="19"/>
      <c r="S922" s="19"/>
      <c r="T922" s="19"/>
      <c r="U922" s="19"/>
      <c r="V922" s="19"/>
      <c r="W922" s="19"/>
      <c r="X922" s="19"/>
    </row>
    <row r="923" ht="14.25" customHeight="1">
      <c r="R923" s="19"/>
      <c r="S923" s="19"/>
      <c r="T923" s="19"/>
      <c r="U923" s="19"/>
      <c r="V923" s="19"/>
      <c r="W923" s="19"/>
      <c r="X923" s="19"/>
    </row>
    <row r="924" ht="14.25" customHeight="1">
      <c r="R924" s="19"/>
      <c r="S924" s="19"/>
      <c r="T924" s="19"/>
      <c r="U924" s="19"/>
      <c r="V924" s="19"/>
      <c r="W924" s="19"/>
      <c r="X924" s="19"/>
    </row>
    <row r="925" ht="14.25" customHeight="1">
      <c r="R925" s="19"/>
      <c r="S925" s="19"/>
      <c r="T925" s="19"/>
      <c r="U925" s="19"/>
      <c r="V925" s="19"/>
      <c r="W925" s="19"/>
      <c r="X925" s="19"/>
    </row>
    <row r="926" ht="14.25" customHeight="1">
      <c r="R926" s="19"/>
      <c r="S926" s="19"/>
      <c r="T926" s="19"/>
      <c r="U926" s="19"/>
      <c r="V926" s="19"/>
      <c r="W926" s="19"/>
      <c r="X926" s="19"/>
    </row>
    <row r="927" ht="14.25" customHeight="1">
      <c r="R927" s="19"/>
      <c r="S927" s="19"/>
      <c r="T927" s="19"/>
      <c r="U927" s="19"/>
      <c r="V927" s="19"/>
      <c r="W927" s="19"/>
      <c r="X927" s="19"/>
    </row>
    <row r="928" ht="14.25" customHeight="1">
      <c r="R928" s="19"/>
      <c r="S928" s="19"/>
      <c r="T928" s="19"/>
      <c r="U928" s="19"/>
      <c r="V928" s="19"/>
      <c r="W928" s="19"/>
      <c r="X928" s="19"/>
    </row>
    <row r="929" ht="14.25" customHeight="1">
      <c r="R929" s="19"/>
      <c r="S929" s="19"/>
      <c r="T929" s="19"/>
      <c r="U929" s="19"/>
      <c r="V929" s="19"/>
      <c r="W929" s="19"/>
      <c r="X929" s="19"/>
    </row>
    <row r="930" ht="14.25" customHeight="1">
      <c r="R930" s="19"/>
      <c r="S930" s="19"/>
      <c r="T930" s="19"/>
      <c r="U930" s="19"/>
      <c r="V930" s="19"/>
      <c r="W930" s="19"/>
      <c r="X930" s="19"/>
    </row>
    <row r="931" ht="14.25" customHeight="1">
      <c r="R931" s="19"/>
      <c r="S931" s="19"/>
      <c r="T931" s="19"/>
      <c r="U931" s="19"/>
      <c r="V931" s="19"/>
      <c r="W931" s="19"/>
      <c r="X931" s="19"/>
    </row>
    <row r="932" ht="14.25" customHeight="1">
      <c r="R932" s="19"/>
      <c r="S932" s="19"/>
      <c r="T932" s="19"/>
      <c r="U932" s="19"/>
      <c r="V932" s="19"/>
      <c r="W932" s="19"/>
      <c r="X932" s="19"/>
    </row>
    <row r="933" ht="14.25" customHeight="1">
      <c r="R933" s="19"/>
      <c r="S933" s="19"/>
      <c r="T933" s="19"/>
      <c r="U933" s="19"/>
      <c r="V933" s="19"/>
      <c r="W933" s="19"/>
      <c r="X933" s="19"/>
    </row>
    <row r="934" ht="14.25" customHeight="1">
      <c r="R934" s="19"/>
      <c r="S934" s="19"/>
      <c r="T934" s="19"/>
      <c r="U934" s="19"/>
      <c r="V934" s="19"/>
      <c r="W934" s="19"/>
      <c r="X934" s="19"/>
    </row>
    <row r="935" ht="14.25" customHeight="1">
      <c r="R935" s="19"/>
      <c r="S935" s="19"/>
      <c r="T935" s="19"/>
      <c r="U935" s="19"/>
      <c r="V935" s="19"/>
      <c r="W935" s="19"/>
      <c r="X935" s="19"/>
    </row>
    <row r="936" ht="14.25" customHeight="1">
      <c r="R936" s="19"/>
      <c r="S936" s="19"/>
      <c r="T936" s="19"/>
      <c r="U936" s="19"/>
      <c r="V936" s="19"/>
      <c r="W936" s="19"/>
      <c r="X936" s="19"/>
    </row>
    <row r="937" ht="14.25" customHeight="1">
      <c r="R937" s="19"/>
      <c r="S937" s="19"/>
      <c r="T937" s="19"/>
      <c r="U937" s="19"/>
      <c r="V937" s="19"/>
      <c r="W937" s="19"/>
      <c r="X937" s="19"/>
    </row>
    <row r="938" ht="14.25" customHeight="1">
      <c r="R938" s="19"/>
      <c r="S938" s="19"/>
      <c r="T938" s="19"/>
      <c r="U938" s="19"/>
      <c r="V938" s="19"/>
      <c r="W938" s="19"/>
      <c r="X938" s="19"/>
    </row>
    <row r="939" ht="14.25" customHeight="1">
      <c r="R939" s="19"/>
      <c r="S939" s="19"/>
      <c r="T939" s="19"/>
      <c r="U939" s="19"/>
      <c r="V939" s="19"/>
      <c r="W939" s="19"/>
      <c r="X939" s="19"/>
    </row>
    <row r="940" ht="14.25" customHeight="1">
      <c r="R940" s="19"/>
      <c r="S940" s="19"/>
      <c r="T940" s="19"/>
      <c r="U940" s="19"/>
      <c r="V940" s="19"/>
      <c r="W940" s="19"/>
      <c r="X940" s="19"/>
    </row>
    <row r="941" ht="14.25" customHeight="1">
      <c r="R941" s="19"/>
      <c r="S941" s="19"/>
      <c r="T941" s="19"/>
      <c r="U941" s="19"/>
      <c r="V941" s="19"/>
      <c r="W941" s="19"/>
      <c r="X941" s="19"/>
    </row>
    <row r="942" ht="14.25" customHeight="1">
      <c r="R942" s="19"/>
      <c r="S942" s="19"/>
      <c r="T942" s="19"/>
      <c r="U942" s="19"/>
      <c r="V942" s="19"/>
      <c r="W942" s="19"/>
      <c r="X942" s="19"/>
    </row>
    <row r="943" ht="14.25" customHeight="1">
      <c r="R943" s="19"/>
      <c r="S943" s="19"/>
      <c r="T943" s="19"/>
      <c r="U943" s="19"/>
      <c r="V943" s="19"/>
      <c r="W943" s="19"/>
      <c r="X943" s="19"/>
    </row>
    <row r="944" ht="14.25" customHeight="1">
      <c r="R944" s="19"/>
      <c r="S944" s="19"/>
      <c r="T944" s="19"/>
      <c r="U944" s="19"/>
      <c r="V944" s="19"/>
      <c r="W944" s="19"/>
      <c r="X944" s="19"/>
    </row>
    <row r="945" ht="14.25" customHeight="1">
      <c r="R945" s="19"/>
      <c r="S945" s="19"/>
      <c r="T945" s="19"/>
      <c r="U945" s="19"/>
      <c r="V945" s="19"/>
      <c r="W945" s="19"/>
      <c r="X945" s="19"/>
    </row>
    <row r="946" ht="14.25" customHeight="1">
      <c r="R946" s="19"/>
      <c r="S946" s="19"/>
      <c r="T946" s="19"/>
      <c r="U946" s="19"/>
      <c r="V946" s="19"/>
      <c r="W946" s="19"/>
      <c r="X946" s="19"/>
    </row>
    <row r="947" ht="14.25" customHeight="1">
      <c r="R947" s="19"/>
      <c r="S947" s="19"/>
      <c r="T947" s="19"/>
      <c r="U947" s="19"/>
      <c r="V947" s="19"/>
      <c r="W947" s="19"/>
      <c r="X947" s="19"/>
    </row>
    <row r="948" ht="14.25" customHeight="1">
      <c r="R948" s="19"/>
      <c r="S948" s="19"/>
      <c r="T948" s="19"/>
      <c r="U948" s="19"/>
      <c r="V948" s="19"/>
      <c r="W948" s="19"/>
      <c r="X948" s="19"/>
    </row>
    <row r="949" ht="14.25" customHeight="1">
      <c r="R949" s="19"/>
      <c r="S949" s="19"/>
      <c r="T949" s="19"/>
      <c r="U949" s="19"/>
      <c r="V949" s="19"/>
      <c r="W949" s="19"/>
      <c r="X949" s="19"/>
    </row>
    <row r="950" ht="14.25" customHeight="1">
      <c r="R950" s="19"/>
      <c r="S950" s="19"/>
      <c r="T950" s="19"/>
      <c r="U950" s="19"/>
      <c r="V950" s="19"/>
      <c r="W950" s="19"/>
      <c r="X950" s="19"/>
    </row>
    <row r="951" ht="14.25" customHeight="1">
      <c r="R951" s="19"/>
      <c r="S951" s="19"/>
      <c r="T951" s="19"/>
      <c r="U951" s="19"/>
      <c r="V951" s="19"/>
      <c r="W951" s="19"/>
      <c r="X951" s="19"/>
    </row>
    <row r="952" ht="14.25" customHeight="1">
      <c r="R952" s="19"/>
      <c r="S952" s="19"/>
      <c r="T952" s="19"/>
      <c r="U952" s="19"/>
      <c r="V952" s="19"/>
      <c r="W952" s="19"/>
      <c r="X952" s="19"/>
    </row>
    <row r="953" ht="14.25" customHeight="1">
      <c r="R953" s="19"/>
      <c r="S953" s="19"/>
      <c r="T953" s="19"/>
      <c r="U953" s="19"/>
      <c r="V953" s="19"/>
      <c r="W953" s="19"/>
      <c r="X953" s="19"/>
    </row>
    <row r="954" ht="14.25" customHeight="1">
      <c r="R954" s="19"/>
      <c r="S954" s="19"/>
      <c r="T954" s="19"/>
      <c r="U954" s="19"/>
      <c r="V954" s="19"/>
      <c r="W954" s="19"/>
      <c r="X954" s="19"/>
    </row>
    <row r="955" ht="14.25" customHeight="1">
      <c r="R955" s="19"/>
      <c r="S955" s="19"/>
      <c r="T955" s="19"/>
      <c r="U955" s="19"/>
      <c r="V955" s="19"/>
      <c r="W955" s="19"/>
      <c r="X955" s="19"/>
    </row>
    <row r="956" ht="14.25" customHeight="1">
      <c r="R956" s="19"/>
      <c r="S956" s="19"/>
      <c r="T956" s="19"/>
      <c r="U956" s="19"/>
      <c r="V956" s="19"/>
      <c r="W956" s="19"/>
      <c r="X956" s="19"/>
    </row>
    <row r="957" ht="14.25" customHeight="1">
      <c r="R957" s="19"/>
      <c r="S957" s="19"/>
      <c r="T957" s="19"/>
      <c r="U957" s="19"/>
      <c r="V957" s="19"/>
      <c r="W957" s="19"/>
      <c r="X957" s="19"/>
    </row>
    <row r="958" ht="14.25" customHeight="1">
      <c r="R958" s="19"/>
      <c r="S958" s="19"/>
      <c r="T958" s="19"/>
      <c r="U958" s="19"/>
      <c r="V958" s="19"/>
      <c r="W958" s="19"/>
      <c r="X958" s="19"/>
    </row>
    <row r="959" ht="14.25" customHeight="1">
      <c r="R959" s="19"/>
      <c r="S959" s="19"/>
      <c r="T959" s="19"/>
      <c r="U959" s="19"/>
      <c r="V959" s="19"/>
      <c r="W959" s="19"/>
      <c r="X959" s="19"/>
    </row>
    <row r="960" ht="14.25" customHeight="1">
      <c r="R960" s="19"/>
      <c r="S960" s="19"/>
      <c r="T960" s="19"/>
      <c r="U960" s="19"/>
      <c r="V960" s="19"/>
      <c r="W960" s="19"/>
      <c r="X960" s="19"/>
    </row>
    <row r="961" ht="14.25" customHeight="1">
      <c r="R961" s="19"/>
      <c r="S961" s="19"/>
      <c r="T961" s="19"/>
      <c r="U961" s="19"/>
      <c r="V961" s="19"/>
      <c r="W961" s="19"/>
      <c r="X961" s="19"/>
    </row>
    <row r="962" ht="14.25" customHeight="1">
      <c r="R962" s="19"/>
      <c r="S962" s="19"/>
      <c r="T962" s="19"/>
      <c r="U962" s="19"/>
      <c r="V962" s="19"/>
      <c r="W962" s="19"/>
      <c r="X962" s="19"/>
    </row>
    <row r="963" ht="14.25" customHeight="1">
      <c r="R963" s="19"/>
      <c r="S963" s="19"/>
      <c r="T963" s="19"/>
      <c r="U963" s="19"/>
      <c r="V963" s="19"/>
      <c r="W963" s="19"/>
      <c r="X963" s="19"/>
    </row>
    <row r="964" ht="14.25" customHeight="1">
      <c r="R964" s="19"/>
      <c r="S964" s="19"/>
      <c r="T964" s="19"/>
      <c r="U964" s="19"/>
      <c r="V964" s="19"/>
      <c r="W964" s="19"/>
      <c r="X964" s="19"/>
    </row>
    <row r="965" ht="14.25" customHeight="1">
      <c r="R965" s="19"/>
      <c r="S965" s="19"/>
      <c r="T965" s="19"/>
      <c r="U965" s="19"/>
      <c r="V965" s="19"/>
      <c r="W965" s="19"/>
      <c r="X965" s="19"/>
    </row>
    <row r="966" ht="14.25" customHeight="1">
      <c r="R966" s="19"/>
      <c r="S966" s="19"/>
      <c r="T966" s="19"/>
      <c r="U966" s="19"/>
      <c r="V966" s="19"/>
      <c r="W966" s="19"/>
      <c r="X966" s="19"/>
    </row>
    <row r="967" ht="14.25" customHeight="1">
      <c r="R967" s="19"/>
      <c r="S967" s="19"/>
      <c r="T967" s="19"/>
      <c r="U967" s="19"/>
      <c r="V967" s="19"/>
      <c r="W967" s="19"/>
      <c r="X967" s="19"/>
    </row>
    <row r="968" ht="14.25" customHeight="1">
      <c r="R968" s="19"/>
      <c r="S968" s="19"/>
      <c r="T968" s="19"/>
      <c r="U968" s="19"/>
      <c r="V968" s="19"/>
      <c r="W968" s="19"/>
      <c r="X968" s="19"/>
    </row>
    <row r="969" ht="14.25" customHeight="1">
      <c r="R969" s="19"/>
      <c r="S969" s="19"/>
      <c r="T969" s="19"/>
      <c r="U969" s="19"/>
      <c r="V969" s="19"/>
      <c r="W969" s="19"/>
      <c r="X969" s="19"/>
    </row>
    <row r="970" ht="14.25" customHeight="1">
      <c r="R970" s="19"/>
      <c r="S970" s="19"/>
      <c r="T970" s="19"/>
      <c r="U970" s="19"/>
      <c r="V970" s="19"/>
      <c r="W970" s="19"/>
      <c r="X970" s="19"/>
    </row>
    <row r="971" ht="14.25" customHeight="1">
      <c r="R971" s="19"/>
      <c r="S971" s="19"/>
      <c r="T971" s="19"/>
      <c r="U971" s="19"/>
      <c r="V971" s="19"/>
      <c r="W971" s="19"/>
      <c r="X971" s="19"/>
    </row>
    <row r="972" ht="14.25" customHeight="1">
      <c r="R972" s="19"/>
      <c r="S972" s="19"/>
      <c r="T972" s="19"/>
      <c r="U972" s="19"/>
      <c r="V972" s="19"/>
      <c r="W972" s="19"/>
      <c r="X972" s="19"/>
    </row>
    <row r="973" ht="14.25" customHeight="1">
      <c r="R973" s="19"/>
      <c r="S973" s="19"/>
      <c r="T973" s="19"/>
      <c r="U973" s="19"/>
      <c r="V973" s="19"/>
      <c r="W973" s="19"/>
      <c r="X973" s="19"/>
    </row>
    <row r="974" ht="14.25" customHeight="1">
      <c r="R974" s="19"/>
      <c r="S974" s="19"/>
      <c r="T974" s="19"/>
      <c r="U974" s="19"/>
      <c r="V974" s="19"/>
      <c r="W974" s="19"/>
      <c r="X974" s="19"/>
    </row>
    <row r="975" ht="14.25" customHeight="1">
      <c r="R975" s="19"/>
      <c r="S975" s="19"/>
      <c r="T975" s="19"/>
      <c r="U975" s="19"/>
      <c r="V975" s="19"/>
      <c r="W975" s="19"/>
      <c r="X975" s="19"/>
    </row>
    <row r="976" ht="14.25" customHeight="1">
      <c r="R976" s="19"/>
      <c r="S976" s="19"/>
      <c r="T976" s="19"/>
      <c r="U976" s="19"/>
      <c r="V976" s="19"/>
      <c r="W976" s="19"/>
      <c r="X976" s="19"/>
    </row>
    <row r="977" ht="14.25" customHeight="1">
      <c r="R977" s="19"/>
      <c r="S977" s="19"/>
      <c r="T977" s="19"/>
      <c r="U977" s="19"/>
      <c r="V977" s="19"/>
      <c r="W977" s="19"/>
      <c r="X977" s="19"/>
    </row>
    <row r="978" ht="14.25" customHeight="1">
      <c r="R978" s="19"/>
      <c r="S978" s="19"/>
      <c r="T978" s="19"/>
      <c r="U978" s="19"/>
      <c r="V978" s="19"/>
      <c r="W978" s="19"/>
      <c r="X978" s="19"/>
    </row>
    <row r="979" ht="14.25" customHeight="1">
      <c r="R979" s="19"/>
      <c r="S979" s="19"/>
      <c r="T979" s="19"/>
      <c r="U979" s="19"/>
      <c r="V979" s="19"/>
      <c r="W979" s="19"/>
      <c r="X979" s="19"/>
    </row>
    <row r="980" ht="14.25" customHeight="1">
      <c r="R980" s="19"/>
      <c r="S980" s="19"/>
      <c r="T980" s="19"/>
      <c r="U980" s="19"/>
      <c r="V980" s="19"/>
      <c r="W980" s="19"/>
      <c r="X980" s="19"/>
    </row>
    <row r="981" ht="14.25" customHeight="1">
      <c r="R981" s="19"/>
      <c r="S981" s="19"/>
      <c r="T981" s="19"/>
      <c r="U981" s="19"/>
      <c r="V981" s="19"/>
      <c r="W981" s="19"/>
      <c r="X981" s="19"/>
    </row>
    <row r="982" ht="14.25" customHeight="1">
      <c r="R982" s="19"/>
      <c r="S982" s="19"/>
      <c r="T982" s="19"/>
      <c r="U982" s="19"/>
      <c r="V982" s="19"/>
      <c r="W982" s="19"/>
      <c r="X982" s="19"/>
    </row>
    <row r="983" ht="14.25" customHeight="1">
      <c r="R983" s="19"/>
      <c r="S983" s="19"/>
      <c r="T983" s="19"/>
      <c r="U983" s="19"/>
      <c r="V983" s="19"/>
      <c r="W983" s="19"/>
      <c r="X983" s="19"/>
    </row>
    <row r="984" ht="14.25" customHeight="1">
      <c r="R984" s="19"/>
      <c r="S984" s="19"/>
      <c r="T984" s="19"/>
      <c r="U984" s="19"/>
      <c r="V984" s="19"/>
      <c r="W984" s="19"/>
      <c r="X984" s="19"/>
    </row>
    <row r="985" ht="14.25" customHeight="1">
      <c r="R985" s="19"/>
      <c r="S985" s="19"/>
      <c r="T985" s="19"/>
      <c r="U985" s="19"/>
      <c r="V985" s="19"/>
      <c r="W985" s="19"/>
      <c r="X985" s="19"/>
    </row>
    <row r="986" ht="14.25" customHeight="1">
      <c r="R986" s="19"/>
      <c r="S986" s="19"/>
      <c r="T986" s="19"/>
      <c r="U986" s="19"/>
      <c r="V986" s="19"/>
      <c r="W986" s="19"/>
      <c r="X986" s="19"/>
    </row>
    <row r="987" ht="14.25" customHeight="1">
      <c r="R987" s="19"/>
      <c r="S987" s="19"/>
      <c r="T987" s="19"/>
      <c r="U987" s="19"/>
      <c r="V987" s="19"/>
      <c r="W987" s="19"/>
      <c r="X987" s="19"/>
    </row>
    <row r="988" ht="14.25" customHeight="1">
      <c r="R988" s="19"/>
      <c r="S988" s="19"/>
      <c r="T988" s="19"/>
      <c r="U988" s="19"/>
      <c r="V988" s="19"/>
      <c r="W988" s="19"/>
      <c r="X988" s="19"/>
    </row>
    <row r="989" ht="14.25" customHeight="1">
      <c r="R989" s="19"/>
      <c r="S989" s="19"/>
      <c r="T989" s="19"/>
      <c r="U989" s="19"/>
      <c r="V989" s="19"/>
      <c r="W989" s="19"/>
      <c r="X989" s="19"/>
    </row>
    <row r="990" ht="14.25" customHeight="1">
      <c r="R990" s="19"/>
      <c r="S990" s="19"/>
      <c r="T990" s="19"/>
      <c r="U990" s="19"/>
      <c r="V990" s="19"/>
      <c r="W990" s="19"/>
      <c r="X990" s="19"/>
    </row>
    <row r="991" ht="14.25" customHeight="1">
      <c r="R991" s="19"/>
      <c r="S991" s="19"/>
      <c r="T991" s="19"/>
      <c r="U991" s="19"/>
      <c r="V991" s="19"/>
      <c r="W991" s="19"/>
      <c r="X991" s="19"/>
    </row>
    <row r="992" ht="14.25" customHeight="1">
      <c r="R992" s="19"/>
      <c r="S992" s="19"/>
      <c r="T992" s="19"/>
      <c r="U992" s="19"/>
      <c r="V992" s="19"/>
      <c r="W992" s="19"/>
      <c r="X992" s="19"/>
    </row>
    <row r="993" ht="14.25" customHeight="1">
      <c r="R993" s="19"/>
      <c r="S993" s="19"/>
      <c r="T993" s="19"/>
      <c r="U993" s="19"/>
      <c r="V993" s="19"/>
      <c r="W993" s="19"/>
      <c r="X993" s="19"/>
    </row>
    <row r="994" ht="14.25" customHeight="1">
      <c r="R994" s="19"/>
      <c r="S994" s="19"/>
      <c r="T994" s="19"/>
      <c r="U994" s="19"/>
      <c r="V994" s="19"/>
      <c r="W994" s="19"/>
      <c r="X994" s="19"/>
    </row>
    <row r="995" ht="14.25" customHeight="1">
      <c r="R995" s="19"/>
      <c r="S995" s="19"/>
      <c r="T995" s="19"/>
      <c r="U995" s="19"/>
      <c r="V995" s="19"/>
      <c r="W995" s="19"/>
      <c r="X995" s="19"/>
    </row>
    <row r="996" ht="14.25" customHeight="1">
      <c r="R996" s="19"/>
      <c r="S996" s="19"/>
      <c r="T996" s="19"/>
      <c r="U996" s="19"/>
      <c r="V996" s="19"/>
      <c r="W996" s="19"/>
      <c r="X996" s="19"/>
    </row>
    <row r="997" ht="14.25" customHeight="1">
      <c r="R997" s="19"/>
      <c r="S997" s="19"/>
      <c r="T997" s="19"/>
      <c r="U997" s="19"/>
      <c r="V997" s="19"/>
      <c r="W997" s="19"/>
      <c r="X997" s="19"/>
    </row>
    <row r="998" ht="14.25" customHeight="1">
      <c r="R998" s="19"/>
      <c r="S998" s="19"/>
      <c r="T998" s="19"/>
      <c r="U998" s="19"/>
      <c r="V998" s="19"/>
      <c r="W998" s="19"/>
      <c r="X998" s="19"/>
    </row>
    <row r="999" ht="14.25" customHeight="1">
      <c r="R999" s="19"/>
      <c r="S999" s="19"/>
      <c r="T999" s="19"/>
      <c r="U999" s="19"/>
      <c r="V999" s="19"/>
      <c r="W999" s="19"/>
      <c r="X999" s="19"/>
    </row>
    <row r="1000" ht="14.25" customHeight="1">
      <c r="R1000" s="19"/>
      <c r="S1000" s="19"/>
      <c r="T1000" s="19"/>
      <c r="U1000" s="19"/>
      <c r="V1000" s="19"/>
      <c r="W1000" s="19"/>
      <c r="X1000" s="19"/>
    </row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23.0"/>
    <col customWidth="1" min="4" max="4" width="22.86"/>
    <col customWidth="1" min="5" max="26" width="10.71"/>
  </cols>
  <sheetData>
    <row r="1" ht="42.0" customHeight="1">
      <c r="A1" s="2" t="s">
        <v>588</v>
      </c>
      <c r="B1" s="2" t="s">
        <v>3</v>
      </c>
      <c r="C1" s="17" t="s">
        <v>589</v>
      </c>
      <c r="D1" s="17" t="s">
        <v>590</v>
      </c>
    </row>
    <row r="2" ht="14.25" customHeight="1">
      <c r="A2" s="8">
        <v>10101.0</v>
      </c>
      <c r="B2" s="7" t="s">
        <v>19</v>
      </c>
      <c r="C2" s="18">
        <v>86.46139677093562</v>
      </c>
      <c r="D2" s="18">
        <v>256.43362097923654</v>
      </c>
    </row>
    <row r="3" ht="14.25" customHeight="1">
      <c r="A3" s="8">
        <v>10102.0</v>
      </c>
      <c r="B3" s="7" t="s">
        <v>21</v>
      </c>
      <c r="C3" s="18">
        <v>0.0</v>
      </c>
      <c r="D3" s="18">
        <v>72.02535292422932</v>
      </c>
    </row>
    <row r="4" ht="14.25" customHeight="1">
      <c r="A4" s="8">
        <v>10103.0</v>
      </c>
      <c r="B4" s="7" t="s">
        <v>23</v>
      </c>
      <c r="C4" s="18">
        <v>0.0</v>
      </c>
      <c r="D4" s="18">
        <v>168.03665704418793</v>
      </c>
    </row>
    <row r="5" ht="14.25" customHeight="1">
      <c r="A5" s="8">
        <v>10201.0</v>
      </c>
      <c r="B5" s="7" t="s">
        <v>26</v>
      </c>
      <c r="C5" s="18">
        <v>63.96111164412037</v>
      </c>
      <c r="D5" s="18">
        <v>249.57026906478757</v>
      </c>
    </row>
    <row r="6" ht="14.25" customHeight="1">
      <c r="A6" s="8">
        <v>10202.0</v>
      </c>
      <c r="B6" s="7" t="s">
        <v>28</v>
      </c>
      <c r="C6" s="18">
        <v>46.059601123854264</v>
      </c>
      <c r="D6" s="18">
        <v>141.61527601261992</v>
      </c>
    </row>
    <row r="7" ht="14.25" customHeight="1">
      <c r="A7" s="8">
        <v>10301.0</v>
      </c>
      <c r="B7" s="7" t="s">
        <v>31</v>
      </c>
      <c r="C7" s="18">
        <v>58.18260236304534</v>
      </c>
      <c r="D7" s="18">
        <v>98.77751496128842</v>
      </c>
    </row>
    <row r="8" ht="14.25" customHeight="1">
      <c r="A8" s="8">
        <v>10302.0</v>
      </c>
      <c r="B8" s="7" t="s">
        <v>33</v>
      </c>
      <c r="C8" s="18">
        <v>0.0</v>
      </c>
      <c r="D8" s="18">
        <v>133.08427999774077</v>
      </c>
    </row>
    <row r="9" ht="14.25" customHeight="1">
      <c r="A9" s="8">
        <v>10303.0</v>
      </c>
      <c r="B9" s="7" t="s">
        <v>35</v>
      </c>
      <c r="C9" s="18">
        <v>41.31548504379441</v>
      </c>
      <c r="D9" s="18">
        <v>0.0</v>
      </c>
    </row>
    <row r="10" ht="14.25" customHeight="1">
      <c r="A10" s="8">
        <v>10304.0</v>
      </c>
      <c r="B10" s="7" t="s">
        <v>37</v>
      </c>
      <c r="C10" s="18">
        <v>42.87796929937398</v>
      </c>
      <c r="D10" s="18">
        <v>0.0</v>
      </c>
    </row>
    <row r="11" ht="14.25" customHeight="1">
      <c r="A11" s="8">
        <v>10401.0</v>
      </c>
      <c r="B11" s="7" t="s">
        <v>40</v>
      </c>
      <c r="C11" s="18">
        <v>0.0</v>
      </c>
      <c r="D11" s="18">
        <v>36.263417464461845</v>
      </c>
    </row>
    <row r="12" ht="14.25" customHeight="1">
      <c r="A12" s="8">
        <v>10402.0</v>
      </c>
      <c r="B12" s="7" t="s">
        <v>39</v>
      </c>
      <c r="C12" s="18">
        <v>39.00916715428126</v>
      </c>
      <c r="D12" s="18">
        <v>195.88945717781394</v>
      </c>
    </row>
    <row r="13" ht="14.25" customHeight="1">
      <c r="A13" s="8">
        <v>10403.0</v>
      </c>
      <c r="B13" s="7" t="s">
        <v>43</v>
      </c>
      <c r="C13" s="18">
        <v>411.44903088491765</v>
      </c>
      <c r="D13" s="18">
        <v>47.80343228643817</v>
      </c>
    </row>
    <row r="14" ht="14.25" customHeight="1">
      <c r="A14" s="8">
        <v>10404.0</v>
      </c>
      <c r="B14" s="7" t="s">
        <v>45</v>
      </c>
      <c r="C14" s="18">
        <v>0.0</v>
      </c>
      <c r="D14" s="18">
        <v>84.23890152472411</v>
      </c>
    </row>
    <row r="15" ht="14.25" customHeight="1">
      <c r="A15" s="8">
        <v>10405.0</v>
      </c>
      <c r="B15" s="7" t="s">
        <v>47</v>
      </c>
      <c r="C15" s="18">
        <v>0.0</v>
      </c>
      <c r="D15" s="18">
        <v>0.0</v>
      </c>
    </row>
    <row r="16" ht="14.25" customHeight="1">
      <c r="A16" s="8">
        <v>10501.0</v>
      </c>
      <c r="B16" s="7" t="s">
        <v>50</v>
      </c>
      <c r="C16" s="18">
        <v>0.0</v>
      </c>
      <c r="D16" s="18">
        <v>108.76144649138617</v>
      </c>
    </row>
    <row r="17" ht="14.25" customHeight="1">
      <c r="A17" s="8">
        <v>10502.0</v>
      </c>
      <c r="B17" s="7" t="s">
        <v>52</v>
      </c>
      <c r="C17" s="18">
        <v>0.0</v>
      </c>
      <c r="D17" s="18">
        <v>0.0</v>
      </c>
    </row>
    <row r="18" ht="14.25" customHeight="1">
      <c r="A18" s="8">
        <v>10601.0</v>
      </c>
      <c r="B18" s="7" t="s">
        <v>55</v>
      </c>
      <c r="C18" s="18">
        <v>118.83550252559775</v>
      </c>
      <c r="D18" s="18">
        <v>219.17057232480954</v>
      </c>
    </row>
    <row r="19" ht="14.25" customHeight="1">
      <c r="A19" s="8">
        <v>10602.0</v>
      </c>
      <c r="B19" s="7" t="s">
        <v>54</v>
      </c>
      <c r="C19" s="18">
        <v>132.76854153648057</v>
      </c>
      <c r="D19" s="18">
        <v>77.39470870270084</v>
      </c>
    </row>
    <row r="20" ht="14.25" customHeight="1">
      <c r="A20" s="8">
        <v>10701.0</v>
      </c>
      <c r="B20" s="7" t="s">
        <v>59</v>
      </c>
      <c r="C20" s="18">
        <v>192.02999131243712</v>
      </c>
      <c r="D20" s="18">
        <v>67.72815527699036</v>
      </c>
    </row>
    <row r="21" ht="14.25" customHeight="1">
      <c r="A21" s="8">
        <v>10702.0</v>
      </c>
      <c r="B21" s="7" t="s">
        <v>61</v>
      </c>
      <c r="C21" s="18">
        <v>0.0</v>
      </c>
      <c r="D21" s="18">
        <v>222.16609869637287</v>
      </c>
    </row>
    <row r="22" ht="14.25" customHeight="1">
      <c r="A22" s="8">
        <v>10703.0</v>
      </c>
      <c r="B22" s="7" t="s">
        <v>63</v>
      </c>
      <c r="C22" s="18">
        <v>0.0</v>
      </c>
      <c r="D22" s="18">
        <v>204.3585498021396</v>
      </c>
    </row>
    <row r="23" ht="14.25" customHeight="1">
      <c r="A23" s="8">
        <v>10704.0</v>
      </c>
      <c r="B23" s="7" t="s">
        <v>64</v>
      </c>
      <c r="C23" s="18">
        <v>0.0</v>
      </c>
      <c r="D23" s="18">
        <v>0.0</v>
      </c>
    </row>
    <row r="24" ht="14.25" customHeight="1">
      <c r="A24" s="8">
        <v>10801.0</v>
      </c>
      <c r="B24" s="7" t="s">
        <v>67</v>
      </c>
      <c r="C24" s="18">
        <v>29.865902099572917</v>
      </c>
      <c r="D24" s="18">
        <v>143.73354932772256</v>
      </c>
    </row>
    <row r="25" ht="14.25" customHeight="1">
      <c r="A25" s="8">
        <v>10901.0</v>
      </c>
      <c r="B25" s="7" t="s">
        <v>70</v>
      </c>
      <c r="C25" s="18">
        <v>0.0</v>
      </c>
      <c r="D25" s="18">
        <v>0.0</v>
      </c>
    </row>
    <row r="26" ht="14.25" customHeight="1">
      <c r="A26" s="8">
        <v>10902.0</v>
      </c>
      <c r="B26" s="7" t="s">
        <v>68</v>
      </c>
      <c r="C26" s="18">
        <v>0.0</v>
      </c>
      <c r="D26" s="18">
        <v>0.0</v>
      </c>
    </row>
    <row r="27" ht="14.25" customHeight="1">
      <c r="A27" s="8">
        <v>10903.0</v>
      </c>
      <c r="B27" s="7" t="s">
        <v>72</v>
      </c>
      <c r="C27" s="18">
        <v>0.0</v>
      </c>
      <c r="D27" s="18">
        <v>66.45401382243487</v>
      </c>
    </row>
    <row r="28" ht="14.25" customHeight="1">
      <c r="A28" s="8">
        <v>11001.0</v>
      </c>
      <c r="B28" s="7" t="s">
        <v>74</v>
      </c>
      <c r="C28" s="18">
        <v>33.27676283651126</v>
      </c>
      <c r="D28" s="18">
        <v>102.13543227108158</v>
      </c>
    </row>
    <row r="29" ht="14.25" customHeight="1">
      <c r="A29" s="8">
        <v>11002.0</v>
      </c>
      <c r="B29" s="7" t="s">
        <v>75</v>
      </c>
      <c r="C29" s="18">
        <v>0.0</v>
      </c>
      <c r="D29" s="18">
        <v>0.0</v>
      </c>
    </row>
    <row r="30" ht="14.25" customHeight="1">
      <c r="A30" s="8">
        <v>11003.0</v>
      </c>
      <c r="B30" s="7" t="s">
        <v>76</v>
      </c>
      <c r="C30" s="18">
        <v>44.93574188909859</v>
      </c>
      <c r="D30" s="18">
        <v>91.85277991337391</v>
      </c>
    </row>
    <row r="31" ht="14.25" customHeight="1">
      <c r="A31" s="8">
        <v>20101.0</v>
      </c>
      <c r="B31" s="7" t="s">
        <v>80</v>
      </c>
      <c r="C31" s="18">
        <v>207.76604065135416</v>
      </c>
      <c r="D31" s="18">
        <v>393.4839017534254</v>
      </c>
    </row>
    <row r="32" ht="14.25" customHeight="1">
      <c r="A32" s="8">
        <v>20102.0</v>
      </c>
      <c r="B32" s="7" t="s">
        <v>81</v>
      </c>
      <c r="C32" s="18">
        <v>0.0</v>
      </c>
      <c r="D32" s="18">
        <v>170.90442153696551</v>
      </c>
    </row>
    <row r="33" ht="14.25" customHeight="1">
      <c r="A33" s="8">
        <v>20103.0</v>
      </c>
      <c r="B33" s="7" t="s">
        <v>82</v>
      </c>
      <c r="C33" s="18">
        <v>0.0</v>
      </c>
      <c r="D33" s="18">
        <v>83.40089041887852</v>
      </c>
    </row>
    <row r="34" ht="14.25" customHeight="1">
      <c r="A34" s="8">
        <v>20104.0</v>
      </c>
      <c r="B34" s="7" t="s">
        <v>83</v>
      </c>
      <c r="C34" s="18">
        <v>0.0</v>
      </c>
      <c r="D34" s="18">
        <v>96.84904617120453</v>
      </c>
    </row>
    <row r="35" ht="14.25" customHeight="1">
      <c r="A35" s="8">
        <v>20105.0</v>
      </c>
      <c r="B35" s="7" t="s">
        <v>84</v>
      </c>
      <c r="C35" s="18">
        <v>135.97852108081304</v>
      </c>
      <c r="D35" s="18">
        <v>441.82853520785255</v>
      </c>
    </row>
    <row r="36" ht="14.25" customHeight="1">
      <c r="A36" s="8">
        <v>20201.0</v>
      </c>
      <c r="B36" s="7" t="s">
        <v>86</v>
      </c>
      <c r="C36" s="18">
        <v>477.05049235348514</v>
      </c>
      <c r="D36" s="18">
        <v>155.50941146808316</v>
      </c>
    </row>
    <row r="37" ht="14.25" customHeight="1">
      <c r="A37" s="8">
        <v>20202.0</v>
      </c>
      <c r="B37" s="7" t="s">
        <v>87</v>
      </c>
      <c r="C37" s="18">
        <v>0.0</v>
      </c>
      <c r="D37" s="18">
        <v>40.07614467488228</v>
      </c>
    </row>
    <row r="38" ht="14.25" customHeight="1">
      <c r="A38" s="8">
        <v>20203.0</v>
      </c>
      <c r="B38" s="7" t="s">
        <v>88</v>
      </c>
      <c r="C38" s="18">
        <v>0.0</v>
      </c>
      <c r="D38" s="18">
        <v>0.0</v>
      </c>
    </row>
    <row r="39" ht="14.25" customHeight="1">
      <c r="A39" s="8">
        <v>20204.0</v>
      </c>
      <c r="B39" s="7" t="s">
        <v>89</v>
      </c>
      <c r="C39" s="18">
        <v>0.0</v>
      </c>
      <c r="D39" s="18">
        <v>0.0</v>
      </c>
    </row>
    <row r="40" ht="14.25" customHeight="1">
      <c r="A40" s="8">
        <v>20205.0</v>
      </c>
      <c r="B40" s="7" t="s">
        <v>91</v>
      </c>
      <c r="C40" s="18">
        <v>0.0</v>
      </c>
      <c r="D40" s="18">
        <v>0.0</v>
      </c>
    </row>
    <row r="41" ht="14.25" customHeight="1">
      <c r="A41" s="8">
        <v>20206.0</v>
      </c>
      <c r="B41" s="7" t="s">
        <v>92</v>
      </c>
      <c r="C41" s="18">
        <v>0.0</v>
      </c>
      <c r="D41" s="18">
        <v>0.0</v>
      </c>
    </row>
    <row r="42" ht="14.25" customHeight="1">
      <c r="A42" s="8">
        <v>20301.0</v>
      </c>
      <c r="B42" s="7" t="s">
        <v>95</v>
      </c>
      <c r="C42" s="18">
        <v>0.0</v>
      </c>
      <c r="D42" s="18">
        <v>50.107983947847664</v>
      </c>
    </row>
    <row r="43" ht="14.25" customHeight="1">
      <c r="A43" s="8">
        <v>20302.0</v>
      </c>
      <c r="B43" s="7" t="s">
        <v>96</v>
      </c>
      <c r="C43" s="18">
        <v>0.0</v>
      </c>
      <c r="D43" s="18">
        <v>0.0</v>
      </c>
    </row>
    <row r="44" ht="14.25" customHeight="1">
      <c r="A44" s="8">
        <v>20303.0</v>
      </c>
      <c r="B44" s="7" t="s">
        <v>98</v>
      </c>
      <c r="C44" s="18">
        <v>0.0</v>
      </c>
      <c r="D44" s="18">
        <v>28.17933327697467</v>
      </c>
    </row>
    <row r="45" ht="14.25" customHeight="1">
      <c r="A45" s="8">
        <v>20304.0</v>
      </c>
      <c r="B45" s="7" t="s">
        <v>99</v>
      </c>
      <c r="C45" s="18">
        <v>0.0</v>
      </c>
      <c r="D45" s="18">
        <v>130.14457042946745</v>
      </c>
    </row>
    <row r="46" ht="14.25" customHeight="1">
      <c r="A46" s="8">
        <v>20305.0</v>
      </c>
      <c r="B46" s="7" t="s">
        <v>101</v>
      </c>
      <c r="C46" s="18">
        <v>0.0</v>
      </c>
      <c r="D46" s="18">
        <v>0.0</v>
      </c>
    </row>
    <row r="47" ht="14.25" customHeight="1">
      <c r="A47" s="8">
        <v>20306.0</v>
      </c>
      <c r="B47" s="7" t="s">
        <v>103</v>
      </c>
      <c r="C47" s="18">
        <v>0.0</v>
      </c>
      <c r="D47" s="18">
        <v>0.0</v>
      </c>
    </row>
    <row r="48" ht="14.25" customHeight="1">
      <c r="A48" s="8">
        <v>20307.0</v>
      </c>
      <c r="B48" s="7" t="s">
        <v>104</v>
      </c>
      <c r="C48" s="18">
        <v>0.0</v>
      </c>
      <c r="D48" s="18">
        <v>82.87750704458809</v>
      </c>
    </row>
    <row r="49" ht="14.25" customHeight="1">
      <c r="A49" s="8">
        <v>20308.0</v>
      </c>
      <c r="B49" s="7" t="s">
        <v>105</v>
      </c>
      <c r="C49" s="18">
        <v>0.0</v>
      </c>
      <c r="D49" s="18">
        <v>83.60494324802725</v>
      </c>
    </row>
    <row r="50" ht="14.25" customHeight="1">
      <c r="A50" s="8">
        <v>20401.0</v>
      </c>
      <c r="B50" s="7" t="s">
        <v>108</v>
      </c>
      <c r="C50" s="18">
        <v>0.0</v>
      </c>
      <c r="D50" s="18">
        <v>122.13205489219472</v>
      </c>
    </row>
    <row r="51" ht="14.25" customHeight="1">
      <c r="A51" s="8">
        <v>20402.0</v>
      </c>
      <c r="B51" s="7" t="s">
        <v>110</v>
      </c>
      <c r="C51" s="18">
        <v>0.0</v>
      </c>
      <c r="D51" s="18">
        <v>37.810042347247425</v>
      </c>
    </row>
    <row r="52" ht="14.25" customHeight="1">
      <c r="A52" s="8">
        <v>20403.0</v>
      </c>
      <c r="B52" s="7" t="s">
        <v>112</v>
      </c>
      <c r="C52" s="18">
        <v>0.0</v>
      </c>
      <c r="D52" s="18">
        <v>38.71301209583191</v>
      </c>
    </row>
    <row r="53" ht="14.25" customHeight="1">
      <c r="A53" s="8">
        <v>20404.0</v>
      </c>
      <c r="B53" s="7" t="s">
        <v>114</v>
      </c>
      <c r="C53" s="18">
        <v>0.0</v>
      </c>
      <c r="D53" s="18">
        <v>0.0</v>
      </c>
    </row>
    <row r="54" ht="14.25" customHeight="1">
      <c r="A54" s="8">
        <v>20405.0</v>
      </c>
      <c r="B54" s="7" t="s">
        <v>116</v>
      </c>
      <c r="C54" s="18">
        <v>0.0</v>
      </c>
      <c r="D54" s="18">
        <v>0.0</v>
      </c>
    </row>
    <row r="55" ht="14.25" customHeight="1">
      <c r="A55" s="8">
        <v>20501.0</v>
      </c>
      <c r="B55" s="7" t="s">
        <v>119</v>
      </c>
      <c r="C55" s="18">
        <v>0.0</v>
      </c>
      <c r="D55" s="18">
        <v>38.57066206935498</v>
      </c>
    </row>
    <row r="56" ht="14.25" customHeight="1">
      <c r="A56" s="8">
        <v>20502.0</v>
      </c>
      <c r="B56" s="7" t="s">
        <v>121</v>
      </c>
      <c r="C56" s="18">
        <v>0.0</v>
      </c>
      <c r="D56" s="18">
        <v>37.344088430801406</v>
      </c>
    </row>
    <row r="57" ht="14.25" customHeight="1">
      <c r="A57" s="8">
        <v>20503.0</v>
      </c>
      <c r="B57" s="7" t="s">
        <v>123</v>
      </c>
      <c r="C57" s="18">
        <v>60.66120715802245</v>
      </c>
      <c r="D57" s="18">
        <v>99.19158855329067</v>
      </c>
    </row>
    <row r="58" ht="14.25" customHeight="1">
      <c r="A58" s="8">
        <v>20601.0</v>
      </c>
      <c r="B58" s="7" t="s">
        <v>126</v>
      </c>
      <c r="C58" s="18">
        <v>0.0</v>
      </c>
      <c r="D58" s="18">
        <v>78.8041006776362</v>
      </c>
    </row>
    <row r="59" ht="14.25" customHeight="1">
      <c r="A59" s="8">
        <v>20602.0</v>
      </c>
      <c r="B59" s="7" t="s">
        <v>128</v>
      </c>
      <c r="C59" s="18">
        <v>112.9634715177848</v>
      </c>
      <c r="D59" s="18">
        <v>553.4329685397438</v>
      </c>
    </row>
    <row r="60" ht="14.25" customHeight="1">
      <c r="A60" s="8">
        <v>20603.0</v>
      </c>
      <c r="B60" s="7" t="s">
        <v>130</v>
      </c>
      <c r="C60" s="18">
        <v>0.0</v>
      </c>
      <c r="D60" s="18">
        <v>241.87403125683235</v>
      </c>
    </row>
    <row r="61" ht="14.25" customHeight="1">
      <c r="A61" s="8">
        <v>20604.0</v>
      </c>
      <c r="B61" s="7" t="s">
        <v>132</v>
      </c>
      <c r="C61" s="18">
        <v>0.0</v>
      </c>
      <c r="D61" s="18">
        <v>81.38020833333333</v>
      </c>
    </row>
    <row r="62" ht="14.25" customHeight="1">
      <c r="A62" s="8">
        <v>20605.0</v>
      </c>
      <c r="B62" s="7" t="s">
        <v>134</v>
      </c>
      <c r="C62" s="18">
        <v>0.0</v>
      </c>
      <c r="D62" s="18">
        <v>0.0</v>
      </c>
    </row>
    <row r="63" ht="14.25" customHeight="1">
      <c r="A63" s="8">
        <v>20606.0</v>
      </c>
      <c r="B63" s="7" t="s">
        <v>136</v>
      </c>
      <c r="C63" s="18">
        <v>67.41090266132832</v>
      </c>
      <c r="D63" s="18">
        <v>293.2990340773711</v>
      </c>
    </row>
    <row r="64" ht="14.25" customHeight="1">
      <c r="A64" s="8">
        <v>20607.0</v>
      </c>
      <c r="B64" s="7" t="s">
        <v>138</v>
      </c>
      <c r="C64" s="18">
        <v>0.0</v>
      </c>
      <c r="D64" s="18">
        <v>0.0</v>
      </c>
    </row>
    <row r="65" ht="14.25" customHeight="1">
      <c r="A65" s="8">
        <v>20608.0</v>
      </c>
      <c r="B65" s="7" t="s">
        <v>140</v>
      </c>
      <c r="C65" s="18">
        <v>0.0</v>
      </c>
      <c r="D65" s="18">
        <v>0.0</v>
      </c>
    </row>
    <row r="66" ht="14.25" customHeight="1">
      <c r="A66" s="8">
        <v>20701.0</v>
      </c>
      <c r="B66" s="7" t="s">
        <v>143</v>
      </c>
      <c r="C66" s="18">
        <v>0.0</v>
      </c>
      <c r="D66" s="18">
        <v>121.1144812373912</v>
      </c>
    </row>
    <row r="67" ht="14.25" customHeight="1">
      <c r="A67" s="8">
        <v>20702.0</v>
      </c>
      <c r="B67" s="7" t="s">
        <v>145</v>
      </c>
      <c r="C67" s="18">
        <v>0.0</v>
      </c>
      <c r="D67" s="18">
        <v>36.79175864606328</v>
      </c>
    </row>
    <row r="68" ht="14.25" customHeight="1">
      <c r="A68" s="8">
        <v>20801.0</v>
      </c>
      <c r="B68" s="7" t="s">
        <v>148</v>
      </c>
      <c r="C68" s="18">
        <v>32.55231638484219</v>
      </c>
      <c r="D68" s="18">
        <v>137.23844631789768</v>
      </c>
    </row>
    <row r="69" ht="14.25" customHeight="1">
      <c r="A69" s="8">
        <v>20802.0</v>
      </c>
      <c r="B69" s="7" t="s">
        <v>150</v>
      </c>
      <c r="C69" s="18">
        <v>45.643342918435344</v>
      </c>
      <c r="D69" s="18">
        <v>0.0</v>
      </c>
    </row>
    <row r="70" ht="14.25" customHeight="1">
      <c r="A70" s="8">
        <v>20803.0</v>
      </c>
      <c r="B70" s="7" t="s">
        <v>152</v>
      </c>
      <c r="C70" s="18">
        <v>0.0</v>
      </c>
      <c r="D70" s="18">
        <v>148.08797689941505</v>
      </c>
    </row>
    <row r="71" ht="14.25" customHeight="1">
      <c r="A71" s="8">
        <v>20804.0</v>
      </c>
      <c r="B71" s="7" t="s">
        <v>154</v>
      </c>
      <c r="C71" s="18">
        <v>0.0</v>
      </c>
      <c r="D71" s="18">
        <v>43.03851947493007</v>
      </c>
    </row>
    <row r="72" ht="14.25" customHeight="1">
      <c r="A72" s="8">
        <v>20805.0</v>
      </c>
      <c r="B72" s="7" t="s">
        <v>156</v>
      </c>
      <c r="C72" s="18">
        <v>0.0</v>
      </c>
      <c r="D72" s="18">
        <v>0.0</v>
      </c>
    </row>
    <row r="73" ht="14.25" customHeight="1">
      <c r="A73" s="8">
        <v>20806.0</v>
      </c>
      <c r="B73" s="7" t="s">
        <v>158</v>
      </c>
      <c r="C73" s="18">
        <v>0.0</v>
      </c>
      <c r="D73" s="18">
        <v>0.0</v>
      </c>
    </row>
    <row r="74" ht="14.25" customHeight="1">
      <c r="A74" s="8">
        <v>20807.0</v>
      </c>
      <c r="B74" s="7" t="s">
        <v>160</v>
      </c>
      <c r="C74" s="18">
        <v>0.0</v>
      </c>
      <c r="D74" s="18">
        <v>0.0</v>
      </c>
    </row>
    <row r="75" ht="14.25" customHeight="1">
      <c r="A75" s="8">
        <v>20901.0</v>
      </c>
      <c r="B75" s="7" t="s">
        <v>163</v>
      </c>
      <c r="C75" s="18">
        <v>0.0</v>
      </c>
      <c r="D75" s="18">
        <v>93.22294263686528</v>
      </c>
    </row>
    <row r="76" ht="14.25" customHeight="1">
      <c r="A76" s="8">
        <v>20902.0</v>
      </c>
      <c r="B76" s="7" t="s">
        <v>165</v>
      </c>
      <c r="C76" s="18">
        <v>0.0</v>
      </c>
      <c r="D76" s="18">
        <v>82.0943474458766</v>
      </c>
    </row>
    <row r="77" ht="14.25" customHeight="1">
      <c r="A77" s="8">
        <v>20903.0</v>
      </c>
      <c r="B77" s="7" t="s">
        <v>167</v>
      </c>
      <c r="C77" s="18">
        <v>0.0</v>
      </c>
      <c r="D77" s="18">
        <v>0.0</v>
      </c>
    </row>
    <row r="78" ht="14.25" customHeight="1">
      <c r="A78" s="8">
        <v>20904.0</v>
      </c>
      <c r="B78" s="7" t="s">
        <v>169</v>
      </c>
      <c r="C78" s="18">
        <v>0.0</v>
      </c>
      <c r="D78" s="18">
        <v>126.31047113805734</v>
      </c>
    </row>
    <row r="79" ht="14.25" customHeight="1">
      <c r="A79" s="8">
        <v>20905.0</v>
      </c>
      <c r="B79" s="7" t="s">
        <v>171</v>
      </c>
      <c r="C79" s="18">
        <v>0.0</v>
      </c>
      <c r="D79" s="18">
        <v>0.0</v>
      </c>
    </row>
    <row r="80" ht="14.25" customHeight="1">
      <c r="A80" s="8">
        <v>21001.0</v>
      </c>
      <c r="B80" s="7" t="s">
        <v>173</v>
      </c>
      <c r="C80" s="18">
        <v>67.7503119377006</v>
      </c>
      <c r="D80" s="18">
        <v>17.845352178025234</v>
      </c>
    </row>
    <row r="81" ht="14.25" customHeight="1">
      <c r="A81" s="8">
        <v>21002.0</v>
      </c>
      <c r="B81" s="7" t="s">
        <v>175</v>
      </c>
      <c r="C81" s="18">
        <v>80.65166545689168</v>
      </c>
      <c r="D81" s="18">
        <v>95.03901882707176</v>
      </c>
    </row>
    <row r="82" ht="14.25" customHeight="1">
      <c r="A82" s="8">
        <v>21003.0</v>
      </c>
      <c r="B82" s="7" t="s">
        <v>177</v>
      </c>
      <c r="C82" s="18">
        <v>0.0</v>
      </c>
      <c r="D82" s="18">
        <v>44.03637404496114</v>
      </c>
    </row>
    <row r="83" ht="14.25" customHeight="1">
      <c r="A83" s="8">
        <v>21004.0</v>
      </c>
      <c r="B83" s="7" t="s">
        <v>179</v>
      </c>
      <c r="C83" s="18">
        <v>16.989466530750935</v>
      </c>
      <c r="D83" s="18">
        <v>100.86532273533618</v>
      </c>
    </row>
    <row r="84" ht="14.25" customHeight="1">
      <c r="A84" s="8">
        <v>21005.0</v>
      </c>
      <c r="B84" s="7" t="s">
        <v>181</v>
      </c>
      <c r="C84" s="18">
        <v>0.0</v>
      </c>
      <c r="D84" s="18">
        <v>0.0</v>
      </c>
    </row>
    <row r="85" ht="14.25" customHeight="1">
      <c r="A85" s="8">
        <v>21006.0</v>
      </c>
      <c r="B85" s="7" t="s">
        <v>183</v>
      </c>
      <c r="C85" s="18">
        <v>0.0</v>
      </c>
      <c r="D85" s="18">
        <v>0.0</v>
      </c>
    </row>
    <row r="86" ht="14.25" customHeight="1">
      <c r="A86" s="8">
        <v>21101.0</v>
      </c>
      <c r="B86" s="7" t="s">
        <v>186</v>
      </c>
      <c r="C86" s="18">
        <v>93.42836912899402</v>
      </c>
      <c r="D86" s="18">
        <v>127.8433489364702</v>
      </c>
    </row>
    <row r="87" ht="14.25" customHeight="1">
      <c r="A87" s="8">
        <v>21102.0</v>
      </c>
      <c r="B87" s="7" t="s">
        <v>188</v>
      </c>
      <c r="C87" s="18">
        <v>0.0</v>
      </c>
      <c r="D87" s="18">
        <v>87.49997054752805</v>
      </c>
    </row>
    <row r="88" ht="14.25" customHeight="1">
      <c r="A88" s="8">
        <v>21103.0</v>
      </c>
      <c r="B88" s="7" t="s">
        <v>190</v>
      </c>
      <c r="C88" s="18">
        <v>0.0</v>
      </c>
      <c r="D88" s="18">
        <v>0.0</v>
      </c>
    </row>
    <row r="89" ht="14.25" customHeight="1">
      <c r="A89" s="8">
        <v>21104.0</v>
      </c>
      <c r="B89" s="7" t="s">
        <v>192</v>
      </c>
      <c r="C89" s="18">
        <v>0.0</v>
      </c>
      <c r="D89" s="18">
        <v>160.9695427715627</v>
      </c>
    </row>
    <row r="90" ht="14.25" customHeight="1">
      <c r="A90" s="8">
        <v>21105.0</v>
      </c>
      <c r="B90" s="7" t="s">
        <v>194</v>
      </c>
      <c r="C90" s="18">
        <v>8.734463572919669</v>
      </c>
      <c r="D90" s="18">
        <v>73.7086800468552</v>
      </c>
    </row>
    <row r="91" ht="14.25" customHeight="1">
      <c r="A91" s="8">
        <v>21201.0</v>
      </c>
      <c r="B91" s="7" t="s">
        <v>197</v>
      </c>
      <c r="C91" s="18">
        <v>0.0</v>
      </c>
      <c r="D91" s="18">
        <v>27.903219251366256</v>
      </c>
    </row>
    <row r="92" ht="14.25" customHeight="1">
      <c r="A92" s="8">
        <v>21202.0</v>
      </c>
      <c r="B92" s="7" t="s">
        <v>199</v>
      </c>
      <c r="C92" s="18">
        <v>0.0</v>
      </c>
      <c r="D92" s="18">
        <v>8.8948187680676</v>
      </c>
    </row>
    <row r="93" ht="14.25" customHeight="1">
      <c r="A93" s="8">
        <v>21203.0</v>
      </c>
      <c r="B93" s="7" t="s">
        <v>201</v>
      </c>
      <c r="C93" s="18">
        <v>0.0</v>
      </c>
      <c r="D93" s="18">
        <v>49.159374692753914</v>
      </c>
    </row>
    <row r="94" ht="14.25" customHeight="1">
      <c r="A94" s="8">
        <v>21204.0</v>
      </c>
      <c r="B94" s="7" t="s">
        <v>203</v>
      </c>
      <c r="C94" s="18">
        <v>0.0</v>
      </c>
      <c r="D94" s="18">
        <v>43.48204191668841</v>
      </c>
    </row>
    <row r="95" ht="14.25" customHeight="1">
      <c r="A95" s="8">
        <v>21301.0</v>
      </c>
      <c r="B95" s="7" t="s">
        <v>205</v>
      </c>
      <c r="C95" s="18">
        <v>0.0</v>
      </c>
      <c r="D95" s="18">
        <v>19.800529359614874</v>
      </c>
    </row>
    <row r="96" ht="14.25" customHeight="1">
      <c r="A96" s="8">
        <v>21302.0</v>
      </c>
      <c r="B96" s="7" t="s">
        <v>206</v>
      </c>
      <c r="C96" s="18">
        <v>0.0</v>
      </c>
      <c r="D96" s="18">
        <v>0.0</v>
      </c>
    </row>
    <row r="97" ht="14.25" customHeight="1">
      <c r="A97" s="8">
        <v>21303.0</v>
      </c>
      <c r="B97" s="7" t="s">
        <v>207</v>
      </c>
      <c r="C97" s="18">
        <v>0.0</v>
      </c>
      <c r="D97" s="18">
        <v>29.608574643216674</v>
      </c>
    </row>
    <row r="98" ht="14.25" customHeight="1">
      <c r="A98" s="8">
        <v>21304.0</v>
      </c>
      <c r="B98" s="7" t="s">
        <v>208</v>
      </c>
      <c r="C98" s="18">
        <v>0.0</v>
      </c>
      <c r="D98" s="18">
        <v>132.61377110846686</v>
      </c>
    </row>
    <row r="99" ht="14.25" customHeight="1">
      <c r="A99" s="8">
        <v>21305.0</v>
      </c>
      <c r="B99" s="7" t="s">
        <v>209</v>
      </c>
      <c r="C99" s="18">
        <v>130.68519074130106</v>
      </c>
      <c r="D99" s="18">
        <v>53.42678939352777</v>
      </c>
    </row>
    <row r="100" ht="14.25" customHeight="1">
      <c r="A100" s="8">
        <v>21306.0</v>
      </c>
      <c r="B100" s="7" t="s">
        <v>210</v>
      </c>
      <c r="C100" s="18">
        <v>0.0</v>
      </c>
      <c r="D100" s="18">
        <v>0.0</v>
      </c>
    </row>
    <row r="101" ht="14.25" customHeight="1">
      <c r="A101" s="8">
        <v>21307.0</v>
      </c>
      <c r="B101" s="7" t="s">
        <v>211</v>
      </c>
      <c r="C101" s="18">
        <v>0.0</v>
      </c>
      <c r="D101" s="18">
        <v>61.21824303642486</v>
      </c>
    </row>
    <row r="102" ht="14.25" customHeight="1">
      <c r="A102" s="8">
        <v>21401.0</v>
      </c>
      <c r="B102" s="7" t="s">
        <v>213</v>
      </c>
      <c r="C102" s="18">
        <v>0.0</v>
      </c>
      <c r="D102" s="18">
        <v>124.07283506139065</v>
      </c>
    </row>
    <row r="103" ht="14.25" customHeight="1">
      <c r="A103" s="8">
        <v>21402.0</v>
      </c>
      <c r="B103" s="7" t="s">
        <v>214</v>
      </c>
      <c r="C103" s="18">
        <v>0.0</v>
      </c>
      <c r="D103" s="18">
        <v>72.54346265628098</v>
      </c>
    </row>
    <row r="104" ht="14.25" customHeight="1">
      <c r="A104" s="8">
        <v>21501.0</v>
      </c>
      <c r="B104" s="7" t="s">
        <v>216</v>
      </c>
      <c r="C104" s="18">
        <v>36.94672282568536</v>
      </c>
      <c r="D104" s="18">
        <v>26.46552864893476</v>
      </c>
    </row>
    <row r="105" ht="14.25" customHeight="1">
      <c r="A105" s="8">
        <v>21502.0</v>
      </c>
      <c r="B105" s="7" t="s">
        <v>217</v>
      </c>
      <c r="C105" s="18">
        <v>0.0</v>
      </c>
      <c r="D105" s="18">
        <v>232.45007350040237</v>
      </c>
    </row>
    <row r="106" ht="14.25" customHeight="1">
      <c r="A106" s="8">
        <v>21601.0</v>
      </c>
      <c r="B106" s="7" t="s">
        <v>219</v>
      </c>
      <c r="C106" s="18">
        <v>25.1553341886147</v>
      </c>
      <c r="D106" s="18">
        <v>64.38144407888049</v>
      </c>
    </row>
    <row r="107" ht="14.25" customHeight="1">
      <c r="A107" s="8">
        <v>21602.0</v>
      </c>
      <c r="B107" s="7" t="s">
        <v>220</v>
      </c>
      <c r="C107" s="18">
        <v>0.0</v>
      </c>
      <c r="D107" s="18">
        <v>0.0</v>
      </c>
    </row>
    <row r="108" ht="14.25" customHeight="1">
      <c r="A108" s="8">
        <v>21701.0</v>
      </c>
      <c r="B108" s="7" t="s">
        <v>223</v>
      </c>
      <c r="C108" s="18">
        <v>0.0</v>
      </c>
      <c r="D108" s="18">
        <v>39.12133481994406</v>
      </c>
    </row>
    <row r="109" ht="14.25" customHeight="1">
      <c r="A109" s="8">
        <v>21702.0</v>
      </c>
      <c r="B109" s="7" t="s">
        <v>225</v>
      </c>
      <c r="C109" s="18">
        <v>0.0</v>
      </c>
      <c r="D109" s="18">
        <v>75.99008751525078</v>
      </c>
    </row>
    <row r="110" ht="14.25" customHeight="1">
      <c r="A110" s="8">
        <v>21703.0</v>
      </c>
      <c r="B110" s="7" t="s">
        <v>226</v>
      </c>
      <c r="C110" s="18">
        <v>0.0</v>
      </c>
      <c r="D110" s="18">
        <v>44.29678848283499</v>
      </c>
    </row>
    <row r="111" ht="14.25" customHeight="1">
      <c r="A111" s="8">
        <v>21801.0</v>
      </c>
      <c r="B111" s="7" t="s">
        <v>228</v>
      </c>
      <c r="C111" s="18">
        <v>0.0</v>
      </c>
      <c r="D111" s="18">
        <v>0.0</v>
      </c>
    </row>
    <row r="112" ht="14.25" customHeight="1">
      <c r="A112" s="8">
        <v>21802.0</v>
      </c>
      <c r="B112" s="7" t="s">
        <v>230</v>
      </c>
      <c r="C112" s="18">
        <v>0.0</v>
      </c>
      <c r="D112" s="18">
        <v>49.691910157026435</v>
      </c>
    </row>
    <row r="113" ht="14.25" customHeight="1">
      <c r="A113" s="8">
        <v>21803.0</v>
      </c>
      <c r="B113" s="7" t="s">
        <v>231</v>
      </c>
      <c r="C113" s="18">
        <v>0.0</v>
      </c>
      <c r="D113" s="18">
        <v>0.0</v>
      </c>
    </row>
    <row r="114" ht="14.25" customHeight="1">
      <c r="A114" s="8">
        <v>21901.0</v>
      </c>
      <c r="B114" s="7" t="s">
        <v>233</v>
      </c>
      <c r="C114" s="18">
        <v>0.0</v>
      </c>
      <c r="D114" s="18">
        <v>153.92886893617802</v>
      </c>
    </row>
    <row r="115" ht="14.25" customHeight="1">
      <c r="A115" s="8">
        <v>21902.0</v>
      </c>
      <c r="B115" s="7" t="s">
        <v>234</v>
      </c>
      <c r="C115" s="18">
        <v>0.0</v>
      </c>
      <c r="D115" s="18">
        <v>0.0</v>
      </c>
    </row>
    <row r="116" ht="14.25" customHeight="1">
      <c r="A116" s="8">
        <v>22001.0</v>
      </c>
      <c r="B116" s="7" t="s">
        <v>221</v>
      </c>
      <c r="C116" s="18">
        <v>65.91390399361295</v>
      </c>
      <c r="D116" s="18">
        <v>317.0430462011581</v>
      </c>
    </row>
    <row r="117" ht="14.25" customHeight="1">
      <c r="A117" s="8">
        <v>22002.0</v>
      </c>
      <c r="B117" s="7" t="s">
        <v>235</v>
      </c>
      <c r="C117" s="18">
        <v>0.0</v>
      </c>
      <c r="D117" s="18">
        <v>0.0</v>
      </c>
    </row>
    <row r="118" ht="14.25" customHeight="1">
      <c r="A118" s="8">
        <v>30101.0</v>
      </c>
      <c r="B118" s="7" t="s">
        <v>133</v>
      </c>
      <c r="C118" s="18">
        <v>367.6290871653711</v>
      </c>
      <c r="D118" s="18">
        <v>497.96230582936545</v>
      </c>
    </row>
    <row r="119" ht="14.25" customHeight="1">
      <c r="A119" s="8">
        <v>30201.0</v>
      </c>
      <c r="B119" s="7" t="s">
        <v>109</v>
      </c>
      <c r="C119" s="18">
        <v>557.1376843311635</v>
      </c>
      <c r="D119" s="18">
        <v>201.67724151872548</v>
      </c>
    </row>
    <row r="120" ht="14.25" customHeight="1">
      <c r="A120" s="8">
        <v>30202.0</v>
      </c>
      <c r="B120" s="7" t="s">
        <v>146</v>
      </c>
      <c r="C120" s="18">
        <v>0.0</v>
      </c>
      <c r="D120" s="18">
        <v>153.93381921736002</v>
      </c>
    </row>
    <row r="121" ht="14.25" customHeight="1">
      <c r="A121" s="8">
        <v>30203.0</v>
      </c>
      <c r="B121" s="7" t="s">
        <v>144</v>
      </c>
      <c r="C121" s="18">
        <v>0.0</v>
      </c>
      <c r="D121" s="18">
        <v>100.16463357742445</v>
      </c>
    </row>
    <row r="122" ht="14.25" customHeight="1">
      <c r="A122" s="8">
        <v>30301.0</v>
      </c>
      <c r="B122" s="7" t="s">
        <v>239</v>
      </c>
      <c r="C122" s="18">
        <v>0.0</v>
      </c>
      <c r="D122" s="18">
        <v>106.4288325556148</v>
      </c>
    </row>
    <row r="123" ht="14.25" customHeight="1">
      <c r="A123" s="8">
        <v>30302.0</v>
      </c>
      <c r="B123" s="7" t="s">
        <v>141</v>
      </c>
      <c r="C123" s="18">
        <v>0.0</v>
      </c>
      <c r="D123" s="18">
        <v>45.53870043000478</v>
      </c>
    </row>
    <row r="124" ht="14.25" customHeight="1">
      <c r="A124" s="8">
        <v>30303.0</v>
      </c>
      <c r="B124" s="7" t="s">
        <v>241</v>
      </c>
      <c r="C124" s="18">
        <v>0.0</v>
      </c>
      <c r="D124" s="18">
        <v>0.0</v>
      </c>
    </row>
    <row r="125" ht="14.25" customHeight="1">
      <c r="A125" s="8">
        <v>30401.0</v>
      </c>
      <c r="B125" s="7" t="s">
        <v>178</v>
      </c>
      <c r="C125" s="18">
        <v>160.35863757044442</v>
      </c>
      <c r="D125" s="18">
        <v>149.88245581299702</v>
      </c>
    </row>
    <row r="126" ht="14.25" customHeight="1">
      <c r="A126" s="8">
        <v>30402.0</v>
      </c>
      <c r="B126" s="7" t="s">
        <v>113</v>
      </c>
      <c r="C126" s="18">
        <v>45.24068041983352</v>
      </c>
      <c r="D126" s="18">
        <v>45.51868542036505</v>
      </c>
    </row>
    <row r="127" ht="14.25" customHeight="1">
      <c r="A127" s="8">
        <v>30403.0</v>
      </c>
      <c r="B127" s="7" t="s">
        <v>117</v>
      </c>
      <c r="C127" s="18">
        <v>0.0</v>
      </c>
      <c r="D127" s="18">
        <v>60.42984589806917</v>
      </c>
    </row>
    <row r="128" ht="14.25" customHeight="1">
      <c r="A128" s="8">
        <v>30404.0</v>
      </c>
      <c r="B128" s="7" t="s">
        <v>161</v>
      </c>
      <c r="C128" s="18">
        <v>0.0</v>
      </c>
      <c r="D128" s="18">
        <v>68.25006825006825</v>
      </c>
    </row>
    <row r="129" ht="14.25" customHeight="1">
      <c r="A129" s="8">
        <v>30501.0</v>
      </c>
      <c r="B129" s="7" t="s">
        <v>115</v>
      </c>
      <c r="C129" s="18">
        <v>0.0</v>
      </c>
      <c r="D129" s="18">
        <v>90.9523982966955</v>
      </c>
    </row>
    <row r="130" ht="14.25" customHeight="1">
      <c r="A130" s="8">
        <v>30502.0</v>
      </c>
      <c r="B130" s="7" t="s">
        <v>191</v>
      </c>
      <c r="C130" s="18">
        <v>0.0</v>
      </c>
      <c r="D130" s="18">
        <v>78.86746322804527</v>
      </c>
    </row>
    <row r="131" ht="14.25" customHeight="1">
      <c r="A131" s="8">
        <v>30601.0</v>
      </c>
      <c r="B131" s="7" t="s">
        <v>120</v>
      </c>
      <c r="C131" s="18">
        <v>0.0</v>
      </c>
      <c r="D131" s="18">
        <v>156.8125720731231</v>
      </c>
    </row>
    <row r="132" ht="14.25" customHeight="1">
      <c r="A132" s="8">
        <v>30602.0</v>
      </c>
      <c r="B132" s="7" t="s">
        <v>174</v>
      </c>
      <c r="C132" s="18">
        <v>0.0</v>
      </c>
      <c r="D132" s="18">
        <v>93.3832422407507</v>
      </c>
    </row>
    <row r="133" ht="14.25" customHeight="1">
      <c r="A133" s="8">
        <v>30701.0</v>
      </c>
      <c r="B133" s="7" t="s">
        <v>127</v>
      </c>
      <c r="C133" s="18">
        <v>51.34612470473902</v>
      </c>
      <c r="D133" s="18">
        <v>51.47475163432336</v>
      </c>
    </row>
    <row r="134" ht="14.25" customHeight="1">
      <c r="A134" s="8">
        <v>30702.0</v>
      </c>
      <c r="B134" s="7" t="s">
        <v>166</v>
      </c>
      <c r="C134" s="18">
        <v>0.0</v>
      </c>
      <c r="D134" s="18">
        <v>128.50543035561432</v>
      </c>
    </row>
    <row r="135" ht="14.25" customHeight="1">
      <c r="A135" s="8">
        <v>30703.0</v>
      </c>
      <c r="B135" s="7" t="s">
        <v>168</v>
      </c>
      <c r="C135" s="18">
        <v>89.12655971479501</v>
      </c>
      <c r="D135" s="18">
        <v>420.45672482118675</v>
      </c>
    </row>
    <row r="136" ht="14.25" customHeight="1">
      <c r="A136" s="8">
        <v>30801.0</v>
      </c>
      <c r="B136" s="7" t="s">
        <v>131</v>
      </c>
      <c r="C136" s="18">
        <v>76.37409110098919</v>
      </c>
      <c r="D136" s="18">
        <v>204.14799286609096</v>
      </c>
    </row>
    <row r="137" ht="14.25" customHeight="1">
      <c r="A137" s="8">
        <v>30802.0</v>
      </c>
      <c r="B137" s="7" t="s">
        <v>246</v>
      </c>
      <c r="C137" s="18">
        <v>0.0</v>
      </c>
      <c r="D137" s="18">
        <v>45.32064355313846</v>
      </c>
    </row>
    <row r="138" ht="14.25" customHeight="1">
      <c r="A138" s="8">
        <v>30803.0</v>
      </c>
      <c r="B138" s="7" t="s">
        <v>187</v>
      </c>
      <c r="C138" s="18">
        <v>60.37553583288052</v>
      </c>
      <c r="D138" s="18">
        <v>117.57768643731258</v>
      </c>
    </row>
    <row r="139" ht="14.25" customHeight="1">
      <c r="A139" s="8">
        <v>30901.0</v>
      </c>
      <c r="B139" s="7" t="s">
        <v>157</v>
      </c>
      <c r="C139" s="18">
        <v>129.34562642326622</v>
      </c>
      <c r="D139" s="18">
        <v>272.2030737770858</v>
      </c>
    </row>
    <row r="140" ht="14.25" customHeight="1">
      <c r="A140" s="8">
        <v>30902.0</v>
      </c>
      <c r="B140" s="7" t="s">
        <v>247</v>
      </c>
      <c r="C140" s="18">
        <v>16.403795838356995</v>
      </c>
      <c r="D140" s="18">
        <v>108.76300002174794</v>
      </c>
    </row>
    <row r="141" ht="14.25" customHeight="1">
      <c r="A141" s="8">
        <v>30903.0</v>
      </c>
      <c r="B141" s="7" t="s">
        <v>180</v>
      </c>
      <c r="C141" s="18">
        <v>111.89608302947302</v>
      </c>
      <c r="D141" s="18">
        <v>223.93960825201316</v>
      </c>
    </row>
    <row r="142" ht="14.25" customHeight="1">
      <c r="A142" s="8">
        <v>30904.0</v>
      </c>
      <c r="B142" s="7" t="s">
        <v>200</v>
      </c>
      <c r="C142" s="18">
        <v>71.0204351819901</v>
      </c>
      <c r="D142" s="18">
        <v>304.98079885316264</v>
      </c>
    </row>
    <row r="143" ht="14.25" customHeight="1">
      <c r="A143" s="8">
        <v>30905.0</v>
      </c>
      <c r="B143" s="7" t="s">
        <v>135</v>
      </c>
      <c r="C143" s="18">
        <v>95.90010234604328</v>
      </c>
      <c r="D143" s="18">
        <v>249.4448318277971</v>
      </c>
    </row>
    <row r="144" ht="14.25" customHeight="1">
      <c r="A144" s="8">
        <v>31001.0</v>
      </c>
      <c r="B144" s="7" t="s">
        <v>159</v>
      </c>
      <c r="C144" s="18">
        <v>77.55412953343178</v>
      </c>
      <c r="D144" s="18">
        <v>221.99636975159618</v>
      </c>
    </row>
    <row r="145" ht="14.25" customHeight="1">
      <c r="A145" s="8">
        <v>31002.0</v>
      </c>
      <c r="B145" s="7" t="s">
        <v>137</v>
      </c>
      <c r="C145" s="18">
        <v>17.28459078731311</v>
      </c>
      <c r="D145" s="18">
        <v>153.9427734287874</v>
      </c>
    </row>
    <row r="146" ht="14.25" customHeight="1">
      <c r="A146" s="8">
        <v>31003.0</v>
      </c>
      <c r="B146" s="7" t="s">
        <v>198</v>
      </c>
      <c r="C146" s="18">
        <v>92.99619676940846</v>
      </c>
      <c r="D146" s="18">
        <v>210.53979741481132</v>
      </c>
    </row>
    <row r="147" ht="14.25" customHeight="1">
      <c r="A147" s="8">
        <v>31101.0</v>
      </c>
      <c r="B147" s="7" t="s">
        <v>176</v>
      </c>
      <c r="C147" s="18">
        <v>0.0</v>
      </c>
      <c r="D147" s="18">
        <v>40.54328008464012</v>
      </c>
    </row>
    <row r="148" ht="14.25" customHeight="1">
      <c r="A148" s="8">
        <v>31201.0</v>
      </c>
      <c r="B148" s="7" t="s">
        <v>189</v>
      </c>
      <c r="C148" s="18">
        <v>0.0</v>
      </c>
      <c r="D148" s="18">
        <v>67.51131969663606</v>
      </c>
    </row>
    <row r="149" ht="14.25" customHeight="1">
      <c r="A149" s="8">
        <v>31202.0</v>
      </c>
      <c r="B149" s="7" t="s">
        <v>151</v>
      </c>
      <c r="C149" s="18">
        <v>0.0</v>
      </c>
      <c r="D149" s="18">
        <v>1880.3589823980037</v>
      </c>
    </row>
    <row r="150" ht="14.25" customHeight="1">
      <c r="A150" s="8">
        <v>31203.0</v>
      </c>
      <c r="B150" s="7" t="s">
        <v>149</v>
      </c>
      <c r="C150" s="18">
        <v>0.0</v>
      </c>
      <c r="D150" s="18">
        <v>164.2956693528637</v>
      </c>
    </row>
    <row r="151" ht="14.25" customHeight="1">
      <c r="A151" s="8">
        <v>31204.0</v>
      </c>
      <c r="B151" s="7" t="s">
        <v>129</v>
      </c>
      <c r="C151" s="18">
        <v>171.21415391229436</v>
      </c>
      <c r="D151" s="18">
        <v>579.9985531433252</v>
      </c>
    </row>
    <row r="152" ht="14.25" customHeight="1">
      <c r="A152" s="8">
        <v>31205.0</v>
      </c>
      <c r="B152" s="7" t="s">
        <v>153</v>
      </c>
      <c r="C152" s="18">
        <v>77.83109127144331</v>
      </c>
      <c r="D152" s="18">
        <v>1034.1548201465578</v>
      </c>
    </row>
    <row r="153" ht="14.25" customHeight="1">
      <c r="A153" s="8">
        <v>31206.0</v>
      </c>
      <c r="B153" s="7" t="s">
        <v>253</v>
      </c>
      <c r="C153" s="18">
        <v>0.0</v>
      </c>
      <c r="D153" s="18">
        <v>0.0</v>
      </c>
    </row>
    <row r="154" ht="14.25" customHeight="1">
      <c r="A154" s="8">
        <v>31301.0</v>
      </c>
      <c r="B154" s="7" t="s">
        <v>139</v>
      </c>
      <c r="C154" s="18">
        <v>50.2248512938833</v>
      </c>
      <c r="D154" s="18">
        <v>150.81439876408714</v>
      </c>
    </row>
    <row r="155" ht="14.25" customHeight="1">
      <c r="A155" s="8">
        <v>31302.0</v>
      </c>
      <c r="B155" s="7" t="s">
        <v>193</v>
      </c>
      <c r="C155" s="18">
        <v>0.0</v>
      </c>
      <c r="D155" s="18">
        <v>0.0</v>
      </c>
    </row>
    <row r="156" ht="14.25" customHeight="1">
      <c r="A156" s="8">
        <v>31303.0</v>
      </c>
      <c r="B156" s="7" t="s">
        <v>111</v>
      </c>
      <c r="C156" s="18">
        <v>0.0</v>
      </c>
      <c r="D156" s="18">
        <v>0.0</v>
      </c>
    </row>
    <row r="157" ht="14.25" customHeight="1">
      <c r="A157" s="8">
        <v>31304.0</v>
      </c>
      <c r="B157" s="7" t="s">
        <v>254</v>
      </c>
      <c r="C157" s="18">
        <v>0.0</v>
      </c>
      <c r="D157" s="18">
        <v>0.0</v>
      </c>
    </row>
    <row r="158" ht="14.25" customHeight="1">
      <c r="A158" s="8">
        <v>31401.0</v>
      </c>
      <c r="B158" s="7" t="s">
        <v>255</v>
      </c>
      <c r="C158" s="18">
        <v>115.48647143677067</v>
      </c>
      <c r="D158" s="18">
        <v>201.80469233251083</v>
      </c>
    </row>
    <row r="159" ht="14.25" customHeight="1">
      <c r="A159" s="8">
        <v>31402.0</v>
      </c>
      <c r="B159" s="7" t="s">
        <v>195</v>
      </c>
      <c r="C159" s="18">
        <v>40.97520999795123</v>
      </c>
      <c r="D159" s="18">
        <v>116.81945623355575</v>
      </c>
    </row>
    <row r="160" ht="14.25" customHeight="1">
      <c r="A160" s="8">
        <v>31403.0</v>
      </c>
      <c r="B160" s="7" t="s">
        <v>256</v>
      </c>
      <c r="C160" s="18">
        <v>0.0</v>
      </c>
      <c r="D160" s="18">
        <v>51.06991471324243</v>
      </c>
    </row>
    <row r="161" ht="14.25" customHeight="1">
      <c r="A161" s="8">
        <v>31404.0</v>
      </c>
      <c r="B161" s="7" t="s">
        <v>257</v>
      </c>
      <c r="C161" s="18">
        <v>0.0</v>
      </c>
      <c r="D161" s="18">
        <v>0.0</v>
      </c>
    </row>
    <row r="162" ht="14.25" customHeight="1">
      <c r="A162" s="8">
        <v>31405.0</v>
      </c>
      <c r="B162" s="7" t="s">
        <v>258</v>
      </c>
      <c r="C162" s="18">
        <v>0.0</v>
      </c>
      <c r="D162" s="18">
        <v>0.0</v>
      </c>
    </row>
    <row r="163" ht="14.25" customHeight="1">
      <c r="A163" s="8">
        <v>31501.0</v>
      </c>
      <c r="B163" s="7" t="s">
        <v>259</v>
      </c>
      <c r="C163" s="18">
        <v>0.0</v>
      </c>
      <c r="D163" s="18">
        <v>40.24792723174756</v>
      </c>
    </row>
    <row r="164" ht="14.25" customHeight="1">
      <c r="A164" s="8">
        <v>31601.0</v>
      </c>
      <c r="B164" s="7" t="s">
        <v>182</v>
      </c>
      <c r="C164" s="18">
        <v>15.872260051108677</v>
      </c>
      <c r="D164" s="18">
        <v>622.4828233705355</v>
      </c>
    </row>
    <row r="165" ht="14.25" customHeight="1">
      <c r="A165" s="8">
        <v>31602.0</v>
      </c>
      <c r="B165" s="7" t="s">
        <v>262</v>
      </c>
      <c r="C165" s="18">
        <v>0.0</v>
      </c>
      <c r="D165" s="18">
        <v>0.0</v>
      </c>
    </row>
    <row r="166" ht="14.25" customHeight="1">
      <c r="A166" s="8">
        <v>40101.0</v>
      </c>
      <c r="B166" s="7" t="s">
        <v>264</v>
      </c>
      <c r="C166" s="18">
        <v>146.2355415390104</v>
      </c>
      <c r="D166" s="18">
        <v>374.2959410156547</v>
      </c>
    </row>
    <row r="167" ht="14.25" customHeight="1">
      <c r="A167" s="8">
        <v>40102.0</v>
      </c>
      <c r="B167" s="7" t="s">
        <v>265</v>
      </c>
      <c r="C167" s="18">
        <v>14.434388487131743</v>
      </c>
      <c r="D167" s="18">
        <v>58.3094999895531</v>
      </c>
    </row>
    <row r="168" ht="14.25" customHeight="1">
      <c r="A168" s="8">
        <v>40103.0</v>
      </c>
      <c r="B168" s="7" t="s">
        <v>267</v>
      </c>
      <c r="C168" s="18">
        <v>0.0</v>
      </c>
      <c r="D168" s="18">
        <v>34.065746891500595</v>
      </c>
    </row>
    <row r="169" ht="14.25" customHeight="1">
      <c r="A169" s="8">
        <v>40104.0</v>
      </c>
      <c r="B169" s="7" t="s">
        <v>269</v>
      </c>
      <c r="C169" s="18">
        <v>0.0</v>
      </c>
      <c r="D169" s="18">
        <v>0.0</v>
      </c>
    </row>
    <row r="170" ht="14.25" customHeight="1">
      <c r="A170" s="8">
        <v>40201.0</v>
      </c>
      <c r="B170" s="7" t="s">
        <v>266</v>
      </c>
      <c r="C170" s="18">
        <v>22.6295541977823</v>
      </c>
      <c r="D170" s="18">
        <v>133.3441092830053</v>
      </c>
    </row>
    <row r="171" ht="14.25" customHeight="1">
      <c r="A171" s="8">
        <v>40202.0</v>
      </c>
      <c r="B171" s="7" t="s">
        <v>272</v>
      </c>
      <c r="C171" s="18">
        <v>0.0</v>
      </c>
      <c r="D171" s="18">
        <v>0.0</v>
      </c>
    </row>
    <row r="172" ht="14.25" customHeight="1">
      <c r="A172" s="8">
        <v>40301.0</v>
      </c>
      <c r="B172" s="7" t="s">
        <v>268</v>
      </c>
      <c r="C172" s="18">
        <v>0.0</v>
      </c>
      <c r="D172" s="18">
        <v>41.4052957373248</v>
      </c>
    </row>
    <row r="173" ht="14.25" customHeight="1">
      <c r="A173" s="8">
        <v>40302.0</v>
      </c>
      <c r="B173" s="7" t="s">
        <v>276</v>
      </c>
      <c r="C173" s="18">
        <v>0.0</v>
      </c>
      <c r="D173" s="18">
        <v>0.0</v>
      </c>
    </row>
    <row r="174" ht="14.25" customHeight="1">
      <c r="A174" s="8">
        <v>40401.0</v>
      </c>
      <c r="B174" s="7" t="s">
        <v>270</v>
      </c>
      <c r="C174" s="18">
        <v>0.0</v>
      </c>
      <c r="D174" s="18">
        <v>49.877799391490846</v>
      </c>
    </row>
    <row r="175" ht="14.25" customHeight="1">
      <c r="A175" s="8">
        <v>40402.0</v>
      </c>
      <c r="B175" s="7" t="s">
        <v>280</v>
      </c>
      <c r="C175" s="18">
        <v>0.0</v>
      </c>
      <c r="D175" s="18">
        <v>0.0</v>
      </c>
    </row>
    <row r="176" ht="14.25" customHeight="1">
      <c r="A176" s="8">
        <v>40501.0</v>
      </c>
      <c r="B176" s="7" t="s">
        <v>275</v>
      </c>
      <c r="C176" s="18">
        <v>0.0</v>
      </c>
      <c r="D176" s="18">
        <v>83.10479514667996</v>
      </c>
    </row>
    <row r="177" ht="14.25" customHeight="1">
      <c r="A177" s="8">
        <v>40502.0</v>
      </c>
      <c r="B177" s="7" t="s">
        <v>283</v>
      </c>
      <c r="C177" s="18">
        <v>0.0</v>
      </c>
      <c r="D177" s="18">
        <v>0.0</v>
      </c>
    </row>
    <row r="178" ht="14.25" customHeight="1">
      <c r="A178" s="8">
        <v>40503.0</v>
      </c>
      <c r="B178" s="7" t="s">
        <v>285</v>
      </c>
      <c r="C178" s="18">
        <v>0.0</v>
      </c>
      <c r="D178" s="18">
        <v>0.0</v>
      </c>
    </row>
    <row r="179" ht="14.25" customHeight="1">
      <c r="A179" s="8">
        <v>40504.0</v>
      </c>
      <c r="B179" s="7" t="s">
        <v>287</v>
      </c>
      <c r="C179" s="18">
        <v>0.0</v>
      </c>
      <c r="D179" s="18">
        <v>0.0</v>
      </c>
    </row>
    <row r="180" ht="14.25" customHeight="1">
      <c r="A180" s="8">
        <v>40505.0</v>
      </c>
      <c r="B180" s="7" t="s">
        <v>289</v>
      </c>
      <c r="C180" s="18">
        <v>0.0</v>
      </c>
      <c r="D180" s="18">
        <v>0.0</v>
      </c>
    </row>
    <row r="181" ht="14.25" customHeight="1">
      <c r="A181" s="8">
        <v>40601.0</v>
      </c>
      <c r="B181" s="7" t="s">
        <v>291</v>
      </c>
      <c r="C181" s="18">
        <v>43.17230065190174</v>
      </c>
      <c r="D181" s="18">
        <v>36.27525664744078</v>
      </c>
    </row>
    <row r="182" ht="14.25" customHeight="1">
      <c r="A182" s="8">
        <v>40602.0</v>
      </c>
      <c r="B182" s="7" t="s">
        <v>284</v>
      </c>
      <c r="C182" s="18">
        <v>0.0</v>
      </c>
      <c r="D182" s="18">
        <v>75.8782912208817</v>
      </c>
    </row>
    <row r="183" ht="14.25" customHeight="1">
      <c r="A183" s="8">
        <v>40603.0</v>
      </c>
      <c r="B183" s="7" t="s">
        <v>263</v>
      </c>
      <c r="C183" s="18">
        <v>0.0</v>
      </c>
      <c r="D183" s="18">
        <v>0.0</v>
      </c>
    </row>
    <row r="184" ht="14.25" customHeight="1">
      <c r="A184" s="8">
        <v>40701.0</v>
      </c>
      <c r="B184" s="7" t="s">
        <v>277</v>
      </c>
      <c r="C184" s="18">
        <v>54.66519934570747</v>
      </c>
      <c r="D184" s="18">
        <v>322.911869528437</v>
      </c>
    </row>
    <row r="185" ht="14.25" customHeight="1">
      <c r="A185" s="8">
        <v>40702.0</v>
      </c>
      <c r="B185" s="7" t="s">
        <v>281</v>
      </c>
      <c r="C185" s="18">
        <v>206.79558589137537</v>
      </c>
      <c r="D185" s="18">
        <v>111.91312858687918</v>
      </c>
    </row>
    <row r="186" ht="14.25" customHeight="1">
      <c r="A186" s="8">
        <v>40801.0</v>
      </c>
      <c r="B186" s="7" t="s">
        <v>295</v>
      </c>
      <c r="C186" s="18">
        <v>0.0</v>
      </c>
      <c r="D186" s="18">
        <v>0.0</v>
      </c>
    </row>
    <row r="187" ht="14.25" customHeight="1">
      <c r="A187" s="8">
        <v>40802.0</v>
      </c>
      <c r="B187" s="7" t="s">
        <v>297</v>
      </c>
      <c r="C187" s="18">
        <v>0.0</v>
      </c>
      <c r="D187" s="18">
        <v>0.0</v>
      </c>
    </row>
    <row r="188" ht="14.25" customHeight="1">
      <c r="A188" s="8">
        <v>40901.0</v>
      </c>
      <c r="B188" s="7" t="s">
        <v>288</v>
      </c>
      <c r="C188" s="18">
        <v>0.0</v>
      </c>
      <c r="D188" s="18">
        <v>23.381967826412275</v>
      </c>
    </row>
    <row r="189" ht="14.25" customHeight="1">
      <c r="A189" s="8">
        <v>40902.0</v>
      </c>
      <c r="B189" s="7" t="s">
        <v>300</v>
      </c>
      <c r="C189" s="18">
        <v>0.0</v>
      </c>
      <c r="D189" s="18">
        <v>0.0</v>
      </c>
    </row>
    <row r="190" ht="14.25" customHeight="1">
      <c r="A190" s="8">
        <v>40903.0</v>
      </c>
      <c r="B190" s="7" t="s">
        <v>302</v>
      </c>
      <c r="C190" s="18">
        <v>0.0</v>
      </c>
      <c r="D190" s="18">
        <v>0.0</v>
      </c>
    </row>
    <row r="191" ht="14.25" customHeight="1">
      <c r="A191" s="8">
        <v>41001.0</v>
      </c>
      <c r="B191" s="7" t="s">
        <v>305</v>
      </c>
      <c r="C191" s="18">
        <v>0.0</v>
      </c>
      <c r="D191" s="18">
        <v>0.0</v>
      </c>
    </row>
    <row r="192" ht="14.25" customHeight="1">
      <c r="A192" s="8">
        <v>41101.0</v>
      </c>
      <c r="B192" s="7" t="s">
        <v>273</v>
      </c>
      <c r="C192" s="18">
        <v>0.0</v>
      </c>
      <c r="D192" s="18">
        <v>0.0</v>
      </c>
    </row>
    <row r="193" ht="14.25" customHeight="1">
      <c r="A193" s="8">
        <v>41201.0</v>
      </c>
      <c r="B193" s="7" t="s">
        <v>310</v>
      </c>
      <c r="C193" s="18">
        <v>506.4744908119513</v>
      </c>
      <c r="D193" s="18">
        <v>0.0</v>
      </c>
    </row>
    <row r="194" ht="14.25" customHeight="1">
      <c r="A194" s="8">
        <v>41202.0</v>
      </c>
      <c r="B194" s="7" t="s">
        <v>312</v>
      </c>
      <c r="C194" s="18">
        <v>0.0</v>
      </c>
      <c r="D194" s="18">
        <v>0.0</v>
      </c>
    </row>
    <row r="195" ht="14.25" customHeight="1">
      <c r="A195" s="8">
        <v>41301.0</v>
      </c>
      <c r="B195" s="7" t="s">
        <v>189</v>
      </c>
      <c r="C195" s="18">
        <v>0.0</v>
      </c>
      <c r="D195" s="18">
        <v>0.0</v>
      </c>
    </row>
    <row r="196" ht="14.25" customHeight="1">
      <c r="A196" s="8">
        <v>41401.0</v>
      </c>
      <c r="B196" s="7" t="s">
        <v>290</v>
      </c>
      <c r="C196" s="18">
        <v>25.63116749967961</v>
      </c>
      <c r="D196" s="18">
        <v>0.0</v>
      </c>
    </row>
    <row r="197" ht="14.25" customHeight="1">
      <c r="A197" s="8">
        <v>41501.0</v>
      </c>
      <c r="B197" s="7" t="s">
        <v>279</v>
      </c>
      <c r="C197" s="18">
        <v>0.0</v>
      </c>
      <c r="D197" s="18">
        <v>864.3477695304085</v>
      </c>
    </row>
    <row r="198" ht="14.25" customHeight="1">
      <c r="A198" s="8">
        <v>41502.0</v>
      </c>
      <c r="B198" s="7" t="s">
        <v>320</v>
      </c>
      <c r="C198" s="18">
        <v>0.0</v>
      </c>
      <c r="D198" s="18">
        <v>0.0</v>
      </c>
    </row>
    <row r="199" ht="14.25" customHeight="1">
      <c r="A199" s="8">
        <v>41503.0</v>
      </c>
      <c r="B199" s="7" t="s">
        <v>274</v>
      </c>
      <c r="C199" s="18">
        <v>0.0</v>
      </c>
      <c r="D199" s="18">
        <v>0.0</v>
      </c>
    </row>
    <row r="200" ht="14.25" customHeight="1">
      <c r="A200" s="8">
        <v>41601.0</v>
      </c>
      <c r="B200" s="7" t="s">
        <v>324</v>
      </c>
      <c r="C200" s="18">
        <v>0.0</v>
      </c>
      <c r="D200" s="18">
        <v>0.0</v>
      </c>
    </row>
    <row r="201" ht="14.25" customHeight="1">
      <c r="A201" s="8">
        <v>50101.0</v>
      </c>
      <c r="B201" s="7" t="s">
        <v>326</v>
      </c>
      <c r="C201" s="18">
        <v>43.58861438359182</v>
      </c>
      <c r="D201" s="18">
        <v>369.56387100421495</v>
      </c>
    </row>
    <row r="202" ht="14.25" customHeight="1">
      <c r="A202" s="8">
        <v>50102.0</v>
      </c>
      <c r="B202" s="7" t="s">
        <v>329</v>
      </c>
      <c r="C202" s="18">
        <v>0.0</v>
      </c>
      <c r="D202" s="18">
        <v>81.02813276162699</v>
      </c>
    </row>
    <row r="203" ht="14.25" customHeight="1">
      <c r="A203" s="8">
        <v>50103.0</v>
      </c>
      <c r="B203" s="7" t="s">
        <v>331</v>
      </c>
      <c r="C203" s="18">
        <v>0.0</v>
      </c>
      <c r="D203" s="18">
        <v>27.204222095269188</v>
      </c>
    </row>
    <row r="204" ht="14.25" customHeight="1">
      <c r="A204" s="8">
        <v>50104.0</v>
      </c>
      <c r="B204" s="7" t="s">
        <v>333</v>
      </c>
      <c r="C204" s="18">
        <v>0.0</v>
      </c>
      <c r="D204" s="18">
        <v>0.0</v>
      </c>
    </row>
    <row r="205" ht="14.25" customHeight="1">
      <c r="A205" s="8">
        <v>50201.0</v>
      </c>
      <c r="B205" s="7" t="s">
        <v>336</v>
      </c>
      <c r="C205" s="18">
        <v>15.137753557372086</v>
      </c>
      <c r="D205" s="18">
        <v>161.28546927124785</v>
      </c>
    </row>
    <row r="206" ht="14.25" customHeight="1">
      <c r="A206" s="8">
        <v>50202.0</v>
      </c>
      <c r="B206" s="7" t="s">
        <v>334</v>
      </c>
      <c r="C206" s="18">
        <v>0.0</v>
      </c>
      <c r="D206" s="18">
        <v>103.96006442516416</v>
      </c>
    </row>
    <row r="207" ht="14.25" customHeight="1">
      <c r="A207" s="8">
        <v>50203.0</v>
      </c>
      <c r="B207" s="7" t="s">
        <v>339</v>
      </c>
      <c r="C207" s="18">
        <v>81.30341182828248</v>
      </c>
      <c r="D207" s="18">
        <v>216.07582173328592</v>
      </c>
    </row>
    <row r="208" ht="14.25" customHeight="1">
      <c r="A208" s="8">
        <v>50204.0</v>
      </c>
      <c r="B208" s="7" t="s">
        <v>341</v>
      </c>
      <c r="C208" s="18">
        <v>0.0</v>
      </c>
      <c r="D208" s="18">
        <v>0.0</v>
      </c>
    </row>
    <row r="209" ht="14.25" customHeight="1">
      <c r="A209" s="8">
        <v>50301.0</v>
      </c>
      <c r="B209" s="7" t="s">
        <v>328</v>
      </c>
      <c r="C209" s="18">
        <v>0.0</v>
      </c>
      <c r="D209" s="18">
        <v>93.48651825519583</v>
      </c>
    </row>
    <row r="210" ht="14.25" customHeight="1">
      <c r="A210" s="8">
        <v>50302.0</v>
      </c>
      <c r="B210" s="7" t="s">
        <v>344</v>
      </c>
      <c r="C210" s="18">
        <v>0.0</v>
      </c>
      <c r="D210" s="18">
        <v>107.30071867489092</v>
      </c>
    </row>
    <row r="211" ht="14.25" customHeight="1">
      <c r="A211" s="8">
        <v>50303.0</v>
      </c>
      <c r="B211" s="7" t="s">
        <v>346</v>
      </c>
      <c r="C211" s="18">
        <v>27.966552003803454</v>
      </c>
      <c r="D211" s="18">
        <v>47.81028877414419</v>
      </c>
    </row>
    <row r="212" ht="14.25" customHeight="1">
      <c r="A212" s="8">
        <v>50401.0</v>
      </c>
      <c r="B212" s="7" t="s">
        <v>338</v>
      </c>
      <c r="C212" s="18">
        <v>21.712697585548028</v>
      </c>
      <c r="D212" s="18">
        <v>184.2658592436476</v>
      </c>
    </row>
    <row r="213" ht="14.25" customHeight="1">
      <c r="A213" s="8">
        <v>50402.0</v>
      </c>
      <c r="B213" s="7" t="s">
        <v>349</v>
      </c>
      <c r="C213" s="18">
        <v>0.0</v>
      </c>
      <c r="D213" s="18">
        <v>233.72707261805056</v>
      </c>
    </row>
    <row r="214" ht="14.25" customHeight="1">
      <c r="A214" s="8">
        <v>50403.0</v>
      </c>
      <c r="B214" s="7" t="s">
        <v>347</v>
      </c>
      <c r="C214" s="18">
        <v>0.0</v>
      </c>
      <c r="D214" s="18">
        <v>124.7475013797955</v>
      </c>
    </row>
    <row r="215" ht="14.25" customHeight="1">
      <c r="A215" s="8">
        <v>50404.0</v>
      </c>
      <c r="B215" s="7" t="s">
        <v>345</v>
      </c>
      <c r="C215" s="18">
        <v>20.851578464489762</v>
      </c>
      <c r="D215" s="18">
        <v>112.84585105571801</v>
      </c>
    </row>
    <row r="216" ht="14.25" customHeight="1">
      <c r="A216" s="8">
        <v>50405.0</v>
      </c>
      <c r="B216" s="7" t="s">
        <v>352</v>
      </c>
      <c r="C216" s="18">
        <v>0.0</v>
      </c>
      <c r="D216" s="18">
        <v>0.0</v>
      </c>
    </row>
    <row r="217" ht="14.25" customHeight="1">
      <c r="A217" s="8">
        <v>50501.0</v>
      </c>
      <c r="B217" s="7" t="s">
        <v>355</v>
      </c>
      <c r="C217" s="18">
        <v>11.156107411002154</v>
      </c>
      <c r="D217" s="18">
        <v>268.4950671539153</v>
      </c>
    </row>
    <row r="218" ht="14.25" customHeight="1">
      <c r="A218" s="8">
        <v>50502.0</v>
      </c>
      <c r="B218" s="7" t="s">
        <v>357</v>
      </c>
      <c r="C218" s="18">
        <v>0.0</v>
      </c>
      <c r="D218" s="18">
        <v>528.1493611091172</v>
      </c>
    </row>
    <row r="219" ht="14.25" customHeight="1">
      <c r="A219" s="8">
        <v>50601.0</v>
      </c>
      <c r="B219" s="7" t="s">
        <v>340</v>
      </c>
      <c r="C219" s="18">
        <v>10.72018181428357</v>
      </c>
      <c r="D219" s="18">
        <v>22.73132357415069</v>
      </c>
    </row>
    <row r="220" ht="14.25" customHeight="1">
      <c r="A220" s="8">
        <v>50602.0</v>
      </c>
      <c r="B220" s="7" t="s">
        <v>360</v>
      </c>
      <c r="C220" s="18">
        <v>31.31066441229883</v>
      </c>
      <c r="D220" s="18">
        <v>32.73108143493061</v>
      </c>
    </row>
    <row r="221" ht="14.25" customHeight="1">
      <c r="A221" s="8">
        <v>50701.0</v>
      </c>
      <c r="B221" s="7" t="s">
        <v>363</v>
      </c>
      <c r="C221" s="18">
        <v>17.17239365995226</v>
      </c>
      <c r="D221" s="18">
        <v>58.12263876780006</v>
      </c>
    </row>
    <row r="222" ht="14.25" customHeight="1">
      <c r="A222" s="8">
        <v>50702.0</v>
      </c>
      <c r="B222" s="7" t="s">
        <v>330</v>
      </c>
      <c r="C222" s="18">
        <v>0.0</v>
      </c>
      <c r="D222" s="18">
        <v>78.44060085500256</v>
      </c>
    </row>
    <row r="223" ht="14.25" customHeight="1">
      <c r="A223" s="8">
        <v>50801.0</v>
      </c>
      <c r="B223" s="7" t="s">
        <v>366</v>
      </c>
      <c r="C223" s="18">
        <v>29.830124374599265</v>
      </c>
      <c r="D223" s="18">
        <v>109.79805156660963</v>
      </c>
    </row>
    <row r="224" ht="14.25" customHeight="1">
      <c r="A224" s="8">
        <v>50802.0</v>
      </c>
      <c r="B224" s="7" t="s">
        <v>325</v>
      </c>
      <c r="C224" s="18">
        <v>0.0</v>
      </c>
      <c r="D224" s="18">
        <v>34.6860908775581</v>
      </c>
    </row>
    <row r="225" ht="14.25" customHeight="1">
      <c r="A225" s="8">
        <v>50901.0</v>
      </c>
      <c r="B225" s="7" t="s">
        <v>368</v>
      </c>
      <c r="C225" s="18">
        <v>0.0</v>
      </c>
      <c r="D225" s="18">
        <v>52.152598503220425</v>
      </c>
    </row>
    <row r="226" ht="14.25" customHeight="1">
      <c r="A226" s="8">
        <v>50902.0</v>
      </c>
      <c r="B226" s="7" t="s">
        <v>369</v>
      </c>
      <c r="C226" s="18">
        <v>0.0</v>
      </c>
      <c r="D226" s="18">
        <v>0.0</v>
      </c>
    </row>
    <row r="227" ht="14.25" customHeight="1">
      <c r="A227" s="8">
        <v>51001.0</v>
      </c>
      <c r="B227" s="7" t="s">
        <v>372</v>
      </c>
      <c r="C227" s="18">
        <v>0.0</v>
      </c>
      <c r="D227" s="18">
        <v>0.0</v>
      </c>
    </row>
    <row r="228" ht="14.25" customHeight="1">
      <c r="A228" s="8">
        <v>51002.0</v>
      </c>
      <c r="B228" s="7" t="s">
        <v>374</v>
      </c>
      <c r="C228" s="18">
        <v>0.0</v>
      </c>
      <c r="D228" s="18">
        <v>0.0</v>
      </c>
    </row>
    <row r="229" ht="14.25" customHeight="1">
      <c r="A229" s="8">
        <v>51003.0</v>
      </c>
      <c r="B229" s="7" t="s">
        <v>376</v>
      </c>
      <c r="C229" s="18">
        <v>0.0</v>
      </c>
      <c r="D229" s="18">
        <v>0.0</v>
      </c>
    </row>
    <row r="230" ht="14.25" customHeight="1">
      <c r="A230" s="8">
        <v>51101.0</v>
      </c>
      <c r="B230" s="7" t="s">
        <v>378</v>
      </c>
      <c r="C230" s="18">
        <v>0.0</v>
      </c>
      <c r="D230" s="18">
        <v>40.67769032074359</v>
      </c>
    </row>
    <row r="231" ht="14.25" customHeight="1">
      <c r="A231" s="8">
        <v>51102.0</v>
      </c>
      <c r="B231" s="7" t="s">
        <v>380</v>
      </c>
      <c r="C231" s="18">
        <v>0.0</v>
      </c>
      <c r="D231" s="18">
        <v>0.0</v>
      </c>
    </row>
    <row r="232" ht="14.25" customHeight="1">
      <c r="A232" s="8">
        <v>51103.0</v>
      </c>
      <c r="B232" s="7" t="s">
        <v>382</v>
      </c>
      <c r="C232" s="18">
        <v>0.0</v>
      </c>
      <c r="D232" s="18">
        <v>0.0</v>
      </c>
    </row>
    <row r="233" ht="14.25" customHeight="1">
      <c r="A233" s="8">
        <v>51201.0</v>
      </c>
      <c r="B233" s="7" t="s">
        <v>370</v>
      </c>
      <c r="C233" s="18">
        <v>11.233935472274647</v>
      </c>
      <c r="D233" s="18">
        <v>162.2441311927751</v>
      </c>
    </row>
    <row r="234" ht="14.25" customHeight="1">
      <c r="A234" s="8">
        <v>51202.0</v>
      </c>
      <c r="B234" s="7" t="s">
        <v>364</v>
      </c>
      <c r="C234" s="18">
        <v>0.0</v>
      </c>
      <c r="D234" s="18">
        <v>0.0</v>
      </c>
    </row>
    <row r="235" ht="14.25" customHeight="1">
      <c r="A235" s="8">
        <v>51203.0</v>
      </c>
      <c r="B235" s="7" t="s">
        <v>348</v>
      </c>
      <c r="C235" s="18">
        <v>59.61962678113634</v>
      </c>
      <c r="D235" s="18">
        <v>114.73724289295892</v>
      </c>
    </row>
    <row r="236" ht="14.25" customHeight="1">
      <c r="A236" s="8">
        <v>51204.0</v>
      </c>
      <c r="B236" s="7" t="s">
        <v>388</v>
      </c>
      <c r="C236" s="18">
        <v>0.0</v>
      </c>
      <c r="D236" s="18">
        <v>0.0</v>
      </c>
    </row>
    <row r="237" ht="14.25" customHeight="1">
      <c r="A237" s="8">
        <v>51301.0</v>
      </c>
      <c r="B237" s="7" t="s">
        <v>322</v>
      </c>
      <c r="C237" s="18">
        <v>0.0</v>
      </c>
      <c r="D237" s="18">
        <v>0.0</v>
      </c>
    </row>
    <row r="238" ht="14.25" customHeight="1">
      <c r="A238" s="8">
        <v>51302.0</v>
      </c>
      <c r="B238" s="7" t="s">
        <v>321</v>
      </c>
      <c r="C238" s="18">
        <v>1038.1189184453312</v>
      </c>
      <c r="D238" s="18">
        <v>149.1090732871095</v>
      </c>
    </row>
    <row r="239" ht="14.25" customHeight="1">
      <c r="A239" s="8">
        <v>51401.0</v>
      </c>
      <c r="B239" s="7" t="s">
        <v>343</v>
      </c>
      <c r="C239" s="18">
        <v>0.0</v>
      </c>
      <c r="D239" s="18">
        <v>79.7257434425576</v>
      </c>
    </row>
    <row r="240" ht="14.25" customHeight="1">
      <c r="A240" s="8">
        <v>51402.0</v>
      </c>
      <c r="B240" s="7" t="s">
        <v>361</v>
      </c>
      <c r="C240" s="18">
        <v>0.0</v>
      </c>
      <c r="D240" s="18">
        <v>0.0</v>
      </c>
    </row>
    <row r="241" ht="14.25" customHeight="1">
      <c r="A241" s="8">
        <v>51501.0</v>
      </c>
      <c r="B241" s="7" t="s">
        <v>397</v>
      </c>
      <c r="C241" s="18">
        <v>59.65818779532527</v>
      </c>
      <c r="D241" s="18">
        <v>108.60347265683662</v>
      </c>
    </row>
    <row r="242" ht="14.25" customHeight="1">
      <c r="A242" s="8">
        <v>51601.0</v>
      </c>
      <c r="B242" s="7" t="s">
        <v>400</v>
      </c>
      <c r="C242" s="18">
        <v>0.0</v>
      </c>
      <c r="D242" s="18">
        <v>0.0</v>
      </c>
    </row>
    <row r="243" ht="14.25" customHeight="1">
      <c r="A243" s="8">
        <v>60101.0</v>
      </c>
      <c r="B243" s="7" t="s">
        <v>402</v>
      </c>
      <c r="C243" s="18">
        <v>56.863180426547125</v>
      </c>
      <c r="D243" s="18">
        <v>255.42349863184756</v>
      </c>
    </row>
    <row r="244" ht="14.25" customHeight="1">
      <c r="A244" s="8">
        <v>60201.0</v>
      </c>
      <c r="B244" s="7" t="s">
        <v>405</v>
      </c>
      <c r="C244" s="18">
        <v>0.0</v>
      </c>
      <c r="D244" s="18">
        <v>37.19215373534541</v>
      </c>
    </row>
    <row r="245" ht="14.25" customHeight="1">
      <c r="A245" s="8">
        <v>60202.0</v>
      </c>
      <c r="B245" s="7" t="s">
        <v>407</v>
      </c>
      <c r="C245" s="18">
        <v>116.05602692567952</v>
      </c>
      <c r="D245" s="18">
        <v>190.4033559587001</v>
      </c>
    </row>
    <row r="246" ht="14.25" customHeight="1">
      <c r="A246" s="8">
        <v>60301.0</v>
      </c>
      <c r="B246" s="7" t="s">
        <v>410</v>
      </c>
      <c r="C246" s="18">
        <v>122.74885172218809</v>
      </c>
      <c r="D246" s="18">
        <v>219.5952873305449</v>
      </c>
    </row>
    <row r="247" ht="14.25" customHeight="1">
      <c r="A247" s="8">
        <v>60302.0</v>
      </c>
      <c r="B247" s="7" t="s">
        <v>412</v>
      </c>
      <c r="C247" s="18">
        <v>0.0</v>
      </c>
      <c r="D247" s="18">
        <v>42.89180808810932</v>
      </c>
    </row>
    <row r="248" ht="14.25" customHeight="1">
      <c r="A248" s="8">
        <v>60303.0</v>
      </c>
      <c r="B248" s="7" t="s">
        <v>414</v>
      </c>
      <c r="C248" s="18">
        <v>93.24507160526002</v>
      </c>
      <c r="D248" s="18">
        <v>168.5598524298054</v>
      </c>
    </row>
    <row r="249" ht="14.25" customHeight="1">
      <c r="A249" s="8">
        <v>60401.0</v>
      </c>
      <c r="B249" s="7" t="s">
        <v>417</v>
      </c>
      <c r="C249" s="18">
        <v>22.551473738808834</v>
      </c>
      <c r="D249" s="18">
        <v>20.93407858653101</v>
      </c>
    </row>
    <row r="250" ht="14.25" customHeight="1">
      <c r="A250" s="8">
        <v>60402.0</v>
      </c>
      <c r="B250" s="7" t="s">
        <v>419</v>
      </c>
      <c r="C250" s="18">
        <v>0.0</v>
      </c>
      <c r="D250" s="18">
        <v>0.0</v>
      </c>
    </row>
    <row r="251" ht="14.25" customHeight="1">
      <c r="A251" s="8">
        <v>60501.0</v>
      </c>
      <c r="B251" s="7" t="s">
        <v>313</v>
      </c>
      <c r="C251" s="18">
        <v>14.102184428367954</v>
      </c>
      <c r="D251" s="18">
        <v>33.763986263460104</v>
      </c>
    </row>
    <row r="252" ht="14.25" customHeight="1">
      <c r="A252" s="8">
        <v>60502.0</v>
      </c>
      <c r="B252" s="7" t="s">
        <v>406</v>
      </c>
      <c r="C252" s="18">
        <v>29.522038201517432</v>
      </c>
      <c r="D252" s="18">
        <v>33.91670058336725</v>
      </c>
    </row>
    <row r="253" ht="14.25" customHeight="1">
      <c r="A253" s="8">
        <v>60601.0</v>
      </c>
      <c r="B253" s="7" t="s">
        <v>253</v>
      </c>
      <c r="C253" s="18">
        <v>15.157716035347795</v>
      </c>
      <c r="D253" s="18">
        <v>111.12136705604996</v>
      </c>
    </row>
    <row r="254" ht="14.25" customHeight="1">
      <c r="A254" s="8">
        <v>70101.0</v>
      </c>
      <c r="B254" s="7" t="s">
        <v>428</v>
      </c>
      <c r="C254" s="18">
        <v>318.6633724503811</v>
      </c>
      <c r="D254" s="18">
        <v>595.7016812924229</v>
      </c>
    </row>
    <row r="255" ht="14.25" customHeight="1">
      <c r="A255" s="8">
        <v>70102.0</v>
      </c>
      <c r="B255" s="7" t="s">
        <v>401</v>
      </c>
      <c r="C255" s="18">
        <v>63.551950229726835</v>
      </c>
      <c r="D255" s="18">
        <v>292.86867283010565</v>
      </c>
    </row>
    <row r="256" ht="14.25" customHeight="1">
      <c r="A256" s="8">
        <v>70103.0</v>
      </c>
      <c r="B256" s="7" t="s">
        <v>431</v>
      </c>
      <c r="C256" s="18">
        <v>0.0</v>
      </c>
      <c r="D256" s="18">
        <v>89.87118604906983</v>
      </c>
    </row>
    <row r="257" ht="14.25" customHeight="1">
      <c r="A257" s="8">
        <v>70104.0</v>
      </c>
      <c r="B257" s="7" t="s">
        <v>413</v>
      </c>
      <c r="C257" s="18">
        <v>29.106862268600292</v>
      </c>
      <c r="D257" s="18">
        <v>242.7048030739899</v>
      </c>
    </row>
    <row r="258" ht="14.25" customHeight="1">
      <c r="A258" s="8">
        <v>70105.0</v>
      </c>
      <c r="B258" s="7" t="s">
        <v>408</v>
      </c>
      <c r="C258" s="18">
        <v>120.95631583214102</v>
      </c>
      <c r="D258" s="18">
        <v>338.88534082505925</v>
      </c>
    </row>
    <row r="259" ht="14.25" customHeight="1">
      <c r="A259" s="8">
        <v>70201.0</v>
      </c>
      <c r="B259" s="7" t="s">
        <v>435</v>
      </c>
      <c r="C259" s="18">
        <v>174.03732648957296</v>
      </c>
      <c r="D259" s="18">
        <v>403.04712212226923</v>
      </c>
    </row>
    <row r="260" ht="14.25" customHeight="1">
      <c r="A260" s="8">
        <v>70202.0</v>
      </c>
      <c r="B260" s="7" t="s">
        <v>423</v>
      </c>
      <c r="C260" s="18">
        <v>26.866553827140592</v>
      </c>
      <c r="D260" s="18">
        <v>154.9653884528925</v>
      </c>
    </row>
    <row r="261" ht="14.25" customHeight="1">
      <c r="A261" s="8">
        <v>70301.0</v>
      </c>
      <c r="B261" s="7" t="s">
        <v>439</v>
      </c>
      <c r="C261" s="18">
        <v>90.23295338985724</v>
      </c>
      <c r="D261" s="18">
        <v>141.52605992599004</v>
      </c>
    </row>
    <row r="262" ht="14.25" customHeight="1">
      <c r="A262" s="8">
        <v>70302.0</v>
      </c>
      <c r="B262" s="7" t="s">
        <v>441</v>
      </c>
      <c r="C262" s="18">
        <v>0.0</v>
      </c>
      <c r="D262" s="18">
        <v>45.70279472589749</v>
      </c>
    </row>
    <row r="263" ht="14.25" customHeight="1">
      <c r="A263" s="8">
        <v>70303.0</v>
      </c>
      <c r="B263" s="7" t="s">
        <v>443</v>
      </c>
      <c r="C263" s="18">
        <v>54.29765977086387</v>
      </c>
      <c r="D263" s="18">
        <v>77.41923009940352</v>
      </c>
    </row>
    <row r="264" ht="14.25" customHeight="1">
      <c r="A264" s="8">
        <v>70401.0</v>
      </c>
      <c r="B264" s="7" t="s">
        <v>387</v>
      </c>
      <c r="C264" s="18">
        <v>77.42934572202866</v>
      </c>
      <c r="D264" s="18">
        <v>98.13593091416898</v>
      </c>
    </row>
    <row r="265" ht="14.25" customHeight="1">
      <c r="A265" s="8">
        <v>70402.0</v>
      </c>
      <c r="B265" s="7" t="s">
        <v>446</v>
      </c>
      <c r="C265" s="18">
        <v>117.57430260747294</v>
      </c>
      <c r="D265" s="18">
        <v>419.5121089967984</v>
      </c>
    </row>
    <row r="266" ht="14.25" customHeight="1">
      <c r="A266" s="8">
        <v>70403.0</v>
      </c>
      <c r="B266" s="7" t="s">
        <v>447</v>
      </c>
      <c r="C266" s="18">
        <v>139.23391708464408</v>
      </c>
      <c r="D266" s="18">
        <v>437.2870357774647</v>
      </c>
    </row>
    <row r="267" ht="14.25" customHeight="1">
      <c r="A267" s="8">
        <v>70404.0</v>
      </c>
      <c r="B267" s="7" t="s">
        <v>448</v>
      </c>
      <c r="C267" s="18">
        <v>0.0</v>
      </c>
      <c r="D267" s="18">
        <v>0.0</v>
      </c>
    </row>
    <row r="268" ht="14.25" customHeight="1">
      <c r="A268" s="8">
        <v>70501.0</v>
      </c>
      <c r="B268" s="7" t="s">
        <v>451</v>
      </c>
      <c r="C268" s="18">
        <v>34.26671769791426</v>
      </c>
      <c r="D268" s="18">
        <v>92.18716390569789</v>
      </c>
    </row>
    <row r="269" ht="14.25" customHeight="1">
      <c r="A269" s="8">
        <v>70502.0</v>
      </c>
      <c r="B269" s="7" t="s">
        <v>453</v>
      </c>
      <c r="C269" s="18">
        <v>113.69302856331124</v>
      </c>
      <c r="D269" s="18">
        <v>137.32480012955057</v>
      </c>
    </row>
    <row r="270" ht="14.25" customHeight="1">
      <c r="A270" s="8">
        <v>70503.0</v>
      </c>
      <c r="B270" s="7" t="s">
        <v>455</v>
      </c>
      <c r="C270" s="18">
        <v>0.0</v>
      </c>
      <c r="D270" s="18">
        <v>161.9075805583686</v>
      </c>
    </row>
    <row r="271" ht="14.25" customHeight="1">
      <c r="A271" s="8">
        <v>70601.0</v>
      </c>
      <c r="B271" s="7" t="s">
        <v>430</v>
      </c>
      <c r="C271" s="18">
        <v>185.8189670509911</v>
      </c>
      <c r="D271" s="18">
        <v>374.49153133515756</v>
      </c>
    </row>
    <row r="272" ht="14.25" customHeight="1">
      <c r="A272" s="8">
        <v>70602.0</v>
      </c>
      <c r="B272" s="7" t="s">
        <v>457</v>
      </c>
      <c r="C272" s="18">
        <v>52.73521391091298</v>
      </c>
      <c r="D272" s="18">
        <v>18.415188847761634</v>
      </c>
    </row>
    <row r="273" ht="14.25" customHeight="1">
      <c r="A273" s="8">
        <v>70603.0</v>
      </c>
      <c r="B273" s="7" t="s">
        <v>458</v>
      </c>
      <c r="C273" s="18">
        <v>0.0</v>
      </c>
      <c r="D273" s="18">
        <v>0.0</v>
      </c>
    </row>
    <row r="274" ht="14.25" customHeight="1">
      <c r="A274" s="8">
        <v>70701.0</v>
      </c>
      <c r="B274" s="7" t="s">
        <v>415</v>
      </c>
      <c r="C274" s="18">
        <v>0.0</v>
      </c>
      <c r="D274" s="18">
        <v>56.06009642336585</v>
      </c>
    </row>
    <row r="275" ht="14.25" customHeight="1">
      <c r="A275" s="8">
        <v>70702.0</v>
      </c>
      <c r="B275" s="7" t="s">
        <v>394</v>
      </c>
      <c r="C275" s="18">
        <v>10.191809861595221</v>
      </c>
      <c r="D275" s="18">
        <v>35.54640098250794</v>
      </c>
    </row>
    <row r="276" ht="14.25" customHeight="1">
      <c r="A276" s="8">
        <v>70703.0</v>
      </c>
      <c r="B276" s="7" t="s">
        <v>389</v>
      </c>
      <c r="C276" s="18">
        <v>0.0</v>
      </c>
      <c r="D276" s="18">
        <v>81.58832268494201</v>
      </c>
    </row>
    <row r="277" ht="14.25" customHeight="1">
      <c r="A277" s="8">
        <v>70704.0</v>
      </c>
      <c r="B277" s="7" t="s">
        <v>403</v>
      </c>
      <c r="C277" s="18">
        <v>0.0</v>
      </c>
      <c r="D277" s="18">
        <v>62.480474851608875</v>
      </c>
    </row>
    <row r="278" ht="14.25" customHeight="1">
      <c r="A278" s="8">
        <v>70705.0</v>
      </c>
      <c r="B278" s="7" t="s">
        <v>462</v>
      </c>
      <c r="C278" s="18">
        <v>54.49798043506465</v>
      </c>
      <c r="D278" s="18">
        <v>69.49753283758427</v>
      </c>
    </row>
    <row r="279" ht="14.25" customHeight="1">
      <c r="A279" s="8">
        <v>70706.0</v>
      </c>
      <c r="B279" s="7" t="s">
        <v>391</v>
      </c>
      <c r="C279" s="18">
        <v>49.48637949805478</v>
      </c>
      <c r="D279" s="18">
        <v>195.34782203008555</v>
      </c>
    </row>
    <row r="280" ht="14.25" customHeight="1">
      <c r="A280" s="8">
        <v>70707.0</v>
      </c>
      <c r="B280" s="7" t="s">
        <v>386</v>
      </c>
      <c r="C280" s="18">
        <v>0.0</v>
      </c>
      <c r="D280" s="18">
        <v>119.26243162571718</v>
      </c>
    </row>
    <row r="281" ht="14.25" customHeight="1">
      <c r="A281" s="8">
        <v>70801.0</v>
      </c>
      <c r="B281" s="7" t="s">
        <v>461</v>
      </c>
      <c r="C281" s="18">
        <v>19.367458795731412</v>
      </c>
      <c r="D281" s="18">
        <v>57.982220909125665</v>
      </c>
    </row>
    <row r="282" ht="14.25" customHeight="1">
      <c r="A282" s="8">
        <v>70802.0</v>
      </c>
      <c r="B282" s="7" t="s">
        <v>464</v>
      </c>
      <c r="C282" s="18">
        <v>0.0</v>
      </c>
      <c r="D282" s="18">
        <v>0.0</v>
      </c>
    </row>
    <row r="283" ht="14.25" customHeight="1">
      <c r="A283" s="8">
        <v>70803.0</v>
      </c>
      <c r="B283" s="7" t="s">
        <v>466</v>
      </c>
      <c r="C283" s="18">
        <v>0.0</v>
      </c>
      <c r="D283" s="18">
        <v>0.0</v>
      </c>
    </row>
    <row r="284" ht="14.25" customHeight="1">
      <c r="A284" s="8">
        <v>70804.0</v>
      </c>
      <c r="B284" s="7" t="s">
        <v>467</v>
      </c>
      <c r="C284" s="18">
        <v>0.0</v>
      </c>
      <c r="D284" s="18">
        <v>0.0</v>
      </c>
    </row>
    <row r="285" ht="14.25" customHeight="1">
      <c r="A285" s="8">
        <v>70805.0</v>
      </c>
      <c r="B285" s="7" t="s">
        <v>468</v>
      </c>
      <c r="C285" s="18">
        <v>0.0</v>
      </c>
      <c r="D285" s="18">
        <v>0.0</v>
      </c>
    </row>
    <row r="286" ht="14.25" customHeight="1">
      <c r="A286" s="8">
        <v>70901.0</v>
      </c>
      <c r="B286" s="7" t="s">
        <v>442</v>
      </c>
      <c r="C286" s="18">
        <v>0.0</v>
      </c>
      <c r="D286" s="18">
        <v>114.79408810446262</v>
      </c>
    </row>
    <row r="287" ht="14.25" customHeight="1">
      <c r="A287" s="8">
        <v>70902.0</v>
      </c>
      <c r="B287" s="7" t="s">
        <v>429</v>
      </c>
      <c r="C287" s="18">
        <v>0.0</v>
      </c>
      <c r="D287" s="18">
        <v>0.0</v>
      </c>
    </row>
    <row r="288" ht="14.25" customHeight="1">
      <c r="A288" s="8">
        <v>70903.0</v>
      </c>
      <c r="B288" s="7" t="s">
        <v>418</v>
      </c>
      <c r="C288" s="18">
        <v>129.67144992093586</v>
      </c>
      <c r="D288" s="18">
        <v>212.97393525859943</v>
      </c>
    </row>
    <row r="289" ht="14.25" customHeight="1">
      <c r="A289" s="8">
        <v>70904.0</v>
      </c>
      <c r="B289" s="7" t="s">
        <v>436</v>
      </c>
      <c r="C289" s="18">
        <v>0.0</v>
      </c>
      <c r="D289" s="18">
        <v>0.0</v>
      </c>
    </row>
    <row r="290" ht="14.25" customHeight="1">
      <c r="A290" s="8">
        <v>71001.0</v>
      </c>
      <c r="B290" s="7" t="s">
        <v>422</v>
      </c>
      <c r="C290" s="18">
        <v>286.7766445196334</v>
      </c>
      <c r="D290" s="18">
        <v>393.4474876393019</v>
      </c>
    </row>
    <row r="291" ht="14.25" customHeight="1">
      <c r="A291" s="8">
        <v>71002.0</v>
      </c>
      <c r="B291" s="7" t="s">
        <v>474</v>
      </c>
      <c r="C291" s="18">
        <v>11516.406945323282</v>
      </c>
      <c r="D291" s="18">
        <v>956.4553191099898</v>
      </c>
    </row>
    <row r="292" ht="14.25" customHeight="1">
      <c r="A292" s="8">
        <v>71003.0</v>
      </c>
      <c r="B292" s="7" t="s">
        <v>420</v>
      </c>
      <c r="C292" s="18">
        <v>245.87030362932197</v>
      </c>
      <c r="D292" s="18">
        <v>490.1462772813206</v>
      </c>
    </row>
    <row r="293" ht="14.25" customHeight="1">
      <c r="A293" s="8">
        <v>71004.0</v>
      </c>
      <c r="B293" s="7" t="s">
        <v>477</v>
      </c>
      <c r="C293" s="18">
        <v>0.0</v>
      </c>
      <c r="D293" s="18">
        <v>0.0</v>
      </c>
    </row>
    <row r="294" ht="14.25" customHeight="1">
      <c r="A294" s="8">
        <v>71005.0</v>
      </c>
      <c r="B294" s="7" t="s">
        <v>355</v>
      </c>
      <c r="C294" s="18">
        <v>0.0</v>
      </c>
      <c r="D294" s="18">
        <v>0.0</v>
      </c>
    </row>
    <row r="295" ht="14.25" customHeight="1">
      <c r="A295" s="8">
        <v>71101.0</v>
      </c>
      <c r="B295" s="7" t="s">
        <v>398</v>
      </c>
      <c r="C295" s="18">
        <v>35.46099290780142</v>
      </c>
      <c r="D295" s="18">
        <v>149.00620791647248</v>
      </c>
    </row>
    <row r="296" ht="14.25" customHeight="1">
      <c r="A296" s="8">
        <v>71102.0</v>
      </c>
      <c r="B296" s="7" t="s">
        <v>48</v>
      </c>
      <c r="C296" s="18">
        <v>49.710436706186464</v>
      </c>
      <c r="D296" s="18">
        <v>45.42254320819422</v>
      </c>
    </row>
    <row r="297" ht="14.25" customHeight="1">
      <c r="A297" s="8">
        <v>71103.0</v>
      </c>
      <c r="B297" s="7" t="s">
        <v>480</v>
      </c>
      <c r="C297" s="18">
        <v>0.0</v>
      </c>
      <c r="D297" s="18">
        <v>157.32863112977816</v>
      </c>
    </row>
    <row r="298" ht="14.25" customHeight="1">
      <c r="A298" s="8">
        <v>71104.0</v>
      </c>
      <c r="B298" s="7" t="s">
        <v>481</v>
      </c>
      <c r="C298" s="18">
        <v>113.31104507480376</v>
      </c>
      <c r="D298" s="18">
        <v>340.06031573054537</v>
      </c>
    </row>
    <row r="299" ht="14.25" customHeight="1">
      <c r="A299" s="8">
        <v>71105.0</v>
      </c>
      <c r="B299" s="7" t="s">
        <v>482</v>
      </c>
      <c r="C299" s="18">
        <v>51.43239212055752</v>
      </c>
      <c r="D299" s="18">
        <v>52.37795935470354</v>
      </c>
    </row>
    <row r="300" ht="14.25" customHeight="1">
      <c r="A300" s="8">
        <v>71106.0</v>
      </c>
      <c r="B300" s="7" t="s">
        <v>483</v>
      </c>
      <c r="C300" s="18">
        <v>0.0</v>
      </c>
      <c r="D300" s="18">
        <v>0.0</v>
      </c>
    </row>
    <row r="301" ht="14.25" customHeight="1">
      <c r="A301" s="8">
        <v>71201.0</v>
      </c>
      <c r="B301" s="7" t="s">
        <v>454</v>
      </c>
      <c r="C301" s="18">
        <v>115.87636880568338</v>
      </c>
      <c r="D301" s="18">
        <v>108.81020370156295</v>
      </c>
    </row>
    <row r="302" ht="14.25" customHeight="1">
      <c r="A302" s="8">
        <v>71301.0</v>
      </c>
      <c r="B302" s="7" t="s">
        <v>395</v>
      </c>
      <c r="C302" s="18">
        <v>41.740170768964056</v>
      </c>
      <c r="D302" s="18">
        <v>77.7824104110817</v>
      </c>
    </row>
    <row r="303" ht="14.25" customHeight="1">
      <c r="A303" s="8">
        <v>71302.0</v>
      </c>
      <c r="B303" s="7" t="s">
        <v>440</v>
      </c>
      <c r="C303" s="18">
        <v>45.10599909788002</v>
      </c>
      <c r="D303" s="18">
        <v>54.112554112554115</v>
      </c>
    </row>
    <row r="304" ht="14.25" customHeight="1">
      <c r="A304" s="8">
        <v>71401.0</v>
      </c>
      <c r="B304" s="7" t="s">
        <v>487</v>
      </c>
      <c r="C304" s="18">
        <v>170.41975803859478</v>
      </c>
      <c r="D304" s="18">
        <v>454.11060900275146</v>
      </c>
    </row>
    <row r="305" ht="14.25" customHeight="1">
      <c r="A305" s="8">
        <v>71402.0</v>
      </c>
      <c r="B305" s="7" t="s">
        <v>433</v>
      </c>
      <c r="C305" s="18">
        <v>140.2444268572872</v>
      </c>
      <c r="D305" s="18">
        <v>466.4893234719411</v>
      </c>
    </row>
    <row r="306" ht="14.25" customHeight="1">
      <c r="A306" s="8">
        <v>71403.0</v>
      </c>
      <c r="B306" s="7" t="s">
        <v>488</v>
      </c>
      <c r="C306" s="18">
        <v>53.67686527106817</v>
      </c>
      <c r="D306" s="18">
        <v>268.2888184857996</v>
      </c>
    </row>
    <row r="307" ht="14.25" customHeight="1">
      <c r="A307" s="8">
        <v>71501.0</v>
      </c>
      <c r="B307" s="7" t="s">
        <v>490</v>
      </c>
      <c r="C307" s="18">
        <v>197.35854918880878</v>
      </c>
      <c r="D307" s="18">
        <v>268.21546410132174</v>
      </c>
    </row>
    <row r="308" ht="14.25" customHeight="1">
      <c r="A308" s="8">
        <v>71502.0</v>
      </c>
      <c r="B308" s="7" t="s">
        <v>491</v>
      </c>
      <c r="C308" s="18">
        <v>1047.7187691320507</v>
      </c>
      <c r="D308" s="18">
        <v>151.34821834145336</v>
      </c>
    </row>
    <row r="309" ht="14.25" customHeight="1">
      <c r="A309" s="8">
        <v>71503.0</v>
      </c>
      <c r="B309" s="7" t="s">
        <v>406</v>
      </c>
      <c r="C309" s="18">
        <v>69.56373533049661</v>
      </c>
      <c r="D309" s="18">
        <v>117.13715214550456</v>
      </c>
    </row>
    <row r="310" ht="14.25" customHeight="1">
      <c r="A310" s="8">
        <v>80101.0</v>
      </c>
      <c r="B310" s="7" t="s">
        <v>60</v>
      </c>
      <c r="C310" s="18">
        <v>214.92857746964532</v>
      </c>
      <c r="D310" s="18">
        <v>699.7890198343549</v>
      </c>
    </row>
    <row r="311" ht="14.25" customHeight="1">
      <c r="A311" s="8">
        <v>80102.0</v>
      </c>
      <c r="B311" s="7" t="s">
        <v>48</v>
      </c>
      <c r="C311" s="18">
        <v>0.0</v>
      </c>
      <c r="D311" s="18">
        <v>44.599054500044595</v>
      </c>
    </row>
    <row r="312" ht="14.25" customHeight="1">
      <c r="A312" s="8">
        <v>80201.0</v>
      </c>
      <c r="B312" s="7" t="s">
        <v>41</v>
      </c>
      <c r="C312" s="18">
        <v>37.34824883106065</v>
      </c>
      <c r="D312" s="18">
        <v>684.8361403038544</v>
      </c>
    </row>
    <row r="313" ht="14.25" customHeight="1">
      <c r="A313" s="8">
        <v>80202.0</v>
      </c>
      <c r="B313" s="7" t="s">
        <v>494</v>
      </c>
      <c r="C313" s="18">
        <v>63.81200800310861</v>
      </c>
      <c r="D313" s="18">
        <v>309.397471454868</v>
      </c>
    </row>
    <row r="314" ht="14.25" customHeight="1">
      <c r="A314" s="8">
        <v>80301.0</v>
      </c>
      <c r="B314" s="7" t="s">
        <v>38</v>
      </c>
      <c r="C314" s="18">
        <v>0.0</v>
      </c>
      <c r="D314" s="18">
        <v>200.00268665829313</v>
      </c>
    </row>
    <row r="315" ht="14.25" customHeight="1">
      <c r="A315" s="8">
        <v>80302.0</v>
      </c>
      <c r="B315" s="7" t="s">
        <v>44</v>
      </c>
      <c r="C315" s="18">
        <v>24.22774076317383</v>
      </c>
      <c r="D315" s="18">
        <v>132.2036713610086</v>
      </c>
    </row>
    <row r="316" ht="14.25" customHeight="1">
      <c r="A316" s="8">
        <v>80303.0</v>
      </c>
      <c r="B316" s="7" t="s">
        <v>57</v>
      </c>
      <c r="C316" s="18">
        <v>35.16916367728775</v>
      </c>
      <c r="D316" s="18">
        <v>211.67274376442978</v>
      </c>
    </row>
    <row r="317" ht="14.25" customHeight="1">
      <c r="A317" s="8">
        <v>80304.0</v>
      </c>
      <c r="B317" s="7" t="s">
        <v>496</v>
      </c>
      <c r="C317" s="18">
        <v>51.944452122897125</v>
      </c>
      <c r="D317" s="18">
        <v>284.2642275032456</v>
      </c>
    </row>
    <row r="318" ht="14.25" customHeight="1">
      <c r="A318" s="8">
        <v>80401.0</v>
      </c>
      <c r="B318" s="7" t="s">
        <v>498</v>
      </c>
      <c r="C318" s="18">
        <v>58.39220760793634</v>
      </c>
      <c r="D318" s="18">
        <v>721.4985901874751</v>
      </c>
    </row>
    <row r="319" ht="14.25" customHeight="1">
      <c r="A319" s="8">
        <v>80402.0</v>
      </c>
      <c r="B319" s="7" t="s">
        <v>499</v>
      </c>
      <c r="C319" s="18">
        <v>0.0</v>
      </c>
      <c r="D319" s="18">
        <v>0.0</v>
      </c>
    </row>
    <row r="320" ht="14.25" customHeight="1">
      <c r="A320" s="8">
        <v>80501.0</v>
      </c>
      <c r="B320" s="7" t="s">
        <v>46</v>
      </c>
      <c r="C320" s="18">
        <v>51.94265530853937</v>
      </c>
      <c r="D320" s="18">
        <v>311.8386362653519</v>
      </c>
    </row>
    <row r="321" ht="14.25" customHeight="1">
      <c r="A321" s="8">
        <v>80601.0</v>
      </c>
      <c r="B321" s="7" t="s">
        <v>29</v>
      </c>
      <c r="C321" s="18">
        <v>0.0</v>
      </c>
      <c r="D321" s="18">
        <v>158.20570255345658</v>
      </c>
    </row>
    <row r="322" ht="14.25" customHeight="1">
      <c r="A322" s="8">
        <v>80602.0</v>
      </c>
      <c r="B322" s="7" t="s">
        <v>502</v>
      </c>
      <c r="C322" s="18">
        <v>0.0</v>
      </c>
      <c r="D322" s="18">
        <v>130.62084889253236</v>
      </c>
    </row>
    <row r="323" ht="14.25" customHeight="1">
      <c r="A323" s="8">
        <v>80701.0</v>
      </c>
      <c r="B323" s="7" t="s">
        <v>51</v>
      </c>
      <c r="C323" s="18">
        <v>0.0</v>
      </c>
      <c r="D323" s="18">
        <v>97.85936991580172</v>
      </c>
    </row>
    <row r="324" ht="14.25" customHeight="1">
      <c r="A324" s="8">
        <v>80702.0</v>
      </c>
      <c r="B324" s="7" t="s">
        <v>480</v>
      </c>
      <c r="C324" s="18">
        <v>67.27211570803901</v>
      </c>
      <c r="D324" s="18">
        <v>184.18430576079206</v>
      </c>
    </row>
    <row r="325" ht="14.25" customHeight="1">
      <c r="A325" s="8">
        <v>80703.0</v>
      </c>
      <c r="B325" s="7" t="s">
        <v>504</v>
      </c>
      <c r="C325" s="18">
        <v>0.0</v>
      </c>
      <c r="D325" s="18">
        <v>0.0</v>
      </c>
    </row>
    <row r="326" ht="14.25" customHeight="1">
      <c r="A326" s="8">
        <v>80801.0</v>
      </c>
      <c r="B326" s="7" t="s">
        <v>32</v>
      </c>
      <c r="C326" s="18">
        <v>58.64871533622196</v>
      </c>
      <c r="D326" s="18">
        <v>79.18646433107692</v>
      </c>
    </row>
    <row r="327" ht="14.25" customHeight="1">
      <c r="A327" s="8">
        <v>80802.0</v>
      </c>
      <c r="B327" s="7" t="s">
        <v>22</v>
      </c>
      <c r="C327" s="18">
        <v>887.1618972587563</v>
      </c>
      <c r="D327" s="18">
        <v>3662.374973965301</v>
      </c>
    </row>
    <row r="328" ht="14.25" customHeight="1">
      <c r="A328" s="8">
        <v>80803.0</v>
      </c>
      <c r="B328" s="7" t="s">
        <v>27</v>
      </c>
      <c r="C328" s="18">
        <v>0.0</v>
      </c>
      <c r="D328" s="18">
        <v>0.0</v>
      </c>
    </row>
    <row r="329" ht="14.25" customHeight="1">
      <c r="A329" s="8">
        <v>80901.0</v>
      </c>
      <c r="B329" s="7" t="s">
        <v>506</v>
      </c>
      <c r="C329" s="18">
        <v>0.0</v>
      </c>
      <c r="D329" s="18">
        <v>0.0</v>
      </c>
    </row>
    <row r="330" ht="14.25" customHeight="1">
      <c r="A330" s="8">
        <v>90101.0</v>
      </c>
      <c r="B330" s="7" t="s">
        <v>299</v>
      </c>
      <c r="C330" s="18">
        <v>86.84412740237615</v>
      </c>
      <c r="D330" s="18">
        <v>668.2422341958319</v>
      </c>
    </row>
    <row r="331" ht="14.25" customHeight="1">
      <c r="A331" s="8">
        <v>90102.0</v>
      </c>
      <c r="B331" s="7" t="s">
        <v>306</v>
      </c>
      <c r="C331" s="18">
        <v>0.0</v>
      </c>
      <c r="D331" s="18">
        <v>251.75484651590568</v>
      </c>
    </row>
    <row r="332" ht="14.25" customHeight="1">
      <c r="A332" s="8">
        <v>90103.0</v>
      </c>
      <c r="B332" s="7" t="s">
        <v>298</v>
      </c>
      <c r="C332" s="18">
        <v>0.0</v>
      </c>
      <c r="D332" s="18">
        <v>0.0</v>
      </c>
    </row>
    <row r="333" ht="14.25" customHeight="1">
      <c r="A333" s="8">
        <v>90104.0</v>
      </c>
      <c r="B333" s="7" t="s">
        <v>296</v>
      </c>
      <c r="C333" s="18">
        <v>173.85510622667096</v>
      </c>
      <c r="D333" s="18">
        <v>0.0</v>
      </c>
    </row>
    <row r="334" ht="14.25" customHeight="1">
      <c r="A334" s="8">
        <v>90201.0</v>
      </c>
      <c r="B334" s="7" t="s">
        <v>311</v>
      </c>
      <c r="C334" s="18">
        <v>0.0</v>
      </c>
      <c r="D334" s="18">
        <v>45.83161464778404</v>
      </c>
    </row>
    <row r="335" ht="14.25" customHeight="1">
      <c r="A335" s="8">
        <v>90202.0</v>
      </c>
      <c r="B335" s="7" t="s">
        <v>355</v>
      </c>
      <c r="C335" s="18">
        <v>0.0</v>
      </c>
      <c r="D335" s="18">
        <v>0.0</v>
      </c>
    </row>
    <row r="336" ht="14.25" customHeight="1">
      <c r="A336" s="8">
        <v>90203.0</v>
      </c>
      <c r="B336" s="7" t="s">
        <v>301</v>
      </c>
      <c r="C336" s="18">
        <v>120.79482998127679</v>
      </c>
      <c r="D336" s="18">
        <v>170.8615995733002</v>
      </c>
    </row>
    <row r="337" ht="14.25" customHeight="1">
      <c r="A337" s="8">
        <v>90301.0</v>
      </c>
      <c r="B337" s="7" t="s">
        <v>308</v>
      </c>
      <c r="C337" s="18">
        <v>0.0</v>
      </c>
      <c r="D337" s="18">
        <v>140.5420029208229</v>
      </c>
    </row>
    <row r="338" ht="14.25" customHeight="1">
      <c r="A338" s="8">
        <v>90302.0</v>
      </c>
      <c r="B338" s="7" t="s">
        <v>313</v>
      </c>
      <c r="C338" s="18">
        <v>0.0</v>
      </c>
      <c r="D338" s="18">
        <v>35.20259091069102</v>
      </c>
    </row>
    <row r="339" ht="14.25" customHeight="1">
      <c r="A339" s="8">
        <v>90303.0</v>
      </c>
      <c r="B339" s="7" t="s">
        <v>315</v>
      </c>
      <c r="C339" s="18">
        <v>0.0</v>
      </c>
      <c r="D339" s="18">
        <v>131.42763265976672</v>
      </c>
    </row>
    <row r="340" ht="14.25" customHeight="1">
      <c r="A340" s="8">
        <v>90401.0</v>
      </c>
      <c r="B340" s="7" t="s">
        <v>57</v>
      </c>
      <c r="C340" s="18">
        <v>0.0</v>
      </c>
      <c r="D340" s="18">
        <v>0.0</v>
      </c>
    </row>
    <row r="341" ht="14.25" customHeight="1">
      <c r="A341" s="8">
        <v>90402.0</v>
      </c>
      <c r="B341" s="7" t="s">
        <v>147</v>
      </c>
      <c r="C341" s="18">
        <v>0.0</v>
      </c>
      <c r="D341" s="18">
        <v>0.0</v>
      </c>
    </row>
    <row r="342" ht="14.25" customHeight="1">
      <c r="A342" s="8">
        <v>90501.0</v>
      </c>
      <c r="B342" s="7" t="s">
        <v>513</v>
      </c>
      <c r="C342" s="18">
        <v>0.0</v>
      </c>
      <c r="D342" s="18">
        <v>0.0</v>
      </c>
    </row>
    <row r="343" ht="14.25" customHeight="1">
      <c r="A343" s="8">
        <v>90502.0</v>
      </c>
      <c r="B343" s="7" t="s">
        <v>514</v>
      </c>
      <c r="C343" s="18">
        <v>0.0</v>
      </c>
      <c r="D343" s="18">
        <v>131.49243918474687</v>
      </c>
    </row>
    <row r="344" ht="14.25" customHeight="1">
      <c r="A344" s="8">
        <v>90503.0</v>
      </c>
      <c r="B344" s="7" t="s">
        <v>515</v>
      </c>
      <c r="C344" s="18">
        <v>0.0</v>
      </c>
      <c r="D344" s="18">
        <v>0.0</v>
      </c>
    </row>
    <row r="345" ht="14.25" customHeight="1">
      <c r="C345" s="19"/>
      <c r="D345" s="19"/>
    </row>
    <row r="346" ht="14.25" customHeight="1">
      <c r="C346" s="19"/>
      <c r="D346" s="19"/>
    </row>
    <row r="347" ht="14.25" customHeight="1">
      <c r="C347" s="19"/>
      <c r="D347" s="19"/>
    </row>
    <row r="348" ht="14.25" customHeight="1">
      <c r="C348" s="19"/>
      <c r="D348" s="19"/>
    </row>
    <row r="349" ht="14.25" customHeight="1">
      <c r="C349" s="19"/>
      <c r="D349" s="19"/>
    </row>
    <row r="350" ht="14.25" customHeight="1">
      <c r="C350" s="19"/>
      <c r="D350" s="19"/>
    </row>
    <row r="351" ht="14.25" customHeight="1">
      <c r="C351" s="19"/>
      <c r="D351" s="19"/>
    </row>
    <row r="352" ht="14.25" customHeight="1">
      <c r="C352" s="19"/>
      <c r="D352" s="19"/>
    </row>
    <row r="353" ht="14.25" customHeight="1">
      <c r="C353" s="19"/>
      <c r="D353" s="19"/>
    </row>
    <row r="354" ht="14.25" customHeight="1">
      <c r="C354" s="19"/>
      <c r="D354" s="19"/>
    </row>
    <row r="355" ht="14.25" customHeight="1">
      <c r="C355" s="19"/>
      <c r="D355" s="19"/>
    </row>
    <row r="356" ht="14.25" customHeight="1">
      <c r="C356" s="19"/>
      <c r="D356" s="19"/>
    </row>
    <row r="357" ht="14.25" customHeight="1">
      <c r="C357" s="19"/>
      <c r="D357" s="19"/>
    </row>
    <row r="358" ht="14.25" customHeight="1">
      <c r="C358" s="19"/>
      <c r="D358" s="19"/>
    </row>
    <row r="359" ht="14.25" customHeight="1">
      <c r="C359" s="19"/>
      <c r="D359" s="19"/>
    </row>
    <row r="360" ht="14.25" customHeight="1">
      <c r="C360" s="19"/>
      <c r="D360" s="19"/>
    </row>
    <row r="361" ht="14.25" customHeight="1">
      <c r="C361" s="19"/>
      <c r="D361" s="19"/>
    </row>
    <row r="362" ht="14.25" customHeight="1">
      <c r="C362" s="19"/>
      <c r="D362" s="19"/>
    </row>
    <row r="363" ht="14.25" customHeight="1">
      <c r="C363" s="19"/>
      <c r="D363" s="19"/>
    </row>
    <row r="364" ht="14.25" customHeight="1">
      <c r="C364" s="19"/>
      <c r="D364" s="19"/>
    </row>
    <row r="365" ht="14.25" customHeight="1">
      <c r="C365" s="19"/>
      <c r="D365" s="19"/>
    </row>
    <row r="366" ht="14.25" customHeight="1">
      <c r="C366" s="19"/>
      <c r="D366" s="19"/>
    </row>
    <row r="367" ht="14.25" customHeight="1">
      <c r="C367" s="19"/>
      <c r="D367" s="19"/>
    </row>
    <row r="368" ht="14.25" customHeight="1">
      <c r="C368" s="19"/>
      <c r="D368" s="19"/>
    </row>
    <row r="369" ht="14.25" customHeight="1">
      <c r="C369" s="19"/>
      <c r="D369" s="19"/>
    </row>
    <row r="370" ht="14.25" customHeight="1">
      <c r="C370" s="19"/>
      <c r="D370" s="19"/>
    </row>
    <row r="371" ht="14.25" customHeight="1">
      <c r="C371" s="19"/>
      <c r="D371" s="19"/>
    </row>
    <row r="372" ht="14.25" customHeight="1">
      <c r="C372" s="19"/>
      <c r="D372" s="19"/>
    </row>
    <row r="373" ht="14.25" customHeight="1">
      <c r="C373" s="19"/>
      <c r="D373" s="19"/>
    </row>
    <row r="374" ht="14.25" customHeight="1">
      <c r="C374" s="19"/>
      <c r="D374" s="19"/>
    </row>
    <row r="375" ht="14.25" customHeight="1">
      <c r="C375" s="19"/>
      <c r="D375" s="19"/>
    </row>
    <row r="376" ht="14.25" customHeight="1">
      <c r="C376" s="19"/>
      <c r="D376" s="19"/>
    </row>
    <row r="377" ht="14.25" customHeight="1">
      <c r="C377" s="19"/>
      <c r="D377" s="19"/>
    </row>
    <row r="378" ht="14.25" customHeight="1">
      <c r="C378" s="19"/>
      <c r="D378" s="19"/>
    </row>
    <row r="379" ht="14.25" customHeight="1">
      <c r="C379" s="19"/>
      <c r="D379" s="19"/>
    </row>
    <row r="380" ht="14.25" customHeight="1">
      <c r="C380" s="19"/>
      <c r="D380" s="19"/>
    </row>
    <row r="381" ht="14.25" customHeight="1">
      <c r="C381" s="19"/>
      <c r="D381" s="19"/>
    </row>
    <row r="382" ht="14.25" customHeight="1">
      <c r="C382" s="19"/>
      <c r="D382" s="19"/>
    </row>
    <row r="383" ht="14.25" customHeight="1">
      <c r="C383" s="19"/>
      <c r="D383" s="19"/>
    </row>
    <row r="384" ht="14.25" customHeight="1">
      <c r="C384" s="19"/>
      <c r="D384" s="19"/>
    </row>
    <row r="385" ht="14.25" customHeight="1">
      <c r="C385" s="19"/>
      <c r="D385" s="19"/>
    </row>
    <row r="386" ht="14.25" customHeight="1">
      <c r="C386" s="19"/>
      <c r="D386" s="19"/>
    </row>
    <row r="387" ht="14.25" customHeight="1">
      <c r="C387" s="19"/>
      <c r="D387" s="19"/>
    </row>
    <row r="388" ht="14.25" customHeight="1">
      <c r="C388" s="19"/>
      <c r="D388" s="19"/>
    </row>
    <row r="389" ht="14.25" customHeight="1">
      <c r="C389" s="19"/>
      <c r="D389" s="19"/>
    </row>
    <row r="390" ht="14.25" customHeight="1">
      <c r="C390" s="19"/>
      <c r="D390" s="19"/>
    </row>
    <row r="391" ht="14.25" customHeight="1">
      <c r="C391" s="19"/>
      <c r="D391" s="19"/>
    </row>
    <row r="392" ht="14.25" customHeight="1">
      <c r="C392" s="19"/>
      <c r="D392" s="19"/>
    </row>
    <row r="393" ht="14.25" customHeight="1">
      <c r="C393" s="19"/>
      <c r="D393" s="19"/>
    </row>
    <row r="394" ht="14.25" customHeight="1">
      <c r="C394" s="19"/>
      <c r="D394" s="19"/>
    </row>
    <row r="395" ht="14.25" customHeight="1">
      <c r="C395" s="19"/>
      <c r="D395" s="19"/>
    </row>
    <row r="396" ht="14.25" customHeight="1">
      <c r="C396" s="19"/>
      <c r="D396" s="19"/>
    </row>
    <row r="397" ht="14.25" customHeight="1">
      <c r="C397" s="19"/>
      <c r="D397" s="19"/>
    </row>
    <row r="398" ht="14.25" customHeight="1">
      <c r="C398" s="19"/>
      <c r="D398" s="19"/>
    </row>
    <row r="399" ht="14.25" customHeight="1">
      <c r="C399" s="19"/>
      <c r="D399" s="19"/>
    </row>
    <row r="400" ht="14.25" customHeight="1">
      <c r="C400" s="19"/>
      <c r="D400" s="19"/>
    </row>
    <row r="401" ht="14.25" customHeight="1">
      <c r="C401" s="19"/>
      <c r="D401" s="19"/>
    </row>
    <row r="402" ht="14.25" customHeight="1">
      <c r="C402" s="19"/>
      <c r="D402" s="19"/>
    </row>
    <row r="403" ht="14.25" customHeight="1">
      <c r="C403" s="19"/>
      <c r="D403" s="19"/>
    </row>
    <row r="404" ht="14.25" customHeight="1">
      <c r="C404" s="19"/>
      <c r="D404" s="19"/>
    </row>
    <row r="405" ht="14.25" customHeight="1">
      <c r="C405" s="19"/>
      <c r="D405" s="19"/>
    </row>
    <row r="406" ht="14.25" customHeight="1">
      <c r="C406" s="19"/>
      <c r="D406" s="19"/>
    </row>
    <row r="407" ht="14.25" customHeight="1">
      <c r="C407" s="19"/>
      <c r="D407" s="19"/>
    </row>
    <row r="408" ht="14.25" customHeight="1">
      <c r="C408" s="19"/>
      <c r="D408" s="19"/>
    </row>
    <row r="409" ht="14.25" customHeight="1">
      <c r="C409" s="19"/>
      <c r="D409" s="19"/>
    </row>
    <row r="410" ht="14.25" customHeight="1">
      <c r="C410" s="19"/>
      <c r="D410" s="19"/>
    </row>
    <row r="411" ht="14.25" customHeight="1">
      <c r="C411" s="19"/>
      <c r="D411" s="19"/>
    </row>
    <row r="412" ht="14.25" customHeight="1">
      <c r="C412" s="19"/>
      <c r="D412" s="19"/>
    </row>
    <row r="413" ht="14.25" customHeight="1">
      <c r="C413" s="19"/>
      <c r="D413" s="19"/>
    </row>
    <row r="414" ht="14.25" customHeight="1">
      <c r="C414" s="19"/>
      <c r="D414" s="19"/>
    </row>
    <row r="415" ht="14.25" customHeight="1">
      <c r="C415" s="19"/>
      <c r="D415" s="19"/>
    </row>
    <row r="416" ht="14.25" customHeight="1">
      <c r="C416" s="19"/>
      <c r="D416" s="19"/>
    </row>
    <row r="417" ht="14.25" customHeight="1">
      <c r="C417" s="19"/>
      <c r="D417" s="19"/>
    </row>
    <row r="418" ht="14.25" customHeight="1">
      <c r="C418" s="19"/>
      <c r="D418" s="19"/>
    </row>
    <row r="419" ht="14.25" customHeight="1">
      <c r="C419" s="19"/>
      <c r="D419" s="19"/>
    </row>
    <row r="420" ht="14.25" customHeight="1">
      <c r="C420" s="19"/>
      <c r="D420" s="19"/>
    </row>
    <row r="421" ht="14.25" customHeight="1">
      <c r="C421" s="19"/>
      <c r="D421" s="19"/>
    </row>
    <row r="422" ht="14.25" customHeight="1">
      <c r="C422" s="19"/>
      <c r="D422" s="19"/>
    </row>
    <row r="423" ht="14.25" customHeight="1">
      <c r="C423" s="19"/>
      <c r="D423" s="19"/>
    </row>
    <row r="424" ht="14.25" customHeight="1">
      <c r="C424" s="19"/>
      <c r="D424" s="19"/>
    </row>
    <row r="425" ht="14.25" customHeight="1">
      <c r="C425" s="19"/>
      <c r="D425" s="19"/>
    </row>
    <row r="426" ht="14.25" customHeight="1">
      <c r="C426" s="19"/>
      <c r="D426" s="19"/>
    </row>
    <row r="427" ht="14.25" customHeight="1">
      <c r="C427" s="19"/>
      <c r="D427" s="19"/>
    </row>
    <row r="428" ht="14.25" customHeight="1">
      <c r="C428" s="19"/>
      <c r="D428" s="19"/>
    </row>
    <row r="429" ht="14.25" customHeight="1">
      <c r="C429" s="19"/>
      <c r="D429" s="19"/>
    </row>
    <row r="430" ht="14.25" customHeight="1">
      <c r="C430" s="19"/>
      <c r="D430" s="19"/>
    </row>
    <row r="431" ht="14.25" customHeight="1">
      <c r="C431" s="19"/>
      <c r="D431" s="19"/>
    </row>
    <row r="432" ht="14.25" customHeight="1">
      <c r="C432" s="19"/>
      <c r="D432" s="19"/>
    </row>
    <row r="433" ht="14.25" customHeight="1">
      <c r="C433" s="19"/>
      <c r="D433" s="19"/>
    </row>
    <row r="434" ht="14.25" customHeight="1">
      <c r="C434" s="19"/>
      <c r="D434" s="19"/>
    </row>
    <row r="435" ht="14.25" customHeight="1">
      <c r="C435" s="19"/>
      <c r="D435" s="19"/>
    </row>
    <row r="436" ht="14.25" customHeight="1">
      <c r="C436" s="19"/>
      <c r="D436" s="19"/>
    </row>
    <row r="437" ht="14.25" customHeight="1">
      <c r="C437" s="19"/>
      <c r="D437" s="19"/>
    </row>
    <row r="438" ht="14.25" customHeight="1">
      <c r="C438" s="19"/>
      <c r="D438" s="19"/>
    </row>
    <row r="439" ht="14.25" customHeight="1">
      <c r="C439" s="19"/>
      <c r="D439" s="19"/>
    </row>
    <row r="440" ht="14.25" customHeight="1">
      <c r="C440" s="19"/>
      <c r="D440" s="19"/>
    </row>
    <row r="441" ht="14.25" customHeight="1">
      <c r="C441" s="19"/>
      <c r="D441" s="19"/>
    </row>
    <row r="442" ht="14.25" customHeight="1">
      <c r="C442" s="19"/>
      <c r="D442" s="19"/>
    </row>
    <row r="443" ht="14.25" customHeight="1">
      <c r="C443" s="19"/>
      <c r="D443" s="19"/>
    </row>
    <row r="444" ht="14.25" customHeight="1">
      <c r="C444" s="19"/>
      <c r="D444" s="19"/>
    </row>
    <row r="445" ht="14.25" customHeight="1">
      <c r="C445" s="19"/>
      <c r="D445" s="19"/>
    </row>
    <row r="446" ht="14.25" customHeight="1">
      <c r="C446" s="19"/>
      <c r="D446" s="19"/>
    </row>
    <row r="447" ht="14.25" customHeight="1">
      <c r="C447" s="19"/>
      <c r="D447" s="19"/>
    </row>
    <row r="448" ht="14.25" customHeight="1">
      <c r="C448" s="19"/>
      <c r="D448" s="19"/>
    </row>
    <row r="449" ht="14.25" customHeight="1">
      <c r="C449" s="19"/>
      <c r="D449" s="19"/>
    </row>
    <row r="450" ht="14.25" customHeight="1">
      <c r="C450" s="19"/>
      <c r="D450" s="19"/>
    </row>
    <row r="451" ht="14.25" customHeight="1">
      <c r="C451" s="19"/>
      <c r="D451" s="19"/>
    </row>
    <row r="452" ht="14.25" customHeight="1">
      <c r="C452" s="19"/>
      <c r="D452" s="19"/>
    </row>
    <row r="453" ht="14.25" customHeight="1">
      <c r="C453" s="19"/>
      <c r="D453" s="19"/>
    </row>
    <row r="454" ht="14.25" customHeight="1">
      <c r="C454" s="19"/>
      <c r="D454" s="19"/>
    </row>
    <row r="455" ht="14.25" customHeight="1">
      <c r="C455" s="19"/>
      <c r="D455" s="19"/>
    </row>
    <row r="456" ht="14.25" customHeight="1">
      <c r="C456" s="19"/>
      <c r="D456" s="19"/>
    </row>
    <row r="457" ht="14.25" customHeight="1">
      <c r="C457" s="19"/>
      <c r="D457" s="19"/>
    </row>
    <row r="458" ht="14.25" customHeight="1">
      <c r="C458" s="19"/>
      <c r="D458" s="19"/>
    </row>
    <row r="459" ht="14.25" customHeight="1">
      <c r="C459" s="19"/>
      <c r="D459" s="19"/>
    </row>
    <row r="460" ht="14.25" customHeight="1">
      <c r="C460" s="19"/>
      <c r="D460" s="19"/>
    </row>
    <row r="461" ht="14.25" customHeight="1">
      <c r="C461" s="19"/>
      <c r="D461" s="19"/>
    </row>
    <row r="462" ht="14.25" customHeight="1">
      <c r="C462" s="19"/>
      <c r="D462" s="19"/>
    </row>
    <row r="463" ht="14.25" customHeight="1">
      <c r="C463" s="19"/>
      <c r="D463" s="19"/>
    </row>
    <row r="464" ht="14.25" customHeight="1">
      <c r="C464" s="19"/>
      <c r="D464" s="19"/>
    </row>
    <row r="465" ht="14.25" customHeight="1">
      <c r="C465" s="19"/>
      <c r="D465" s="19"/>
    </row>
    <row r="466" ht="14.25" customHeight="1">
      <c r="C466" s="19"/>
      <c r="D466" s="19"/>
    </row>
    <row r="467" ht="14.25" customHeight="1">
      <c r="C467" s="19"/>
      <c r="D467" s="19"/>
    </row>
    <row r="468" ht="14.25" customHeight="1">
      <c r="C468" s="19"/>
      <c r="D468" s="19"/>
    </row>
    <row r="469" ht="14.25" customHeight="1">
      <c r="C469" s="19"/>
      <c r="D469" s="19"/>
    </row>
    <row r="470" ht="14.25" customHeight="1">
      <c r="C470" s="19"/>
      <c r="D470" s="19"/>
    </row>
    <row r="471" ht="14.25" customHeight="1">
      <c r="C471" s="19"/>
      <c r="D471" s="19"/>
    </row>
    <row r="472" ht="14.25" customHeight="1">
      <c r="C472" s="19"/>
      <c r="D472" s="19"/>
    </row>
    <row r="473" ht="14.25" customHeight="1">
      <c r="C473" s="19"/>
      <c r="D473" s="19"/>
    </row>
    <row r="474" ht="14.25" customHeight="1">
      <c r="C474" s="19"/>
      <c r="D474" s="19"/>
    </row>
    <row r="475" ht="14.25" customHeight="1">
      <c r="C475" s="19"/>
      <c r="D475" s="19"/>
    </row>
    <row r="476" ht="14.25" customHeight="1">
      <c r="C476" s="19"/>
      <c r="D476" s="19"/>
    </row>
    <row r="477" ht="14.25" customHeight="1">
      <c r="C477" s="19"/>
      <c r="D477" s="19"/>
    </row>
    <row r="478" ht="14.25" customHeight="1">
      <c r="C478" s="19"/>
      <c r="D478" s="19"/>
    </row>
    <row r="479" ht="14.25" customHeight="1">
      <c r="C479" s="19"/>
      <c r="D479" s="19"/>
    </row>
    <row r="480" ht="14.25" customHeight="1">
      <c r="C480" s="19"/>
      <c r="D480" s="19"/>
    </row>
    <row r="481" ht="14.25" customHeight="1">
      <c r="C481" s="19"/>
      <c r="D481" s="19"/>
    </row>
    <row r="482" ht="14.25" customHeight="1">
      <c r="C482" s="19"/>
      <c r="D482" s="19"/>
    </row>
    <row r="483" ht="14.25" customHeight="1">
      <c r="C483" s="19"/>
      <c r="D483" s="19"/>
    </row>
    <row r="484" ht="14.25" customHeight="1">
      <c r="C484" s="19"/>
      <c r="D484" s="19"/>
    </row>
    <row r="485" ht="14.25" customHeight="1">
      <c r="C485" s="19"/>
      <c r="D485" s="19"/>
    </row>
    <row r="486" ht="14.25" customHeight="1">
      <c r="C486" s="19"/>
      <c r="D486" s="19"/>
    </row>
    <row r="487" ht="14.25" customHeight="1">
      <c r="C487" s="19"/>
      <c r="D487" s="19"/>
    </row>
    <row r="488" ht="14.25" customHeight="1">
      <c r="C488" s="19"/>
      <c r="D488" s="19"/>
    </row>
    <row r="489" ht="14.25" customHeight="1">
      <c r="C489" s="19"/>
      <c r="D489" s="19"/>
    </row>
    <row r="490" ht="14.25" customHeight="1">
      <c r="C490" s="19"/>
      <c r="D490" s="19"/>
    </row>
    <row r="491" ht="14.25" customHeight="1">
      <c r="C491" s="19"/>
      <c r="D491" s="19"/>
    </row>
    <row r="492" ht="14.25" customHeight="1">
      <c r="C492" s="19"/>
      <c r="D492" s="19"/>
    </row>
    <row r="493" ht="14.25" customHeight="1">
      <c r="C493" s="19"/>
      <c r="D493" s="19"/>
    </row>
    <row r="494" ht="14.25" customHeight="1">
      <c r="C494" s="19"/>
      <c r="D494" s="19"/>
    </row>
    <row r="495" ht="14.25" customHeight="1">
      <c r="C495" s="19"/>
      <c r="D495" s="19"/>
    </row>
    <row r="496" ht="14.25" customHeight="1">
      <c r="C496" s="19"/>
      <c r="D496" s="19"/>
    </row>
    <row r="497" ht="14.25" customHeight="1">
      <c r="C497" s="19"/>
      <c r="D497" s="19"/>
    </row>
    <row r="498" ht="14.25" customHeight="1">
      <c r="C498" s="19"/>
      <c r="D498" s="19"/>
    </row>
    <row r="499" ht="14.25" customHeight="1">
      <c r="C499" s="19"/>
      <c r="D499" s="19"/>
    </row>
    <row r="500" ht="14.25" customHeight="1">
      <c r="C500" s="19"/>
      <c r="D500" s="19"/>
    </row>
    <row r="501" ht="14.25" customHeight="1">
      <c r="C501" s="19"/>
      <c r="D501" s="19"/>
    </row>
    <row r="502" ht="14.25" customHeight="1">
      <c r="C502" s="19"/>
      <c r="D502" s="19"/>
    </row>
    <row r="503" ht="14.25" customHeight="1">
      <c r="C503" s="19"/>
      <c r="D503" s="19"/>
    </row>
    <row r="504" ht="14.25" customHeight="1">
      <c r="C504" s="19"/>
      <c r="D504" s="19"/>
    </row>
    <row r="505" ht="14.25" customHeight="1">
      <c r="C505" s="19"/>
      <c r="D505" s="19"/>
    </row>
    <row r="506" ht="14.25" customHeight="1">
      <c r="C506" s="19"/>
      <c r="D506" s="19"/>
    </row>
    <row r="507" ht="14.25" customHeight="1">
      <c r="C507" s="19"/>
      <c r="D507" s="19"/>
    </row>
    <row r="508" ht="14.25" customHeight="1">
      <c r="C508" s="19"/>
      <c r="D508" s="19"/>
    </row>
    <row r="509" ht="14.25" customHeight="1">
      <c r="C509" s="19"/>
      <c r="D509" s="19"/>
    </row>
    <row r="510" ht="14.25" customHeight="1">
      <c r="C510" s="19"/>
      <c r="D510" s="19"/>
    </row>
    <row r="511" ht="14.25" customHeight="1">
      <c r="C511" s="19"/>
      <c r="D511" s="19"/>
    </row>
    <row r="512" ht="14.25" customHeight="1">
      <c r="C512" s="19"/>
      <c r="D512" s="19"/>
    </row>
    <row r="513" ht="14.25" customHeight="1">
      <c r="C513" s="19"/>
      <c r="D513" s="19"/>
    </row>
    <row r="514" ht="14.25" customHeight="1">
      <c r="C514" s="19"/>
      <c r="D514" s="19"/>
    </row>
    <row r="515" ht="14.25" customHeight="1">
      <c r="C515" s="19"/>
      <c r="D515" s="19"/>
    </row>
    <row r="516" ht="14.25" customHeight="1">
      <c r="C516" s="19"/>
      <c r="D516" s="19"/>
    </row>
    <row r="517" ht="14.25" customHeight="1">
      <c r="C517" s="19"/>
      <c r="D517" s="19"/>
    </row>
    <row r="518" ht="14.25" customHeight="1">
      <c r="C518" s="19"/>
      <c r="D518" s="19"/>
    </row>
    <row r="519" ht="14.25" customHeight="1">
      <c r="C519" s="19"/>
      <c r="D519" s="19"/>
    </row>
    <row r="520" ht="14.25" customHeight="1">
      <c r="C520" s="19"/>
      <c r="D520" s="19"/>
    </row>
    <row r="521" ht="14.25" customHeight="1">
      <c r="C521" s="19"/>
      <c r="D521" s="19"/>
    </row>
    <row r="522" ht="14.25" customHeight="1">
      <c r="C522" s="19"/>
      <c r="D522" s="19"/>
    </row>
    <row r="523" ht="14.25" customHeight="1">
      <c r="C523" s="19"/>
      <c r="D523" s="19"/>
    </row>
    <row r="524" ht="14.25" customHeight="1">
      <c r="C524" s="19"/>
      <c r="D524" s="19"/>
    </row>
    <row r="525" ht="14.25" customHeight="1">
      <c r="C525" s="19"/>
      <c r="D525" s="19"/>
    </row>
    <row r="526" ht="14.25" customHeight="1">
      <c r="C526" s="19"/>
      <c r="D526" s="19"/>
    </row>
    <row r="527" ht="14.25" customHeight="1">
      <c r="C527" s="19"/>
      <c r="D527" s="19"/>
    </row>
    <row r="528" ht="14.25" customHeight="1">
      <c r="C528" s="19"/>
      <c r="D528" s="19"/>
    </row>
    <row r="529" ht="14.25" customHeight="1">
      <c r="C529" s="19"/>
      <c r="D529" s="19"/>
    </row>
    <row r="530" ht="14.25" customHeight="1">
      <c r="C530" s="19"/>
      <c r="D530" s="19"/>
    </row>
    <row r="531" ht="14.25" customHeight="1">
      <c r="C531" s="19"/>
      <c r="D531" s="19"/>
    </row>
    <row r="532" ht="14.25" customHeight="1">
      <c r="C532" s="19"/>
      <c r="D532" s="19"/>
    </row>
    <row r="533" ht="14.25" customHeight="1">
      <c r="C533" s="19"/>
      <c r="D533" s="19"/>
    </row>
    <row r="534" ht="14.25" customHeight="1">
      <c r="C534" s="19"/>
      <c r="D534" s="19"/>
    </row>
    <row r="535" ht="14.25" customHeight="1">
      <c r="C535" s="19"/>
      <c r="D535" s="19"/>
    </row>
    <row r="536" ht="14.25" customHeight="1">
      <c r="C536" s="19"/>
      <c r="D536" s="19"/>
    </row>
    <row r="537" ht="14.25" customHeight="1">
      <c r="C537" s="19"/>
      <c r="D537" s="19"/>
    </row>
    <row r="538" ht="14.25" customHeight="1">
      <c r="C538" s="19"/>
      <c r="D538" s="19"/>
    </row>
    <row r="539" ht="14.25" customHeight="1">
      <c r="C539" s="19"/>
      <c r="D539" s="19"/>
    </row>
    <row r="540" ht="14.25" customHeight="1">
      <c r="C540" s="19"/>
      <c r="D540" s="19"/>
    </row>
    <row r="541" ht="14.25" customHeight="1">
      <c r="C541" s="19"/>
      <c r="D541" s="19"/>
    </row>
    <row r="542" ht="14.25" customHeight="1">
      <c r="C542" s="19"/>
      <c r="D542" s="19"/>
    </row>
    <row r="543" ht="14.25" customHeight="1">
      <c r="C543" s="19"/>
      <c r="D543" s="19"/>
    </row>
    <row r="544" ht="14.25" customHeight="1">
      <c r="C544" s="19"/>
      <c r="D544" s="19"/>
    </row>
    <row r="545" ht="14.25" customHeight="1">
      <c r="C545" s="19"/>
      <c r="D545" s="19"/>
    </row>
    <row r="546" ht="14.25" customHeight="1">
      <c r="C546" s="19"/>
      <c r="D546" s="19"/>
    </row>
    <row r="547" ht="14.25" customHeight="1">
      <c r="C547" s="19"/>
      <c r="D547" s="19"/>
    </row>
    <row r="548" ht="14.25" customHeight="1">
      <c r="C548" s="19"/>
      <c r="D548" s="19"/>
    </row>
    <row r="549" ht="14.25" customHeight="1">
      <c r="C549" s="19"/>
      <c r="D549" s="19"/>
    </row>
    <row r="550" ht="14.25" customHeight="1">
      <c r="C550" s="19"/>
      <c r="D550" s="19"/>
    </row>
    <row r="551" ht="14.25" customHeight="1">
      <c r="C551" s="19"/>
      <c r="D551" s="19"/>
    </row>
    <row r="552" ht="14.25" customHeight="1">
      <c r="C552" s="19"/>
      <c r="D552" s="19"/>
    </row>
    <row r="553" ht="14.25" customHeight="1">
      <c r="C553" s="19"/>
      <c r="D553" s="19"/>
    </row>
    <row r="554" ht="14.25" customHeight="1">
      <c r="C554" s="19"/>
      <c r="D554" s="19"/>
    </row>
    <row r="555" ht="14.25" customHeight="1">
      <c r="C555" s="19"/>
      <c r="D555" s="19"/>
    </row>
    <row r="556" ht="14.25" customHeight="1">
      <c r="C556" s="19"/>
      <c r="D556" s="19"/>
    </row>
    <row r="557" ht="14.25" customHeight="1">
      <c r="C557" s="19"/>
      <c r="D557" s="19"/>
    </row>
    <row r="558" ht="14.25" customHeight="1">
      <c r="C558" s="19"/>
      <c r="D558" s="19"/>
    </row>
    <row r="559" ht="14.25" customHeight="1">
      <c r="C559" s="19"/>
      <c r="D559" s="19"/>
    </row>
    <row r="560" ht="14.25" customHeight="1">
      <c r="C560" s="19"/>
      <c r="D560" s="19"/>
    </row>
    <row r="561" ht="14.25" customHeight="1">
      <c r="C561" s="19"/>
      <c r="D561" s="19"/>
    </row>
    <row r="562" ht="14.25" customHeight="1">
      <c r="C562" s="19"/>
      <c r="D562" s="19"/>
    </row>
    <row r="563" ht="14.25" customHeight="1">
      <c r="C563" s="19"/>
      <c r="D563" s="19"/>
    </row>
    <row r="564" ht="14.25" customHeight="1">
      <c r="C564" s="19"/>
      <c r="D564" s="19"/>
    </row>
    <row r="565" ht="14.25" customHeight="1">
      <c r="C565" s="19"/>
      <c r="D565" s="19"/>
    </row>
    <row r="566" ht="14.25" customHeight="1">
      <c r="C566" s="19"/>
      <c r="D566" s="19"/>
    </row>
    <row r="567" ht="14.25" customHeight="1">
      <c r="C567" s="19"/>
      <c r="D567" s="19"/>
    </row>
    <row r="568" ht="14.25" customHeight="1">
      <c r="C568" s="19"/>
      <c r="D568" s="19"/>
    </row>
    <row r="569" ht="14.25" customHeight="1">
      <c r="C569" s="19"/>
      <c r="D569" s="19"/>
    </row>
    <row r="570" ht="14.25" customHeight="1">
      <c r="C570" s="19"/>
      <c r="D570" s="19"/>
    </row>
    <row r="571" ht="14.25" customHeight="1">
      <c r="C571" s="19"/>
      <c r="D571" s="19"/>
    </row>
    <row r="572" ht="14.25" customHeight="1">
      <c r="C572" s="19"/>
      <c r="D572" s="19"/>
    </row>
    <row r="573" ht="14.25" customHeight="1">
      <c r="C573" s="19"/>
      <c r="D573" s="19"/>
    </row>
    <row r="574" ht="14.25" customHeight="1">
      <c r="C574" s="19"/>
      <c r="D574" s="19"/>
    </row>
    <row r="575" ht="14.25" customHeight="1">
      <c r="C575" s="19"/>
      <c r="D575" s="19"/>
    </row>
    <row r="576" ht="14.25" customHeight="1">
      <c r="C576" s="19"/>
      <c r="D576" s="19"/>
    </row>
    <row r="577" ht="14.25" customHeight="1">
      <c r="C577" s="19"/>
      <c r="D577" s="19"/>
    </row>
    <row r="578" ht="14.25" customHeight="1">
      <c r="C578" s="19"/>
      <c r="D578" s="19"/>
    </row>
    <row r="579" ht="14.25" customHeight="1">
      <c r="C579" s="19"/>
      <c r="D579" s="19"/>
    </row>
    <row r="580" ht="14.25" customHeight="1">
      <c r="C580" s="19"/>
      <c r="D580" s="19"/>
    </row>
    <row r="581" ht="14.25" customHeight="1">
      <c r="C581" s="19"/>
      <c r="D581" s="19"/>
    </row>
    <row r="582" ht="14.25" customHeight="1">
      <c r="C582" s="19"/>
      <c r="D582" s="19"/>
    </row>
    <row r="583" ht="14.25" customHeight="1">
      <c r="C583" s="19"/>
      <c r="D583" s="19"/>
    </row>
    <row r="584" ht="14.25" customHeight="1">
      <c r="C584" s="19"/>
      <c r="D584" s="19"/>
    </row>
    <row r="585" ht="14.25" customHeight="1">
      <c r="C585" s="19"/>
      <c r="D585" s="19"/>
    </row>
    <row r="586" ht="14.25" customHeight="1">
      <c r="C586" s="19"/>
      <c r="D586" s="19"/>
    </row>
    <row r="587" ht="14.25" customHeight="1">
      <c r="C587" s="19"/>
      <c r="D587" s="19"/>
    </row>
    <row r="588" ht="14.25" customHeight="1">
      <c r="C588" s="19"/>
      <c r="D588" s="19"/>
    </row>
    <row r="589" ht="14.25" customHeight="1">
      <c r="C589" s="19"/>
      <c r="D589" s="19"/>
    </row>
    <row r="590" ht="14.25" customHeight="1">
      <c r="C590" s="19"/>
      <c r="D590" s="19"/>
    </row>
    <row r="591" ht="14.25" customHeight="1">
      <c r="C591" s="19"/>
      <c r="D591" s="19"/>
    </row>
    <row r="592" ht="14.25" customHeight="1">
      <c r="C592" s="19"/>
      <c r="D592" s="19"/>
    </row>
    <row r="593" ht="14.25" customHeight="1">
      <c r="C593" s="19"/>
      <c r="D593" s="19"/>
    </row>
    <row r="594" ht="14.25" customHeight="1">
      <c r="C594" s="19"/>
      <c r="D594" s="19"/>
    </row>
    <row r="595" ht="14.25" customHeight="1">
      <c r="C595" s="19"/>
      <c r="D595" s="19"/>
    </row>
    <row r="596" ht="14.25" customHeight="1">
      <c r="C596" s="19"/>
      <c r="D596" s="19"/>
    </row>
    <row r="597" ht="14.25" customHeight="1">
      <c r="C597" s="19"/>
      <c r="D597" s="19"/>
    </row>
    <row r="598" ht="14.25" customHeight="1">
      <c r="C598" s="19"/>
      <c r="D598" s="19"/>
    </row>
    <row r="599" ht="14.25" customHeight="1">
      <c r="C599" s="19"/>
      <c r="D599" s="19"/>
    </row>
    <row r="600" ht="14.25" customHeight="1">
      <c r="C600" s="19"/>
      <c r="D600" s="19"/>
    </row>
    <row r="601" ht="14.25" customHeight="1">
      <c r="C601" s="19"/>
      <c r="D601" s="19"/>
    </row>
    <row r="602" ht="14.25" customHeight="1">
      <c r="C602" s="19"/>
      <c r="D602" s="19"/>
    </row>
    <row r="603" ht="14.25" customHeight="1">
      <c r="C603" s="19"/>
      <c r="D603" s="19"/>
    </row>
    <row r="604" ht="14.25" customHeight="1">
      <c r="C604" s="19"/>
      <c r="D604" s="19"/>
    </row>
    <row r="605" ht="14.25" customHeight="1">
      <c r="C605" s="19"/>
      <c r="D605" s="19"/>
    </row>
    <row r="606" ht="14.25" customHeight="1">
      <c r="C606" s="19"/>
      <c r="D606" s="19"/>
    </row>
    <row r="607" ht="14.25" customHeight="1">
      <c r="C607" s="19"/>
      <c r="D607" s="19"/>
    </row>
    <row r="608" ht="14.25" customHeight="1">
      <c r="C608" s="19"/>
      <c r="D608" s="19"/>
    </row>
    <row r="609" ht="14.25" customHeight="1">
      <c r="C609" s="19"/>
      <c r="D609" s="19"/>
    </row>
    <row r="610" ht="14.25" customHeight="1">
      <c r="C610" s="19"/>
      <c r="D610" s="19"/>
    </row>
    <row r="611" ht="14.25" customHeight="1">
      <c r="C611" s="19"/>
      <c r="D611" s="19"/>
    </row>
    <row r="612" ht="14.25" customHeight="1">
      <c r="C612" s="19"/>
      <c r="D612" s="19"/>
    </row>
    <row r="613" ht="14.25" customHeight="1">
      <c r="C613" s="19"/>
      <c r="D613" s="19"/>
    </row>
    <row r="614" ht="14.25" customHeight="1">
      <c r="C614" s="19"/>
      <c r="D614" s="19"/>
    </row>
    <row r="615" ht="14.25" customHeight="1">
      <c r="C615" s="19"/>
      <c r="D615" s="19"/>
    </row>
    <row r="616" ht="14.25" customHeight="1">
      <c r="C616" s="19"/>
      <c r="D616" s="19"/>
    </row>
    <row r="617" ht="14.25" customHeight="1">
      <c r="C617" s="19"/>
      <c r="D617" s="19"/>
    </row>
    <row r="618" ht="14.25" customHeight="1">
      <c r="C618" s="19"/>
      <c r="D618" s="19"/>
    </row>
    <row r="619" ht="14.25" customHeight="1">
      <c r="C619" s="19"/>
      <c r="D619" s="19"/>
    </row>
    <row r="620" ht="14.25" customHeight="1">
      <c r="C620" s="19"/>
      <c r="D620" s="19"/>
    </row>
    <row r="621" ht="14.25" customHeight="1">
      <c r="C621" s="19"/>
      <c r="D621" s="19"/>
    </row>
    <row r="622" ht="14.25" customHeight="1">
      <c r="C622" s="19"/>
      <c r="D622" s="19"/>
    </row>
    <row r="623" ht="14.25" customHeight="1">
      <c r="C623" s="19"/>
      <c r="D623" s="19"/>
    </row>
    <row r="624" ht="14.25" customHeight="1">
      <c r="C624" s="19"/>
      <c r="D624" s="19"/>
    </row>
    <row r="625" ht="14.25" customHeight="1">
      <c r="C625" s="19"/>
      <c r="D625" s="19"/>
    </row>
    <row r="626" ht="14.25" customHeight="1">
      <c r="C626" s="19"/>
      <c r="D626" s="19"/>
    </row>
    <row r="627" ht="14.25" customHeight="1">
      <c r="C627" s="19"/>
      <c r="D627" s="19"/>
    </row>
    <row r="628" ht="14.25" customHeight="1">
      <c r="C628" s="19"/>
      <c r="D628" s="19"/>
    </row>
    <row r="629" ht="14.25" customHeight="1">
      <c r="C629" s="19"/>
      <c r="D629" s="19"/>
    </row>
    <row r="630" ht="14.25" customHeight="1">
      <c r="C630" s="19"/>
      <c r="D630" s="19"/>
    </row>
    <row r="631" ht="14.25" customHeight="1">
      <c r="C631" s="19"/>
      <c r="D631" s="19"/>
    </row>
    <row r="632" ht="14.25" customHeight="1">
      <c r="C632" s="19"/>
      <c r="D632" s="19"/>
    </row>
    <row r="633" ht="14.25" customHeight="1">
      <c r="C633" s="19"/>
      <c r="D633" s="19"/>
    </row>
    <row r="634" ht="14.25" customHeight="1">
      <c r="C634" s="19"/>
      <c r="D634" s="19"/>
    </row>
    <row r="635" ht="14.25" customHeight="1">
      <c r="C635" s="19"/>
      <c r="D635" s="19"/>
    </row>
    <row r="636" ht="14.25" customHeight="1">
      <c r="C636" s="19"/>
      <c r="D636" s="19"/>
    </row>
    <row r="637" ht="14.25" customHeight="1">
      <c r="C637" s="19"/>
      <c r="D637" s="19"/>
    </row>
    <row r="638" ht="14.25" customHeight="1">
      <c r="C638" s="19"/>
      <c r="D638" s="19"/>
    </row>
    <row r="639" ht="14.25" customHeight="1">
      <c r="C639" s="19"/>
      <c r="D639" s="19"/>
    </row>
    <row r="640" ht="14.25" customHeight="1">
      <c r="C640" s="19"/>
      <c r="D640" s="19"/>
    </row>
    <row r="641" ht="14.25" customHeight="1">
      <c r="C641" s="19"/>
      <c r="D641" s="19"/>
    </row>
    <row r="642" ht="14.25" customHeight="1">
      <c r="C642" s="19"/>
      <c r="D642" s="19"/>
    </row>
    <row r="643" ht="14.25" customHeight="1">
      <c r="C643" s="19"/>
      <c r="D643" s="19"/>
    </row>
    <row r="644" ht="14.25" customHeight="1">
      <c r="C644" s="19"/>
      <c r="D644" s="19"/>
    </row>
    <row r="645" ht="14.25" customHeight="1">
      <c r="C645" s="19"/>
      <c r="D645" s="19"/>
    </row>
    <row r="646" ht="14.25" customHeight="1">
      <c r="C646" s="19"/>
      <c r="D646" s="19"/>
    </row>
    <row r="647" ht="14.25" customHeight="1">
      <c r="C647" s="19"/>
      <c r="D647" s="19"/>
    </row>
    <row r="648" ht="14.25" customHeight="1">
      <c r="C648" s="19"/>
      <c r="D648" s="19"/>
    </row>
    <row r="649" ht="14.25" customHeight="1">
      <c r="C649" s="19"/>
      <c r="D649" s="19"/>
    </row>
    <row r="650" ht="14.25" customHeight="1">
      <c r="C650" s="19"/>
      <c r="D650" s="19"/>
    </row>
    <row r="651" ht="14.25" customHeight="1">
      <c r="C651" s="19"/>
      <c r="D651" s="19"/>
    </row>
    <row r="652" ht="14.25" customHeight="1">
      <c r="C652" s="19"/>
      <c r="D652" s="19"/>
    </row>
    <row r="653" ht="14.25" customHeight="1">
      <c r="C653" s="19"/>
      <c r="D653" s="19"/>
    </row>
    <row r="654" ht="14.25" customHeight="1">
      <c r="C654" s="19"/>
      <c r="D654" s="19"/>
    </row>
    <row r="655" ht="14.25" customHeight="1">
      <c r="C655" s="19"/>
      <c r="D655" s="19"/>
    </row>
    <row r="656" ht="14.25" customHeight="1">
      <c r="C656" s="19"/>
      <c r="D656" s="19"/>
    </row>
    <row r="657" ht="14.25" customHeight="1">
      <c r="C657" s="19"/>
      <c r="D657" s="19"/>
    </row>
    <row r="658" ht="14.25" customHeight="1">
      <c r="C658" s="19"/>
      <c r="D658" s="19"/>
    </row>
    <row r="659" ht="14.25" customHeight="1">
      <c r="C659" s="19"/>
      <c r="D659" s="19"/>
    </row>
    <row r="660" ht="14.25" customHeight="1">
      <c r="C660" s="19"/>
      <c r="D660" s="19"/>
    </row>
    <row r="661" ht="14.25" customHeight="1">
      <c r="C661" s="19"/>
      <c r="D661" s="19"/>
    </row>
    <row r="662" ht="14.25" customHeight="1">
      <c r="C662" s="19"/>
      <c r="D662" s="19"/>
    </row>
    <row r="663" ht="14.25" customHeight="1">
      <c r="C663" s="19"/>
      <c r="D663" s="19"/>
    </row>
    <row r="664" ht="14.25" customHeight="1">
      <c r="C664" s="19"/>
      <c r="D664" s="19"/>
    </row>
    <row r="665" ht="14.25" customHeight="1">
      <c r="C665" s="19"/>
      <c r="D665" s="19"/>
    </row>
    <row r="666" ht="14.25" customHeight="1">
      <c r="C666" s="19"/>
      <c r="D666" s="19"/>
    </row>
    <row r="667" ht="14.25" customHeight="1">
      <c r="C667" s="19"/>
      <c r="D667" s="19"/>
    </row>
    <row r="668" ht="14.25" customHeight="1">
      <c r="C668" s="19"/>
      <c r="D668" s="19"/>
    </row>
    <row r="669" ht="14.25" customHeight="1">
      <c r="C669" s="19"/>
      <c r="D669" s="19"/>
    </row>
    <row r="670" ht="14.25" customHeight="1">
      <c r="C670" s="19"/>
      <c r="D670" s="19"/>
    </row>
    <row r="671" ht="14.25" customHeight="1">
      <c r="C671" s="19"/>
      <c r="D671" s="19"/>
    </row>
    <row r="672" ht="14.25" customHeight="1">
      <c r="C672" s="19"/>
      <c r="D672" s="19"/>
    </row>
    <row r="673" ht="14.25" customHeight="1">
      <c r="C673" s="19"/>
      <c r="D673" s="19"/>
    </row>
    <row r="674" ht="14.25" customHeight="1">
      <c r="C674" s="19"/>
      <c r="D674" s="19"/>
    </row>
    <row r="675" ht="14.25" customHeight="1">
      <c r="C675" s="19"/>
      <c r="D675" s="19"/>
    </row>
    <row r="676" ht="14.25" customHeight="1">
      <c r="C676" s="19"/>
      <c r="D676" s="19"/>
    </row>
    <row r="677" ht="14.25" customHeight="1">
      <c r="C677" s="19"/>
      <c r="D677" s="19"/>
    </row>
    <row r="678" ht="14.25" customHeight="1">
      <c r="C678" s="19"/>
      <c r="D678" s="19"/>
    </row>
    <row r="679" ht="14.25" customHeight="1">
      <c r="C679" s="19"/>
      <c r="D679" s="19"/>
    </row>
    <row r="680" ht="14.25" customHeight="1">
      <c r="C680" s="19"/>
      <c r="D680" s="19"/>
    </row>
    <row r="681" ht="14.25" customHeight="1">
      <c r="C681" s="19"/>
      <c r="D681" s="19"/>
    </row>
    <row r="682" ht="14.25" customHeight="1">
      <c r="C682" s="19"/>
      <c r="D682" s="19"/>
    </row>
    <row r="683" ht="14.25" customHeight="1">
      <c r="C683" s="19"/>
      <c r="D683" s="19"/>
    </row>
    <row r="684" ht="14.25" customHeight="1">
      <c r="C684" s="19"/>
      <c r="D684" s="19"/>
    </row>
    <row r="685" ht="14.25" customHeight="1">
      <c r="C685" s="19"/>
      <c r="D685" s="19"/>
    </row>
    <row r="686" ht="14.25" customHeight="1">
      <c r="C686" s="19"/>
      <c r="D686" s="19"/>
    </row>
    <row r="687" ht="14.25" customHeight="1">
      <c r="C687" s="19"/>
      <c r="D687" s="19"/>
    </row>
    <row r="688" ht="14.25" customHeight="1">
      <c r="C688" s="19"/>
      <c r="D688" s="19"/>
    </row>
    <row r="689" ht="14.25" customHeight="1">
      <c r="C689" s="19"/>
      <c r="D689" s="19"/>
    </row>
    <row r="690" ht="14.25" customHeight="1">
      <c r="C690" s="19"/>
      <c r="D690" s="19"/>
    </row>
    <row r="691" ht="14.25" customHeight="1">
      <c r="C691" s="19"/>
      <c r="D691" s="19"/>
    </row>
    <row r="692" ht="14.25" customHeight="1">
      <c r="C692" s="19"/>
      <c r="D692" s="19"/>
    </row>
    <row r="693" ht="14.25" customHeight="1">
      <c r="C693" s="19"/>
      <c r="D693" s="19"/>
    </row>
    <row r="694" ht="14.25" customHeight="1">
      <c r="C694" s="19"/>
      <c r="D694" s="19"/>
    </row>
    <row r="695" ht="14.25" customHeight="1">
      <c r="C695" s="19"/>
      <c r="D695" s="19"/>
    </row>
    <row r="696" ht="14.25" customHeight="1">
      <c r="C696" s="19"/>
      <c r="D696" s="19"/>
    </row>
    <row r="697" ht="14.25" customHeight="1">
      <c r="C697" s="19"/>
      <c r="D697" s="19"/>
    </row>
    <row r="698" ht="14.25" customHeight="1">
      <c r="C698" s="19"/>
      <c r="D698" s="19"/>
    </row>
    <row r="699" ht="14.25" customHeight="1">
      <c r="C699" s="19"/>
      <c r="D699" s="19"/>
    </row>
    <row r="700" ht="14.25" customHeight="1">
      <c r="C700" s="19"/>
      <c r="D700" s="19"/>
    </row>
    <row r="701" ht="14.25" customHeight="1">
      <c r="C701" s="19"/>
      <c r="D701" s="19"/>
    </row>
    <row r="702" ht="14.25" customHeight="1">
      <c r="C702" s="19"/>
      <c r="D702" s="19"/>
    </row>
    <row r="703" ht="14.25" customHeight="1">
      <c r="C703" s="19"/>
      <c r="D703" s="19"/>
    </row>
    <row r="704" ht="14.25" customHeight="1">
      <c r="C704" s="19"/>
      <c r="D704" s="19"/>
    </row>
    <row r="705" ht="14.25" customHeight="1">
      <c r="C705" s="19"/>
      <c r="D705" s="19"/>
    </row>
    <row r="706" ht="14.25" customHeight="1">
      <c r="C706" s="19"/>
      <c r="D706" s="19"/>
    </row>
    <row r="707" ht="14.25" customHeight="1">
      <c r="C707" s="19"/>
      <c r="D707" s="19"/>
    </row>
    <row r="708" ht="14.25" customHeight="1">
      <c r="C708" s="19"/>
      <c r="D708" s="19"/>
    </row>
    <row r="709" ht="14.25" customHeight="1">
      <c r="C709" s="19"/>
      <c r="D709" s="19"/>
    </row>
    <row r="710" ht="14.25" customHeight="1">
      <c r="C710" s="19"/>
      <c r="D710" s="19"/>
    </row>
    <row r="711" ht="14.25" customHeight="1">
      <c r="C711" s="19"/>
      <c r="D711" s="19"/>
    </row>
    <row r="712" ht="14.25" customHeight="1">
      <c r="C712" s="19"/>
      <c r="D712" s="19"/>
    </row>
    <row r="713" ht="14.25" customHeight="1">
      <c r="C713" s="19"/>
      <c r="D713" s="19"/>
    </row>
    <row r="714" ht="14.25" customHeight="1">
      <c r="C714" s="19"/>
      <c r="D714" s="19"/>
    </row>
    <row r="715" ht="14.25" customHeight="1">
      <c r="C715" s="19"/>
      <c r="D715" s="19"/>
    </row>
    <row r="716" ht="14.25" customHeight="1">
      <c r="C716" s="19"/>
      <c r="D716" s="19"/>
    </row>
    <row r="717" ht="14.25" customHeight="1">
      <c r="C717" s="19"/>
      <c r="D717" s="19"/>
    </row>
    <row r="718" ht="14.25" customHeight="1">
      <c r="C718" s="19"/>
      <c r="D718" s="19"/>
    </row>
    <row r="719" ht="14.25" customHeight="1">
      <c r="C719" s="19"/>
      <c r="D719" s="19"/>
    </row>
    <row r="720" ht="14.25" customHeight="1">
      <c r="C720" s="19"/>
      <c r="D720" s="19"/>
    </row>
    <row r="721" ht="14.25" customHeight="1">
      <c r="C721" s="19"/>
      <c r="D721" s="19"/>
    </row>
    <row r="722" ht="14.25" customHeight="1">
      <c r="C722" s="19"/>
      <c r="D722" s="19"/>
    </row>
    <row r="723" ht="14.25" customHeight="1">
      <c r="C723" s="19"/>
      <c r="D723" s="19"/>
    </row>
    <row r="724" ht="14.25" customHeight="1">
      <c r="C724" s="19"/>
      <c r="D724" s="19"/>
    </row>
    <row r="725" ht="14.25" customHeight="1">
      <c r="C725" s="19"/>
      <c r="D725" s="19"/>
    </row>
    <row r="726" ht="14.25" customHeight="1">
      <c r="C726" s="19"/>
      <c r="D726" s="19"/>
    </row>
    <row r="727" ht="14.25" customHeight="1">
      <c r="C727" s="19"/>
      <c r="D727" s="19"/>
    </row>
    <row r="728" ht="14.25" customHeight="1">
      <c r="C728" s="19"/>
      <c r="D728" s="19"/>
    </row>
    <row r="729" ht="14.25" customHeight="1">
      <c r="C729" s="19"/>
      <c r="D729" s="19"/>
    </row>
    <row r="730" ht="14.25" customHeight="1">
      <c r="C730" s="19"/>
      <c r="D730" s="19"/>
    </row>
    <row r="731" ht="14.25" customHeight="1">
      <c r="C731" s="19"/>
      <c r="D731" s="19"/>
    </row>
    <row r="732" ht="14.25" customHeight="1">
      <c r="C732" s="19"/>
      <c r="D732" s="19"/>
    </row>
    <row r="733" ht="14.25" customHeight="1">
      <c r="C733" s="19"/>
      <c r="D733" s="19"/>
    </row>
    <row r="734" ht="14.25" customHeight="1">
      <c r="C734" s="19"/>
      <c r="D734" s="19"/>
    </row>
    <row r="735" ht="14.25" customHeight="1">
      <c r="C735" s="19"/>
      <c r="D735" s="19"/>
    </row>
    <row r="736" ht="14.25" customHeight="1">
      <c r="C736" s="19"/>
      <c r="D736" s="19"/>
    </row>
    <row r="737" ht="14.25" customHeight="1">
      <c r="C737" s="19"/>
      <c r="D737" s="19"/>
    </row>
    <row r="738" ht="14.25" customHeight="1">
      <c r="C738" s="19"/>
      <c r="D738" s="19"/>
    </row>
    <row r="739" ht="14.25" customHeight="1">
      <c r="C739" s="19"/>
      <c r="D739" s="19"/>
    </row>
    <row r="740" ht="14.25" customHeight="1">
      <c r="C740" s="19"/>
      <c r="D740" s="19"/>
    </row>
    <row r="741" ht="14.25" customHeight="1">
      <c r="C741" s="19"/>
      <c r="D741" s="19"/>
    </row>
    <row r="742" ht="14.25" customHeight="1">
      <c r="C742" s="19"/>
      <c r="D742" s="19"/>
    </row>
    <row r="743" ht="14.25" customHeight="1">
      <c r="C743" s="19"/>
      <c r="D743" s="19"/>
    </row>
    <row r="744" ht="14.25" customHeight="1">
      <c r="C744" s="19"/>
      <c r="D744" s="19"/>
    </row>
    <row r="745" ht="14.25" customHeight="1">
      <c r="C745" s="19"/>
      <c r="D745" s="19"/>
    </row>
    <row r="746" ht="14.25" customHeight="1">
      <c r="C746" s="19"/>
      <c r="D746" s="19"/>
    </row>
    <row r="747" ht="14.25" customHeight="1">
      <c r="C747" s="19"/>
      <c r="D747" s="19"/>
    </row>
    <row r="748" ht="14.25" customHeight="1">
      <c r="C748" s="19"/>
      <c r="D748" s="19"/>
    </row>
    <row r="749" ht="14.25" customHeight="1">
      <c r="C749" s="19"/>
      <c r="D749" s="19"/>
    </row>
    <row r="750" ht="14.25" customHeight="1">
      <c r="C750" s="19"/>
      <c r="D750" s="19"/>
    </row>
    <row r="751" ht="14.25" customHeight="1">
      <c r="C751" s="19"/>
      <c r="D751" s="19"/>
    </row>
    <row r="752" ht="14.25" customHeight="1">
      <c r="C752" s="19"/>
      <c r="D752" s="19"/>
    </row>
    <row r="753" ht="14.25" customHeight="1">
      <c r="C753" s="19"/>
      <c r="D753" s="19"/>
    </row>
    <row r="754" ht="14.25" customHeight="1">
      <c r="C754" s="19"/>
      <c r="D754" s="19"/>
    </row>
    <row r="755" ht="14.25" customHeight="1">
      <c r="C755" s="19"/>
      <c r="D755" s="19"/>
    </row>
    <row r="756" ht="14.25" customHeight="1">
      <c r="C756" s="19"/>
      <c r="D756" s="19"/>
    </row>
    <row r="757" ht="14.25" customHeight="1">
      <c r="C757" s="19"/>
      <c r="D757" s="19"/>
    </row>
    <row r="758" ht="14.25" customHeight="1">
      <c r="C758" s="19"/>
      <c r="D758" s="19"/>
    </row>
    <row r="759" ht="14.25" customHeight="1">
      <c r="C759" s="19"/>
      <c r="D759" s="19"/>
    </row>
    <row r="760" ht="14.25" customHeight="1">
      <c r="C760" s="19"/>
      <c r="D760" s="19"/>
    </row>
    <row r="761" ht="14.25" customHeight="1">
      <c r="C761" s="19"/>
      <c r="D761" s="19"/>
    </row>
    <row r="762" ht="14.25" customHeight="1">
      <c r="C762" s="19"/>
      <c r="D762" s="19"/>
    </row>
    <row r="763" ht="14.25" customHeight="1">
      <c r="C763" s="19"/>
      <c r="D763" s="19"/>
    </row>
    <row r="764" ht="14.25" customHeight="1">
      <c r="C764" s="19"/>
      <c r="D764" s="19"/>
    </row>
    <row r="765" ht="14.25" customHeight="1">
      <c r="C765" s="19"/>
      <c r="D765" s="19"/>
    </row>
    <row r="766" ht="14.25" customHeight="1">
      <c r="C766" s="19"/>
      <c r="D766" s="19"/>
    </row>
    <row r="767" ht="14.25" customHeight="1">
      <c r="C767" s="19"/>
      <c r="D767" s="19"/>
    </row>
    <row r="768" ht="14.25" customHeight="1">
      <c r="C768" s="19"/>
      <c r="D768" s="19"/>
    </row>
    <row r="769" ht="14.25" customHeight="1">
      <c r="C769" s="19"/>
      <c r="D769" s="19"/>
    </row>
    <row r="770" ht="14.25" customHeight="1">
      <c r="C770" s="19"/>
      <c r="D770" s="19"/>
    </row>
    <row r="771" ht="14.25" customHeight="1">
      <c r="C771" s="19"/>
      <c r="D771" s="19"/>
    </row>
    <row r="772" ht="14.25" customHeight="1">
      <c r="C772" s="19"/>
      <c r="D772" s="19"/>
    </row>
    <row r="773" ht="14.25" customHeight="1">
      <c r="C773" s="19"/>
      <c r="D773" s="19"/>
    </row>
    <row r="774" ht="14.25" customHeight="1">
      <c r="C774" s="19"/>
      <c r="D774" s="19"/>
    </row>
    <row r="775" ht="14.25" customHeight="1">
      <c r="C775" s="19"/>
      <c r="D775" s="19"/>
    </row>
    <row r="776" ht="14.25" customHeight="1">
      <c r="C776" s="19"/>
      <c r="D776" s="19"/>
    </row>
    <row r="777" ht="14.25" customHeight="1">
      <c r="C777" s="19"/>
      <c r="D777" s="19"/>
    </row>
    <row r="778" ht="14.25" customHeight="1">
      <c r="C778" s="19"/>
      <c r="D778" s="19"/>
    </row>
    <row r="779" ht="14.25" customHeight="1">
      <c r="C779" s="19"/>
      <c r="D779" s="19"/>
    </row>
    <row r="780" ht="14.25" customHeight="1">
      <c r="C780" s="19"/>
      <c r="D780" s="19"/>
    </row>
    <row r="781" ht="14.25" customHeight="1">
      <c r="C781" s="19"/>
      <c r="D781" s="19"/>
    </row>
    <row r="782" ht="14.25" customHeight="1">
      <c r="C782" s="19"/>
      <c r="D782" s="19"/>
    </row>
    <row r="783" ht="14.25" customHeight="1">
      <c r="C783" s="19"/>
      <c r="D783" s="19"/>
    </row>
    <row r="784" ht="14.25" customHeight="1">
      <c r="C784" s="19"/>
      <c r="D784" s="19"/>
    </row>
    <row r="785" ht="14.25" customHeight="1">
      <c r="C785" s="19"/>
      <c r="D785" s="19"/>
    </row>
    <row r="786" ht="14.25" customHeight="1">
      <c r="C786" s="19"/>
      <c r="D786" s="19"/>
    </row>
    <row r="787" ht="14.25" customHeight="1">
      <c r="C787" s="19"/>
      <c r="D787" s="19"/>
    </row>
    <row r="788" ht="14.25" customHeight="1">
      <c r="C788" s="19"/>
      <c r="D788" s="19"/>
    </row>
    <row r="789" ht="14.25" customHeight="1">
      <c r="C789" s="19"/>
      <c r="D789" s="19"/>
    </row>
    <row r="790" ht="14.25" customHeight="1">
      <c r="C790" s="19"/>
      <c r="D790" s="19"/>
    </row>
    <row r="791" ht="14.25" customHeight="1">
      <c r="C791" s="19"/>
      <c r="D791" s="19"/>
    </row>
    <row r="792" ht="14.25" customHeight="1">
      <c r="C792" s="19"/>
      <c r="D792" s="19"/>
    </row>
    <row r="793" ht="14.25" customHeight="1">
      <c r="C793" s="19"/>
      <c r="D793" s="19"/>
    </row>
    <row r="794" ht="14.25" customHeight="1">
      <c r="C794" s="19"/>
      <c r="D794" s="19"/>
    </row>
    <row r="795" ht="14.25" customHeight="1">
      <c r="C795" s="19"/>
      <c r="D795" s="19"/>
    </row>
    <row r="796" ht="14.25" customHeight="1">
      <c r="C796" s="19"/>
      <c r="D796" s="19"/>
    </row>
    <row r="797" ht="14.25" customHeight="1">
      <c r="C797" s="19"/>
      <c r="D797" s="19"/>
    </row>
    <row r="798" ht="14.25" customHeight="1">
      <c r="C798" s="19"/>
      <c r="D798" s="19"/>
    </row>
    <row r="799" ht="14.25" customHeight="1">
      <c r="C799" s="19"/>
      <c r="D799" s="19"/>
    </row>
    <row r="800" ht="14.25" customHeight="1">
      <c r="C800" s="19"/>
      <c r="D800" s="19"/>
    </row>
    <row r="801" ht="14.25" customHeight="1">
      <c r="C801" s="19"/>
      <c r="D801" s="19"/>
    </row>
    <row r="802" ht="14.25" customHeight="1">
      <c r="C802" s="19"/>
      <c r="D802" s="19"/>
    </row>
    <row r="803" ht="14.25" customHeight="1">
      <c r="C803" s="19"/>
      <c r="D803" s="19"/>
    </row>
    <row r="804" ht="14.25" customHeight="1">
      <c r="C804" s="19"/>
      <c r="D804" s="19"/>
    </row>
    <row r="805" ht="14.25" customHeight="1">
      <c r="C805" s="19"/>
      <c r="D805" s="19"/>
    </row>
    <row r="806" ht="14.25" customHeight="1">
      <c r="C806" s="19"/>
      <c r="D806" s="19"/>
    </row>
    <row r="807" ht="14.25" customHeight="1">
      <c r="C807" s="19"/>
      <c r="D807" s="19"/>
    </row>
    <row r="808" ht="14.25" customHeight="1">
      <c r="C808" s="19"/>
      <c r="D808" s="19"/>
    </row>
    <row r="809" ht="14.25" customHeight="1">
      <c r="C809" s="19"/>
      <c r="D809" s="19"/>
    </row>
    <row r="810" ht="14.25" customHeight="1">
      <c r="C810" s="19"/>
      <c r="D810" s="19"/>
    </row>
    <row r="811" ht="14.25" customHeight="1">
      <c r="C811" s="19"/>
      <c r="D811" s="19"/>
    </row>
    <row r="812" ht="14.25" customHeight="1">
      <c r="C812" s="19"/>
      <c r="D812" s="19"/>
    </row>
    <row r="813" ht="14.25" customHeight="1">
      <c r="C813" s="19"/>
      <c r="D813" s="19"/>
    </row>
    <row r="814" ht="14.25" customHeight="1">
      <c r="C814" s="19"/>
      <c r="D814" s="19"/>
    </row>
    <row r="815" ht="14.25" customHeight="1">
      <c r="C815" s="19"/>
      <c r="D815" s="19"/>
    </row>
    <row r="816" ht="14.25" customHeight="1">
      <c r="C816" s="19"/>
      <c r="D816" s="19"/>
    </row>
    <row r="817" ht="14.25" customHeight="1">
      <c r="C817" s="19"/>
      <c r="D817" s="19"/>
    </row>
    <row r="818" ht="14.25" customHeight="1">
      <c r="C818" s="19"/>
      <c r="D818" s="19"/>
    </row>
    <row r="819" ht="14.25" customHeight="1">
      <c r="C819" s="19"/>
      <c r="D819" s="19"/>
    </row>
    <row r="820" ht="14.25" customHeight="1">
      <c r="C820" s="19"/>
      <c r="D820" s="19"/>
    </row>
    <row r="821" ht="14.25" customHeight="1">
      <c r="C821" s="19"/>
      <c r="D821" s="19"/>
    </row>
    <row r="822" ht="14.25" customHeight="1">
      <c r="C822" s="19"/>
      <c r="D822" s="19"/>
    </row>
    <row r="823" ht="14.25" customHeight="1">
      <c r="C823" s="19"/>
      <c r="D823" s="19"/>
    </row>
    <row r="824" ht="14.25" customHeight="1">
      <c r="C824" s="19"/>
      <c r="D824" s="19"/>
    </row>
    <row r="825" ht="14.25" customHeight="1">
      <c r="C825" s="19"/>
      <c r="D825" s="19"/>
    </row>
    <row r="826" ht="14.25" customHeight="1">
      <c r="C826" s="19"/>
      <c r="D826" s="19"/>
    </row>
    <row r="827" ht="14.25" customHeight="1">
      <c r="C827" s="19"/>
      <c r="D827" s="19"/>
    </row>
    <row r="828" ht="14.25" customHeight="1">
      <c r="C828" s="19"/>
      <c r="D828" s="19"/>
    </row>
    <row r="829" ht="14.25" customHeight="1">
      <c r="C829" s="19"/>
      <c r="D829" s="19"/>
    </row>
    <row r="830" ht="14.25" customHeight="1">
      <c r="C830" s="19"/>
      <c r="D830" s="19"/>
    </row>
    <row r="831" ht="14.25" customHeight="1">
      <c r="C831" s="19"/>
      <c r="D831" s="19"/>
    </row>
    <row r="832" ht="14.25" customHeight="1">
      <c r="C832" s="19"/>
      <c r="D832" s="19"/>
    </row>
    <row r="833" ht="14.25" customHeight="1">
      <c r="C833" s="19"/>
      <c r="D833" s="19"/>
    </row>
    <row r="834" ht="14.25" customHeight="1">
      <c r="C834" s="19"/>
      <c r="D834" s="19"/>
    </row>
    <row r="835" ht="14.25" customHeight="1">
      <c r="C835" s="19"/>
      <c r="D835" s="19"/>
    </row>
    <row r="836" ht="14.25" customHeight="1">
      <c r="C836" s="19"/>
      <c r="D836" s="19"/>
    </row>
    <row r="837" ht="14.25" customHeight="1">
      <c r="C837" s="19"/>
      <c r="D837" s="19"/>
    </row>
    <row r="838" ht="14.25" customHeight="1">
      <c r="C838" s="19"/>
      <c r="D838" s="19"/>
    </row>
    <row r="839" ht="14.25" customHeight="1">
      <c r="C839" s="19"/>
      <c r="D839" s="19"/>
    </row>
    <row r="840" ht="14.25" customHeight="1">
      <c r="C840" s="19"/>
      <c r="D840" s="19"/>
    </row>
    <row r="841" ht="14.25" customHeight="1">
      <c r="C841" s="19"/>
      <c r="D841" s="19"/>
    </row>
    <row r="842" ht="14.25" customHeight="1">
      <c r="C842" s="19"/>
      <c r="D842" s="19"/>
    </row>
    <row r="843" ht="14.25" customHeight="1">
      <c r="C843" s="19"/>
      <c r="D843" s="19"/>
    </row>
    <row r="844" ht="14.25" customHeight="1">
      <c r="C844" s="19"/>
      <c r="D844" s="19"/>
    </row>
    <row r="845" ht="14.25" customHeight="1">
      <c r="C845" s="19"/>
      <c r="D845" s="19"/>
    </row>
    <row r="846" ht="14.25" customHeight="1">
      <c r="C846" s="19"/>
      <c r="D846" s="19"/>
    </row>
    <row r="847" ht="14.25" customHeight="1">
      <c r="C847" s="19"/>
      <c r="D847" s="19"/>
    </row>
    <row r="848" ht="14.25" customHeight="1">
      <c r="C848" s="19"/>
      <c r="D848" s="19"/>
    </row>
    <row r="849" ht="14.25" customHeight="1">
      <c r="C849" s="19"/>
      <c r="D849" s="19"/>
    </row>
    <row r="850" ht="14.25" customHeight="1">
      <c r="C850" s="19"/>
      <c r="D850" s="19"/>
    </row>
    <row r="851" ht="14.25" customHeight="1">
      <c r="C851" s="19"/>
      <c r="D851" s="19"/>
    </row>
    <row r="852" ht="14.25" customHeight="1">
      <c r="C852" s="19"/>
      <c r="D852" s="19"/>
    </row>
    <row r="853" ht="14.25" customHeight="1">
      <c r="C853" s="19"/>
      <c r="D853" s="19"/>
    </row>
    <row r="854" ht="14.25" customHeight="1">
      <c r="C854" s="19"/>
      <c r="D854" s="19"/>
    </row>
    <row r="855" ht="14.25" customHeight="1">
      <c r="C855" s="19"/>
      <c r="D855" s="19"/>
    </row>
    <row r="856" ht="14.25" customHeight="1">
      <c r="C856" s="19"/>
      <c r="D856" s="19"/>
    </row>
    <row r="857" ht="14.25" customHeight="1">
      <c r="C857" s="19"/>
      <c r="D857" s="19"/>
    </row>
    <row r="858" ht="14.25" customHeight="1">
      <c r="C858" s="19"/>
      <c r="D858" s="19"/>
    </row>
    <row r="859" ht="14.25" customHeight="1">
      <c r="C859" s="19"/>
      <c r="D859" s="19"/>
    </row>
    <row r="860" ht="14.25" customHeight="1">
      <c r="C860" s="19"/>
      <c r="D860" s="19"/>
    </row>
    <row r="861" ht="14.25" customHeight="1">
      <c r="C861" s="19"/>
      <c r="D861" s="19"/>
    </row>
    <row r="862" ht="14.25" customHeight="1">
      <c r="C862" s="19"/>
      <c r="D862" s="19"/>
    </row>
    <row r="863" ht="14.25" customHeight="1">
      <c r="C863" s="19"/>
      <c r="D863" s="19"/>
    </row>
    <row r="864" ht="14.25" customHeight="1">
      <c r="C864" s="19"/>
      <c r="D864" s="19"/>
    </row>
    <row r="865" ht="14.25" customHeight="1">
      <c r="C865" s="19"/>
      <c r="D865" s="19"/>
    </row>
    <row r="866" ht="14.25" customHeight="1">
      <c r="C866" s="19"/>
      <c r="D866" s="19"/>
    </row>
    <row r="867" ht="14.25" customHeight="1">
      <c r="C867" s="19"/>
      <c r="D867" s="19"/>
    </row>
    <row r="868" ht="14.25" customHeight="1">
      <c r="C868" s="19"/>
      <c r="D868" s="19"/>
    </row>
    <row r="869" ht="14.25" customHeight="1">
      <c r="C869" s="19"/>
      <c r="D869" s="19"/>
    </row>
    <row r="870" ht="14.25" customHeight="1">
      <c r="C870" s="19"/>
      <c r="D870" s="19"/>
    </row>
    <row r="871" ht="14.25" customHeight="1">
      <c r="C871" s="19"/>
      <c r="D871" s="19"/>
    </row>
    <row r="872" ht="14.25" customHeight="1">
      <c r="C872" s="19"/>
      <c r="D872" s="19"/>
    </row>
    <row r="873" ht="14.25" customHeight="1">
      <c r="C873" s="19"/>
      <c r="D873" s="19"/>
    </row>
    <row r="874" ht="14.25" customHeight="1">
      <c r="C874" s="19"/>
      <c r="D874" s="19"/>
    </row>
    <row r="875" ht="14.25" customHeight="1">
      <c r="C875" s="19"/>
      <c r="D875" s="19"/>
    </row>
    <row r="876" ht="14.25" customHeight="1">
      <c r="C876" s="19"/>
      <c r="D876" s="19"/>
    </row>
    <row r="877" ht="14.25" customHeight="1">
      <c r="C877" s="19"/>
      <c r="D877" s="19"/>
    </row>
    <row r="878" ht="14.25" customHeight="1">
      <c r="C878" s="19"/>
      <c r="D878" s="19"/>
    </row>
    <row r="879" ht="14.25" customHeight="1">
      <c r="C879" s="19"/>
      <c r="D879" s="19"/>
    </row>
    <row r="880" ht="14.25" customHeight="1">
      <c r="C880" s="19"/>
      <c r="D880" s="19"/>
    </row>
    <row r="881" ht="14.25" customHeight="1">
      <c r="C881" s="19"/>
      <c r="D881" s="19"/>
    </row>
    <row r="882" ht="14.25" customHeight="1">
      <c r="C882" s="19"/>
      <c r="D882" s="19"/>
    </row>
    <row r="883" ht="14.25" customHeight="1">
      <c r="C883" s="19"/>
      <c r="D883" s="19"/>
    </row>
    <row r="884" ht="14.25" customHeight="1">
      <c r="C884" s="19"/>
      <c r="D884" s="19"/>
    </row>
    <row r="885" ht="14.25" customHeight="1">
      <c r="C885" s="19"/>
      <c r="D885" s="19"/>
    </row>
    <row r="886" ht="14.25" customHeight="1">
      <c r="C886" s="19"/>
      <c r="D886" s="19"/>
    </row>
    <row r="887" ht="14.25" customHeight="1">
      <c r="C887" s="19"/>
      <c r="D887" s="19"/>
    </row>
    <row r="888" ht="14.25" customHeight="1">
      <c r="C888" s="19"/>
      <c r="D888" s="19"/>
    </row>
    <row r="889" ht="14.25" customHeight="1">
      <c r="C889" s="19"/>
      <c r="D889" s="19"/>
    </row>
    <row r="890" ht="14.25" customHeight="1">
      <c r="C890" s="19"/>
      <c r="D890" s="19"/>
    </row>
    <row r="891" ht="14.25" customHeight="1">
      <c r="C891" s="19"/>
      <c r="D891" s="19"/>
    </row>
    <row r="892" ht="14.25" customHeight="1">
      <c r="C892" s="19"/>
      <c r="D892" s="19"/>
    </row>
    <row r="893" ht="14.25" customHeight="1">
      <c r="C893" s="19"/>
      <c r="D893" s="19"/>
    </row>
    <row r="894" ht="14.25" customHeight="1">
      <c r="C894" s="19"/>
      <c r="D894" s="19"/>
    </row>
    <row r="895" ht="14.25" customHeight="1">
      <c r="C895" s="19"/>
      <c r="D895" s="19"/>
    </row>
    <row r="896" ht="14.25" customHeight="1">
      <c r="C896" s="19"/>
      <c r="D896" s="19"/>
    </row>
    <row r="897" ht="14.25" customHeight="1">
      <c r="C897" s="19"/>
      <c r="D897" s="19"/>
    </row>
    <row r="898" ht="14.25" customHeight="1">
      <c r="C898" s="19"/>
      <c r="D898" s="19"/>
    </row>
    <row r="899" ht="14.25" customHeight="1">
      <c r="C899" s="19"/>
      <c r="D899" s="19"/>
    </row>
    <row r="900" ht="14.25" customHeight="1">
      <c r="C900" s="19"/>
      <c r="D900" s="19"/>
    </row>
    <row r="901" ht="14.25" customHeight="1">
      <c r="C901" s="19"/>
      <c r="D901" s="19"/>
    </row>
    <row r="902" ht="14.25" customHeight="1">
      <c r="C902" s="19"/>
      <c r="D902" s="19"/>
    </row>
    <row r="903" ht="14.25" customHeight="1">
      <c r="C903" s="19"/>
      <c r="D903" s="19"/>
    </row>
    <row r="904" ht="14.25" customHeight="1">
      <c r="C904" s="19"/>
      <c r="D904" s="19"/>
    </row>
    <row r="905" ht="14.25" customHeight="1">
      <c r="C905" s="19"/>
      <c r="D905" s="19"/>
    </row>
    <row r="906" ht="14.25" customHeight="1">
      <c r="C906" s="19"/>
      <c r="D906" s="19"/>
    </row>
    <row r="907" ht="14.25" customHeight="1">
      <c r="C907" s="19"/>
      <c r="D907" s="19"/>
    </row>
    <row r="908" ht="14.25" customHeight="1">
      <c r="C908" s="19"/>
      <c r="D908" s="19"/>
    </row>
    <row r="909" ht="14.25" customHeight="1">
      <c r="C909" s="19"/>
      <c r="D909" s="19"/>
    </row>
    <row r="910" ht="14.25" customHeight="1">
      <c r="C910" s="19"/>
      <c r="D910" s="19"/>
    </row>
    <row r="911" ht="14.25" customHeight="1">
      <c r="C911" s="19"/>
      <c r="D911" s="19"/>
    </row>
    <row r="912" ht="14.25" customHeight="1">
      <c r="C912" s="19"/>
      <c r="D912" s="19"/>
    </row>
    <row r="913" ht="14.25" customHeight="1">
      <c r="C913" s="19"/>
      <c r="D913" s="19"/>
    </row>
    <row r="914" ht="14.25" customHeight="1">
      <c r="C914" s="19"/>
      <c r="D914" s="19"/>
    </row>
    <row r="915" ht="14.25" customHeight="1">
      <c r="C915" s="19"/>
      <c r="D915" s="19"/>
    </row>
    <row r="916" ht="14.25" customHeight="1">
      <c r="C916" s="19"/>
      <c r="D916" s="19"/>
    </row>
    <row r="917" ht="14.25" customHeight="1">
      <c r="C917" s="19"/>
      <c r="D917" s="19"/>
    </row>
    <row r="918" ht="14.25" customHeight="1">
      <c r="C918" s="19"/>
      <c r="D918" s="19"/>
    </row>
    <row r="919" ht="14.25" customHeight="1">
      <c r="C919" s="19"/>
      <c r="D919" s="19"/>
    </row>
    <row r="920" ht="14.25" customHeight="1">
      <c r="C920" s="19"/>
      <c r="D920" s="19"/>
    </row>
    <row r="921" ht="14.25" customHeight="1">
      <c r="C921" s="19"/>
      <c r="D921" s="19"/>
    </row>
    <row r="922" ht="14.25" customHeight="1">
      <c r="C922" s="19"/>
      <c r="D922" s="19"/>
    </row>
    <row r="923" ht="14.25" customHeight="1">
      <c r="C923" s="19"/>
      <c r="D923" s="19"/>
    </row>
    <row r="924" ht="14.25" customHeight="1">
      <c r="C924" s="19"/>
      <c r="D924" s="19"/>
    </row>
    <row r="925" ht="14.25" customHeight="1">
      <c r="C925" s="19"/>
      <c r="D925" s="19"/>
    </row>
    <row r="926" ht="14.25" customHeight="1">
      <c r="C926" s="19"/>
      <c r="D926" s="19"/>
    </row>
    <row r="927" ht="14.25" customHeight="1">
      <c r="C927" s="19"/>
      <c r="D927" s="19"/>
    </row>
    <row r="928" ht="14.25" customHeight="1">
      <c r="C928" s="19"/>
      <c r="D928" s="19"/>
    </row>
    <row r="929" ht="14.25" customHeight="1">
      <c r="C929" s="19"/>
      <c r="D929" s="19"/>
    </row>
    <row r="930" ht="14.25" customHeight="1">
      <c r="C930" s="19"/>
      <c r="D930" s="19"/>
    </row>
    <row r="931" ht="14.25" customHeight="1">
      <c r="C931" s="19"/>
      <c r="D931" s="19"/>
    </row>
    <row r="932" ht="14.25" customHeight="1">
      <c r="C932" s="19"/>
      <c r="D932" s="19"/>
    </row>
    <row r="933" ht="14.25" customHeight="1">
      <c r="C933" s="19"/>
      <c r="D933" s="19"/>
    </row>
    <row r="934" ht="14.25" customHeight="1">
      <c r="C934" s="19"/>
      <c r="D934" s="19"/>
    </row>
    <row r="935" ht="14.25" customHeight="1">
      <c r="C935" s="19"/>
      <c r="D935" s="19"/>
    </row>
    <row r="936" ht="14.25" customHeight="1">
      <c r="C936" s="19"/>
      <c r="D936" s="19"/>
    </row>
    <row r="937" ht="14.25" customHeight="1">
      <c r="C937" s="19"/>
      <c r="D937" s="19"/>
    </row>
    <row r="938" ht="14.25" customHeight="1">
      <c r="C938" s="19"/>
      <c r="D938" s="19"/>
    </row>
    <row r="939" ht="14.25" customHeight="1">
      <c r="C939" s="19"/>
      <c r="D939" s="19"/>
    </row>
    <row r="940" ht="14.25" customHeight="1">
      <c r="C940" s="19"/>
      <c r="D940" s="19"/>
    </row>
    <row r="941" ht="14.25" customHeight="1">
      <c r="C941" s="19"/>
      <c r="D941" s="19"/>
    </row>
    <row r="942" ht="14.25" customHeight="1">
      <c r="C942" s="19"/>
      <c r="D942" s="19"/>
    </row>
    <row r="943" ht="14.25" customHeight="1">
      <c r="C943" s="19"/>
      <c r="D943" s="19"/>
    </row>
    <row r="944" ht="14.25" customHeight="1">
      <c r="C944" s="19"/>
      <c r="D944" s="19"/>
    </row>
    <row r="945" ht="14.25" customHeight="1">
      <c r="C945" s="19"/>
      <c r="D945" s="19"/>
    </row>
    <row r="946" ht="14.25" customHeight="1">
      <c r="C946" s="19"/>
      <c r="D946" s="19"/>
    </row>
    <row r="947" ht="14.25" customHeight="1">
      <c r="C947" s="19"/>
      <c r="D947" s="19"/>
    </row>
    <row r="948" ht="14.25" customHeight="1">
      <c r="C948" s="19"/>
      <c r="D948" s="19"/>
    </row>
    <row r="949" ht="14.25" customHeight="1">
      <c r="C949" s="19"/>
      <c r="D949" s="19"/>
    </row>
    <row r="950" ht="14.25" customHeight="1">
      <c r="C950" s="19"/>
      <c r="D950" s="19"/>
    </row>
    <row r="951" ht="14.25" customHeight="1">
      <c r="C951" s="19"/>
      <c r="D951" s="19"/>
    </row>
    <row r="952" ht="14.25" customHeight="1">
      <c r="C952" s="19"/>
      <c r="D952" s="19"/>
    </row>
    <row r="953" ht="14.25" customHeight="1">
      <c r="C953" s="19"/>
      <c r="D953" s="19"/>
    </row>
    <row r="954" ht="14.25" customHeight="1">
      <c r="C954" s="19"/>
      <c r="D954" s="19"/>
    </row>
    <row r="955" ht="14.25" customHeight="1">
      <c r="C955" s="19"/>
      <c r="D955" s="19"/>
    </row>
    <row r="956" ht="14.25" customHeight="1">
      <c r="C956" s="19"/>
      <c r="D956" s="19"/>
    </row>
    <row r="957" ht="14.25" customHeight="1">
      <c r="C957" s="19"/>
      <c r="D957" s="19"/>
    </row>
    <row r="958" ht="14.25" customHeight="1">
      <c r="C958" s="19"/>
      <c r="D958" s="19"/>
    </row>
    <row r="959" ht="14.25" customHeight="1">
      <c r="C959" s="19"/>
      <c r="D959" s="19"/>
    </row>
    <row r="960" ht="14.25" customHeight="1">
      <c r="C960" s="19"/>
      <c r="D960" s="19"/>
    </row>
    <row r="961" ht="14.25" customHeight="1">
      <c r="C961" s="19"/>
      <c r="D961" s="19"/>
    </row>
    <row r="962" ht="14.25" customHeight="1">
      <c r="C962" s="19"/>
      <c r="D962" s="19"/>
    </row>
    <row r="963" ht="14.25" customHeight="1">
      <c r="C963" s="19"/>
      <c r="D963" s="19"/>
    </row>
    <row r="964" ht="14.25" customHeight="1">
      <c r="C964" s="19"/>
      <c r="D964" s="19"/>
    </row>
    <row r="965" ht="14.25" customHeight="1">
      <c r="C965" s="19"/>
      <c r="D965" s="19"/>
    </row>
    <row r="966" ht="14.25" customHeight="1">
      <c r="C966" s="19"/>
      <c r="D966" s="19"/>
    </row>
    <row r="967" ht="14.25" customHeight="1">
      <c r="C967" s="19"/>
      <c r="D967" s="19"/>
    </row>
    <row r="968" ht="14.25" customHeight="1">
      <c r="C968" s="19"/>
      <c r="D968" s="19"/>
    </row>
    <row r="969" ht="14.25" customHeight="1">
      <c r="C969" s="19"/>
      <c r="D969" s="19"/>
    </row>
    <row r="970" ht="14.25" customHeight="1">
      <c r="C970" s="19"/>
      <c r="D970" s="19"/>
    </row>
    <row r="971" ht="14.25" customHeight="1">
      <c r="C971" s="19"/>
      <c r="D971" s="19"/>
    </row>
    <row r="972" ht="14.25" customHeight="1">
      <c r="C972" s="19"/>
      <c r="D972" s="19"/>
    </row>
    <row r="973" ht="14.25" customHeight="1">
      <c r="C973" s="19"/>
      <c r="D973" s="19"/>
    </row>
    <row r="974" ht="14.25" customHeight="1">
      <c r="C974" s="19"/>
      <c r="D974" s="19"/>
    </row>
    <row r="975" ht="14.25" customHeight="1">
      <c r="C975" s="19"/>
      <c r="D975" s="19"/>
    </row>
    <row r="976" ht="14.25" customHeight="1">
      <c r="C976" s="19"/>
      <c r="D976" s="19"/>
    </row>
    <row r="977" ht="14.25" customHeight="1">
      <c r="C977" s="19"/>
      <c r="D977" s="19"/>
    </row>
    <row r="978" ht="14.25" customHeight="1">
      <c r="C978" s="19"/>
      <c r="D978" s="19"/>
    </row>
    <row r="979" ht="14.25" customHeight="1">
      <c r="C979" s="19"/>
      <c r="D979" s="19"/>
    </row>
    <row r="980" ht="14.25" customHeight="1">
      <c r="C980" s="19"/>
      <c r="D980" s="19"/>
    </row>
    <row r="981" ht="14.25" customHeight="1">
      <c r="C981" s="19"/>
      <c r="D981" s="19"/>
    </row>
    <row r="982" ht="14.25" customHeight="1">
      <c r="C982" s="19"/>
      <c r="D982" s="19"/>
    </row>
    <row r="983" ht="14.25" customHeight="1">
      <c r="C983" s="19"/>
      <c r="D983" s="19"/>
    </row>
    <row r="984" ht="14.25" customHeight="1">
      <c r="C984" s="19"/>
      <c r="D984" s="19"/>
    </row>
    <row r="985" ht="14.25" customHeight="1">
      <c r="C985" s="19"/>
      <c r="D985" s="19"/>
    </row>
    <row r="986" ht="14.25" customHeight="1">
      <c r="C986" s="19"/>
      <c r="D986" s="19"/>
    </row>
    <row r="987" ht="14.25" customHeight="1">
      <c r="C987" s="19"/>
      <c r="D987" s="19"/>
    </row>
    <row r="988" ht="14.25" customHeight="1">
      <c r="C988" s="19"/>
      <c r="D988" s="19"/>
    </row>
    <row r="989" ht="14.25" customHeight="1">
      <c r="C989" s="19"/>
      <c r="D989" s="19"/>
    </row>
    <row r="990" ht="14.25" customHeight="1">
      <c r="C990" s="19"/>
      <c r="D990" s="19"/>
    </row>
    <row r="991" ht="14.25" customHeight="1">
      <c r="C991" s="19"/>
      <c r="D991" s="19"/>
    </row>
    <row r="992" ht="14.25" customHeight="1">
      <c r="C992" s="19"/>
      <c r="D992" s="19"/>
    </row>
    <row r="993" ht="14.25" customHeight="1">
      <c r="C993" s="19"/>
      <c r="D993" s="19"/>
    </row>
    <row r="994" ht="14.25" customHeight="1">
      <c r="C994" s="19"/>
      <c r="D994" s="19"/>
    </row>
    <row r="995" ht="14.25" customHeight="1">
      <c r="C995" s="19"/>
      <c r="D995" s="19"/>
    </row>
    <row r="996" ht="14.25" customHeight="1">
      <c r="C996" s="19"/>
      <c r="D996" s="19"/>
    </row>
    <row r="997" ht="14.25" customHeight="1">
      <c r="C997" s="19"/>
      <c r="D997" s="19"/>
    </row>
    <row r="998" ht="14.25" customHeight="1">
      <c r="C998" s="19"/>
      <c r="D998" s="19"/>
    </row>
    <row r="999" ht="14.25" customHeight="1">
      <c r="C999" s="19"/>
      <c r="D999" s="19"/>
    </row>
    <row r="1000" ht="14.25" customHeight="1">
      <c r="C1000" s="19"/>
      <c r="D1000" s="1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4" width="29.14"/>
    <col customWidth="1" min="5" max="26" width="10.71"/>
  </cols>
  <sheetData>
    <row r="1" ht="30.0" customHeight="1">
      <c r="A1" s="2" t="s">
        <v>588</v>
      </c>
      <c r="B1" s="2" t="s">
        <v>3</v>
      </c>
      <c r="C1" s="21" t="s">
        <v>591</v>
      </c>
      <c r="D1" s="21" t="s">
        <v>592</v>
      </c>
    </row>
    <row r="2" ht="14.25" customHeight="1">
      <c r="A2" s="8">
        <v>10101.0</v>
      </c>
      <c r="B2" s="7" t="s">
        <v>19</v>
      </c>
      <c r="C2" s="7">
        <v>23.0</v>
      </c>
      <c r="D2" s="7">
        <v>75.0</v>
      </c>
    </row>
    <row r="3" ht="14.25" customHeight="1">
      <c r="A3" s="8">
        <v>10102.0</v>
      </c>
      <c r="B3" s="7" t="s">
        <v>21</v>
      </c>
      <c r="C3" s="7">
        <v>0.0</v>
      </c>
      <c r="D3" s="7">
        <v>1.0</v>
      </c>
    </row>
    <row r="4" ht="14.25" customHeight="1">
      <c r="A4" s="8">
        <v>10103.0</v>
      </c>
      <c r="B4" s="7" t="s">
        <v>23</v>
      </c>
      <c r="C4" s="7">
        <v>0.0</v>
      </c>
      <c r="D4" s="7">
        <v>2.0</v>
      </c>
    </row>
    <row r="5" ht="14.25" customHeight="1">
      <c r="A5" s="8">
        <v>10201.0</v>
      </c>
      <c r="B5" s="7" t="s">
        <v>26</v>
      </c>
      <c r="C5" s="7">
        <v>1.0</v>
      </c>
      <c r="D5" s="7">
        <v>2.0</v>
      </c>
    </row>
    <row r="6" ht="14.25" customHeight="1">
      <c r="A6" s="8">
        <v>10202.0</v>
      </c>
      <c r="B6" s="7" t="s">
        <v>28</v>
      </c>
      <c r="C6" s="7">
        <v>1.0</v>
      </c>
      <c r="D6" s="7">
        <v>2.0</v>
      </c>
    </row>
    <row r="7" ht="14.25" customHeight="1">
      <c r="A7" s="8">
        <v>10301.0</v>
      </c>
      <c r="B7" s="7" t="s">
        <v>31</v>
      </c>
      <c r="C7" s="7">
        <v>1.0</v>
      </c>
      <c r="D7" s="7">
        <v>1.0</v>
      </c>
    </row>
    <row r="8" ht="14.25" customHeight="1">
      <c r="A8" s="8">
        <v>10302.0</v>
      </c>
      <c r="B8" s="7" t="s">
        <v>33</v>
      </c>
      <c r="C8" s="7">
        <v>0.0</v>
      </c>
      <c r="D8" s="7">
        <v>2.0</v>
      </c>
    </row>
    <row r="9" ht="14.25" customHeight="1">
      <c r="A9" s="8">
        <v>10303.0</v>
      </c>
      <c r="B9" s="7" t="s">
        <v>35</v>
      </c>
      <c r="C9" s="7">
        <v>0.0</v>
      </c>
      <c r="D9" s="7">
        <v>0.0</v>
      </c>
    </row>
    <row r="10" ht="14.25" customHeight="1">
      <c r="A10" s="8">
        <v>10304.0</v>
      </c>
      <c r="B10" s="7" t="s">
        <v>37</v>
      </c>
      <c r="C10" s="7">
        <v>0.0</v>
      </c>
      <c r="D10" s="7">
        <v>0.0</v>
      </c>
    </row>
    <row r="11" ht="14.25" customHeight="1">
      <c r="A11" s="8">
        <v>10401.0</v>
      </c>
      <c r="B11" s="7" t="s">
        <v>40</v>
      </c>
      <c r="C11" s="7">
        <v>0.0</v>
      </c>
      <c r="D11" s="7">
        <v>0.0</v>
      </c>
    </row>
    <row r="12" ht="14.25" customHeight="1">
      <c r="A12" s="8">
        <v>10402.0</v>
      </c>
      <c r="B12" s="7" t="s">
        <v>39</v>
      </c>
      <c r="C12" s="7">
        <v>0.0</v>
      </c>
      <c r="D12" s="7">
        <v>2.0</v>
      </c>
    </row>
    <row r="13" ht="14.25" customHeight="1">
      <c r="A13" s="8">
        <v>10403.0</v>
      </c>
      <c r="B13" s="7" t="s">
        <v>43</v>
      </c>
      <c r="C13" s="7">
        <v>3.0</v>
      </c>
      <c r="D13" s="7">
        <v>0.0</v>
      </c>
    </row>
    <row r="14" ht="14.25" customHeight="1">
      <c r="A14" s="8">
        <v>10404.0</v>
      </c>
      <c r="B14" s="7" t="s">
        <v>45</v>
      </c>
      <c r="C14" s="7">
        <v>0.0</v>
      </c>
      <c r="D14" s="7">
        <v>0.0</v>
      </c>
    </row>
    <row r="15" ht="14.25" customHeight="1">
      <c r="A15" s="8">
        <v>10405.0</v>
      </c>
      <c r="B15" s="7" t="s">
        <v>47</v>
      </c>
      <c r="C15" s="7">
        <v>0.0</v>
      </c>
      <c r="D15" s="7">
        <v>0.0</v>
      </c>
    </row>
    <row r="16" ht="14.25" customHeight="1">
      <c r="A16" s="8">
        <v>10501.0</v>
      </c>
      <c r="B16" s="7" t="s">
        <v>50</v>
      </c>
      <c r="C16" s="7">
        <v>0.0</v>
      </c>
      <c r="D16" s="7">
        <v>3.0</v>
      </c>
    </row>
    <row r="17" ht="14.25" customHeight="1">
      <c r="A17" s="8">
        <v>10502.0</v>
      </c>
      <c r="B17" s="7" t="s">
        <v>52</v>
      </c>
      <c r="C17" s="7">
        <v>0.0</v>
      </c>
      <c r="D17" s="7">
        <v>0.0</v>
      </c>
    </row>
    <row r="18" ht="14.25" customHeight="1">
      <c r="A18" s="8">
        <v>10601.0</v>
      </c>
      <c r="B18" s="7" t="s">
        <v>55</v>
      </c>
      <c r="C18" s="7">
        <v>2.0</v>
      </c>
      <c r="D18" s="7">
        <v>3.0</v>
      </c>
    </row>
    <row r="19" ht="14.25" customHeight="1">
      <c r="A19" s="8">
        <v>10602.0</v>
      </c>
      <c r="B19" s="7" t="s">
        <v>54</v>
      </c>
      <c r="C19" s="7">
        <v>1.0</v>
      </c>
      <c r="D19" s="7">
        <v>1.0</v>
      </c>
    </row>
    <row r="20" ht="14.25" customHeight="1">
      <c r="A20" s="8">
        <v>10701.0</v>
      </c>
      <c r="B20" s="7" t="s">
        <v>59</v>
      </c>
      <c r="C20" s="7">
        <v>3.0</v>
      </c>
      <c r="D20" s="7">
        <v>1.0</v>
      </c>
    </row>
    <row r="21" ht="14.25" customHeight="1">
      <c r="A21" s="8">
        <v>10702.0</v>
      </c>
      <c r="B21" s="7" t="s">
        <v>61</v>
      </c>
      <c r="C21" s="7">
        <v>0.0</v>
      </c>
      <c r="D21" s="7">
        <v>6.0</v>
      </c>
    </row>
    <row r="22" ht="14.25" customHeight="1">
      <c r="A22" s="8">
        <v>10703.0</v>
      </c>
      <c r="B22" s="7" t="s">
        <v>63</v>
      </c>
      <c r="C22" s="7">
        <v>0.0</v>
      </c>
      <c r="D22" s="7">
        <v>3.0</v>
      </c>
    </row>
    <row r="23" ht="14.25" customHeight="1">
      <c r="A23" s="8">
        <v>10704.0</v>
      </c>
      <c r="B23" s="7" t="s">
        <v>64</v>
      </c>
      <c r="C23" s="7">
        <v>0.0</v>
      </c>
      <c r="D23" s="7">
        <v>0.0</v>
      </c>
    </row>
    <row r="24" ht="14.25" customHeight="1">
      <c r="A24" s="8">
        <v>10801.0</v>
      </c>
      <c r="B24" s="7" t="s">
        <v>67</v>
      </c>
      <c r="C24" s="7">
        <v>0.0</v>
      </c>
      <c r="D24" s="7">
        <v>1.0</v>
      </c>
    </row>
    <row r="25" ht="14.25" customHeight="1">
      <c r="A25" s="8">
        <v>10901.0</v>
      </c>
      <c r="B25" s="7" t="s">
        <v>70</v>
      </c>
      <c r="C25" s="7">
        <v>0.0</v>
      </c>
      <c r="D25" s="7">
        <v>0.0</v>
      </c>
    </row>
    <row r="26" ht="14.25" customHeight="1">
      <c r="A26" s="8">
        <v>10902.0</v>
      </c>
      <c r="B26" s="7" t="s">
        <v>68</v>
      </c>
      <c r="C26" s="7">
        <v>0.0</v>
      </c>
      <c r="D26" s="7">
        <v>0.0</v>
      </c>
    </row>
    <row r="27" ht="14.25" customHeight="1">
      <c r="A27" s="8">
        <v>10903.0</v>
      </c>
      <c r="B27" s="7" t="s">
        <v>72</v>
      </c>
      <c r="C27" s="7">
        <v>0.0</v>
      </c>
      <c r="D27" s="7">
        <v>0.0</v>
      </c>
    </row>
    <row r="28" ht="14.25" customHeight="1">
      <c r="A28" s="8">
        <v>11001.0</v>
      </c>
      <c r="B28" s="7" t="s">
        <v>74</v>
      </c>
      <c r="C28" s="7">
        <v>0.0</v>
      </c>
      <c r="D28" s="7">
        <v>1.0</v>
      </c>
    </row>
    <row r="29" ht="14.25" customHeight="1">
      <c r="A29" s="8">
        <v>11002.0</v>
      </c>
      <c r="B29" s="7" t="s">
        <v>75</v>
      </c>
      <c r="C29" s="7">
        <v>0.0</v>
      </c>
      <c r="D29" s="7">
        <v>0.0</v>
      </c>
    </row>
    <row r="30" ht="14.25" customHeight="1">
      <c r="A30" s="8">
        <v>11003.0</v>
      </c>
      <c r="B30" s="7" t="s">
        <v>76</v>
      </c>
      <c r="C30" s="7">
        <v>0.0</v>
      </c>
      <c r="D30" s="7">
        <v>1.0</v>
      </c>
    </row>
    <row r="31" ht="14.25" customHeight="1">
      <c r="A31" s="8">
        <v>20101.0</v>
      </c>
      <c r="B31" s="7" t="s">
        <v>80</v>
      </c>
      <c r="C31" s="7">
        <v>159.0</v>
      </c>
      <c r="D31" s="7">
        <v>298.0</v>
      </c>
    </row>
    <row r="32" ht="14.25" customHeight="1">
      <c r="A32" s="8">
        <v>20102.0</v>
      </c>
      <c r="B32" s="7" t="s">
        <v>81</v>
      </c>
      <c r="C32" s="7">
        <v>0.0</v>
      </c>
      <c r="D32" s="7">
        <v>4.0</v>
      </c>
    </row>
    <row r="33" ht="14.25" customHeight="1">
      <c r="A33" s="8">
        <v>20103.0</v>
      </c>
      <c r="B33" s="7" t="s">
        <v>82</v>
      </c>
      <c r="C33" s="7">
        <v>0.0</v>
      </c>
      <c r="D33" s="7">
        <v>2.0</v>
      </c>
    </row>
    <row r="34" ht="14.25" customHeight="1">
      <c r="A34" s="8">
        <v>20104.0</v>
      </c>
      <c r="B34" s="7" t="s">
        <v>83</v>
      </c>
      <c r="C34" s="7">
        <v>0.0</v>
      </c>
      <c r="D34" s="7">
        <v>4.0</v>
      </c>
    </row>
    <row r="35" ht="14.25" customHeight="1">
      <c r="A35" s="8">
        <v>20105.0</v>
      </c>
      <c r="B35" s="7" t="s">
        <v>84</v>
      </c>
      <c r="C35" s="7">
        <v>115.0</v>
      </c>
      <c r="D35" s="7">
        <v>390.0</v>
      </c>
    </row>
    <row r="36" ht="14.25" customHeight="1">
      <c r="A36" s="8">
        <v>20201.0</v>
      </c>
      <c r="B36" s="7" t="s">
        <v>86</v>
      </c>
      <c r="C36" s="7">
        <v>22.0</v>
      </c>
      <c r="D36" s="7">
        <v>7.0</v>
      </c>
    </row>
    <row r="37" ht="14.25" customHeight="1">
      <c r="A37" s="8">
        <v>20202.0</v>
      </c>
      <c r="B37" s="7" t="s">
        <v>87</v>
      </c>
      <c r="C37" s="7">
        <v>0.0</v>
      </c>
      <c r="D37" s="7">
        <v>1.0</v>
      </c>
    </row>
    <row r="38" ht="14.25" customHeight="1">
      <c r="A38" s="8">
        <v>20203.0</v>
      </c>
      <c r="B38" s="7" t="s">
        <v>88</v>
      </c>
      <c r="C38" s="7">
        <v>0.0</v>
      </c>
      <c r="D38" s="7">
        <v>0.0</v>
      </c>
    </row>
    <row r="39" ht="14.25" customHeight="1">
      <c r="A39" s="8">
        <v>20204.0</v>
      </c>
      <c r="B39" s="7" t="s">
        <v>89</v>
      </c>
      <c r="C39" s="7">
        <v>0.0</v>
      </c>
      <c r="D39" s="7">
        <v>0.0</v>
      </c>
    </row>
    <row r="40" ht="14.25" customHeight="1">
      <c r="A40" s="8">
        <v>20205.0</v>
      </c>
      <c r="B40" s="7" t="s">
        <v>91</v>
      </c>
      <c r="C40" s="7">
        <v>0.0</v>
      </c>
      <c r="D40" s="7">
        <v>0.0</v>
      </c>
    </row>
    <row r="41" ht="14.25" customHeight="1">
      <c r="A41" s="8">
        <v>20206.0</v>
      </c>
      <c r="B41" s="7" t="s">
        <v>92</v>
      </c>
      <c r="C41" s="7">
        <v>0.0</v>
      </c>
      <c r="D41" s="7">
        <v>0.0</v>
      </c>
    </row>
    <row r="42" ht="14.25" customHeight="1">
      <c r="A42" s="8">
        <v>20301.0</v>
      </c>
      <c r="B42" s="7" t="s">
        <v>95</v>
      </c>
      <c r="C42" s="7">
        <v>0.0</v>
      </c>
      <c r="D42" s="7">
        <v>1.0</v>
      </c>
    </row>
    <row r="43" ht="14.25" customHeight="1">
      <c r="A43" s="8">
        <v>20302.0</v>
      </c>
      <c r="B43" s="7" t="s">
        <v>96</v>
      </c>
      <c r="C43" s="7">
        <v>0.0</v>
      </c>
      <c r="D43" s="7">
        <v>0.0</v>
      </c>
    </row>
    <row r="44" ht="14.25" customHeight="1">
      <c r="A44" s="8">
        <v>20303.0</v>
      </c>
      <c r="B44" s="7" t="s">
        <v>98</v>
      </c>
      <c r="C44" s="7">
        <v>0.0</v>
      </c>
      <c r="D44" s="7">
        <v>0.0</v>
      </c>
    </row>
    <row r="45" ht="14.25" customHeight="1">
      <c r="A45" s="8">
        <v>20304.0</v>
      </c>
      <c r="B45" s="7" t="s">
        <v>99</v>
      </c>
      <c r="C45" s="7">
        <v>0.0</v>
      </c>
      <c r="D45" s="7">
        <v>1.0</v>
      </c>
    </row>
    <row r="46" ht="14.25" customHeight="1">
      <c r="A46" s="8">
        <v>20305.0</v>
      </c>
      <c r="B46" s="7" t="s">
        <v>101</v>
      </c>
      <c r="C46" s="7">
        <v>0.0</v>
      </c>
      <c r="D46" s="7">
        <v>0.0</v>
      </c>
    </row>
    <row r="47" ht="14.25" customHeight="1">
      <c r="A47" s="8">
        <v>20306.0</v>
      </c>
      <c r="B47" s="7" t="s">
        <v>103</v>
      </c>
      <c r="C47" s="7">
        <v>0.0</v>
      </c>
      <c r="D47" s="7">
        <v>0.0</v>
      </c>
    </row>
    <row r="48" ht="14.25" customHeight="1">
      <c r="A48" s="8">
        <v>20307.0</v>
      </c>
      <c r="B48" s="7" t="s">
        <v>104</v>
      </c>
      <c r="C48" s="7">
        <v>0.0</v>
      </c>
      <c r="D48" s="7">
        <v>0.0</v>
      </c>
    </row>
    <row r="49" ht="14.25" customHeight="1">
      <c r="A49" s="8">
        <v>20308.0</v>
      </c>
      <c r="B49" s="7" t="s">
        <v>105</v>
      </c>
      <c r="C49" s="7">
        <v>0.0</v>
      </c>
      <c r="D49" s="7">
        <v>1.0</v>
      </c>
    </row>
    <row r="50" ht="14.25" customHeight="1">
      <c r="A50" s="8">
        <v>20401.0</v>
      </c>
      <c r="B50" s="7" t="s">
        <v>108</v>
      </c>
      <c r="C50" s="7">
        <v>0.0</v>
      </c>
      <c r="D50" s="7">
        <v>2.0</v>
      </c>
    </row>
    <row r="51" ht="14.25" customHeight="1">
      <c r="A51" s="8">
        <v>20402.0</v>
      </c>
      <c r="B51" s="7" t="s">
        <v>110</v>
      </c>
      <c r="C51" s="7">
        <v>0.0</v>
      </c>
      <c r="D51" s="7">
        <v>1.0</v>
      </c>
    </row>
    <row r="52" ht="14.25" customHeight="1">
      <c r="A52" s="8">
        <v>20403.0</v>
      </c>
      <c r="B52" s="7" t="s">
        <v>112</v>
      </c>
      <c r="C52" s="7">
        <v>0.0</v>
      </c>
      <c r="D52" s="7">
        <v>1.0</v>
      </c>
    </row>
    <row r="53" ht="14.25" customHeight="1">
      <c r="A53" s="8">
        <v>20404.0</v>
      </c>
      <c r="B53" s="7" t="s">
        <v>114</v>
      </c>
      <c r="C53" s="7">
        <v>0.0</v>
      </c>
      <c r="D53" s="7">
        <v>0.0</v>
      </c>
    </row>
    <row r="54" ht="14.25" customHeight="1">
      <c r="A54" s="8">
        <v>20405.0</v>
      </c>
      <c r="B54" s="7" t="s">
        <v>116</v>
      </c>
      <c r="C54" s="7">
        <v>0.0</v>
      </c>
      <c r="D54" s="7">
        <v>0.0</v>
      </c>
    </row>
    <row r="55" ht="14.25" customHeight="1">
      <c r="A55" s="8">
        <v>20501.0</v>
      </c>
      <c r="B55" s="7" t="s">
        <v>119</v>
      </c>
      <c r="C55" s="7">
        <v>0.0</v>
      </c>
      <c r="D55" s="7">
        <v>1.0</v>
      </c>
    </row>
    <row r="56" ht="14.25" customHeight="1">
      <c r="A56" s="8">
        <v>20502.0</v>
      </c>
      <c r="B56" s="7" t="s">
        <v>121</v>
      </c>
      <c r="C56" s="7">
        <v>0.0</v>
      </c>
      <c r="D56" s="7">
        <v>0.0</v>
      </c>
    </row>
    <row r="57" ht="14.25" customHeight="1">
      <c r="A57" s="8">
        <v>20503.0</v>
      </c>
      <c r="B57" s="7" t="s">
        <v>123</v>
      </c>
      <c r="C57" s="7">
        <v>0.0</v>
      </c>
      <c r="D57" s="7">
        <v>1.0</v>
      </c>
    </row>
    <row r="58" ht="14.25" customHeight="1">
      <c r="A58" s="8">
        <v>20601.0</v>
      </c>
      <c r="B58" s="7" t="s">
        <v>126</v>
      </c>
      <c r="C58" s="7">
        <v>0.0</v>
      </c>
      <c r="D58" s="7">
        <v>2.0</v>
      </c>
    </row>
    <row r="59" ht="14.25" customHeight="1">
      <c r="A59" s="8">
        <v>20602.0</v>
      </c>
      <c r="B59" s="7" t="s">
        <v>128</v>
      </c>
      <c r="C59" s="7">
        <v>2.0</v>
      </c>
      <c r="D59" s="7">
        <v>9.0</v>
      </c>
    </row>
    <row r="60" ht="14.25" customHeight="1">
      <c r="A60" s="8">
        <v>20603.0</v>
      </c>
      <c r="B60" s="7" t="s">
        <v>130</v>
      </c>
      <c r="C60" s="7">
        <v>0.0</v>
      </c>
      <c r="D60" s="7">
        <v>2.0</v>
      </c>
    </row>
    <row r="61" ht="14.25" customHeight="1">
      <c r="A61" s="8">
        <v>20604.0</v>
      </c>
      <c r="B61" s="7" t="s">
        <v>132</v>
      </c>
      <c r="C61" s="7">
        <v>0.0</v>
      </c>
      <c r="D61" s="7">
        <v>0.0</v>
      </c>
    </row>
    <row r="62" ht="14.25" customHeight="1">
      <c r="A62" s="8">
        <v>20605.0</v>
      </c>
      <c r="B62" s="7" t="s">
        <v>134</v>
      </c>
      <c r="C62" s="7">
        <v>0.0</v>
      </c>
      <c r="D62" s="7">
        <v>0.0</v>
      </c>
    </row>
    <row r="63" ht="14.25" customHeight="1">
      <c r="A63" s="8">
        <v>20606.0</v>
      </c>
      <c r="B63" s="7" t="s">
        <v>136</v>
      </c>
      <c r="C63" s="7">
        <v>1.0</v>
      </c>
      <c r="D63" s="7">
        <v>2.0</v>
      </c>
    </row>
    <row r="64" ht="14.25" customHeight="1">
      <c r="A64" s="8">
        <v>20607.0</v>
      </c>
      <c r="B64" s="7" t="s">
        <v>138</v>
      </c>
      <c r="C64" s="7">
        <v>0.0</v>
      </c>
      <c r="D64" s="7">
        <v>0.0</v>
      </c>
    </row>
    <row r="65" ht="14.25" customHeight="1">
      <c r="A65" s="8">
        <v>20608.0</v>
      </c>
      <c r="B65" s="7" t="s">
        <v>140</v>
      </c>
      <c r="C65" s="7">
        <v>0.0</v>
      </c>
      <c r="D65" s="7">
        <v>0.0</v>
      </c>
    </row>
    <row r="66" ht="14.25" customHeight="1">
      <c r="A66" s="8">
        <v>20701.0</v>
      </c>
      <c r="B66" s="7" t="s">
        <v>143</v>
      </c>
      <c r="C66" s="7">
        <v>0.0</v>
      </c>
      <c r="D66" s="7">
        <v>2.0</v>
      </c>
    </row>
    <row r="67" ht="14.25" customHeight="1">
      <c r="A67" s="8">
        <v>20702.0</v>
      </c>
      <c r="B67" s="7" t="s">
        <v>145</v>
      </c>
      <c r="C67" s="7">
        <v>0.0</v>
      </c>
      <c r="D67" s="7">
        <v>0.0</v>
      </c>
    </row>
    <row r="68" ht="14.25" customHeight="1">
      <c r="A68" s="8">
        <v>20801.0</v>
      </c>
      <c r="B68" s="7" t="s">
        <v>148</v>
      </c>
      <c r="C68" s="7">
        <v>3.0</v>
      </c>
      <c r="D68" s="7">
        <v>15.0</v>
      </c>
    </row>
    <row r="69" ht="14.25" customHeight="1">
      <c r="A69" s="8">
        <v>20802.0</v>
      </c>
      <c r="B69" s="7" t="s">
        <v>150</v>
      </c>
      <c r="C69" s="7">
        <v>0.0</v>
      </c>
      <c r="D69" s="7">
        <v>0.0</v>
      </c>
    </row>
    <row r="70" ht="14.25" customHeight="1">
      <c r="A70" s="8">
        <v>20803.0</v>
      </c>
      <c r="B70" s="7" t="s">
        <v>152</v>
      </c>
      <c r="C70" s="7">
        <v>0.0</v>
      </c>
      <c r="D70" s="7">
        <v>2.0</v>
      </c>
    </row>
    <row r="71" ht="14.25" customHeight="1">
      <c r="A71" s="8">
        <v>20804.0</v>
      </c>
      <c r="B71" s="7" t="s">
        <v>154</v>
      </c>
      <c r="C71" s="7">
        <v>0.0</v>
      </c>
      <c r="D71" s="7">
        <v>0.0</v>
      </c>
    </row>
    <row r="72" ht="14.25" customHeight="1">
      <c r="A72" s="8">
        <v>20805.0</v>
      </c>
      <c r="B72" s="7" t="s">
        <v>156</v>
      </c>
      <c r="C72" s="7">
        <v>0.0</v>
      </c>
      <c r="D72" s="7">
        <v>0.0</v>
      </c>
    </row>
    <row r="73" ht="14.25" customHeight="1">
      <c r="A73" s="8">
        <v>20806.0</v>
      </c>
      <c r="B73" s="7" t="s">
        <v>158</v>
      </c>
      <c r="C73" s="7">
        <v>0.0</v>
      </c>
      <c r="D73" s="7">
        <v>0.0</v>
      </c>
    </row>
    <row r="74" ht="14.25" customHeight="1">
      <c r="A74" s="8">
        <v>20807.0</v>
      </c>
      <c r="B74" s="7" t="s">
        <v>160</v>
      </c>
      <c r="C74" s="7">
        <v>0.0</v>
      </c>
      <c r="D74" s="7">
        <v>0.0</v>
      </c>
    </row>
    <row r="75" ht="14.25" customHeight="1">
      <c r="A75" s="8">
        <v>20901.0</v>
      </c>
      <c r="B75" s="7" t="s">
        <v>163</v>
      </c>
      <c r="C75" s="7">
        <v>0.0</v>
      </c>
      <c r="D75" s="7">
        <v>1.0</v>
      </c>
    </row>
    <row r="76" ht="14.25" customHeight="1">
      <c r="A76" s="8">
        <v>20902.0</v>
      </c>
      <c r="B76" s="7" t="s">
        <v>165</v>
      </c>
      <c r="C76" s="7">
        <v>0.0</v>
      </c>
      <c r="D76" s="7">
        <v>1.0</v>
      </c>
    </row>
    <row r="77" ht="14.25" customHeight="1">
      <c r="A77" s="8">
        <v>20903.0</v>
      </c>
      <c r="B77" s="7" t="s">
        <v>167</v>
      </c>
      <c r="C77" s="7">
        <v>0.0</v>
      </c>
      <c r="D77" s="7">
        <v>0.0</v>
      </c>
    </row>
    <row r="78" ht="14.25" customHeight="1">
      <c r="A78" s="8">
        <v>20904.0</v>
      </c>
      <c r="B78" s="7" t="s">
        <v>169</v>
      </c>
      <c r="C78" s="7">
        <v>0.0</v>
      </c>
      <c r="D78" s="7">
        <v>1.0</v>
      </c>
    </row>
    <row r="79" ht="14.25" customHeight="1">
      <c r="A79" s="8">
        <v>20905.0</v>
      </c>
      <c r="B79" s="7" t="s">
        <v>171</v>
      </c>
      <c r="C79" s="7">
        <v>0.0</v>
      </c>
      <c r="D79" s="7">
        <v>0.0</v>
      </c>
    </row>
    <row r="80" ht="14.25" customHeight="1">
      <c r="A80" s="8">
        <v>21001.0</v>
      </c>
      <c r="B80" s="7" t="s">
        <v>173</v>
      </c>
      <c r="C80" s="7">
        <v>1.0</v>
      </c>
      <c r="D80" s="7">
        <v>0.0</v>
      </c>
    </row>
    <row r="81" ht="14.25" customHeight="1">
      <c r="A81" s="8">
        <v>21002.0</v>
      </c>
      <c r="B81" s="7" t="s">
        <v>175</v>
      </c>
      <c r="C81" s="7">
        <v>1.0</v>
      </c>
      <c r="D81" s="7">
        <v>1.0</v>
      </c>
    </row>
    <row r="82" ht="14.25" customHeight="1">
      <c r="A82" s="8">
        <v>21003.0</v>
      </c>
      <c r="B82" s="7" t="s">
        <v>177</v>
      </c>
      <c r="C82" s="7">
        <v>0.0</v>
      </c>
      <c r="D82" s="7">
        <v>1.0</v>
      </c>
    </row>
    <row r="83" ht="14.25" customHeight="1">
      <c r="A83" s="8">
        <v>21004.0</v>
      </c>
      <c r="B83" s="7" t="s">
        <v>179</v>
      </c>
      <c r="C83" s="7">
        <v>0.0</v>
      </c>
      <c r="D83" s="7">
        <v>2.0</v>
      </c>
    </row>
    <row r="84" ht="14.25" customHeight="1">
      <c r="A84" s="8">
        <v>21005.0</v>
      </c>
      <c r="B84" s="7" t="s">
        <v>181</v>
      </c>
      <c r="C84" s="7">
        <v>0.0</v>
      </c>
      <c r="D84" s="7">
        <v>0.0</v>
      </c>
    </row>
    <row r="85" ht="14.25" customHeight="1">
      <c r="A85" s="8">
        <v>21006.0</v>
      </c>
      <c r="B85" s="7" t="s">
        <v>183</v>
      </c>
      <c r="C85" s="7">
        <v>0.0</v>
      </c>
      <c r="D85" s="7">
        <v>0.0</v>
      </c>
    </row>
    <row r="86" ht="14.25" customHeight="1">
      <c r="A86" s="8">
        <v>21101.0</v>
      </c>
      <c r="B86" s="7" t="s">
        <v>186</v>
      </c>
      <c r="C86" s="7">
        <v>2.0</v>
      </c>
      <c r="D86" s="7">
        <v>2.0</v>
      </c>
    </row>
    <row r="87" ht="14.25" customHeight="1">
      <c r="A87" s="8">
        <v>21102.0</v>
      </c>
      <c r="B87" s="7" t="s">
        <v>188</v>
      </c>
      <c r="C87" s="7">
        <v>0.0</v>
      </c>
      <c r="D87" s="7">
        <v>2.0</v>
      </c>
    </row>
    <row r="88" ht="14.25" customHeight="1">
      <c r="A88" s="8">
        <v>21103.0</v>
      </c>
      <c r="B88" s="7" t="s">
        <v>190</v>
      </c>
      <c r="C88" s="7">
        <v>0.0</v>
      </c>
      <c r="D88" s="7">
        <v>0.0</v>
      </c>
    </row>
    <row r="89" ht="14.25" customHeight="1">
      <c r="A89" s="8">
        <v>21104.0</v>
      </c>
      <c r="B89" s="7" t="s">
        <v>192</v>
      </c>
      <c r="C89" s="7">
        <v>0.0</v>
      </c>
      <c r="D89" s="7">
        <v>4.0</v>
      </c>
    </row>
    <row r="90" ht="14.25" customHeight="1">
      <c r="A90" s="8">
        <v>21105.0</v>
      </c>
      <c r="B90" s="7" t="s">
        <v>194</v>
      </c>
      <c r="C90" s="7">
        <v>0.0</v>
      </c>
      <c r="D90" s="7">
        <v>3.0</v>
      </c>
    </row>
    <row r="91" ht="14.25" customHeight="1">
      <c r="A91" s="8">
        <v>21201.0</v>
      </c>
      <c r="B91" s="7" t="s">
        <v>197</v>
      </c>
      <c r="C91" s="7">
        <v>0.0</v>
      </c>
      <c r="D91" s="7">
        <v>1.0</v>
      </c>
    </row>
    <row r="92" ht="14.25" customHeight="1">
      <c r="A92" s="8">
        <v>21202.0</v>
      </c>
      <c r="B92" s="7" t="s">
        <v>199</v>
      </c>
      <c r="C92" s="7">
        <v>0.0</v>
      </c>
      <c r="D92" s="7">
        <v>0.0</v>
      </c>
    </row>
    <row r="93" ht="14.25" customHeight="1">
      <c r="A93" s="8">
        <v>21203.0</v>
      </c>
      <c r="B93" s="7" t="s">
        <v>201</v>
      </c>
      <c r="C93" s="7">
        <v>0.0</v>
      </c>
      <c r="D93" s="7">
        <v>1.0</v>
      </c>
    </row>
    <row r="94" ht="14.25" customHeight="1">
      <c r="A94" s="8">
        <v>21204.0</v>
      </c>
      <c r="B94" s="7" t="s">
        <v>203</v>
      </c>
      <c r="C94" s="7">
        <v>0.0</v>
      </c>
      <c r="D94" s="7">
        <v>0.0</v>
      </c>
    </row>
    <row r="95" ht="14.25" customHeight="1">
      <c r="A95" s="8">
        <v>21301.0</v>
      </c>
      <c r="B95" s="7" t="s">
        <v>205</v>
      </c>
      <c r="C95" s="7">
        <v>0.0</v>
      </c>
      <c r="D95" s="7">
        <v>1.0</v>
      </c>
    </row>
    <row r="96" ht="14.25" customHeight="1">
      <c r="A96" s="8">
        <v>21302.0</v>
      </c>
      <c r="B96" s="7" t="s">
        <v>206</v>
      </c>
      <c r="C96" s="7">
        <v>0.0</v>
      </c>
      <c r="D96" s="7">
        <v>0.0</v>
      </c>
    </row>
    <row r="97" ht="14.25" customHeight="1">
      <c r="A97" s="8">
        <v>21303.0</v>
      </c>
      <c r="B97" s="7" t="s">
        <v>207</v>
      </c>
      <c r="C97" s="7">
        <v>0.0</v>
      </c>
      <c r="D97" s="7">
        <v>0.0</v>
      </c>
    </row>
    <row r="98" ht="14.25" customHeight="1">
      <c r="A98" s="8">
        <v>21304.0</v>
      </c>
      <c r="B98" s="7" t="s">
        <v>208</v>
      </c>
      <c r="C98" s="7">
        <v>0.0</v>
      </c>
      <c r="D98" s="7">
        <v>2.0</v>
      </c>
    </row>
    <row r="99" ht="14.25" customHeight="1">
      <c r="A99" s="8">
        <v>21305.0</v>
      </c>
      <c r="B99" s="7" t="s">
        <v>209</v>
      </c>
      <c r="C99" s="7">
        <v>3.0</v>
      </c>
      <c r="D99" s="7">
        <v>1.0</v>
      </c>
    </row>
    <row r="100" ht="14.25" customHeight="1">
      <c r="A100" s="8">
        <v>21306.0</v>
      </c>
      <c r="B100" s="7" t="s">
        <v>210</v>
      </c>
      <c r="C100" s="7">
        <v>0.0</v>
      </c>
      <c r="D100" s="7">
        <v>0.0</v>
      </c>
    </row>
    <row r="101" ht="14.25" customHeight="1">
      <c r="A101" s="8">
        <v>21307.0</v>
      </c>
      <c r="B101" s="7" t="s">
        <v>211</v>
      </c>
      <c r="C101" s="7">
        <v>0.0</v>
      </c>
      <c r="D101" s="7">
        <v>0.0</v>
      </c>
    </row>
    <row r="102" ht="14.25" customHeight="1">
      <c r="A102" s="8">
        <v>21401.0</v>
      </c>
      <c r="B102" s="7" t="s">
        <v>213</v>
      </c>
      <c r="C102" s="7">
        <v>0.0</v>
      </c>
      <c r="D102" s="7">
        <v>3.0</v>
      </c>
    </row>
    <row r="103" ht="14.25" customHeight="1">
      <c r="A103" s="8">
        <v>21402.0</v>
      </c>
      <c r="B103" s="7" t="s">
        <v>214</v>
      </c>
      <c r="C103" s="7">
        <v>0.0</v>
      </c>
      <c r="D103" s="7">
        <v>2.0</v>
      </c>
    </row>
    <row r="104" ht="14.25" customHeight="1">
      <c r="A104" s="8">
        <v>21501.0</v>
      </c>
      <c r="B104" s="7" t="s">
        <v>216</v>
      </c>
      <c r="C104" s="7">
        <v>0.0</v>
      </c>
      <c r="D104" s="7">
        <v>0.0</v>
      </c>
    </row>
    <row r="105" ht="14.25" customHeight="1">
      <c r="A105" s="8">
        <v>21502.0</v>
      </c>
      <c r="B105" s="7" t="s">
        <v>217</v>
      </c>
      <c r="C105" s="7">
        <v>0.0</v>
      </c>
      <c r="D105" s="7">
        <v>2.0</v>
      </c>
    </row>
    <row r="106" ht="14.25" customHeight="1">
      <c r="A106" s="8">
        <v>21601.0</v>
      </c>
      <c r="B106" s="7" t="s">
        <v>219</v>
      </c>
      <c r="C106" s="7">
        <v>0.0</v>
      </c>
      <c r="D106" s="7">
        <v>1.0</v>
      </c>
    </row>
    <row r="107" ht="14.25" customHeight="1">
      <c r="A107" s="8">
        <v>21602.0</v>
      </c>
      <c r="B107" s="7" t="s">
        <v>220</v>
      </c>
      <c r="C107" s="7">
        <v>0.0</v>
      </c>
      <c r="D107" s="7">
        <v>0.0</v>
      </c>
    </row>
    <row r="108" ht="14.25" customHeight="1">
      <c r="A108" s="8">
        <v>21701.0</v>
      </c>
      <c r="B108" s="7" t="s">
        <v>223</v>
      </c>
      <c r="C108" s="7">
        <v>0.0</v>
      </c>
      <c r="D108" s="7">
        <v>1.0</v>
      </c>
    </row>
    <row r="109" ht="14.25" customHeight="1">
      <c r="A109" s="8">
        <v>21702.0</v>
      </c>
      <c r="B109" s="7" t="s">
        <v>225</v>
      </c>
      <c r="C109" s="7">
        <v>0.0</v>
      </c>
      <c r="D109" s="7">
        <v>1.0</v>
      </c>
    </row>
    <row r="110" ht="14.25" customHeight="1">
      <c r="A110" s="8">
        <v>21703.0</v>
      </c>
      <c r="B110" s="7" t="s">
        <v>226</v>
      </c>
      <c r="C110" s="7">
        <v>0.0</v>
      </c>
      <c r="D110" s="7">
        <v>0.0</v>
      </c>
    </row>
    <row r="111" ht="14.25" customHeight="1">
      <c r="A111" s="8">
        <v>21801.0</v>
      </c>
      <c r="B111" s="7" t="s">
        <v>228</v>
      </c>
      <c r="C111" s="7">
        <v>0.0</v>
      </c>
      <c r="D111" s="7">
        <v>0.0</v>
      </c>
    </row>
    <row r="112" ht="14.25" customHeight="1">
      <c r="A112" s="8">
        <v>21802.0</v>
      </c>
      <c r="B112" s="7" t="s">
        <v>230</v>
      </c>
      <c r="C112" s="7">
        <v>0.0</v>
      </c>
      <c r="D112" s="7">
        <v>0.0</v>
      </c>
    </row>
    <row r="113" ht="14.25" customHeight="1">
      <c r="A113" s="8">
        <v>21803.0</v>
      </c>
      <c r="B113" s="7" t="s">
        <v>231</v>
      </c>
      <c r="C113" s="7">
        <v>0.0</v>
      </c>
      <c r="D113" s="7">
        <v>0.0</v>
      </c>
    </row>
    <row r="114" ht="14.25" customHeight="1">
      <c r="A114" s="8">
        <v>21901.0</v>
      </c>
      <c r="B114" s="7" t="s">
        <v>233</v>
      </c>
      <c r="C114" s="7">
        <v>0.0</v>
      </c>
      <c r="D114" s="7">
        <v>1.0</v>
      </c>
    </row>
    <row r="115" ht="14.25" customHeight="1">
      <c r="A115" s="8">
        <v>21902.0</v>
      </c>
      <c r="B115" s="7" t="s">
        <v>234</v>
      </c>
      <c r="C115" s="7">
        <v>0.0</v>
      </c>
      <c r="D115" s="7">
        <v>0.0</v>
      </c>
    </row>
    <row r="116" ht="14.25" customHeight="1">
      <c r="A116" s="8">
        <v>22001.0</v>
      </c>
      <c r="B116" s="7" t="s">
        <v>221</v>
      </c>
      <c r="C116" s="7">
        <v>3.0</v>
      </c>
      <c r="D116" s="7">
        <v>19.0</v>
      </c>
    </row>
    <row r="117" ht="14.25" customHeight="1">
      <c r="A117" s="8">
        <v>22002.0</v>
      </c>
      <c r="B117" s="7" t="s">
        <v>235</v>
      </c>
      <c r="C117" s="7">
        <v>0.0</v>
      </c>
      <c r="D117" s="7">
        <v>0.0</v>
      </c>
    </row>
    <row r="118" ht="14.25" customHeight="1">
      <c r="A118" s="8">
        <v>30101.0</v>
      </c>
      <c r="B118" s="7" t="s">
        <v>133</v>
      </c>
      <c r="C118" s="7">
        <v>232.0</v>
      </c>
      <c r="D118" s="7">
        <v>330.0</v>
      </c>
    </row>
    <row r="119" ht="14.25" customHeight="1">
      <c r="A119" s="8">
        <v>30201.0</v>
      </c>
      <c r="B119" s="7" t="s">
        <v>109</v>
      </c>
      <c r="C119" s="7">
        <v>13.0</v>
      </c>
      <c r="D119" s="7">
        <v>5.0</v>
      </c>
    </row>
    <row r="120" ht="14.25" customHeight="1">
      <c r="A120" s="8">
        <v>30202.0</v>
      </c>
      <c r="B120" s="7" t="s">
        <v>146</v>
      </c>
      <c r="C120" s="7">
        <v>0.0</v>
      </c>
      <c r="D120" s="7">
        <v>1.0</v>
      </c>
    </row>
    <row r="121" ht="14.25" customHeight="1">
      <c r="A121" s="8">
        <v>30203.0</v>
      </c>
      <c r="B121" s="7" t="s">
        <v>144</v>
      </c>
      <c r="C121" s="7">
        <v>0.0</v>
      </c>
      <c r="D121" s="7">
        <v>1.0</v>
      </c>
    </row>
    <row r="122" ht="14.25" customHeight="1">
      <c r="A122" s="8">
        <v>30301.0</v>
      </c>
      <c r="B122" s="7" t="s">
        <v>239</v>
      </c>
      <c r="C122" s="7">
        <v>0.0</v>
      </c>
      <c r="D122" s="7">
        <v>2.0</v>
      </c>
    </row>
    <row r="123" ht="14.25" customHeight="1">
      <c r="A123" s="8">
        <v>30302.0</v>
      </c>
      <c r="B123" s="7" t="s">
        <v>141</v>
      </c>
      <c r="C123" s="7">
        <v>0.0</v>
      </c>
      <c r="D123" s="7">
        <v>1.0</v>
      </c>
    </row>
    <row r="124" ht="14.25" customHeight="1">
      <c r="A124" s="8">
        <v>30303.0</v>
      </c>
      <c r="B124" s="7" t="s">
        <v>241</v>
      </c>
      <c r="C124" s="7">
        <v>0.0</v>
      </c>
      <c r="D124" s="7">
        <v>0.0</v>
      </c>
    </row>
    <row r="125" ht="14.25" customHeight="1">
      <c r="A125" s="8">
        <v>30401.0</v>
      </c>
      <c r="B125" s="7" t="s">
        <v>178</v>
      </c>
      <c r="C125" s="7">
        <v>1.0</v>
      </c>
      <c r="D125" s="7">
        <v>2.0</v>
      </c>
    </row>
    <row r="126" ht="14.25" customHeight="1">
      <c r="A126" s="8">
        <v>30402.0</v>
      </c>
      <c r="B126" s="7" t="s">
        <v>113</v>
      </c>
      <c r="C126" s="7">
        <v>0.0</v>
      </c>
      <c r="D126" s="7">
        <v>0.0</v>
      </c>
    </row>
    <row r="127" ht="14.25" customHeight="1">
      <c r="A127" s="8">
        <v>30403.0</v>
      </c>
      <c r="B127" s="7" t="s">
        <v>117</v>
      </c>
      <c r="C127" s="7">
        <v>0.0</v>
      </c>
      <c r="D127" s="7">
        <v>2.0</v>
      </c>
    </row>
    <row r="128" ht="14.25" customHeight="1">
      <c r="A128" s="8">
        <v>30404.0</v>
      </c>
      <c r="B128" s="7" t="s">
        <v>161</v>
      </c>
      <c r="C128" s="7">
        <v>0.0</v>
      </c>
      <c r="D128" s="7">
        <v>0.0</v>
      </c>
    </row>
    <row r="129" ht="14.25" customHeight="1">
      <c r="A129" s="8">
        <v>30501.0</v>
      </c>
      <c r="B129" s="7" t="s">
        <v>115</v>
      </c>
      <c r="C129" s="7">
        <v>0.0</v>
      </c>
      <c r="D129" s="7">
        <v>1.0</v>
      </c>
    </row>
    <row r="130" ht="14.25" customHeight="1">
      <c r="A130" s="8">
        <v>30502.0</v>
      </c>
      <c r="B130" s="7" t="s">
        <v>191</v>
      </c>
      <c r="C130" s="7">
        <v>0.0</v>
      </c>
      <c r="D130" s="7">
        <v>1.0</v>
      </c>
    </row>
    <row r="131" ht="14.25" customHeight="1">
      <c r="A131" s="8">
        <v>30601.0</v>
      </c>
      <c r="B131" s="7" t="s">
        <v>120</v>
      </c>
      <c r="C131" s="7">
        <v>0.0</v>
      </c>
      <c r="D131" s="7">
        <v>2.0</v>
      </c>
    </row>
    <row r="132" ht="14.25" customHeight="1">
      <c r="A132" s="8">
        <v>30602.0</v>
      </c>
      <c r="B132" s="7" t="s">
        <v>174</v>
      </c>
      <c r="C132" s="7">
        <v>0.0</v>
      </c>
      <c r="D132" s="7">
        <v>1.0</v>
      </c>
    </row>
    <row r="133" ht="14.25" customHeight="1">
      <c r="A133" s="8">
        <v>30701.0</v>
      </c>
      <c r="B133" s="7" t="s">
        <v>127</v>
      </c>
      <c r="C133" s="7">
        <v>1.0</v>
      </c>
      <c r="D133" s="7">
        <v>1.0</v>
      </c>
    </row>
    <row r="134" ht="14.25" customHeight="1">
      <c r="A134" s="8">
        <v>30702.0</v>
      </c>
      <c r="B134" s="7" t="s">
        <v>166</v>
      </c>
      <c r="C134" s="7">
        <v>0.0</v>
      </c>
      <c r="D134" s="7">
        <v>1.0</v>
      </c>
    </row>
    <row r="135" ht="14.25" customHeight="1">
      <c r="A135" s="8">
        <v>30703.0</v>
      </c>
      <c r="B135" s="7" t="s">
        <v>168</v>
      </c>
      <c r="C135" s="7">
        <v>0.0</v>
      </c>
      <c r="D135" s="7">
        <v>2.0</v>
      </c>
    </row>
    <row r="136" ht="14.25" customHeight="1">
      <c r="A136" s="8">
        <v>30801.0</v>
      </c>
      <c r="B136" s="7" t="s">
        <v>131</v>
      </c>
      <c r="C136" s="7">
        <v>2.0</v>
      </c>
      <c r="D136" s="7">
        <v>4.0</v>
      </c>
    </row>
    <row r="137" ht="14.25" customHeight="1">
      <c r="A137" s="8">
        <v>30802.0</v>
      </c>
      <c r="B137" s="7" t="s">
        <v>246</v>
      </c>
      <c r="C137" s="7">
        <v>0.0</v>
      </c>
      <c r="D137" s="7">
        <v>0.0</v>
      </c>
    </row>
    <row r="138" ht="14.25" customHeight="1">
      <c r="A138" s="8">
        <v>30803.0</v>
      </c>
      <c r="B138" s="7" t="s">
        <v>187</v>
      </c>
      <c r="C138" s="7">
        <v>0.0</v>
      </c>
      <c r="D138" s="7">
        <v>1.0</v>
      </c>
    </row>
    <row r="139" ht="14.25" customHeight="1">
      <c r="A139" s="8">
        <v>30901.0</v>
      </c>
      <c r="B139" s="7" t="s">
        <v>157</v>
      </c>
      <c r="C139" s="7">
        <v>18.0</v>
      </c>
      <c r="D139" s="7">
        <v>45.0</v>
      </c>
    </row>
    <row r="140" ht="14.25" customHeight="1">
      <c r="A140" s="8">
        <v>30902.0</v>
      </c>
      <c r="B140" s="7" t="s">
        <v>247</v>
      </c>
      <c r="C140" s="7">
        <v>1.0</v>
      </c>
      <c r="D140" s="7">
        <v>6.0</v>
      </c>
    </row>
    <row r="141" ht="14.25" customHeight="1">
      <c r="A141" s="8">
        <v>30903.0</v>
      </c>
      <c r="B141" s="7" t="s">
        <v>180</v>
      </c>
      <c r="C141" s="7">
        <v>6.0</v>
      </c>
      <c r="D141" s="7">
        <v>14.0</v>
      </c>
    </row>
    <row r="142" ht="14.25" customHeight="1">
      <c r="A142" s="8">
        <v>30904.0</v>
      </c>
      <c r="B142" s="7" t="s">
        <v>200</v>
      </c>
      <c r="C142" s="7">
        <v>4.0</v>
      </c>
      <c r="D142" s="7">
        <v>17.0</v>
      </c>
    </row>
    <row r="143" ht="14.25" customHeight="1">
      <c r="A143" s="8">
        <v>30905.0</v>
      </c>
      <c r="B143" s="7" t="s">
        <v>135</v>
      </c>
      <c r="C143" s="7">
        <v>5.0</v>
      </c>
      <c r="D143" s="7">
        <v>16.0</v>
      </c>
    </row>
    <row r="144" ht="14.25" customHeight="1">
      <c r="A144" s="8">
        <v>31001.0</v>
      </c>
      <c r="B144" s="7" t="s">
        <v>159</v>
      </c>
      <c r="C144" s="7">
        <v>13.0</v>
      </c>
      <c r="D144" s="7">
        <v>48.0</v>
      </c>
    </row>
    <row r="145" ht="14.25" customHeight="1">
      <c r="A145" s="8">
        <v>31002.0</v>
      </c>
      <c r="B145" s="7" t="s">
        <v>137</v>
      </c>
      <c r="C145" s="7">
        <v>0.0</v>
      </c>
      <c r="D145" s="7">
        <v>3.0</v>
      </c>
    </row>
    <row r="146" ht="14.25" customHeight="1">
      <c r="A146" s="8">
        <v>31003.0</v>
      </c>
      <c r="B146" s="7" t="s">
        <v>198</v>
      </c>
      <c r="C146" s="7">
        <v>7.0</v>
      </c>
      <c r="D146" s="7">
        <v>19.0</v>
      </c>
    </row>
    <row r="147" ht="14.25" customHeight="1">
      <c r="A147" s="8">
        <v>31101.0</v>
      </c>
      <c r="B147" s="7" t="s">
        <v>176</v>
      </c>
      <c r="C147" s="7">
        <v>0.0</v>
      </c>
      <c r="D147" s="7">
        <v>1.0</v>
      </c>
    </row>
    <row r="148" ht="14.25" customHeight="1">
      <c r="A148" s="8">
        <v>31201.0</v>
      </c>
      <c r="B148" s="7" t="s">
        <v>189</v>
      </c>
      <c r="C148" s="7">
        <v>0.0</v>
      </c>
      <c r="D148" s="7">
        <v>1.0</v>
      </c>
    </row>
    <row r="149" ht="14.25" customHeight="1">
      <c r="A149" s="8">
        <v>31202.0</v>
      </c>
      <c r="B149" s="7" t="s">
        <v>151</v>
      </c>
      <c r="C149" s="7">
        <v>0.0</v>
      </c>
      <c r="D149" s="7">
        <v>22.0</v>
      </c>
    </row>
    <row r="150" ht="14.25" customHeight="1">
      <c r="A150" s="8">
        <v>31203.0</v>
      </c>
      <c r="B150" s="7" t="s">
        <v>149</v>
      </c>
      <c r="C150" s="7">
        <v>0.0</v>
      </c>
      <c r="D150" s="7">
        <v>2.0</v>
      </c>
    </row>
    <row r="151" ht="14.25" customHeight="1">
      <c r="A151" s="8">
        <v>31204.0</v>
      </c>
      <c r="B151" s="7" t="s">
        <v>129</v>
      </c>
      <c r="C151" s="7">
        <v>4.0</v>
      </c>
      <c r="D151" s="7">
        <v>16.0</v>
      </c>
    </row>
    <row r="152" ht="14.25" customHeight="1">
      <c r="A152" s="8">
        <v>31205.0</v>
      </c>
      <c r="B152" s="7" t="s">
        <v>153</v>
      </c>
      <c r="C152" s="7">
        <v>4.0</v>
      </c>
      <c r="D152" s="7">
        <v>65.0</v>
      </c>
    </row>
    <row r="153" ht="14.25" customHeight="1">
      <c r="A153" s="8">
        <v>31206.0</v>
      </c>
      <c r="B153" s="7" t="s">
        <v>253</v>
      </c>
      <c r="C153" s="7">
        <v>0.0</v>
      </c>
      <c r="D153" s="7">
        <v>0.0</v>
      </c>
    </row>
    <row r="154" ht="14.25" customHeight="1">
      <c r="A154" s="8">
        <v>31301.0</v>
      </c>
      <c r="B154" s="7" t="s">
        <v>139</v>
      </c>
      <c r="C154" s="7">
        <v>1.0</v>
      </c>
      <c r="D154" s="7">
        <v>3.0</v>
      </c>
    </row>
    <row r="155" ht="14.25" customHeight="1">
      <c r="A155" s="8">
        <v>31302.0</v>
      </c>
      <c r="B155" s="7" t="s">
        <v>193</v>
      </c>
      <c r="C155" s="7">
        <v>0.0</v>
      </c>
      <c r="D155" s="7">
        <v>0.0</v>
      </c>
    </row>
    <row r="156" ht="14.25" customHeight="1">
      <c r="A156" s="8">
        <v>31303.0</v>
      </c>
      <c r="B156" s="7" t="s">
        <v>111</v>
      </c>
      <c r="C156" s="7">
        <v>0.0</v>
      </c>
      <c r="D156" s="7">
        <v>0.0</v>
      </c>
    </row>
    <row r="157" ht="14.25" customHeight="1">
      <c r="A157" s="8">
        <v>31304.0</v>
      </c>
      <c r="B157" s="7" t="s">
        <v>254</v>
      </c>
      <c r="C157" s="7">
        <v>0.0</v>
      </c>
      <c r="D157" s="7">
        <v>0.0</v>
      </c>
    </row>
    <row r="158" ht="14.25" customHeight="1">
      <c r="A158" s="8">
        <v>31401.0</v>
      </c>
      <c r="B158" s="7" t="s">
        <v>255</v>
      </c>
      <c r="C158" s="7">
        <v>3.0</v>
      </c>
      <c r="D158" s="7">
        <v>7.0</v>
      </c>
    </row>
    <row r="159" ht="14.25" customHeight="1">
      <c r="A159" s="8">
        <v>31402.0</v>
      </c>
      <c r="B159" s="7" t="s">
        <v>195</v>
      </c>
      <c r="C159" s="7">
        <v>0.0</v>
      </c>
      <c r="D159" s="7">
        <v>1.0</v>
      </c>
    </row>
    <row r="160" ht="14.25" customHeight="1">
      <c r="A160" s="8">
        <v>31403.0</v>
      </c>
      <c r="B160" s="7" t="s">
        <v>256</v>
      </c>
      <c r="C160" s="7">
        <v>0.0</v>
      </c>
      <c r="D160" s="7">
        <v>1.0</v>
      </c>
    </row>
    <row r="161" ht="14.25" customHeight="1">
      <c r="A161" s="8">
        <v>31404.0</v>
      </c>
      <c r="B161" s="7" t="s">
        <v>257</v>
      </c>
      <c r="C161" s="7">
        <v>0.0</v>
      </c>
      <c r="D161" s="7">
        <v>0.0</v>
      </c>
    </row>
    <row r="162" ht="14.25" customHeight="1">
      <c r="A162" s="8">
        <v>31405.0</v>
      </c>
      <c r="B162" s="7" t="s">
        <v>258</v>
      </c>
      <c r="C162" s="7">
        <v>0.0</v>
      </c>
      <c r="D162" s="7">
        <v>0.0</v>
      </c>
    </row>
    <row r="163" ht="14.25" customHeight="1">
      <c r="A163" s="8">
        <v>31501.0</v>
      </c>
      <c r="B163" s="7" t="s">
        <v>259</v>
      </c>
      <c r="C163" s="7">
        <v>0.0</v>
      </c>
      <c r="D163" s="7">
        <v>0.0</v>
      </c>
    </row>
    <row r="164" ht="14.25" customHeight="1">
      <c r="A164" s="8">
        <v>31601.0</v>
      </c>
      <c r="B164" s="7" t="s">
        <v>182</v>
      </c>
      <c r="C164" s="7">
        <v>0.0</v>
      </c>
      <c r="D164" s="7">
        <v>12.0</v>
      </c>
    </row>
    <row r="165" ht="14.25" customHeight="1">
      <c r="A165" s="8">
        <v>31602.0</v>
      </c>
      <c r="B165" s="7" t="s">
        <v>262</v>
      </c>
      <c r="C165" s="7">
        <v>0.0</v>
      </c>
      <c r="D165" s="7">
        <v>0.0</v>
      </c>
    </row>
    <row r="166" ht="14.25" customHeight="1">
      <c r="A166" s="8">
        <v>40101.0</v>
      </c>
      <c r="B166" s="7" t="s">
        <v>264</v>
      </c>
      <c r="C166" s="7">
        <v>39.0</v>
      </c>
      <c r="D166" s="7">
        <v>111.0</v>
      </c>
    </row>
    <row r="167" ht="14.25" customHeight="1">
      <c r="A167" s="8">
        <v>40102.0</v>
      </c>
      <c r="B167" s="7" t="s">
        <v>265</v>
      </c>
      <c r="C167" s="7">
        <v>0.0</v>
      </c>
      <c r="D167" s="7">
        <v>1.0</v>
      </c>
    </row>
    <row r="168" ht="14.25" customHeight="1">
      <c r="A168" s="8">
        <v>40103.0</v>
      </c>
      <c r="B168" s="7" t="s">
        <v>267</v>
      </c>
      <c r="C168" s="7">
        <v>0.0</v>
      </c>
      <c r="D168" s="7">
        <v>0.0</v>
      </c>
    </row>
    <row r="169" ht="14.25" customHeight="1">
      <c r="A169" s="8">
        <v>40104.0</v>
      </c>
      <c r="B169" s="7" t="s">
        <v>269</v>
      </c>
      <c r="C169" s="7">
        <v>0.0</v>
      </c>
      <c r="D169" s="7">
        <v>0.0</v>
      </c>
    </row>
    <row r="170" ht="14.25" customHeight="1">
      <c r="A170" s="8">
        <v>40201.0</v>
      </c>
      <c r="B170" s="7" t="s">
        <v>266</v>
      </c>
      <c r="C170" s="7">
        <v>1.0</v>
      </c>
      <c r="D170" s="7">
        <v>5.0</v>
      </c>
    </row>
    <row r="171" ht="14.25" customHeight="1">
      <c r="A171" s="8">
        <v>40202.0</v>
      </c>
      <c r="B171" s="7" t="s">
        <v>272</v>
      </c>
      <c r="C171" s="7">
        <v>0.0</v>
      </c>
      <c r="D171" s="7">
        <v>0.0</v>
      </c>
    </row>
    <row r="172" ht="14.25" customHeight="1">
      <c r="A172" s="8">
        <v>40301.0</v>
      </c>
      <c r="B172" s="7" t="s">
        <v>268</v>
      </c>
      <c r="C172" s="7">
        <v>0.0</v>
      </c>
      <c r="D172" s="7">
        <v>1.0</v>
      </c>
    </row>
    <row r="173" ht="14.25" customHeight="1">
      <c r="A173" s="8">
        <v>40302.0</v>
      </c>
      <c r="B173" s="7" t="s">
        <v>276</v>
      </c>
      <c r="C173" s="7">
        <v>0.0</v>
      </c>
      <c r="D173" s="7">
        <v>0.0</v>
      </c>
    </row>
    <row r="174" ht="14.25" customHeight="1">
      <c r="A174" s="8">
        <v>40401.0</v>
      </c>
      <c r="B174" s="7" t="s">
        <v>270</v>
      </c>
      <c r="C174" s="7">
        <v>0.0</v>
      </c>
      <c r="D174" s="7">
        <v>0.0</v>
      </c>
    </row>
    <row r="175" ht="14.25" customHeight="1">
      <c r="A175" s="8">
        <v>40402.0</v>
      </c>
      <c r="B175" s="7" t="s">
        <v>280</v>
      </c>
      <c r="C175" s="7">
        <v>0.0</v>
      </c>
      <c r="D175" s="7">
        <v>0.0</v>
      </c>
    </row>
    <row r="176" ht="14.25" customHeight="1">
      <c r="A176" s="8">
        <v>40501.0</v>
      </c>
      <c r="B176" s="7" t="s">
        <v>275</v>
      </c>
      <c r="C176" s="7">
        <v>0.0</v>
      </c>
      <c r="D176" s="7">
        <v>0.0</v>
      </c>
    </row>
    <row r="177" ht="14.25" customHeight="1">
      <c r="A177" s="8">
        <v>40502.0</v>
      </c>
      <c r="B177" s="7" t="s">
        <v>283</v>
      </c>
      <c r="C177" s="7">
        <v>0.0</v>
      </c>
      <c r="D177" s="7">
        <v>0.0</v>
      </c>
    </row>
    <row r="178" ht="14.25" customHeight="1">
      <c r="A178" s="8">
        <v>40503.0</v>
      </c>
      <c r="B178" s="7" t="s">
        <v>285</v>
      </c>
      <c r="C178" s="7">
        <v>0.0</v>
      </c>
      <c r="D178" s="7">
        <v>0.0</v>
      </c>
    </row>
    <row r="179" ht="14.25" customHeight="1">
      <c r="A179" s="8">
        <v>40504.0</v>
      </c>
      <c r="B179" s="7" t="s">
        <v>287</v>
      </c>
      <c r="C179" s="7">
        <v>0.0</v>
      </c>
      <c r="D179" s="7">
        <v>0.0</v>
      </c>
    </row>
    <row r="180" ht="14.25" customHeight="1">
      <c r="A180" s="8">
        <v>40505.0</v>
      </c>
      <c r="B180" s="7" t="s">
        <v>289</v>
      </c>
      <c r="C180" s="7">
        <v>0.0</v>
      </c>
      <c r="D180" s="7">
        <v>0.0</v>
      </c>
    </row>
    <row r="181" ht="14.25" customHeight="1">
      <c r="A181" s="8">
        <v>40601.0</v>
      </c>
      <c r="B181" s="7" t="s">
        <v>291</v>
      </c>
      <c r="C181" s="7">
        <v>0.0</v>
      </c>
      <c r="D181" s="7">
        <v>0.0</v>
      </c>
    </row>
    <row r="182" ht="14.25" customHeight="1">
      <c r="A182" s="8">
        <v>40602.0</v>
      </c>
      <c r="B182" s="7" t="s">
        <v>284</v>
      </c>
      <c r="C182" s="7">
        <v>0.0</v>
      </c>
      <c r="D182" s="7">
        <v>0.0</v>
      </c>
    </row>
    <row r="183" ht="14.25" customHeight="1">
      <c r="A183" s="8">
        <v>40603.0</v>
      </c>
      <c r="B183" s="7" t="s">
        <v>263</v>
      </c>
      <c r="C183" s="7">
        <v>0.0</v>
      </c>
      <c r="D183" s="7">
        <v>0.0</v>
      </c>
    </row>
    <row r="184" ht="14.25" customHeight="1">
      <c r="A184" s="8">
        <v>40701.0</v>
      </c>
      <c r="B184" s="7" t="s">
        <v>277</v>
      </c>
      <c r="C184" s="7">
        <v>1.0</v>
      </c>
      <c r="D184" s="7">
        <v>7.0</v>
      </c>
    </row>
    <row r="185" ht="14.25" customHeight="1">
      <c r="A185" s="8">
        <v>40702.0</v>
      </c>
      <c r="B185" s="7" t="s">
        <v>281</v>
      </c>
      <c r="C185" s="7">
        <v>1.0</v>
      </c>
      <c r="D185" s="7">
        <v>1.0</v>
      </c>
    </row>
    <row r="186" ht="14.25" customHeight="1">
      <c r="A186" s="8">
        <v>40801.0</v>
      </c>
      <c r="B186" s="7" t="s">
        <v>295</v>
      </c>
      <c r="C186" s="7">
        <v>0.0</v>
      </c>
      <c r="D186" s="7">
        <v>0.0</v>
      </c>
    </row>
    <row r="187" ht="14.25" customHeight="1">
      <c r="A187" s="8">
        <v>40802.0</v>
      </c>
      <c r="B187" s="7" t="s">
        <v>297</v>
      </c>
      <c r="C187" s="7">
        <v>0.0</v>
      </c>
      <c r="D187" s="7">
        <v>0.0</v>
      </c>
    </row>
    <row r="188" ht="14.25" customHeight="1">
      <c r="A188" s="8">
        <v>40901.0</v>
      </c>
      <c r="B188" s="7" t="s">
        <v>288</v>
      </c>
      <c r="C188" s="7">
        <v>0.0</v>
      </c>
      <c r="D188" s="7">
        <v>0.0</v>
      </c>
    </row>
    <row r="189" ht="14.25" customHeight="1">
      <c r="A189" s="8">
        <v>40902.0</v>
      </c>
      <c r="B189" s="7" t="s">
        <v>300</v>
      </c>
      <c r="C189" s="7">
        <v>0.0</v>
      </c>
      <c r="D189" s="7">
        <v>0.0</v>
      </c>
    </row>
    <row r="190" ht="14.25" customHeight="1">
      <c r="A190" s="8">
        <v>40903.0</v>
      </c>
      <c r="B190" s="7" t="s">
        <v>302</v>
      </c>
      <c r="C190" s="7">
        <v>0.0</v>
      </c>
      <c r="D190" s="7">
        <v>0.0</v>
      </c>
    </row>
    <row r="191" ht="14.25" customHeight="1">
      <c r="A191" s="8">
        <v>41001.0</v>
      </c>
      <c r="B191" s="7" t="s">
        <v>305</v>
      </c>
      <c r="C191" s="7">
        <v>0.0</v>
      </c>
      <c r="D191" s="7">
        <v>0.0</v>
      </c>
    </row>
    <row r="192" ht="14.25" customHeight="1">
      <c r="A192" s="8">
        <v>41101.0</v>
      </c>
      <c r="B192" s="7" t="s">
        <v>273</v>
      </c>
      <c r="C192" s="7">
        <v>0.0</v>
      </c>
      <c r="D192" s="7">
        <v>0.0</v>
      </c>
    </row>
    <row r="193" ht="14.25" customHeight="1">
      <c r="A193" s="8">
        <v>41201.0</v>
      </c>
      <c r="B193" s="7" t="s">
        <v>310</v>
      </c>
      <c r="C193" s="7">
        <v>3.0</v>
      </c>
      <c r="D193" s="7">
        <v>0.0</v>
      </c>
    </row>
    <row r="194" ht="14.25" customHeight="1">
      <c r="A194" s="8">
        <v>41202.0</v>
      </c>
      <c r="B194" s="7" t="s">
        <v>312</v>
      </c>
      <c r="C194" s="7">
        <v>0.0</v>
      </c>
      <c r="D194" s="7">
        <v>0.0</v>
      </c>
    </row>
    <row r="195" ht="14.25" customHeight="1">
      <c r="A195" s="8">
        <v>41301.0</v>
      </c>
      <c r="B195" s="7" t="s">
        <v>189</v>
      </c>
      <c r="C195" s="7">
        <v>0.0</v>
      </c>
      <c r="D195" s="7">
        <v>0.0</v>
      </c>
    </row>
    <row r="196" ht="14.25" customHeight="1">
      <c r="A196" s="8">
        <v>41401.0</v>
      </c>
      <c r="B196" s="7" t="s">
        <v>290</v>
      </c>
      <c r="C196" s="7">
        <v>0.0</v>
      </c>
      <c r="D196" s="7">
        <v>0.0</v>
      </c>
    </row>
    <row r="197" ht="14.25" customHeight="1">
      <c r="A197" s="8">
        <v>41501.0</v>
      </c>
      <c r="B197" s="7" t="s">
        <v>279</v>
      </c>
      <c r="C197" s="7">
        <v>0.0</v>
      </c>
      <c r="D197" s="7">
        <v>1.0</v>
      </c>
    </row>
    <row r="198" ht="14.25" customHeight="1">
      <c r="A198" s="8">
        <v>41502.0</v>
      </c>
      <c r="B198" s="7" t="s">
        <v>320</v>
      </c>
      <c r="C198" s="7">
        <v>0.0</v>
      </c>
      <c r="D198" s="7">
        <v>0.0</v>
      </c>
    </row>
    <row r="199" ht="14.25" customHeight="1">
      <c r="A199" s="8">
        <v>41503.0</v>
      </c>
      <c r="B199" s="7" t="s">
        <v>274</v>
      </c>
      <c r="C199" s="7">
        <v>0.0</v>
      </c>
      <c r="D199" s="7">
        <v>0.0</v>
      </c>
    </row>
    <row r="200" ht="14.25" customHeight="1">
      <c r="A200" s="8">
        <v>41601.0</v>
      </c>
      <c r="B200" s="7" t="s">
        <v>324</v>
      </c>
      <c r="C200" s="7">
        <v>0.0</v>
      </c>
      <c r="D200" s="7">
        <v>0.0</v>
      </c>
    </row>
    <row r="201" ht="14.25" customHeight="1">
      <c r="A201" s="8">
        <v>50101.0</v>
      </c>
      <c r="B201" s="7" t="s">
        <v>326</v>
      </c>
      <c r="C201" s="7">
        <v>8.0</v>
      </c>
      <c r="D201" s="7">
        <v>80.0</v>
      </c>
    </row>
    <row r="202" ht="14.25" customHeight="1">
      <c r="A202" s="8">
        <v>50102.0</v>
      </c>
      <c r="B202" s="7" t="s">
        <v>329</v>
      </c>
      <c r="C202" s="7">
        <v>0.0</v>
      </c>
      <c r="D202" s="7">
        <v>2.0</v>
      </c>
    </row>
    <row r="203" ht="14.25" customHeight="1">
      <c r="A203" s="8">
        <v>50103.0</v>
      </c>
      <c r="B203" s="7" t="s">
        <v>331</v>
      </c>
      <c r="C203" s="7">
        <v>0.0</v>
      </c>
      <c r="D203" s="7">
        <v>0.0</v>
      </c>
    </row>
    <row r="204" ht="14.25" customHeight="1">
      <c r="A204" s="8">
        <v>50104.0</v>
      </c>
      <c r="B204" s="7" t="s">
        <v>333</v>
      </c>
      <c r="C204" s="7">
        <v>0.0</v>
      </c>
      <c r="D204" s="7">
        <v>0.0</v>
      </c>
    </row>
    <row r="205" ht="14.25" customHeight="1">
      <c r="A205" s="8">
        <v>50201.0</v>
      </c>
      <c r="B205" s="7" t="s">
        <v>336</v>
      </c>
      <c r="C205" s="7">
        <v>0.0</v>
      </c>
      <c r="D205" s="7">
        <v>4.0</v>
      </c>
    </row>
    <row r="206" ht="14.25" customHeight="1">
      <c r="A206" s="8">
        <v>50202.0</v>
      </c>
      <c r="B206" s="7" t="s">
        <v>334</v>
      </c>
      <c r="C206" s="7">
        <v>0.0</v>
      </c>
      <c r="D206" s="7">
        <v>2.0</v>
      </c>
    </row>
    <row r="207" ht="14.25" customHeight="1">
      <c r="A207" s="8">
        <v>50203.0</v>
      </c>
      <c r="B207" s="7" t="s">
        <v>339</v>
      </c>
      <c r="C207" s="7">
        <v>3.0</v>
      </c>
      <c r="D207" s="7">
        <v>9.0</v>
      </c>
    </row>
    <row r="208" ht="14.25" customHeight="1">
      <c r="A208" s="8">
        <v>50204.0</v>
      </c>
      <c r="B208" s="7" t="s">
        <v>341</v>
      </c>
      <c r="C208" s="7">
        <v>0.0</v>
      </c>
      <c r="D208" s="7">
        <v>0.0</v>
      </c>
    </row>
    <row r="209" ht="14.25" customHeight="1">
      <c r="A209" s="8">
        <v>50301.0</v>
      </c>
      <c r="B209" s="7" t="s">
        <v>328</v>
      </c>
      <c r="C209" s="7">
        <v>0.0</v>
      </c>
      <c r="D209" s="7">
        <v>3.0</v>
      </c>
    </row>
    <row r="210" ht="14.25" customHeight="1">
      <c r="A210" s="8">
        <v>50302.0</v>
      </c>
      <c r="B210" s="7" t="s">
        <v>344</v>
      </c>
      <c r="C210" s="7">
        <v>0.0</v>
      </c>
      <c r="D210" s="7">
        <v>1.0</v>
      </c>
    </row>
    <row r="211" ht="14.25" customHeight="1">
      <c r="A211" s="8">
        <v>50303.0</v>
      </c>
      <c r="B211" s="7" t="s">
        <v>346</v>
      </c>
      <c r="C211" s="7">
        <v>0.0</v>
      </c>
      <c r="D211" s="7">
        <v>1.0</v>
      </c>
    </row>
    <row r="212" ht="14.25" customHeight="1">
      <c r="A212" s="8">
        <v>50401.0</v>
      </c>
      <c r="B212" s="7" t="s">
        <v>338</v>
      </c>
      <c r="C212" s="7">
        <v>0.0</v>
      </c>
      <c r="D212" s="7">
        <v>3.0</v>
      </c>
    </row>
    <row r="213" ht="14.25" customHeight="1">
      <c r="A213" s="8">
        <v>50402.0</v>
      </c>
      <c r="B213" s="7" t="s">
        <v>349</v>
      </c>
      <c r="C213" s="7">
        <v>0.0</v>
      </c>
      <c r="D213" s="7">
        <v>4.0</v>
      </c>
    </row>
    <row r="214" ht="14.25" customHeight="1">
      <c r="A214" s="8">
        <v>50403.0</v>
      </c>
      <c r="B214" s="7" t="s">
        <v>347</v>
      </c>
      <c r="C214" s="7">
        <v>0.0</v>
      </c>
      <c r="D214" s="7">
        <v>4.0</v>
      </c>
    </row>
    <row r="215" ht="14.25" customHeight="1">
      <c r="A215" s="8">
        <v>50404.0</v>
      </c>
      <c r="B215" s="7" t="s">
        <v>345</v>
      </c>
      <c r="C215" s="7">
        <v>0.0</v>
      </c>
      <c r="D215" s="7">
        <v>2.0</v>
      </c>
    </row>
    <row r="216" ht="14.25" customHeight="1">
      <c r="A216" s="8">
        <v>50405.0</v>
      </c>
      <c r="B216" s="7" t="s">
        <v>352</v>
      </c>
      <c r="C216" s="7">
        <v>0.0</v>
      </c>
      <c r="D216" s="7">
        <v>0.0</v>
      </c>
    </row>
    <row r="217" ht="14.25" customHeight="1">
      <c r="A217" s="8">
        <v>50501.0</v>
      </c>
      <c r="B217" s="7" t="s">
        <v>355</v>
      </c>
      <c r="C217" s="7">
        <v>0.0</v>
      </c>
      <c r="D217" s="7">
        <v>8.0</v>
      </c>
    </row>
    <row r="218" ht="14.25" customHeight="1">
      <c r="A218" s="8">
        <v>50502.0</v>
      </c>
      <c r="B218" s="7" t="s">
        <v>357</v>
      </c>
      <c r="C218" s="7">
        <v>0.0</v>
      </c>
      <c r="D218" s="7">
        <v>6.0</v>
      </c>
    </row>
    <row r="219" ht="14.25" customHeight="1">
      <c r="A219" s="8">
        <v>50601.0</v>
      </c>
      <c r="B219" s="7" t="s">
        <v>340</v>
      </c>
      <c r="C219" s="7">
        <v>0.0</v>
      </c>
      <c r="D219" s="7">
        <v>1.0</v>
      </c>
    </row>
    <row r="220" ht="14.25" customHeight="1">
      <c r="A220" s="8">
        <v>50602.0</v>
      </c>
      <c r="B220" s="7" t="s">
        <v>360</v>
      </c>
      <c r="C220" s="7">
        <v>0.0</v>
      </c>
      <c r="D220" s="7">
        <v>0.0</v>
      </c>
    </row>
    <row r="221" ht="14.25" customHeight="1">
      <c r="A221" s="8">
        <v>50701.0</v>
      </c>
      <c r="B221" s="7" t="s">
        <v>363</v>
      </c>
      <c r="C221" s="7">
        <v>0.0</v>
      </c>
      <c r="D221" s="7">
        <v>1.0</v>
      </c>
    </row>
    <row r="222" ht="14.25" customHeight="1">
      <c r="A222" s="8">
        <v>50702.0</v>
      </c>
      <c r="B222" s="7" t="s">
        <v>330</v>
      </c>
      <c r="C222" s="7">
        <v>0.0</v>
      </c>
      <c r="D222" s="7">
        <v>1.0</v>
      </c>
    </row>
    <row r="223" ht="14.25" customHeight="1">
      <c r="A223" s="8">
        <v>50801.0</v>
      </c>
      <c r="B223" s="7" t="s">
        <v>366</v>
      </c>
      <c r="C223" s="7">
        <v>1.0</v>
      </c>
      <c r="D223" s="7">
        <v>5.0</v>
      </c>
    </row>
    <row r="224" ht="14.25" customHeight="1">
      <c r="A224" s="8">
        <v>50802.0</v>
      </c>
      <c r="B224" s="7" t="s">
        <v>325</v>
      </c>
      <c r="C224" s="7">
        <v>0.0</v>
      </c>
      <c r="D224" s="7">
        <v>0.0</v>
      </c>
    </row>
    <row r="225" ht="14.25" customHeight="1">
      <c r="A225" s="8">
        <v>50901.0</v>
      </c>
      <c r="B225" s="7" t="s">
        <v>368</v>
      </c>
      <c r="C225" s="7">
        <v>0.0</v>
      </c>
      <c r="D225" s="7">
        <v>1.0</v>
      </c>
    </row>
    <row r="226" ht="14.25" customHeight="1">
      <c r="A226" s="8">
        <v>50902.0</v>
      </c>
      <c r="B226" s="7" t="s">
        <v>369</v>
      </c>
      <c r="C226" s="7">
        <v>0.0</v>
      </c>
      <c r="D226" s="7">
        <v>0.0</v>
      </c>
    </row>
    <row r="227" ht="14.25" customHeight="1">
      <c r="A227" s="8">
        <v>51001.0</v>
      </c>
      <c r="B227" s="7" t="s">
        <v>372</v>
      </c>
      <c r="C227" s="7">
        <v>0.0</v>
      </c>
      <c r="D227" s="7">
        <v>0.0</v>
      </c>
    </row>
    <row r="228" ht="14.25" customHeight="1">
      <c r="A228" s="8">
        <v>51002.0</v>
      </c>
      <c r="B228" s="7" t="s">
        <v>374</v>
      </c>
      <c r="C228" s="7">
        <v>0.0</v>
      </c>
      <c r="D228" s="7">
        <v>0.0</v>
      </c>
    </row>
    <row r="229" ht="14.25" customHeight="1">
      <c r="A229" s="8">
        <v>51003.0</v>
      </c>
      <c r="B229" s="7" t="s">
        <v>376</v>
      </c>
      <c r="C229" s="7">
        <v>0.0</v>
      </c>
      <c r="D229" s="7">
        <v>0.0</v>
      </c>
    </row>
    <row r="230" ht="14.25" customHeight="1">
      <c r="A230" s="8">
        <v>51101.0</v>
      </c>
      <c r="B230" s="7" t="s">
        <v>378</v>
      </c>
      <c r="C230" s="7">
        <v>0.0</v>
      </c>
      <c r="D230" s="7">
        <v>1.0</v>
      </c>
    </row>
    <row r="231" ht="14.25" customHeight="1">
      <c r="A231" s="8">
        <v>51102.0</v>
      </c>
      <c r="B231" s="7" t="s">
        <v>380</v>
      </c>
      <c r="C231" s="7">
        <v>0.0</v>
      </c>
      <c r="D231" s="7">
        <v>0.0</v>
      </c>
    </row>
    <row r="232" ht="14.25" customHeight="1">
      <c r="A232" s="8">
        <v>51103.0</v>
      </c>
      <c r="B232" s="7" t="s">
        <v>382</v>
      </c>
      <c r="C232" s="7">
        <v>0.0</v>
      </c>
      <c r="D232" s="7">
        <v>0.0</v>
      </c>
    </row>
    <row r="233" ht="14.25" customHeight="1">
      <c r="A233" s="8">
        <v>51201.0</v>
      </c>
      <c r="B233" s="7" t="s">
        <v>370</v>
      </c>
      <c r="C233" s="7">
        <v>0.0</v>
      </c>
      <c r="D233" s="7">
        <v>6.0</v>
      </c>
    </row>
    <row r="234" ht="14.25" customHeight="1">
      <c r="A234" s="8">
        <v>51202.0</v>
      </c>
      <c r="B234" s="7" t="s">
        <v>364</v>
      </c>
      <c r="C234" s="7">
        <v>0.0</v>
      </c>
      <c r="D234" s="7">
        <v>0.0</v>
      </c>
    </row>
    <row r="235" ht="14.25" customHeight="1">
      <c r="A235" s="8">
        <v>51203.0</v>
      </c>
      <c r="B235" s="7" t="s">
        <v>348</v>
      </c>
      <c r="C235" s="7">
        <v>1.0</v>
      </c>
      <c r="D235" s="7">
        <v>2.0</v>
      </c>
    </row>
    <row r="236" ht="14.25" customHeight="1">
      <c r="A236" s="8">
        <v>51204.0</v>
      </c>
      <c r="B236" s="7" t="s">
        <v>388</v>
      </c>
      <c r="C236" s="7">
        <v>0.0</v>
      </c>
      <c r="D236" s="7">
        <v>0.0</v>
      </c>
    </row>
    <row r="237" ht="14.25" customHeight="1">
      <c r="A237" s="8">
        <v>51301.0</v>
      </c>
      <c r="B237" s="7" t="s">
        <v>322</v>
      </c>
      <c r="C237" s="7">
        <v>0.0</v>
      </c>
      <c r="D237" s="7">
        <v>0.0</v>
      </c>
    </row>
    <row r="238" ht="14.25" customHeight="1">
      <c r="A238" s="8">
        <v>51302.0</v>
      </c>
      <c r="B238" s="7" t="s">
        <v>321</v>
      </c>
      <c r="C238" s="7">
        <v>6.0</v>
      </c>
      <c r="D238" s="7">
        <v>1.0</v>
      </c>
    </row>
    <row r="239" ht="14.25" customHeight="1">
      <c r="A239" s="8">
        <v>51401.0</v>
      </c>
      <c r="B239" s="7" t="s">
        <v>343</v>
      </c>
      <c r="C239" s="7">
        <v>0.0</v>
      </c>
      <c r="D239" s="7">
        <v>0.0</v>
      </c>
    </row>
    <row r="240" ht="14.25" customHeight="1">
      <c r="A240" s="8">
        <v>51402.0</v>
      </c>
      <c r="B240" s="7" t="s">
        <v>361</v>
      </c>
      <c r="C240" s="7">
        <v>0.0</v>
      </c>
      <c r="D240" s="7">
        <v>0.0</v>
      </c>
    </row>
    <row r="241" ht="14.25" customHeight="1">
      <c r="A241" s="8">
        <v>51501.0</v>
      </c>
      <c r="B241" s="7" t="s">
        <v>397</v>
      </c>
      <c r="C241" s="7">
        <v>3.0</v>
      </c>
      <c r="D241" s="7">
        <v>5.0</v>
      </c>
    </row>
    <row r="242" ht="14.25" customHeight="1">
      <c r="A242" s="8">
        <v>51601.0</v>
      </c>
      <c r="B242" s="7" t="s">
        <v>400</v>
      </c>
      <c r="C242" s="7">
        <v>0.0</v>
      </c>
      <c r="D242" s="7">
        <v>0.0</v>
      </c>
    </row>
    <row r="243" ht="14.25" customHeight="1">
      <c r="A243" s="8">
        <v>60101.0</v>
      </c>
      <c r="B243" s="7" t="s">
        <v>402</v>
      </c>
      <c r="C243" s="7">
        <v>12.0</v>
      </c>
      <c r="D243" s="7">
        <v>60.0</v>
      </c>
    </row>
    <row r="244" ht="14.25" customHeight="1">
      <c r="A244" s="8">
        <v>60201.0</v>
      </c>
      <c r="B244" s="7" t="s">
        <v>405</v>
      </c>
      <c r="C244" s="7">
        <v>0.0</v>
      </c>
      <c r="D244" s="7">
        <v>1.0</v>
      </c>
    </row>
    <row r="245" ht="14.25" customHeight="1">
      <c r="A245" s="8">
        <v>60202.0</v>
      </c>
      <c r="B245" s="7" t="s">
        <v>407</v>
      </c>
      <c r="C245" s="7">
        <v>4.0</v>
      </c>
      <c r="D245" s="7">
        <v>7.0</v>
      </c>
    </row>
    <row r="246" ht="14.25" customHeight="1">
      <c r="A246" s="8">
        <v>60301.0</v>
      </c>
      <c r="B246" s="7" t="s">
        <v>410</v>
      </c>
      <c r="C246" s="7">
        <v>11.0</v>
      </c>
      <c r="D246" s="7">
        <v>21.0</v>
      </c>
    </row>
    <row r="247" ht="14.25" customHeight="1">
      <c r="A247" s="8">
        <v>60302.0</v>
      </c>
      <c r="B247" s="7" t="s">
        <v>412</v>
      </c>
      <c r="C247" s="7">
        <v>0.0</v>
      </c>
      <c r="D247" s="7">
        <v>1.0</v>
      </c>
    </row>
    <row r="248" ht="14.25" customHeight="1">
      <c r="A248" s="8">
        <v>60303.0</v>
      </c>
      <c r="B248" s="7" t="s">
        <v>414</v>
      </c>
      <c r="C248" s="7">
        <v>4.0</v>
      </c>
      <c r="D248" s="7">
        <v>8.0</v>
      </c>
    </row>
    <row r="249" ht="14.25" customHeight="1">
      <c r="A249" s="8">
        <v>60401.0</v>
      </c>
      <c r="B249" s="7" t="s">
        <v>417</v>
      </c>
      <c r="C249" s="7">
        <v>0.0</v>
      </c>
      <c r="D249" s="7">
        <v>0.0</v>
      </c>
    </row>
    <row r="250" ht="14.25" customHeight="1">
      <c r="A250" s="8">
        <v>60402.0</v>
      </c>
      <c r="B250" s="7" t="s">
        <v>419</v>
      </c>
      <c r="C250" s="7">
        <v>0.0</v>
      </c>
      <c r="D250" s="7">
        <v>0.0</v>
      </c>
    </row>
    <row r="251" ht="14.25" customHeight="1">
      <c r="A251" s="8">
        <v>60501.0</v>
      </c>
      <c r="B251" s="7" t="s">
        <v>313</v>
      </c>
      <c r="C251" s="7">
        <v>0.0</v>
      </c>
      <c r="D251" s="7">
        <v>1.0</v>
      </c>
    </row>
    <row r="252" ht="14.25" customHeight="1">
      <c r="A252" s="8">
        <v>60502.0</v>
      </c>
      <c r="B252" s="7" t="s">
        <v>406</v>
      </c>
      <c r="C252" s="7">
        <v>0.0</v>
      </c>
      <c r="D252" s="7">
        <v>0.0</v>
      </c>
    </row>
    <row r="253" ht="14.25" customHeight="1">
      <c r="A253" s="8">
        <v>60601.0</v>
      </c>
      <c r="B253" s="7" t="s">
        <v>253</v>
      </c>
      <c r="C253" s="7">
        <v>0.0</v>
      </c>
      <c r="D253" s="7">
        <v>2.0</v>
      </c>
    </row>
    <row r="254" ht="14.25" customHeight="1">
      <c r="A254" s="8">
        <v>70101.0</v>
      </c>
      <c r="B254" s="7" t="s">
        <v>428</v>
      </c>
      <c r="C254" s="7">
        <v>458.0</v>
      </c>
      <c r="D254" s="7">
        <v>951.0</v>
      </c>
    </row>
    <row r="255" ht="14.25" customHeight="1">
      <c r="A255" s="8">
        <v>70102.0</v>
      </c>
      <c r="B255" s="7" t="s">
        <v>401</v>
      </c>
      <c r="C255" s="7">
        <v>4.0</v>
      </c>
      <c r="D255" s="7">
        <v>30.0</v>
      </c>
    </row>
    <row r="256" ht="14.25" customHeight="1">
      <c r="A256" s="8">
        <v>70103.0</v>
      </c>
      <c r="B256" s="7" t="s">
        <v>431</v>
      </c>
      <c r="C256" s="7">
        <v>0.0</v>
      </c>
      <c r="D256" s="7">
        <v>2.0</v>
      </c>
    </row>
    <row r="257" ht="14.25" customHeight="1">
      <c r="A257" s="8">
        <v>70104.0</v>
      </c>
      <c r="B257" s="7" t="s">
        <v>413</v>
      </c>
      <c r="C257" s="7">
        <v>3.0</v>
      </c>
      <c r="D257" s="7">
        <v>35.0</v>
      </c>
    </row>
    <row r="258" ht="14.25" customHeight="1">
      <c r="A258" s="8">
        <v>70105.0</v>
      </c>
      <c r="B258" s="7" t="s">
        <v>408</v>
      </c>
      <c r="C258" s="7">
        <v>6.0</v>
      </c>
      <c r="D258" s="7">
        <v>19.0</v>
      </c>
    </row>
    <row r="259" ht="14.25" customHeight="1">
      <c r="A259" s="8">
        <v>70201.0</v>
      </c>
      <c r="B259" s="7" t="s">
        <v>435</v>
      </c>
      <c r="C259" s="7">
        <v>17.0</v>
      </c>
      <c r="D259" s="7">
        <v>59.0</v>
      </c>
    </row>
    <row r="260" ht="14.25" customHeight="1">
      <c r="A260" s="8">
        <v>70202.0</v>
      </c>
      <c r="B260" s="7" t="s">
        <v>423</v>
      </c>
      <c r="C260" s="7">
        <v>0.0</v>
      </c>
      <c r="D260" s="7">
        <v>2.0</v>
      </c>
    </row>
    <row r="261" ht="14.25" customHeight="1">
      <c r="A261" s="8">
        <v>70301.0</v>
      </c>
      <c r="B261" s="7" t="s">
        <v>439</v>
      </c>
      <c r="C261" s="7">
        <v>5.0</v>
      </c>
      <c r="D261" s="7">
        <v>9.0</v>
      </c>
    </row>
    <row r="262" ht="14.25" customHeight="1">
      <c r="A262" s="8">
        <v>70302.0</v>
      </c>
      <c r="B262" s="7" t="s">
        <v>441</v>
      </c>
      <c r="C262" s="7">
        <v>0.0</v>
      </c>
      <c r="D262" s="7">
        <v>1.0</v>
      </c>
    </row>
    <row r="263" ht="14.25" customHeight="1">
      <c r="A263" s="8">
        <v>70303.0</v>
      </c>
      <c r="B263" s="7" t="s">
        <v>443</v>
      </c>
      <c r="C263" s="7">
        <v>0.0</v>
      </c>
      <c r="D263" s="7">
        <v>1.0</v>
      </c>
    </row>
    <row r="264" ht="14.25" customHeight="1">
      <c r="A264" s="8">
        <v>70401.0</v>
      </c>
      <c r="B264" s="7" t="s">
        <v>387</v>
      </c>
      <c r="C264" s="7">
        <v>1.0</v>
      </c>
      <c r="D264" s="7">
        <v>1.0</v>
      </c>
    </row>
    <row r="265" ht="14.25" customHeight="1">
      <c r="A265" s="8">
        <v>70402.0</v>
      </c>
      <c r="B265" s="7" t="s">
        <v>446</v>
      </c>
      <c r="C265" s="7">
        <v>2.0</v>
      </c>
      <c r="D265" s="7">
        <v>8.0</v>
      </c>
    </row>
    <row r="266" ht="14.25" customHeight="1">
      <c r="A266" s="8">
        <v>70403.0</v>
      </c>
      <c r="B266" s="7" t="s">
        <v>447</v>
      </c>
      <c r="C266" s="7">
        <v>7.0</v>
      </c>
      <c r="D266" s="7">
        <v>25.0</v>
      </c>
    </row>
    <row r="267" ht="14.25" customHeight="1">
      <c r="A267" s="8">
        <v>70404.0</v>
      </c>
      <c r="B267" s="7" t="s">
        <v>448</v>
      </c>
      <c r="C267" s="7">
        <v>0.0</v>
      </c>
      <c r="D267" s="7">
        <v>0.0</v>
      </c>
    </row>
    <row r="268" ht="14.25" customHeight="1">
      <c r="A268" s="8">
        <v>70501.0</v>
      </c>
      <c r="B268" s="7" t="s">
        <v>451</v>
      </c>
      <c r="C268" s="7">
        <v>1.0</v>
      </c>
      <c r="D268" s="7">
        <v>4.0</v>
      </c>
    </row>
    <row r="269" ht="14.25" customHeight="1">
      <c r="A269" s="8">
        <v>70502.0</v>
      </c>
      <c r="B269" s="7" t="s">
        <v>453</v>
      </c>
      <c r="C269" s="7">
        <v>4.0</v>
      </c>
      <c r="D269" s="7">
        <v>7.0</v>
      </c>
    </row>
    <row r="270" ht="14.25" customHeight="1">
      <c r="A270" s="8">
        <v>70503.0</v>
      </c>
      <c r="B270" s="7" t="s">
        <v>455</v>
      </c>
      <c r="C270" s="7">
        <v>0.0</v>
      </c>
      <c r="D270" s="7">
        <v>3.0</v>
      </c>
    </row>
    <row r="271" ht="14.25" customHeight="1">
      <c r="A271" s="8">
        <v>70601.0</v>
      </c>
      <c r="B271" s="7" t="s">
        <v>430</v>
      </c>
      <c r="C271" s="7">
        <v>3.0</v>
      </c>
      <c r="D271" s="7">
        <v>8.0</v>
      </c>
    </row>
    <row r="272" ht="14.25" customHeight="1">
      <c r="A272" s="8">
        <v>70602.0</v>
      </c>
      <c r="B272" s="7" t="s">
        <v>457</v>
      </c>
      <c r="C272" s="7">
        <v>1.0</v>
      </c>
      <c r="D272" s="7">
        <v>0.0</v>
      </c>
    </row>
    <row r="273" ht="14.25" customHeight="1">
      <c r="A273" s="8">
        <v>70603.0</v>
      </c>
      <c r="B273" s="7" t="s">
        <v>458</v>
      </c>
      <c r="C273" s="7">
        <v>0.0</v>
      </c>
      <c r="D273" s="7">
        <v>0.0</v>
      </c>
    </row>
    <row r="274" ht="14.25" customHeight="1">
      <c r="A274" s="8">
        <v>70701.0</v>
      </c>
      <c r="B274" s="7" t="s">
        <v>415</v>
      </c>
      <c r="C274" s="7">
        <v>0.0</v>
      </c>
      <c r="D274" s="7">
        <v>0.0</v>
      </c>
    </row>
    <row r="275" ht="14.25" customHeight="1">
      <c r="A275" s="8">
        <v>70702.0</v>
      </c>
      <c r="B275" s="7" t="s">
        <v>394</v>
      </c>
      <c r="C275" s="7">
        <v>0.0</v>
      </c>
      <c r="D275" s="7">
        <v>1.0</v>
      </c>
    </row>
    <row r="276" ht="14.25" customHeight="1">
      <c r="A276" s="8">
        <v>70703.0</v>
      </c>
      <c r="B276" s="7" t="s">
        <v>389</v>
      </c>
      <c r="C276" s="7">
        <v>0.0</v>
      </c>
      <c r="D276" s="7">
        <v>3.0</v>
      </c>
    </row>
    <row r="277" ht="14.25" customHeight="1">
      <c r="A277" s="8">
        <v>70704.0</v>
      </c>
      <c r="B277" s="7" t="s">
        <v>403</v>
      </c>
      <c r="C277" s="7">
        <v>0.0</v>
      </c>
      <c r="D277" s="7">
        <v>0.0</v>
      </c>
    </row>
    <row r="278" ht="14.25" customHeight="1">
      <c r="A278" s="8">
        <v>70705.0</v>
      </c>
      <c r="B278" s="7" t="s">
        <v>462</v>
      </c>
      <c r="C278" s="7">
        <v>1.0</v>
      </c>
      <c r="D278" s="7">
        <v>1.0</v>
      </c>
    </row>
    <row r="279" ht="14.25" customHeight="1">
      <c r="A279" s="8">
        <v>70706.0</v>
      </c>
      <c r="B279" s="7" t="s">
        <v>391</v>
      </c>
      <c r="C279" s="7">
        <v>2.0</v>
      </c>
      <c r="D279" s="7">
        <v>6.0</v>
      </c>
    </row>
    <row r="280" ht="14.25" customHeight="1">
      <c r="A280" s="8">
        <v>70707.0</v>
      </c>
      <c r="B280" s="7" t="s">
        <v>386</v>
      </c>
      <c r="C280" s="7">
        <v>0.0</v>
      </c>
      <c r="D280" s="7">
        <v>1.0</v>
      </c>
    </row>
    <row r="281" ht="14.25" customHeight="1">
      <c r="A281" s="8">
        <v>70801.0</v>
      </c>
      <c r="B281" s="7" t="s">
        <v>461</v>
      </c>
      <c r="C281" s="7">
        <v>0.0</v>
      </c>
      <c r="D281" s="7">
        <v>1.0</v>
      </c>
    </row>
    <row r="282" ht="14.25" customHeight="1">
      <c r="A282" s="8">
        <v>70802.0</v>
      </c>
      <c r="B282" s="7" t="s">
        <v>464</v>
      </c>
      <c r="C282" s="7">
        <v>0.0</v>
      </c>
      <c r="D282" s="7">
        <v>0.0</v>
      </c>
    </row>
    <row r="283" ht="14.25" customHeight="1">
      <c r="A283" s="8">
        <v>70803.0</v>
      </c>
      <c r="B283" s="7" t="s">
        <v>466</v>
      </c>
      <c r="C283" s="7">
        <v>0.0</v>
      </c>
      <c r="D283" s="7">
        <v>0.0</v>
      </c>
    </row>
    <row r="284" ht="14.25" customHeight="1">
      <c r="A284" s="8">
        <v>70804.0</v>
      </c>
      <c r="B284" s="7" t="s">
        <v>467</v>
      </c>
      <c r="C284" s="7">
        <v>0.0</v>
      </c>
      <c r="D284" s="7">
        <v>0.0</v>
      </c>
    </row>
    <row r="285" ht="14.25" customHeight="1">
      <c r="A285" s="8">
        <v>70805.0</v>
      </c>
      <c r="B285" s="7" t="s">
        <v>468</v>
      </c>
      <c r="C285" s="7">
        <v>0.0</v>
      </c>
      <c r="D285" s="7">
        <v>0.0</v>
      </c>
    </row>
    <row r="286" ht="14.25" customHeight="1">
      <c r="A286" s="8">
        <v>70901.0</v>
      </c>
      <c r="B286" s="7" t="s">
        <v>442</v>
      </c>
      <c r="C286" s="7">
        <v>0.0</v>
      </c>
      <c r="D286" s="7">
        <v>1.0</v>
      </c>
    </row>
    <row r="287" ht="14.25" customHeight="1">
      <c r="A287" s="8">
        <v>70902.0</v>
      </c>
      <c r="B287" s="7" t="s">
        <v>429</v>
      </c>
      <c r="C287" s="7">
        <v>0.0</v>
      </c>
      <c r="D287" s="7">
        <v>0.0</v>
      </c>
    </row>
    <row r="288" ht="14.25" customHeight="1">
      <c r="A288" s="8">
        <v>70903.0</v>
      </c>
      <c r="B288" s="7" t="s">
        <v>418</v>
      </c>
      <c r="C288" s="7">
        <v>1.0</v>
      </c>
      <c r="D288" s="7">
        <v>3.0</v>
      </c>
    </row>
    <row r="289" ht="14.25" customHeight="1">
      <c r="A289" s="8">
        <v>70904.0</v>
      </c>
      <c r="B289" s="7" t="s">
        <v>436</v>
      </c>
      <c r="C289" s="7">
        <v>0.0</v>
      </c>
      <c r="D289" s="7">
        <v>0.0</v>
      </c>
    </row>
    <row r="290" ht="14.25" customHeight="1">
      <c r="A290" s="8">
        <v>71001.0</v>
      </c>
      <c r="B290" s="7" t="s">
        <v>422</v>
      </c>
      <c r="C290" s="7">
        <v>31.0</v>
      </c>
      <c r="D290" s="7">
        <v>49.0</v>
      </c>
    </row>
    <row r="291" ht="14.25" customHeight="1">
      <c r="A291" s="8">
        <v>71002.0</v>
      </c>
      <c r="B291" s="7" t="s">
        <v>474</v>
      </c>
      <c r="C291" s="7">
        <v>165.0</v>
      </c>
      <c r="D291" s="7">
        <v>16.0</v>
      </c>
    </row>
    <row r="292" ht="14.25" customHeight="1">
      <c r="A292" s="8">
        <v>71003.0</v>
      </c>
      <c r="B292" s="7" t="s">
        <v>420</v>
      </c>
      <c r="C292" s="7">
        <v>6.0</v>
      </c>
      <c r="D292" s="7">
        <v>11.0</v>
      </c>
    </row>
    <row r="293" ht="14.25" customHeight="1">
      <c r="A293" s="8">
        <v>71004.0</v>
      </c>
      <c r="B293" s="7" t="s">
        <v>477</v>
      </c>
      <c r="C293" s="7">
        <v>0.0</v>
      </c>
      <c r="D293" s="7">
        <v>0.0</v>
      </c>
    </row>
    <row r="294" ht="14.25" customHeight="1">
      <c r="A294" s="8">
        <v>71005.0</v>
      </c>
      <c r="B294" s="7" t="s">
        <v>355</v>
      </c>
      <c r="C294" s="7">
        <v>0.0</v>
      </c>
      <c r="D294" s="7">
        <v>0.0</v>
      </c>
    </row>
    <row r="295" ht="14.25" customHeight="1">
      <c r="A295" s="8">
        <v>71101.0</v>
      </c>
      <c r="B295" s="7" t="s">
        <v>398</v>
      </c>
      <c r="C295" s="7">
        <v>1.0</v>
      </c>
      <c r="D295" s="7">
        <v>4.0</v>
      </c>
    </row>
    <row r="296" ht="14.25" customHeight="1">
      <c r="A296" s="8">
        <v>71102.0</v>
      </c>
      <c r="B296" s="7" t="s">
        <v>48</v>
      </c>
      <c r="C296" s="7">
        <v>1.0</v>
      </c>
      <c r="D296" s="7">
        <v>1.0</v>
      </c>
    </row>
    <row r="297" ht="14.25" customHeight="1">
      <c r="A297" s="8">
        <v>71103.0</v>
      </c>
      <c r="B297" s="7" t="s">
        <v>480</v>
      </c>
      <c r="C297" s="7">
        <v>0.0</v>
      </c>
      <c r="D297" s="7">
        <v>1.0</v>
      </c>
    </row>
    <row r="298" ht="14.25" customHeight="1">
      <c r="A298" s="8">
        <v>71104.0</v>
      </c>
      <c r="B298" s="7" t="s">
        <v>481</v>
      </c>
      <c r="C298" s="7">
        <v>5.0</v>
      </c>
      <c r="D298" s="7">
        <v>15.0</v>
      </c>
    </row>
    <row r="299" ht="14.25" customHeight="1">
      <c r="A299" s="8">
        <v>71105.0</v>
      </c>
      <c r="B299" s="7" t="s">
        <v>482</v>
      </c>
      <c r="C299" s="7">
        <v>0.0</v>
      </c>
      <c r="D299" s="7">
        <v>0.0</v>
      </c>
    </row>
    <row r="300" ht="14.25" customHeight="1">
      <c r="A300" s="8">
        <v>71106.0</v>
      </c>
      <c r="B300" s="7" t="s">
        <v>483</v>
      </c>
      <c r="C300" s="7">
        <v>0.0</v>
      </c>
      <c r="D300" s="7">
        <v>0.0</v>
      </c>
    </row>
    <row r="301" ht="14.25" customHeight="1">
      <c r="A301" s="8">
        <v>71201.0</v>
      </c>
      <c r="B301" s="7" t="s">
        <v>454</v>
      </c>
      <c r="C301" s="7">
        <v>2.0</v>
      </c>
      <c r="D301" s="7">
        <v>2.0</v>
      </c>
    </row>
    <row r="302" ht="14.25" customHeight="1">
      <c r="A302" s="8">
        <v>71301.0</v>
      </c>
      <c r="B302" s="7" t="s">
        <v>395</v>
      </c>
      <c r="C302" s="7">
        <v>1.0</v>
      </c>
      <c r="D302" s="7">
        <v>1.0</v>
      </c>
    </row>
    <row r="303" ht="14.25" customHeight="1">
      <c r="A303" s="8">
        <v>71302.0</v>
      </c>
      <c r="B303" s="7" t="s">
        <v>440</v>
      </c>
      <c r="C303" s="7">
        <v>0.0</v>
      </c>
      <c r="D303" s="7">
        <v>0.0</v>
      </c>
    </row>
    <row r="304" ht="14.25" customHeight="1">
      <c r="A304" s="8">
        <v>71401.0</v>
      </c>
      <c r="B304" s="7" t="s">
        <v>487</v>
      </c>
      <c r="C304" s="7">
        <v>3.0</v>
      </c>
      <c r="D304" s="7">
        <v>8.0</v>
      </c>
    </row>
    <row r="305" ht="14.25" customHeight="1">
      <c r="A305" s="8">
        <v>71402.0</v>
      </c>
      <c r="B305" s="7" t="s">
        <v>433</v>
      </c>
      <c r="C305" s="7">
        <v>2.0</v>
      </c>
      <c r="D305" s="7">
        <v>8.0</v>
      </c>
    </row>
    <row r="306" ht="14.25" customHeight="1">
      <c r="A306" s="8">
        <v>71403.0</v>
      </c>
      <c r="B306" s="7" t="s">
        <v>488</v>
      </c>
      <c r="C306" s="7">
        <v>0.0</v>
      </c>
      <c r="D306" s="7">
        <v>2.0</v>
      </c>
    </row>
    <row r="307" ht="14.25" customHeight="1">
      <c r="A307" s="8">
        <v>71501.0</v>
      </c>
      <c r="B307" s="7" t="s">
        <v>490</v>
      </c>
      <c r="C307" s="7">
        <v>5.0</v>
      </c>
      <c r="D307" s="7">
        <v>9.0</v>
      </c>
    </row>
    <row r="308" ht="14.25" customHeight="1">
      <c r="A308" s="8">
        <v>71502.0</v>
      </c>
      <c r="B308" s="7" t="s">
        <v>491</v>
      </c>
      <c r="C308" s="7">
        <v>7.0</v>
      </c>
      <c r="D308" s="7">
        <v>1.0</v>
      </c>
    </row>
    <row r="309" ht="14.25" customHeight="1">
      <c r="A309" s="8">
        <v>71503.0</v>
      </c>
      <c r="B309" s="7" t="s">
        <v>406</v>
      </c>
      <c r="C309" s="7">
        <v>1.0</v>
      </c>
      <c r="D309" s="7">
        <v>2.0</v>
      </c>
    </row>
    <row r="310" ht="14.25" customHeight="1">
      <c r="A310" s="8">
        <v>80101.0</v>
      </c>
      <c r="B310" s="7" t="s">
        <v>60</v>
      </c>
      <c r="C310" s="7">
        <v>23.0</v>
      </c>
      <c r="D310" s="7">
        <v>89.0</v>
      </c>
    </row>
    <row r="311" ht="14.25" customHeight="1">
      <c r="A311" s="8">
        <v>80102.0</v>
      </c>
      <c r="B311" s="7" t="s">
        <v>48</v>
      </c>
      <c r="C311" s="7">
        <v>0.0</v>
      </c>
      <c r="D311" s="7">
        <v>0.0</v>
      </c>
    </row>
    <row r="312" ht="14.25" customHeight="1">
      <c r="A312" s="8">
        <v>80201.0</v>
      </c>
      <c r="B312" s="7" t="s">
        <v>41</v>
      </c>
      <c r="C312" s="7">
        <v>3.0</v>
      </c>
      <c r="D312" s="7">
        <v>74.0</v>
      </c>
    </row>
    <row r="313" ht="14.25" customHeight="1">
      <c r="A313" s="8">
        <v>80202.0</v>
      </c>
      <c r="B313" s="7" t="s">
        <v>494</v>
      </c>
      <c r="C313" s="7">
        <v>3.0</v>
      </c>
      <c r="D313" s="7">
        <v>13.0</v>
      </c>
    </row>
    <row r="314" ht="14.25" customHeight="1">
      <c r="A314" s="8">
        <v>80301.0</v>
      </c>
      <c r="B314" s="7" t="s">
        <v>38</v>
      </c>
      <c r="C314" s="7">
        <v>0.0</v>
      </c>
      <c r="D314" s="7">
        <v>2.0</v>
      </c>
    </row>
    <row r="315" ht="14.25" customHeight="1">
      <c r="A315" s="8">
        <v>80302.0</v>
      </c>
      <c r="B315" s="7" t="s">
        <v>44</v>
      </c>
      <c r="C315" s="7">
        <v>1.0</v>
      </c>
      <c r="D315" s="7">
        <v>6.0</v>
      </c>
    </row>
    <row r="316" ht="14.25" customHeight="1">
      <c r="A316" s="8">
        <v>80303.0</v>
      </c>
      <c r="B316" s="7" t="s">
        <v>57</v>
      </c>
      <c r="C316" s="7">
        <v>0.0</v>
      </c>
      <c r="D316" s="7">
        <v>2.0</v>
      </c>
    </row>
    <row r="317" ht="14.25" customHeight="1">
      <c r="A317" s="8">
        <v>80304.0</v>
      </c>
      <c r="B317" s="7" t="s">
        <v>496</v>
      </c>
      <c r="C317" s="7">
        <v>1.0</v>
      </c>
      <c r="D317" s="7">
        <v>6.0</v>
      </c>
    </row>
    <row r="318" ht="14.25" customHeight="1">
      <c r="A318" s="8">
        <v>80401.0</v>
      </c>
      <c r="B318" s="7" t="s">
        <v>498</v>
      </c>
      <c r="C318" s="7">
        <v>1.0</v>
      </c>
      <c r="D318" s="7">
        <v>13.0</v>
      </c>
    </row>
    <row r="319" ht="14.25" customHeight="1">
      <c r="A319" s="8">
        <v>80402.0</v>
      </c>
      <c r="B319" s="7" t="s">
        <v>499</v>
      </c>
      <c r="C319" s="7">
        <v>0.0</v>
      </c>
      <c r="D319" s="7">
        <v>0.0</v>
      </c>
    </row>
    <row r="320" ht="14.25" customHeight="1">
      <c r="A320" s="8">
        <v>80501.0</v>
      </c>
      <c r="B320" s="7" t="s">
        <v>46</v>
      </c>
      <c r="C320" s="7">
        <v>1.0</v>
      </c>
      <c r="D320" s="7">
        <v>7.0</v>
      </c>
    </row>
    <row r="321" ht="14.25" customHeight="1">
      <c r="A321" s="8">
        <v>80601.0</v>
      </c>
      <c r="B321" s="7" t="s">
        <v>29</v>
      </c>
      <c r="C321" s="7">
        <v>0.0</v>
      </c>
      <c r="D321" s="7">
        <v>1.0</v>
      </c>
    </row>
    <row r="322" ht="14.25" customHeight="1">
      <c r="A322" s="8">
        <v>80602.0</v>
      </c>
      <c r="B322" s="7" t="s">
        <v>502</v>
      </c>
      <c r="C322" s="7">
        <v>0.0</v>
      </c>
      <c r="D322" s="7">
        <v>2.0</v>
      </c>
    </row>
    <row r="323" ht="14.25" customHeight="1">
      <c r="A323" s="8">
        <v>80701.0</v>
      </c>
      <c r="B323" s="7" t="s">
        <v>51</v>
      </c>
      <c r="C323" s="7">
        <v>0.0</v>
      </c>
      <c r="D323" s="7">
        <v>1.0</v>
      </c>
    </row>
    <row r="324" ht="14.25" customHeight="1">
      <c r="A324" s="8">
        <v>80702.0</v>
      </c>
      <c r="B324" s="7" t="s">
        <v>480</v>
      </c>
      <c r="C324" s="7">
        <v>0.0</v>
      </c>
      <c r="D324" s="7">
        <v>1.0</v>
      </c>
    </row>
    <row r="325" ht="14.25" customHeight="1">
      <c r="A325" s="8">
        <v>80703.0</v>
      </c>
      <c r="B325" s="7" t="s">
        <v>504</v>
      </c>
      <c r="C325" s="7">
        <v>0.0</v>
      </c>
      <c r="D325" s="7">
        <v>0.0</v>
      </c>
    </row>
    <row r="326" ht="14.25" customHeight="1">
      <c r="A326" s="8">
        <v>80801.0</v>
      </c>
      <c r="B326" s="7" t="s">
        <v>32</v>
      </c>
      <c r="C326" s="7">
        <v>1.0</v>
      </c>
      <c r="D326" s="7">
        <v>1.0</v>
      </c>
    </row>
    <row r="327" ht="14.25" customHeight="1">
      <c r="A327" s="8">
        <v>80802.0</v>
      </c>
      <c r="B327" s="7" t="s">
        <v>22</v>
      </c>
      <c r="C327" s="7">
        <v>5.0</v>
      </c>
      <c r="D327" s="7">
        <v>27.0</v>
      </c>
    </row>
    <row r="328" ht="14.25" customHeight="1">
      <c r="A328" s="8">
        <v>80803.0</v>
      </c>
      <c r="B328" s="7" t="s">
        <v>27</v>
      </c>
      <c r="C328" s="7">
        <v>0.0</v>
      </c>
      <c r="D328" s="7">
        <v>0.0</v>
      </c>
    </row>
    <row r="329" ht="14.25" customHeight="1">
      <c r="A329" s="8">
        <v>80901.0</v>
      </c>
      <c r="B329" s="7" t="s">
        <v>506</v>
      </c>
      <c r="C329" s="7">
        <v>0.0</v>
      </c>
      <c r="D329" s="7">
        <v>0.0</v>
      </c>
    </row>
    <row r="330" ht="14.25" customHeight="1">
      <c r="A330" s="8">
        <v>90101.0</v>
      </c>
      <c r="B330" s="7" t="s">
        <v>299</v>
      </c>
      <c r="C330" s="7">
        <v>4.0</v>
      </c>
      <c r="D330" s="7">
        <v>36.0</v>
      </c>
    </row>
    <row r="331" ht="14.25" customHeight="1">
      <c r="A331" s="8">
        <v>90102.0</v>
      </c>
      <c r="B331" s="7" t="s">
        <v>306</v>
      </c>
      <c r="C331" s="7">
        <v>0.0</v>
      </c>
      <c r="D331" s="7">
        <v>2.0</v>
      </c>
    </row>
    <row r="332" ht="14.25" customHeight="1">
      <c r="A332" s="8">
        <v>90103.0</v>
      </c>
      <c r="B332" s="7" t="s">
        <v>298</v>
      </c>
      <c r="C332" s="7">
        <v>0.0</v>
      </c>
      <c r="D332" s="7">
        <v>0.0</v>
      </c>
    </row>
    <row r="333" ht="14.25" customHeight="1">
      <c r="A333" s="8">
        <v>90104.0</v>
      </c>
      <c r="B333" s="7" t="s">
        <v>296</v>
      </c>
      <c r="C333" s="7">
        <v>1.0</v>
      </c>
      <c r="D333" s="7">
        <v>0.0</v>
      </c>
    </row>
    <row r="334" ht="14.25" customHeight="1">
      <c r="A334" s="8">
        <v>90201.0</v>
      </c>
      <c r="B334" s="7" t="s">
        <v>311</v>
      </c>
      <c r="C334" s="7">
        <v>0.0</v>
      </c>
      <c r="D334" s="7">
        <v>0.0</v>
      </c>
    </row>
    <row r="335" ht="14.25" customHeight="1">
      <c r="A335" s="8">
        <v>90202.0</v>
      </c>
      <c r="B335" s="7" t="s">
        <v>355</v>
      </c>
      <c r="C335" s="7">
        <v>0.0</v>
      </c>
      <c r="D335" s="7">
        <v>0.0</v>
      </c>
    </row>
    <row r="336" ht="14.25" customHeight="1">
      <c r="A336" s="8">
        <v>90203.0</v>
      </c>
      <c r="B336" s="7" t="s">
        <v>301</v>
      </c>
      <c r="C336" s="7">
        <v>1.0</v>
      </c>
      <c r="D336" s="7">
        <v>1.0</v>
      </c>
    </row>
    <row r="337" ht="14.25" customHeight="1">
      <c r="A337" s="8">
        <v>90301.0</v>
      </c>
      <c r="B337" s="7" t="s">
        <v>308</v>
      </c>
      <c r="C337" s="7">
        <v>0.0</v>
      </c>
      <c r="D337" s="7">
        <v>2.0</v>
      </c>
    </row>
    <row r="338" ht="14.25" customHeight="1">
      <c r="A338" s="8">
        <v>90302.0</v>
      </c>
      <c r="B338" s="7" t="s">
        <v>313</v>
      </c>
      <c r="C338" s="7">
        <v>0.0</v>
      </c>
      <c r="D338" s="7">
        <v>0.0</v>
      </c>
    </row>
    <row r="339" ht="14.25" customHeight="1">
      <c r="A339" s="8">
        <v>90303.0</v>
      </c>
      <c r="B339" s="7" t="s">
        <v>315</v>
      </c>
      <c r="C339" s="7">
        <v>0.0</v>
      </c>
      <c r="D339" s="7">
        <v>1.0</v>
      </c>
    </row>
    <row r="340" ht="14.25" customHeight="1">
      <c r="A340" s="8">
        <v>90401.0</v>
      </c>
      <c r="B340" s="7" t="s">
        <v>57</v>
      </c>
      <c r="C340" s="7">
        <v>0.0</v>
      </c>
      <c r="D340" s="7">
        <v>0.0</v>
      </c>
    </row>
    <row r="341" ht="14.25" customHeight="1">
      <c r="A341" s="8">
        <v>90402.0</v>
      </c>
      <c r="B341" s="7" t="s">
        <v>147</v>
      </c>
      <c r="C341" s="7">
        <v>0.0</v>
      </c>
      <c r="D341" s="7">
        <v>0.0</v>
      </c>
    </row>
    <row r="342" ht="14.25" customHeight="1">
      <c r="A342" s="8">
        <v>90501.0</v>
      </c>
      <c r="B342" s="7" t="s">
        <v>513</v>
      </c>
      <c r="C342" s="7">
        <v>0.0</v>
      </c>
      <c r="D342" s="7">
        <v>0.0</v>
      </c>
    </row>
    <row r="343" ht="14.25" customHeight="1">
      <c r="A343" s="8">
        <v>90502.0</v>
      </c>
      <c r="B343" s="7" t="s">
        <v>514</v>
      </c>
      <c r="C343" s="7">
        <v>0.0</v>
      </c>
      <c r="D343" s="7">
        <v>0.0</v>
      </c>
    </row>
    <row r="344" ht="14.25" customHeight="1">
      <c r="A344" s="8">
        <v>90503.0</v>
      </c>
      <c r="B344" s="7" t="s">
        <v>515</v>
      </c>
      <c r="C344" s="7">
        <v>0.0</v>
      </c>
      <c r="D344" s="7">
        <v>0.0</v>
      </c>
    </row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3.86"/>
    <col customWidth="1" min="3" max="4" width="26.71"/>
    <col customWidth="1" min="5" max="26" width="10.71"/>
  </cols>
  <sheetData>
    <row r="1" ht="14.25" customHeight="1">
      <c r="A1" s="22" t="s">
        <v>593</v>
      </c>
      <c r="B1" s="22" t="s">
        <v>594</v>
      </c>
      <c r="C1" s="21" t="s">
        <v>589</v>
      </c>
      <c r="D1" s="21" t="s">
        <v>590</v>
      </c>
    </row>
    <row r="2" ht="14.25" customHeight="1">
      <c r="A2" s="7">
        <v>1.0</v>
      </c>
      <c r="B2" s="7" t="s">
        <v>17</v>
      </c>
      <c r="C2" s="23">
        <v>61.936192309803</v>
      </c>
      <c r="D2" s="23">
        <v>179.91854453319976</v>
      </c>
    </row>
    <row r="3" ht="14.25" customHeight="1">
      <c r="A3" s="7">
        <v>2.0</v>
      </c>
      <c r="B3" s="7" t="s">
        <v>78</v>
      </c>
      <c r="C3" s="23">
        <v>115.00580774736511</v>
      </c>
      <c r="D3" s="23">
        <v>268.6712297725541</v>
      </c>
    </row>
    <row r="4" ht="14.25" customHeight="1">
      <c r="A4" s="7">
        <v>3.0</v>
      </c>
      <c r="B4" s="7" t="s">
        <v>133</v>
      </c>
      <c r="C4" s="23">
        <v>178.9194429932035</v>
      </c>
      <c r="D4" s="23">
        <v>328.7538843518246</v>
      </c>
    </row>
    <row r="5" ht="14.25" customHeight="1">
      <c r="A5" s="7">
        <v>4.0</v>
      </c>
      <c r="B5" s="7" t="s">
        <v>264</v>
      </c>
      <c r="C5" s="23">
        <v>91.60597265566192</v>
      </c>
      <c r="D5" s="23">
        <v>225.88455070621214</v>
      </c>
    </row>
    <row r="6" ht="14.25" customHeight="1">
      <c r="A6" s="7">
        <v>5.0</v>
      </c>
      <c r="B6" s="7" t="s">
        <v>326</v>
      </c>
      <c r="C6" s="23">
        <v>31.067605301375902</v>
      </c>
      <c r="D6" s="23">
        <v>175.44515847916884</v>
      </c>
    </row>
    <row r="7" ht="14.25" customHeight="1">
      <c r="A7" s="7">
        <v>6.0</v>
      </c>
      <c r="B7" s="7" t="s">
        <v>402</v>
      </c>
      <c r="C7" s="23">
        <v>66.33126798497484</v>
      </c>
      <c r="D7" s="23">
        <v>191.8165813347205</v>
      </c>
    </row>
    <row r="8" ht="14.25" customHeight="1">
      <c r="A8" s="7">
        <v>7.0</v>
      </c>
      <c r="B8" s="7" t="s">
        <v>426</v>
      </c>
      <c r="C8" s="23">
        <v>282.2416289128143</v>
      </c>
      <c r="D8" s="23">
        <v>426.26757664906313</v>
      </c>
    </row>
    <row r="9" ht="14.25" customHeight="1">
      <c r="A9" s="7">
        <v>8.0</v>
      </c>
      <c r="B9" s="7" t="s">
        <v>492</v>
      </c>
      <c r="C9" s="23">
        <v>93.6695199714575</v>
      </c>
      <c r="D9" s="23">
        <v>507.37939702277504</v>
      </c>
    </row>
    <row r="10" ht="14.25" customHeight="1">
      <c r="A10" s="7">
        <v>9.0</v>
      </c>
      <c r="B10" s="7" t="s">
        <v>507</v>
      </c>
      <c r="C10" s="23">
        <v>48.880910308817015</v>
      </c>
      <c r="D10" s="23">
        <v>333.1011027718661</v>
      </c>
    </row>
    <row r="11" ht="14.25" customHeight="1">
      <c r="A11" s="7">
        <v>10.0</v>
      </c>
      <c r="B11" s="7" t="s">
        <v>409</v>
      </c>
      <c r="C11" s="23">
        <v>101.82560943921327</v>
      </c>
      <c r="D11" s="23">
        <v>187.53874178566358</v>
      </c>
    </row>
    <row r="12" ht="14.25" customHeight="1">
      <c r="A12" s="7">
        <v>11.0</v>
      </c>
      <c r="B12" s="7" t="s">
        <v>595</v>
      </c>
      <c r="C12" s="23">
        <v>155.27221393086526</v>
      </c>
      <c r="D12" s="23">
        <v>315.83830929899847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3.86"/>
    <col customWidth="1" min="3" max="4" width="29.14"/>
    <col customWidth="1" min="5" max="8" width="11.86"/>
    <col customWidth="1" min="9" max="26" width="10.71"/>
  </cols>
  <sheetData>
    <row r="1" ht="30.0" customHeight="1">
      <c r="A1" s="22" t="s">
        <v>593</v>
      </c>
      <c r="B1" s="22" t="s">
        <v>594</v>
      </c>
      <c r="C1" s="21" t="s">
        <v>591</v>
      </c>
      <c r="D1" s="21" t="s">
        <v>592</v>
      </c>
      <c r="E1" s="24"/>
      <c r="F1" s="24"/>
      <c r="G1" s="24"/>
      <c r="H1" s="24"/>
    </row>
    <row r="2" ht="14.25" customHeight="1">
      <c r="A2" s="7">
        <v>1.0</v>
      </c>
      <c r="B2" s="7" t="s">
        <v>17</v>
      </c>
      <c r="C2" s="7">
        <v>36.0</v>
      </c>
      <c r="D2" s="7">
        <v>109.0</v>
      </c>
      <c r="G2" s="20"/>
      <c r="H2" s="20"/>
    </row>
    <row r="3" ht="14.25" customHeight="1">
      <c r="A3" s="7">
        <v>2.0</v>
      </c>
      <c r="B3" s="7" t="s">
        <v>78</v>
      </c>
      <c r="C3" s="7">
        <v>313.0</v>
      </c>
      <c r="D3" s="7">
        <v>807.0</v>
      </c>
      <c r="G3" s="20"/>
      <c r="H3" s="20"/>
    </row>
    <row r="4" ht="14.25" customHeight="1">
      <c r="A4" s="7">
        <v>3.0</v>
      </c>
      <c r="B4" s="7" t="s">
        <v>133</v>
      </c>
      <c r="C4" s="7">
        <v>315.0</v>
      </c>
      <c r="D4" s="7">
        <v>656.0</v>
      </c>
      <c r="G4" s="20"/>
      <c r="H4" s="20"/>
    </row>
    <row r="5" ht="14.25" customHeight="1">
      <c r="A5" s="7">
        <v>4.0</v>
      </c>
      <c r="B5" s="7" t="s">
        <v>264</v>
      </c>
      <c r="C5" s="7">
        <v>45.0</v>
      </c>
      <c r="D5" s="7">
        <v>128.0</v>
      </c>
      <c r="G5" s="20"/>
      <c r="H5" s="20"/>
    </row>
    <row r="6" ht="14.25" customHeight="1">
      <c r="A6" s="7">
        <v>5.0</v>
      </c>
      <c r="B6" s="7" t="s">
        <v>326</v>
      </c>
      <c r="C6" s="7">
        <v>26.0</v>
      </c>
      <c r="D6" s="7">
        <v>151.0</v>
      </c>
      <c r="G6" s="20"/>
      <c r="H6" s="20"/>
      <c r="I6" s="20"/>
    </row>
    <row r="7" ht="14.25" customHeight="1">
      <c r="A7" s="7">
        <v>6.0</v>
      </c>
      <c r="B7" s="7" t="s">
        <v>402</v>
      </c>
      <c r="C7" s="7">
        <v>32.0</v>
      </c>
      <c r="D7" s="7">
        <v>102.0</v>
      </c>
      <c r="G7" s="20"/>
      <c r="H7" s="20"/>
    </row>
    <row r="8" ht="14.25" customHeight="1">
      <c r="A8" s="7">
        <v>7.0</v>
      </c>
      <c r="B8" s="7" t="s">
        <v>426</v>
      </c>
      <c r="C8" s="7">
        <v>748.0</v>
      </c>
      <c r="D8" s="7">
        <v>1314.0</v>
      </c>
      <c r="G8" s="20"/>
      <c r="H8" s="20"/>
    </row>
    <row r="9" ht="14.25" customHeight="1">
      <c r="A9" s="7">
        <v>8.0</v>
      </c>
      <c r="B9" s="7" t="s">
        <v>492</v>
      </c>
      <c r="C9" s="7">
        <v>40.0</v>
      </c>
      <c r="D9" s="7">
        <v>245.0</v>
      </c>
      <c r="G9" s="20"/>
      <c r="H9" s="20"/>
    </row>
    <row r="10" ht="14.25" customHeight="1">
      <c r="A10" s="7">
        <v>9.0</v>
      </c>
      <c r="B10" s="7" t="s">
        <v>507</v>
      </c>
      <c r="C10" s="7">
        <v>5.0</v>
      </c>
      <c r="D10" s="7">
        <v>44.0</v>
      </c>
      <c r="G10" s="20"/>
      <c r="H10" s="20"/>
    </row>
    <row r="11" ht="14.25" customHeight="1">
      <c r="A11" s="7">
        <v>10.0</v>
      </c>
      <c r="B11" s="7" t="s">
        <v>409</v>
      </c>
      <c r="C11" s="7">
        <v>15.0</v>
      </c>
      <c r="D11" s="7">
        <v>30.0</v>
      </c>
    </row>
    <row r="12" ht="14.25" customHeight="1">
      <c r="A12" s="7">
        <v>11.0</v>
      </c>
      <c r="B12" s="7" t="s">
        <v>595</v>
      </c>
      <c r="C12" s="7">
        <v>1561.0</v>
      </c>
      <c r="D12" s="7">
        <v>3555.0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0" width="10.71"/>
    <col customWidth="1" min="11" max="11" width="28.29"/>
    <col customWidth="1" min="12" max="26" width="10.71"/>
  </cols>
  <sheetData>
    <row r="1" ht="14.25" customHeight="1">
      <c r="A1" s="25" t="s">
        <v>596</v>
      </c>
      <c r="B1" s="25" t="s">
        <v>597</v>
      </c>
      <c r="C1" s="26" t="s">
        <v>598</v>
      </c>
      <c r="D1" s="26" t="s">
        <v>599</v>
      </c>
      <c r="E1" s="27" t="s">
        <v>600</v>
      </c>
      <c r="F1" s="27" t="s">
        <v>601</v>
      </c>
      <c r="G1" s="28" t="s">
        <v>602</v>
      </c>
      <c r="H1" s="28" t="s">
        <v>603</v>
      </c>
      <c r="I1" s="29" t="s">
        <v>604</v>
      </c>
      <c r="J1" s="29" t="s">
        <v>605</v>
      </c>
      <c r="K1" s="30" t="s">
        <v>606</v>
      </c>
    </row>
    <row r="2" ht="14.25" customHeight="1">
      <c r="A2" s="7">
        <v>3.0</v>
      </c>
      <c r="B2" s="7" t="s">
        <v>607</v>
      </c>
      <c r="C2" s="7">
        <v>0.0</v>
      </c>
      <c r="D2" s="31">
        <v>15.0</v>
      </c>
      <c r="E2" s="31">
        <v>15.0</v>
      </c>
      <c r="F2" s="31">
        <v>78.0</v>
      </c>
      <c r="G2" s="31">
        <v>78.0</v>
      </c>
      <c r="H2" s="32">
        <v>155.0</v>
      </c>
      <c r="I2" s="32">
        <v>155.0</v>
      </c>
      <c r="J2" s="7">
        <v>20000.0</v>
      </c>
      <c r="K2" s="33" t="s">
        <v>608</v>
      </c>
    </row>
    <row r="3" ht="14.25" customHeight="1"/>
    <row r="4" ht="14.25" customHeight="1">
      <c r="D4" s="34"/>
      <c r="F4" s="34"/>
      <c r="H4" s="34"/>
    </row>
    <row r="5" ht="14.25" customHeight="1"/>
    <row r="6" ht="14.25" customHeight="1">
      <c r="D6" s="34"/>
      <c r="F6" s="34"/>
      <c r="H6" s="34"/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2026-02-26T18:11:45Z</dcterms:created>
  <dc:creator>ALVARO MUÑOS</dc:creator>
</cp:coreProperties>
</file>